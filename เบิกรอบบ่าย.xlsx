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เวิร์กบุ๊กนี้"/>
  <bookViews>
    <workbookView visibility="visible" minimized="0" showHorizontalScroll="1" showVerticalScroll="1" showSheetTabs="1" xWindow="-108" yWindow="-108" windowWidth="23256" windowHeight="12720" tabRatio="688" firstSheet="0" activeTab="6" autoFilterDateGrouping="1"/>
  </bookViews>
  <sheets>
    <sheet name="สัปดาห์ที่ 1" sheetId="1" state="visible" r:id="rId1"/>
    <sheet name="สัปดาห์ที่ 2" sheetId="2" state="visible" r:id="rId2"/>
    <sheet name="สัปดาห์ที่ 3" sheetId="3" state="visible" r:id="rId3"/>
    <sheet name="สัปดาห์ที่ 4" sheetId="4" state="visible" r:id="rId4"/>
    <sheet name="สัปดาห์ที่ 5" sheetId="5" state="visible" r:id="rId5"/>
    <sheet name="ตารางแจงเงินรายบุคคล" sheetId="6" state="visible" r:id="rId6"/>
    <sheet name="งบหน้ารวมครู" sheetId="7" state="visible" r:id="rId7"/>
    <sheet name="สรุปลา " sheetId="8" state="visible" r:id="rId8"/>
  </sheets>
  <definedNames>
    <definedName name="_xlnm.Print_Area" localSheetId="0">'สัปดาห์ที่ 1'!$A$1:$AK$1288</definedName>
    <definedName name="_xlnm.Print_Area" localSheetId="1">'สัปดาห์ที่ 2'!$A$1:$AK$1288</definedName>
    <definedName name="_xlnm.Print_Area" localSheetId="2">'สัปดาห์ที่ 3'!$A$1:$AK$1288</definedName>
    <definedName name="_xlnm.Print_Area" localSheetId="3">'สัปดาห์ที่ 4'!$A$1:$AK$1288</definedName>
    <definedName name="_xlnm.Print_Area" localSheetId="4">'สัปดาห์ที่ 5'!$A$1:$AK$1288</definedName>
    <definedName name="_xlnm.Print_Area" localSheetId="5">'ตารางแจงเงินรายบุคคล'!$A$1:$P$106</definedName>
    <definedName name="_xlnm.Print_Area" localSheetId="6">'งบหน้ารวมครู'!$A$1:$M$78</definedName>
    <definedName name="_xlnm.Print_Area" localSheetId="7">'สรุปลา '!$A$1:$J$98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52">
    <font>
      <name val="AngsanaUPC"/>
      <charset val="222"/>
      <sz val="16"/>
    </font>
    <font>
      <name val="AngsanaUPC"/>
      <family val="1"/>
      <sz val="16"/>
    </font>
    <font>
      <name val="TH SarabunPSK"/>
      <family val="2"/>
      <b val="1"/>
      <color indexed="8"/>
      <sz val="16"/>
    </font>
    <font>
      <name val="TH SarabunPSK"/>
      <family val="2"/>
      <color indexed="8"/>
      <sz val="14"/>
    </font>
    <font>
      <name val="TH SarabunPSK"/>
      <family val="2"/>
      <sz val="14"/>
    </font>
    <font>
      <name val="TH SarabunPSK"/>
      <family val="2"/>
      <b val="1"/>
      <color indexed="8"/>
      <sz val="14"/>
    </font>
    <font>
      <name val="TH SarabunPSK"/>
      <family val="2"/>
      <b val="1"/>
      <sz val="14"/>
    </font>
    <font>
      <name val="Cordia New"/>
      <family val="2"/>
      <sz val="14"/>
    </font>
    <font>
      <name val="AngsanaUPC"/>
      <family val="1"/>
      <sz val="16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ngsanaUPC"/>
      <charset val="222"/>
      <family val="1"/>
      <sz val="16"/>
    </font>
    <font>
      <name val="TH SarabunPSK"/>
      <family val="2"/>
      <sz val="16"/>
    </font>
    <font>
      <name val="TH SarabunPSK"/>
      <family val="2"/>
      <color indexed="8"/>
      <sz val="16"/>
    </font>
    <font>
      <name val="TH SarabunPSK"/>
      <family val="2"/>
      <b val="1"/>
      <sz val="16"/>
    </font>
    <font>
      <name val="TH SarabunPSK"/>
      <family val="2"/>
      <b val="1"/>
      <sz val="18"/>
    </font>
    <font>
      <name val="TH SarabunPSK"/>
      <family val="2"/>
      <b val="1"/>
      <color indexed="8"/>
      <sz val="18"/>
    </font>
    <font>
      <name val="TH SarabunPSK"/>
      <family val="2"/>
      <b val="1"/>
      <color rgb="FFFF0000"/>
      <sz val="36"/>
    </font>
    <font>
      <name val="TH SarabunPSK"/>
      <family val="2"/>
      <b val="1"/>
      <color rgb="FFFF0000"/>
      <sz val="22"/>
    </font>
    <font>
      <name val="TH SarabunPSK"/>
      <family val="2"/>
      <b val="1"/>
      <color theme="1"/>
      <sz val="22"/>
    </font>
    <font>
      <name val="TH SarabunPSK"/>
      <family val="2"/>
      <color theme="1"/>
      <sz val="14"/>
    </font>
    <font>
      <name val="TH SarabunPSK"/>
      <family val="2"/>
      <b val="1"/>
      <color theme="1"/>
      <sz val="18"/>
    </font>
    <font>
      <name val="TH SarabunPSK"/>
      <family val="2"/>
      <b val="1"/>
      <color theme="1"/>
      <sz val="16"/>
    </font>
    <font>
      <name val="TH SarabunPSK"/>
      <family val="2"/>
      <color theme="1"/>
      <sz val="18"/>
    </font>
    <font>
      <name val="TH SarabunPSK"/>
      <charset val="222"/>
      <family val="2"/>
      <color theme="1"/>
      <sz val="22"/>
    </font>
    <font>
      <name val="TH SarabunPSK"/>
      <charset val="222"/>
      <family val="2"/>
      <b val="1"/>
      <color theme="1"/>
      <sz val="22"/>
    </font>
    <font>
      <name val="TH SarabunPSK"/>
      <charset val="222"/>
      <family val="2"/>
      <sz val="22"/>
    </font>
    <font>
      <name val="TH SarabunPSK"/>
      <family val="2"/>
      <sz val="22"/>
    </font>
    <font>
      <name val="TH SarabunPSK"/>
      <family val="2"/>
      <b val="1"/>
      <sz val="22"/>
    </font>
    <font>
      <name val="TH SarabunPSK"/>
      <family val="2"/>
      <b val="1"/>
      <sz val="20"/>
    </font>
    <font>
      <name val="AngsanaUPC"/>
      <family val="1"/>
      <b val="1"/>
      <sz val="18"/>
    </font>
    <font>
      <name val="AngsanaUPC"/>
      <family val="1"/>
      <b val="1"/>
      <sz val="20"/>
    </font>
    <font>
      <name val="TH SarabunPSK"/>
      <family val="2"/>
      <b val="1"/>
      <color theme="1"/>
      <sz val="20"/>
    </font>
    <font>
      <name val="AngsanaUPC"/>
      <family val="1"/>
      <sz val="18"/>
    </font>
    <font>
      <name val="TH SarabunPSK"/>
      <family val="2"/>
      <b val="1"/>
      <color rgb="FFFF0000"/>
      <sz val="14"/>
    </font>
    <font>
      <name val="Wingdings"/>
      <charset val="2"/>
      <color indexed="8"/>
      <sz val="13"/>
    </font>
    <font>
      <name val="TH SarabunPSK"/>
      <charset val="222"/>
      <family val="2"/>
      <b val="1"/>
      <sz val="14"/>
    </font>
    <font>
      <name val="TH SarabunPSK"/>
      <charset val="222"/>
      <family val="2"/>
      <sz val="14"/>
    </font>
    <font>
      <name val="Wingdings"/>
      <charset val="2"/>
      <sz val="14"/>
    </font>
    <font>
      <name val="Angsana New"/>
      <charset val="222"/>
      <family val="1"/>
      <sz val="14"/>
    </font>
    <font>
      <name val="AngsanaUPC"/>
      <charset val="222"/>
      <family val="1"/>
      <sz val="14"/>
    </font>
    <font>
      <name val="TH SarabunPSK"/>
      <family val="2"/>
      <b val="1"/>
      <color rgb="FFFF0000"/>
      <sz val="16"/>
    </font>
    <font>
      <name val="TH SarabunPSK"/>
      <family val="2"/>
      <sz val="18"/>
    </font>
    <font>
      <name val="TH SarabunPSK"/>
      <family val="2"/>
      <b val="1"/>
      <color rgb="FFC00000"/>
      <sz val="22"/>
    </font>
    <font>
      <name val="TH SarabunPSK"/>
      <family val="2"/>
      <b val="1"/>
      <color theme="9" tint="-0.499984740745262"/>
      <sz val="22"/>
    </font>
    <font>
      <name val="AngsanaUPC"/>
      <family val="1"/>
      <sz val="8"/>
    </font>
    <font>
      <name val="TH SarabunPSK"/>
      <family val="2"/>
      <b val="1"/>
      <color theme="5" tint="-0.249977111117893"/>
      <sz val="22"/>
    </font>
    <font>
      <name val="TH SarabunPSK"/>
      <charset val="222"/>
      <family val="2"/>
      <b val="1"/>
      <sz val="24"/>
    </font>
    <font>
      <name val="TH SarabunPSK"/>
      <charset val="222"/>
      <family val="2"/>
      <color indexed="8"/>
      <sz val="24"/>
    </font>
    <font>
      <name val="TH SarabunPSK"/>
      <charset val="222"/>
      <family val="2"/>
      <sz val="24"/>
    </font>
    <font>
      <name val="TH SarabunPSK"/>
      <charset val="222"/>
      <family val="2"/>
      <color rgb="FF002060"/>
      <sz val="24"/>
    </font>
    <font>
      <name val="TH SarabunPSK"/>
      <b val="1"/>
      <color rgb="FF000000"/>
      <sz val="14"/>
    </font>
  </fonts>
  <fills count="1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F2DBDB"/>
        <bgColor rgb="00F2DBDB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8">
    <xf numFmtId="0" fontId="0" fillId="0" borderId="0"/>
    <xf numFmtId="0" fontId="7" fillId="0" borderId="0"/>
    <xf numFmtId="0" fontId="8" fillId="0" borderId="0"/>
    <xf numFmtId="0" fontId="9" fillId="0" borderId="0"/>
    <xf numFmtId="0" fontId="10" fillId="0" borderId="0"/>
    <xf numFmtId="44" fontId="9" fillId="0" borderId="0"/>
    <xf numFmtId="0" fontId="8" fillId="0" borderId="0"/>
    <xf numFmtId="43" fontId="11" fillId="0" borderId="0"/>
  </cellStyleXfs>
  <cellXfs count="580">
    <xf numFmtId="0" fontId="0" fillId="0" borderId="0" pivotButton="0" quotePrefix="0" xfId="0"/>
    <xf numFmtId="49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5" fillId="0" borderId="13" applyAlignment="1" pivotButton="0" quotePrefix="0" xfId="0">
      <alignment horizontal="right" vertical="center"/>
    </xf>
    <xf numFmtId="0" fontId="5" fillId="0" borderId="7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3" fillId="0" borderId="12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32" applyAlignment="1" pivotButton="0" quotePrefix="0" xfId="0">
      <alignment horizontal="left" vertical="center"/>
    </xf>
    <xf numFmtId="0" fontId="3" fillId="0" borderId="36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vertical="center"/>
    </xf>
    <xf numFmtId="0" fontId="16" fillId="3" borderId="0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14" fillId="5" borderId="11" applyAlignment="1" pivotButton="0" quotePrefix="0" xfId="0">
      <alignment horizontal="center" vertical="top"/>
    </xf>
    <xf numFmtId="0" fontId="20" fillId="0" borderId="12" applyAlignment="1" pivotButton="0" quotePrefix="0" xfId="0">
      <alignment horizontal="center" vertical="center"/>
    </xf>
    <xf numFmtId="0" fontId="20" fillId="0" borderId="12" applyAlignment="1" pivotButton="0" quotePrefix="0" xfId="0">
      <alignment vertical="center"/>
    </xf>
    <xf numFmtId="164" fontId="20" fillId="0" borderId="12" applyAlignment="1" pivotButton="0" quotePrefix="0" xfId="7">
      <alignment vertical="center"/>
    </xf>
    <xf numFmtId="0" fontId="22" fillId="0" borderId="30" applyAlignment="1" pivotButton="0" quotePrefix="0" xfId="0">
      <alignment horizontal="center" vertical="center"/>
    </xf>
    <xf numFmtId="164" fontId="22" fillId="2" borderId="12" applyAlignment="1" pivotButton="0" quotePrefix="0" xfId="7">
      <alignment horizontal="center"/>
    </xf>
    <xf numFmtId="0" fontId="14" fillId="5" borderId="11" applyAlignment="1" pivotButton="0" quotePrefix="0" xfId="0">
      <alignment horizontal="center" vertical="center"/>
    </xf>
    <xf numFmtId="0" fontId="23" fillId="0" borderId="0" pivotButton="0" quotePrefix="0" xfId="0"/>
    <xf numFmtId="0" fontId="21" fillId="0" borderId="0" pivotButton="0" quotePrefix="0" xfId="0"/>
    <xf numFmtId="164" fontId="24" fillId="0" borderId="0" applyAlignment="1" pivotButton="0" quotePrefix="0" xfId="7">
      <alignment vertical="center"/>
    </xf>
    <xf numFmtId="0" fontId="26" fillId="0" borderId="0" applyAlignment="1" pivotButton="0" quotePrefix="0" xfId="0">
      <alignment vertical="center"/>
    </xf>
    <xf numFmtId="164" fontId="25" fillId="0" borderId="10" applyAlignment="1" pivotButton="0" quotePrefix="0" xfId="7">
      <alignment vertical="center"/>
    </xf>
    <xf numFmtId="164" fontId="19" fillId="0" borderId="0" applyAlignment="1" pivotButton="0" quotePrefix="0" xfId="7">
      <alignment vertical="center"/>
    </xf>
    <xf numFmtId="0" fontId="19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1" fillId="0" borderId="12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top"/>
    </xf>
    <xf numFmtId="49" fontId="3" fillId="0" borderId="7" applyAlignment="1" pivotButton="0" quotePrefix="0" xfId="0">
      <alignment vertical="center"/>
    </xf>
    <xf numFmtId="0" fontId="17" fillId="0" borderId="13" applyAlignment="1" pivotButton="0" quotePrefix="0" xfId="0">
      <alignment vertical="center"/>
    </xf>
    <xf numFmtId="0" fontId="17" fillId="0" borderId="7" applyAlignment="1" pivotButton="0" quotePrefix="0" xfId="0">
      <alignment vertical="center"/>
    </xf>
    <xf numFmtId="0" fontId="0" fillId="0" borderId="5" pivotButton="0" quotePrefix="0" xfId="0"/>
    <xf numFmtId="0" fontId="35" fillId="0" borderId="0" applyAlignment="1" pivotButton="0" quotePrefix="0" xfId="1">
      <alignment horizontal="center"/>
    </xf>
    <xf numFmtId="0" fontId="4" fillId="0" borderId="8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5" fillId="0" borderId="5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6" fillId="3" borderId="0" applyAlignment="1" pivotButton="0" quotePrefix="0" xfId="6">
      <alignment vertical="center"/>
    </xf>
    <xf numFmtId="0" fontId="16" fillId="2" borderId="0" applyAlignment="1" pivotButton="0" quotePrefix="0" xfId="6">
      <alignment vertical="center"/>
    </xf>
    <xf numFmtId="0" fontId="17" fillId="0" borderId="0" applyAlignment="1" pivotButton="0" quotePrefix="0" xfId="0">
      <alignment vertical="center"/>
    </xf>
    <xf numFmtId="0" fontId="34" fillId="0" borderId="5" applyAlignment="1" pivotButton="0" quotePrefix="0" xfId="0">
      <alignment horizontal="center" vertical="center"/>
    </xf>
    <xf numFmtId="0" fontId="34" fillId="0" borderId="11" applyAlignment="1" pivotButton="0" quotePrefix="0" xfId="6">
      <alignment horizontal="center" vertical="center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6">
      <alignment vertical="center"/>
    </xf>
    <xf numFmtId="0" fontId="3" fillId="0" borderId="0" applyAlignment="1" pivotButton="0" quotePrefix="0" xfId="6">
      <alignment horizontal="center" vertical="center"/>
    </xf>
    <xf numFmtId="0" fontId="3" fillId="0" borderId="0" applyAlignment="1" pivotButton="0" quotePrefix="0" xfId="6">
      <alignment horizontal="left" vertical="center"/>
    </xf>
    <xf numFmtId="49" fontId="5" fillId="0" borderId="13" applyAlignment="1" pivotButton="0" quotePrefix="0" xfId="0">
      <alignment horizontal="center" vertical="center"/>
    </xf>
    <xf numFmtId="0" fontId="37" fillId="0" borderId="0" pivotButton="0" quotePrefix="0" xfId="0"/>
    <xf numFmtId="0" fontId="39" fillId="0" borderId="0" applyAlignment="1" pivotButton="0" quotePrefix="0" xfId="0">
      <alignment vertical="distributed"/>
    </xf>
    <xf numFmtId="3" fontId="37" fillId="0" borderId="18" applyAlignment="1" pivotButton="0" quotePrefix="0" xfId="0">
      <alignment horizontal="center" vertical="distributed"/>
    </xf>
    <xf numFmtId="3" fontId="39" fillId="0" borderId="0" applyAlignment="1" pivotButton="0" quotePrefix="0" xfId="0">
      <alignment vertical="distributed"/>
    </xf>
    <xf numFmtId="3" fontId="37" fillId="0" borderId="0" pivotButton="0" quotePrefix="0" xfId="0"/>
    <xf numFmtId="0" fontId="39" fillId="0" borderId="0" pivotButton="0" quotePrefix="0" xfId="0"/>
    <xf numFmtId="0" fontId="37" fillId="0" borderId="0" applyAlignment="1" pivotButton="0" quotePrefix="0" xfId="0">
      <alignment horizontal="right"/>
    </xf>
    <xf numFmtId="0" fontId="37" fillId="0" borderId="0" applyAlignment="1" pivotButton="0" quotePrefix="0" xfId="0">
      <alignment horizontal="left"/>
    </xf>
    <xf numFmtId="49" fontId="37" fillId="0" borderId="11" applyAlignment="1" pivotButton="0" quotePrefix="0" xfId="0">
      <alignment horizontal="center" vertical="center"/>
    </xf>
    <xf numFmtId="49" fontId="37" fillId="0" borderId="23" applyAlignment="1" pivotButton="0" quotePrefix="0" xfId="0">
      <alignment horizontal="center" vertical="center"/>
    </xf>
    <xf numFmtId="49" fontId="37" fillId="0" borderId="15" applyAlignment="1" pivotButton="0" quotePrefix="0" xfId="0">
      <alignment horizontal="center" vertical="center"/>
    </xf>
    <xf numFmtId="49" fontId="37" fillId="0" borderId="29" applyAlignment="1" pivotButton="0" quotePrefix="0" xfId="0">
      <alignment horizontal="center" vertical="center"/>
    </xf>
    <xf numFmtId="0" fontId="37" fillId="0" borderId="11" applyAlignment="1" pivotButton="0" quotePrefix="0" xfId="0">
      <alignment horizontal="center"/>
    </xf>
    <xf numFmtId="0" fontId="37" fillId="0" borderId="5" applyAlignment="1" pivotButton="0" quotePrefix="0" xfId="0">
      <alignment horizontal="center" vertical="center"/>
    </xf>
    <xf numFmtId="0" fontId="37" fillId="0" borderId="5" applyAlignment="1" pivotButton="0" quotePrefix="0" xfId="0">
      <alignment horizontal="center"/>
    </xf>
    <xf numFmtId="0" fontId="37" fillId="0" borderId="7" applyAlignment="1" pivotButton="0" quotePrefix="0" xfId="0">
      <alignment horizontal="center"/>
    </xf>
    <xf numFmtId="49" fontId="37" fillId="0" borderId="13" applyAlignment="1" pivotButton="0" quotePrefix="0" xfId="0">
      <alignment horizontal="center" vertical="center"/>
    </xf>
    <xf numFmtId="49" fontId="37" fillId="0" borderId="0" applyAlignment="1" pivotButton="0" quotePrefix="0" xfId="0">
      <alignment horizontal="center" vertical="center"/>
    </xf>
    <xf numFmtId="49" fontId="37" fillId="0" borderId="7" applyAlignment="1" pivotButton="0" quotePrefix="0" xfId="0">
      <alignment horizontal="center" vertical="center"/>
    </xf>
    <xf numFmtId="0" fontId="37" fillId="0" borderId="5" pivotButton="0" quotePrefix="0" xfId="0"/>
    <xf numFmtId="0" fontId="37" fillId="0" borderId="8" pivotButton="0" quotePrefix="0" xfId="0"/>
    <xf numFmtId="0" fontId="37" fillId="0" borderId="9" pivotButton="0" quotePrefix="0" xfId="0"/>
    <xf numFmtId="0" fontId="37" fillId="0" borderId="10" pivotButton="0" quotePrefix="0" xfId="0"/>
    <xf numFmtId="0" fontId="37" fillId="0" borderId="6" pivotButton="0" quotePrefix="0" xfId="0"/>
    <xf numFmtId="0" fontId="37" fillId="0" borderId="8" applyAlignment="1" pivotButton="0" quotePrefix="0" xfId="0">
      <alignment horizontal="center"/>
    </xf>
    <xf numFmtId="0" fontId="37" fillId="0" borderId="6" applyAlignment="1" pivotButton="0" quotePrefix="0" xfId="0">
      <alignment horizontal="center"/>
    </xf>
    <xf numFmtId="0" fontId="37" fillId="0" borderId="20" applyAlignment="1" pivotButton="0" quotePrefix="0" xfId="0">
      <alignment horizontal="center"/>
    </xf>
    <xf numFmtId="0" fontId="38" fillId="0" borderId="21" applyAlignment="1" pivotButton="0" quotePrefix="0" xfId="0">
      <alignment horizontal="center"/>
    </xf>
    <xf numFmtId="0" fontId="37" fillId="0" borderId="18" applyAlignment="1" pivotButton="0" quotePrefix="0" xfId="0">
      <alignment horizontal="center"/>
    </xf>
    <xf numFmtId="0" fontId="37" fillId="0" borderId="28" pivotButton="0" quotePrefix="0" xfId="0"/>
    <xf numFmtId="49" fontId="37" fillId="0" borderId="20" applyAlignment="1" pivotButton="0" quotePrefix="0" xfId="0">
      <alignment horizontal="center"/>
    </xf>
    <xf numFmtId="0" fontId="37" fillId="0" borderId="20" pivotButton="0" quotePrefix="0" xfId="0"/>
    <xf numFmtId="0" fontId="37" fillId="0" borderId="19" applyAlignment="1" pivotButton="0" quotePrefix="0" xfId="0">
      <alignment horizontal="center"/>
    </xf>
    <xf numFmtId="0" fontId="37" fillId="0" borderId="19" pivotButton="0" quotePrefix="0" xfId="0"/>
    <xf numFmtId="0" fontId="37" fillId="0" borderId="17" pivotButton="0" quotePrefix="0" xfId="0"/>
    <xf numFmtId="3" fontId="37" fillId="0" borderId="19" applyAlignment="1" pivotButton="0" quotePrefix="0" xfId="0">
      <alignment horizontal="right"/>
    </xf>
    <xf numFmtId="0" fontId="37" fillId="0" borderId="37" applyAlignment="1" pivotButton="0" quotePrefix="0" xfId="0">
      <alignment horizontal="center"/>
    </xf>
    <xf numFmtId="0" fontId="37" fillId="0" borderId="33" pivotButton="0" quotePrefix="0" xfId="0"/>
    <xf numFmtId="0" fontId="37" fillId="0" borderId="37" pivotButton="0" quotePrefix="0" xfId="0"/>
    <xf numFmtId="0" fontId="37" fillId="0" borderId="24" pivotButton="0" quotePrefix="0" xfId="0"/>
    <xf numFmtId="0" fontId="37" fillId="0" borderId="25" pivotButton="0" quotePrefix="0" xfId="0"/>
    <xf numFmtId="3" fontId="36" fillId="0" borderId="35" applyAlignment="1" pivotButton="0" quotePrefix="0" xfId="0">
      <alignment horizontal="right"/>
    </xf>
    <xf numFmtId="0" fontId="37" fillId="0" borderId="26" pivotButton="0" quotePrefix="0" xfId="0"/>
    <xf numFmtId="0" fontId="37" fillId="0" borderId="13" pivotButton="0" quotePrefix="0" xfId="0"/>
    <xf numFmtId="0" fontId="37" fillId="0" borderId="0" applyAlignment="1" pivotButton="0" quotePrefix="0" xfId="0">
      <alignment horizontal="center"/>
    </xf>
    <xf numFmtId="0" fontId="37" fillId="0" borderId="7" pivotButton="0" quotePrefix="0" xfId="0"/>
    <xf numFmtId="0" fontId="37" fillId="0" borderId="13" applyAlignment="1" pivotButton="0" quotePrefix="0" xfId="0">
      <alignment horizontal="right"/>
    </xf>
    <xf numFmtId="0" fontId="37" fillId="0" borderId="7" applyAlignment="1" pivotButton="0" quotePrefix="0" xfId="0">
      <alignment horizontal="left"/>
    </xf>
    <xf numFmtId="0" fontId="37" fillId="0" borderId="13" applyAlignment="1" pivotButton="0" quotePrefix="0" xfId="0">
      <alignment horizontal="center"/>
    </xf>
    <xf numFmtId="49" fontId="37" fillId="0" borderId="1" applyAlignment="1" pivotButton="0" quotePrefix="0" xfId="0">
      <alignment horizontal="center" vertical="center"/>
    </xf>
    <xf numFmtId="49" fontId="37" fillId="0" borderId="2" applyAlignment="1" pivotButton="0" quotePrefix="0" xfId="0">
      <alignment horizontal="center" vertical="center"/>
    </xf>
    <xf numFmtId="49" fontId="37" fillId="0" borderId="3" applyAlignment="1" pivotButton="0" quotePrefix="0" xfId="0">
      <alignment horizontal="center" vertical="center"/>
    </xf>
    <xf numFmtId="49" fontId="37" fillId="0" borderId="4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/>
    </xf>
    <xf numFmtId="49" fontId="37" fillId="0" borderId="3" applyAlignment="1" pivotButton="0" quotePrefix="0" xfId="0">
      <alignment horizontal="center"/>
    </xf>
    <xf numFmtId="49" fontId="37" fillId="0" borderId="1" applyAlignment="1" pivotButton="0" quotePrefix="0" xfId="0">
      <alignment horizontal="center"/>
    </xf>
    <xf numFmtId="0" fontId="38" fillId="0" borderId="19" applyAlignment="1" pivotButton="0" quotePrefix="0" xfId="0">
      <alignment horizontal="center"/>
    </xf>
    <xf numFmtId="3" fontId="36" fillId="0" borderId="27" applyAlignment="1" pivotButton="0" quotePrefix="0" xfId="0">
      <alignment horizontal="right"/>
    </xf>
    <xf numFmtId="3" fontId="37" fillId="0" borderId="0" applyAlignment="1" pivotButton="0" quotePrefix="0" xfId="0">
      <alignment horizontal="center"/>
    </xf>
    <xf numFmtId="0" fontId="4" fillId="0" borderId="11" applyAlignment="1" pivotButton="0" quotePrefix="0" xfId="6">
      <alignment horizontal="center" vertical="center"/>
    </xf>
    <xf numFmtId="0" fontId="4" fillId="0" borderId="5" applyAlignment="1" pivotButton="0" quotePrefix="0" xfId="6">
      <alignment horizontal="center" vertical="center"/>
    </xf>
    <xf numFmtId="0" fontId="4" fillId="0" borderId="23" applyAlignment="1" pivotButton="0" quotePrefix="0" xfId="6">
      <alignment horizontal="center" vertical="center"/>
    </xf>
    <xf numFmtId="0" fontId="4" fillId="0" borderId="5" applyAlignment="1" pivotButton="0" quotePrefix="0" xfId="0">
      <alignment horizontal="center" vertical="center"/>
    </xf>
    <xf numFmtId="16" fontId="4" fillId="0" borderId="34" applyAlignment="1" pivotButton="0" quotePrefix="0" xfId="1">
      <alignment horizontal="center"/>
    </xf>
    <xf numFmtId="49" fontId="3" fillId="0" borderId="34" applyAlignment="1" pivotButton="0" quotePrefix="0" xfId="0">
      <alignment horizontal="center" vertical="center"/>
    </xf>
    <xf numFmtId="49" fontId="3" fillId="0" borderId="12" applyAlignment="1" pivotButton="0" quotePrefix="0" xfId="0">
      <alignment horizontal="center" vertical="center"/>
    </xf>
    <xf numFmtId="16" fontId="4" fillId="0" borderId="12" applyAlignment="1" pivotButton="0" quotePrefix="0" xfId="1">
      <alignment horizontal="center"/>
    </xf>
    <xf numFmtId="3" fontId="20" fillId="0" borderId="12" applyAlignment="1" pivotButton="0" quotePrefix="0" xfId="0">
      <alignment vertical="center"/>
    </xf>
    <xf numFmtId="0" fontId="0" fillId="0" borderId="11" pivotButton="0" quotePrefix="0" xfId="0"/>
    <xf numFmtId="0" fontId="0" fillId="0" borderId="29" pivotButton="0" quotePrefix="0" xfId="0"/>
    <xf numFmtId="0" fontId="3" fillId="0" borderId="8" applyAlignment="1" pivotButton="0" quotePrefix="0" xfId="6">
      <alignment horizontal="center" vertical="center"/>
    </xf>
    <xf numFmtId="0" fontId="20" fillId="0" borderId="8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164" fontId="25" fillId="0" borderId="0" applyAlignment="1" pivotButton="0" quotePrefix="0" xfId="7">
      <alignment vertical="center"/>
    </xf>
    <xf numFmtId="0" fontId="0" fillId="0" borderId="0" applyAlignment="1" pivotButton="0" quotePrefix="0" xfId="0">
      <alignment horizontal="center"/>
    </xf>
    <xf numFmtId="0" fontId="34" fillId="0" borderId="13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34" fillId="0" borderId="7" applyAlignment="1" pivotButton="0" quotePrefix="0" xfId="0">
      <alignment vertical="center"/>
    </xf>
    <xf numFmtId="0" fontId="34" fillId="0" borderId="5" applyAlignment="1" pivotButton="0" quotePrefix="0" xfId="0">
      <alignment vertical="center"/>
    </xf>
    <xf numFmtId="0" fontId="41" fillId="0" borderId="5" applyAlignment="1" pivotButton="0" quotePrefix="0" xfId="0">
      <alignment vertical="center"/>
    </xf>
    <xf numFmtId="0" fontId="4" fillId="0" borderId="11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29" applyAlignment="1" pivotButton="0" quotePrefix="0" xfId="0">
      <alignment horizontal="center"/>
    </xf>
    <xf numFmtId="3" fontId="37" fillId="0" borderId="37" applyAlignment="1" pivotButton="0" quotePrefix="0" xfId="0">
      <alignment horizontal="right"/>
    </xf>
    <xf numFmtId="49" fontId="5" fillId="0" borderId="5" applyAlignment="1" pivotButton="0" quotePrefix="0" xfId="0">
      <alignment horizontal="center" vertical="center"/>
    </xf>
    <xf numFmtId="0" fontId="0" fillId="0" borderId="15" pivotButton="0" quotePrefix="0" xfId="0"/>
    <xf numFmtId="0" fontId="5" fillId="0" borderId="11" applyAlignment="1" pivotButton="0" quotePrefix="0" xfId="0">
      <alignment horizontal="center" vertical="center"/>
    </xf>
    <xf numFmtId="0" fontId="3" fillId="0" borderId="23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4" fillId="0" borderId="7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164" fontId="25" fillId="0" borderId="0" applyAlignment="1" pivotButton="0" quotePrefix="0" xfId="7">
      <alignment vertical="center"/>
    </xf>
    <xf numFmtId="164" fontId="25" fillId="0" borderId="10" applyAlignment="1" pivotButton="0" quotePrefix="0" xfId="7">
      <alignment vertical="center"/>
    </xf>
    <xf numFmtId="164" fontId="25" fillId="0" borderId="0" applyAlignment="1" pivotButton="0" quotePrefix="0" xfId="7">
      <alignment vertical="center"/>
    </xf>
    <xf numFmtId="0" fontId="27" fillId="0" borderId="0" applyAlignment="1" pivotButton="0" quotePrefix="0" xfId="0">
      <alignment horizontal="center" vertical="center"/>
    </xf>
    <xf numFmtId="164" fontId="18" fillId="0" borderId="0" applyAlignment="1" pivotButton="0" quotePrefix="0" xfId="7">
      <alignment vertical="center"/>
    </xf>
    <xf numFmtId="164" fontId="28" fillId="0" borderId="0" applyAlignment="1" pivotButton="0" quotePrefix="0" xfId="7">
      <alignment vertical="center"/>
    </xf>
    <xf numFmtId="164" fontId="28" fillId="0" borderId="0" applyAlignment="1" pivotButton="0" quotePrefix="0" xfId="7">
      <alignment horizontal="center" vertical="center"/>
    </xf>
    <xf numFmtId="164" fontId="24" fillId="0" borderId="0" applyAlignment="1" pivotButton="0" quotePrefix="0" xfId="7">
      <alignment vertical="center"/>
    </xf>
    <xf numFmtId="0" fontId="27" fillId="0" borderId="0" pivotButton="0" quotePrefix="0" xfId="0"/>
    <xf numFmtId="164" fontId="27" fillId="0" borderId="0" applyAlignment="1" pivotButton="0" quotePrefix="0" xfId="7">
      <alignment horizontal="center" vertical="center"/>
    </xf>
    <xf numFmtId="0" fontId="27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164" fontId="27" fillId="0" borderId="0" applyAlignment="1" pivotButton="0" quotePrefix="0" xfId="0">
      <alignment horizontal="center" vertical="center"/>
    </xf>
    <xf numFmtId="164" fontId="28" fillId="0" borderId="0" applyAlignment="1" pivotButton="0" quotePrefix="0" xfId="7">
      <alignment horizontal="left" vertical="center"/>
    </xf>
    <xf numFmtId="0" fontId="27" fillId="0" borderId="38" applyAlignment="1" pivotButton="0" quotePrefix="0" xfId="0">
      <alignment vertical="center"/>
    </xf>
    <xf numFmtId="164" fontId="27" fillId="0" borderId="0" applyAlignment="1" pivotButton="0" quotePrefix="0" xfId="0">
      <alignment vertical="center"/>
    </xf>
    <xf numFmtId="0" fontId="38" fillId="0" borderId="17" applyAlignment="1" pivotButton="0" quotePrefix="0" xfId="0">
      <alignment horizontal="center"/>
    </xf>
    <xf numFmtId="0" fontId="3" fillId="0" borderId="15" applyAlignment="1" pivotButton="0" quotePrefix="0" xfId="6">
      <alignment horizontal="center" vertical="center"/>
    </xf>
    <xf numFmtId="0" fontId="38" fillId="0" borderId="37" applyAlignment="1" pivotButton="0" quotePrefix="0" xfId="0">
      <alignment horizontal="center"/>
    </xf>
    <xf numFmtId="0" fontId="20" fillId="0" borderId="0" applyAlignment="1" pivotButton="0" quotePrefix="0" xfId="0">
      <alignment vertical="center"/>
    </xf>
    <xf numFmtId="164" fontId="20" fillId="0" borderId="0" applyAlignment="1" pivotButton="0" quotePrefix="0" xfId="7">
      <alignment vertical="center"/>
    </xf>
    <xf numFmtId="3" fontId="20" fillId="0" borderId="0" applyAlignment="1" pivotButton="0" quotePrefix="0" xfId="0">
      <alignment vertical="center"/>
    </xf>
    <xf numFmtId="164" fontId="20" fillId="0" borderId="10" applyAlignment="1" pivotButton="0" quotePrefix="0" xfId="7">
      <alignment vertical="center"/>
    </xf>
    <xf numFmtId="0" fontId="21" fillId="4" borderId="12" applyAlignment="1" pivotButton="0" quotePrefix="0" xfId="0">
      <alignment vertical="center"/>
    </xf>
    <xf numFmtId="0" fontId="21" fillId="9" borderId="12" applyAlignment="1" pivotButton="0" quotePrefix="0" xfId="0">
      <alignment vertical="center"/>
    </xf>
    <xf numFmtId="0" fontId="21" fillId="10" borderId="12" applyAlignment="1" pivotButton="0" quotePrefix="0" xfId="0">
      <alignment vertical="center"/>
    </xf>
    <xf numFmtId="164" fontId="28" fillId="0" borderId="0" applyAlignment="1" pivotButton="0" quotePrefix="0" xfId="7">
      <alignment horizontal="center" vertical="center"/>
    </xf>
    <xf numFmtId="164" fontId="28" fillId="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/>
    </xf>
    <xf numFmtId="0" fontId="28" fillId="8" borderId="0" applyAlignment="1" pivotButton="0" quotePrefix="0" xfId="0">
      <alignment horizontal="center" vertical="center"/>
    </xf>
    <xf numFmtId="164" fontId="37" fillId="0" borderId="20" applyAlignment="1" pivotButton="0" quotePrefix="0" xfId="7">
      <alignment horizontal="right"/>
    </xf>
    <xf numFmtId="164" fontId="37" fillId="0" borderId="37" applyAlignment="1" pivotButton="0" quotePrefix="0" xfId="7">
      <alignment horizontal="right"/>
    </xf>
    <xf numFmtId="164" fontId="37" fillId="0" borderId="19" applyAlignment="1" pivotButton="0" quotePrefix="0" xfId="7">
      <alignment horizontal="center"/>
    </xf>
    <xf numFmtId="164" fontId="37" fillId="0" borderId="18" applyAlignment="1" pivotButton="0" quotePrefix="0" xfId="7">
      <alignment horizontal="center"/>
    </xf>
    <xf numFmtId="164" fontId="37" fillId="0" borderId="20" applyAlignment="1" pivotButton="0" quotePrefix="0" xfId="7">
      <alignment horizontal="center"/>
    </xf>
    <xf numFmtId="0" fontId="5" fillId="0" borderId="0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3" fillId="0" borderId="5" applyAlignment="1" pivotButton="0" quotePrefix="0" xfId="6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23" applyAlignment="1" pivotButton="0" quotePrefix="0" xfId="6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29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3" applyAlignment="1" pivotButton="0" quotePrefix="0" xfId="6">
      <alignment horizontal="center" vertical="center"/>
    </xf>
    <xf numFmtId="0" fontId="3" fillId="0" borderId="7" applyAlignment="1" pivotButton="0" quotePrefix="0" xfId="6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0" applyAlignment="1" pivotButton="0" quotePrefix="0" xfId="0">
      <alignment vertical="center"/>
    </xf>
    <xf numFmtId="0" fontId="0" fillId="0" borderId="7" pivotButton="0" quotePrefix="0" xfId="0"/>
    <xf numFmtId="0" fontId="0" fillId="0" borderId="0" pivotButton="0" quotePrefix="0" xfId="0"/>
    <xf numFmtId="0" fontId="3" fillId="0" borderId="11" applyAlignment="1" pivotButton="0" quotePrefix="0" xfId="6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23" applyAlignment="1" pivotButton="0" quotePrefix="0" xfId="6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11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3" applyAlignment="1" pivotButton="0" quotePrefix="0" xfId="6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5" applyAlignment="1" pivotButton="0" quotePrefix="0" xfId="6">
      <alignment horizontal="center" vertical="center"/>
    </xf>
    <xf numFmtId="0" fontId="3" fillId="0" borderId="11" applyAlignment="1" pivotButton="0" quotePrefix="0" xfId="6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1" applyAlignment="1" pivotButton="0" quotePrefix="0" xfId="6">
      <alignment horizontal="center" vertical="center"/>
    </xf>
    <xf numFmtId="0" fontId="3" fillId="0" borderId="5" applyAlignment="1" pivotButton="0" quotePrefix="0" xfId="6">
      <alignment horizontal="center" vertical="center"/>
    </xf>
    <xf numFmtId="0" fontId="0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3" fillId="0" borderId="5" applyAlignment="1" pivotButton="0" quotePrefix="0" xfId="6">
      <alignment vertical="center"/>
    </xf>
    <xf numFmtId="0" fontId="0" fillId="0" borderId="5" pivotButton="0" quotePrefix="0" xfId="0"/>
    <xf numFmtId="0" fontId="28" fillId="0" borderId="0" applyAlignment="1" pivotButton="0" quotePrefix="0" xfId="0">
      <alignment horizontal="center" vertical="center"/>
    </xf>
    <xf numFmtId="164" fontId="28" fillId="0" borderId="39" applyAlignment="1" pivotButton="0" quotePrefix="0" xfId="0">
      <alignment horizontal="center" vertical="center"/>
    </xf>
    <xf numFmtId="0" fontId="28" fillId="0" borderId="39" applyAlignment="1" pivotButton="0" quotePrefix="0" xfId="0">
      <alignment horizontal="center" vertical="center"/>
    </xf>
    <xf numFmtId="0" fontId="37" fillId="0" borderId="0" pivotButton="0" quotePrefix="0" xfId="0"/>
    <xf numFmtId="0" fontId="36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47" fillId="0" borderId="0" applyAlignment="1" pivotButton="0" quotePrefix="0" xfId="0">
      <alignment vertical="top"/>
    </xf>
    <xf numFmtId="0" fontId="48" fillId="0" borderId="23" applyAlignment="1" pivotButton="0" quotePrefix="0" xfId="0">
      <alignment horizontal="center" vertical="top"/>
    </xf>
    <xf numFmtId="0" fontId="49" fillId="0" borderId="15" applyAlignment="1" pivotButton="0" quotePrefix="0" xfId="0">
      <alignment horizontal="center"/>
    </xf>
    <xf numFmtId="0" fontId="49" fillId="0" borderId="29" applyAlignment="1" pivotButton="0" quotePrefix="0" xfId="0">
      <alignment horizontal="center"/>
    </xf>
    <xf numFmtId="0" fontId="47" fillId="13" borderId="0" applyAlignment="1" pivotButton="0" quotePrefix="0" xfId="0">
      <alignment horizontal="center"/>
    </xf>
    <xf numFmtId="0" fontId="49" fillId="0" borderId="0" pivotButton="0" quotePrefix="0" xfId="0"/>
    <xf numFmtId="0" fontId="49" fillId="0" borderId="0" applyAlignment="1" pivotButton="0" quotePrefix="0" xfId="0">
      <alignment vertical="top"/>
    </xf>
    <xf numFmtId="0" fontId="50" fillId="0" borderId="13" applyAlignment="1" pivotButton="0" quotePrefix="0" xfId="0">
      <alignment horizontal="center" vertical="top"/>
    </xf>
    <xf numFmtId="49" fontId="50" fillId="0" borderId="0" applyAlignment="1" pivotButton="0" quotePrefix="0" xfId="0">
      <alignment horizontal="center"/>
    </xf>
    <xf numFmtId="0" fontId="50" fillId="0" borderId="7" applyAlignment="1" pivotButton="0" quotePrefix="0" xfId="0">
      <alignment horizontal="center"/>
    </xf>
    <xf numFmtId="0" fontId="50" fillId="0" borderId="9" applyAlignment="1" pivotButton="0" quotePrefix="0" xfId="0">
      <alignment vertical="top"/>
    </xf>
    <xf numFmtId="0" fontId="50" fillId="0" borderId="10" applyAlignment="1" pivotButton="0" quotePrefix="0" xfId="0">
      <alignment vertical="top"/>
    </xf>
    <xf numFmtId="0" fontId="50" fillId="0" borderId="10" pivotButton="0" quotePrefix="0" xfId="0"/>
    <xf numFmtId="0" fontId="50" fillId="0" borderId="6" applyAlignment="1" pivotButton="0" quotePrefix="0" xfId="0">
      <alignment horizontal="center"/>
    </xf>
    <xf numFmtId="0" fontId="47" fillId="0" borderId="13" applyAlignment="1" pivotButton="0" quotePrefix="0" xfId="0">
      <alignment vertical="center"/>
    </xf>
    <xf numFmtId="0" fontId="47" fillId="0" borderId="0" applyAlignment="1" pivotButton="0" quotePrefix="0" xfId="0">
      <alignment horizontal="center"/>
    </xf>
    <xf numFmtId="0" fontId="50" fillId="0" borderId="0" applyAlignment="1" pivotButton="0" quotePrefix="0" xfId="0">
      <alignment horizontal="left" indent="1"/>
    </xf>
    <xf numFmtId="0" fontId="47" fillId="0" borderId="13" applyAlignment="1" pivotButton="0" quotePrefix="0" xfId="0">
      <alignment horizontal="center" vertical="center"/>
    </xf>
    <xf numFmtId="0" fontId="50" fillId="0" borderId="9" applyAlignment="1" pivotButton="0" quotePrefix="0" xfId="0">
      <alignment horizontal="center" vertical="top"/>
    </xf>
    <xf numFmtId="49" fontId="50" fillId="0" borderId="10" applyAlignment="1" pivotButton="0" quotePrefix="0" xfId="0">
      <alignment horizontal="center"/>
    </xf>
    <xf numFmtId="0" fontId="3" fillId="0" borderId="29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/>
    </xf>
    <xf numFmtId="0" fontId="0" fillId="0" borderId="0" pivotButton="0" quotePrefix="0" xfId="0"/>
    <xf numFmtId="0" fontId="50" fillId="0" borderId="0" applyAlignment="1" pivotButton="0" quotePrefix="0" xfId="0">
      <alignment horizontal="center"/>
    </xf>
    <xf numFmtId="0" fontId="50" fillId="0" borderId="10" applyAlignment="1" pivotButton="0" quotePrefix="0" xfId="0">
      <alignment horizontal="center"/>
    </xf>
    <xf numFmtId="0" fontId="50" fillId="0" borderId="10" applyAlignment="1" pivotButton="0" quotePrefix="0" xfId="0">
      <alignment horizontal="left" indent="1"/>
    </xf>
    <xf numFmtId="0" fontId="5" fillId="0" borderId="23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6">
      <alignment horizontal="center" vertical="center"/>
    </xf>
    <xf numFmtId="0" fontId="3" fillId="0" borderId="7" applyAlignment="1" pivotButton="0" quotePrefix="0" xfId="6">
      <alignment horizontal="center" vertical="center"/>
    </xf>
    <xf numFmtId="0" fontId="3" fillId="0" borderId="23" applyAlignment="1" pivotButton="0" quotePrefix="0" xfId="6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vertical="center"/>
    </xf>
    <xf numFmtId="0" fontId="0" fillId="0" borderId="7" pivotButton="0" quotePrefix="0" xfId="0"/>
    <xf numFmtId="0" fontId="0" fillId="0" borderId="0" pivotButton="0" quotePrefix="0" xfId="0"/>
    <xf numFmtId="0" fontId="3" fillId="0" borderId="5" applyAlignment="1" pivotButton="0" quotePrefix="0" xfId="6">
      <alignment horizontal="center" vertical="center"/>
    </xf>
    <xf numFmtId="0" fontId="3" fillId="0" borderId="11" applyAlignment="1" pivotButton="0" quotePrefix="0" xfId="6">
      <alignment horizontal="center" vertical="center"/>
    </xf>
    <xf numFmtId="0" fontId="3" fillId="0" borderId="13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38" fillId="0" borderId="22" applyAlignment="1" pivotButton="0" quotePrefix="0" xfId="0">
      <alignment horizontal="center"/>
    </xf>
    <xf numFmtId="0" fontId="39" fillId="0" borderId="11" applyAlignment="1" pivotButton="0" quotePrefix="0" xfId="0">
      <alignment vertical="distributed"/>
    </xf>
    <xf numFmtId="0" fontId="39" fillId="0" borderId="19" pivotButton="0" quotePrefix="0" xfId="0"/>
    <xf numFmtId="0" fontId="5" fillId="0" borderId="23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4" fillId="0" borderId="9" applyAlignment="1" pivotButton="0" quotePrefix="0" xfId="0">
      <alignment horizontal="left"/>
    </xf>
    <xf numFmtId="0" fontId="4" fillId="0" borderId="10" applyAlignment="1" pivotButton="0" quotePrefix="0" xfId="0">
      <alignment horizontal="left"/>
    </xf>
    <xf numFmtId="0" fontId="4" fillId="0" borderId="6" applyAlignment="1" pivotButton="0" quotePrefix="0" xfId="0">
      <alignment horizontal="left"/>
    </xf>
    <xf numFmtId="3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3" fontId="3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16" applyAlignment="1" pivotButton="0" quotePrefix="0" xfId="0">
      <alignment horizontal="right" vertical="center"/>
    </xf>
    <xf numFmtId="0" fontId="3" fillId="0" borderId="34" applyAlignment="1" pivotButton="0" quotePrefix="0" xfId="0">
      <alignment horizontal="right" vertical="center"/>
    </xf>
    <xf numFmtId="3" fontId="3" fillId="0" borderId="36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5" fillId="0" borderId="13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3" fillId="0" borderId="1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3" fillId="0" borderId="23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23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/>
    </xf>
    <xf numFmtId="0" fontId="3" fillId="0" borderId="29" applyAlignment="1" pivotButton="0" quotePrefix="0" xfId="0">
      <alignment horizontal="left" vertical="center"/>
    </xf>
    <xf numFmtId="0" fontId="4" fillId="0" borderId="23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23" applyAlignment="1" pivotButton="0" quotePrefix="0" xfId="6">
      <alignment horizontal="center" vertical="center"/>
    </xf>
    <xf numFmtId="0" fontId="3" fillId="0" borderId="29" applyAlignment="1" pivotButton="0" quotePrefix="0" xfId="6">
      <alignment horizontal="center" vertical="center"/>
    </xf>
    <xf numFmtId="0" fontId="3" fillId="0" borderId="13" applyAlignment="1" pivotButton="0" quotePrefix="0" xfId="6">
      <alignment horizontal="center" vertical="center"/>
    </xf>
    <xf numFmtId="0" fontId="3" fillId="0" borderId="7" applyAlignment="1" pivotButton="0" quotePrefix="0" xfId="6">
      <alignment horizontal="center" vertical="center"/>
    </xf>
    <xf numFmtId="49" fontId="3" fillId="0" borderId="16" applyAlignment="1" pivotButton="0" quotePrefix="0" xfId="0">
      <alignment horizontal="center" vertical="center"/>
    </xf>
    <xf numFmtId="49" fontId="3" fillId="0" borderId="3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7" pivotButton="0" quotePrefix="0" xfId="0"/>
    <xf numFmtId="0" fontId="0" fillId="0" borderId="0" pivotButton="0" quotePrefix="0" xfId="0"/>
    <xf numFmtId="0" fontId="3" fillId="0" borderId="5" applyAlignment="1" pivotButton="0" quotePrefix="0" xfId="6">
      <alignment horizontal="center" vertical="center"/>
    </xf>
    <xf numFmtId="49" fontId="4" fillId="0" borderId="16" applyAlignment="1" pivotButton="0" quotePrefix="0" xfId="1">
      <alignment horizontal="center"/>
    </xf>
    <xf numFmtId="49" fontId="4" fillId="0" borderId="30" applyAlignment="1" pivotButton="0" quotePrefix="0" xfId="1">
      <alignment horizontal="center"/>
    </xf>
    <xf numFmtId="0" fontId="2" fillId="0" borderId="15" applyAlignment="1" pivotButton="0" quotePrefix="0" xfId="0">
      <alignment horizontal="center" vertical="center"/>
    </xf>
    <xf numFmtId="0" fontId="3" fillId="0" borderId="10" applyAlignment="1" pivotButton="0" quotePrefix="0" xfId="0">
      <alignment horizontal="left" vertical="center"/>
    </xf>
    <xf numFmtId="0" fontId="3" fillId="0" borderId="11" applyAlignment="1" pivotButton="0" quotePrefix="0" xfId="6">
      <alignment horizontal="center" vertical="center"/>
    </xf>
    <xf numFmtId="0" fontId="3" fillId="0" borderId="10" applyAlignment="1" pivotButton="0" quotePrefix="0" xfId="0">
      <alignment vertical="center"/>
    </xf>
    <xf numFmtId="0" fontId="16" fillId="3" borderId="13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49" fontId="3" fillId="0" borderId="13" applyAlignment="1" pivotButton="0" quotePrefix="0" xfId="0">
      <alignment horizontal="center" vertical="center"/>
    </xf>
    <xf numFmtId="49" fontId="3" fillId="0" borderId="7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top"/>
    </xf>
    <xf numFmtId="0" fontId="13" fillId="0" borderId="0" applyAlignment="1" pivotButton="0" quotePrefix="0" xfId="0">
      <alignment horizontal="left" vertical="top"/>
    </xf>
    <xf numFmtId="0" fontId="13" fillId="0" borderId="13" applyAlignment="1" pivotButton="0" quotePrefix="0" xfId="0">
      <alignment horizontal="left" vertical="top"/>
    </xf>
    <xf numFmtId="0" fontId="13" fillId="0" borderId="7" applyAlignment="1" pivotButton="0" quotePrefix="0" xfId="0">
      <alignment horizontal="left" vertical="top"/>
    </xf>
    <xf numFmtId="0" fontId="13" fillId="0" borderId="13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3" fontId="3" fillId="0" borderId="13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3" fontId="3" fillId="0" borderId="7" applyAlignment="1" pivotButton="0" quotePrefix="0" xfId="0">
      <alignment horizontal="center" vertical="center"/>
    </xf>
    <xf numFmtId="0" fontId="13" fillId="0" borderId="13" applyAlignment="1" pivotButton="0" quotePrefix="0" xfId="0">
      <alignment vertical="top"/>
    </xf>
    <xf numFmtId="0" fontId="13" fillId="0" borderId="7" applyAlignment="1" pivotButton="0" quotePrefix="0" xfId="0">
      <alignment vertical="top"/>
    </xf>
    <xf numFmtId="0" fontId="13" fillId="0" borderId="13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7" applyAlignment="1" pivotButton="0" quotePrefix="0" xfId="0">
      <alignment horizontal="left" vertical="center"/>
    </xf>
    <xf numFmtId="0" fontId="13" fillId="0" borderId="13" applyAlignment="1" pivotButton="0" quotePrefix="0" xfId="0">
      <alignment vertical="center"/>
    </xf>
    <xf numFmtId="0" fontId="13" fillId="0" borderId="7" applyAlignment="1" pivotButton="0" quotePrefix="0" xfId="0">
      <alignment vertical="center"/>
    </xf>
    <xf numFmtId="0" fontId="3" fillId="0" borderId="15" applyAlignment="1" pivotButton="0" quotePrefix="0" xfId="0">
      <alignment horizontal="center" vertical="center"/>
    </xf>
    <xf numFmtId="3" fontId="3" fillId="0" borderId="23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top"/>
    </xf>
    <xf numFmtId="0" fontId="13" fillId="0" borderId="29" applyAlignment="1" pivotButton="0" quotePrefix="0" xfId="0">
      <alignment horizontal="center" vertical="top"/>
    </xf>
    <xf numFmtId="0" fontId="5" fillId="0" borderId="16" applyAlignment="1" pivotButton="0" quotePrefix="0" xfId="0">
      <alignment horizontal="center"/>
    </xf>
    <xf numFmtId="0" fontId="5" fillId="0" borderId="30" applyAlignment="1" pivotButton="0" quotePrefix="0" xfId="0">
      <alignment horizontal="center"/>
    </xf>
    <xf numFmtId="0" fontId="5" fillId="0" borderId="34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3" fillId="11" borderId="13" applyAlignment="1" pivotButton="0" quotePrefix="0" xfId="6">
      <alignment horizontal="center" vertical="center"/>
    </xf>
    <xf numFmtId="0" fontId="3" fillId="11" borderId="7" applyAlignment="1" pivotButton="0" quotePrefix="0" xfId="6">
      <alignment horizontal="center" vertical="center"/>
    </xf>
    <xf numFmtId="164" fontId="28" fillId="0" borderId="0" applyAlignment="1" pivotButton="0" quotePrefix="0" xfId="7">
      <alignment horizontal="center" vertical="center"/>
    </xf>
    <xf numFmtId="164" fontId="28" fillId="0" borderId="0" applyAlignment="1" pivotButton="0" quotePrefix="0" xfId="0">
      <alignment horizontal="center" vertical="center"/>
    </xf>
    <xf numFmtId="164" fontId="18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5" fillId="5" borderId="16" applyAlignment="1" pivotButton="0" quotePrefix="0" xfId="0">
      <alignment horizontal="center"/>
    </xf>
    <xf numFmtId="0" fontId="15" fillId="5" borderId="30" applyAlignment="1" pivotButton="0" quotePrefix="0" xfId="0">
      <alignment horizontal="center"/>
    </xf>
    <xf numFmtId="164" fontId="30" fillId="2" borderId="16" applyAlignment="1" pivotButton="0" quotePrefix="0" xfId="0">
      <alignment horizontal="left" vertical="center" indent="1"/>
    </xf>
    <xf numFmtId="164" fontId="30" fillId="2" borderId="34" applyAlignment="1" pivotButton="0" quotePrefix="0" xfId="0">
      <alignment horizontal="left" vertical="center" indent="1"/>
    </xf>
    <xf numFmtId="164" fontId="30" fillId="2" borderId="30" applyAlignment="1" pivotButton="0" quotePrefix="0" xfId="0">
      <alignment horizontal="left" vertical="center" indent="1"/>
    </xf>
    <xf numFmtId="0" fontId="0" fillId="0" borderId="16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164" fontId="30" fillId="12" borderId="16" applyAlignment="1" pivotButton="0" quotePrefix="0" xfId="0">
      <alignment horizontal="left" vertical="center" indent="1"/>
    </xf>
    <xf numFmtId="164" fontId="30" fillId="12" borderId="34" applyAlignment="1" pivotButton="0" quotePrefix="0" xfId="0">
      <alignment horizontal="left" vertical="center" indent="1"/>
    </xf>
    <xf numFmtId="164" fontId="30" fillId="12" borderId="30" applyAlignment="1" pivotButton="0" quotePrefix="0" xfId="0">
      <alignment horizontal="left" vertical="center" indent="1"/>
    </xf>
    <xf numFmtId="164" fontId="21" fillId="7" borderId="34" applyAlignment="1" pivotButton="0" quotePrefix="0" xfId="0">
      <alignment horizontal="center" vertical="center"/>
    </xf>
    <xf numFmtId="164" fontId="21" fillId="7" borderId="3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0" pivotButton="0" quotePrefix="0" xfId="0"/>
    <xf numFmtId="164" fontId="21" fillId="7" borderId="16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30" applyAlignment="1" pivotButton="0" quotePrefix="0" xfId="0">
      <alignment horizontal="center" vertical="center"/>
    </xf>
    <xf numFmtId="0" fontId="31" fillId="5" borderId="23" applyAlignment="1" pivotButton="0" quotePrefix="0" xfId="0">
      <alignment horizontal="center" vertical="center"/>
    </xf>
    <xf numFmtId="0" fontId="31" fillId="5" borderId="29" applyAlignment="1" pivotButton="0" quotePrefix="0" xfId="0">
      <alignment horizontal="center" vertical="center"/>
    </xf>
    <xf numFmtId="0" fontId="31" fillId="5" borderId="9" applyAlignment="1" pivotButton="0" quotePrefix="0" xfId="0">
      <alignment horizontal="center" vertical="center"/>
    </xf>
    <xf numFmtId="0" fontId="31" fillId="5" borderId="6" applyAlignment="1" pivotButton="0" quotePrefix="0" xfId="0">
      <alignment horizontal="center" vertical="center"/>
    </xf>
    <xf numFmtId="0" fontId="29" fillId="5" borderId="16" applyAlignment="1" pivotButton="0" quotePrefix="0" xfId="0">
      <alignment horizontal="center"/>
    </xf>
    <xf numFmtId="0" fontId="29" fillId="5" borderId="34" applyAlignment="1" pivotButton="0" quotePrefix="0" xfId="0">
      <alignment horizontal="center"/>
    </xf>
    <xf numFmtId="0" fontId="29" fillId="5" borderId="30" applyAlignment="1" pivotButton="0" quotePrefix="0" xfId="0">
      <alignment horizontal="center"/>
    </xf>
    <xf numFmtId="0" fontId="21" fillId="5" borderId="11" applyAlignment="1" pivotButton="0" quotePrefix="0" xfId="0">
      <alignment horizontal="center" vertical="center"/>
    </xf>
    <xf numFmtId="0" fontId="21" fillId="5" borderId="8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15" fillId="5" borderId="11" applyAlignment="1" pivotButton="0" quotePrefix="0" xfId="0">
      <alignment horizontal="center" vertical="center"/>
    </xf>
    <xf numFmtId="0" fontId="15" fillId="5" borderId="8" applyAlignment="1" pivotButton="0" quotePrefix="0" xfId="0">
      <alignment horizontal="center" vertical="center"/>
    </xf>
    <xf numFmtId="0" fontId="15" fillId="5" borderId="16" applyAlignment="1" pivotButton="0" quotePrefix="0" xfId="0">
      <alignment horizontal="center" vertical="center"/>
    </xf>
    <xf numFmtId="0" fontId="15" fillId="5" borderId="3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164" fontId="24" fillId="0" borderId="0" applyAlignment="1" pivotButton="0" quotePrefix="0" xfId="7">
      <alignment horizontal="left" vertical="center"/>
    </xf>
    <xf numFmtId="0" fontId="46" fillId="0" borderId="0" applyAlignment="1" pivotButton="0" quotePrefix="0" xfId="0">
      <alignment horizontal="left" vertical="center"/>
    </xf>
    <xf numFmtId="164" fontId="46" fillId="0" borderId="0" applyAlignment="1" pivotButton="0" quotePrefix="0" xfId="7">
      <alignment horizontal="left" vertical="center"/>
    </xf>
    <xf numFmtId="0" fontId="14" fillId="7" borderId="16" applyAlignment="1" pivotButton="0" quotePrefix="0" xfId="0">
      <alignment horizontal="center" vertical="center"/>
    </xf>
    <xf numFmtId="0" fontId="14" fillId="7" borderId="30" applyAlignment="1" pivotButton="0" quotePrefix="0" xfId="0">
      <alignment horizontal="center" vertical="center"/>
    </xf>
    <xf numFmtId="0" fontId="14" fillId="6" borderId="16" applyAlignment="1" pivotButton="0" quotePrefix="0" xfId="0">
      <alignment horizontal="center" vertical="center"/>
    </xf>
    <xf numFmtId="0" fontId="14" fillId="6" borderId="30" applyAlignment="1" pivotButton="0" quotePrefix="0" xfId="0">
      <alignment horizontal="center" vertical="center"/>
    </xf>
    <xf numFmtId="0" fontId="29" fillId="5" borderId="11" applyAlignment="1" pivotButton="0" quotePrefix="0" xfId="0">
      <alignment horizontal="center" vertical="center"/>
    </xf>
    <xf numFmtId="0" fontId="29" fillId="5" borderId="8" applyAlignment="1" pivotButton="0" quotePrefix="0" xfId="0">
      <alignment horizontal="center" vertical="center"/>
    </xf>
    <xf numFmtId="0" fontId="32" fillId="5" borderId="11" applyAlignment="1" pivotButton="0" quotePrefix="0" xfId="0">
      <alignment horizontal="center" vertical="center"/>
    </xf>
    <xf numFmtId="0" fontId="32" fillId="5" borderId="8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/>
    </xf>
    <xf numFmtId="164" fontId="28" fillId="8" borderId="39" applyAlignment="1" pivotButton="0" quotePrefix="0" xfId="0">
      <alignment horizontal="center" vertical="center"/>
    </xf>
    <xf numFmtId="0" fontId="28" fillId="8" borderId="39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7" fillId="0" borderId="25" applyAlignment="1" pivotButton="0" quotePrefix="0" xfId="0">
      <alignment horizontal="center"/>
    </xf>
    <xf numFmtId="0" fontId="37" fillId="0" borderId="26" applyAlignment="1" pivotButton="0" quotePrefix="0" xfId="0">
      <alignment horizontal="center"/>
    </xf>
    <xf numFmtId="0" fontId="37" fillId="0" borderId="16" pivotButton="0" quotePrefix="0" xfId="0"/>
    <xf numFmtId="0" fontId="37" fillId="0" borderId="34" pivotButton="0" quotePrefix="0" xfId="0"/>
    <xf numFmtId="0" fontId="37" fillId="0" borderId="30" pivotButton="0" quotePrefix="0" xfId="0"/>
    <xf numFmtId="0" fontId="37" fillId="0" borderId="13" pivotButton="0" quotePrefix="0" xfId="0"/>
    <xf numFmtId="0" fontId="37" fillId="0" borderId="0" pivotButton="0" quotePrefix="0" xfId="0"/>
    <xf numFmtId="0" fontId="37" fillId="0" borderId="7" pivotButton="0" quotePrefix="0" xfId="0"/>
    <xf numFmtId="0" fontId="37" fillId="0" borderId="9" applyAlignment="1" pivotButton="0" quotePrefix="0" xfId="0">
      <alignment horizontal="center"/>
    </xf>
    <xf numFmtId="0" fontId="37" fillId="0" borderId="10" applyAlignment="1" pivotButton="0" quotePrefix="0" xfId="0">
      <alignment horizontal="center"/>
    </xf>
    <xf numFmtId="0" fontId="37" fillId="0" borderId="6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37" fillId="0" borderId="13" applyAlignment="1" pivotButton="0" quotePrefix="0" xfId="0">
      <alignment horizontal="center"/>
    </xf>
    <xf numFmtId="0" fontId="37" fillId="0" borderId="7" applyAlignment="1" pivotButton="0" quotePrefix="0" xfId="0">
      <alignment horizontal="center"/>
    </xf>
    <xf numFmtId="0" fontId="37" fillId="0" borderId="23" applyAlignment="1" pivotButton="0" quotePrefix="0" xfId="0">
      <alignment horizontal="center"/>
    </xf>
    <xf numFmtId="0" fontId="37" fillId="0" borderId="15" applyAlignment="1" pivotButton="0" quotePrefix="0" xfId="0">
      <alignment horizontal="center"/>
    </xf>
    <xf numFmtId="0" fontId="37" fillId="0" borderId="29" applyAlignment="1" pivotButton="0" quotePrefix="0" xfId="0">
      <alignment horizontal="center"/>
    </xf>
    <xf numFmtId="0" fontId="37" fillId="0" borderId="8" applyAlignment="1" pivotButton="0" quotePrefix="0" xfId="0">
      <alignment horizontal="center"/>
    </xf>
    <xf numFmtId="0" fontId="37" fillId="0" borderId="2" applyAlignment="1" pivotButton="0" quotePrefix="0" xfId="0">
      <alignment horizontal="center" vertical="center"/>
    </xf>
    <xf numFmtId="0" fontId="37" fillId="0" borderId="3" applyAlignment="1" pivotButton="0" quotePrefix="0" xfId="0">
      <alignment horizontal="center" vertical="center"/>
    </xf>
    <xf numFmtId="0" fontId="37" fillId="0" borderId="4" applyAlignment="1" pivotButton="0" quotePrefix="0" xfId="0">
      <alignment horizontal="center" vertical="center"/>
    </xf>
    <xf numFmtId="0" fontId="37" fillId="0" borderId="5" applyAlignment="1" pivotButton="0" quotePrefix="0" xfId="0">
      <alignment horizontal="center"/>
    </xf>
    <xf numFmtId="0" fontId="36" fillId="0" borderId="0" applyAlignment="1" pivotButton="0" quotePrefix="0" xfId="0">
      <alignment horizontal="center"/>
    </xf>
    <xf numFmtId="0" fontId="37" fillId="0" borderId="31" applyAlignment="1" pivotButton="0" quotePrefix="0" xfId="0">
      <alignment horizontal="center"/>
    </xf>
    <xf numFmtId="0" fontId="37" fillId="0" borderId="32" applyAlignment="1" pivotButton="0" quotePrefix="0" xfId="0">
      <alignment horizontal="center"/>
    </xf>
    <xf numFmtId="0" fontId="37" fillId="0" borderId="1" applyAlignment="1" pivotButton="0" quotePrefix="0" xfId="0">
      <alignment horizontal="center" vertical="center"/>
    </xf>
    <xf numFmtId="0" fontId="37" fillId="0" borderId="5" applyAlignment="1" pivotButton="0" quotePrefix="0" xfId="0">
      <alignment horizontal="center" vertical="center"/>
    </xf>
    <xf numFmtId="0" fontId="37" fillId="0" borderId="8" applyAlignment="1" pivotButton="0" quotePrefix="0" xfId="0">
      <alignment horizontal="center" vertical="center"/>
    </xf>
    <xf numFmtId="49" fontId="37" fillId="0" borderId="13" applyAlignment="1" pivotButton="0" quotePrefix="0" xfId="0">
      <alignment horizontal="center" vertical="center"/>
    </xf>
    <xf numFmtId="49" fontId="37" fillId="0" borderId="0" applyAlignment="1" pivotButton="0" quotePrefix="0" xfId="0">
      <alignment horizontal="center" vertical="center"/>
    </xf>
    <xf numFmtId="49" fontId="37" fillId="0" borderId="7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37" fillId="0" borderId="16" applyAlignment="1" pivotButton="0" quotePrefix="0" xfId="0">
      <alignment horizontal="center"/>
    </xf>
    <xf numFmtId="0" fontId="37" fillId="0" borderId="34" applyAlignment="1" pivotButton="0" quotePrefix="0" xfId="0">
      <alignment horizontal="center"/>
    </xf>
    <xf numFmtId="0" fontId="37" fillId="0" borderId="30" applyAlignment="1" pivotButton="0" quotePrefix="0" xfId="0">
      <alignment horizontal="center"/>
    </xf>
    <xf numFmtId="0" fontId="37" fillId="0" borderId="11" applyAlignment="1" pivotButton="0" quotePrefix="0" xfId="0">
      <alignment horizontal="center" vertical="center"/>
    </xf>
    <xf numFmtId="0" fontId="37" fillId="0" borderId="13" applyAlignment="1" pivotButton="0" quotePrefix="0" xfId="0">
      <alignment horizontal="right"/>
    </xf>
    <xf numFmtId="0" fontId="40" fillId="0" borderId="0" pivotButton="0" quotePrefix="0" xfId="0"/>
    <xf numFmtId="0" fontId="40" fillId="0" borderId="7" pivotButton="0" quotePrefix="0" xfId="0"/>
    <xf numFmtId="0" fontId="37" fillId="0" borderId="9" pivotButton="0" quotePrefix="0" xfId="0"/>
    <xf numFmtId="0" fontId="40" fillId="0" borderId="10" pivotButton="0" quotePrefix="0" xfId="0"/>
    <xf numFmtId="0" fontId="40" fillId="0" borderId="6" pivotButton="0" quotePrefix="0" xfId="0"/>
    <xf numFmtId="0" fontId="37" fillId="0" borderId="10" pivotButton="0" quotePrefix="0" xfId="0"/>
    <xf numFmtId="0" fontId="37" fillId="0" borderId="6" pivotButton="0" quotePrefix="0" xfId="0"/>
    <xf numFmtId="0" fontId="50" fillId="0" borderId="10" applyAlignment="1" pivotButton="0" quotePrefix="0" xfId="0">
      <alignment horizontal="center"/>
    </xf>
    <xf numFmtId="0" fontId="50" fillId="0" borderId="0" applyAlignment="1" pivotButton="0" quotePrefix="0" xfId="0">
      <alignment horizontal="center"/>
    </xf>
    <xf numFmtId="0" fontId="47" fillId="13" borderId="13" applyAlignment="1" pivotButton="0" quotePrefix="0" xfId="0">
      <alignment horizontal="center" vertical="center"/>
    </xf>
    <xf numFmtId="0" fontId="0" fillId="0" borderId="34" pivotButton="0" quotePrefix="0" xfId="0"/>
    <xf numFmtId="0" fontId="13" fillId="0" borderId="11" applyAlignment="1" pivotButton="0" quotePrefix="0" xfId="0">
      <alignment horizontal="center" vertical="top"/>
    </xf>
    <xf numFmtId="0" fontId="13" fillId="0" borderId="5" applyAlignment="1" pivotButton="0" quotePrefix="0" xfId="0">
      <alignment horizontal="left" vertical="center"/>
    </xf>
    <xf numFmtId="3" fontId="3" fillId="0" borderId="11" applyAlignment="1" pivotButton="0" quotePrefix="0" xfId="0">
      <alignment horizontal="center" vertical="center"/>
    </xf>
    <xf numFmtId="0" fontId="0" fillId="0" borderId="10" pivotButton="0" quotePrefix="0" xfId="0"/>
    <xf numFmtId="0" fontId="13" fillId="0" borderId="5" applyAlignment="1" pivotButton="0" quotePrefix="0" xfId="0">
      <alignment horizontal="center" vertical="top"/>
    </xf>
    <xf numFmtId="0" fontId="4" fillId="0" borderId="1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3" fillId="0" borderId="11" applyAlignment="1" pivotButton="0" quotePrefix="0" xfId="0">
      <alignment horizontal="left" vertical="center"/>
    </xf>
    <xf numFmtId="0" fontId="51" fillId="0" borderId="23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/>
    </xf>
    <xf numFmtId="49" fontId="51" fillId="0" borderId="13" applyAlignment="1" pivotButton="0" quotePrefix="0" xfId="0">
      <alignment horizontal="center" vertical="center"/>
    </xf>
    <xf numFmtId="0" fontId="13" fillId="0" borderId="5" applyAlignment="1" pivotButton="0" quotePrefix="0" xfId="0">
      <alignment horizontal="left" vertical="top"/>
    </xf>
    <xf numFmtId="0" fontId="51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0" fontId="51" fillId="0" borderId="13" applyAlignment="1" pivotButton="0" quotePrefix="0" xfId="0">
      <alignment horizontal="center" vertical="center"/>
    </xf>
    <xf numFmtId="0" fontId="13" fillId="0" borderId="5" applyAlignment="1" pivotButton="0" quotePrefix="0" xfId="0">
      <alignment vertical="top"/>
    </xf>
    <xf numFmtId="0" fontId="4" fillId="0" borderId="8" applyAlignment="1" pivotButton="0" quotePrefix="0" xfId="0">
      <alignment horizontal="left"/>
    </xf>
    <xf numFmtId="0" fontId="0" fillId="0" borderId="36" pivotButton="0" quotePrefix="0" xfId="0"/>
    <xf numFmtId="0" fontId="51" fillId="0" borderId="11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49" fontId="4" fillId="0" borderId="12" applyAlignment="1" pivotButton="0" quotePrefix="0" xfId="1">
      <alignment horizontal="center"/>
    </xf>
    <xf numFmtId="0" fontId="51" fillId="14" borderId="5" applyAlignment="1" pivotButton="0" quotePrefix="0" xfId="6">
      <alignment horizontal="center" vertical="center"/>
    </xf>
    <xf numFmtId="0" fontId="3" fillId="14" borderId="5" applyAlignment="1" pivotButton="0" quotePrefix="0" xfId="6">
      <alignment horizontal="center" vertical="center"/>
    </xf>
    <xf numFmtId="0" fontId="3" fillId="14" borderId="5" applyAlignment="1" pivotButton="0" quotePrefix="0" xfId="0">
      <alignment horizontal="center" vertical="center"/>
    </xf>
    <xf numFmtId="0" fontId="3" fillId="14" borderId="8" applyAlignment="1" pivotButton="0" quotePrefix="0" xfId="0">
      <alignment horizontal="center" vertical="center"/>
    </xf>
    <xf numFmtId="0" fontId="51" fillId="14" borderId="11" applyAlignment="1" pivotButton="0" quotePrefix="0" xfId="6">
      <alignment horizontal="center" vertical="center"/>
    </xf>
    <xf numFmtId="0" fontId="3" fillId="14" borderId="11" applyAlignment="1" pivotButton="0" quotePrefix="0" xfId="6">
      <alignment horizontal="center" vertical="center"/>
    </xf>
    <xf numFmtId="49" fontId="3" fillId="14" borderId="5" applyAlignment="1" pivotButton="0" quotePrefix="0" xfId="0">
      <alignment horizontal="center" vertical="center"/>
    </xf>
    <xf numFmtId="0" fontId="4" fillId="14" borderId="5" applyAlignment="1" pivotButton="0" quotePrefix="0" xfId="0">
      <alignment horizontal="center" vertical="center"/>
    </xf>
    <xf numFmtId="0" fontId="4" fillId="14" borderId="5" applyAlignment="1" pivotButton="0" quotePrefix="0" xfId="6">
      <alignment horizontal="center" vertical="center"/>
    </xf>
    <xf numFmtId="0" fontId="4" fillId="14" borderId="5" applyAlignment="1" pivotButton="0" quotePrefix="0" xfId="0">
      <alignment horizontal="center"/>
    </xf>
    <xf numFmtId="0" fontId="15" fillId="5" borderId="12" applyAlignment="1" pivotButton="0" quotePrefix="0" xfId="0">
      <alignment horizontal="center" vertical="center"/>
    </xf>
    <xf numFmtId="0" fontId="21" fillId="5" borderId="12" applyAlignment="1" pivotButton="0" quotePrefix="0" xfId="0">
      <alignment horizontal="center" vertical="center"/>
    </xf>
    <xf numFmtId="0" fontId="15" fillId="5" borderId="12" applyAlignment="1" pivotButton="0" quotePrefix="0" xfId="0">
      <alignment horizontal="center"/>
    </xf>
    <xf numFmtId="0" fontId="0" fillId="0" borderId="39" pivotButton="0" quotePrefix="0" xfId="0"/>
    <xf numFmtId="0" fontId="29" fillId="5" borderId="12" applyAlignment="1" pivotButton="0" quotePrefix="0" xfId="0">
      <alignment horizontal="center" vertical="center"/>
    </xf>
    <xf numFmtId="0" fontId="32" fillId="5" borderId="12" applyAlignment="1" pivotButton="0" quotePrefix="0" xfId="0">
      <alignment horizontal="center" vertical="center"/>
    </xf>
    <xf numFmtId="0" fontId="29" fillId="5" borderId="12" applyAlignment="1" pivotButton="0" quotePrefix="0" xfId="0">
      <alignment horizontal="center"/>
    </xf>
    <xf numFmtId="0" fontId="31" fillId="5" borderId="12" applyAlignment="1" pivotButton="0" quotePrefix="0" xfId="0">
      <alignment horizontal="center" vertical="center"/>
    </xf>
    <xf numFmtId="0" fontId="14" fillId="7" borderId="12" applyAlignment="1" pivotButton="0" quotePrefix="0" xfId="0">
      <alignment horizontal="center" vertical="center"/>
    </xf>
    <xf numFmtId="0" fontId="14" fillId="6" borderId="12" applyAlignment="1" pivotButton="0" quotePrefix="0" xfId="0">
      <alignment horizontal="center" vertical="center"/>
    </xf>
    <xf numFmtId="0" fontId="14" fillId="2" borderId="12" applyAlignment="1" pivotButton="0" quotePrefix="0" xfId="0">
      <alignment horizontal="center" vertical="center"/>
    </xf>
    <xf numFmtId="164" fontId="21" fillId="7" borderId="12" applyAlignment="1" pivotButton="0" quotePrefix="0" xfId="0">
      <alignment horizontal="center" vertical="center"/>
    </xf>
    <xf numFmtId="164" fontId="30" fillId="2" borderId="12" applyAlignment="1" pivotButton="0" quotePrefix="0" xfId="0">
      <alignment horizontal="left" vertical="center" indent="1"/>
    </xf>
    <xf numFmtId="0" fontId="0" fillId="0" borderId="12" applyAlignment="1" pivotButton="0" quotePrefix="0" xfId="0">
      <alignment horizontal="center"/>
    </xf>
    <xf numFmtId="164" fontId="30" fillId="12" borderId="12" applyAlignment="1" pivotButton="0" quotePrefix="0" xfId="0">
      <alignment horizontal="left" vertical="center" indent="1"/>
    </xf>
    <xf numFmtId="0" fontId="0" fillId="0" borderId="12" pivotButton="0" quotePrefix="0" xfId="0"/>
    <xf numFmtId="0" fontId="37" fillId="0" borderId="12" applyAlignment="1" pivotButton="0" quotePrefix="0" xfId="0">
      <alignment horizontal="center"/>
    </xf>
    <xf numFmtId="0" fontId="37" fillId="0" borderId="12" applyAlignment="1" pivotButton="0" quotePrefix="0" xfId="0">
      <alignment horizontal="center" vertical="center"/>
    </xf>
    <xf numFmtId="49" fontId="37" fillId="0" borderId="5" applyAlignment="1" pivotButton="0" quotePrefix="0" xfId="0">
      <alignment horizontal="center" vertical="center"/>
    </xf>
    <xf numFmtId="0" fontId="37" fillId="0" borderId="12" pivotButton="0" quotePrefix="0" xfId="0"/>
    <xf numFmtId="0" fontId="0" fillId="0" borderId="25" pivotButton="0" quotePrefix="0" xfId="0"/>
    <xf numFmtId="0" fontId="0" fillId="0" borderId="26" pivotButton="0" quotePrefix="0" xfId="0"/>
    <xf numFmtId="0" fontId="37" fillId="0" borderId="5" applyAlignment="1" pivotButton="0" quotePrefix="0" xfId="0">
      <alignment horizontal="right"/>
    </xf>
    <xf numFmtId="0" fontId="37" fillId="0" borderId="40" applyAlignment="1" pivotButton="0" quotePrefix="0" xfId="0">
      <alignment horizontal="center"/>
    </xf>
    <xf numFmtId="0" fontId="0" fillId="0" borderId="32" pivotButton="0" quotePrefix="0" xfId="0"/>
    <xf numFmtId="0" fontId="37" fillId="0" borderId="4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8">
    <cellStyle name="ปกติ" xfId="0" builtinId="0"/>
    <cellStyle name="Normal 2" xfId="1"/>
    <cellStyle name="ปกติ 2" xfId="2"/>
    <cellStyle name="ปกติ 3" xfId="3"/>
    <cellStyle name="Hyperlink 2" xfId="4"/>
    <cellStyle name="เครื่องหมายสกุลเงิน 2" xfId="5"/>
    <cellStyle name="ปกติ 2 2" xfId="6"/>
    <cellStyle name="จุลภาค" xfId="7" builtinId="3"/>
  </cellStyles>
  <dxfs count="2">
    <dxf>
      <fill>
        <patternFill>
          <bgColor theme="0" tint="-0.0499893185216834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9" defaultPivotStyle="PivotStyleLight16">
    <tableStyle name="CustomTableStyle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98"/>
  <sheetViews>
    <sheetView view="pageBreakPreview" topLeftCell="A1160" zoomScaleNormal="115" zoomScaleSheetLayoutView="100" workbookViewId="0">
      <selection activeCell="U1147" sqref="U1147"/>
    </sheetView>
  </sheetViews>
  <sheetFormatPr baseColWidth="8" defaultColWidth="9.109375" defaultRowHeight="18"/>
  <cols>
    <col width="3.33203125" customWidth="1" style="7" min="1" max="1"/>
    <col width="5" customWidth="1" style="7" min="2" max="2"/>
    <col width="3.6640625" customWidth="1" style="7" min="3" max="3"/>
    <col width="12.44140625" customWidth="1" style="7" min="4" max="4"/>
    <col width="6.5546875" customWidth="1" style="7" min="5" max="5"/>
    <col width="3.44140625" customWidth="1" style="7" min="6" max="6"/>
    <col width="11.88671875" customWidth="1" style="7" min="7" max="7"/>
    <col width="10.44140625" customWidth="1" style="7" min="8" max="8"/>
    <col width="16.109375" customWidth="1" style="322" min="9" max="9"/>
    <col width="4.44140625" customWidth="1" style="7" min="10" max="10"/>
    <col width="6.5546875" customWidth="1" style="7" min="11" max="11"/>
    <col width="6.6640625" customWidth="1" style="7" min="12" max="13"/>
    <col width="8.6640625" customWidth="1" style="7" min="14" max="14"/>
    <col width="9.5546875" customWidth="1" style="7" min="15" max="15"/>
    <col width="6.6640625" customWidth="1" style="7" min="16" max="17"/>
    <col width="8.6640625" customWidth="1" style="7" min="18" max="18"/>
    <col width="9.6640625" customWidth="1" style="7" min="19" max="19"/>
    <col width="8.6640625" customWidth="1" style="7" min="20" max="20"/>
    <col width="3" customWidth="1" style="7" min="21" max="21"/>
    <col width="8.6640625" customWidth="1" style="7" min="22" max="22"/>
    <col width="3" customWidth="1" style="7" min="23" max="23"/>
    <col width="8.6640625" customWidth="1" style="7" min="24" max="24"/>
    <col width="3" customWidth="1" style="7" min="25" max="25"/>
    <col width="8.6640625" customWidth="1" style="7" min="26" max="26"/>
    <col width="3" customWidth="1" style="7" min="27" max="27"/>
    <col width="9.109375" customWidth="1" style="7" min="28" max="16384"/>
  </cols>
  <sheetData>
    <row r="1" ht="22.2" customHeight="1" s="375">
      <c r="A1" s="365" t="inlineStr">
        <is>
          <t>ใบเบิกจ่ายเงินค่าสอนพิเศษและค่าสอนเกินภาระงานสอนในสถานศึกษา</t>
        </is>
      </c>
      <c r="Z1" s="382" t="n"/>
      <c r="AA1" s="382" t="n"/>
    </row>
    <row r="2" ht="22.2" customHeight="1" s="375">
      <c r="A2" s="365" t="inlineStr">
        <is>
          <t>แผนกวิชาช่างยนต์</t>
        </is>
      </c>
      <c r="Y2" s="374" t="n"/>
      <c r="Z2" s="412" t="inlineStr">
        <is>
          <t>ลำดับ</t>
        </is>
      </c>
      <c r="AA2" s="432" t="n"/>
      <c r="AB2" s="409" t="inlineStr">
        <is>
          <t>รายชื่อ</t>
        </is>
      </c>
      <c r="AC2" s="518" t="n"/>
      <c r="AD2" s="518" t="n"/>
      <c r="AE2" s="412" t="inlineStr">
        <is>
          <t>รวม ชม./ ส.</t>
        </is>
      </c>
      <c r="AF2" s="518" t="n"/>
      <c r="AG2" s="432" t="n"/>
      <c r="AH2" s="412" t="inlineStr">
        <is>
          <t>รวม ค่าสอน / สัปดาห์</t>
        </is>
      </c>
      <c r="AI2" s="518" t="n"/>
      <c r="AJ2" s="432" t="n"/>
    </row>
    <row r="3" ht="22.2" customHeight="1" s="375">
      <c r="A3" s="366" t="inlineStr">
        <is>
          <t xml:space="preserve">    ระหว่างวันที่</t>
        </is>
      </c>
      <c r="D3" s="365" t="n">
        <v>14</v>
      </c>
      <c r="E3" s="365" t="inlineStr">
        <is>
          <t xml:space="preserve">   เดือน  </t>
        </is>
      </c>
      <c r="F3" s="365" t="inlineStr">
        <is>
          <t>กันยายน</t>
        </is>
      </c>
      <c r="H3" s="365" t="inlineStr">
        <is>
          <t>พ.ศ. 2569</t>
        </is>
      </c>
      <c r="I3" s="365" t="inlineStr">
        <is>
          <t xml:space="preserve">     ถึง วันที่</t>
        </is>
      </c>
      <c r="J3" s="365" t="n">
        <v>18</v>
      </c>
      <c r="K3" s="365" t="inlineStr">
        <is>
          <t xml:space="preserve">   เดือน </t>
        </is>
      </c>
      <c r="L3" s="365" t="inlineStr">
        <is>
          <t>กันยายน</t>
        </is>
      </c>
      <c r="N3" s="365" t="inlineStr">
        <is>
          <t>พ.ศ. 2569</t>
        </is>
      </c>
      <c r="P3" s="365" t="n"/>
      <c r="R3" s="365" t="n"/>
      <c r="Y3" s="374" t="n"/>
      <c r="Z3" s="519" t="n">
        <v>1</v>
      </c>
      <c r="AA3" s="135" t="n"/>
      <c r="AB3" s="520" t="inlineStr">
        <is>
          <t>นายชำนาญ แก้วจงประสิทธิ์</t>
        </is>
      </c>
      <c r="AD3" s="374" t="n"/>
      <c r="AE3" s="362" t="n">
        <v>12</v>
      </c>
      <c r="AF3" s="153" t="n"/>
      <c r="AG3" s="135" t="n"/>
      <c r="AH3" s="521" t="n">
        <v>2400</v>
      </c>
      <c r="AI3" s="153" t="n"/>
      <c r="AJ3" s="135" t="n"/>
    </row>
    <row r="4" ht="22.2" customHeight="1" s="375">
      <c r="G4" s="51" t="inlineStr">
        <is>
          <t>ü</t>
        </is>
      </c>
      <c r="H4" s="351" t="inlineStr">
        <is>
          <t>ครู</t>
        </is>
      </c>
      <c r="I4" s="322" t="inlineStr">
        <is>
          <t>หน้าที่พิเศษ</t>
        </is>
      </c>
      <c r="J4" s="380" t="inlineStr">
        <is>
          <t>หัวหน้าแผนกวิชาช่างยนต์</t>
        </is>
      </c>
      <c r="K4" s="522" t="n"/>
      <c r="L4" s="522" t="n"/>
      <c r="M4" s="522" t="n"/>
      <c r="N4" s="522" t="n"/>
      <c r="Y4" s="374" t="n"/>
      <c r="Z4" s="523" t="n">
        <v>2</v>
      </c>
      <c r="AA4" s="374" t="n"/>
      <c r="AB4" s="390" t="inlineStr">
        <is>
          <t>นายวัชรัศนิ์ ไชยศาสตร์</t>
        </is>
      </c>
      <c r="AE4" s="334" t="n">
        <v>12</v>
      </c>
      <c r="AG4" s="374" t="n"/>
      <c r="AH4" s="333" t="n">
        <v>2400</v>
      </c>
      <c r="AJ4" s="374" t="n"/>
    </row>
    <row r="5" ht="22.2" customHeight="1" s="375">
      <c r="A5" s="24" t="inlineStr">
        <is>
          <t>ที่</t>
        </is>
      </c>
      <c r="B5" s="24" t="inlineStr">
        <is>
          <t>ชื่อ-สกุล</t>
        </is>
      </c>
      <c r="C5" s="153" t="n"/>
      <c r="D5" s="135" t="n"/>
      <c r="E5" s="15" t="inlineStr">
        <is>
          <t>ตำแหน่ง</t>
        </is>
      </c>
      <c r="F5" s="16" t="inlineStr">
        <is>
          <t>ระยะเวลาที่สอน</t>
        </is>
      </c>
      <c r="G5" s="432" t="n"/>
      <c r="H5" s="16" t="inlineStr">
        <is>
          <t>รหัสวิชา</t>
        </is>
      </c>
      <c r="I5" s="362" t="inlineStr">
        <is>
          <t>ชั้น,แผนก,ห้อง</t>
        </is>
      </c>
      <c r="J5" s="16" t="inlineStr">
        <is>
          <t>เวลาสอน</t>
        </is>
      </c>
      <c r="K5" s="135" t="n"/>
      <c r="L5" s="16" t="inlineStr">
        <is>
          <t>ปวช.(คาบ)</t>
        </is>
      </c>
      <c r="M5" s="432" t="n"/>
      <c r="N5" s="354" t="inlineStr">
        <is>
          <t>เงิน</t>
        </is>
      </c>
      <c r="O5" s="362" t="inlineStr">
        <is>
          <t>ยอดเงิน</t>
        </is>
      </c>
      <c r="P5" s="524" t="inlineStr">
        <is>
          <t>ปวส.(คาบ)</t>
        </is>
      </c>
      <c r="Q5" s="432" t="n"/>
      <c r="R5" s="354" t="inlineStr">
        <is>
          <t>เงิน</t>
        </is>
      </c>
      <c r="S5" s="362" t="inlineStr">
        <is>
          <t>ยอดเงิน</t>
        </is>
      </c>
      <c r="V5" s="390" t="n"/>
      <c r="Y5" s="374" t="n"/>
      <c r="Z5" s="523" t="n">
        <v>3</v>
      </c>
      <c r="AA5" s="374" t="n"/>
      <c r="AB5" s="390" t="inlineStr">
        <is>
          <t>นายไพรัช น้อยแสง</t>
        </is>
      </c>
      <c r="AE5" s="334" t="n">
        <v>12</v>
      </c>
      <c r="AG5" s="374" t="n"/>
      <c r="AH5" s="333" t="n">
        <v>2400</v>
      </c>
      <c r="AJ5" s="374" t="n"/>
    </row>
    <row r="6" ht="22.2" customHeight="1" s="375">
      <c r="A6" s="52" t="n"/>
      <c r="B6" s="8" t="n"/>
      <c r="C6" s="9" t="n"/>
      <c r="D6" s="13" t="n"/>
      <c r="E6" s="10" t="n"/>
      <c r="F6" s="336" t="inlineStr">
        <is>
          <t>ส.</t>
        </is>
      </c>
      <c r="G6" s="336" t="inlineStr">
        <is>
          <t>วดป.</t>
        </is>
      </c>
      <c r="H6" s="525" t="n"/>
      <c r="I6" s="336" t="n"/>
      <c r="J6" s="526" t="n"/>
      <c r="K6" s="527" t="n"/>
      <c r="L6" s="336" t="inlineStr">
        <is>
          <t>ใน</t>
        </is>
      </c>
      <c r="M6" s="336" t="inlineStr">
        <is>
          <t>นอก</t>
        </is>
      </c>
      <c r="N6" s="336" t="inlineStr">
        <is>
          <t>ต่อ ชม.</t>
        </is>
      </c>
      <c r="O6" s="336" t="inlineStr">
        <is>
          <t>(บาท)</t>
        </is>
      </c>
      <c r="P6" s="52" t="inlineStr">
        <is>
          <t>ใน</t>
        </is>
      </c>
      <c r="Q6" s="52" t="inlineStr">
        <is>
          <t>นอก</t>
        </is>
      </c>
      <c r="R6" s="336" t="inlineStr">
        <is>
          <t>ต่อ ชม.</t>
        </is>
      </c>
      <c r="S6" s="336" t="inlineStr">
        <is>
          <t>(บาท)</t>
        </is>
      </c>
      <c r="Y6" s="374" t="n"/>
      <c r="Z6" s="523" t="n">
        <v>4</v>
      </c>
      <c r="AA6" s="374" t="n"/>
      <c r="AB6" s="392" t="inlineStr">
        <is>
          <t>นายจักรกฤษณ์ ปัญญา</t>
        </is>
      </c>
      <c r="AD6" s="374" t="n"/>
      <c r="AE6" s="334" t="n">
        <v>12</v>
      </c>
      <c r="AG6" s="374" t="n"/>
      <c r="AH6" s="333" t="n">
        <v>2400</v>
      </c>
      <c r="AJ6" s="374" t="n"/>
    </row>
    <row r="7" ht="22.2" customHeight="1" s="375">
      <c r="A7" s="362" t="n">
        <v>1</v>
      </c>
      <c r="B7" s="528">
        <f>AB3</f>
        <v/>
      </c>
      <c r="C7" s="153" t="n"/>
      <c r="D7" s="135" t="n"/>
      <c r="E7" s="362" t="inlineStr">
        <is>
          <t>ครู</t>
        </is>
      </c>
      <c r="F7" s="5" t="n">
        <v>1</v>
      </c>
      <c r="G7" s="529" t="inlineStr">
        <is>
          <t>จันทร์</t>
        </is>
      </c>
      <c r="H7" s="376" t="inlineStr">
        <is>
          <t>20101-2018</t>
        </is>
      </c>
      <c r="I7" s="376" t="inlineStr">
        <is>
          <t>ชย.3/3 (26)</t>
        </is>
      </c>
      <c r="J7" s="334" t="inlineStr">
        <is>
          <t>17:10 - 21:10</t>
        </is>
      </c>
      <c r="K7" s="374" t="n"/>
      <c r="L7" s="367" t="n">
        <v>4</v>
      </c>
      <c r="M7" s="367" t="inlineStr"/>
      <c r="N7" s="381" t="inlineStr"/>
      <c r="O7" s="354" t="inlineStr"/>
      <c r="P7" s="381" t="inlineStr"/>
      <c r="Q7" s="367" t="inlineStr"/>
      <c r="R7" s="381" t="inlineStr"/>
      <c r="S7" s="354" t="inlineStr"/>
      <c r="T7" t="inlineStr"/>
      <c r="U7" t="inlineStr"/>
      <c r="Y7" s="314" t="n"/>
      <c r="Z7" s="523" t="n">
        <v>5</v>
      </c>
      <c r="AA7" s="374" t="n"/>
      <c r="AB7" s="392" t="inlineStr">
        <is>
          <t>นายพลกฤต น้อยเกิด</t>
        </is>
      </c>
      <c r="AD7" s="374" t="n"/>
      <c r="AE7" s="334" t="n">
        <v>12</v>
      </c>
      <c r="AG7" s="374" t="n"/>
      <c r="AH7" s="333" t="n">
        <v>2400</v>
      </c>
      <c r="AJ7" s="374" t="n"/>
    </row>
    <row r="8" ht="22.2" customHeight="1" s="375">
      <c r="A8" s="3" t="n"/>
      <c r="B8" s="530" t="n"/>
      <c r="D8" s="374" t="n"/>
      <c r="E8" s="334" t="n"/>
      <c r="F8" s="322" t="n"/>
      <c r="G8" s="531" t="inlineStr">
        <is>
          <t>14 ก.ย.69</t>
        </is>
      </c>
      <c r="H8" s="376" t="inlineStr"/>
      <c r="I8" s="376" t="inlineStr"/>
      <c r="J8" s="334" t="inlineStr"/>
      <c r="K8" s="374" t="n"/>
      <c r="L8" s="334" t="inlineStr"/>
      <c r="M8" s="334" t="inlineStr"/>
      <c r="N8" s="334" t="inlineStr"/>
      <c r="O8" s="354" t="inlineStr"/>
      <c r="P8" s="334" t="inlineStr"/>
      <c r="Q8" s="334" t="inlineStr"/>
      <c r="R8" s="334" t="inlineStr"/>
      <c r="S8" s="354" t="inlineStr"/>
      <c r="T8" t="inlineStr"/>
      <c r="U8" t="inlineStr"/>
      <c r="Z8" s="523" t="n">
        <v>6</v>
      </c>
      <c r="AA8" s="374" t="n"/>
      <c r="AB8" s="532" t="inlineStr">
        <is>
          <t>นายพงษ์พัฒน์ พิมพ์ปรุ</t>
        </is>
      </c>
      <c r="AD8" s="374" t="n"/>
      <c r="AE8" s="334" t="n">
        <v>12</v>
      </c>
      <c r="AG8" s="374" t="n"/>
      <c r="AH8" s="333" t="n">
        <v>2400</v>
      </c>
      <c r="AJ8" s="374" t="n"/>
    </row>
    <row r="9" ht="22.2" customHeight="1" s="375">
      <c r="A9" s="3" t="n"/>
      <c r="B9" s="313" t="n"/>
      <c r="D9" s="314" t="n"/>
      <c r="E9" s="314" t="n"/>
      <c r="F9" s="322" t="n"/>
      <c r="G9" s="321" t="inlineStr"/>
      <c r="H9" s="376" t="inlineStr"/>
      <c r="I9" s="376" t="inlineStr"/>
      <c r="J9" s="334" t="inlineStr"/>
      <c r="K9" s="374" t="n"/>
      <c r="L9" s="334" t="inlineStr"/>
      <c r="M9" s="334" t="inlineStr"/>
      <c r="N9" s="334" t="inlineStr"/>
      <c r="O9" s="354" t="inlineStr"/>
      <c r="P9" s="334" t="inlineStr"/>
      <c r="Q9" s="334" t="inlineStr"/>
      <c r="R9" s="334" t="inlineStr"/>
      <c r="S9" s="354" t="inlineStr"/>
      <c r="T9" s="383" t="inlineStr"/>
      <c r="Y9" s="62" t="n"/>
      <c r="Z9" s="523" t="n">
        <v>7</v>
      </c>
      <c r="AA9" s="374" t="n"/>
      <c r="AB9" s="532" t="inlineStr">
        <is>
          <t>นายพงศ์ศิริ ธรรมาวุฒิ</t>
        </is>
      </c>
      <c r="AD9" s="374" t="n"/>
      <c r="AE9" s="334" t="n">
        <v>12</v>
      </c>
      <c r="AG9" s="374" t="n"/>
      <c r="AH9" s="333" t="n">
        <v>2400</v>
      </c>
      <c r="AJ9" s="374" t="n"/>
    </row>
    <row r="10" ht="22.2" customHeight="1" s="375">
      <c r="A10" s="3" t="n"/>
      <c r="B10" s="313" t="n"/>
      <c r="E10" s="3" t="n"/>
      <c r="F10" s="322" t="n"/>
      <c r="G10" s="321" t="inlineStr"/>
      <c r="H10" s="334" t="inlineStr"/>
      <c r="I10" s="334" t="inlineStr"/>
      <c r="J10" s="334" t="inlineStr"/>
      <c r="K10" s="374" t="n"/>
      <c r="L10" s="334" t="inlineStr"/>
      <c r="M10" s="334" t="inlineStr"/>
      <c r="N10" s="334" t="inlineStr"/>
      <c r="O10" s="354" t="inlineStr"/>
      <c r="P10" s="334" t="inlineStr"/>
      <c r="Q10" s="334" t="inlineStr"/>
      <c r="R10" s="334" t="inlineStr"/>
      <c r="S10" s="354" t="inlineStr"/>
      <c r="T10" s="23" t="inlineStr"/>
      <c r="U10" s="23" t="inlineStr"/>
      <c r="V10" s="56" t="n"/>
      <c r="W10" s="23" t="n"/>
      <c r="X10" s="23" t="n"/>
      <c r="Y10" s="63" t="n"/>
      <c r="Z10" s="523" t="n">
        <v>8</v>
      </c>
      <c r="AA10" s="374" t="n"/>
      <c r="AB10" s="520" t="inlineStr">
        <is>
          <t>นายศุภเดช เมืองเงิน</t>
        </is>
      </c>
      <c r="AD10" s="374" t="n"/>
      <c r="AE10" s="334" t="n">
        <v>12</v>
      </c>
      <c r="AG10" s="374" t="n"/>
      <c r="AH10" s="333" t="n">
        <v>2400</v>
      </c>
      <c r="AJ10" s="374" t="n"/>
    </row>
    <row r="11" ht="22.2" customHeight="1" s="375">
      <c r="A11" s="3" t="n"/>
      <c r="D11" s="61" t="n"/>
      <c r="E11" s="3" t="n"/>
      <c r="G11" s="344" t="inlineStr"/>
      <c r="H11" s="336" t="inlineStr"/>
      <c r="I11" s="336" t="inlineStr"/>
      <c r="J11" s="336" t="inlineStr"/>
      <c r="K11" s="527" t="n"/>
      <c r="L11" s="334" t="inlineStr"/>
      <c r="M11" s="334" t="inlineStr"/>
      <c r="N11" s="334" t="inlineStr"/>
      <c r="O11" s="354" t="inlineStr"/>
      <c r="P11" s="334" t="inlineStr"/>
      <c r="Q11" s="334" t="inlineStr"/>
      <c r="R11" s="334" t="inlineStr"/>
      <c r="S11" s="354" t="inlineStr"/>
      <c r="T11" t="inlineStr"/>
      <c r="U11" t="inlineStr"/>
      <c r="W11" s="63" t="n"/>
      <c r="X11" s="63" t="n"/>
      <c r="Y11" s="351" t="n"/>
      <c r="Z11" s="523" t="n">
        <v>9</v>
      </c>
      <c r="AA11" s="374" t="n"/>
      <c r="AB11" s="532" t="inlineStr">
        <is>
          <t>นายณัฐพงศ์ จันทร์แดง</t>
        </is>
      </c>
      <c r="AD11" s="374" t="n"/>
      <c r="AE11" s="334" t="n">
        <v>12</v>
      </c>
      <c r="AG11" s="374" t="n"/>
      <c r="AH11" s="333" t="n">
        <v>2400</v>
      </c>
      <c r="AJ11" s="374" t="n"/>
    </row>
    <row r="12" ht="22.2" customHeight="1" s="375">
      <c r="A12" s="3" t="n"/>
      <c r="E12" s="3" t="n"/>
      <c r="G12" s="533" t="inlineStr">
        <is>
          <t>อังคาร</t>
        </is>
      </c>
      <c r="H12" s="376" t="inlineStr">
        <is>
          <t>20101-2010</t>
        </is>
      </c>
      <c r="I12" s="376" t="inlineStr">
        <is>
          <t>ชย.2/7 (26)</t>
        </is>
      </c>
      <c r="J12" s="381" t="inlineStr">
        <is>
          <t>08:10 - 12:10</t>
        </is>
      </c>
      <c r="K12" s="135" t="n"/>
      <c r="L12" s="381" t="n">
        <v>4</v>
      </c>
      <c r="M12" s="381" t="inlineStr"/>
      <c r="N12" s="381" t="inlineStr"/>
      <c r="O12" s="354" t="inlineStr"/>
      <c r="P12" s="381" t="inlineStr"/>
      <c r="Q12" s="367" t="inlineStr"/>
      <c r="R12" s="381" t="inlineStr"/>
      <c r="S12" s="354" t="inlineStr"/>
      <c r="T12" t="inlineStr"/>
      <c r="U12" t="inlineStr"/>
      <c r="W12" s="62" t="n"/>
      <c r="X12" s="62" t="n"/>
      <c r="Y12" s="62" t="n"/>
      <c r="Z12" s="523" t="n">
        <v>10</v>
      </c>
      <c r="AA12" s="374" t="n"/>
      <c r="AB12" s="390" t="inlineStr">
        <is>
          <t>นายมนตรี ทิมสุข</t>
        </is>
      </c>
      <c r="AE12" s="333" t="n">
        <v>12</v>
      </c>
      <c r="AG12" s="374" t="n"/>
      <c r="AH12" s="333" t="n">
        <v>2400</v>
      </c>
      <c r="AJ12" s="374" t="n"/>
    </row>
    <row r="13" ht="22.2" customHeight="1" s="375">
      <c r="A13" s="3" t="n"/>
      <c r="E13" s="3" t="n"/>
      <c r="G13" s="531" t="inlineStr">
        <is>
          <t>15 ก.ย.69</t>
        </is>
      </c>
      <c r="H13" s="376" t="inlineStr">
        <is>
          <t>20101-2010</t>
        </is>
      </c>
      <c r="I13" s="376" t="inlineStr">
        <is>
          <t>ชย.2/7 (26)</t>
        </is>
      </c>
      <c r="J13" s="334" t="inlineStr">
        <is>
          <t>13:10 - 16:10</t>
        </is>
      </c>
      <c r="K13" s="374" t="n"/>
      <c r="L13" s="334" t="n">
        <v>3</v>
      </c>
      <c r="M13" s="334" t="inlineStr"/>
      <c r="N13" s="334" t="inlineStr"/>
      <c r="O13" s="354" t="inlineStr"/>
      <c r="P13" s="334" t="inlineStr"/>
      <c r="Q13" s="334" t="inlineStr"/>
      <c r="R13" s="334" t="inlineStr"/>
      <c r="S13" s="354" t="inlineStr"/>
      <c r="T13" t="inlineStr"/>
      <c r="U13" t="inlineStr"/>
      <c r="W13" s="62" t="n"/>
      <c r="X13" s="62" t="n"/>
      <c r="Y13" s="62" t="n"/>
      <c r="Z13" s="523" t="n">
        <v>11</v>
      </c>
      <c r="AA13" s="374" t="n"/>
      <c r="AB13" s="390" t="inlineStr">
        <is>
          <t>นางสาวจิราพร พิมเสน</t>
        </is>
      </c>
      <c r="AE13" s="333" t="n">
        <v>12</v>
      </c>
      <c r="AG13" s="374" t="n"/>
      <c r="AH13" s="333" t="n">
        <v>2400</v>
      </c>
      <c r="AJ13" s="374" t="n"/>
    </row>
    <row r="14" ht="22.2" customHeight="1" s="375">
      <c r="A14" s="3" t="n"/>
      <c r="B14" s="313" t="n"/>
      <c r="D14" s="314" t="n"/>
      <c r="E14" s="314" t="n"/>
      <c r="G14" s="334" t="inlineStr"/>
      <c r="H14" s="376" t="inlineStr">
        <is>
          <t>20101-2018</t>
        </is>
      </c>
      <c r="I14" s="376" t="inlineStr">
        <is>
          <t>ชย.3/3 (26)</t>
        </is>
      </c>
      <c r="J14" s="334" t="inlineStr">
        <is>
          <t>17:10 - 20:10</t>
        </is>
      </c>
      <c r="K14" s="374" t="n"/>
      <c r="L14" s="334" t="n">
        <v>3</v>
      </c>
      <c r="M14" s="334" t="inlineStr"/>
      <c r="N14" s="334" t="inlineStr"/>
      <c r="O14" s="354" t="inlineStr"/>
      <c r="P14" s="334" t="inlineStr"/>
      <c r="Q14" s="334" t="inlineStr"/>
      <c r="R14" s="334" t="inlineStr"/>
      <c r="S14" s="354" t="inlineStr"/>
      <c r="T14" t="inlineStr"/>
      <c r="U14" t="inlineStr"/>
      <c r="Y14" s="62" t="n"/>
      <c r="Z14" s="523" t="n">
        <v>12</v>
      </c>
      <c r="AA14" s="374" t="n"/>
      <c r="AB14" s="534" t="inlineStr">
        <is>
          <t>นายสมชาย อุประ</t>
        </is>
      </c>
      <c r="AD14" s="374" t="n"/>
      <c r="AE14" s="333" t="n">
        <v>12</v>
      </c>
      <c r="AG14" s="374" t="n"/>
      <c r="AH14" s="333" t="n">
        <v>2400</v>
      </c>
      <c r="AJ14" s="374" t="n"/>
    </row>
    <row r="15" ht="22.2" customHeight="1" s="375">
      <c r="A15" s="3" t="n"/>
      <c r="E15" s="3" t="n"/>
      <c r="G15" s="54" t="inlineStr"/>
      <c r="H15" s="322" t="inlineStr"/>
      <c r="I15" s="334" t="inlineStr"/>
      <c r="J15" s="334" t="inlineStr"/>
      <c r="K15" s="374" t="n"/>
      <c r="L15" s="334" t="inlineStr"/>
      <c r="M15" s="334" t="inlineStr"/>
      <c r="N15" s="334" t="inlineStr"/>
      <c r="O15" s="354" t="inlineStr"/>
      <c r="P15" s="334" t="inlineStr"/>
      <c r="Q15" s="334" t="inlineStr"/>
      <c r="R15" s="334" t="inlineStr"/>
      <c r="S15" s="354" t="inlineStr"/>
      <c r="T15" t="inlineStr"/>
      <c r="U15" t="inlineStr"/>
      <c r="W15" s="62" t="n"/>
      <c r="X15" s="62" t="n"/>
      <c r="Y15" s="62" t="n"/>
      <c r="Z15" s="523" t="n">
        <v>13</v>
      </c>
      <c r="AA15" s="374" t="n"/>
      <c r="AB15" s="534" t="inlineStr">
        <is>
          <t>นายสถาปนิก คุ้มสะอาด</t>
        </is>
      </c>
      <c r="AD15" s="374" t="n"/>
      <c r="AE15" s="333" t="n">
        <v>12</v>
      </c>
      <c r="AG15" s="374" t="n"/>
      <c r="AH15" s="333" t="n">
        <v>2400</v>
      </c>
      <c r="AJ15" s="374" t="n"/>
    </row>
    <row r="16" ht="22.2" customHeight="1" s="375">
      <c r="A16" s="3" t="n"/>
      <c r="D16" s="7" t="inlineStr">
        <is>
          <t> </t>
        </is>
      </c>
      <c r="E16" s="3" t="n"/>
      <c r="G16" s="55" t="inlineStr"/>
      <c r="H16" s="336" t="inlineStr"/>
      <c r="I16" s="336" t="inlineStr"/>
      <c r="J16" s="336" t="inlineStr"/>
      <c r="K16" s="527" t="n"/>
      <c r="L16" s="334" t="inlineStr"/>
      <c r="M16" s="334" t="inlineStr"/>
      <c r="N16" s="334" t="inlineStr"/>
      <c r="O16" s="354" t="inlineStr"/>
      <c r="P16" s="334" t="inlineStr"/>
      <c r="Q16" s="334" t="inlineStr"/>
      <c r="R16" s="334" t="inlineStr"/>
      <c r="S16" s="354" t="inlineStr"/>
      <c r="T16" t="inlineStr"/>
      <c r="U16" t="inlineStr"/>
      <c r="Y16" s="62" t="n"/>
      <c r="Z16" s="523" t="n"/>
      <c r="AA16" s="374" t="n"/>
      <c r="AB16" s="532" t="n"/>
      <c r="AD16" s="374" t="n"/>
      <c r="AE16" s="333" t="n"/>
      <c r="AG16" s="374" t="n"/>
      <c r="AH16" s="333" t="n"/>
      <c r="AJ16" s="374" t="n"/>
    </row>
    <row r="17" ht="22.2" customHeight="1" s="375">
      <c r="A17" s="3" t="n"/>
      <c r="E17" s="3" t="n"/>
      <c r="G17" s="535" t="inlineStr">
        <is>
          <t>พุธ</t>
        </is>
      </c>
      <c r="H17" s="376" t="inlineStr">
        <is>
          <t>20101-2010</t>
        </is>
      </c>
      <c r="I17" s="376" t="inlineStr">
        <is>
          <t>ชย.2/6 (26)</t>
        </is>
      </c>
      <c r="J17" s="381" t="inlineStr">
        <is>
          <t>08:10 - 12:10</t>
        </is>
      </c>
      <c r="K17" s="135" t="n"/>
      <c r="L17" s="367" t="n">
        <v>2</v>
      </c>
      <c r="M17" s="381" t="n">
        <v>2</v>
      </c>
      <c r="N17" s="381" t="n">
        <v>200</v>
      </c>
      <c r="O17" s="354">
        <f>M17*N17</f>
        <v/>
      </c>
      <c r="P17" s="381" t="inlineStr"/>
      <c r="Q17" s="367" t="inlineStr"/>
      <c r="R17" s="381" t="inlineStr"/>
      <c r="S17" s="354" t="inlineStr"/>
      <c r="T17" t="inlineStr"/>
      <c r="U17" t="inlineStr"/>
      <c r="Y17" s="62" t="n"/>
      <c r="Z17" s="523" t="n"/>
      <c r="AA17" s="374" t="n"/>
      <c r="AB17" s="532" t="n"/>
      <c r="AD17" s="374" t="n"/>
      <c r="AE17" s="333" t="n"/>
      <c r="AG17" s="374" t="n"/>
      <c r="AH17" s="333" t="n"/>
      <c r="AJ17" s="374" t="n"/>
    </row>
    <row r="18" ht="22.2" customHeight="1" s="375">
      <c r="A18" s="3" t="n"/>
      <c r="B18" s="321" t="n"/>
      <c r="C18" s="322" t="n"/>
      <c r="D18" s="322" t="n"/>
      <c r="E18" s="334" t="n"/>
      <c r="G18" s="531" t="inlineStr">
        <is>
          <t>16 ก.ย.69</t>
        </is>
      </c>
      <c r="H18" s="376" t="inlineStr">
        <is>
          <t>20101-2010</t>
        </is>
      </c>
      <c r="I18" s="376" t="inlineStr">
        <is>
          <t>ชย.2/6 (26)</t>
        </is>
      </c>
      <c r="J18" s="334" t="inlineStr">
        <is>
          <t>13:10 - 16:10</t>
        </is>
      </c>
      <c r="K18" s="374" t="n"/>
      <c r="L18" s="334" t="inlineStr"/>
      <c r="M18" s="334" t="n">
        <v>3</v>
      </c>
      <c r="N18" s="334" t="n">
        <v>200</v>
      </c>
      <c r="O18" s="354">
        <f>M18*N18</f>
        <v/>
      </c>
      <c r="P18" s="334" t="inlineStr"/>
      <c r="Q18" s="334" t="inlineStr"/>
      <c r="R18" s="334" t="inlineStr"/>
      <c r="S18" s="354" t="inlineStr"/>
      <c r="T18" t="inlineStr"/>
      <c r="U18" t="inlineStr"/>
      <c r="W18" s="62" t="n"/>
      <c r="X18" s="62" t="n"/>
      <c r="Z18" s="523" t="n"/>
      <c r="AA18" s="374" t="n"/>
      <c r="AB18" s="520" t="n"/>
      <c r="AD18" s="374" t="n"/>
      <c r="AE18" s="333" t="n"/>
      <c r="AG18" s="374" t="n"/>
      <c r="AH18" s="333" t="n"/>
      <c r="AJ18" s="374" t="n"/>
    </row>
    <row r="19" ht="22.2" customHeight="1" s="375">
      <c r="A19" s="3" t="n"/>
      <c r="B19" s="313" t="n"/>
      <c r="D19" s="314" t="n"/>
      <c r="E19" s="314" t="n"/>
      <c r="G19" s="334" t="inlineStr"/>
      <c r="H19" s="376" t="inlineStr"/>
      <c r="I19" s="376" t="inlineStr"/>
      <c r="J19" s="334" t="inlineStr"/>
      <c r="K19" s="374" t="n"/>
      <c r="L19" s="334" t="inlineStr"/>
      <c r="M19" s="334" t="inlineStr"/>
      <c r="N19" s="334" t="inlineStr"/>
      <c r="O19" s="354" t="inlineStr"/>
      <c r="P19" s="334" t="inlineStr"/>
      <c r="Q19" s="334" t="inlineStr"/>
      <c r="R19" s="334" t="inlineStr"/>
      <c r="S19" s="354" t="inlineStr"/>
      <c r="T19" s="383" t="inlineStr"/>
      <c r="Z19" s="523" t="n"/>
      <c r="AA19" s="374" t="n"/>
      <c r="AB19" s="520" t="n"/>
      <c r="AD19" s="374" t="n"/>
      <c r="AE19" s="333" t="n"/>
      <c r="AG19" s="374" t="n"/>
      <c r="AH19" s="333" t="n"/>
      <c r="AJ19" s="374" t="n"/>
    </row>
    <row r="20" ht="22.2" customHeight="1" s="375">
      <c r="A20" s="3" t="n"/>
      <c r="E20" s="3" t="n"/>
      <c r="G20" s="321" t="inlineStr"/>
      <c r="H20" s="321" t="inlineStr"/>
      <c r="I20" s="376" t="inlineStr"/>
      <c r="J20" s="334" t="inlineStr"/>
      <c r="K20" s="374" t="n"/>
      <c r="L20" s="334" t="inlineStr"/>
      <c r="M20" s="334" t="inlineStr"/>
      <c r="N20" s="334" t="inlineStr"/>
      <c r="O20" s="354" t="inlineStr"/>
      <c r="P20" s="334" t="inlineStr"/>
      <c r="Q20" s="334" t="inlineStr"/>
      <c r="R20" s="334" t="inlineStr"/>
      <c r="S20" s="354" t="inlineStr"/>
      <c r="T20" s="23" t="inlineStr"/>
      <c r="U20" s="23" t="inlineStr"/>
      <c r="V20" s="56" t="n"/>
      <c r="W20" s="23" t="n"/>
      <c r="X20" s="23" t="n"/>
      <c r="Y20" s="322" t="n"/>
      <c r="Z20" s="523" t="n"/>
      <c r="AA20" s="374" t="n"/>
      <c r="AB20" s="520" t="n"/>
      <c r="AD20" s="374" t="n"/>
      <c r="AE20" s="333" t="n"/>
      <c r="AG20" s="374" t="n"/>
      <c r="AH20" s="333" t="n"/>
      <c r="AJ20" s="374" t="n"/>
    </row>
    <row r="21" ht="22.2" customHeight="1" s="375">
      <c r="A21" s="3" t="n"/>
      <c r="E21" s="3" t="n"/>
      <c r="G21" s="327" t="inlineStr"/>
      <c r="H21" s="327" t="inlineStr"/>
      <c r="I21" s="336" t="inlineStr"/>
      <c r="J21" s="336" t="inlineStr"/>
      <c r="K21" s="527" t="n"/>
      <c r="L21" s="336" t="inlineStr"/>
      <c r="M21" s="336" t="inlineStr"/>
      <c r="N21" s="336" t="inlineStr"/>
      <c r="O21" s="354" t="inlineStr"/>
      <c r="P21" s="336" t="inlineStr"/>
      <c r="Q21" s="336" t="inlineStr"/>
      <c r="R21" s="336" t="inlineStr"/>
      <c r="S21" s="354" t="inlineStr"/>
      <c r="T21" t="inlineStr"/>
      <c r="U21" t="inlineStr"/>
      <c r="Y21" s="322" t="n"/>
      <c r="Z21" s="523" t="n"/>
      <c r="AA21" s="374" t="n"/>
      <c r="AB21" s="532" t="n"/>
      <c r="AD21" s="374" t="n"/>
      <c r="AE21" s="333" t="n"/>
      <c r="AG21" s="374" t="n"/>
      <c r="AH21" s="333" t="n"/>
      <c r="AJ21" s="374" t="n"/>
    </row>
    <row r="22" ht="22.2" customHeight="1" s="375">
      <c r="A22" s="3" t="n"/>
      <c r="E22" s="3" t="n"/>
      <c r="G22" s="533" t="inlineStr">
        <is>
          <t>พฤหัส</t>
        </is>
      </c>
      <c r="H22" s="376" t="inlineStr">
        <is>
          <t>20101-2010</t>
        </is>
      </c>
      <c r="I22" s="376" t="inlineStr">
        <is>
          <t>ชย.2/5 (26)</t>
        </is>
      </c>
      <c r="J22" s="381" t="inlineStr">
        <is>
          <t>08:10 - 12:10</t>
        </is>
      </c>
      <c r="K22" s="135" t="n"/>
      <c r="L22" s="334" t="inlineStr"/>
      <c r="M22" s="334" t="n">
        <v>4</v>
      </c>
      <c r="N22" s="334" t="n">
        <v>200</v>
      </c>
      <c r="O22" s="354">
        <f>M22*N22</f>
        <v/>
      </c>
      <c r="P22" s="381" t="inlineStr"/>
      <c r="Q22" s="367" t="inlineStr"/>
      <c r="R22" s="381" t="inlineStr"/>
      <c r="S22" s="354" t="inlineStr"/>
      <c r="T22" t="inlineStr"/>
      <c r="U22" t="inlineStr"/>
      <c r="Y22" s="322" t="n"/>
      <c r="Z22" s="523" t="n"/>
      <c r="AA22" s="374" t="n"/>
      <c r="AB22" s="532" t="n"/>
      <c r="AD22" s="374" t="n"/>
      <c r="AE22" s="333" t="n"/>
      <c r="AG22" s="374" t="n"/>
      <c r="AH22" s="333" t="n"/>
      <c r="AJ22" s="374" t="n"/>
    </row>
    <row r="23" ht="22.2" customHeight="1" s="375">
      <c r="A23" s="3" t="n"/>
      <c r="E23" s="3" t="n"/>
      <c r="G23" s="531" t="inlineStr">
        <is>
          <t>17 ก.ย.69</t>
        </is>
      </c>
      <c r="H23" s="376" t="inlineStr">
        <is>
          <t>20101-2010</t>
        </is>
      </c>
      <c r="I23" s="376" t="inlineStr">
        <is>
          <t>ชย.2/5 (26)</t>
        </is>
      </c>
      <c r="J23" s="334" t="inlineStr">
        <is>
          <t>15:10 - 18:10</t>
        </is>
      </c>
      <c r="K23" s="374" t="n"/>
      <c r="L23" s="334" t="inlineStr"/>
      <c r="M23" s="334" t="n">
        <v>3</v>
      </c>
      <c r="N23" s="334" t="n">
        <v>200</v>
      </c>
      <c r="O23" s="354">
        <f>M23*N23</f>
        <v/>
      </c>
      <c r="P23" s="334" t="inlineStr"/>
      <c r="Q23" s="334" t="inlineStr"/>
      <c r="R23" s="334" t="inlineStr"/>
      <c r="S23" s="354" t="inlineStr"/>
      <c r="T23" t="inlineStr"/>
      <c r="U23" s="322" t="inlineStr"/>
      <c r="V23" s="322" t="n"/>
      <c r="W23" s="322" t="n"/>
      <c r="X23" s="322" t="n"/>
      <c r="Y23" s="322" t="n"/>
      <c r="Z23" s="523" t="n"/>
      <c r="AA23" s="374" t="n"/>
      <c r="AB23" s="532" t="n"/>
      <c r="AD23" s="374" t="n"/>
      <c r="AE23" s="333" t="n"/>
      <c r="AG23" s="374" t="n"/>
      <c r="AH23" s="333" t="n"/>
      <c r="AJ23" s="374" t="n"/>
    </row>
    <row r="24" ht="22.2" customHeight="1" s="375">
      <c r="A24" s="3" t="n"/>
      <c r="B24" s="313" t="n"/>
      <c r="E24" s="3" t="n"/>
      <c r="G24" s="334" t="inlineStr"/>
      <c r="H24" s="376" t="inlineStr"/>
      <c r="I24" s="376" t="inlineStr"/>
      <c r="J24" s="334" t="inlineStr"/>
      <c r="K24" s="374" t="n"/>
      <c r="L24" s="376" t="inlineStr"/>
      <c r="M24" s="376" t="inlineStr"/>
      <c r="N24" s="376" t="inlineStr"/>
      <c r="O24" s="354" t="inlineStr"/>
      <c r="P24" s="334" t="inlineStr"/>
      <c r="Q24" s="334" t="inlineStr"/>
      <c r="R24" s="334" t="inlineStr"/>
      <c r="S24" s="354" t="inlineStr"/>
      <c r="T24" t="inlineStr"/>
      <c r="U24" t="inlineStr"/>
      <c r="Y24" s="322" t="n"/>
      <c r="Z24" s="523" t="n"/>
      <c r="AA24" s="374" t="n"/>
      <c r="AB24" s="532" t="n"/>
      <c r="AD24" s="374" t="n"/>
      <c r="AE24" s="333" t="n"/>
      <c r="AG24" s="374" t="n"/>
      <c r="AH24" s="333" t="n"/>
      <c r="AJ24" s="374" t="n"/>
    </row>
    <row r="25" ht="22.2" customHeight="1" s="375">
      <c r="A25" s="3" t="n"/>
      <c r="E25" s="3" t="n"/>
      <c r="G25" s="334" t="inlineStr"/>
      <c r="H25" s="376" t="inlineStr"/>
      <c r="I25" s="376" t="inlineStr"/>
      <c r="J25" s="334" t="inlineStr"/>
      <c r="K25" s="374" t="n"/>
      <c r="L25" s="334" t="inlineStr"/>
      <c r="M25" s="334" t="inlineStr"/>
      <c r="N25" s="334" t="inlineStr"/>
      <c r="O25" s="354" t="inlineStr"/>
      <c r="P25" s="334" t="inlineStr"/>
      <c r="Q25" s="334" t="inlineStr"/>
      <c r="R25" s="334" t="inlineStr"/>
      <c r="S25" s="354" t="inlineStr"/>
      <c r="T25" t="inlineStr"/>
      <c r="U25" t="inlineStr"/>
      <c r="Y25" s="322" t="n"/>
      <c r="Z25" s="523" t="n"/>
      <c r="AA25" s="374" t="n"/>
      <c r="AB25" s="532" t="n"/>
      <c r="AD25" s="374" t="n"/>
      <c r="AE25" s="333" t="n"/>
      <c r="AG25" s="374" t="n"/>
      <c r="AH25" s="333" t="n"/>
      <c r="AJ25" s="374" t="n"/>
    </row>
    <row r="26" ht="22.2" customHeight="1" s="375">
      <c r="A26" s="3" t="n"/>
      <c r="E26" s="3" t="n"/>
      <c r="G26" s="336" t="inlineStr"/>
      <c r="H26" s="328" t="inlineStr"/>
      <c r="I26" s="336" t="inlineStr"/>
      <c r="J26" s="336" t="inlineStr"/>
      <c r="K26" s="527" t="n"/>
      <c r="L26" s="336" t="inlineStr"/>
      <c r="M26" s="336" t="inlineStr"/>
      <c r="N26" s="336" t="inlineStr"/>
      <c r="O26" s="354" t="inlineStr"/>
      <c r="P26" s="336" t="inlineStr"/>
      <c r="Q26" s="336" t="inlineStr"/>
      <c r="R26" s="336" t="inlineStr"/>
      <c r="S26" s="354" t="inlineStr"/>
      <c r="T26" t="inlineStr"/>
      <c r="U26" t="inlineStr"/>
      <c r="Y26" s="322" t="n"/>
      <c r="Z26" s="523" t="n"/>
      <c r="AA26" s="374" t="n"/>
      <c r="AB26" s="536" t="n"/>
      <c r="AD26" s="374" t="n"/>
      <c r="AE26" s="333" t="n"/>
      <c r="AG26" s="374" t="n"/>
      <c r="AH26" s="333" t="n"/>
      <c r="AJ26" s="374" t="n"/>
    </row>
    <row r="27" ht="22.2" customHeight="1" s="375">
      <c r="A27" s="3" t="n"/>
      <c r="E27" s="3" t="n"/>
      <c r="G27" s="533" t="inlineStr">
        <is>
          <t>ศุกร์</t>
        </is>
      </c>
      <c r="H27" s="376" t="inlineStr"/>
      <c r="I27" s="376" t="inlineStr"/>
      <c r="J27" s="381" t="inlineStr"/>
      <c r="K27" s="135" t="n"/>
      <c r="L27" s="334" t="inlineStr"/>
      <c r="M27" s="381" t="inlineStr"/>
      <c r="N27" s="381" t="inlineStr"/>
      <c r="O27" s="354" t="inlineStr"/>
      <c r="P27" s="381" t="inlineStr"/>
      <c r="Q27" s="367" t="inlineStr"/>
      <c r="R27" s="381" t="inlineStr"/>
      <c r="S27" s="354" t="inlineStr"/>
      <c r="T27" t="inlineStr"/>
      <c r="U27" t="inlineStr"/>
      <c r="W27" s="322" t="n"/>
      <c r="X27" s="322" t="n"/>
      <c r="Y27" s="322" t="n"/>
      <c r="Z27" s="334" t="n"/>
      <c r="AA27" s="374" t="n"/>
      <c r="AB27" s="532" t="n"/>
      <c r="AD27" s="374" t="n"/>
      <c r="AE27" s="333" t="n"/>
      <c r="AG27" s="374" t="n"/>
      <c r="AH27" s="333" t="n"/>
      <c r="AJ27" s="374" t="n"/>
    </row>
    <row r="28" ht="22.2" customHeight="1" s="375">
      <c r="A28" s="3" t="n"/>
      <c r="E28" s="3" t="n"/>
      <c r="G28" s="531" t="inlineStr">
        <is>
          <t>18 ก.ย.69</t>
        </is>
      </c>
      <c r="H28" s="376" t="inlineStr"/>
      <c r="I28" s="376" t="inlineStr"/>
      <c r="J28" s="334" t="inlineStr"/>
      <c r="K28" s="374" t="n"/>
      <c r="L28" s="334" t="inlineStr"/>
      <c r="M28" s="334" t="inlineStr"/>
      <c r="N28" s="334" t="inlineStr"/>
      <c r="O28" s="354" t="inlineStr"/>
      <c r="P28" s="334" t="inlineStr"/>
      <c r="Q28" s="334" t="inlineStr"/>
      <c r="R28" s="334" t="inlineStr"/>
      <c r="S28" s="354" t="inlineStr"/>
      <c r="T28" s="322" t="inlineStr"/>
      <c r="U28" s="322" t="inlineStr"/>
      <c r="V28" s="322" t="n"/>
      <c r="W28" s="322" t="n"/>
      <c r="X28" s="322" t="n"/>
      <c r="Y28" s="323" t="n"/>
      <c r="Z28" s="334" t="n"/>
      <c r="AA28" s="374" t="n"/>
      <c r="AB28" s="532" t="n"/>
      <c r="AD28" s="374" t="n"/>
      <c r="AE28" s="333" t="n"/>
      <c r="AG28" s="374" t="n"/>
      <c r="AH28" s="333" t="n"/>
      <c r="AJ28" s="374" t="n"/>
    </row>
    <row r="29" ht="22.2" customHeight="1" s="375">
      <c r="A29" s="3" t="n"/>
      <c r="E29" s="3" t="n"/>
      <c r="G29" s="334" t="inlineStr"/>
      <c r="H29" s="334" t="inlineStr"/>
      <c r="I29" s="334" t="inlineStr"/>
      <c r="J29" s="334" t="inlineStr"/>
      <c r="K29" s="374" t="n"/>
      <c r="L29" s="334" t="inlineStr"/>
      <c r="M29" s="334" t="inlineStr"/>
      <c r="N29" s="334" t="inlineStr"/>
      <c r="O29" s="354" t="inlineStr"/>
      <c r="P29" s="334" t="inlineStr"/>
      <c r="Q29" s="334" t="inlineStr"/>
      <c r="R29" s="334" t="inlineStr"/>
      <c r="S29" s="354" t="inlineStr"/>
      <c r="T29" s="6" t="inlineStr"/>
      <c r="U29" s="22" t="inlineStr"/>
      <c r="V29" s="57" t="n"/>
      <c r="W29" s="21" t="n"/>
      <c r="X29" s="21" t="n"/>
      <c r="Y29" s="314" t="n"/>
      <c r="Z29" s="334" t="n"/>
      <c r="AA29" s="374" t="n"/>
      <c r="AB29" s="390" t="n"/>
      <c r="AE29" s="333" t="n"/>
      <c r="AG29" s="374" t="n"/>
      <c r="AH29" s="333" t="n"/>
      <c r="AJ29" s="374" t="n"/>
    </row>
    <row r="30" ht="22.2" customHeight="1" s="375">
      <c r="A30" s="3" t="n"/>
      <c r="E30" s="3" t="n"/>
      <c r="G30" s="334" t="inlineStr"/>
      <c r="H30" s="334" t="inlineStr"/>
      <c r="I30" s="334" t="inlineStr"/>
      <c r="J30" s="334" t="inlineStr"/>
      <c r="K30" s="374" t="n"/>
      <c r="L30" s="334" t="inlineStr"/>
      <c r="M30" s="334" t="inlineStr"/>
      <c r="N30" s="334" t="inlineStr"/>
      <c r="O30" s="354" t="inlineStr"/>
      <c r="P30" s="334" t="inlineStr"/>
      <c r="Q30" s="334" t="inlineStr"/>
      <c r="R30" s="334" t="inlineStr"/>
      <c r="S30" s="354" t="inlineStr"/>
      <c r="T30" s="21" t="inlineStr"/>
      <c r="U30" s="22" t="inlineStr"/>
      <c r="V30" s="57" t="n"/>
      <c r="W30" s="21" t="n"/>
      <c r="X30" s="21" t="n"/>
      <c r="Y30" s="314" t="n"/>
      <c r="Z30" s="336" t="n"/>
      <c r="AA30" s="527" t="n"/>
      <c r="AB30" s="537" t="n"/>
      <c r="AC30" s="522" t="n"/>
      <c r="AD30" s="527" t="n"/>
      <c r="AE30" s="333" t="n"/>
      <c r="AG30" s="374" t="n"/>
      <c r="AH30" s="335" t="n"/>
      <c r="AI30" s="522" t="n"/>
      <c r="AJ30" s="527" t="n"/>
    </row>
    <row r="31" ht="22.2" customHeight="1" s="375">
      <c r="A31" s="3" t="n"/>
      <c r="E31" s="3" t="n"/>
      <c r="F31" s="3" t="n"/>
      <c r="G31" s="329" t="inlineStr"/>
      <c r="H31" s="328" t="inlineStr"/>
      <c r="I31" s="336" t="inlineStr"/>
      <c r="J31" s="336" t="inlineStr"/>
      <c r="K31" s="527" t="n"/>
      <c r="L31" s="336" t="inlineStr"/>
      <c r="M31" s="336" t="inlineStr"/>
      <c r="N31" s="336" t="inlineStr"/>
      <c r="O31" s="354" t="inlineStr"/>
      <c r="P31" s="336" t="inlineStr"/>
      <c r="Q31" s="336" t="inlineStr"/>
      <c r="R31" s="336" t="inlineStr"/>
      <c r="S31" s="354" t="inlineStr"/>
      <c r="T31" t="inlineStr"/>
      <c r="U31" t="inlineStr"/>
      <c r="AE31" s="153" t="n"/>
      <c r="AF31" s="153" t="n"/>
      <c r="AG31" s="153" t="n"/>
    </row>
    <row r="32" ht="22.2" customHeight="1" s="375">
      <c r="A32" s="3" t="n"/>
      <c r="E32" s="3" t="n"/>
      <c r="F32" s="3" t="n"/>
      <c r="G32" s="16" t="inlineStr">
        <is>
          <t>รวมขั่วโมงที่สอนแยก ภาระงาน/ เกินภาระงาน</t>
        </is>
      </c>
      <c r="H32" s="518" t="n"/>
      <c r="I32" s="518" t="n"/>
      <c r="J32" s="518" t="n"/>
      <c r="K32" s="432" t="n"/>
      <c r="L32" s="16">
        <f>SUM(L7:L31)</f>
        <v/>
      </c>
      <c r="M32" s="16">
        <f>SUM(M7:M31)</f>
        <v/>
      </c>
      <c r="N32" s="16" t="n"/>
      <c r="O32" s="16" t="n"/>
      <c r="P32" s="16">
        <f>SUM(P7:P31)</f>
        <v/>
      </c>
      <c r="Q32" s="16">
        <f>SUM(Q7:Q31)</f>
        <v/>
      </c>
      <c r="R32" s="349" t="n"/>
      <c r="S32" s="16" t="n"/>
    </row>
    <row r="33" ht="22.2" customHeight="1" s="375">
      <c r="A33" s="3" t="n"/>
      <c r="E33" s="3" t="n"/>
      <c r="F33" s="3" t="n"/>
      <c r="G33" s="16" t="inlineStr">
        <is>
          <t>รวมจำนวนชั่วโมงสอนคาบต่อสับดาห์</t>
        </is>
      </c>
      <c r="H33" s="518" t="n"/>
      <c r="I33" s="518" t="n"/>
      <c r="J33" s="518" t="n"/>
      <c r="K33" s="432" t="n"/>
      <c r="L33" s="16">
        <f>L32+M32</f>
        <v/>
      </c>
      <c r="M33" s="432" t="n"/>
      <c r="N33" s="16" t="n"/>
      <c r="O33" s="348" t="n"/>
      <c r="P33" s="16">
        <f>P32+Q32</f>
        <v/>
      </c>
      <c r="Q33" s="432" t="n"/>
      <c r="R33" s="329" t="n"/>
      <c r="S33" s="336" t="n"/>
    </row>
    <row r="34" ht="22.2" customHeight="1" s="375">
      <c r="A34" s="3" t="n"/>
      <c r="E34" s="3" t="n"/>
      <c r="F34" s="3" t="n"/>
      <c r="G34" s="16" t="inlineStr">
        <is>
          <t>จำนวนชั่วโมงสอนตามภาระงานสอน</t>
        </is>
      </c>
      <c r="H34" s="518" t="n"/>
      <c r="I34" s="518" t="n"/>
      <c r="J34" s="518" t="n"/>
      <c r="K34" s="432" t="n"/>
      <c r="L34" s="131" t="n">
        <v>12</v>
      </c>
      <c r="M34" s="432" t="n"/>
      <c r="N34" s="131" t="n"/>
      <c r="O34" s="130" t="n"/>
      <c r="P34" s="131" t="n">
        <v>0</v>
      </c>
      <c r="Q34" s="432" t="n"/>
      <c r="R34" s="322" t="n"/>
      <c r="S34" s="334" t="n"/>
    </row>
    <row r="35" ht="22.2" customHeight="1" s="375" thickBot="1">
      <c r="A35" s="3" t="n"/>
      <c r="E35" s="3" t="n"/>
      <c r="F35" s="14" t="n"/>
      <c r="G35" s="16" t="inlineStr">
        <is>
          <t>จำนวนชั่วโมงบิกเกินภาระงานสอน/ค่าสอน</t>
        </is>
      </c>
      <c r="H35" s="518" t="n"/>
      <c r="I35" s="518" t="n"/>
      <c r="J35" s="518" t="n"/>
      <c r="K35" s="432" t="n"/>
      <c r="L35" s="17" t="n">
        <v>0</v>
      </c>
      <c r="M35" s="17">
        <f>SUM(M7:M31)</f>
        <v/>
      </c>
      <c r="N35" s="17" t="n"/>
      <c r="O35" s="17">
        <f>SUM(O7:O31)</f>
        <v/>
      </c>
      <c r="P35" s="17" t="n">
        <v>0</v>
      </c>
      <c r="Q35" s="17">
        <f>SUM(Q7:Q31)</f>
        <v/>
      </c>
      <c r="R35" s="18" t="n"/>
      <c r="S35" s="17">
        <f>SUM(S7:S31)</f>
        <v/>
      </c>
    </row>
    <row r="36" ht="22.2" customHeight="1" s="375" thickTop="1">
      <c r="A36" s="337" t="inlineStr">
        <is>
          <t>รวมจำนวนหน่วยชั่วโมงที่ขอเบิกค่าสอน ….</t>
        </is>
      </c>
      <c r="B36" s="518" t="n"/>
      <c r="C36" s="518" t="n"/>
      <c r="D36" s="518" t="n"/>
      <c r="E36" s="518" t="n"/>
      <c r="F36" s="518" t="n"/>
      <c r="G36" s="518" t="n"/>
      <c r="H36" s="348">
        <f>M35+Q35</f>
        <v/>
      </c>
      <c r="I36" s="348" t="inlineStr">
        <is>
          <t>….ชั่วโมง</t>
        </is>
      </c>
      <c r="J36" s="348" t="n"/>
      <c r="K36" s="328" t="inlineStr">
        <is>
          <t>ยอดเงินรวม</t>
        </is>
      </c>
      <c r="L36" s="522" t="n"/>
      <c r="M36" s="522" t="n"/>
      <c r="N36" s="328" t="n"/>
      <c r="O36" s="328" t="n"/>
      <c r="P36" s="339">
        <f>S35+O35</f>
        <v/>
      </c>
      <c r="Q36" s="538" t="n"/>
      <c r="R36" s="20" t="n"/>
      <c r="S36" s="19" t="inlineStr">
        <is>
          <t>..บาท</t>
        </is>
      </c>
    </row>
    <row r="37" ht="22.2" customHeight="1" s="375">
      <c r="A37" s="154" t="inlineStr">
        <is>
          <t>ผู้ขอเบิก</t>
        </is>
      </c>
      <c r="B37" s="153" t="n"/>
      <c r="C37" s="153" t="n"/>
      <c r="D37" s="153" t="n"/>
      <c r="E37" s="153" t="n"/>
      <c r="F37" s="153" t="n"/>
      <c r="G37" s="135" t="n"/>
      <c r="H37" s="154" t="inlineStr">
        <is>
          <t>ผู้รับรอง</t>
        </is>
      </c>
      <c r="I37" s="153" t="n"/>
      <c r="J37" s="153" t="n"/>
      <c r="K37" s="153" t="n"/>
      <c r="L37" s="135" t="n"/>
      <c r="M37" s="154" t="inlineStr">
        <is>
          <t>ผู้ตรวจ</t>
        </is>
      </c>
      <c r="N37" s="153" t="n"/>
      <c r="O37" s="153" t="n"/>
      <c r="P37" s="153" t="n"/>
      <c r="Q37" s="153" t="n"/>
      <c r="R37" s="153" t="n"/>
      <c r="S37" s="135" t="n"/>
    </row>
    <row r="38" ht="22.2" customHeight="1" s="375">
      <c r="A38" s="334" t="inlineStr">
        <is>
          <t>ลงชื่อ……………………………………………</t>
        </is>
      </c>
      <c r="G38" s="374" t="n"/>
      <c r="H38" s="334" t="inlineStr">
        <is>
          <t>ลงชื่อ……………………………………………</t>
        </is>
      </c>
      <c r="L38" s="374" t="n"/>
      <c r="M38" s="334" t="inlineStr">
        <is>
          <t>ลงชื่อ……………………………………………</t>
        </is>
      </c>
      <c r="S38" s="374" t="n"/>
    </row>
    <row r="39" ht="22.2" customHeight="1" s="375">
      <c r="A39" s="11" t="inlineStr">
        <is>
          <t>(</t>
        </is>
      </c>
      <c r="B39" s="324">
        <f>B7</f>
        <v/>
      </c>
      <c r="G39" s="326" t="inlineStr">
        <is>
          <t>)</t>
        </is>
      </c>
      <c r="H39" s="324" t="inlineStr">
        <is>
          <t>(</t>
        </is>
      </c>
      <c r="I39" s="340" t="inlineStr">
        <is>
          <t xml:space="preserve">  นายชำนาญ แก้วจงประสิทธิ์</t>
        </is>
      </c>
      <c r="L39" s="12" t="inlineStr">
        <is>
          <t>)</t>
        </is>
      </c>
      <c r="M39" s="53" t="inlineStr">
        <is>
          <t>(</t>
        </is>
      </c>
      <c r="N39" s="53" t="n"/>
      <c r="O39" s="324" t="inlineStr">
        <is>
          <t>นายทศวรรษ  คำสม</t>
        </is>
      </c>
      <c r="R39" s="25" t="n"/>
      <c r="S39" s="326" t="inlineStr">
        <is>
          <t>)</t>
        </is>
      </c>
    </row>
    <row r="40" ht="22.2" customHeight="1" s="375">
      <c r="A40" s="54" t="inlineStr">
        <is>
          <t>ตำแหน่ง  ครู</t>
        </is>
      </c>
      <c r="G40" s="374" t="n"/>
      <c r="H40" s="54" t="inlineStr">
        <is>
          <t>ตำแหน่ง หัวหน้าแผนก</t>
        </is>
      </c>
      <c r="L40" s="374" t="n"/>
      <c r="M40" s="54" t="inlineStr">
        <is>
          <t>ตำแหน่ง   ผู้ตรวจสอบ</t>
        </is>
      </c>
      <c r="S40" s="374" t="n"/>
    </row>
    <row r="41" ht="22.2" customHeight="1" s="375">
      <c r="A41" s="55" t="inlineStr">
        <is>
          <t>วันที่ 22 เดือน กันยายน  พ.ศ.2569</t>
        </is>
      </c>
      <c r="B41" s="522" t="n"/>
      <c r="C41" s="522" t="n"/>
      <c r="D41" s="522" t="n"/>
      <c r="E41" s="522" t="n"/>
      <c r="F41" s="522" t="n"/>
      <c r="G41" s="527" t="n"/>
      <c r="H41" s="54">
        <f>A41</f>
        <v/>
      </c>
      <c r="L41" s="374" t="n"/>
      <c r="M41" s="55">
        <f>A41</f>
        <v/>
      </c>
      <c r="N41" s="522" t="n"/>
      <c r="O41" s="522" t="n"/>
      <c r="P41" s="522" t="n"/>
      <c r="Q41" s="522" t="n"/>
      <c r="R41" s="522" t="n"/>
      <c r="S41" s="527" t="n"/>
    </row>
    <row r="42" ht="22.2" customHeight="1" s="375">
      <c r="A42" s="154" t="inlineStr">
        <is>
          <t>ผู้ตรวจ</t>
        </is>
      </c>
      <c r="B42" s="153" t="n"/>
      <c r="C42" s="153" t="n"/>
      <c r="D42" s="153" t="n"/>
      <c r="E42" s="153" t="n"/>
      <c r="F42" s="153" t="n"/>
      <c r="G42" s="153" t="n"/>
      <c r="H42" s="153" t="n"/>
      <c r="I42" s="135" t="n"/>
      <c r="J42" s="154" t="inlineStr">
        <is>
          <t>ผู้เห็นชอบ</t>
        </is>
      </c>
      <c r="K42" s="153" t="n"/>
      <c r="L42" s="153" t="n"/>
      <c r="M42" s="153" t="n"/>
      <c r="N42" s="153" t="n"/>
      <c r="O42" s="153" t="n"/>
      <c r="P42" s="153" t="n"/>
      <c r="Q42" s="153" t="n"/>
      <c r="R42" s="153" t="n"/>
      <c r="S42" s="135" t="n"/>
    </row>
    <row r="43" ht="22.2" customHeight="1" s="375">
      <c r="A43" s="334" t="inlineStr">
        <is>
          <t>ลงชื่อ……………………………………………</t>
        </is>
      </c>
      <c r="I43" s="374" t="n"/>
      <c r="J43" s="334" t="inlineStr">
        <is>
          <t>ลงชื่อ……………………………………………</t>
        </is>
      </c>
      <c r="S43" s="374" t="n"/>
    </row>
    <row r="44" ht="22.2" customHeight="1" s="375">
      <c r="A44" s="11" t="n"/>
      <c r="B44" s="324" t="inlineStr">
        <is>
          <t xml:space="preserve">                     (นายศิวรักษ์ บุญประเสริฐ)</t>
        </is>
      </c>
      <c r="I44" s="326" t="n"/>
      <c r="J44" s="25" t="n"/>
      <c r="K44" s="25" t="n"/>
      <c r="L44" s="324" t="inlineStr">
        <is>
          <t xml:space="preserve">            (นายฉัตรชัย งาหอม)</t>
        </is>
      </c>
      <c r="R44" s="25" t="n"/>
      <c r="S44" s="12" t="n"/>
    </row>
    <row r="45" ht="22.2" customHeight="1" s="375">
      <c r="A45" s="54" t="inlineStr">
        <is>
          <t>ตำแหน่งครู  หัวหน้างานพัฒนาหลักสูตร ฯ</t>
        </is>
      </c>
      <c r="I45" s="374" t="n"/>
      <c r="J45" s="54" t="inlineStr">
        <is>
          <t>ตำแหน่ง  รองผู้อำนวยการฝ่ายวิชาการ</t>
        </is>
      </c>
      <c r="S45" s="374" t="n"/>
    </row>
    <row r="46" ht="22.2" customHeight="1" s="375">
      <c r="A46" s="336" t="inlineStr">
        <is>
          <t>วันที่.......เดือน..........................พ.ศ..............</t>
        </is>
      </c>
      <c r="B46" s="522" t="n"/>
      <c r="C46" s="522" t="n"/>
      <c r="D46" s="522" t="n"/>
      <c r="E46" s="522" t="n"/>
      <c r="F46" s="522" t="n"/>
      <c r="G46" s="522" t="n"/>
      <c r="H46" s="522" t="n"/>
      <c r="I46" s="527" t="n"/>
      <c r="J46" s="336" t="inlineStr">
        <is>
          <t>วันที่.......เดือน..........................พ.ศ..............</t>
        </is>
      </c>
      <c r="K46" s="522" t="n"/>
      <c r="L46" s="522" t="n"/>
      <c r="M46" s="522" t="n"/>
      <c r="N46" s="522" t="n"/>
      <c r="O46" s="522" t="n"/>
      <c r="P46" s="522" t="n"/>
      <c r="Q46" s="522" t="n"/>
      <c r="R46" s="522" t="n"/>
      <c r="S46" s="527" t="n"/>
    </row>
    <row r="47" ht="22.2" customHeight="1" s="375">
      <c r="A47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48" ht="22.2" customHeight="1" s="375">
      <c r="A48" s="365" t="inlineStr">
        <is>
          <t>แผนกวิชาช่างยนต์</t>
        </is>
      </c>
      <c r="AB48" s="389" t="n"/>
    </row>
    <row r="49" ht="22.2" customHeight="1" s="375">
      <c r="A49" s="366" t="inlineStr">
        <is>
          <t xml:space="preserve">    ระหว่างวันที่</t>
        </is>
      </c>
      <c r="D49" s="365">
        <f>D3</f>
        <v/>
      </c>
      <c r="E49" s="365" t="inlineStr">
        <is>
          <t xml:space="preserve">   เดือน  </t>
        </is>
      </c>
      <c r="F49" s="365">
        <f>F3</f>
        <v/>
      </c>
      <c r="H49" s="365">
        <f>H3</f>
        <v/>
      </c>
      <c r="I49" s="365" t="inlineStr">
        <is>
          <t xml:space="preserve">     ถึง วันที่</t>
        </is>
      </c>
      <c r="J49" s="365">
        <f>J3</f>
        <v/>
      </c>
      <c r="K49" s="365" t="inlineStr">
        <is>
          <t xml:space="preserve">   เดือน </t>
        </is>
      </c>
      <c r="L49" s="365">
        <f>L3</f>
        <v/>
      </c>
      <c r="N49" s="365">
        <f>N3</f>
        <v/>
      </c>
      <c r="P49" s="365" t="n"/>
      <c r="R49" s="365" t="n"/>
      <c r="AB49" s="389" t="n"/>
    </row>
    <row r="50" ht="22.2" customHeight="1" s="375">
      <c r="G50" s="51" t="inlineStr">
        <is>
          <t>ü</t>
        </is>
      </c>
      <c r="H50" s="351" t="inlineStr">
        <is>
          <t>ครู</t>
        </is>
      </c>
      <c r="I50" s="322" t="inlineStr">
        <is>
          <t>หน้าที่พิเศษ</t>
        </is>
      </c>
      <c r="J50" s="382" t="inlineStr">
        <is>
          <t>หัวงานทวิภาคี</t>
        </is>
      </c>
      <c r="K50" s="522" t="n"/>
      <c r="L50" s="522" t="n"/>
      <c r="M50" s="522" t="n"/>
      <c r="N50" s="522" t="n"/>
      <c r="O50" s="522" t="n"/>
      <c r="P50" s="522" t="n"/>
      <c r="AB50" s="388" t="n"/>
    </row>
    <row r="51" ht="22.2" customHeight="1" s="375">
      <c r="A51" s="24" t="inlineStr">
        <is>
          <t>ที่</t>
        </is>
      </c>
      <c r="B51" s="24" t="inlineStr">
        <is>
          <t>ชื่อ-สกุล</t>
        </is>
      </c>
      <c r="C51" s="153" t="n"/>
      <c r="D51" s="135" t="n"/>
      <c r="E51" s="15" t="inlineStr">
        <is>
          <t>ตำแหน่ง</t>
        </is>
      </c>
      <c r="F51" s="16" t="inlineStr">
        <is>
          <t>ระยะเวลาที่สอน</t>
        </is>
      </c>
      <c r="G51" s="432" t="n"/>
      <c r="H51" s="16" t="inlineStr">
        <is>
          <t>รหัสวิชา</t>
        </is>
      </c>
      <c r="I51" s="362" t="inlineStr">
        <is>
          <t>ชั้น,แผนก,ห้อง</t>
        </is>
      </c>
      <c r="J51" s="16" t="inlineStr">
        <is>
          <t>เวลาสอน</t>
        </is>
      </c>
      <c r="K51" s="135" t="n"/>
      <c r="L51" s="16" t="inlineStr">
        <is>
          <t>ปวช.(คาบ)</t>
        </is>
      </c>
      <c r="M51" s="432" t="n"/>
      <c r="N51" s="362" t="inlineStr">
        <is>
          <t>เงิน</t>
        </is>
      </c>
      <c r="O51" s="362" t="inlineStr">
        <is>
          <t>ยอดเงิน</t>
        </is>
      </c>
      <c r="P51" s="524" t="inlineStr">
        <is>
          <t>ปวส.(คาบ)</t>
        </is>
      </c>
      <c r="Q51" s="432" t="n"/>
      <c r="R51" s="354" t="inlineStr">
        <is>
          <t>เงิน</t>
        </is>
      </c>
      <c r="S51" s="362" t="inlineStr">
        <is>
          <t>ยอดเงิน</t>
        </is>
      </c>
      <c r="AB51" s="389" t="n"/>
    </row>
    <row r="52" ht="22.2" customHeight="1" s="375">
      <c r="A52" s="52" t="n"/>
      <c r="B52" s="8" t="n"/>
      <c r="C52" s="9" t="n"/>
      <c r="D52" s="13" t="n"/>
      <c r="E52" s="10" t="n"/>
      <c r="F52" s="336" t="inlineStr">
        <is>
          <t>ส.</t>
        </is>
      </c>
      <c r="G52" s="336" t="inlineStr">
        <is>
          <t>วดป.</t>
        </is>
      </c>
      <c r="H52" s="525" t="n"/>
      <c r="I52" s="336" t="n"/>
      <c r="J52" s="526" t="n"/>
      <c r="K52" s="527" t="n"/>
      <c r="L52" s="336" t="inlineStr">
        <is>
          <t>ใน</t>
        </is>
      </c>
      <c r="M52" s="336" t="inlineStr">
        <is>
          <t>นอก</t>
        </is>
      </c>
      <c r="N52" s="336" t="inlineStr">
        <is>
          <t>ต่อ ชม.</t>
        </is>
      </c>
      <c r="O52" s="336" t="inlineStr">
        <is>
          <t>(บาท)</t>
        </is>
      </c>
      <c r="P52" s="52" t="inlineStr">
        <is>
          <t>ใน</t>
        </is>
      </c>
      <c r="Q52" s="52" t="inlineStr">
        <is>
          <t>นอก</t>
        </is>
      </c>
      <c r="R52" s="336" t="inlineStr">
        <is>
          <t>ต่อ ชม.</t>
        </is>
      </c>
      <c r="S52" s="336" t="inlineStr">
        <is>
          <t>(บาท)</t>
        </is>
      </c>
    </row>
    <row r="53" ht="22.2" customHeight="1" s="375">
      <c r="A53" s="362" t="n">
        <v>2</v>
      </c>
      <c r="B53" s="528">
        <f>AB4</f>
        <v/>
      </c>
      <c r="C53" s="153" t="n"/>
      <c r="D53" s="135" t="n"/>
      <c r="E53" s="362" t="inlineStr">
        <is>
          <t>ครู</t>
        </is>
      </c>
      <c r="F53" s="5" t="n">
        <v>1</v>
      </c>
      <c r="G53" s="529" t="inlineStr">
        <is>
          <t>จันทร์</t>
        </is>
      </c>
      <c r="H53" s="381" t="inlineStr">
        <is>
          <t>20100-1006</t>
        </is>
      </c>
      <c r="I53" s="376" t="inlineStr">
        <is>
          <t>ชย.1/6 (26)</t>
        </is>
      </c>
      <c r="J53" s="381" t="inlineStr">
        <is>
          <t>08:10 - 12:10</t>
        </is>
      </c>
      <c r="K53" s="135" t="n"/>
      <c r="L53" s="367" t="n">
        <v>4</v>
      </c>
      <c r="M53" s="381" t="inlineStr"/>
      <c r="N53" s="381" t="inlineStr"/>
      <c r="O53" s="354" t="inlineStr"/>
      <c r="P53" s="381" t="inlineStr"/>
      <c r="Q53" s="367" t="inlineStr"/>
      <c r="R53" s="381" t="inlineStr"/>
      <c r="S53" s="354" t="inlineStr"/>
      <c r="T53" t="inlineStr"/>
      <c r="U53" t="inlineStr"/>
    </row>
    <row r="54" ht="22.2" customHeight="1" s="375">
      <c r="A54" s="3" t="n"/>
      <c r="B54" s="530" t="n"/>
      <c r="D54" s="374" t="n"/>
      <c r="E54" s="334" t="n"/>
      <c r="F54" s="322" t="n"/>
      <c r="G54" s="535" t="inlineStr">
        <is>
          <t>14 ก.ย.69</t>
        </is>
      </c>
      <c r="H54" s="376" t="inlineStr">
        <is>
          <t>20101-2008</t>
        </is>
      </c>
      <c r="I54" s="376" t="inlineStr">
        <is>
          <t>ชย.2/2 (26)</t>
        </is>
      </c>
      <c r="J54" s="334" t="inlineStr">
        <is>
          <t>13:10 - 17:10</t>
        </is>
      </c>
      <c r="K54" s="374" t="n"/>
      <c r="L54" s="323" t="n">
        <v>4</v>
      </c>
      <c r="M54" s="334" t="inlineStr"/>
      <c r="N54" s="334" t="inlineStr"/>
      <c r="O54" s="354" t="inlineStr"/>
      <c r="P54" s="334" t="inlineStr"/>
      <c r="Q54" s="334" t="inlineStr"/>
      <c r="R54" s="376" t="inlineStr"/>
      <c r="S54" s="354" t="inlineStr"/>
      <c r="T54" t="inlineStr"/>
      <c r="U54" t="inlineStr"/>
    </row>
    <row r="55" ht="22.2" customHeight="1" s="375">
      <c r="A55" s="3" t="n"/>
      <c r="B55" s="313" t="n"/>
      <c r="D55" s="314" t="n"/>
      <c r="E55" s="314" t="n"/>
      <c r="F55" s="322" t="n"/>
      <c r="G55" s="321" t="inlineStr"/>
      <c r="H55" s="334" t="inlineStr"/>
      <c r="I55" s="376" t="inlineStr"/>
      <c r="J55" s="376" t="inlineStr"/>
      <c r="K55" s="374" t="n"/>
      <c r="L55" s="334" t="inlineStr"/>
      <c r="M55" s="334" t="inlineStr"/>
      <c r="N55" s="334" t="inlineStr"/>
      <c r="O55" s="354" t="inlineStr"/>
      <c r="P55" s="334" t="inlineStr"/>
      <c r="Q55" s="334" t="inlineStr"/>
      <c r="R55" s="334" t="inlineStr"/>
      <c r="S55" s="354" t="inlineStr"/>
      <c r="T55" t="inlineStr"/>
      <c r="U55" t="inlineStr"/>
    </row>
    <row r="56" ht="22.2" customHeight="1" s="375">
      <c r="A56" s="3" t="n"/>
      <c r="B56" s="313" t="n"/>
      <c r="E56" s="3" t="n"/>
      <c r="F56" s="322" t="n"/>
      <c r="G56" s="321" t="inlineStr"/>
      <c r="H56" s="1" t="inlineStr"/>
      <c r="I56" s="1" t="inlineStr"/>
      <c r="J56" s="334" t="inlineStr"/>
      <c r="K56" s="374" t="n"/>
      <c r="L56" s="334" t="inlineStr"/>
      <c r="M56" s="334" t="inlineStr"/>
      <c r="N56" s="334" t="inlineStr"/>
      <c r="O56" s="354" t="inlineStr"/>
      <c r="P56" s="334" t="inlineStr"/>
      <c r="Q56" s="334" t="inlineStr"/>
      <c r="R56" s="334" t="inlineStr"/>
      <c r="S56" s="354" t="inlineStr"/>
      <c r="T56" t="inlineStr"/>
      <c r="U56" t="inlineStr"/>
      <c r="Y56" s="62" t="n"/>
      <c r="Z56" s="62" t="n"/>
      <c r="AA56" s="62" t="n"/>
      <c r="AB56" s="62" t="n"/>
    </row>
    <row r="57" ht="22.2" customHeight="1" s="375">
      <c r="A57" s="3" t="n"/>
      <c r="E57" s="3" t="n"/>
      <c r="G57" s="344" t="inlineStr"/>
      <c r="H57" s="336" t="inlineStr"/>
      <c r="I57" s="336" t="inlineStr"/>
      <c r="J57" s="336" t="inlineStr"/>
      <c r="K57" s="527" t="n"/>
      <c r="L57" s="334" t="inlineStr"/>
      <c r="M57" s="334" t="inlineStr"/>
      <c r="N57" s="334" t="inlineStr"/>
      <c r="O57" s="354" t="inlineStr"/>
      <c r="P57" s="334" t="inlineStr"/>
      <c r="Q57" s="334" t="inlineStr"/>
      <c r="R57" s="334" t="inlineStr"/>
      <c r="S57" s="354" t="inlineStr"/>
      <c r="T57" t="inlineStr"/>
      <c r="U57" t="inlineStr"/>
      <c r="Y57" s="63" t="n"/>
      <c r="Z57" s="63" t="n"/>
      <c r="AA57" s="63" t="n"/>
      <c r="AB57" s="63" t="n"/>
    </row>
    <row r="58" ht="22.2" customHeight="1" s="375">
      <c r="A58" s="3" t="n"/>
      <c r="E58" s="3" t="n"/>
      <c r="G58" s="533" t="inlineStr">
        <is>
          <t>อังคาร</t>
        </is>
      </c>
      <c r="H58" s="381" t="inlineStr">
        <is>
          <t>20100-1006</t>
        </is>
      </c>
      <c r="I58" s="376" t="inlineStr">
        <is>
          <t>ชย.1/8 (26)</t>
        </is>
      </c>
      <c r="J58" s="381" t="inlineStr">
        <is>
          <t>08:10 - 12:10</t>
        </is>
      </c>
      <c r="K58" s="135" t="n"/>
      <c r="L58" s="367" t="n">
        <v>4</v>
      </c>
      <c r="M58" s="381" t="inlineStr"/>
      <c r="N58" s="381" t="inlineStr"/>
      <c r="O58" s="354" t="inlineStr"/>
      <c r="P58" s="381" t="inlineStr"/>
      <c r="Q58" s="367" t="inlineStr"/>
      <c r="R58" s="381" t="inlineStr"/>
      <c r="S58" s="354" t="inlineStr"/>
      <c r="T58" t="inlineStr"/>
      <c r="U58" t="inlineStr"/>
      <c r="W58" s="63" t="n"/>
      <c r="X58" s="63" t="n"/>
      <c r="Y58" s="351" t="n"/>
      <c r="Z58" s="63" t="n"/>
      <c r="AA58" s="351" t="n"/>
      <c r="AB58" s="63" t="n"/>
    </row>
    <row r="59" ht="22.2" customHeight="1" s="375">
      <c r="A59" s="3" t="n"/>
      <c r="E59" s="3" t="n"/>
      <c r="G59" s="535" t="inlineStr">
        <is>
          <t>15 ก.ย.69</t>
        </is>
      </c>
      <c r="H59" s="376" t="inlineStr"/>
      <c r="I59" s="376" t="inlineStr"/>
      <c r="J59" s="334" t="inlineStr"/>
      <c r="K59" s="374" t="n"/>
      <c r="L59" s="334" t="inlineStr"/>
      <c r="M59" s="334" t="inlineStr"/>
      <c r="N59" s="334" t="inlineStr"/>
      <c r="O59" s="354" t="inlineStr"/>
      <c r="P59" s="334" t="inlineStr"/>
      <c r="Q59" s="334" t="inlineStr"/>
      <c r="R59" s="376" t="inlineStr"/>
      <c r="S59" s="354" t="inlineStr"/>
      <c r="T59" t="inlineStr"/>
      <c r="U59" t="inlineStr"/>
      <c r="W59" s="62" t="n"/>
      <c r="X59" s="62" t="n"/>
      <c r="Y59" s="62" t="n"/>
      <c r="Z59" s="63" t="n"/>
      <c r="AA59" s="64" t="n"/>
      <c r="AB59" s="63" t="n"/>
    </row>
    <row r="60" ht="22.2" customHeight="1" s="375">
      <c r="A60" s="3" t="n"/>
      <c r="B60" s="313" t="n"/>
      <c r="D60" s="314" t="n"/>
      <c r="E60" s="314" t="n"/>
      <c r="G60" s="334" t="inlineStr"/>
      <c r="H60" s="376" t="inlineStr"/>
      <c r="I60" s="376" t="inlineStr"/>
      <c r="J60" s="334" t="inlineStr"/>
      <c r="K60" s="374" t="n"/>
      <c r="L60" s="334" t="inlineStr"/>
      <c r="M60" s="334" t="inlineStr"/>
      <c r="N60" s="334" t="inlineStr"/>
      <c r="O60" s="354" t="inlineStr"/>
      <c r="P60" s="334" t="inlineStr"/>
      <c r="Q60" s="334" t="inlineStr"/>
      <c r="R60" s="334" t="inlineStr"/>
      <c r="S60" s="354" t="inlineStr"/>
      <c r="T60" t="inlineStr"/>
      <c r="U60" t="inlineStr"/>
      <c r="W60" s="62" t="n"/>
      <c r="X60" s="62" t="n"/>
      <c r="Y60" s="62" t="n"/>
      <c r="Z60" s="63" t="n"/>
      <c r="AA60" s="64" t="n"/>
      <c r="AB60" s="63" t="n"/>
    </row>
    <row r="61" ht="22.2" customHeight="1" s="375">
      <c r="A61" s="3" t="n"/>
      <c r="E61" s="3" t="n"/>
      <c r="G61" s="54" t="inlineStr"/>
      <c r="H61" s="322" t="inlineStr"/>
      <c r="I61" s="334" t="inlineStr"/>
      <c r="J61" s="334" t="inlineStr"/>
      <c r="K61" s="374" t="n"/>
      <c r="L61" s="334" t="inlineStr"/>
      <c r="M61" s="334" t="inlineStr"/>
      <c r="N61" s="334" t="inlineStr"/>
      <c r="O61" s="354" t="inlineStr"/>
      <c r="P61" s="334" t="inlineStr"/>
      <c r="Q61" s="334" t="inlineStr"/>
      <c r="R61" s="334" t="inlineStr"/>
      <c r="S61" s="354" t="inlineStr"/>
      <c r="T61" s="6" t="inlineStr"/>
      <c r="U61" s="22" t="inlineStr"/>
      <c r="V61" s="57" t="n"/>
      <c r="W61" s="21" t="n"/>
      <c r="X61" s="21" t="n"/>
      <c r="Y61" s="62" t="n"/>
      <c r="Z61" s="63" t="n"/>
      <c r="AA61" s="64" t="n"/>
      <c r="AB61" s="63" t="n"/>
    </row>
    <row r="62" ht="22.2" customHeight="1" s="375">
      <c r="A62" s="3" t="n"/>
      <c r="D62" s="7" t="inlineStr">
        <is>
          <t> </t>
        </is>
      </c>
      <c r="E62" s="3" t="n"/>
      <c r="G62" s="55" t="inlineStr"/>
      <c r="H62" s="327" t="inlineStr"/>
      <c r="I62" s="336" t="inlineStr"/>
      <c r="J62" s="336" t="inlineStr"/>
      <c r="K62" s="527" t="n"/>
      <c r="L62" s="334" t="inlineStr"/>
      <c r="M62" s="334" t="inlineStr"/>
      <c r="N62" s="334" t="inlineStr"/>
      <c r="O62" s="354" t="inlineStr"/>
      <c r="P62" s="334" t="inlineStr"/>
      <c r="Q62" s="334" t="inlineStr"/>
      <c r="R62" s="334" t="inlineStr"/>
      <c r="S62" s="354" t="inlineStr"/>
      <c r="T62" s="21" t="inlineStr"/>
      <c r="U62" s="22" t="inlineStr"/>
      <c r="V62" s="57" t="n"/>
      <c r="W62" s="21" t="n"/>
      <c r="X62" s="21" t="n"/>
      <c r="Y62" s="62" t="n"/>
      <c r="Z62" s="62" t="n"/>
      <c r="AA62" s="62" t="n"/>
      <c r="AB62" s="62" t="n"/>
    </row>
    <row r="63" ht="22.2" customHeight="1" s="375">
      <c r="A63" s="3" t="n"/>
      <c r="D63" s="374" t="n"/>
      <c r="E63" s="251" t="n"/>
      <c r="G63" s="539" t="inlineStr">
        <is>
          <t>พุธ</t>
        </is>
      </c>
      <c r="H63" s="381" t="inlineStr">
        <is>
          <t>20101-2011</t>
        </is>
      </c>
      <c r="I63" s="376" t="inlineStr">
        <is>
          <t>ชย.2/7 (26)</t>
        </is>
      </c>
      <c r="J63" s="381" t="inlineStr">
        <is>
          <t>08:10 - 12:10</t>
        </is>
      </c>
      <c r="K63" s="135" t="n"/>
      <c r="L63" s="381" t="n">
        <v>4</v>
      </c>
      <c r="M63" s="381" t="inlineStr"/>
      <c r="N63" s="381" t="inlineStr"/>
      <c r="O63" s="354" t="inlineStr"/>
      <c r="P63" s="381" t="inlineStr"/>
      <c r="Q63" s="381" t="inlineStr"/>
      <c r="R63" s="381" t="inlineStr"/>
      <c r="S63" s="354" t="inlineStr"/>
      <c r="T63" t="inlineStr"/>
      <c r="U63" t="inlineStr"/>
      <c r="Y63" s="62" t="n"/>
      <c r="Z63" s="62" t="n"/>
      <c r="AA63" s="62" t="n"/>
      <c r="AB63" s="62" t="n"/>
    </row>
    <row r="64" ht="22.2" customHeight="1" s="375">
      <c r="A64" s="3" t="n"/>
      <c r="B64" s="321" t="n"/>
      <c r="C64" s="322" t="n"/>
      <c r="D64" s="322" t="n"/>
      <c r="E64" s="334" t="n"/>
      <c r="G64" s="533" t="inlineStr">
        <is>
          <t>16 ก.ย.69</t>
        </is>
      </c>
      <c r="H64" s="376" t="inlineStr">
        <is>
          <t>20101-2011</t>
        </is>
      </c>
      <c r="I64" s="376" t="inlineStr">
        <is>
          <t>ชย.2/7 (26)</t>
        </is>
      </c>
      <c r="J64" s="334" t="inlineStr">
        <is>
          <t>13:10 - 16:10</t>
        </is>
      </c>
      <c r="K64" s="374" t="n"/>
      <c r="L64" s="334" t="inlineStr"/>
      <c r="M64" s="334" t="n">
        <v>3</v>
      </c>
      <c r="N64" s="334" t="n">
        <v>200</v>
      </c>
      <c r="O64" s="354">
        <f>M64*N64</f>
        <v/>
      </c>
      <c r="P64" s="334" t="inlineStr"/>
      <c r="Q64" s="334" t="inlineStr"/>
      <c r="R64" s="334" t="inlineStr"/>
      <c r="S64" s="354" t="inlineStr"/>
      <c r="T64" t="inlineStr"/>
      <c r="U64" t="inlineStr"/>
      <c r="Y64" s="62" t="n"/>
      <c r="Z64" s="62" t="n"/>
      <c r="AA64" s="62" t="n"/>
      <c r="AB64" s="62" t="n"/>
    </row>
    <row r="65" ht="22.2" customHeight="1" s="375">
      <c r="A65" s="3" t="n"/>
      <c r="B65" s="313" t="n"/>
      <c r="D65" s="314" t="n"/>
      <c r="E65" s="314" t="n"/>
      <c r="G65" s="334" t="inlineStr"/>
      <c r="H65" s="376" t="inlineStr"/>
      <c r="I65" s="376" t="inlineStr"/>
      <c r="J65" s="334" t="inlineStr"/>
      <c r="K65" s="374" t="n"/>
      <c r="L65" s="334" t="inlineStr"/>
      <c r="M65" s="334" t="inlineStr"/>
      <c r="N65" s="334" t="inlineStr"/>
      <c r="O65" s="354" t="inlineStr"/>
      <c r="P65" s="334" t="inlineStr"/>
      <c r="Q65" s="334" t="inlineStr"/>
      <c r="R65" s="334" t="inlineStr"/>
      <c r="S65" s="354" t="inlineStr"/>
      <c r="T65" t="inlineStr"/>
      <c r="U65" t="inlineStr"/>
      <c r="W65" s="62" t="n"/>
      <c r="X65" s="62" t="n"/>
    </row>
    <row r="66" ht="22.2" customHeight="1" s="375">
      <c r="A66" s="3" t="n"/>
      <c r="E66" s="3" t="n"/>
      <c r="G66" s="321" t="inlineStr"/>
      <c r="H66" s="334" t="inlineStr"/>
      <c r="I66" s="376" t="inlineStr"/>
      <c r="J66" s="334" t="inlineStr"/>
      <c r="K66" s="374" t="n"/>
      <c r="L66" s="334" t="inlineStr"/>
      <c r="M66" s="334" t="inlineStr"/>
      <c r="N66" s="334" t="inlineStr"/>
      <c r="O66" s="354" t="inlineStr"/>
      <c r="P66" s="334" t="inlineStr"/>
      <c r="Q66" s="334" t="inlineStr"/>
      <c r="R66" s="334" t="inlineStr"/>
      <c r="S66" s="354" t="inlineStr"/>
      <c r="T66" t="inlineStr"/>
      <c r="U66" t="inlineStr"/>
      <c r="Z66" s="322" t="n"/>
      <c r="AA66" s="322" t="n"/>
      <c r="AB66" s="322" t="n"/>
    </row>
    <row r="67" ht="22.2" customHeight="1" s="375">
      <c r="A67" s="3" t="n"/>
      <c r="E67" s="3" t="n"/>
      <c r="G67" s="327" t="inlineStr"/>
      <c r="H67" s="336" t="inlineStr"/>
      <c r="I67" s="336" t="inlineStr"/>
      <c r="J67" s="336" t="inlineStr"/>
      <c r="K67" s="527" t="n"/>
      <c r="L67" s="336" t="inlineStr"/>
      <c r="M67" s="336" t="inlineStr"/>
      <c r="N67" s="336" t="inlineStr"/>
      <c r="O67" s="354" t="inlineStr"/>
      <c r="P67" s="336" t="inlineStr"/>
      <c r="Q67" s="336" t="inlineStr"/>
      <c r="R67" s="336" t="inlineStr"/>
      <c r="S67" s="354" t="inlineStr"/>
      <c r="T67" t="inlineStr"/>
      <c r="U67" t="inlineStr"/>
      <c r="Y67" s="322" t="n"/>
      <c r="Z67" s="322" t="n"/>
      <c r="AA67" s="322" t="n"/>
      <c r="AB67" s="322" t="n"/>
    </row>
    <row r="68" ht="22.2" customHeight="1" s="375">
      <c r="A68" s="3" t="n"/>
      <c r="E68" s="3" t="n"/>
      <c r="G68" s="533" t="inlineStr">
        <is>
          <t>พฤหัส</t>
        </is>
      </c>
      <c r="H68" s="381" t="inlineStr">
        <is>
          <t>20000-2008</t>
        </is>
      </c>
      <c r="I68" s="376" t="inlineStr">
        <is>
          <t>ชย.ทวิ 3/9 (26)</t>
        </is>
      </c>
      <c r="J68" s="381" t="inlineStr">
        <is>
          <t>13:10 - 15:10</t>
        </is>
      </c>
      <c r="K68" s="135" t="n"/>
      <c r="L68" s="334" t="n">
        <v>2</v>
      </c>
      <c r="M68" s="334" t="inlineStr"/>
      <c r="N68" s="334" t="inlineStr"/>
      <c r="O68" s="354" t="inlineStr"/>
      <c r="P68" s="334" t="inlineStr"/>
      <c r="Q68" s="362" t="inlineStr"/>
      <c r="R68" s="362" t="inlineStr"/>
      <c r="S68" s="354" t="inlineStr"/>
      <c r="T68" t="inlineStr"/>
      <c r="U68" t="inlineStr"/>
      <c r="Y68" s="322" t="n"/>
      <c r="Z68" s="322" t="n"/>
      <c r="AA68" s="322" t="n"/>
      <c r="AB68" s="322" t="n"/>
    </row>
    <row r="69" ht="22.2" customHeight="1" s="375">
      <c r="A69" s="3" t="n"/>
      <c r="E69" s="3" t="n"/>
      <c r="G69" s="535" t="inlineStr">
        <is>
          <t>17 ก.ย.69</t>
        </is>
      </c>
      <c r="H69" s="376" t="inlineStr">
        <is>
          <t>20101-2050</t>
        </is>
      </c>
      <c r="I69" s="376" t="inlineStr">
        <is>
          <t>ชย.ทวิ 3/9 (26)</t>
        </is>
      </c>
      <c r="J69" s="376" t="inlineStr">
        <is>
          <t>19:10 - 21:10</t>
        </is>
      </c>
      <c r="K69" s="374" t="n"/>
      <c r="L69" s="323" t="inlineStr"/>
      <c r="M69" s="334" t="n">
        <v>2</v>
      </c>
      <c r="N69" s="334" t="n">
        <v>200</v>
      </c>
      <c r="O69" s="354">
        <f>M69*N69</f>
        <v/>
      </c>
      <c r="P69" s="376" t="inlineStr"/>
      <c r="Q69" s="334" t="inlineStr"/>
      <c r="R69" s="334" t="inlineStr"/>
      <c r="S69" s="354" t="inlineStr"/>
      <c r="T69" t="inlineStr"/>
      <c r="U69" s="322" t="inlineStr"/>
      <c r="V69" s="322" t="n"/>
      <c r="X69" s="322" t="n"/>
      <c r="Y69" s="322" t="n"/>
      <c r="Z69" s="322" t="n"/>
    </row>
    <row r="70" ht="22.2" customHeight="1" s="375">
      <c r="A70" s="3" t="n"/>
      <c r="B70" s="313" t="n"/>
      <c r="E70" s="3" t="n"/>
      <c r="G70" s="334" t="inlineStr"/>
      <c r="H70" s="376" t="inlineStr"/>
      <c r="I70" s="376" t="inlineStr"/>
      <c r="J70" s="334" t="inlineStr"/>
      <c r="K70" s="374" t="n"/>
      <c r="L70" s="376" t="inlineStr"/>
      <c r="M70" s="376" t="inlineStr"/>
      <c r="N70" s="376" t="inlineStr"/>
      <c r="O70" s="354" t="inlineStr"/>
      <c r="P70" t="inlineStr"/>
      <c r="Q70" s="376" t="inlineStr"/>
      <c r="R70" s="376" t="inlineStr"/>
      <c r="S70" s="354" t="inlineStr"/>
      <c r="T70" t="inlineStr"/>
      <c r="U70" s="322" t="inlineStr"/>
      <c r="V70" s="322" t="n"/>
      <c r="W70" s="322" t="n"/>
      <c r="X70" s="322" t="n"/>
      <c r="Y70" s="322" t="n"/>
      <c r="Z70" s="322" t="n"/>
    </row>
    <row r="71" ht="22.2" customHeight="1" s="375">
      <c r="A71" s="3" t="n"/>
      <c r="E71" s="3" t="n"/>
      <c r="G71" s="334" t="inlineStr"/>
      <c r="H71" s="334" t="inlineStr"/>
      <c r="I71" s="376" t="inlineStr"/>
      <c r="J71" s="376" t="inlineStr"/>
      <c r="K71" s="374" t="n"/>
      <c r="L71" s="334" t="inlineStr"/>
      <c r="M71" s="334" t="inlineStr"/>
      <c r="N71" s="334" t="inlineStr"/>
      <c r="O71" s="354" t="inlineStr"/>
      <c r="P71" s="376" t="inlineStr"/>
      <c r="Q71" s="334" t="inlineStr"/>
      <c r="R71" s="334" t="inlineStr"/>
      <c r="S71" s="354" t="inlineStr"/>
      <c r="T71" t="inlineStr"/>
      <c r="U71" s="322" t="inlineStr"/>
      <c r="V71" s="322" t="n"/>
      <c r="W71" s="322" t="n"/>
      <c r="X71" s="322" t="n"/>
      <c r="Y71" s="322" t="n"/>
      <c r="Z71" s="322" t="n"/>
    </row>
    <row r="72" ht="22.2" customHeight="1" s="375">
      <c r="A72" s="3" t="n"/>
      <c r="E72" s="3" t="n"/>
      <c r="G72" s="336" t="inlineStr"/>
      <c r="H72" s="336" t="inlineStr"/>
      <c r="I72" s="136" t="inlineStr"/>
      <c r="J72" s="336" t="inlineStr"/>
      <c r="K72" s="527" t="n"/>
      <c r="L72" s="336" t="inlineStr"/>
      <c r="M72" s="336" t="inlineStr"/>
      <c r="N72" s="336" t="inlineStr"/>
      <c r="O72" s="354" t="inlineStr"/>
      <c r="P72" s="334" t="inlineStr"/>
      <c r="Q72" s="336" t="inlineStr"/>
      <c r="R72" s="336" t="inlineStr"/>
      <c r="S72" s="354" t="inlineStr"/>
      <c r="T72" s="322" t="inlineStr"/>
      <c r="U72" s="322" t="inlineStr"/>
      <c r="V72" s="322" t="n"/>
      <c r="W72" s="322" t="n"/>
      <c r="X72" s="322" t="n"/>
      <c r="Y72" s="322" t="n"/>
    </row>
    <row r="73" ht="22.2" customHeight="1" s="375">
      <c r="A73" s="3" t="n"/>
      <c r="B73" s="143" t="n"/>
      <c r="C73" s="144" t="n"/>
      <c r="D73" s="145" t="n"/>
      <c r="E73" s="146" t="n"/>
      <c r="F73" s="145" t="n"/>
      <c r="G73" s="533" t="inlineStr">
        <is>
          <t>ศุกร์</t>
        </is>
      </c>
      <c r="H73" s="381" t="inlineStr">
        <is>
          <t>20101-2017</t>
        </is>
      </c>
      <c r="I73" s="381" t="inlineStr">
        <is>
          <t>ชย.ทวิ 3/9 (26)</t>
        </is>
      </c>
      <c r="J73" s="381" t="inlineStr">
        <is>
          <t>17:10 - 21:10</t>
        </is>
      </c>
      <c r="K73" s="135" t="n"/>
      <c r="L73" s="334" t="inlineStr"/>
      <c r="M73" s="334" t="n">
        <v>4</v>
      </c>
      <c r="N73" s="334" t="n">
        <v>200</v>
      </c>
      <c r="O73" s="354">
        <f>M73*N73</f>
        <v/>
      </c>
      <c r="P73" s="362" t="inlineStr"/>
      <c r="Q73" s="367" t="inlineStr"/>
      <c r="R73" s="381" t="inlineStr"/>
      <c r="S73" s="354" t="inlineStr"/>
      <c r="T73" s="322" t="inlineStr"/>
      <c r="U73" s="322" t="inlineStr"/>
      <c r="V73" s="322" t="n"/>
      <c r="W73" s="322" t="n"/>
      <c r="X73" s="322" t="n"/>
      <c r="Y73" s="322" t="n"/>
    </row>
    <row r="74" ht="22.2" customHeight="1" s="375">
      <c r="A74" s="3" t="n"/>
      <c r="D74" s="314" t="n"/>
      <c r="E74" s="3" t="n"/>
      <c r="G74" s="535" t="inlineStr">
        <is>
          <t>18 ก.ย.69</t>
        </is>
      </c>
      <c r="H74" s="376" t="inlineStr"/>
      <c r="I74" s="376" t="inlineStr"/>
      <c r="J74" s="376" t="inlineStr"/>
      <c r="K74" s="374" t="n"/>
      <c r="L74" s="334" t="inlineStr"/>
      <c r="M74" s="334" t="inlineStr"/>
      <c r="N74" s="334" t="inlineStr"/>
      <c r="O74" s="354" t="inlineStr"/>
      <c r="P74" s="334" t="inlineStr"/>
      <c r="Q74" s="334" t="inlineStr"/>
      <c r="R74" s="334" t="inlineStr"/>
      <c r="S74" s="354" t="inlineStr"/>
      <c r="T74" t="inlineStr"/>
      <c r="U74" t="inlineStr"/>
      <c r="W74" s="322" t="n"/>
      <c r="X74" s="322" t="n"/>
      <c r="Y74" s="322" t="n"/>
    </row>
    <row r="75" ht="22.2" customHeight="1" s="375">
      <c r="A75" s="3" t="n"/>
      <c r="B75" s="143" t="n"/>
      <c r="C75" s="144" t="n"/>
      <c r="D75" s="145" t="n"/>
      <c r="E75" s="146" t="n"/>
      <c r="F75" s="145" t="n"/>
      <c r="G75" s="334" t="inlineStr"/>
      <c r="H75" s="376" t="inlineStr"/>
      <c r="I75" s="376" t="inlineStr"/>
      <c r="J75" s="376" t="inlineStr"/>
      <c r="K75" s="374" t="n"/>
      <c r="L75" s="334" t="inlineStr"/>
      <c r="M75" s="334" t="inlineStr"/>
      <c r="N75" s="334" t="inlineStr"/>
      <c r="O75" s="354" t="inlineStr"/>
      <c r="P75" s="334" t="inlineStr"/>
      <c r="Q75" s="334" t="inlineStr"/>
      <c r="R75" s="334" t="inlineStr"/>
      <c r="S75" s="354" t="inlineStr"/>
      <c r="T75" s="322" t="inlineStr"/>
      <c r="U75" s="322" t="inlineStr"/>
      <c r="V75" s="322" t="n"/>
      <c r="W75" s="322" t="n"/>
      <c r="X75" s="322" t="n"/>
      <c r="Y75" s="322" t="n"/>
    </row>
    <row r="76" ht="22.2" customHeight="1" s="375">
      <c r="A76" s="3" t="n"/>
      <c r="E76" s="3" t="n"/>
      <c r="G76" s="334" t="inlineStr"/>
      <c r="H76" s="334" t="inlineStr"/>
      <c r="I76" s="376" t="inlineStr"/>
      <c r="J76" s="376" t="inlineStr"/>
      <c r="K76" s="374" t="n"/>
      <c r="L76" s="334" t="inlineStr"/>
      <c r="M76" s="334" t="inlineStr"/>
      <c r="N76" s="334" t="inlineStr"/>
      <c r="O76" s="354" t="inlineStr"/>
      <c r="P76" s="334" t="inlineStr"/>
      <c r="Q76" s="334" t="inlineStr"/>
      <c r="R76" s="334" t="inlineStr"/>
      <c r="S76" s="354" t="inlineStr"/>
      <c r="T76" s="383" t="inlineStr"/>
    </row>
    <row r="77" ht="22.2" customHeight="1" s="375">
      <c r="A77" s="3" t="n"/>
      <c r="E77" s="3" t="n"/>
      <c r="F77" s="3" t="n"/>
      <c r="G77" s="329" t="inlineStr"/>
      <c r="H77" s="334" t="inlineStr"/>
      <c r="I77" s="376" t="inlineStr"/>
      <c r="J77" s="334" t="inlineStr"/>
      <c r="K77" s="374" t="n"/>
      <c r="L77" s="336" t="inlineStr"/>
      <c r="M77" s="336" t="inlineStr"/>
      <c r="N77" s="336" t="inlineStr"/>
      <c r="O77" s="354" t="inlineStr"/>
      <c r="P77" s="334" t="inlineStr"/>
      <c r="Q77" s="336" t="inlineStr"/>
      <c r="R77" s="336" t="inlineStr"/>
      <c r="S77" s="354" t="inlineStr"/>
      <c r="T77" s="23" t="inlineStr"/>
      <c r="U77" s="23" t="inlineStr"/>
      <c r="V77" s="56" t="n"/>
      <c r="W77" s="23" t="n"/>
      <c r="X77" s="23" t="n"/>
    </row>
    <row r="78" ht="22.2" customHeight="1" s="375">
      <c r="A78" s="3" t="n"/>
      <c r="E78" s="3" t="n"/>
      <c r="F78" s="3" t="n"/>
      <c r="G78" s="16" t="inlineStr">
        <is>
          <t>รวมขั่วโมงที่สอนแยก ภาระงาน/ เกินภาระงาน</t>
        </is>
      </c>
      <c r="H78" s="518" t="n"/>
      <c r="I78" s="518" t="n"/>
      <c r="J78" s="518" t="n"/>
      <c r="K78" s="432" t="n"/>
      <c r="L78" s="16">
        <f>SUM(L53:L77)</f>
        <v/>
      </c>
      <c r="M78" s="16">
        <f>SUM(M53:M77)</f>
        <v/>
      </c>
      <c r="N78" s="16" t="n"/>
      <c r="O78" s="16" t="n"/>
      <c r="P78" s="16">
        <f>SUM(P53:P77)</f>
        <v/>
      </c>
      <c r="Q78" s="16">
        <f>SUM(Q53:Q77)</f>
        <v/>
      </c>
      <c r="R78" s="349" t="n"/>
      <c r="S78" s="16" t="n"/>
    </row>
    <row r="79" ht="22.2" customHeight="1" s="375">
      <c r="A79" s="3" t="n"/>
      <c r="E79" s="3" t="n"/>
      <c r="F79" s="3" t="n"/>
      <c r="G79" s="16" t="inlineStr">
        <is>
          <t>รวมจำนวนชั่วโมงสอนคาบต่อสับดาห์</t>
        </is>
      </c>
      <c r="H79" s="518" t="n"/>
      <c r="I79" s="518" t="n"/>
      <c r="J79" s="518" t="n"/>
      <c r="K79" s="432" t="n"/>
      <c r="L79" s="16">
        <f>L78+M78</f>
        <v/>
      </c>
      <c r="M79" s="432" t="n"/>
      <c r="N79" s="16" t="n"/>
      <c r="O79" s="348" t="n"/>
      <c r="P79" s="16">
        <f>P78+Q78</f>
        <v/>
      </c>
      <c r="Q79" s="432" t="n"/>
      <c r="R79" s="329" t="n"/>
      <c r="S79" s="336" t="n"/>
    </row>
    <row r="80" ht="22.2" customHeight="1" s="375">
      <c r="A80" s="3" t="n"/>
      <c r="E80" s="3" t="n"/>
      <c r="F80" s="3" t="n"/>
      <c r="G80" s="16" t="inlineStr">
        <is>
          <t>จำนวนชั่วโมงสอนตามภาระงานสอน</t>
        </is>
      </c>
      <c r="H80" s="518" t="n"/>
      <c r="I80" s="518" t="n"/>
      <c r="J80" s="518" t="n"/>
      <c r="K80" s="432" t="n"/>
      <c r="L80" s="16" t="n">
        <v>12</v>
      </c>
      <c r="M80" s="432" t="n"/>
      <c r="N80" s="348" t="n"/>
      <c r="O80" s="16" t="n"/>
      <c r="P80" s="16" t="n">
        <v>0</v>
      </c>
      <c r="Q80" s="432" t="n"/>
      <c r="R80" s="322" t="n"/>
      <c r="S80" s="334" t="n"/>
    </row>
    <row r="81" ht="22.2" customHeight="1" s="375" thickBot="1">
      <c r="A81" s="3" t="n"/>
      <c r="E81" s="3" t="n"/>
      <c r="F81" s="14" t="n"/>
      <c r="G81" s="16" t="inlineStr">
        <is>
          <t>จำนวนชั่วโมงบิกเกินภาระงานสอน/ค่าสอน</t>
        </is>
      </c>
      <c r="H81" s="518" t="n"/>
      <c r="I81" s="518" t="n"/>
      <c r="J81" s="518" t="n"/>
      <c r="K81" s="432" t="n"/>
      <c r="L81" s="17" t="n">
        <v>0</v>
      </c>
      <c r="M81" s="17">
        <f>SUM(M53:M77)</f>
        <v/>
      </c>
      <c r="N81" s="17" t="n"/>
      <c r="O81" s="17">
        <f>SUM(O53:O77)</f>
        <v/>
      </c>
      <c r="P81" s="17" t="n">
        <v>0</v>
      </c>
      <c r="Q81" s="17">
        <f>SUM(Q53:Q77)</f>
        <v/>
      </c>
      <c r="R81" s="18" t="n"/>
      <c r="S81" s="17">
        <f>SUM(S53:S77)</f>
        <v/>
      </c>
    </row>
    <row r="82" ht="22.2" customHeight="1" s="375" thickTop="1">
      <c r="A82" s="337" t="inlineStr">
        <is>
          <t>รวมจำนวนหน่วยชั่วโมงที่ขอเบิกค่าสอน ….</t>
        </is>
      </c>
      <c r="B82" s="518" t="n"/>
      <c r="C82" s="518" t="n"/>
      <c r="D82" s="518" t="n"/>
      <c r="E82" s="518" t="n"/>
      <c r="F82" s="518" t="n"/>
      <c r="G82" s="518" t="n"/>
      <c r="H82" s="348">
        <f>M81+Q81</f>
        <v/>
      </c>
      <c r="I82" s="348" t="inlineStr">
        <is>
          <t>….ชั่วโมง</t>
        </is>
      </c>
      <c r="J82" s="348" t="n"/>
      <c r="K82" s="328" t="inlineStr">
        <is>
          <t>ยอดเงินรวม</t>
        </is>
      </c>
      <c r="L82" s="522" t="n"/>
      <c r="M82" s="522" t="n"/>
      <c r="N82" s="328" t="n"/>
      <c r="O82" s="328" t="n"/>
      <c r="P82" s="339">
        <f>S81+O81</f>
        <v/>
      </c>
      <c r="Q82" s="538" t="n"/>
      <c r="R82" s="20" t="n"/>
      <c r="S82" s="19" t="inlineStr">
        <is>
          <t>..บาท</t>
        </is>
      </c>
    </row>
    <row r="83" ht="22.2" customHeight="1" s="375">
      <c r="A83" s="154" t="inlineStr">
        <is>
          <t>ผู้ขอเบิก</t>
        </is>
      </c>
      <c r="B83" s="153" t="n"/>
      <c r="C83" s="153" t="n"/>
      <c r="D83" s="153" t="n"/>
      <c r="E83" s="153" t="n"/>
      <c r="F83" s="153" t="n"/>
      <c r="G83" s="135" t="n"/>
      <c r="H83" s="154" t="inlineStr">
        <is>
          <t>ผู้รับรอง</t>
        </is>
      </c>
      <c r="I83" s="153" t="n"/>
      <c r="J83" s="153" t="n"/>
      <c r="K83" s="153" t="n"/>
      <c r="L83" s="135" t="n"/>
      <c r="M83" s="154" t="inlineStr">
        <is>
          <t>ผู้ตรวจ</t>
        </is>
      </c>
      <c r="N83" s="153" t="n"/>
      <c r="O83" s="153" t="n"/>
      <c r="P83" s="153" t="n"/>
      <c r="Q83" s="153" t="n"/>
      <c r="R83" s="153" t="n"/>
      <c r="S83" s="135" t="n"/>
      <c r="T83" s="387" t="n"/>
    </row>
    <row r="84" ht="22.2" customHeight="1" s="375">
      <c r="A84" s="334" t="inlineStr">
        <is>
          <t>ลงชื่อ……………………………………………</t>
        </is>
      </c>
      <c r="G84" s="374" t="n"/>
      <c r="H84" s="334" t="inlineStr">
        <is>
          <t>ลงชื่อ……………………………………………</t>
        </is>
      </c>
      <c r="L84" s="374" t="n"/>
      <c r="M84" s="334" t="inlineStr">
        <is>
          <t>ลงชื่อ……………………………………………</t>
        </is>
      </c>
      <c r="S84" s="374" t="n"/>
    </row>
    <row r="85" ht="22.2" customHeight="1" s="375">
      <c r="A85" s="11" t="inlineStr">
        <is>
          <t>(</t>
        </is>
      </c>
      <c r="B85" s="324">
        <f>B53</f>
        <v/>
      </c>
      <c r="G85" s="326" t="inlineStr">
        <is>
          <t>)</t>
        </is>
      </c>
      <c r="H85" s="324" t="inlineStr">
        <is>
          <t>(</t>
        </is>
      </c>
      <c r="I85" s="340">
        <f>I39</f>
        <v/>
      </c>
      <c r="L85" s="12" t="inlineStr">
        <is>
          <t>)</t>
        </is>
      </c>
      <c r="M85" s="53" t="inlineStr">
        <is>
          <t>(</t>
        </is>
      </c>
      <c r="N85" s="53" t="n"/>
      <c r="O85" s="324">
        <f>O39</f>
        <v/>
      </c>
      <c r="R85" s="25" t="n"/>
      <c r="S85" s="326" t="inlineStr">
        <is>
          <t>)</t>
        </is>
      </c>
    </row>
    <row r="86" ht="22.2" customHeight="1" s="375">
      <c r="A86" s="540" t="inlineStr">
        <is>
          <t xml:space="preserve">                         ตำแหน่ง  ครู</t>
        </is>
      </c>
      <c r="G86" s="374" t="n"/>
      <c r="H86" s="54" t="inlineStr">
        <is>
          <t>ตำแหน่ง หัวหน้าแผนก</t>
        </is>
      </c>
      <c r="L86" s="374" t="n"/>
      <c r="M86" s="54" t="inlineStr">
        <is>
          <t>ตำแหน่ง   ผู้ตรวจสอบ</t>
        </is>
      </c>
      <c r="S86" s="374" t="n"/>
    </row>
    <row r="87" ht="22.2" customHeight="1" s="375">
      <c r="A87" s="55" t="inlineStr">
        <is>
          <t>วันที่ 22 เดือน กันยายน  พ.ศ.2569</t>
        </is>
      </c>
      <c r="B87" s="522" t="n"/>
      <c r="C87" s="522" t="n"/>
      <c r="D87" s="522" t="n"/>
      <c r="E87" s="522" t="n"/>
      <c r="F87" s="522" t="n"/>
      <c r="G87" s="527" t="n"/>
      <c r="H87" s="54">
        <f>A41</f>
        <v/>
      </c>
      <c r="L87" s="374" t="n"/>
      <c r="M87" s="55">
        <f>A41</f>
        <v/>
      </c>
      <c r="N87" s="522" t="n"/>
      <c r="O87" s="522" t="n"/>
      <c r="P87" s="522" t="n"/>
      <c r="Q87" s="522" t="n"/>
      <c r="R87" s="522" t="n"/>
      <c r="S87" s="527" t="n"/>
    </row>
    <row r="88" ht="22.2" customHeight="1" s="375">
      <c r="A88" s="154" t="inlineStr">
        <is>
          <t>ผู้ตรวจ</t>
        </is>
      </c>
      <c r="B88" s="153" t="n"/>
      <c r="C88" s="153" t="n"/>
      <c r="D88" s="153" t="n"/>
      <c r="E88" s="153" t="n"/>
      <c r="F88" s="153" t="n"/>
      <c r="G88" s="153" t="n"/>
      <c r="H88" s="153" t="n"/>
      <c r="I88" s="135" t="n"/>
      <c r="J88" s="154" t="inlineStr">
        <is>
          <t>ผู้เห็นชอบ</t>
        </is>
      </c>
      <c r="K88" s="153" t="n"/>
      <c r="L88" s="153" t="n"/>
      <c r="M88" s="153" t="n"/>
      <c r="N88" s="153" t="n"/>
      <c r="O88" s="153" t="n"/>
      <c r="P88" s="153" t="n"/>
      <c r="Q88" s="153" t="n"/>
      <c r="R88" s="153" t="n"/>
      <c r="S88" s="135" t="n"/>
    </row>
    <row r="89" ht="22.2" customHeight="1" s="375">
      <c r="A89" s="334" t="inlineStr">
        <is>
          <t>ลงชื่อ……………………………………………</t>
        </is>
      </c>
      <c r="I89" s="374" t="n"/>
      <c r="J89" s="334" t="inlineStr">
        <is>
          <t>ลงชื่อ……………………………………………</t>
        </is>
      </c>
      <c r="S89" s="374" t="n"/>
    </row>
    <row r="90" ht="22.2" customHeight="1" s="375">
      <c r="A90" s="11" t="n"/>
      <c r="B90" s="324">
        <f>B44</f>
        <v/>
      </c>
      <c r="I90" s="326" t="n"/>
      <c r="J90" s="25" t="n"/>
      <c r="K90" s="25" t="n"/>
      <c r="L90" s="324">
        <f>L44</f>
        <v/>
      </c>
      <c r="R90" s="25" t="n"/>
      <c r="S90" s="12" t="n"/>
    </row>
    <row r="91" ht="22.2" customHeight="1" s="375">
      <c r="A91" s="54" t="inlineStr">
        <is>
          <t>ตำแหน่งครู  หัวหน้างานพัฒนาหลักสูตร ฯ</t>
        </is>
      </c>
      <c r="I91" s="374" t="n"/>
      <c r="J91" s="54" t="inlineStr">
        <is>
          <t>ตำแหน่ง  รองผู้อำนวยการฝ่ายวิชาการ</t>
        </is>
      </c>
      <c r="S91" s="374" t="n"/>
    </row>
    <row r="92" ht="22.2" customHeight="1" s="375">
      <c r="A92" s="336" t="inlineStr">
        <is>
          <t>วันที่.......เดือน..........................พ.ศ..............</t>
        </is>
      </c>
      <c r="B92" s="522" t="n"/>
      <c r="C92" s="522" t="n"/>
      <c r="D92" s="522" t="n"/>
      <c r="E92" s="522" t="n"/>
      <c r="F92" s="522" t="n"/>
      <c r="G92" s="522" t="n"/>
      <c r="H92" s="522" t="n"/>
      <c r="I92" s="527" t="n"/>
      <c r="J92" s="336" t="inlineStr">
        <is>
          <t>วันที่.......เดือน..........................พ.ศ..............</t>
        </is>
      </c>
      <c r="K92" s="522" t="n"/>
      <c r="L92" s="522" t="n"/>
      <c r="M92" s="522" t="n"/>
      <c r="N92" s="522" t="n"/>
      <c r="O92" s="522" t="n"/>
      <c r="P92" s="522" t="n"/>
      <c r="Q92" s="522" t="n"/>
      <c r="R92" s="522" t="n"/>
      <c r="S92" s="527" t="n"/>
    </row>
    <row r="93" ht="22.2" customHeight="1" s="375">
      <c r="A93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75">
      <c r="A94" s="365" t="inlineStr">
        <is>
          <t>แผนกวิชาช่างยนต์</t>
        </is>
      </c>
    </row>
    <row r="95" ht="22.2" customHeight="1" s="375">
      <c r="A95" s="366" t="inlineStr">
        <is>
          <t xml:space="preserve">    ระหว่างวันที่</t>
        </is>
      </c>
      <c r="D95" s="365">
        <f>D3</f>
        <v/>
      </c>
      <c r="E95" s="365" t="inlineStr">
        <is>
          <t xml:space="preserve">   เดือน  </t>
        </is>
      </c>
      <c r="F95" s="365">
        <f>F3</f>
        <v/>
      </c>
      <c r="H95" s="365">
        <f>H3</f>
        <v/>
      </c>
      <c r="I95" s="365" t="inlineStr">
        <is>
          <t xml:space="preserve">     ถึง วันที่</t>
        </is>
      </c>
      <c r="J95" s="365">
        <f>J3</f>
        <v/>
      </c>
      <c r="K95" s="365" t="inlineStr">
        <is>
          <t xml:space="preserve">   เดือน </t>
        </is>
      </c>
      <c r="L95" s="365">
        <f>L3</f>
        <v/>
      </c>
      <c r="N95" s="365">
        <f>N3</f>
        <v/>
      </c>
      <c r="P95" s="365" t="n"/>
      <c r="R95" s="365" t="n"/>
    </row>
    <row r="96" ht="22.2" customHeight="1" s="375">
      <c r="G96" s="51" t="inlineStr">
        <is>
          <t>ü</t>
        </is>
      </c>
      <c r="H96" s="351" t="inlineStr">
        <is>
          <t>ครู</t>
        </is>
      </c>
      <c r="I96" s="322" t="inlineStr">
        <is>
          <t>หน้าที่พิเศษ</t>
        </is>
      </c>
      <c r="J96" s="7" t="inlineStr">
        <is>
          <t>ผู้ช่วยงานกิจกรรมนักเรียนนักศึกษา, โครงการพิเศษและการบริการสังคม,</t>
        </is>
      </c>
    </row>
    <row r="97" ht="22.2" customHeight="1" s="375">
      <c r="A97" s="24" t="inlineStr">
        <is>
          <t>ที่</t>
        </is>
      </c>
      <c r="B97" s="24" t="inlineStr">
        <is>
          <t>ชื่อ-สกุล</t>
        </is>
      </c>
      <c r="C97" s="153" t="n"/>
      <c r="D97" s="135" t="n"/>
      <c r="E97" s="15" t="inlineStr">
        <is>
          <t>ตำแหน่ง</t>
        </is>
      </c>
      <c r="F97" s="16" t="inlineStr">
        <is>
          <t>ระยะเวลาที่สอน</t>
        </is>
      </c>
      <c r="G97" s="432" t="n"/>
      <c r="H97" s="16" t="inlineStr">
        <is>
          <t>รหัสวิชา</t>
        </is>
      </c>
      <c r="I97" s="362" t="inlineStr">
        <is>
          <t>ชั้น,แผนก,ห้อง</t>
        </is>
      </c>
      <c r="J97" s="16" t="inlineStr">
        <is>
          <t>เวลาสอน</t>
        </is>
      </c>
      <c r="K97" s="135" t="n"/>
      <c r="L97" s="16" t="inlineStr">
        <is>
          <t>ปวช.(คาบ)</t>
        </is>
      </c>
      <c r="M97" s="432" t="n"/>
      <c r="N97" s="354" t="inlineStr">
        <is>
          <t>เงิน</t>
        </is>
      </c>
      <c r="O97" s="362" t="inlineStr">
        <is>
          <t>ยอดเงิน</t>
        </is>
      </c>
      <c r="P97" s="524" t="inlineStr">
        <is>
          <t>ปวส.(คาบ)</t>
        </is>
      </c>
      <c r="Q97" s="432" t="n"/>
      <c r="R97" s="354" t="inlineStr">
        <is>
          <t>เงิน</t>
        </is>
      </c>
      <c r="S97" s="362" t="inlineStr">
        <is>
          <t>ยอดเงิน</t>
        </is>
      </c>
    </row>
    <row r="98" ht="22.2" customHeight="1" s="375">
      <c r="A98" s="52" t="n"/>
      <c r="B98" s="8" t="n"/>
      <c r="C98" s="9" t="n"/>
      <c r="D98" s="13" t="n"/>
      <c r="E98" s="10" t="n"/>
      <c r="F98" s="336" t="inlineStr">
        <is>
          <t>ส.</t>
        </is>
      </c>
      <c r="G98" s="336" t="inlineStr">
        <is>
          <t>วดป.</t>
        </is>
      </c>
      <c r="H98" s="525" t="n"/>
      <c r="I98" s="336" t="n"/>
      <c r="J98" s="526" t="n"/>
      <c r="K98" s="527" t="n"/>
      <c r="L98" s="336" t="inlineStr">
        <is>
          <t>ใน</t>
        </is>
      </c>
      <c r="M98" s="336" t="inlineStr">
        <is>
          <t>นอก</t>
        </is>
      </c>
      <c r="N98" s="336" t="inlineStr">
        <is>
          <t>ต่อ ชม.</t>
        </is>
      </c>
      <c r="O98" s="336" t="inlineStr">
        <is>
          <t>(บาท)</t>
        </is>
      </c>
      <c r="P98" s="52" t="inlineStr">
        <is>
          <t>ใน</t>
        </is>
      </c>
      <c r="Q98" s="52" t="inlineStr">
        <is>
          <t>นอก</t>
        </is>
      </c>
      <c r="R98" s="336" t="inlineStr">
        <is>
          <t>ต่อ ชม.</t>
        </is>
      </c>
      <c r="S98" s="336" t="inlineStr">
        <is>
          <t>(บาท)</t>
        </is>
      </c>
    </row>
    <row r="99" ht="22.2" customHeight="1" s="375">
      <c r="A99" s="362" t="n">
        <v>3</v>
      </c>
      <c r="B99" s="528">
        <f>AB5</f>
        <v/>
      </c>
      <c r="C99" s="153" t="n"/>
      <c r="D99" s="135" t="n"/>
      <c r="E99" s="362" t="inlineStr">
        <is>
          <t>ครู</t>
        </is>
      </c>
      <c r="F99" s="5" t="n">
        <v>1</v>
      </c>
      <c r="G99" s="529" t="inlineStr">
        <is>
          <t>จันทร์</t>
        </is>
      </c>
      <c r="H99" s="381" t="inlineStr">
        <is>
          <t>20101-2008</t>
        </is>
      </c>
      <c r="I99" s="376" t="inlineStr">
        <is>
          <t>ชย.2/1 (26)</t>
        </is>
      </c>
      <c r="J99" s="381" t="inlineStr">
        <is>
          <t>08:10 - 12:10</t>
        </is>
      </c>
      <c r="K99" s="135" t="n"/>
      <c r="L99" s="367" t="n">
        <v>4</v>
      </c>
      <c r="M99" s="381" t="inlineStr"/>
      <c r="N99" s="381" t="inlineStr"/>
      <c r="O99" s="354" t="inlineStr"/>
      <c r="P99" s="381" t="inlineStr"/>
      <c r="Q99" s="367" t="inlineStr"/>
      <c r="R99" s="381" t="inlineStr"/>
      <c r="S99" s="354" t="inlineStr"/>
      <c r="T99" t="inlineStr"/>
      <c r="U99" t="inlineStr"/>
    </row>
    <row r="100" ht="22.2" customHeight="1" s="375">
      <c r="A100" s="3" t="n"/>
      <c r="B100" s="530" t="n"/>
      <c r="D100" s="374" t="n"/>
      <c r="E100" s="334" t="n"/>
      <c r="F100" s="322" t="n"/>
      <c r="G100" s="535" t="inlineStr">
        <is>
          <t>14 ก.ย.69</t>
        </is>
      </c>
      <c r="H100" s="376" t="inlineStr">
        <is>
          <t>20100-1005</t>
        </is>
      </c>
      <c r="I100" s="376" t="inlineStr">
        <is>
          <t>ชย.1/2 (26)</t>
        </is>
      </c>
      <c r="J100" s="376" t="inlineStr">
        <is>
          <t>13:10 - 17:10</t>
        </is>
      </c>
      <c r="K100" s="374" t="n"/>
      <c r="L100" s="334" t="n">
        <v>4</v>
      </c>
      <c r="M100" s="334" t="inlineStr"/>
      <c r="N100" s="334" t="inlineStr"/>
      <c r="O100" s="354" t="inlineStr"/>
      <c r="P100" s="334" t="inlineStr"/>
      <c r="Q100" s="334" t="inlineStr"/>
      <c r="R100" s="334" t="inlineStr"/>
      <c r="S100" s="354" t="inlineStr"/>
      <c r="T100" t="inlineStr"/>
      <c r="U100" t="inlineStr"/>
    </row>
    <row r="101" ht="22.2" customHeight="1" s="375">
      <c r="A101" s="3" t="n"/>
      <c r="B101" s="313" t="n"/>
      <c r="D101" s="47" t="n"/>
      <c r="E101" s="314" t="n"/>
      <c r="F101" s="322" t="n"/>
      <c r="G101" s="325" t="inlineStr"/>
      <c r="H101" s="376" t="inlineStr"/>
      <c r="I101" s="376" t="inlineStr"/>
      <c r="J101" s="376" t="inlineStr"/>
      <c r="K101" s="374" t="n"/>
      <c r="L101" s="334" t="inlineStr"/>
      <c r="M101" s="334" t="inlineStr"/>
      <c r="N101" s="334" t="inlineStr"/>
      <c r="O101" s="354" t="inlineStr"/>
      <c r="P101" s="334" t="inlineStr"/>
      <c r="Q101" s="334" t="inlineStr"/>
      <c r="R101" s="334" t="inlineStr"/>
      <c r="S101" s="354" t="inlineStr"/>
      <c r="T101" t="inlineStr"/>
      <c r="U101" t="inlineStr"/>
    </row>
    <row r="102" ht="22.2" customHeight="1" s="375">
      <c r="A102" s="3" t="n"/>
      <c r="B102" s="313" t="n"/>
      <c r="D102" s="61" t="n"/>
      <c r="E102" s="3" t="n"/>
      <c r="F102" s="322" t="n"/>
      <c r="G102" s="325" t="inlineStr"/>
      <c r="H102" s="334" t="inlineStr"/>
      <c r="I102" s="1" t="inlineStr"/>
      <c r="J102" s="1" t="inlineStr"/>
      <c r="K102" s="374" t="n"/>
      <c r="L102" s="334" t="inlineStr"/>
      <c r="M102" s="334" t="inlineStr"/>
      <c r="N102" s="334" t="inlineStr"/>
      <c r="O102" s="354" t="inlineStr"/>
      <c r="P102" s="334" t="inlineStr"/>
      <c r="Q102" s="334" t="inlineStr"/>
      <c r="R102" s="334" t="inlineStr"/>
      <c r="S102" s="354" t="inlineStr"/>
      <c r="T102" t="inlineStr"/>
      <c r="U102" t="inlineStr"/>
    </row>
    <row r="103" ht="22.2" customHeight="1" s="375">
      <c r="A103" s="3" t="n"/>
      <c r="E103" s="3" t="n"/>
      <c r="G103" s="55" t="inlineStr"/>
      <c r="H103" s="336" t="inlineStr"/>
      <c r="I103" s="336" t="inlineStr"/>
      <c r="J103" s="336" t="inlineStr"/>
      <c r="K103" s="527" t="n"/>
      <c r="L103" s="334" t="inlineStr"/>
      <c r="M103" s="334" t="inlineStr"/>
      <c r="N103" s="334" t="inlineStr"/>
      <c r="O103" s="354" t="inlineStr"/>
      <c r="P103" s="334" t="inlineStr"/>
      <c r="Q103" s="334" t="inlineStr"/>
      <c r="R103" s="334" t="inlineStr"/>
      <c r="S103" s="354" t="inlineStr"/>
      <c r="T103" t="inlineStr"/>
      <c r="U103" t="inlineStr"/>
    </row>
    <row r="104" ht="22.2" customHeight="1" s="375">
      <c r="A104" s="3" t="n"/>
      <c r="E104" s="3" t="n"/>
      <c r="G104" s="533" t="inlineStr">
        <is>
          <t>อังคาร</t>
        </is>
      </c>
      <c r="H104" s="381" t="inlineStr">
        <is>
          <t>20101-2008</t>
        </is>
      </c>
      <c r="I104" s="376" t="inlineStr">
        <is>
          <t>ชย.2/3 (26)</t>
        </is>
      </c>
      <c r="J104" s="381" t="inlineStr">
        <is>
          <t>08:10 - 12:10</t>
        </is>
      </c>
      <c r="K104" s="135" t="n"/>
      <c r="L104" s="176" t="n">
        <v>4</v>
      </c>
      <c r="M104" s="381" t="inlineStr"/>
      <c r="N104" s="381" t="inlineStr"/>
      <c r="O104" s="354" t="inlineStr"/>
      <c r="P104" s="381" t="inlineStr"/>
      <c r="Q104" s="367" t="inlineStr"/>
      <c r="R104" s="381" t="inlineStr"/>
      <c r="S104" s="354" t="inlineStr"/>
      <c r="T104" s="383" t="inlineStr"/>
    </row>
    <row r="105" ht="22.2" customHeight="1" s="375">
      <c r="A105" s="3" t="n"/>
      <c r="E105" s="3" t="n"/>
      <c r="G105" s="535" t="inlineStr">
        <is>
          <t>15 ก.ย.69</t>
        </is>
      </c>
      <c r="H105" s="376" t="inlineStr">
        <is>
          <t>20100-1005</t>
        </is>
      </c>
      <c r="I105" s="376" t="inlineStr">
        <is>
          <t>ชย.1/1 (26)</t>
        </is>
      </c>
      <c r="J105" s="376" t="inlineStr">
        <is>
          <t>13:10 - 17:10</t>
        </is>
      </c>
      <c r="K105" s="374" t="n"/>
      <c r="L105" s="334" t="n">
        <v>4</v>
      </c>
      <c r="M105" s="334" t="inlineStr"/>
      <c r="N105" s="334" t="inlineStr"/>
      <c r="O105" s="354" t="inlineStr"/>
      <c r="P105" s="334" t="inlineStr"/>
      <c r="Q105" s="334" t="inlineStr"/>
      <c r="R105" s="376" t="inlineStr"/>
      <c r="S105" s="354" t="inlineStr"/>
      <c r="T105" s="23" t="inlineStr"/>
      <c r="U105" s="23" t="inlineStr"/>
      <c r="V105" s="56" t="n"/>
      <c r="W105" s="23" t="n"/>
      <c r="X105" s="23" t="n"/>
    </row>
    <row r="106" ht="22.2" customHeight="1" s="375">
      <c r="A106" s="3" t="n"/>
      <c r="B106" s="313" t="n"/>
      <c r="D106" s="314" t="n"/>
      <c r="E106" s="314" t="n"/>
      <c r="G106" s="334" t="inlineStr"/>
      <c r="H106" s="376" t="inlineStr"/>
      <c r="I106" s="376" t="inlineStr"/>
      <c r="J106" s="376" t="inlineStr"/>
      <c r="K106" s="374" t="n"/>
      <c r="L106" s="334" t="inlineStr"/>
      <c r="M106" s="334" t="inlineStr"/>
      <c r="N106" s="334" t="inlineStr"/>
      <c r="O106" s="354" t="inlineStr"/>
      <c r="P106" s="334" t="inlineStr"/>
      <c r="Q106" s="334" t="inlineStr"/>
      <c r="R106" s="376" t="inlineStr"/>
      <c r="S106" s="354" t="inlineStr"/>
      <c r="T106" t="inlineStr"/>
      <c r="U106" t="inlineStr"/>
    </row>
    <row r="107" ht="22.2" customHeight="1" s="375">
      <c r="A107" s="3" t="n"/>
      <c r="B107" s="313" t="n"/>
      <c r="D107" s="314" t="n"/>
      <c r="E107" s="314" t="n"/>
      <c r="G107" s="54" t="inlineStr"/>
      <c r="H107" s="334" t="inlineStr"/>
      <c r="I107" s="334" t="inlineStr"/>
      <c r="J107" s="334" t="inlineStr"/>
      <c r="K107" s="374" t="n"/>
      <c r="L107" s="334" t="inlineStr"/>
      <c r="M107" s="334" t="inlineStr"/>
      <c r="N107" s="334" t="inlineStr"/>
      <c r="O107" s="354" t="inlineStr"/>
      <c r="P107" s="334" t="inlineStr"/>
      <c r="Q107" s="334" t="inlineStr"/>
      <c r="R107" s="334" t="inlineStr"/>
      <c r="S107" s="354" t="inlineStr"/>
      <c r="T107" t="inlineStr"/>
      <c r="U107" t="inlineStr"/>
    </row>
    <row r="108" ht="22.2" customHeight="1" s="375">
      <c r="A108" s="3" t="n"/>
      <c r="B108" s="313" t="n"/>
      <c r="E108" s="3" t="n"/>
      <c r="G108" s="55" t="inlineStr"/>
      <c r="H108" s="336" t="inlineStr"/>
      <c r="I108" s="336" t="inlineStr"/>
      <c r="J108" s="336" t="inlineStr"/>
      <c r="K108" s="527" t="n"/>
      <c r="L108" s="334" t="inlineStr"/>
      <c r="M108" s="334" t="inlineStr"/>
      <c r="N108" s="334" t="inlineStr"/>
      <c r="O108" s="354" t="inlineStr"/>
      <c r="P108" s="334" t="inlineStr"/>
      <c r="Q108" s="334" t="inlineStr"/>
      <c r="R108" s="334" t="inlineStr"/>
      <c r="S108" s="354" t="inlineStr"/>
      <c r="T108" t="inlineStr"/>
      <c r="U108" t="inlineStr"/>
    </row>
    <row r="109" ht="22.2" customHeight="1" s="375">
      <c r="A109" s="3" t="n"/>
      <c r="E109" s="3" t="n"/>
      <c r="G109" s="535" t="inlineStr">
        <is>
          <t>พุธ</t>
        </is>
      </c>
      <c r="H109" s="381" t="inlineStr">
        <is>
          <t>20100-1005</t>
        </is>
      </c>
      <c r="I109" s="376" t="inlineStr">
        <is>
          <t>ชย.1/4 (26)</t>
        </is>
      </c>
      <c r="J109" s="381" t="inlineStr">
        <is>
          <t>08:10 - 12:10</t>
        </is>
      </c>
      <c r="K109" s="135" t="n"/>
      <c r="L109" s="367" t="n">
        <v>3</v>
      </c>
      <c r="M109" s="381" t="n">
        <v>1</v>
      </c>
      <c r="N109" s="381" t="n">
        <v>200</v>
      </c>
      <c r="O109" s="354">
        <f>M109*N109</f>
        <v/>
      </c>
      <c r="P109" s="381" t="inlineStr"/>
      <c r="Q109" s="367" t="inlineStr"/>
      <c r="R109" s="381" t="inlineStr"/>
      <c r="S109" s="354" t="inlineStr"/>
      <c r="T109" t="inlineStr"/>
      <c r="U109" t="inlineStr"/>
    </row>
    <row r="110" ht="22.2" customHeight="1" s="375">
      <c r="A110" s="3" t="n"/>
      <c r="E110" s="3" t="n"/>
      <c r="G110" s="535" t="inlineStr">
        <is>
          <t>16 ก.ย.69</t>
        </is>
      </c>
      <c r="H110" s="376" t="inlineStr">
        <is>
          <t>20143-2015</t>
        </is>
      </c>
      <c r="I110" s="376" t="inlineStr">
        <is>
          <t>ชยฟ.3/1 (26)</t>
        </is>
      </c>
      <c r="J110" s="334" t="inlineStr">
        <is>
          <t>13:10 - 17:10</t>
        </is>
      </c>
      <c r="K110" s="374" t="n"/>
      <c r="L110" s="334" t="inlineStr"/>
      <c r="M110" s="334" t="n">
        <v>4</v>
      </c>
      <c r="N110" s="334" t="n">
        <v>200</v>
      </c>
      <c r="O110" s="354">
        <f>M110*N110</f>
        <v/>
      </c>
      <c r="P110" s="334" t="inlineStr"/>
      <c r="Q110" s="334" t="inlineStr"/>
      <c r="R110" s="334" t="inlineStr"/>
      <c r="S110" s="354" t="inlineStr"/>
      <c r="T110" t="inlineStr"/>
      <c r="U110" t="inlineStr"/>
    </row>
    <row r="111" ht="22.2" customHeight="1" s="375">
      <c r="A111" s="3" t="n"/>
      <c r="E111" s="3" t="n"/>
      <c r="G111" s="334" t="inlineStr"/>
      <c r="H111" s="376" t="inlineStr"/>
      <c r="I111" s="376" t="inlineStr"/>
      <c r="J111" s="376" t="inlineStr"/>
      <c r="K111" s="374" t="n"/>
      <c r="L111" s="334" t="inlineStr"/>
      <c r="M111" s="334" t="inlineStr"/>
      <c r="N111" s="334" t="inlineStr"/>
      <c r="O111" s="354" t="inlineStr"/>
      <c r="P111" s="334" t="inlineStr"/>
      <c r="Q111" s="334" t="inlineStr"/>
      <c r="R111" s="334" t="inlineStr"/>
      <c r="S111" s="354" t="inlineStr"/>
      <c r="T111" t="inlineStr"/>
      <c r="U111" t="inlineStr"/>
    </row>
    <row r="112" ht="22.2" customHeight="1" s="375">
      <c r="A112" s="3" t="n"/>
      <c r="B112" s="313" t="n"/>
      <c r="D112" s="314" t="n"/>
      <c r="E112" s="314" t="n"/>
      <c r="G112" s="321" t="inlineStr"/>
      <c r="H112" s="334" t="inlineStr"/>
      <c r="I112" s="376" t="inlineStr"/>
      <c r="J112" s="334" t="inlineStr"/>
      <c r="K112" s="374" t="n"/>
      <c r="L112" s="334" t="inlineStr"/>
      <c r="M112" s="334" t="inlineStr"/>
      <c r="N112" s="334" t="inlineStr"/>
      <c r="O112" s="354" t="inlineStr"/>
      <c r="P112" s="334" t="inlineStr"/>
      <c r="Q112" s="334" t="inlineStr"/>
      <c r="R112" s="334" t="inlineStr"/>
      <c r="S112" s="354" t="inlineStr"/>
      <c r="T112" t="inlineStr"/>
      <c r="U112" t="inlineStr"/>
    </row>
    <row r="113" ht="22.2" customHeight="1" s="375">
      <c r="A113" s="3" t="n"/>
      <c r="E113" s="3" t="n"/>
      <c r="G113" s="327" t="inlineStr"/>
      <c r="H113" s="336" t="inlineStr"/>
      <c r="I113" s="336" t="inlineStr"/>
      <c r="J113" s="336" t="inlineStr"/>
      <c r="K113" s="527" t="n"/>
      <c r="L113" s="336" t="inlineStr"/>
      <c r="M113" s="336" t="inlineStr"/>
      <c r="N113" s="336" t="inlineStr"/>
      <c r="O113" s="354" t="inlineStr"/>
      <c r="P113" s="336" t="inlineStr"/>
      <c r="Q113" s="336" t="inlineStr"/>
      <c r="R113" s="336" t="inlineStr"/>
      <c r="S113" s="354" t="inlineStr"/>
      <c r="T113" t="inlineStr"/>
      <c r="U113" t="inlineStr"/>
    </row>
    <row r="114" ht="22.2" customHeight="1" s="375">
      <c r="A114" s="3" t="n"/>
      <c r="D114" s="7" t="inlineStr">
        <is>
          <t> </t>
        </is>
      </c>
      <c r="E114" s="3" t="n"/>
      <c r="G114" s="533" t="inlineStr">
        <is>
          <t>พฤหัส</t>
        </is>
      </c>
      <c r="H114" s="381" t="inlineStr">
        <is>
          <t>20101-2003</t>
        </is>
      </c>
      <c r="I114" s="376" t="inlineStr">
        <is>
          <t>ชย.1/4 (26)</t>
        </is>
      </c>
      <c r="J114" s="381" t="inlineStr">
        <is>
          <t>08:10 - 12:10</t>
        </is>
      </c>
      <c r="K114" s="135" t="n"/>
      <c r="L114" s="334" t="inlineStr"/>
      <c r="M114" s="334" t="n">
        <v>4</v>
      </c>
      <c r="N114" s="334" t="n">
        <v>200</v>
      </c>
      <c r="O114" s="354">
        <f>M114*N114</f>
        <v/>
      </c>
      <c r="P114" s="334" t="inlineStr"/>
      <c r="Q114" s="362" t="inlineStr"/>
      <c r="R114" s="362" t="inlineStr"/>
      <c r="S114" s="354" t="inlineStr"/>
      <c r="T114" s="383" t="inlineStr"/>
    </row>
    <row r="115" ht="22.2" customHeight="1" s="375">
      <c r="A115" s="3" t="n"/>
      <c r="E115" s="3" t="n"/>
      <c r="G115" s="535" t="inlineStr">
        <is>
          <t>17 ก.ย.69</t>
        </is>
      </c>
      <c r="H115" s="376" t="inlineStr">
        <is>
          <t>20000-2004</t>
        </is>
      </c>
      <c r="I115" s="376" t="inlineStr">
        <is>
          <t>ชย.2/7,ชย.2/8,ชย.ทวิ 2/9 (26)</t>
        </is>
      </c>
      <c r="J115" s="376" t="inlineStr">
        <is>
          <t>13:10 - 15:10</t>
        </is>
      </c>
      <c r="K115" s="374" t="n"/>
      <c r="L115" s="323" t="n">
        <v>2</v>
      </c>
      <c r="M115" s="334" t="inlineStr"/>
      <c r="N115" s="334" t="inlineStr"/>
      <c r="O115" s="354" t="inlineStr"/>
      <c r="P115" s="334" t="inlineStr"/>
      <c r="Q115" s="334" t="inlineStr"/>
      <c r="R115" s="334" t="inlineStr"/>
      <c r="S115" s="354" t="inlineStr"/>
      <c r="T115" s="23" t="inlineStr"/>
      <c r="U115" s="23" t="inlineStr"/>
      <c r="V115" s="56" t="n"/>
      <c r="W115" s="23" t="n"/>
      <c r="X115" s="23" t="n"/>
    </row>
    <row r="116" ht="22.2" customHeight="1" s="375">
      <c r="A116" s="3" t="n"/>
      <c r="B116" s="313" t="n"/>
      <c r="E116" s="3" t="n"/>
      <c r="G116" s="334" t="inlineStr"/>
      <c r="H116" s="376" t="inlineStr">
        <is>
          <t>20101-2003</t>
        </is>
      </c>
      <c r="I116" s="376" t="inlineStr">
        <is>
          <t>ชย.1/4 (26)</t>
        </is>
      </c>
      <c r="J116" s="376" t="inlineStr">
        <is>
          <t>15:10 - 18:10</t>
        </is>
      </c>
      <c r="K116" s="374" t="n"/>
      <c r="L116" s="376" t="inlineStr"/>
      <c r="M116" s="376" t="n">
        <v>3</v>
      </c>
      <c r="N116" s="376" t="n">
        <v>200</v>
      </c>
      <c r="O116" s="354">
        <f>M116*N116</f>
        <v/>
      </c>
      <c r="P116" s="376" t="inlineStr"/>
      <c r="Q116" s="376" t="inlineStr"/>
      <c r="R116" s="376" t="inlineStr"/>
      <c r="S116" s="354" t="inlineStr"/>
      <c r="T116" t="inlineStr"/>
      <c r="U116" t="inlineStr"/>
    </row>
    <row r="117" ht="22.2" customHeight="1" s="375">
      <c r="A117" s="3" t="n"/>
      <c r="E117" s="3" t="n"/>
      <c r="G117" s="334" t="inlineStr"/>
      <c r="H117" s="334" t="inlineStr"/>
      <c r="I117" s="334" t="inlineStr"/>
      <c r="J117" s="334" t="inlineStr"/>
      <c r="K117" s="374" t="n"/>
      <c r="L117" s="334" t="inlineStr"/>
      <c r="M117" s="334" t="inlineStr"/>
      <c r="N117" s="334" t="inlineStr"/>
      <c r="O117" s="354" t="inlineStr"/>
      <c r="P117" s="334" t="inlineStr"/>
      <c r="Q117" s="334" t="inlineStr"/>
      <c r="R117" s="334" t="inlineStr"/>
      <c r="S117" s="354" t="inlineStr"/>
      <c r="T117" t="inlineStr"/>
      <c r="U117" t="inlineStr"/>
    </row>
    <row r="118" ht="22.2" customHeight="1" s="375">
      <c r="A118" s="3" t="n"/>
      <c r="E118" s="3" t="n"/>
      <c r="G118" s="336" t="inlineStr"/>
      <c r="H118" s="328" t="inlineStr"/>
      <c r="I118" s="336" t="inlineStr"/>
      <c r="J118" s="336" t="inlineStr"/>
      <c r="K118" s="527" t="n"/>
      <c r="L118" s="336" t="inlineStr"/>
      <c r="M118" s="336" t="inlineStr"/>
      <c r="N118" s="336" t="inlineStr"/>
      <c r="O118" s="354" t="inlineStr"/>
      <c r="P118" s="336" t="inlineStr"/>
      <c r="Q118" s="336" t="inlineStr"/>
      <c r="R118" s="336" t="inlineStr"/>
      <c r="S118" s="354" t="inlineStr"/>
      <c r="T118" t="inlineStr"/>
      <c r="U118" t="inlineStr"/>
    </row>
    <row r="119" ht="22.2" customHeight="1" s="375">
      <c r="A119" s="3" t="n"/>
      <c r="E119" s="3" t="n"/>
      <c r="G119" s="533" t="inlineStr">
        <is>
          <t>ศุกร์</t>
        </is>
      </c>
      <c r="H119" s="381" t="inlineStr"/>
      <c r="I119" s="376" t="inlineStr"/>
      <c r="J119" s="376" t="inlineStr"/>
      <c r="K119" s="374" t="n"/>
      <c r="L119" s="381" t="inlineStr"/>
      <c r="M119" s="362" t="inlineStr"/>
      <c r="N119" s="362" t="inlineStr"/>
      <c r="O119" s="354" t="inlineStr"/>
      <c r="P119" s="381" t="inlineStr"/>
      <c r="Q119" s="381" t="inlineStr"/>
      <c r="R119" s="381" t="inlineStr"/>
      <c r="S119" s="354" t="inlineStr"/>
      <c r="T119" t="inlineStr"/>
      <c r="U119" t="inlineStr"/>
    </row>
    <row r="120" ht="22.2" customHeight="1" s="375">
      <c r="A120" s="3" t="n"/>
      <c r="E120" s="3" t="n"/>
      <c r="G120" s="535" t="inlineStr">
        <is>
          <t>18 ก.ย.69</t>
        </is>
      </c>
      <c r="H120" s="376" t="inlineStr"/>
      <c r="I120" s="376" t="inlineStr"/>
      <c r="J120" s="376" t="inlineStr"/>
      <c r="K120" s="374" t="n"/>
      <c r="L120" s="334" t="inlineStr"/>
      <c r="M120" s="334" t="inlineStr"/>
      <c r="N120" s="334" t="inlineStr"/>
      <c r="O120" s="354" t="inlineStr"/>
      <c r="P120" s="334" t="inlineStr"/>
      <c r="Q120" s="334" t="inlineStr"/>
      <c r="R120" s="334" t="inlineStr"/>
      <c r="S120" s="354" t="inlineStr"/>
      <c r="T120" t="inlineStr"/>
      <c r="U120" t="inlineStr"/>
    </row>
    <row r="121" ht="22.2" customHeight="1" s="375">
      <c r="A121" s="3" t="n"/>
      <c r="E121" s="3" t="n"/>
      <c r="G121" s="334" t="inlineStr"/>
      <c r="H121" s="376" t="inlineStr"/>
      <c r="I121" s="376" t="inlineStr"/>
      <c r="J121" s="376" t="inlineStr"/>
      <c r="K121" s="374" t="n"/>
      <c r="L121" s="334" t="inlineStr"/>
      <c r="M121" s="334" t="inlineStr"/>
      <c r="N121" s="334" t="inlineStr"/>
      <c r="O121" s="354" t="inlineStr"/>
      <c r="P121" s="334" t="inlineStr"/>
      <c r="Q121" s="334" t="inlineStr"/>
      <c r="R121" s="334" t="inlineStr"/>
      <c r="S121" s="354" t="inlineStr"/>
      <c r="T121" t="inlineStr"/>
      <c r="U121" t="inlineStr"/>
    </row>
    <row r="122" ht="22.2" customHeight="1" s="375">
      <c r="A122" s="3" t="n"/>
      <c r="E122" s="3" t="n"/>
      <c r="G122" s="334" t="inlineStr"/>
      <c r="H122" s="334" t="inlineStr"/>
      <c r="I122" s="334" t="inlineStr"/>
      <c r="J122" s="323" t="inlineStr"/>
      <c r="K122" s="374" t="n"/>
      <c r="L122" s="334" t="inlineStr"/>
      <c r="M122" s="334" t="inlineStr"/>
      <c r="N122" s="334" t="inlineStr"/>
      <c r="O122" s="354" t="inlineStr"/>
      <c r="P122" s="334" t="inlineStr"/>
      <c r="Q122" s="334" t="inlineStr"/>
      <c r="R122" s="334" t="inlineStr"/>
      <c r="S122" s="354" t="inlineStr"/>
      <c r="T122" t="inlineStr"/>
      <c r="U122" t="inlineStr"/>
    </row>
    <row r="123" ht="22.2" customHeight="1" s="375">
      <c r="A123" s="3" t="n"/>
      <c r="E123" s="3" t="n"/>
      <c r="F123" s="3" t="n"/>
      <c r="G123" s="329" t="inlineStr"/>
      <c r="H123" s="336" t="inlineStr"/>
      <c r="I123" s="336" t="inlineStr"/>
      <c r="J123" s="336" t="inlineStr"/>
      <c r="K123" s="527" t="n"/>
      <c r="L123" s="336" t="inlineStr"/>
      <c r="M123" s="336" t="inlineStr"/>
      <c r="N123" s="336" t="inlineStr"/>
      <c r="O123" s="354" t="inlineStr"/>
      <c r="P123" s="336" t="inlineStr"/>
      <c r="Q123" s="336" t="inlineStr"/>
      <c r="R123" s="336" t="inlineStr"/>
      <c r="S123" s="354" t="inlineStr"/>
      <c r="T123" t="inlineStr"/>
      <c r="U123" t="inlineStr"/>
    </row>
    <row r="124" ht="22.2" customHeight="1" s="375">
      <c r="A124" s="3" t="n"/>
      <c r="E124" s="3" t="n"/>
      <c r="F124" s="3" t="n"/>
      <c r="G124" s="16" t="inlineStr">
        <is>
          <t>รวมขั่วโมงที่สอนแยก ภาระงาน/ เกินภาระงาน</t>
        </is>
      </c>
      <c r="H124" s="518" t="n"/>
      <c r="I124" s="518" t="n"/>
      <c r="J124" s="518" t="n"/>
      <c r="K124" s="432" t="n"/>
      <c r="L124" s="16">
        <f>SUM(L99:L123)</f>
        <v/>
      </c>
      <c r="M124" s="16">
        <f>SUM(M99:M123)</f>
        <v/>
      </c>
      <c r="N124" s="16" t="n"/>
      <c r="O124" s="16" t="n"/>
      <c r="P124" s="16">
        <f>SUM(P99:P123)</f>
        <v/>
      </c>
      <c r="Q124" s="16">
        <f>SUM(Q99:Q123)</f>
        <v/>
      </c>
      <c r="R124" s="349" t="n"/>
      <c r="S124" s="16" t="n"/>
    </row>
    <row r="125" ht="22.2" customHeight="1" s="375">
      <c r="A125" s="3" t="n"/>
      <c r="E125" s="3" t="n"/>
      <c r="F125" s="3" t="n"/>
      <c r="G125" s="16" t="inlineStr">
        <is>
          <t>รวมจำนวนชั่วโมงสอนคาบต่อสับดาห์</t>
        </is>
      </c>
      <c r="H125" s="518" t="n"/>
      <c r="I125" s="518" t="n"/>
      <c r="J125" s="518" t="n"/>
      <c r="K125" s="432" t="n"/>
      <c r="L125" s="16">
        <f>L124+M124</f>
        <v/>
      </c>
      <c r="M125" s="432" t="n"/>
      <c r="N125" s="348" t="n"/>
      <c r="O125" s="16" t="n"/>
      <c r="P125" s="16">
        <f>P124+Q124</f>
        <v/>
      </c>
      <c r="Q125" s="432" t="n"/>
      <c r="R125" s="329" t="n"/>
      <c r="S125" s="336" t="n"/>
    </row>
    <row r="126" ht="22.2" customHeight="1" s="375">
      <c r="A126" s="3" t="n"/>
      <c r="E126" s="3" t="n"/>
      <c r="F126" s="3" t="n"/>
      <c r="G126" s="16" t="inlineStr">
        <is>
          <t>จำนวนชั่วโมงสอนตามภาระงานสอน</t>
        </is>
      </c>
      <c r="H126" s="518" t="n"/>
      <c r="I126" s="518" t="n"/>
      <c r="J126" s="518" t="n"/>
      <c r="K126" s="432" t="n"/>
      <c r="L126" s="16" t="n">
        <v>18</v>
      </c>
      <c r="M126" s="432" t="n"/>
      <c r="N126" s="16" t="n"/>
      <c r="O126" s="348" t="n"/>
      <c r="P126" s="131" t="n">
        <v>0</v>
      </c>
      <c r="Q126" s="432" t="n"/>
      <c r="R126" s="322" t="n"/>
      <c r="S126" s="334" t="n"/>
    </row>
    <row r="127" ht="22.2" customHeight="1" s="375" thickBot="1">
      <c r="A127" s="3" t="n"/>
      <c r="E127" s="3" t="n"/>
      <c r="F127" s="14" t="n"/>
      <c r="G127" s="16" t="inlineStr">
        <is>
          <t>จำนวนชั่วโมงบิกเกินภาระงานสอน/ค่าสอน</t>
        </is>
      </c>
      <c r="H127" s="518" t="n"/>
      <c r="I127" s="518" t="n"/>
      <c r="J127" s="518" t="n"/>
      <c r="K127" s="432" t="n"/>
      <c r="L127" s="17" t="n">
        <v>0</v>
      </c>
      <c r="M127" s="17">
        <f>SUM(M99:M123)</f>
        <v/>
      </c>
      <c r="N127" s="17" t="n"/>
      <c r="O127" s="17">
        <f>SUM(O99:O123)</f>
        <v/>
      </c>
      <c r="P127" s="17" t="n">
        <v>0</v>
      </c>
      <c r="Q127" s="17">
        <f>SUM(Q99:Q123)</f>
        <v/>
      </c>
      <c r="R127" s="18" t="n"/>
      <c r="S127" s="17">
        <f>SUM(S99:S123)</f>
        <v/>
      </c>
    </row>
    <row r="128" ht="22.2" customHeight="1" s="375" thickTop="1">
      <c r="A128" s="337" t="inlineStr">
        <is>
          <t>รวมจำนวนหน่วยชั่วโมงที่ขอเบิกค่าสอน ….</t>
        </is>
      </c>
      <c r="B128" s="518" t="n"/>
      <c r="C128" s="518" t="n"/>
      <c r="D128" s="518" t="n"/>
      <c r="E128" s="518" t="n"/>
      <c r="F128" s="518" t="n"/>
      <c r="G128" s="518" t="n"/>
      <c r="H128" s="348">
        <f>M127+Q127</f>
        <v/>
      </c>
      <c r="I128" s="348" t="inlineStr">
        <is>
          <t>….ชั่วโมง</t>
        </is>
      </c>
      <c r="J128" s="348" t="n"/>
      <c r="K128" s="328" t="inlineStr">
        <is>
          <t>ยอดเงินรวม</t>
        </is>
      </c>
      <c r="L128" s="522" t="n"/>
      <c r="M128" s="522" t="n"/>
      <c r="N128" s="328" t="n"/>
      <c r="O128" s="328" t="n"/>
      <c r="P128" s="339">
        <f>S127+O127</f>
        <v/>
      </c>
      <c r="Q128" s="538" t="n"/>
      <c r="R128" s="20" t="n"/>
      <c r="S128" s="19" t="inlineStr">
        <is>
          <t>..บาท</t>
        </is>
      </c>
    </row>
    <row r="129" ht="22.2" customHeight="1" s="375">
      <c r="A129" s="154" t="inlineStr">
        <is>
          <t>ผู้ขอเบิก</t>
        </is>
      </c>
      <c r="B129" s="153" t="n"/>
      <c r="C129" s="153" t="n"/>
      <c r="D129" s="153" t="n"/>
      <c r="E129" s="153" t="n"/>
      <c r="F129" s="153" t="n"/>
      <c r="G129" s="135" t="n"/>
      <c r="H129" s="154" t="inlineStr">
        <is>
          <t>ผู้รับรอง</t>
        </is>
      </c>
      <c r="I129" s="153" t="n"/>
      <c r="J129" s="153" t="n"/>
      <c r="K129" s="153" t="n"/>
      <c r="L129" s="135" t="n"/>
      <c r="M129" s="154" t="inlineStr">
        <is>
          <t>ผู้ตรวจ</t>
        </is>
      </c>
      <c r="N129" s="153" t="n"/>
      <c r="O129" s="153" t="n"/>
      <c r="P129" s="153" t="n"/>
      <c r="Q129" s="153" t="n"/>
      <c r="R129" s="153" t="n"/>
      <c r="S129" s="135" t="n"/>
    </row>
    <row r="130" ht="22.2" customHeight="1" s="375">
      <c r="A130" s="334" t="inlineStr">
        <is>
          <t>ลงชื่อ……………………………………………</t>
        </is>
      </c>
      <c r="G130" s="374" t="n"/>
      <c r="H130" s="334" t="inlineStr">
        <is>
          <t>ลงชื่อ……………………………………………</t>
        </is>
      </c>
      <c r="L130" s="374" t="n"/>
      <c r="M130" s="334" t="inlineStr">
        <is>
          <t>ลงชื่อ……………………………………………</t>
        </is>
      </c>
      <c r="S130" s="374" t="n"/>
    </row>
    <row r="131" ht="22.2" customHeight="1" s="375">
      <c r="A131" s="11" t="inlineStr">
        <is>
          <t>(</t>
        </is>
      </c>
      <c r="B131" s="324">
        <f>B99</f>
        <v/>
      </c>
      <c r="G131" s="326" t="inlineStr">
        <is>
          <t>)</t>
        </is>
      </c>
      <c r="H131" s="324" t="inlineStr">
        <is>
          <t>(</t>
        </is>
      </c>
      <c r="I131" s="340">
        <f>I85</f>
        <v/>
      </c>
      <c r="L131" s="12" t="inlineStr">
        <is>
          <t>)</t>
        </is>
      </c>
      <c r="M131" s="53" t="inlineStr">
        <is>
          <t>(</t>
        </is>
      </c>
      <c r="N131" s="53" t="n"/>
      <c r="O131" s="324">
        <f>O39</f>
        <v/>
      </c>
      <c r="R131" s="25" t="n"/>
      <c r="S131" s="326" t="inlineStr">
        <is>
          <t>)</t>
        </is>
      </c>
    </row>
    <row r="132" ht="22.2" customHeight="1" s="375">
      <c r="A132" s="540" t="inlineStr">
        <is>
          <t xml:space="preserve">                         ตำแหน่ง  ครู</t>
        </is>
      </c>
      <c r="G132" s="374" t="n"/>
      <c r="H132" s="54" t="inlineStr">
        <is>
          <t>ตำแหน่ง หัวหน้าแผนก</t>
        </is>
      </c>
      <c r="L132" s="374" t="n"/>
      <c r="M132" s="54" t="inlineStr">
        <is>
          <t>ตำแหน่ง   ผู้ตรวจสอบ</t>
        </is>
      </c>
      <c r="S132" s="374" t="n"/>
    </row>
    <row r="133" ht="22.2" customHeight="1" s="375">
      <c r="A133" s="55" t="inlineStr">
        <is>
          <t>วันที่ 22 เดือน กันยายน  พ.ศ.2569</t>
        </is>
      </c>
      <c r="B133" s="522" t="n"/>
      <c r="C133" s="522" t="n"/>
      <c r="D133" s="522" t="n"/>
      <c r="E133" s="522" t="n"/>
      <c r="F133" s="522" t="n"/>
      <c r="G133" s="527" t="n"/>
      <c r="H133" s="54">
        <f>A41</f>
        <v/>
      </c>
      <c r="L133" s="374" t="n"/>
      <c r="M133" s="55">
        <f>A41</f>
        <v/>
      </c>
      <c r="N133" s="522" t="n"/>
      <c r="O133" s="522" t="n"/>
      <c r="P133" s="522" t="n"/>
      <c r="Q133" s="522" t="n"/>
      <c r="R133" s="522" t="n"/>
      <c r="S133" s="527" t="n"/>
    </row>
    <row r="134" ht="22.2" customHeight="1" s="375">
      <c r="A134" s="154" t="inlineStr">
        <is>
          <t>ผู้ตรวจ</t>
        </is>
      </c>
      <c r="B134" s="153" t="n"/>
      <c r="C134" s="153" t="n"/>
      <c r="D134" s="153" t="n"/>
      <c r="E134" s="153" t="n"/>
      <c r="F134" s="153" t="n"/>
      <c r="G134" s="153" t="n"/>
      <c r="H134" s="153" t="n"/>
      <c r="I134" s="135" t="n"/>
      <c r="J134" s="154" t="inlineStr">
        <is>
          <t>ผู้เห็นชอบ</t>
        </is>
      </c>
      <c r="K134" s="153" t="n"/>
      <c r="L134" s="153" t="n"/>
      <c r="M134" s="153" t="n"/>
      <c r="N134" s="153" t="n"/>
      <c r="O134" s="153" t="n"/>
      <c r="P134" s="153" t="n"/>
      <c r="Q134" s="153" t="n"/>
      <c r="R134" s="153" t="n"/>
      <c r="S134" s="135" t="n"/>
    </row>
    <row r="135" ht="22.2" customHeight="1" s="375">
      <c r="A135" s="334" t="inlineStr">
        <is>
          <t>ลงชื่อ……………………………………………</t>
        </is>
      </c>
      <c r="I135" s="374" t="n"/>
      <c r="J135" s="334" t="inlineStr">
        <is>
          <t>ลงชื่อ……………………………………………</t>
        </is>
      </c>
      <c r="S135" s="374" t="n"/>
    </row>
    <row r="136" ht="22.2" customHeight="1" s="375">
      <c r="A136" s="11" t="n"/>
      <c r="B136" s="324">
        <f>B44</f>
        <v/>
      </c>
      <c r="I136" s="326" t="n"/>
      <c r="J136" s="25" t="n"/>
      <c r="K136" s="25" t="n"/>
      <c r="L136" s="324">
        <f>L44</f>
        <v/>
      </c>
      <c r="R136" s="25" t="n"/>
      <c r="S136" s="12" t="n"/>
    </row>
    <row r="137" ht="22.2" customHeight="1" s="375">
      <c r="A137" s="54" t="inlineStr">
        <is>
          <t>ตำแหน่งครู  หัวหน้างานพัฒนาหลักสูตร ฯ</t>
        </is>
      </c>
      <c r="I137" s="374" t="n"/>
      <c r="J137" s="54" t="inlineStr">
        <is>
          <t>ตำแหน่ง  รองผู้อำนวยการฝ่ายวิชาการ</t>
        </is>
      </c>
      <c r="S137" s="374" t="n"/>
    </row>
    <row r="138" ht="22.2" customHeight="1" s="375">
      <c r="A138" s="336" t="inlineStr">
        <is>
          <t>วันที่.......เดือน..........................พ.ศ..............</t>
        </is>
      </c>
      <c r="B138" s="522" t="n"/>
      <c r="C138" s="522" t="n"/>
      <c r="D138" s="522" t="n"/>
      <c r="E138" s="522" t="n"/>
      <c r="F138" s="522" t="n"/>
      <c r="G138" s="522" t="n"/>
      <c r="H138" s="522" t="n"/>
      <c r="I138" s="527" t="n"/>
      <c r="J138" s="336" t="inlineStr">
        <is>
          <t>วันที่.......เดือน..........................พ.ศ..............</t>
        </is>
      </c>
      <c r="K138" s="522" t="n"/>
      <c r="L138" s="522" t="n"/>
      <c r="M138" s="522" t="n"/>
      <c r="N138" s="522" t="n"/>
      <c r="O138" s="522" t="n"/>
      <c r="P138" s="522" t="n"/>
      <c r="Q138" s="522" t="n"/>
      <c r="R138" s="522" t="n"/>
      <c r="S138" s="527" t="n"/>
    </row>
    <row r="139" ht="22.2" customHeight="1" s="375">
      <c r="A139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75">
      <c r="A140" s="365" t="inlineStr">
        <is>
          <t>แผนกวิชาช่างยนต์</t>
        </is>
      </c>
    </row>
    <row r="141" ht="22.2" customHeight="1" s="375">
      <c r="A141" s="366" t="inlineStr">
        <is>
          <t xml:space="preserve">    ระหว่างวันที่</t>
        </is>
      </c>
      <c r="D141" s="365">
        <f>D3</f>
        <v/>
      </c>
      <c r="E141" s="365" t="inlineStr">
        <is>
          <t xml:space="preserve">   เดือน  </t>
        </is>
      </c>
      <c r="F141" s="365">
        <f>F3</f>
        <v/>
      </c>
      <c r="H141" s="365">
        <f>H3</f>
        <v/>
      </c>
      <c r="I141" s="365" t="inlineStr">
        <is>
          <t xml:space="preserve">     ถึง วันที่</t>
        </is>
      </c>
      <c r="J141" s="365">
        <f>J3</f>
        <v/>
      </c>
      <c r="K141" s="365" t="inlineStr">
        <is>
          <t xml:space="preserve">   เดือน </t>
        </is>
      </c>
      <c r="L141" s="365">
        <f>L3</f>
        <v/>
      </c>
      <c r="N141" s="365">
        <f>N3</f>
        <v/>
      </c>
      <c r="P141" s="365" t="n"/>
      <c r="R141" s="365" t="n"/>
    </row>
    <row r="142" ht="22.2" customHeight="1" s="375">
      <c r="G142" s="51" t="inlineStr">
        <is>
          <t>ü</t>
        </is>
      </c>
      <c r="H142" s="351" t="inlineStr">
        <is>
          <t>ครู</t>
        </is>
      </c>
      <c r="I142" s="322" t="inlineStr">
        <is>
          <t>หน้าที่พิเศษ</t>
        </is>
      </c>
      <c r="J142" t="inlineStr">
        <is>
          <t>รหัสวิชา</t>
        </is>
      </c>
    </row>
    <row r="143" ht="22.2" customHeight="1" s="375">
      <c r="A143" s="24" t="inlineStr">
        <is>
          <t>ที่</t>
        </is>
      </c>
      <c r="B143" s="24" t="inlineStr">
        <is>
          <t>ชื่อ-สกุล</t>
        </is>
      </c>
      <c r="C143" s="153" t="n"/>
      <c r="D143" s="135" t="n"/>
      <c r="E143" s="15" t="inlineStr">
        <is>
          <t>ตำแหน่ง</t>
        </is>
      </c>
      <c r="F143" s="16" t="inlineStr">
        <is>
          <t>ระยะเวลาที่สอน</t>
        </is>
      </c>
      <c r="G143" s="432" t="n"/>
      <c r="H143" s="16" t="inlineStr">
        <is>
          <t>รหัสวิชา</t>
        </is>
      </c>
      <c r="I143" s="362" t="inlineStr">
        <is>
          <t>ชั้น,แผนก,ห้อง</t>
        </is>
      </c>
      <c r="J143" s="16" t="inlineStr">
        <is>
          <t>เวลาสอน</t>
        </is>
      </c>
      <c r="K143" s="135" t="n"/>
      <c r="L143" s="16" t="inlineStr">
        <is>
          <t>ปวช.(คาบ)</t>
        </is>
      </c>
      <c r="M143" s="432" t="n"/>
      <c r="N143" s="354" t="inlineStr">
        <is>
          <t>เงิน</t>
        </is>
      </c>
      <c r="O143" s="362" t="inlineStr">
        <is>
          <t>ยอดเงิน</t>
        </is>
      </c>
      <c r="P143" s="524" t="inlineStr">
        <is>
          <t>ปวส.(คาบ)</t>
        </is>
      </c>
      <c r="Q143" s="432" t="n"/>
      <c r="R143" s="354" t="inlineStr">
        <is>
          <t>เงิน</t>
        </is>
      </c>
      <c r="S143" s="362" t="inlineStr">
        <is>
          <t>ยอดเงิน</t>
        </is>
      </c>
    </row>
    <row r="144" ht="22.2" customHeight="1" s="375">
      <c r="A144" s="52" t="n"/>
      <c r="B144" s="8" t="n"/>
      <c r="C144" s="9" t="n"/>
      <c r="D144" s="13" t="n"/>
      <c r="E144" s="10" t="n"/>
      <c r="F144" s="336" t="inlineStr">
        <is>
          <t>ส.</t>
        </is>
      </c>
      <c r="G144" s="336" t="inlineStr">
        <is>
          <t>วดป.</t>
        </is>
      </c>
      <c r="H144" s="525" t="n"/>
      <c r="I144" s="336" t="n"/>
      <c r="J144" s="526" t="n"/>
      <c r="K144" s="527" t="n"/>
      <c r="L144" s="336" t="inlineStr">
        <is>
          <t>ใน</t>
        </is>
      </c>
      <c r="M144" s="336" t="inlineStr">
        <is>
          <t>นอก</t>
        </is>
      </c>
      <c r="N144" s="336" t="inlineStr">
        <is>
          <t>ต่อ ชม.</t>
        </is>
      </c>
      <c r="O144" s="336" t="inlineStr">
        <is>
          <t>(บาท)</t>
        </is>
      </c>
      <c r="P144" s="52" t="inlineStr">
        <is>
          <t>ใน</t>
        </is>
      </c>
      <c r="Q144" s="52" t="inlineStr">
        <is>
          <t>นอก</t>
        </is>
      </c>
      <c r="R144" s="336" t="inlineStr">
        <is>
          <t>ต่อ ชม.</t>
        </is>
      </c>
      <c r="S144" s="336" t="inlineStr">
        <is>
          <t>(บาท)</t>
        </is>
      </c>
    </row>
    <row r="145" ht="22.2" customHeight="1" s="375">
      <c r="A145" s="362" t="n">
        <v>4</v>
      </c>
      <c r="B145" s="528">
        <f>AB6</f>
        <v/>
      </c>
      <c r="C145" s="153" t="n"/>
      <c r="D145" s="135" t="n"/>
      <c r="E145" s="362" t="inlineStr">
        <is>
          <t>ครู</t>
        </is>
      </c>
      <c r="F145" s="5" t="n">
        <v>1</v>
      </c>
      <c r="G145" s="529" t="inlineStr">
        <is>
          <t>จันทร์</t>
        </is>
      </c>
      <c r="H145" s="381" t="inlineStr"/>
      <c r="I145" s="334" t="inlineStr"/>
      <c r="J145" s="381" t="inlineStr"/>
      <c r="K145" s="135" t="n"/>
      <c r="L145" s="367" t="inlineStr"/>
      <c r="M145" s="381" t="inlineStr"/>
      <c r="N145" s="381" t="inlineStr"/>
      <c r="O145" s="354" t="inlineStr"/>
      <c r="P145" s="367" t="inlineStr"/>
      <c r="Q145" s="381" t="inlineStr"/>
      <c r="R145" s="381" t="inlineStr"/>
      <c r="S145" s="354" t="inlineStr"/>
      <c r="T145" t="inlineStr"/>
      <c r="U145" t="inlineStr"/>
    </row>
    <row r="146" ht="22.2" customHeight="1" s="375">
      <c r="A146" s="3" t="n"/>
      <c r="E146" s="334" t="n"/>
      <c r="F146" s="322" t="n"/>
      <c r="G146" s="535" t="inlineStr">
        <is>
          <t>14 ก.ย.69</t>
        </is>
      </c>
      <c r="H146" s="376" t="inlineStr"/>
      <c r="I146" s="334" t="inlineStr"/>
      <c r="J146" s="334" t="inlineStr"/>
      <c r="K146" s="374" t="n"/>
      <c r="L146" s="334" t="inlineStr"/>
      <c r="M146" s="334" t="inlineStr"/>
      <c r="N146" s="334" t="inlineStr"/>
      <c r="O146" s="354" t="inlineStr"/>
      <c r="P146" s="334" t="inlineStr"/>
      <c r="Q146" s="334" t="inlineStr"/>
      <c r="R146" s="334" t="inlineStr"/>
      <c r="S146" s="354" t="inlineStr"/>
      <c r="T146" t="inlineStr"/>
      <c r="U146" t="inlineStr"/>
    </row>
    <row r="147" ht="22.2" customHeight="1" s="375">
      <c r="A147" s="3" t="n"/>
      <c r="B147" s="313" t="n"/>
      <c r="D147" s="314" t="n"/>
      <c r="E147" s="314" t="n"/>
      <c r="F147" s="322" t="n"/>
      <c r="G147" s="321" t="inlineStr"/>
      <c r="H147" s="376" t="inlineStr"/>
      <c r="I147" s="334" t="inlineStr"/>
      <c r="J147" s="334" t="inlineStr"/>
      <c r="K147" s="374" t="n"/>
      <c r="L147" s="334" t="inlineStr"/>
      <c r="M147" s="334" t="inlineStr"/>
      <c r="N147" s="334" t="inlineStr"/>
      <c r="O147" s="354" t="inlineStr"/>
      <c r="P147" s="334" t="inlineStr"/>
      <c r="Q147" s="334" t="inlineStr"/>
      <c r="R147" s="334" t="inlineStr"/>
      <c r="S147" s="354" t="inlineStr"/>
      <c r="T147" t="inlineStr"/>
      <c r="U147" t="inlineStr"/>
    </row>
    <row r="148" ht="22.2" customHeight="1" s="375">
      <c r="A148" s="3" t="n"/>
      <c r="B148" s="313" t="n"/>
      <c r="E148" s="3" t="n"/>
      <c r="F148" s="322" t="n"/>
      <c r="G148" s="321" t="inlineStr"/>
      <c r="H148" s="334" t="inlineStr"/>
      <c r="I148" s="334" t="inlineStr"/>
      <c r="J148" s="334" t="inlineStr"/>
      <c r="K148" s="374" t="n"/>
      <c r="L148" s="334" t="inlineStr"/>
      <c r="M148" s="334" t="inlineStr"/>
      <c r="N148" s="334" t="inlineStr"/>
      <c r="O148" s="354" t="inlineStr"/>
      <c r="P148" s="334" t="inlineStr"/>
      <c r="Q148" s="334" t="inlineStr"/>
      <c r="R148" s="334" t="inlineStr"/>
      <c r="S148" s="354" t="inlineStr"/>
      <c r="T148" t="inlineStr"/>
      <c r="U148" t="inlineStr"/>
    </row>
    <row r="149" ht="22.2" customHeight="1" s="375">
      <c r="A149" s="3" t="n"/>
      <c r="E149" s="3" t="n"/>
      <c r="G149" s="344" t="inlineStr"/>
      <c r="H149" s="336" t="inlineStr"/>
      <c r="I149" s="336" t="inlineStr"/>
      <c r="J149" s="336" t="inlineStr"/>
      <c r="K149" s="527" t="n"/>
      <c r="L149" s="334" t="inlineStr"/>
      <c r="M149" s="334" t="inlineStr"/>
      <c r="N149" s="334" t="inlineStr"/>
      <c r="O149" s="354" t="inlineStr"/>
      <c r="P149" s="334" t="inlineStr"/>
      <c r="Q149" s="334" t="inlineStr"/>
      <c r="R149" s="334" t="inlineStr"/>
      <c r="S149" s="354" t="inlineStr"/>
      <c r="T149" t="inlineStr"/>
      <c r="U149" t="inlineStr"/>
    </row>
    <row r="150" ht="22.2" customHeight="1" s="375">
      <c r="A150" s="3" t="n"/>
      <c r="E150" s="3" t="n"/>
      <c r="G150" s="533" t="inlineStr">
        <is>
          <t>อังคาร</t>
        </is>
      </c>
      <c r="H150" s="376" t="inlineStr">
        <is>
          <t>20101-2002</t>
        </is>
      </c>
      <c r="I150" s="376" t="inlineStr">
        <is>
          <t>ชย.1/10 (26)</t>
        </is>
      </c>
      <c r="J150" s="381" t="inlineStr">
        <is>
          <t>08:10 - 12:10</t>
        </is>
      </c>
      <c r="K150" s="135" t="n"/>
      <c r="L150" s="367" t="n">
        <v>4</v>
      </c>
      <c r="M150" s="381" t="inlineStr"/>
      <c r="N150" s="381" t="inlineStr"/>
      <c r="O150" s="354" t="inlineStr"/>
      <c r="P150" s="367" t="inlineStr"/>
      <c r="Q150" s="381" t="inlineStr"/>
      <c r="R150" s="381" t="inlineStr"/>
      <c r="S150" s="354" t="inlineStr"/>
      <c r="T150" s="6" t="inlineStr"/>
      <c r="U150" s="22" t="inlineStr"/>
      <c r="V150" s="57" t="n"/>
      <c r="W150" s="21" t="n"/>
      <c r="X150" s="21" t="n"/>
    </row>
    <row r="151" ht="22.2" customHeight="1" s="375">
      <c r="A151" s="3" t="n"/>
      <c r="E151" s="3" t="n"/>
      <c r="G151" s="535" t="inlineStr">
        <is>
          <t>15 ก.ย.69</t>
        </is>
      </c>
      <c r="H151" s="376" t="inlineStr">
        <is>
          <t>20101-2002</t>
        </is>
      </c>
      <c r="I151" s="376" t="inlineStr">
        <is>
          <t>ชย.1/10 (26)</t>
        </is>
      </c>
      <c r="J151" s="334" t="inlineStr">
        <is>
          <t>13:10 - 16:10</t>
        </is>
      </c>
      <c r="K151" s="374" t="n"/>
      <c r="L151" s="334" t="n">
        <v>3</v>
      </c>
      <c r="M151" s="334" t="inlineStr"/>
      <c r="N151" s="334" t="inlineStr"/>
      <c r="O151" s="354" t="inlineStr"/>
      <c r="P151" s="334" t="inlineStr"/>
      <c r="Q151" s="334" t="inlineStr"/>
      <c r="R151" s="334" t="inlineStr"/>
      <c r="S151" s="354" t="inlineStr"/>
      <c r="T151" s="21" t="inlineStr"/>
      <c r="U151" s="22" t="inlineStr"/>
      <c r="V151" s="57" t="n"/>
      <c r="W151" s="21" t="n"/>
      <c r="X151" s="21" t="n"/>
    </row>
    <row r="152" ht="22.2" customHeight="1" s="375">
      <c r="A152" s="3" t="n"/>
      <c r="B152" s="313" t="n"/>
      <c r="D152" s="314" t="n"/>
      <c r="E152" s="314" t="n"/>
      <c r="G152" s="334" t="inlineStr"/>
      <c r="H152" s="376" t="inlineStr"/>
      <c r="I152" s="376" t="inlineStr"/>
      <c r="J152" s="376" t="inlineStr"/>
      <c r="K152" s="374" t="n"/>
      <c r="L152" s="334" t="inlineStr"/>
      <c r="M152" s="334" t="inlineStr"/>
      <c r="N152" s="334" t="inlineStr"/>
      <c r="O152" s="354" t="inlineStr"/>
      <c r="P152" s="334" t="inlineStr"/>
      <c r="Q152" s="334" t="inlineStr"/>
      <c r="R152" s="334" t="inlineStr"/>
      <c r="S152" s="354" t="inlineStr"/>
      <c r="T152" t="inlineStr"/>
      <c r="U152" t="inlineStr"/>
    </row>
    <row r="153" ht="22.2" customHeight="1" s="375">
      <c r="A153" s="3" t="n"/>
      <c r="E153" s="3" t="n"/>
      <c r="G153" s="54" t="inlineStr"/>
      <c r="H153" s="334" t="inlineStr"/>
      <c r="I153" s="334" t="inlineStr"/>
      <c r="J153" s="334" t="inlineStr"/>
      <c r="K153" s="374" t="n"/>
      <c r="L153" s="334" t="inlineStr"/>
      <c r="M153" s="334" t="inlineStr"/>
      <c r="N153" s="334" t="inlineStr"/>
      <c r="O153" s="354" t="inlineStr"/>
      <c r="P153" s="334" t="inlineStr"/>
      <c r="Q153" s="334" t="inlineStr"/>
      <c r="R153" s="334" t="inlineStr"/>
      <c r="S153" s="354" t="inlineStr"/>
      <c r="T153" t="inlineStr"/>
      <c r="U153" t="inlineStr"/>
    </row>
    <row r="154" ht="22.2" customHeight="1" s="375">
      <c r="A154" s="3" t="n"/>
      <c r="D154" s="7" t="inlineStr">
        <is>
          <t> </t>
        </is>
      </c>
      <c r="E154" s="3" t="n"/>
      <c r="G154" s="55" t="inlineStr"/>
      <c r="H154" s="336" t="inlineStr"/>
      <c r="I154" s="336" t="inlineStr"/>
      <c r="J154" s="336" t="inlineStr"/>
      <c r="K154" s="527" t="n"/>
      <c r="L154" s="334" t="inlineStr"/>
      <c r="M154" s="334" t="inlineStr"/>
      <c r="N154" s="334" t="inlineStr"/>
      <c r="O154" s="354" t="inlineStr"/>
      <c r="P154" s="334" t="inlineStr"/>
      <c r="Q154" s="334" t="inlineStr"/>
      <c r="R154" s="334" t="inlineStr"/>
      <c r="S154" s="354" t="inlineStr"/>
      <c r="T154" t="inlineStr"/>
      <c r="U154" t="inlineStr"/>
    </row>
    <row r="155" ht="22.2" customHeight="1" s="375">
      <c r="A155" s="3" t="n"/>
      <c r="E155" s="3" t="n"/>
      <c r="G155" s="535" t="inlineStr">
        <is>
          <t>พุธ</t>
        </is>
      </c>
      <c r="H155" s="376" t="inlineStr">
        <is>
          <t>20101-2002</t>
        </is>
      </c>
      <c r="I155" s="376" t="inlineStr">
        <is>
          <t>ชย.1/6 (26)</t>
        </is>
      </c>
      <c r="J155" s="381" t="inlineStr">
        <is>
          <t>08:10 - 12:10</t>
        </is>
      </c>
      <c r="K155" s="135" t="n"/>
      <c r="L155" s="367" t="n">
        <v>4</v>
      </c>
      <c r="M155" s="381" t="inlineStr"/>
      <c r="N155" s="381" t="inlineStr"/>
      <c r="O155" s="354" t="inlineStr"/>
      <c r="P155" s="367" t="inlineStr"/>
      <c r="Q155" s="381" t="inlineStr"/>
      <c r="R155" s="381" t="inlineStr"/>
      <c r="S155" s="354" t="inlineStr"/>
      <c r="T155" t="inlineStr"/>
      <c r="U155" t="inlineStr"/>
    </row>
    <row r="156" ht="22.2" customHeight="1" s="375">
      <c r="A156" s="3" t="n"/>
      <c r="E156" s="3" t="n"/>
      <c r="G156" s="535" t="inlineStr">
        <is>
          <t>16 ก.ย.69</t>
        </is>
      </c>
      <c r="H156" s="376" t="inlineStr">
        <is>
          <t>20101-2002</t>
        </is>
      </c>
      <c r="I156" s="376" t="inlineStr">
        <is>
          <t>ชย.1/6 (26)</t>
        </is>
      </c>
      <c r="J156" s="334" t="inlineStr">
        <is>
          <t>13:10 - 16:10</t>
        </is>
      </c>
      <c r="K156" s="374" t="n"/>
      <c r="L156" s="334" t="n">
        <v>3</v>
      </c>
      <c r="M156" s="334" t="inlineStr"/>
      <c r="N156" s="334" t="inlineStr"/>
      <c r="O156" s="354" t="inlineStr"/>
      <c r="P156" s="334" t="inlineStr"/>
      <c r="Q156" s="334" t="inlineStr"/>
      <c r="R156" s="334" t="inlineStr"/>
      <c r="S156" s="354" t="inlineStr"/>
      <c r="T156" t="inlineStr"/>
      <c r="U156" t="inlineStr"/>
    </row>
    <row r="157" ht="22.2" customHeight="1" s="375">
      <c r="A157" s="3" t="n"/>
      <c r="B157" s="313" t="n"/>
      <c r="D157" s="314" t="n"/>
      <c r="E157" s="314" t="n"/>
      <c r="G157" s="334" t="inlineStr"/>
      <c r="H157" s="376" t="inlineStr"/>
      <c r="I157" s="334" t="inlineStr"/>
      <c r="J157" s="334" t="inlineStr"/>
      <c r="K157" s="374" t="n"/>
      <c r="L157" s="334" t="inlineStr"/>
      <c r="M157" s="334" t="inlineStr"/>
      <c r="N157" s="334" t="inlineStr"/>
      <c r="O157" s="354" t="inlineStr"/>
      <c r="P157" s="334" t="inlineStr"/>
      <c r="Q157" s="334" t="inlineStr"/>
      <c r="R157" s="334" t="inlineStr"/>
      <c r="S157" s="354" t="inlineStr"/>
      <c r="T157" t="inlineStr"/>
      <c r="U157" t="inlineStr"/>
    </row>
    <row r="158" ht="22.2" customHeight="1" s="375">
      <c r="A158" s="3" t="n"/>
      <c r="E158" s="3" t="n"/>
      <c r="G158" s="321" t="inlineStr"/>
      <c r="H158" s="334" t="inlineStr"/>
      <c r="I158" s="334" t="inlineStr"/>
      <c r="J158" s="334" t="inlineStr"/>
      <c r="K158" s="374" t="n"/>
      <c r="L158" s="334" t="inlineStr"/>
      <c r="M158" s="334" t="inlineStr"/>
      <c r="N158" s="334" t="inlineStr"/>
      <c r="O158" s="354" t="inlineStr"/>
      <c r="P158" s="334" t="inlineStr"/>
      <c r="Q158" s="334" t="inlineStr"/>
      <c r="R158" s="334" t="inlineStr"/>
      <c r="S158" s="354" t="inlineStr"/>
      <c r="T158" t="inlineStr"/>
      <c r="U158" t="inlineStr"/>
    </row>
    <row r="159" ht="22.2" customHeight="1" s="375">
      <c r="A159" s="3" t="n"/>
      <c r="E159" s="3" t="n"/>
      <c r="G159" s="327" t="inlineStr"/>
      <c r="H159" s="336" t="inlineStr"/>
      <c r="I159" s="336" t="inlineStr"/>
      <c r="J159" s="336" t="inlineStr"/>
      <c r="K159" s="527" t="n"/>
      <c r="L159" s="336" t="inlineStr"/>
      <c r="M159" s="336" t="inlineStr"/>
      <c r="N159" s="336" t="inlineStr"/>
      <c r="O159" s="354" t="inlineStr"/>
      <c r="P159" s="336" t="inlineStr"/>
      <c r="Q159" s="336" t="inlineStr"/>
      <c r="R159" s="336" t="inlineStr"/>
      <c r="S159" s="16" t="inlineStr"/>
      <c r="T159" t="inlineStr"/>
      <c r="U159" t="inlineStr"/>
    </row>
    <row r="160" ht="22.2" customHeight="1" s="375">
      <c r="A160" s="3" t="n"/>
      <c r="E160" s="3" t="n"/>
      <c r="G160" s="533" t="inlineStr">
        <is>
          <t>พฤหัส</t>
        </is>
      </c>
      <c r="H160" s="376" t="inlineStr">
        <is>
          <t>20101-2002</t>
        </is>
      </c>
      <c r="I160" s="334" t="inlineStr">
        <is>
          <t>ชย.1/7 (26)</t>
        </is>
      </c>
      <c r="J160" s="381" t="inlineStr">
        <is>
          <t>08:10 - 12:10</t>
        </is>
      </c>
      <c r="K160" s="135" t="n"/>
      <c r="L160" s="334" t="n">
        <v>2</v>
      </c>
      <c r="M160" s="148" t="n">
        <v>2</v>
      </c>
      <c r="N160" s="148" t="n">
        <v>200</v>
      </c>
      <c r="O160" s="354">
        <f>M160*N160</f>
        <v/>
      </c>
      <c r="P160" s="334" t="inlineStr"/>
      <c r="Q160" s="148" t="inlineStr"/>
      <c r="R160" s="148" t="inlineStr"/>
      <c r="S160" s="16" t="inlineStr"/>
      <c r="T160" t="inlineStr"/>
      <c r="U160" t="inlineStr"/>
    </row>
    <row r="161" ht="22.2" customHeight="1" s="375">
      <c r="A161" s="3" t="n"/>
      <c r="E161" s="3" t="n"/>
      <c r="G161" s="535" t="inlineStr">
        <is>
          <t>17 ก.ย.69</t>
        </is>
      </c>
      <c r="H161" s="376" t="inlineStr">
        <is>
          <t>20101-2002</t>
        </is>
      </c>
      <c r="I161" s="334" t="inlineStr">
        <is>
          <t>ชย.1/7 (26)</t>
        </is>
      </c>
      <c r="J161" s="334" t="inlineStr">
        <is>
          <t>15:10 - 18:10</t>
        </is>
      </c>
      <c r="K161" s="374" t="n"/>
      <c r="L161" s="334" t="inlineStr"/>
      <c r="M161" s="251" t="n">
        <v>3</v>
      </c>
      <c r="N161" s="251" t="n">
        <v>200</v>
      </c>
      <c r="O161" s="354">
        <f>M161*N161</f>
        <v/>
      </c>
      <c r="P161" s="334" t="inlineStr"/>
      <c r="Q161" s="251" t="inlineStr"/>
      <c r="R161" s="149" t="inlineStr"/>
      <c r="S161" s="16" t="inlineStr"/>
      <c r="T161" t="inlineStr"/>
      <c r="U161" t="inlineStr"/>
    </row>
    <row r="162" ht="22.2" customHeight="1" s="375">
      <c r="A162" s="3" t="n"/>
      <c r="B162" s="313" t="n"/>
      <c r="E162" s="3" t="n"/>
      <c r="G162" s="334" t="inlineStr"/>
      <c r="H162" s="376" t="inlineStr"/>
      <c r="I162" s="334" t="inlineStr"/>
      <c r="J162" s="334" t="inlineStr"/>
      <c r="K162" s="374" t="n"/>
      <c r="L162" s="376" t="inlineStr"/>
      <c r="M162" s="251" t="inlineStr"/>
      <c r="N162" s="251" t="inlineStr"/>
      <c r="O162" s="354" t="inlineStr"/>
      <c r="P162" s="376" t="inlineStr"/>
      <c r="Q162" s="251" t="inlineStr"/>
      <c r="R162" s="149" t="inlineStr"/>
      <c r="S162" s="16" t="inlineStr"/>
      <c r="T162" t="inlineStr"/>
      <c r="U162" t="inlineStr"/>
    </row>
    <row r="163" ht="22.2" customHeight="1" s="375">
      <c r="A163" s="3" t="n"/>
      <c r="E163" s="3" t="n"/>
      <c r="G163" s="334" t="inlineStr"/>
      <c r="H163" s="334" t="inlineStr"/>
      <c r="I163" s="334" t="inlineStr"/>
      <c r="J163" s="334" t="inlineStr"/>
      <c r="K163" s="374" t="n"/>
      <c r="L163" s="334" t="inlineStr"/>
      <c r="M163" s="334" t="inlineStr"/>
      <c r="N163" s="334" t="inlineStr"/>
      <c r="O163" s="354" t="inlineStr"/>
      <c r="P163" s="334" t="inlineStr"/>
      <c r="Q163" s="334" t="inlineStr"/>
      <c r="R163" s="334" t="inlineStr"/>
      <c r="S163" s="354" t="inlineStr"/>
      <c r="T163" t="inlineStr"/>
      <c r="U163" t="inlineStr"/>
    </row>
    <row r="164" ht="22.2" customHeight="1" s="375">
      <c r="A164" s="3" t="n"/>
      <c r="E164" s="3" t="n"/>
      <c r="G164" s="336" t="inlineStr"/>
      <c r="H164" s="328" t="inlineStr"/>
      <c r="I164" s="336" t="inlineStr"/>
      <c r="J164" s="336" t="inlineStr"/>
      <c r="K164" s="527" t="n"/>
      <c r="L164" s="336" t="inlineStr"/>
      <c r="M164" s="336" t="inlineStr"/>
      <c r="N164" s="336" t="inlineStr"/>
      <c r="O164" s="354" t="inlineStr"/>
      <c r="P164" s="336" t="inlineStr"/>
      <c r="Q164" s="336" t="inlineStr"/>
      <c r="R164" s="336" t="inlineStr"/>
      <c r="S164" s="354" t="inlineStr"/>
      <c r="T164" t="inlineStr"/>
      <c r="U164" t="inlineStr"/>
    </row>
    <row r="165" ht="22.2" customHeight="1" s="375">
      <c r="A165" s="3" t="n"/>
      <c r="D165" s="374" t="n"/>
      <c r="E165" s="251" t="n"/>
      <c r="G165" s="533" t="inlineStr">
        <is>
          <t>ศุกร์</t>
        </is>
      </c>
      <c r="H165" s="376" t="inlineStr">
        <is>
          <t>20101-2002</t>
        </is>
      </c>
      <c r="I165" s="376" t="inlineStr">
        <is>
          <t>ชย.1/9 (26)</t>
        </is>
      </c>
      <c r="J165" s="381" t="inlineStr">
        <is>
          <t>08:10 - 12:10</t>
        </is>
      </c>
      <c r="K165" s="135" t="n"/>
      <c r="L165" s="334" t="inlineStr"/>
      <c r="M165" s="24" t="n">
        <v>4</v>
      </c>
      <c r="N165" s="360" t="n">
        <v>200</v>
      </c>
      <c r="O165" s="354">
        <f>M165*N165</f>
        <v/>
      </c>
      <c r="P165" s="367" t="inlineStr"/>
      <c r="Q165" s="362" t="inlineStr"/>
      <c r="R165" s="354" t="inlineStr"/>
      <c r="S165" s="16" t="inlineStr"/>
      <c r="T165" t="inlineStr"/>
      <c r="U165" t="inlineStr"/>
    </row>
    <row r="166" ht="22.2" customHeight="1" s="375">
      <c r="A166" s="3" t="n"/>
      <c r="D166" s="314" t="n"/>
      <c r="E166" s="3" t="n"/>
      <c r="G166" s="535" t="inlineStr">
        <is>
          <t>18 ก.ย.69</t>
        </is>
      </c>
      <c r="H166" s="376" t="inlineStr">
        <is>
          <t>20101-2002</t>
        </is>
      </c>
      <c r="I166" s="376" t="inlineStr">
        <is>
          <t>ชย.1/9 (26)</t>
        </is>
      </c>
      <c r="J166" s="334" t="inlineStr">
        <is>
          <t>13:10 - 16:10</t>
        </is>
      </c>
      <c r="K166" s="374" t="n"/>
      <c r="L166" s="334" t="inlineStr"/>
      <c r="M166" s="251" t="n">
        <v>3</v>
      </c>
      <c r="N166" s="374" t="n">
        <v>200</v>
      </c>
      <c r="O166" s="354">
        <f>M166*N166</f>
        <v/>
      </c>
      <c r="P166" s="334" t="inlineStr"/>
      <c r="Q166" s="251" t="inlineStr"/>
      <c r="R166" s="251" t="inlineStr"/>
      <c r="S166" s="16" t="inlineStr"/>
      <c r="T166" t="inlineStr"/>
      <c r="U166" t="inlineStr"/>
    </row>
    <row r="167" ht="22.2" customHeight="1" s="375">
      <c r="A167" s="3" t="n"/>
      <c r="E167" s="3" t="n"/>
      <c r="G167" s="334" t="inlineStr"/>
      <c r="H167" s="376" t="inlineStr"/>
      <c r="I167" s="334" t="inlineStr"/>
      <c r="J167" s="334" t="inlineStr"/>
      <c r="K167" s="374" t="n"/>
      <c r="L167" s="334" t="inlineStr"/>
      <c r="M167" s="334" t="inlineStr"/>
      <c r="N167" s="334" t="inlineStr"/>
      <c r="O167" s="354" t="inlineStr"/>
      <c r="P167" s="334" t="inlineStr"/>
      <c r="Q167" s="334" t="inlineStr"/>
      <c r="R167" s="334" t="inlineStr"/>
      <c r="S167" s="354" t="inlineStr"/>
      <c r="T167" t="inlineStr"/>
      <c r="U167" t="inlineStr"/>
    </row>
    <row r="168" ht="22.2" customHeight="1" s="375">
      <c r="A168" s="3" t="n"/>
      <c r="E168" s="3" t="n"/>
      <c r="G168" s="334" t="inlineStr"/>
      <c r="H168" s="334" t="inlineStr"/>
      <c r="I168" s="334" t="inlineStr"/>
      <c r="J168" s="334" t="inlineStr"/>
      <c r="K168" s="374" t="n"/>
      <c r="L168" s="334" t="inlineStr"/>
      <c r="M168" s="334" t="inlineStr"/>
      <c r="N168" s="334" t="inlineStr"/>
      <c r="O168" s="354" t="inlineStr"/>
      <c r="P168" s="334" t="inlineStr"/>
      <c r="Q168" s="334" t="inlineStr"/>
      <c r="R168" s="334" t="inlineStr"/>
      <c r="S168" s="354" t="inlineStr"/>
      <c r="T168" t="inlineStr"/>
      <c r="U168" t="inlineStr"/>
    </row>
    <row r="169" ht="22.2" customHeight="1" s="375">
      <c r="A169" s="3" t="n"/>
      <c r="E169" s="3" t="n"/>
      <c r="F169" s="3" t="n"/>
      <c r="G169" s="329" t="inlineStr"/>
      <c r="H169" s="328" t="inlineStr"/>
      <c r="I169" s="336" t="inlineStr"/>
      <c r="J169" s="336" t="inlineStr"/>
      <c r="K169" s="527" t="n"/>
      <c r="L169" s="336" t="inlineStr"/>
      <c r="M169" s="336" t="inlineStr"/>
      <c r="N169" s="336" t="inlineStr"/>
      <c r="O169" s="354" t="inlineStr"/>
      <c r="P169" s="336" t="inlineStr"/>
      <c r="Q169" s="336" t="inlineStr"/>
      <c r="R169" s="336" t="inlineStr"/>
      <c r="S169" s="354" t="inlineStr"/>
      <c r="T169" t="inlineStr"/>
      <c r="U169" t="inlineStr"/>
    </row>
    <row r="170" ht="22.2" customHeight="1" s="375">
      <c r="A170" s="3" t="n"/>
      <c r="E170" s="3" t="n"/>
      <c r="F170" s="3" t="n"/>
      <c r="G170" s="16" t="inlineStr">
        <is>
          <t>รวมขั่วโมงที่สอนแยก ภาระงาน/ เกินภาระงาน</t>
        </is>
      </c>
      <c r="H170" s="518" t="n"/>
      <c r="I170" s="518" t="n"/>
      <c r="J170" s="518" t="n"/>
      <c r="K170" s="432" t="n"/>
      <c r="L170" s="16">
        <f>SUM(L145:L169)</f>
        <v/>
      </c>
      <c r="M170" s="16">
        <f>SUM(M145:M169)</f>
        <v/>
      </c>
      <c r="N170" s="16" t="n"/>
      <c r="O170" s="16" t="n"/>
      <c r="P170" s="16">
        <f>SUM(P145:P169)</f>
        <v/>
      </c>
      <c r="Q170" s="16">
        <f>SUM(Q145:Q169)</f>
        <v/>
      </c>
      <c r="R170" s="349" t="n"/>
      <c r="S170" s="16" t="n"/>
      <c r="T170" s="23" t="n"/>
      <c r="U170" s="23" t="inlineStr">
        <is>
          <t>สอน ป.ตรี</t>
        </is>
      </c>
      <c r="V170" s="56" t="n"/>
      <c r="W170" s="23" t="n"/>
      <c r="X170" s="23" t="n"/>
    </row>
    <row r="171" ht="22.2" customHeight="1" s="375">
      <c r="A171" s="3" t="n"/>
      <c r="E171" s="3" t="n"/>
      <c r="F171" s="3" t="n"/>
      <c r="G171" s="16" t="inlineStr">
        <is>
          <t>รวมจำนวนชั่วโมงสอนคาบต่อสับดาห์</t>
        </is>
      </c>
      <c r="H171" s="518" t="n"/>
      <c r="I171" s="518" t="n"/>
      <c r="J171" s="518" t="n"/>
      <c r="K171" s="432" t="n"/>
      <c r="L171" s="16">
        <f>L170+M170</f>
        <v/>
      </c>
      <c r="M171" s="432" t="n"/>
      <c r="N171" s="16" t="n"/>
      <c r="O171" s="348" t="n"/>
      <c r="P171" s="16">
        <f>P170+Q170</f>
        <v/>
      </c>
      <c r="Q171" s="432" t="n"/>
      <c r="R171" s="329" t="n"/>
      <c r="S171" s="336" t="n"/>
      <c r="T171" s="23" t="n"/>
      <c r="U171" s="23" t="inlineStr">
        <is>
          <t>17.10-20.10</t>
        </is>
      </c>
      <c r="V171" s="56" t="n"/>
      <c r="W171" s="23" t="n"/>
      <c r="X171" s="23" t="n"/>
    </row>
    <row r="172" ht="22.2" customHeight="1" s="375">
      <c r="A172" s="3" t="n"/>
      <c r="E172" s="3" t="n"/>
      <c r="F172" s="3" t="n"/>
      <c r="G172" s="16" t="inlineStr">
        <is>
          <t>จำนวนชั่วโมงสอนตามภาระงานสอน</t>
        </is>
      </c>
      <c r="H172" s="518" t="n"/>
      <c r="I172" s="518" t="n"/>
      <c r="J172" s="518" t="n"/>
      <c r="K172" s="432" t="n"/>
      <c r="L172" s="541" t="n">
        <v>12</v>
      </c>
      <c r="M172" s="432" t="n"/>
      <c r="N172" s="129" t="n"/>
      <c r="O172" s="132" t="n"/>
      <c r="P172" s="541" t="n">
        <v>0</v>
      </c>
      <c r="Q172" s="432" t="n"/>
      <c r="R172" s="322" t="n"/>
      <c r="S172" s="334" t="n"/>
    </row>
    <row r="173" ht="22.2" customHeight="1" s="375" thickBot="1">
      <c r="A173" s="3" t="n"/>
      <c r="E173" s="3" t="n"/>
      <c r="F173" s="14" t="n"/>
      <c r="G173" s="16" t="inlineStr">
        <is>
          <t>จำนวนชั่วโมงบิกเกินภาระงานสอน/ค่าสอน</t>
        </is>
      </c>
      <c r="H173" s="518" t="n"/>
      <c r="I173" s="518" t="n"/>
      <c r="J173" s="518" t="n"/>
      <c r="K173" s="432" t="n"/>
      <c r="L173" s="17" t="n">
        <v>0</v>
      </c>
      <c r="M173" s="17">
        <f>SUM(M145:M169)</f>
        <v/>
      </c>
      <c r="N173" s="17" t="n"/>
      <c r="O173" s="17">
        <f>SUM(O145:O169)</f>
        <v/>
      </c>
      <c r="P173" s="17" t="n">
        <v>0</v>
      </c>
      <c r="Q173" s="17">
        <f>SUM(Q145:Q169)</f>
        <v/>
      </c>
      <c r="R173" s="18" t="n"/>
      <c r="S173" s="17">
        <f>SUM(S145:S169)</f>
        <v/>
      </c>
    </row>
    <row r="174" ht="22.2" customHeight="1" s="375" thickTop="1">
      <c r="A174" s="337" t="inlineStr">
        <is>
          <t>รวมจำนวนหน่วยชั่วโมงที่ขอเบิกค่าสอน ….</t>
        </is>
      </c>
      <c r="B174" s="518" t="n"/>
      <c r="C174" s="518" t="n"/>
      <c r="D174" s="518" t="n"/>
      <c r="E174" s="518" t="n"/>
      <c r="F174" s="518" t="n"/>
      <c r="G174" s="518" t="n"/>
      <c r="H174" s="348">
        <f>M173+Q173</f>
        <v/>
      </c>
      <c r="I174" s="348" t="inlineStr">
        <is>
          <t>….ชั่วโมง</t>
        </is>
      </c>
      <c r="J174" s="348" t="n"/>
      <c r="K174" s="328" t="inlineStr">
        <is>
          <t>ยอดเงินรวม</t>
        </is>
      </c>
      <c r="L174" s="522" t="n"/>
      <c r="M174" s="522" t="n"/>
      <c r="N174" s="328" t="n"/>
      <c r="O174" s="328" t="n"/>
      <c r="P174" s="339">
        <f>S173+O173</f>
        <v/>
      </c>
      <c r="Q174" s="538" t="n"/>
      <c r="R174" s="20" t="n"/>
      <c r="S174" s="19" t="inlineStr">
        <is>
          <t>..บาท</t>
        </is>
      </c>
    </row>
    <row r="175" ht="22.2" customHeight="1" s="375">
      <c r="A175" s="154" t="inlineStr">
        <is>
          <t>ผู้ขอเบิก</t>
        </is>
      </c>
      <c r="B175" s="153" t="n"/>
      <c r="C175" s="153" t="n"/>
      <c r="D175" s="153" t="n"/>
      <c r="E175" s="153" t="n"/>
      <c r="F175" s="153" t="n"/>
      <c r="G175" s="135" t="n"/>
      <c r="H175" s="154" t="inlineStr">
        <is>
          <t>ผู้รับรอง</t>
        </is>
      </c>
      <c r="I175" s="153" t="n"/>
      <c r="J175" s="153" t="n"/>
      <c r="K175" s="153" t="n"/>
      <c r="L175" s="135" t="n"/>
      <c r="M175" s="154" t="inlineStr">
        <is>
          <t>ผู้ตรวจ</t>
        </is>
      </c>
      <c r="N175" s="153" t="n"/>
      <c r="O175" s="153" t="n"/>
      <c r="P175" s="153" t="n"/>
      <c r="Q175" s="153" t="n"/>
      <c r="R175" s="153" t="n"/>
      <c r="S175" s="135" t="n"/>
    </row>
    <row r="176" ht="22.2" customHeight="1" s="375">
      <c r="A176" s="334" t="inlineStr">
        <is>
          <t>ลงชื่อ……………………………………………</t>
        </is>
      </c>
      <c r="G176" s="374" t="n"/>
      <c r="H176" s="334" t="inlineStr">
        <is>
          <t>ลงชื่อ……………………………………………</t>
        </is>
      </c>
      <c r="L176" s="374" t="n"/>
      <c r="M176" s="334" t="inlineStr">
        <is>
          <t>ลงชื่อ……………………………………………</t>
        </is>
      </c>
      <c r="S176" s="374" t="n"/>
    </row>
    <row r="177" ht="22.2" customHeight="1" s="375">
      <c r="A177" s="11" t="inlineStr">
        <is>
          <t>(</t>
        </is>
      </c>
      <c r="B177" s="324">
        <f>B145</f>
        <v/>
      </c>
      <c r="G177" s="326" t="inlineStr">
        <is>
          <t>)</t>
        </is>
      </c>
      <c r="H177" s="324" t="inlineStr">
        <is>
          <t>(</t>
        </is>
      </c>
      <c r="I177" s="340">
        <f>I131</f>
        <v/>
      </c>
      <c r="L177" s="12" t="inlineStr">
        <is>
          <t>)</t>
        </is>
      </c>
      <c r="M177" s="53" t="inlineStr">
        <is>
          <t>(</t>
        </is>
      </c>
      <c r="N177" s="53" t="n"/>
      <c r="O177" s="324">
        <f>O39</f>
        <v/>
      </c>
      <c r="R177" s="25" t="n"/>
      <c r="S177" s="326" t="inlineStr">
        <is>
          <t>)</t>
        </is>
      </c>
    </row>
    <row r="178" ht="22.2" customHeight="1" s="375">
      <c r="A178" s="540" t="inlineStr">
        <is>
          <t xml:space="preserve">                        ตำแหน่ง  ครู</t>
        </is>
      </c>
      <c r="G178" s="374" t="n"/>
      <c r="H178" s="54" t="inlineStr">
        <is>
          <t>ตำแหน่ง หัวหน้าแผนก</t>
        </is>
      </c>
      <c r="L178" s="374" t="n"/>
      <c r="M178" s="54" t="inlineStr">
        <is>
          <t>ตำแหน่ง   ผู้ตรวจสอบ</t>
        </is>
      </c>
      <c r="S178" s="374" t="n"/>
    </row>
    <row r="179" ht="22.2" customHeight="1" s="375">
      <c r="A179" s="55" t="inlineStr">
        <is>
          <t>วันที่ 22 เดือน กันยายน  พ.ศ.2569</t>
        </is>
      </c>
      <c r="B179" s="522" t="n"/>
      <c r="C179" s="522" t="n"/>
      <c r="D179" s="522" t="n"/>
      <c r="E179" s="522" t="n"/>
      <c r="F179" s="522" t="n"/>
      <c r="G179" s="527" t="n"/>
      <c r="H179" s="54">
        <f>A41</f>
        <v/>
      </c>
      <c r="L179" s="374" t="n"/>
      <c r="M179" s="55">
        <f>A41</f>
        <v/>
      </c>
      <c r="N179" s="522" t="n"/>
      <c r="O179" s="522" t="n"/>
      <c r="P179" s="522" t="n"/>
      <c r="Q179" s="522" t="n"/>
      <c r="R179" s="522" t="n"/>
      <c r="S179" s="527" t="n"/>
    </row>
    <row r="180" ht="22.2" customHeight="1" s="375">
      <c r="A180" s="154" t="inlineStr">
        <is>
          <t>ผู้ตรวจ</t>
        </is>
      </c>
      <c r="B180" s="153" t="n"/>
      <c r="C180" s="153" t="n"/>
      <c r="D180" s="153" t="n"/>
      <c r="E180" s="153" t="n"/>
      <c r="F180" s="153" t="n"/>
      <c r="G180" s="153" t="n"/>
      <c r="H180" s="153" t="n"/>
      <c r="I180" s="135" t="n"/>
      <c r="J180" s="154" t="inlineStr">
        <is>
          <t>ผู้เห็นชอบ</t>
        </is>
      </c>
      <c r="K180" s="153" t="n"/>
      <c r="L180" s="153" t="n"/>
      <c r="M180" s="153" t="n"/>
      <c r="N180" s="153" t="n"/>
      <c r="O180" s="153" t="n"/>
      <c r="P180" s="153" t="n"/>
      <c r="Q180" s="153" t="n"/>
      <c r="R180" s="153" t="n"/>
      <c r="S180" s="135" t="n"/>
    </row>
    <row r="181" ht="22.2" customHeight="1" s="375">
      <c r="A181" s="334" t="inlineStr">
        <is>
          <t>ลงชื่อ……………………………………………</t>
        </is>
      </c>
      <c r="I181" s="374" t="n"/>
      <c r="J181" s="334" t="inlineStr">
        <is>
          <t>ลงชื่อ……………………………………………</t>
        </is>
      </c>
      <c r="S181" s="374" t="n"/>
    </row>
    <row r="182" ht="22.2" customHeight="1" s="375">
      <c r="A182" s="11" t="n"/>
      <c r="B182" s="324">
        <f>B44</f>
        <v/>
      </c>
      <c r="I182" s="326" t="n"/>
      <c r="J182" s="25" t="n"/>
      <c r="K182" s="25" t="n"/>
      <c r="L182" s="324">
        <f>L44</f>
        <v/>
      </c>
      <c r="R182" s="25" t="n"/>
      <c r="S182" s="12" t="n"/>
    </row>
    <row r="183" ht="22.2" customHeight="1" s="375">
      <c r="A183" s="54" t="inlineStr">
        <is>
          <t>ตำแหน่งครู  หัวหน้างานพัฒนาหลักสูตร ฯ</t>
        </is>
      </c>
      <c r="I183" s="374" t="n"/>
      <c r="J183" s="54" t="inlineStr">
        <is>
          <t>ตำแหน่ง  รองผู้อำนวยการฝ่ายวิชาการ</t>
        </is>
      </c>
      <c r="S183" s="374" t="n"/>
    </row>
    <row r="184" ht="22.2" customHeight="1" s="375">
      <c r="A184" s="336" t="inlineStr">
        <is>
          <t>วันที่.......เดือน..........................พ.ศ..............</t>
        </is>
      </c>
      <c r="B184" s="522" t="n"/>
      <c r="C184" s="522" t="n"/>
      <c r="D184" s="522" t="n"/>
      <c r="E184" s="522" t="n"/>
      <c r="F184" s="522" t="n"/>
      <c r="G184" s="522" t="n"/>
      <c r="H184" s="522" t="n"/>
      <c r="I184" s="527" t="n"/>
      <c r="J184" s="336" t="inlineStr">
        <is>
          <t>วันที่.......เดือน..........................พ.ศ..............</t>
        </is>
      </c>
      <c r="K184" s="522" t="n"/>
      <c r="L184" s="522" t="n"/>
      <c r="M184" s="522" t="n"/>
      <c r="N184" s="522" t="n"/>
      <c r="O184" s="522" t="n"/>
      <c r="P184" s="522" t="n"/>
      <c r="Q184" s="522" t="n"/>
      <c r="R184" s="522" t="n"/>
      <c r="S184" s="527" t="n"/>
    </row>
    <row r="185" ht="22.2" customHeight="1" s="375">
      <c r="A185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75">
      <c r="A186" s="365" t="inlineStr">
        <is>
          <t>แผนกวิชาช่างยนต์</t>
        </is>
      </c>
    </row>
    <row r="187" ht="22.2" customHeight="1" s="375">
      <c r="A187" s="366" t="inlineStr">
        <is>
          <t xml:space="preserve">    ระหว่างวันที่</t>
        </is>
      </c>
      <c r="D187" s="365">
        <f>D3</f>
        <v/>
      </c>
      <c r="E187" s="365" t="inlineStr">
        <is>
          <t xml:space="preserve">   เดือน  </t>
        </is>
      </c>
      <c r="F187" s="365">
        <f>F3</f>
        <v/>
      </c>
      <c r="H187" s="365">
        <f>H3</f>
        <v/>
      </c>
      <c r="I187" s="365" t="inlineStr">
        <is>
          <t xml:space="preserve">     ถึง วันที่</t>
        </is>
      </c>
      <c r="J187" s="365">
        <f>J3</f>
        <v/>
      </c>
      <c r="K187" s="365" t="inlineStr">
        <is>
          <t xml:space="preserve">   เดือน </t>
        </is>
      </c>
      <c r="L187" s="365">
        <f>L3</f>
        <v/>
      </c>
      <c r="N187" s="365">
        <f>N3</f>
        <v/>
      </c>
      <c r="P187" s="365" t="n"/>
      <c r="R187" s="365" t="n"/>
    </row>
    <row r="188" ht="22.2" customHeight="1" s="375">
      <c r="G188" s="51" t="inlineStr">
        <is>
          <t>ü</t>
        </is>
      </c>
      <c r="H188" s="351" t="inlineStr">
        <is>
          <t>ครู</t>
        </is>
      </c>
      <c r="I188" s="322" t="inlineStr">
        <is>
          <t>หน้าที่พิเศษ</t>
        </is>
      </c>
      <c r="J188" s="382" t="inlineStr">
        <is>
          <t>ผู้ช่วยงานบริหารและพัฒนาทรัพยากรบุคคล, สวัสดิการนักเรียนนักศึกษา,</t>
        </is>
      </c>
      <c r="K188" s="522" t="n"/>
      <c r="L188" s="522" t="n"/>
      <c r="M188" s="522" t="n"/>
      <c r="N188" s="522" t="n"/>
      <c r="O188" s="522" t="n"/>
    </row>
    <row r="189" ht="22.2" customHeight="1" s="375">
      <c r="A189" s="24" t="inlineStr">
        <is>
          <t>ที่</t>
        </is>
      </c>
      <c r="B189" s="24" t="inlineStr">
        <is>
          <t>ชื่อ-สกุล</t>
        </is>
      </c>
      <c r="C189" s="153" t="n"/>
      <c r="D189" s="135" t="n"/>
      <c r="E189" s="15" t="inlineStr">
        <is>
          <t>ตำแหน่ง</t>
        </is>
      </c>
      <c r="F189" s="16" t="inlineStr">
        <is>
          <t>ระยะเวลาที่สอน</t>
        </is>
      </c>
      <c r="G189" s="432" t="n"/>
      <c r="H189" s="16" t="inlineStr">
        <is>
          <t>รหัสวิชา</t>
        </is>
      </c>
      <c r="I189" s="362" t="inlineStr">
        <is>
          <t>ชั้น,แผนก,ห้อง</t>
        </is>
      </c>
      <c r="J189" s="16" t="inlineStr">
        <is>
          <t>เวลาสอน</t>
        </is>
      </c>
      <c r="K189" s="135" t="n"/>
      <c r="L189" s="16" t="inlineStr">
        <is>
          <t>ปวช.(คาบ)</t>
        </is>
      </c>
      <c r="M189" s="432" t="n"/>
      <c r="N189" s="354" t="inlineStr">
        <is>
          <t>เงิน</t>
        </is>
      </c>
      <c r="O189" s="362" t="inlineStr">
        <is>
          <t>ยอดเงิน</t>
        </is>
      </c>
      <c r="P189" s="524" t="inlineStr">
        <is>
          <t>ปวส.(คาบ)</t>
        </is>
      </c>
      <c r="Q189" s="432" t="n"/>
      <c r="R189" s="354" t="inlineStr">
        <is>
          <t>เงิน</t>
        </is>
      </c>
      <c r="S189" s="362" t="inlineStr">
        <is>
          <t>ยอดเงิน</t>
        </is>
      </c>
    </row>
    <row r="190" ht="22.2" customHeight="1" s="375">
      <c r="A190" s="52" t="n"/>
      <c r="B190" s="8" t="n"/>
      <c r="C190" s="9" t="n"/>
      <c r="D190" s="13" t="n"/>
      <c r="E190" s="10" t="n"/>
      <c r="F190" s="336" t="inlineStr">
        <is>
          <t>ส.</t>
        </is>
      </c>
      <c r="G190" s="336" t="inlineStr">
        <is>
          <t>วดป.</t>
        </is>
      </c>
      <c r="H190" s="525" t="n"/>
      <c r="I190" s="336" t="n"/>
      <c r="J190" s="526" t="n"/>
      <c r="K190" s="527" t="n"/>
      <c r="L190" s="336" t="inlineStr">
        <is>
          <t>ใน</t>
        </is>
      </c>
      <c r="M190" s="336" t="inlineStr">
        <is>
          <t>นอก</t>
        </is>
      </c>
      <c r="N190" s="336" t="inlineStr">
        <is>
          <t>ต่อ ชม.</t>
        </is>
      </c>
      <c r="O190" s="336" t="inlineStr">
        <is>
          <t>(บาท)</t>
        </is>
      </c>
      <c r="P190" s="52" t="inlineStr">
        <is>
          <t>ใน</t>
        </is>
      </c>
      <c r="Q190" s="52" t="inlineStr">
        <is>
          <t>นอก</t>
        </is>
      </c>
      <c r="R190" s="336" t="inlineStr">
        <is>
          <t>ต่อ ชม.</t>
        </is>
      </c>
      <c r="S190" s="336" t="inlineStr">
        <is>
          <t>(บาท)</t>
        </is>
      </c>
    </row>
    <row r="191" ht="22.2" customHeight="1" s="375">
      <c r="A191" s="362" t="n">
        <v>5</v>
      </c>
      <c r="B191" s="528">
        <f>AB7</f>
        <v/>
      </c>
      <c r="C191" s="153" t="n"/>
      <c r="D191" s="135" t="n"/>
      <c r="E191" s="362" t="inlineStr">
        <is>
          <t>ครู</t>
        </is>
      </c>
      <c r="F191" s="5" t="n">
        <v>1</v>
      </c>
      <c r="G191" s="529" t="inlineStr">
        <is>
          <t>จันทร์</t>
        </is>
      </c>
      <c r="H191" s="376" t="inlineStr">
        <is>
          <t>20101-2029</t>
        </is>
      </c>
      <c r="I191" s="376" t="inlineStr">
        <is>
          <t>ชย.3/7 (26)</t>
        </is>
      </c>
      <c r="J191" s="381" t="inlineStr">
        <is>
          <t>08:10 - 12:10</t>
        </is>
      </c>
      <c r="K191" s="135" t="n"/>
      <c r="L191" s="367" t="n">
        <v>4</v>
      </c>
      <c r="M191" s="381" t="inlineStr"/>
      <c r="N191" s="381" t="inlineStr"/>
      <c r="O191" s="354" t="inlineStr"/>
      <c r="P191" s="381" t="inlineStr"/>
      <c r="Q191" s="367" t="inlineStr"/>
      <c r="R191" s="381" t="inlineStr"/>
      <c r="S191" s="354" t="inlineStr"/>
      <c r="T191" t="inlineStr"/>
      <c r="U191" t="inlineStr"/>
    </row>
    <row r="192" ht="22.2" customHeight="1" s="375">
      <c r="A192" s="3" t="n"/>
      <c r="B192" s="530" t="n"/>
      <c r="D192" s="374" t="n"/>
      <c r="E192" s="334" t="n"/>
      <c r="F192" s="322" t="n"/>
      <c r="G192" s="535" t="inlineStr">
        <is>
          <t>14 ก.ย.69</t>
        </is>
      </c>
      <c r="H192" s="376" t="inlineStr">
        <is>
          <t>20101-2029</t>
        </is>
      </c>
      <c r="I192" s="376" t="inlineStr">
        <is>
          <t>ชย.3/7 (26)</t>
        </is>
      </c>
      <c r="J192" s="334" t="inlineStr">
        <is>
          <t>13:10 - 16:10</t>
        </is>
      </c>
      <c r="K192" s="374" t="n"/>
      <c r="L192" s="334" t="n">
        <v>3</v>
      </c>
      <c r="M192" s="334" t="inlineStr"/>
      <c r="N192" s="334" t="inlineStr"/>
      <c r="O192" s="354" t="inlineStr"/>
      <c r="P192" s="334" t="inlineStr"/>
      <c r="Q192" s="334" t="inlineStr"/>
      <c r="R192" s="334" t="inlineStr"/>
      <c r="S192" s="354" t="inlineStr"/>
      <c r="T192" t="inlineStr"/>
      <c r="U192" t="inlineStr"/>
    </row>
    <row r="193" ht="22.2" customHeight="1" s="375">
      <c r="A193" s="3" t="n"/>
      <c r="B193" s="313" t="n"/>
      <c r="D193" s="314" t="n"/>
      <c r="E193" s="314" t="n"/>
      <c r="F193" s="322" t="n"/>
      <c r="G193" s="321" t="inlineStr"/>
      <c r="H193" s="376" t="inlineStr"/>
      <c r="I193" s="376" t="inlineStr"/>
      <c r="J193" s="334" t="inlineStr"/>
      <c r="K193" s="374" t="n"/>
      <c r="L193" s="334" t="inlineStr"/>
      <c r="M193" s="334" t="inlineStr"/>
      <c r="N193" s="334" t="inlineStr"/>
      <c r="O193" s="354" t="inlineStr"/>
      <c r="P193" s="334" t="inlineStr"/>
      <c r="Q193" s="334" t="inlineStr"/>
      <c r="R193" s="334" t="inlineStr"/>
      <c r="S193" s="354" t="inlineStr"/>
      <c r="T193" t="inlineStr"/>
      <c r="U193" t="inlineStr"/>
    </row>
    <row r="194" ht="22.2" customHeight="1" s="375">
      <c r="A194" s="3" t="n"/>
      <c r="B194" s="313" t="n"/>
      <c r="E194" s="3" t="n"/>
      <c r="F194" s="322" t="n"/>
      <c r="G194" s="321" t="inlineStr"/>
      <c r="H194" s="334" t="inlineStr"/>
      <c r="I194" s="334" t="inlineStr"/>
      <c r="J194" s="334" t="inlineStr"/>
      <c r="K194" s="374" t="n"/>
      <c r="L194" s="334" t="inlineStr"/>
      <c r="M194" s="334" t="inlineStr"/>
      <c r="N194" s="334" t="inlineStr"/>
      <c r="O194" s="354" t="inlineStr"/>
      <c r="P194" s="334" t="inlineStr"/>
      <c r="Q194" s="334" t="inlineStr"/>
      <c r="R194" s="334" t="inlineStr"/>
      <c r="S194" s="354" t="inlineStr"/>
      <c r="T194" t="inlineStr"/>
      <c r="U194" t="inlineStr"/>
    </row>
    <row r="195" ht="22.2" customHeight="1" s="375">
      <c r="A195" s="3" t="n"/>
      <c r="E195" s="3" t="n"/>
      <c r="G195" s="344" t="inlineStr"/>
      <c r="H195" s="336" t="inlineStr"/>
      <c r="I195" s="336" t="inlineStr"/>
      <c r="J195" s="336" t="inlineStr"/>
      <c r="K195" s="527" t="n"/>
      <c r="L195" s="334" t="inlineStr"/>
      <c r="M195" s="334" t="inlineStr"/>
      <c r="N195" s="334" t="inlineStr"/>
      <c r="O195" s="354" t="inlineStr"/>
      <c r="P195" s="334" t="inlineStr"/>
      <c r="Q195" s="334" t="inlineStr"/>
      <c r="R195" s="334" t="inlineStr"/>
      <c r="S195" s="354" t="inlineStr"/>
      <c r="T195" t="inlineStr"/>
      <c r="U195" t="inlineStr"/>
    </row>
    <row r="196" ht="22.2" customHeight="1" s="375">
      <c r="A196" s="3" t="n"/>
      <c r="B196" s="143" t="n"/>
      <c r="C196" s="144" t="n"/>
      <c r="D196" s="145" t="n"/>
      <c r="E196" s="146" t="n"/>
      <c r="F196" s="145" t="n"/>
      <c r="G196" s="533" t="inlineStr">
        <is>
          <t>อังคาร</t>
        </is>
      </c>
      <c r="H196" s="381" t="inlineStr">
        <is>
          <t>20101-2029</t>
        </is>
      </c>
      <c r="I196" s="376" t="inlineStr">
        <is>
          <t>ชย.3/5 (26)</t>
        </is>
      </c>
      <c r="J196" s="381" t="inlineStr">
        <is>
          <t>08:10 - 12:10</t>
        </is>
      </c>
      <c r="K196" s="135" t="n"/>
      <c r="L196" s="367" t="n">
        <v>4</v>
      </c>
      <c r="M196" s="381" t="inlineStr"/>
      <c r="N196" s="381" t="inlineStr"/>
      <c r="O196" s="354" t="inlineStr"/>
      <c r="P196" s="381" t="inlineStr"/>
      <c r="Q196" s="367" t="inlineStr"/>
      <c r="R196" s="381" t="inlineStr"/>
      <c r="S196" s="354" t="inlineStr"/>
      <c r="T196" t="inlineStr"/>
      <c r="U196" t="inlineStr"/>
    </row>
    <row r="197" ht="22.2" customHeight="1" s="375">
      <c r="A197" s="3" t="n"/>
      <c r="D197" s="314" t="n"/>
      <c r="E197" s="3" t="n"/>
      <c r="G197" s="535" t="inlineStr">
        <is>
          <t>15 ก.ย.69</t>
        </is>
      </c>
      <c r="H197" s="376" t="inlineStr">
        <is>
          <t>20101-2029</t>
        </is>
      </c>
      <c r="I197" s="376" t="inlineStr">
        <is>
          <t>ชย.3/5 (26)</t>
        </is>
      </c>
      <c r="J197" s="334" t="inlineStr">
        <is>
          <t>13:10 - 16:10</t>
        </is>
      </c>
      <c r="K197" s="374" t="n"/>
      <c r="L197" s="334" t="n">
        <v>3</v>
      </c>
      <c r="M197" s="334" t="inlineStr"/>
      <c r="N197" s="334" t="inlineStr"/>
      <c r="O197" s="354" t="inlineStr"/>
      <c r="P197" s="334" t="inlineStr"/>
      <c r="Q197" s="334" t="inlineStr"/>
      <c r="R197" s="334" t="inlineStr"/>
      <c r="S197" s="354" t="inlineStr"/>
      <c r="T197" t="inlineStr"/>
      <c r="U197" t="inlineStr"/>
    </row>
    <row r="198" ht="22.2" customHeight="1" s="375">
      <c r="A198" s="3" t="n"/>
      <c r="B198" s="313" t="n"/>
      <c r="D198" s="314" t="n"/>
      <c r="E198" s="314" t="n"/>
      <c r="G198" s="334" t="inlineStr"/>
      <c r="H198" s="376" t="inlineStr"/>
      <c r="I198" s="376" t="inlineStr"/>
      <c r="J198" s="334" t="inlineStr"/>
      <c r="K198" s="374" t="n"/>
      <c r="L198" s="334" t="inlineStr"/>
      <c r="M198" s="334" t="inlineStr"/>
      <c r="N198" s="334" t="inlineStr"/>
      <c r="O198" s="354" t="inlineStr"/>
      <c r="P198" s="334" t="inlineStr"/>
      <c r="Q198" s="334" t="inlineStr"/>
      <c r="R198" s="334" t="inlineStr"/>
      <c r="S198" s="354" t="inlineStr"/>
      <c r="T198" t="inlineStr"/>
      <c r="U198" t="inlineStr"/>
    </row>
    <row r="199" ht="22.2" customHeight="1" s="375">
      <c r="A199" s="3" t="n"/>
      <c r="E199" s="3" t="n"/>
      <c r="G199" s="54" t="inlineStr"/>
      <c r="H199" s="334" t="inlineStr"/>
      <c r="I199" s="334" t="inlineStr"/>
      <c r="J199" s="334" t="inlineStr"/>
      <c r="K199" s="374" t="n"/>
      <c r="L199" s="334" t="inlineStr"/>
      <c r="M199" s="334" t="inlineStr"/>
      <c r="N199" s="334" t="inlineStr"/>
      <c r="O199" s="354" t="inlineStr"/>
      <c r="P199" s="334" t="inlineStr"/>
      <c r="Q199" s="334" t="inlineStr"/>
      <c r="R199" s="334" t="inlineStr"/>
      <c r="S199" s="354" t="inlineStr"/>
      <c r="T199" t="inlineStr"/>
      <c r="U199" t="inlineStr"/>
    </row>
    <row r="200" ht="22.2" customHeight="1" s="375">
      <c r="A200" s="3" t="n"/>
      <c r="D200" s="7" t="inlineStr">
        <is>
          <t> </t>
        </is>
      </c>
      <c r="E200" s="3" t="n"/>
      <c r="G200" s="55" t="inlineStr"/>
      <c r="H200" s="336" t="inlineStr"/>
      <c r="I200" s="336" t="inlineStr"/>
      <c r="J200" s="336" t="inlineStr"/>
      <c r="K200" s="527" t="n"/>
      <c r="L200" s="334" t="inlineStr"/>
      <c r="M200" s="334" t="inlineStr"/>
      <c r="N200" s="334" t="inlineStr"/>
      <c r="O200" s="354" t="inlineStr"/>
      <c r="P200" s="334" t="inlineStr"/>
      <c r="Q200" s="334" t="inlineStr"/>
      <c r="R200" s="334" t="inlineStr"/>
      <c r="S200" s="354" t="inlineStr"/>
      <c r="T200" t="inlineStr"/>
      <c r="U200" t="inlineStr"/>
    </row>
    <row r="201" ht="22.2" customHeight="1" s="375">
      <c r="A201" s="3" t="n"/>
      <c r="E201" s="3" t="n"/>
      <c r="G201" s="535" t="inlineStr">
        <is>
          <t>พุธ</t>
        </is>
      </c>
      <c r="H201" s="376" t="inlineStr">
        <is>
          <t>20101-2029</t>
        </is>
      </c>
      <c r="I201" s="376" t="inlineStr">
        <is>
          <t>ชย.3/8 (26)</t>
        </is>
      </c>
      <c r="J201" s="381" t="inlineStr">
        <is>
          <t>08:10 - 12:10</t>
        </is>
      </c>
      <c r="K201" s="135" t="n"/>
      <c r="L201" s="367" t="n">
        <v>4</v>
      </c>
      <c r="M201" s="381" t="inlineStr"/>
      <c r="N201" s="381" t="inlineStr"/>
      <c r="O201" s="354" t="inlineStr"/>
      <c r="P201" s="381" t="inlineStr"/>
      <c r="Q201" s="367" t="inlineStr"/>
      <c r="R201" s="381" t="inlineStr"/>
      <c r="S201" s="354" t="inlineStr"/>
      <c r="T201" s="23" t="inlineStr"/>
      <c r="U201" s="23" t="inlineStr"/>
      <c r="V201" s="56" t="n"/>
      <c r="W201" s="23" t="n"/>
      <c r="X201" s="23" t="n"/>
    </row>
    <row r="202" ht="22.2" customHeight="1" s="375">
      <c r="A202" s="3" t="n"/>
      <c r="B202" s="321" t="n"/>
      <c r="C202" s="322" t="n"/>
      <c r="D202" s="322" t="n"/>
      <c r="E202" s="334" t="n"/>
      <c r="G202" s="535" t="inlineStr">
        <is>
          <t>16 ก.ย.69</t>
        </is>
      </c>
      <c r="H202" s="376" t="inlineStr">
        <is>
          <t>20101-2029</t>
        </is>
      </c>
      <c r="I202" s="376" t="inlineStr">
        <is>
          <t>ชย.3/8 (26)</t>
        </is>
      </c>
      <c r="J202" s="334" t="inlineStr">
        <is>
          <t>13:10 - 16:10</t>
        </is>
      </c>
      <c r="K202" s="374" t="n"/>
      <c r="L202" s="334" t="inlineStr"/>
      <c r="M202" s="334" t="n">
        <v>3</v>
      </c>
      <c r="N202" s="334" t="n">
        <v>200</v>
      </c>
      <c r="O202" s="354">
        <f>M202*N202</f>
        <v/>
      </c>
      <c r="P202" s="334" t="inlineStr"/>
      <c r="Q202" s="334" t="inlineStr"/>
      <c r="R202" s="334" t="inlineStr"/>
      <c r="S202" s="354" t="inlineStr"/>
      <c r="T202" s="23" t="inlineStr"/>
      <c r="U202" s="23" t="inlineStr"/>
      <c r="V202" s="56" t="n"/>
      <c r="W202" s="23" t="n"/>
      <c r="X202" s="23" t="n"/>
    </row>
    <row r="203" ht="22.2" customHeight="1" s="375">
      <c r="A203" s="3" t="n"/>
      <c r="B203" s="313" t="n"/>
      <c r="D203" s="314" t="n"/>
      <c r="E203" s="314" t="n"/>
      <c r="G203" s="334" t="inlineStr"/>
      <c r="H203" s="376" t="inlineStr"/>
      <c r="I203" s="376" t="inlineStr"/>
      <c r="J203" s="334" t="inlineStr"/>
      <c r="K203" s="374" t="n"/>
      <c r="L203" s="334" t="inlineStr"/>
      <c r="M203" s="334" t="inlineStr"/>
      <c r="N203" s="334" t="inlineStr"/>
      <c r="O203" s="354" t="inlineStr"/>
      <c r="P203" s="334" t="inlineStr"/>
      <c r="Q203" s="334" t="inlineStr"/>
      <c r="R203" s="334" t="inlineStr"/>
      <c r="S203" s="354" t="inlineStr"/>
      <c r="T203" t="inlineStr"/>
      <c r="U203" t="inlineStr"/>
    </row>
    <row r="204" ht="22.2" customHeight="1" s="375">
      <c r="A204" s="3" t="n"/>
      <c r="E204" s="3" t="n"/>
      <c r="G204" s="321" t="inlineStr"/>
      <c r="H204" s="321" t="inlineStr"/>
      <c r="I204" s="334" t="inlineStr"/>
      <c r="J204" s="334" t="inlineStr"/>
      <c r="K204" s="374" t="n"/>
      <c r="L204" s="334" t="inlineStr"/>
      <c r="M204" s="334" t="inlineStr"/>
      <c r="N204" s="334" t="inlineStr"/>
      <c r="O204" s="354" t="inlineStr"/>
      <c r="P204" s="334" t="inlineStr"/>
      <c r="Q204" s="334" t="inlineStr"/>
      <c r="R204" s="334" t="inlineStr"/>
      <c r="S204" s="354" t="inlineStr"/>
      <c r="T204" t="inlineStr"/>
      <c r="U204" t="inlineStr"/>
    </row>
    <row r="205" ht="22.2" customHeight="1" s="375">
      <c r="A205" s="3" t="n"/>
      <c r="E205" s="3" t="n"/>
      <c r="G205" s="327" t="inlineStr"/>
      <c r="H205" s="327" t="inlineStr"/>
      <c r="I205" s="336" t="inlineStr"/>
      <c r="J205" s="336" t="inlineStr"/>
      <c r="K205" s="527" t="n"/>
      <c r="L205" s="336" t="inlineStr"/>
      <c r="M205" s="336" t="inlineStr"/>
      <c r="N205" s="336" t="inlineStr"/>
      <c r="O205" s="354" t="inlineStr"/>
      <c r="P205" s="336" t="inlineStr"/>
      <c r="Q205" s="336" t="inlineStr"/>
      <c r="R205" s="336" t="inlineStr"/>
      <c r="S205" s="354" t="inlineStr"/>
      <c r="T205" t="inlineStr"/>
      <c r="U205" t="inlineStr"/>
    </row>
    <row r="206" ht="22.2" customHeight="1" s="375">
      <c r="A206" s="3" t="n"/>
      <c r="E206" s="3" t="n"/>
      <c r="G206" s="533" t="inlineStr">
        <is>
          <t>พฤหัส</t>
        </is>
      </c>
      <c r="H206" s="376" t="inlineStr">
        <is>
          <t>20101-2016</t>
        </is>
      </c>
      <c r="I206" s="376" t="inlineStr">
        <is>
          <t>ชย.1/1,ชย.1/2 (26)</t>
        </is>
      </c>
      <c r="J206" s="381" t="inlineStr">
        <is>
          <t>08:10 - 10:10</t>
        </is>
      </c>
      <c r="K206" s="135" t="n"/>
      <c r="L206" s="334" t="inlineStr"/>
      <c r="M206" s="334" t="n">
        <v>2</v>
      </c>
      <c r="N206" s="334" t="n">
        <v>200</v>
      </c>
      <c r="O206" s="354">
        <f>M206*N206</f>
        <v/>
      </c>
      <c r="P206" s="334" t="inlineStr"/>
      <c r="Q206" s="367" t="inlineStr"/>
      <c r="R206" s="381" t="inlineStr"/>
      <c r="S206" s="354" t="inlineStr"/>
      <c r="T206" t="inlineStr"/>
      <c r="U206" t="inlineStr"/>
    </row>
    <row r="207" ht="22.2" customHeight="1" s="375">
      <c r="A207" s="3" t="n"/>
      <c r="E207" s="3" t="n"/>
      <c r="G207" s="535" t="inlineStr">
        <is>
          <t>17 ก.ย.69</t>
        </is>
      </c>
      <c r="H207" s="334" t="inlineStr">
        <is>
          <t>20000-2007</t>
        </is>
      </c>
      <c r="I207" s="376" t="inlineStr">
        <is>
          <t>ชย.3/1,ชย.3/2,ชย.3/3 (26)</t>
        </is>
      </c>
      <c r="J207" s="334" t="inlineStr">
        <is>
          <t>13:10 - 15:10</t>
        </is>
      </c>
      <c r="K207" s="374" t="n"/>
      <c r="L207" s="334" t="n">
        <v>2</v>
      </c>
      <c r="M207" s="334" t="inlineStr"/>
      <c r="N207" s="334" t="inlineStr"/>
      <c r="O207" s="354" t="inlineStr"/>
      <c r="P207" s="334" t="inlineStr"/>
      <c r="Q207" s="334" t="inlineStr"/>
      <c r="R207" s="334" t="inlineStr"/>
      <c r="S207" s="354" t="inlineStr"/>
      <c r="T207" t="inlineStr"/>
      <c r="U207" t="inlineStr"/>
    </row>
    <row r="208" ht="22.2" customHeight="1" s="375">
      <c r="A208" s="3" t="n"/>
      <c r="E208" s="3" t="n"/>
      <c r="G208" s="334" t="inlineStr"/>
      <c r="H208" s="376" t="inlineStr"/>
      <c r="I208" s="376" t="inlineStr"/>
      <c r="J208" s="376" t="inlineStr"/>
      <c r="K208" s="374" t="n"/>
      <c r="L208" s="376" t="inlineStr"/>
      <c r="M208" s="376" t="inlineStr"/>
      <c r="N208" s="376" t="inlineStr"/>
      <c r="O208" s="354" t="inlineStr"/>
      <c r="P208" s="376" t="inlineStr"/>
      <c r="Q208" s="376" t="inlineStr"/>
      <c r="R208" s="376" t="inlineStr"/>
      <c r="S208" s="354" t="inlineStr"/>
      <c r="T208" t="inlineStr"/>
      <c r="U208" t="inlineStr"/>
    </row>
    <row r="209" ht="22.2" customHeight="1" s="375">
      <c r="A209" s="3" t="n"/>
      <c r="E209" s="3" t="n"/>
      <c r="G209" s="334" t="inlineStr"/>
      <c r="H209" s="334" t="inlineStr"/>
      <c r="I209" s="334" t="inlineStr"/>
      <c r="J209" s="334" t="inlineStr"/>
      <c r="K209" s="374" t="n"/>
      <c r="L209" s="334" t="inlineStr"/>
      <c r="M209" s="334" t="inlineStr"/>
      <c r="N209" s="334" t="inlineStr"/>
      <c r="O209" s="354" t="inlineStr"/>
      <c r="P209" s="334" t="inlineStr"/>
      <c r="Q209" s="334" t="inlineStr"/>
      <c r="R209" s="334" t="inlineStr"/>
      <c r="S209" s="354" t="inlineStr"/>
      <c r="T209" t="inlineStr"/>
      <c r="U209" t="inlineStr"/>
    </row>
    <row r="210" ht="22.2" customHeight="1" s="375">
      <c r="A210" s="3" t="n"/>
      <c r="E210" s="3" t="n"/>
      <c r="G210" s="336" t="inlineStr"/>
      <c r="H210" s="328" t="inlineStr"/>
      <c r="I210" s="336" t="inlineStr"/>
      <c r="J210" s="336" t="inlineStr"/>
      <c r="K210" s="527" t="n"/>
      <c r="L210" s="336" t="inlineStr"/>
      <c r="M210" s="336" t="inlineStr"/>
      <c r="N210" s="336" t="inlineStr"/>
      <c r="O210" s="354" t="inlineStr"/>
      <c r="P210" s="336" t="inlineStr"/>
      <c r="Q210" s="336" t="inlineStr"/>
      <c r="R210" s="336" t="inlineStr"/>
      <c r="S210" s="354" t="inlineStr"/>
      <c r="T210" t="inlineStr"/>
      <c r="U210" t="inlineStr"/>
    </row>
    <row r="211" ht="22.2" customHeight="1" s="375">
      <c r="A211" s="3" t="n"/>
      <c r="E211" s="3" t="n"/>
      <c r="G211" s="533" t="inlineStr">
        <is>
          <t>ศุกร์</t>
        </is>
      </c>
      <c r="H211" s="376" t="inlineStr">
        <is>
          <t>20101-2018</t>
        </is>
      </c>
      <c r="I211" s="376" t="inlineStr">
        <is>
          <t>ชย.3/1,ชย.3/2 (26)</t>
        </is>
      </c>
      <c r="J211" s="381" t="inlineStr">
        <is>
          <t>18:10 - 21:10</t>
        </is>
      </c>
      <c r="K211" s="135" t="n"/>
      <c r="L211" s="334" t="inlineStr"/>
      <c r="M211" s="334" t="n">
        <v>3</v>
      </c>
      <c r="N211" s="334" t="n">
        <v>200</v>
      </c>
      <c r="O211" s="354">
        <f>M211*N211</f>
        <v/>
      </c>
      <c r="P211" s="381" t="inlineStr"/>
      <c r="Q211" s="367" t="inlineStr"/>
      <c r="R211" s="381" t="inlineStr"/>
      <c r="S211" s="354" t="inlineStr"/>
      <c r="T211" t="inlineStr"/>
      <c r="U211" t="inlineStr"/>
    </row>
    <row r="212" ht="22.2" customHeight="1" s="375">
      <c r="A212" s="3" t="n"/>
      <c r="B212" s="143" t="n"/>
      <c r="C212" s="144" t="n"/>
      <c r="D212" s="145" t="n"/>
      <c r="E212" s="146" t="n"/>
      <c r="F212" s="145" t="n"/>
      <c r="G212" s="535" t="inlineStr">
        <is>
          <t>18 ก.ย.69</t>
        </is>
      </c>
      <c r="H212" s="376" t="inlineStr"/>
      <c r="I212" s="376" t="inlineStr"/>
      <c r="J212" s="334" t="inlineStr"/>
      <c r="K212" s="374" t="n"/>
      <c r="L212" s="334" t="inlineStr"/>
      <c r="M212" s="334" t="inlineStr"/>
      <c r="N212" s="334" t="inlineStr"/>
      <c r="O212" s="354" t="inlineStr"/>
      <c r="P212" s="334" t="inlineStr"/>
      <c r="Q212" s="334" t="inlineStr"/>
      <c r="R212" s="334" t="inlineStr"/>
      <c r="S212" s="354" t="inlineStr"/>
      <c r="T212" t="inlineStr"/>
      <c r="U212" t="inlineStr"/>
    </row>
    <row r="213" ht="22.2" customHeight="1" s="375">
      <c r="A213" s="3" t="n"/>
      <c r="E213" s="3" t="n"/>
      <c r="G213" s="334" t="inlineStr"/>
      <c r="H213" s="376" t="inlineStr"/>
      <c r="I213" s="376" t="inlineStr"/>
      <c r="J213" s="334" t="inlineStr"/>
      <c r="K213" s="374" t="n"/>
      <c r="L213" s="334" t="inlineStr"/>
      <c r="M213" s="334" t="inlineStr"/>
      <c r="N213" s="334" t="inlineStr"/>
      <c r="O213" s="354" t="inlineStr"/>
      <c r="P213" s="334" t="inlineStr"/>
      <c r="Q213" s="334" t="inlineStr"/>
      <c r="R213" s="334" t="inlineStr"/>
      <c r="S213" s="354" t="inlineStr"/>
      <c r="T213" t="inlineStr"/>
      <c r="U213" t="inlineStr"/>
    </row>
    <row r="214" ht="22.2" customHeight="1" s="375">
      <c r="A214" s="3" t="n"/>
      <c r="E214" s="3" t="n"/>
      <c r="G214" s="334" t="inlineStr"/>
      <c r="H214" s="334" t="inlineStr"/>
      <c r="I214" s="334" t="inlineStr"/>
      <c r="J214" s="334" t="inlineStr"/>
      <c r="K214" s="374" t="n"/>
      <c r="L214" s="334" t="inlineStr"/>
      <c r="M214" s="334" t="inlineStr"/>
      <c r="N214" s="334" t="inlineStr"/>
      <c r="O214" s="354" t="inlineStr"/>
      <c r="P214" s="334" t="inlineStr"/>
      <c r="Q214" s="334" t="inlineStr"/>
      <c r="R214" s="334" t="inlineStr"/>
      <c r="S214" s="354" t="inlineStr"/>
      <c r="T214" t="inlineStr"/>
      <c r="U214" t="inlineStr"/>
    </row>
    <row r="215" ht="22.2" customHeight="1" s="375">
      <c r="A215" s="3" t="n"/>
      <c r="E215" s="3" t="n"/>
      <c r="F215" s="3" t="n"/>
      <c r="G215" s="329" t="inlineStr"/>
      <c r="H215" s="328" t="inlineStr"/>
      <c r="I215" s="336" t="inlineStr"/>
      <c r="J215" s="336" t="inlineStr"/>
      <c r="K215" s="527" t="n"/>
      <c r="L215" s="336" t="inlineStr"/>
      <c r="M215" s="336" t="inlineStr"/>
      <c r="N215" s="336" t="inlineStr"/>
      <c r="O215" s="354" t="inlineStr"/>
      <c r="P215" s="336" t="inlineStr"/>
      <c r="Q215" s="336" t="inlineStr"/>
      <c r="R215" s="336" t="inlineStr"/>
      <c r="S215" s="354" t="inlineStr"/>
      <c r="T215" t="inlineStr"/>
      <c r="U215" t="inlineStr"/>
    </row>
    <row r="216" ht="22.2" customHeight="1" s="375">
      <c r="A216" s="3" t="n"/>
      <c r="E216" s="3" t="n"/>
      <c r="F216" s="3" t="n"/>
      <c r="G216" s="16" t="inlineStr">
        <is>
          <t>รวมขั่วโมงที่สอนแยก ภาระงาน/ เกินภาระงาน</t>
        </is>
      </c>
      <c r="H216" s="518" t="n"/>
      <c r="I216" s="518" t="n"/>
      <c r="J216" s="518" t="n"/>
      <c r="K216" s="432" t="n"/>
      <c r="L216" s="16">
        <f>SUM(L191:L215)</f>
        <v/>
      </c>
      <c r="M216" s="16">
        <f>SUM(M191:M215)</f>
        <v/>
      </c>
      <c r="N216" s="16" t="n"/>
      <c r="O216" s="16" t="n"/>
      <c r="P216" s="16">
        <f>SUM(P191:P215)</f>
        <v/>
      </c>
      <c r="Q216" s="16">
        <f>SUM(Q191:Q215)</f>
        <v/>
      </c>
      <c r="R216" s="349" t="n"/>
      <c r="S216" s="16" t="n"/>
    </row>
    <row r="217" ht="22.2" customHeight="1" s="375">
      <c r="A217" s="3" t="n"/>
      <c r="E217" s="3" t="n"/>
      <c r="F217" s="3" t="n"/>
      <c r="G217" s="16" t="inlineStr">
        <is>
          <t>รวมจำนวนชั่วโมงสอนคาบต่อสับดาห์</t>
        </is>
      </c>
      <c r="H217" s="518" t="n"/>
      <c r="I217" s="518" t="n"/>
      <c r="J217" s="518" t="n"/>
      <c r="K217" s="432" t="n"/>
      <c r="L217" s="16">
        <f>L216+M216</f>
        <v/>
      </c>
      <c r="M217" s="432" t="n"/>
      <c r="N217" s="16" t="n"/>
      <c r="O217" s="348" t="n"/>
      <c r="P217" s="16">
        <f>P216+Q216</f>
        <v/>
      </c>
      <c r="Q217" s="432" t="n"/>
      <c r="R217" s="329" t="n"/>
      <c r="S217" s="336" t="n"/>
    </row>
    <row r="218" ht="22.2" customHeight="1" s="375">
      <c r="A218" s="3" t="n"/>
      <c r="E218" s="3" t="n"/>
      <c r="F218" s="3" t="n"/>
      <c r="G218" s="16" t="inlineStr">
        <is>
          <t>จำนวนชั่วโมงสอนตามภาระงานสอน</t>
        </is>
      </c>
      <c r="H218" s="518" t="n"/>
      <c r="I218" s="518" t="n"/>
      <c r="J218" s="518" t="n"/>
      <c r="K218" s="432" t="n"/>
      <c r="L218" s="16" t="n">
        <v>18</v>
      </c>
      <c r="M218" s="432" t="n"/>
      <c r="N218" s="348" t="n"/>
      <c r="O218" s="16" t="n"/>
      <c r="P218" s="16" t="n">
        <v>0</v>
      </c>
      <c r="Q218" s="432" t="n"/>
      <c r="R218" s="322" t="n"/>
      <c r="S218" s="334" t="n"/>
    </row>
    <row r="219" ht="22.2" customHeight="1" s="375" thickBot="1">
      <c r="A219" s="3" t="n"/>
      <c r="E219" s="3" t="n"/>
      <c r="F219" s="14" t="n"/>
      <c r="G219" s="16" t="inlineStr">
        <is>
          <t>จำนวนชั่วโมงบิกเกินภาระงานสอน/ค่าสอน</t>
        </is>
      </c>
      <c r="H219" s="518" t="n"/>
      <c r="I219" s="518" t="n"/>
      <c r="J219" s="518" t="n"/>
      <c r="K219" s="432" t="n"/>
      <c r="L219" s="17" t="n">
        <v>0</v>
      </c>
      <c r="M219" s="17">
        <f>SUM(M191:M215)</f>
        <v/>
      </c>
      <c r="N219" s="17" t="n"/>
      <c r="O219" s="17">
        <f>SUM(O191:O215)</f>
        <v/>
      </c>
      <c r="P219" s="17" t="n">
        <v>0</v>
      </c>
      <c r="Q219" s="17">
        <f>SUM(Q191:Q215)</f>
        <v/>
      </c>
      <c r="R219" s="18" t="n"/>
      <c r="S219" s="17">
        <f>SUM(S191:S215)</f>
        <v/>
      </c>
    </row>
    <row r="220" ht="22.2" customHeight="1" s="375" thickTop="1">
      <c r="A220" s="337" t="inlineStr">
        <is>
          <t>รวมจำนวนหน่วยชั่วโมงที่ขอเบิกค่าสอน ….</t>
        </is>
      </c>
      <c r="B220" s="518" t="n"/>
      <c r="C220" s="518" t="n"/>
      <c r="D220" s="518" t="n"/>
      <c r="E220" s="518" t="n"/>
      <c r="F220" s="518" t="n"/>
      <c r="G220" s="518" t="n"/>
      <c r="H220" s="348">
        <f>M219+Q219</f>
        <v/>
      </c>
      <c r="I220" s="348" t="inlineStr">
        <is>
          <t>….ชั่วโมง</t>
        </is>
      </c>
      <c r="J220" s="348" t="n"/>
      <c r="K220" s="328" t="inlineStr">
        <is>
          <t>ยอดเงินรวม</t>
        </is>
      </c>
      <c r="L220" s="522" t="n"/>
      <c r="M220" s="522" t="n"/>
      <c r="N220" s="328" t="n"/>
      <c r="O220" s="328" t="n"/>
      <c r="P220" s="339">
        <f>S219+O219</f>
        <v/>
      </c>
      <c r="Q220" s="538" t="n"/>
      <c r="R220" s="20" t="n"/>
      <c r="S220" s="19" t="inlineStr">
        <is>
          <t>..บาท</t>
        </is>
      </c>
    </row>
    <row r="221" ht="22.2" customHeight="1" s="375">
      <c r="A221" s="154" t="inlineStr">
        <is>
          <t>ผู้ขอเบิก</t>
        </is>
      </c>
      <c r="B221" s="153" t="n"/>
      <c r="C221" s="153" t="n"/>
      <c r="D221" s="153" t="n"/>
      <c r="E221" s="153" t="n"/>
      <c r="F221" s="153" t="n"/>
      <c r="G221" s="135" t="n"/>
      <c r="H221" s="154" t="inlineStr">
        <is>
          <t>ผู้รับรอง</t>
        </is>
      </c>
      <c r="I221" s="153" t="n"/>
      <c r="J221" s="153" t="n"/>
      <c r="K221" s="153" t="n"/>
      <c r="L221" s="135" t="n"/>
      <c r="M221" s="154" t="inlineStr">
        <is>
          <t>ผู้ตรวจ</t>
        </is>
      </c>
      <c r="N221" s="153" t="n"/>
      <c r="O221" s="153" t="n"/>
      <c r="P221" s="153" t="n"/>
      <c r="Q221" s="153" t="n"/>
      <c r="R221" s="153" t="n"/>
      <c r="S221" s="135" t="n"/>
    </row>
    <row r="222" ht="22.2" customHeight="1" s="375">
      <c r="A222" s="334" t="inlineStr">
        <is>
          <t>ลงชื่อ……………………………………………</t>
        </is>
      </c>
      <c r="G222" s="374" t="n"/>
      <c r="H222" s="334" t="inlineStr">
        <is>
          <t>ลงชื่อ……………………………………………</t>
        </is>
      </c>
      <c r="L222" s="374" t="n"/>
      <c r="M222" s="334" t="inlineStr">
        <is>
          <t>ลงชื่อ……………………………………………</t>
        </is>
      </c>
      <c r="S222" s="374" t="n"/>
    </row>
    <row r="223" ht="22.2" customHeight="1" s="375">
      <c r="A223" s="11" t="inlineStr">
        <is>
          <t>(</t>
        </is>
      </c>
      <c r="B223" s="324">
        <f>B191</f>
        <v/>
      </c>
      <c r="G223" s="326" t="inlineStr">
        <is>
          <t>)</t>
        </is>
      </c>
      <c r="H223" s="324" t="inlineStr">
        <is>
          <t>(</t>
        </is>
      </c>
      <c r="I223" s="340">
        <f>I177</f>
        <v/>
      </c>
      <c r="L223" s="12" t="inlineStr">
        <is>
          <t>)</t>
        </is>
      </c>
      <c r="M223" s="53" t="inlineStr">
        <is>
          <t>(</t>
        </is>
      </c>
      <c r="N223" s="53" t="n"/>
      <c r="O223" s="324">
        <f>O39</f>
        <v/>
      </c>
      <c r="R223" s="25" t="n"/>
      <c r="S223" s="326" t="inlineStr">
        <is>
          <t>)</t>
        </is>
      </c>
    </row>
    <row r="224" ht="22.2" customHeight="1" s="375">
      <c r="A224" s="540" t="inlineStr">
        <is>
          <t xml:space="preserve">                         ตำแหน่ง  ครู</t>
        </is>
      </c>
      <c r="G224" s="374" t="n"/>
      <c r="H224" s="54" t="inlineStr">
        <is>
          <t>ตำแหน่ง หัวหน้าแผนก</t>
        </is>
      </c>
      <c r="L224" s="374" t="n"/>
      <c r="M224" s="54" t="inlineStr">
        <is>
          <t>ตำแหน่ง   ผู้ตรวจสอบ</t>
        </is>
      </c>
      <c r="S224" s="374" t="n"/>
    </row>
    <row r="225" ht="22.2" customHeight="1" s="375">
      <c r="A225" s="55" t="inlineStr">
        <is>
          <t>วันที่ 22 เดือน กันยายน  พ.ศ.2569</t>
        </is>
      </c>
      <c r="B225" s="522" t="n"/>
      <c r="C225" s="522" t="n"/>
      <c r="D225" s="522" t="n"/>
      <c r="E225" s="522" t="n"/>
      <c r="F225" s="522" t="n"/>
      <c r="G225" s="527" t="n"/>
      <c r="H225" s="54">
        <f>A41</f>
        <v/>
      </c>
      <c r="L225" s="374" t="n"/>
      <c r="M225" s="55">
        <f>A41</f>
        <v/>
      </c>
      <c r="N225" s="522" t="n"/>
      <c r="O225" s="522" t="n"/>
      <c r="P225" s="522" t="n"/>
      <c r="Q225" s="522" t="n"/>
      <c r="R225" s="522" t="n"/>
      <c r="S225" s="527" t="n"/>
    </row>
    <row r="226" ht="22.2" customHeight="1" s="375">
      <c r="A226" s="154" t="inlineStr">
        <is>
          <t>ผู้ตรวจ</t>
        </is>
      </c>
      <c r="B226" s="153" t="n"/>
      <c r="C226" s="153" t="n"/>
      <c r="D226" s="153" t="n"/>
      <c r="E226" s="153" t="n"/>
      <c r="F226" s="153" t="n"/>
      <c r="G226" s="153" t="n"/>
      <c r="H226" s="153" t="n"/>
      <c r="I226" s="135" t="n"/>
      <c r="J226" s="154" t="inlineStr">
        <is>
          <t>ผู้เห็นชอบ</t>
        </is>
      </c>
      <c r="K226" s="153" t="n"/>
      <c r="L226" s="153" t="n"/>
      <c r="M226" s="153" t="n"/>
      <c r="N226" s="153" t="n"/>
      <c r="O226" s="153" t="n"/>
      <c r="P226" s="153" t="n"/>
      <c r="Q226" s="153" t="n"/>
      <c r="R226" s="153" t="n"/>
      <c r="S226" s="135" t="n"/>
    </row>
    <row r="227" ht="22.2" customHeight="1" s="375">
      <c r="A227" s="334" t="inlineStr">
        <is>
          <t>ลงชื่อ……………………………………………</t>
        </is>
      </c>
      <c r="I227" s="374" t="n"/>
      <c r="J227" s="334" t="inlineStr">
        <is>
          <t>ลงชื่อ……………………………………………</t>
        </is>
      </c>
      <c r="S227" s="374" t="n"/>
    </row>
    <row r="228" ht="22.2" customHeight="1" s="375">
      <c r="A228" s="11" t="n"/>
      <c r="B228" s="324">
        <f>B44</f>
        <v/>
      </c>
      <c r="I228" s="326" t="n"/>
      <c r="J228" s="25" t="n"/>
      <c r="K228" s="25" t="n"/>
      <c r="L228" s="324">
        <f>L44</f>
        <v/>
      </c>
      <c r="R228" s="25" t="n"/>
      <c r="S228" s="12" t="n"/>
    </row>
    <row r="229" ht="22.2" customHeight="1" s="375">
      <c r="A229" s="54" t="inlineStr">
        <is>
          <t>ตำแหน่งครู  หัวหน้างานพัฒนาหลักสูตร ฯ</t>
        </is>
      </c>
      <c r="I229" s="374" t="n"/>
      <c r="J229" s="54" t="inlineStr">
        <is>
          <t>ตำแหน่ง  รองผู้อำนวยการฝ่ายวิชาการ</t>
        </is>
      </c>
      <c r="S229" s="374" t="n"/>
    </row>
    <row r="230" ht="22.2" customHeight="1" s="375">
      <c r="A230" s="336" t="inlineStr">
        <is>
          <t>วันที่.......เดือน..........................พ.ศ..............</t>
        </is>
      </c>
      <c r="B230" s="522" t="n"/>
      <c r="C230" s="522" t="n"/>
      <c r="D230" s="522" t="n"/>
      <c r="E230" s="522" t="n"/>
      <c r="F230" s="522" t="n"/>
      <c r="G230" s="522" t="n"/>
      <c r="H230" s="522" t="n"/>
      <c r="I230" s="527" t="n"/>
      <c r="J230" s="336" t="inlineStr">
        <is>
          <t>วันที่.......เดือน..........................พ.ศ..............</t>
        </is>
      </c>
      <c r="K230" s="522" t="n"/>
      <c r="L230" s="522" t="n"/>
      <c r="M230" s="522" t="n"/>
      <c r="N230" s="522" t="n"/>
      <c r="O230" s="522" t="n"/>
      <c r="P230" s="522" t="n"/>
      <c r="Q230" s="522" t="n"/>
      <c r="R230" s="522" t="n"/>
      <c r="S230" s="527" t="n"/>
    </row>
    <row r="231" ht="22.2" customHeight="1" s="375">
      <c r="A231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75">
      <c r="A232" s="365" t="inlineStr">
        <is>
          <t>แผนกวิชาช่างยนต์</t>
        </is>
      </c>
    </row>
    <row r="233" ht="22.2" customHeight="1" s="375">
      <c r="A233" s="366" t="inlineStr">
        <is>
          <t xml:space="preserve">    ระหว่างวันที่</t>
        </is>
      </c>
      <c r="D233" s="365">
        <f>D3</f>
        <v/>
      </c>
      <c r="E233" s="365" t="inlineStr">
        <is>
          <t xml:space="preserve">   เดือน  </t>
        </is>
      </c>
      <c r="F233" s="365">
        <f>F3</f>
        <v/>
      </c>
      <c r="H233" s="365">
        <f>H3</f>
        <v/>
      </c>
      <c r="I233" s="365" t="inlineStr">
        <is>
          <t xml:space="preserve">     ถึง วันที่</t>
        </is>
      </c>
      <c r="J233" s="365">
        <f>J3</f>
        <v/>
      </c>
      <c r="K233" s="365" t="inlineStr">
        <is>
          <t xml:space="preserve">   เดือน </t>
        </is>
      </c>
      <c r="L233" s="365">
        <f>L3</f>
        <v/>
      </c>
      <c r="N233" s="365">
        <f>N3</f>
        <v/>
      </c>
      <c r="P233" s="365" t="n"/>
      <c r="R233" s="365" t="n"/>
    </row>
    <row r="234" ht="22.2" customHeight="1" s="375">
      <c r="G234" s="51" t="inlineStr">
        <is>
          <t>ü</t>
        </is>
      </c>
      <c r="H234" s="351" t="inlineStr">
        <is>
          <t>ครู</t>
        </is>
      </c>
      <c r="I234" s="322" t="inlineStr">
        <is>
          <t>หน้าที่พิเศษ</t>
        </is>
      </c>
      <c r="J234" s="382" t="inlineStr">
        <is>
          <t>ผู้ช่วยงานการเงิน, อาคารสถานที่, โครงการพิเศษและการบริการสังคม</t>
        </is>
      </c>
      <c r="K234" s="522" t="n"/>
      <c r="L234" s="522" t="n"/>
      <c r="M234" s="522" t="n"/>
      <c r="N234" s="522" t="n"/>
      <c r="O234" s="522" t="n"/>
    </row>
    <row r="235" ht="22.2" customHeight="1" s="375">
      <c r="A235" s="24" t="inlineStr">
        <is>
          <t>ที่</t>
        </is>
      </c>
      <c r="B235" s="24" t="inlineStr">
        <is>
          <t>ชื่อ-สกุล</t>
        </is>
      </c>
      <c r="C235" s="153" t="n"/>
      <c r="D235" s="135" t="n"/>
      <c r="E235" s="15" t="inlineStr">
        <is>
          <t>ตำแหน่ง</t>
        </is>
      </c>
      <c r="F235" s="16" t="inlineStr">
        <is>
          <t>ระยะเวลาที่สอน</t>
        </is>
      </c>
      <c r="G235" s="432" t="n"/>
      <c r="H235" s="16" t="inlineStr">
        <is>
          <t>รหัสวิชา</t>
        </is>
      </c>
      <c r="I235" s="362" t="inlineStr">
        <is>
          <t>ชั้น,แผนก,ห้อง</t>
        </is>
      </c>
      <c r="J235" s="16" t="inlineStr">
        <is>
          <t>เวลาสอน</t>
        </is>
      </c>
      <c r="K235" s="135" t="n"/>
      <c r="L235" s="16" t="inlineStr">
        <is>
          <t>ปวช.(คาบ)</t>
        </is>
      </c>
      <c r="M235" s="432" t="n"/>
      <c r="N235" s="354" t="inlineStr">
        <is>
          <t>เงิน</t>
        </is>
      </c>
      <c r="O235" s="362" t="inlineStr">
        <is>
          <t>ยอดเงิน</t>
        </is>
      </c>
      <c r="P235" s="524" t="inlineStr">
        <is>
          <t>ปวส.(คาบ)</t>
        </is>
      </c>
      <c r="Q235" s="432" t="n"/>
      <c r="R235" s="354" t="inlineStr">
        <is>
          <t>เงิน</t>
        </is>
      </c>
      <c r="S235" s="362" t="inlineStr">
        <is>
          <t>ยอดเงิน</t>
        </is>
      </c>
    </row>
    <row r="236" ht="22.2" customHeight="1" s="375">
      <c r="A236" s="52" t="n"/>
      <c r="B236" s="8" t="n"/>
      <c r="C236" s="9" t="n"/>
      <c r="D236" s="13" t="n"/>
      <c r="E236" s="10" t="n"/>
      <c r="F236" s="336" t="inlineStr">
        <is>
          <t>ส.</t>
        </is>
      </c>
      <c r="G236" s="336" t="inlineStr">
        <is>
          <t>วดป.</t>
        </is>
      </c>
      <c r="H236" s="525" t="n"/>
      <c r="I236" s="336" t="n"/>
      <c r="J236" s="526" t="n"/>
      <c r="K236" s="527" t="n"/>
      <c r="L236" s="336" t="inlineStr">
        <is>
          <t>ใน</t>
        </is>
      </c>
      <c r="M236" s="336" t="inlineStr">
        <is>
          <t>นอก</t>
        </is>
      </c>
      <c r="N236" s="336" t="inlineStr">
        <is>
          <t>ต่อ ชม.</t>
        </is>
      </c>
      <c r="O236" s="336" t="inlineStr">
        <is>
          <t>(บาท)</t>
        </is>
      </c>
      <c r="P236" s="52" t="inlineStr">
        <is>
          <t>ใน</t>
        </is>
      </c>
      <c r="Q236" s="52" t="inlineStr">
        <is>
          <t>นอก</t>
        </is>
      </c>
      <c r="R236" s="336" t="inlineStr">
        <is>
          <t>ต่อ ชม.</t>
        </is>
      </c>
      <c r="S236" s="336" t="inlineStr">
        <is>
          <t>(บาท)</t>
        </is>
      </c>
    </row>
    <row r="237" ht="22.2" customHeight="1" s="375">
      <c r="A237" s="362" t="n">
        <v>6</v>
      </c>
      <c r="B237" s="528">
        <f>AB8</f>
        <v/>
      </c>
      <c r="C237" s="153" t="n"/>
      <c r="D237" s="135" t="n"/>
      <c r="E237" s="362" t="inlineStr">
        <is>
          <t>ครู</t>
        </is>
      </c>
      <c r="F237" s="5" t="n">
        <v>1</v>
      </c>
      <c r="G237" s="539" t="inlineStr">
        <is>
          <t>จันทร์</t>
        </is>
      </c>
      <c r="H237" s="126" t="inlineStr">
        <is>
          <t>20143-2011</t>
        </is>
      </c>
      <c r="I237" s="128" t="inlineStr">
        <is>
          <t>ชย.3/5 (26)</t>
        </is>
      </c>
      <c r="J237" s="381" t="inlineStr">
        <is>
          <t>08:10 - 12:10</t>
        </is>
      </c>
      <c r="K237" s="135" t="n"/>
      <c r="L237" s="367" t="n">
        <v>4</v>
      </c>
      <c r="M237" s="381" t="inlineStr"/>
      <c r="N237" s="381" t="inlineStr"/>
      <c r="O237" s="354" t="inlineStr"/>
      <c r="P237" s="381" t="inlineStr"/>
      <c r="Q237" s="367" t="inlineStr"/>
      <c r="R237" s="381" t="inlineStr"/>
      <c r="S237" s="354" t="inlineStr"/>
      <c r="T237" t="inlineStr"/>
      <c r="U237" t="inlineStr"/>
    </row>
    <row r="238" ht="22.2" customHeight="1" s="375">
      <c r="A238" s="3" t="n"/>
      <c r="B238" s="313" t="n"/>
      <c r="D238" s="314" t="n"/>
      <c r="E238" s="314" t="n"/>
      <c r="F238" s="322" t="n"/>
      <c r="G238" s="533" t="inlineStr">
        <is>
          <t>14 ก.ย.69</t>
        </is>
      </c>
      <c r="H238" s="126" t="inlineStr">
        <is>
          <t>20143-2011</t>
        </is>
      </c>
      <c r="I238" s="128" t="inlineStr">
        <is>
          <t>ชย.3/5 (26)</t>
        </is>
      </c>
      <c r="J238" s="376" t="inlineStr">
        <is>
          <t>13:10 - 16:10</t>
        </is>
      </c>
      <c r="K238" s="374" t="n"/>
      <c r="L238" s="334" t="n">
        <v>3</v>
      </c>
      <c r="M238" s="334" t="inlineStr"/>
      <c r="N238" s="334" t="inlineStr"/>
      <c r="O238" s="354" t="inlineStr"/>
      <c r="P238" s="334" t="inlineStr"/>
      <c r="Q238" s="334" t="inlineStr"/>
      <c r="R238" s="334" t="inlineStr"/>
      <c r="S238" s="354" t="inlineStr"/>
      <c r="T238" t="inlineStr"/>
      <c r="U238" t="inlineStr"/>
    </row>
    <row r="239" ht="22.2" customHeight="1" s="375">
      <c r="A239" s="3" t="n"/>
      <c r="B239" s="313" t="n"/>
      <c r="D239" s="314" t="n"/>
      <c r="E239" s="314" t="n"/>
      <c r="F239" s="322" t="n"/>
      <c r="G239" s="334" t="inlineStr"/>
      <c r="H239" s="126" t="inlineStr"/>
      <c r="I239" s="149" t="inlineStr"/>
      <c r="J239" s="376" t="inlineStr"/>
      <c r="K239" s="374" t="n"/>
      <c r="L239" s="334" t="inlineStr"/>
      <c r="M239" s="334" t="inlineStr"/>
      <c r="N239" s="334" t="inlineStr"/>
      <c r="O239" s="354" t="inlineStr"/>
      <c r="P239" s="334" t="inlineStr"/>
      <c r="Q239" s="334" t="inlineStr"/>
      <c r="R239" s="334" t="inlineStr"/>
      <c r="S239" s="354" t="inlineStr"/>
      <c r="T239" t="inlineStr"/>
      <c r="U239" t="inlineStr"/>
    </row>
    <row r="240" ht="22.2" customHeight="1" s="375">
      <c r="A240" s="3" t="n"/>
      <c r="B240" s="313" t="n"/>
      <c r="E240" s="3" t="n"/>
      <c r="F240" s="322" t="n"/>
      <c r="G240" s="321" t="inlineStr"/>
      <c r="H240" s="334" t="inlineStr"/>
      <c r="I240" s="334" t="inlineStr"/>
      <c r="J240" s="334" t="inlineStr"/>
      <c r="K240" s="374" t="n"/>
      <c r="L240" s="334" t="inlineStr"/>
      <c r="M240" s="334" t="inlineStr"/>
      <c r="N240" s="334" t="inlineStr"/>
      <c r="O240" s="354" t="inlineStr"/>
      <c r="P240" s="334" t="inlineStr"/>
      <c r="Q240" s="334" t="inlineStr"/>
      <c r="R240" s="334" t="inlineStr"/>
      <c r="S240" s="354" t="inlineStr"/>
      <c r="T240" t="inlineStr"/>
      <c r="U240" t="inlineStr"/>
    </row>
    <row r="241" ht="22.2" customHeight="1" s="375">
      <c r="A241" s="3" t="n"/>
      <c r="E241" s="3" t="n"/>
      <c r="G241" s="344" t="inlineStr"/>
      <c r="H241" s="336" t="inlineStr"/>
      <c r="I241" s="336" t="inlineStr"/>
      <c r="J241" s="336" t="inlineStr"/>
      <c r="K241" s="527" t="n"/>
      <c r="L241" s="334" t="inlineStr"/>
      <c r="M241" s="334" t="inlineStr"/>
      <c r="N241" s="334" t="inlineStr"/>
      <c r="O241" s="354" t="inlineStr"/>
      <c r="P241" s="334" t="inlineStr"/>
      <c r="Q241" s="334" t="inlineStr"/>
      <c r="R241" s="334" t="inlineStr"/>
      <c r="S241" s="354" t="inlineStr"/>
      <c r="T241" t="inlineStr"/>
      <c r="U241" t="inlineStr"/>
    </row>
    <row r="242" ht="22.2" customHeight="1" s="375">
      <c r="A242" s="3" t="n"/>
      <c r="E242" s="3" t="n"/>
      <c r="G242" s="539" t="inlineStr">
        <is>
          <t>อังคาร</t>
        </is>
      </c>
      <c r="H242" s="126" t="inlineStr">
        <is>
          <t>20143-2004</t>
        </is>
      </c>
      <c r="I242" s="149" t="inlineStr">
        <is>
          <t>ชยฟ.1/1 (26)</t>
        </is>
      </c>
      <c r="J242" s="334" t="inlineStr">
        <is>
          <t>08:10 - 12:10</t>
        </is>
      </c>
      <c r="K242" s="374" t="n"/>
      <c r="L242" s="367" t="n">
        <v>4</v>
      </c>
      <c r="M242" s="381" t="inlineStr"/>
      <c r="N242" s="381" t="inlineStr"/>
      <c r="O242" s="354" t="inlineStr"/>
      <c r="P242" s="381" t="inlineStr"/>
      <c r="Q242" s="367" t="inlineStr"/>
      <c r="R242" s="381" t="inlineStr"/>
      <c r="S242" s="354" t="inlineStr"/>
      <c r="T242" s="6" t="inlineStr"/>
      <c r="U242" s="22" t="inlineStr"/>
      <c r="V242" s="57" t="n"/>
      <c r="W242" s="21" t="n"/>
      <c r="X242" s="21" t="n"/>
    </row>
    <row r="243" ht="22.2" customHeight="1" s="375">
      <c r="A243" s="3" t="n"/>
      <c r="E243" s="3" t="n"/>
      <c r="G243" s="533" t="inlineStr">
        <is>
          <t>15 ก.ย.69</t>
        </is>
      </c>
      <c r="H243" s="126" t="inlineStr">
        <is>
          <t>20143-2008</t>
        </is>
      </c>
      <c r="I243" s="149" t="inlineStr">
        <is>
          <t>ชยฟ.3/1 (26)</t>
        </is>
      </c>
      <c r="J243" s="376" t="inlineStr">
        <is>
          <t>13:10 - 17:10</t>
        </is>
      </c>
      <c r="K243" s="374" t="n"/>
      <c r="L243" s="334" t="n">
        <v>4</v>
      </c>
      <c r="M243" s="334" t="inlineStr"/>
      <c r="N243" s="334" t="inlineStr"/>
      <c r="O243" s="354" t="inlineStr"/>
      <c r="P243" s="334" t="inlineStr"/>
      <c r="Q243" s="334" t="inlineStr"/>
      <c r="R243" s="334" t="inlineStr"/>
      <c r="S243" s="354" t="inlineStr"/>
      <c r="T243" s="21" t="inlineStr"/>
      <c r="U243" s="22" t="inlineStr"/>
      <c r="V243" s="57" t="n"/>
      <c r="W243" s="21" t="n"/>
      <c r="X243" s="21" t="n"/>
    </row>
    <row r="244" ht="22.2" customHeight="1" s="375">
      <c r="A244" s="3" t="n"/>
      <c r="B244" s="313" t="n"/>
      <c r="D244" s="314" t="n"/>
      <c r="E244" s="314" t="n"/>
      <c r="G244" s="334" t="inlineStr"/>
      <c r="H244" s="126" t="inlineStr"/>
      <c r="I244" s="149" t="inlineStr"/>
      <c r="J244" s="334" t="inlineStr"/>
      <c r="K244" s="374" t="n"/>
      <c r="L244" s="334" t="inlineStr"/>
      <c r="M244" s="334" t="inlineStr"/>
      <c r="N244" s="334" t="inlineStr"/>
      <c r="O244" s="354" t="inlineStr"/>
      <c r="P244" s="334" t="inlineStr"/>
      <c r="Q244" s="334" t="inlineStr"/>
      <c r="R244" s="334" t="inlineStr"/>
      <c r="S244" s="354" t="inlineStr"/>
      <c r="T244" t="inlineStr"/>
      <c r="U244" t="inlineStr"/>
    </row>
    <row r="245" ht="22.2" customHeight="1" s="375">
      <c r="A245" s="3" t="n"/>
      <c r="E245" s="3" t="n"/>
      <c r="G245" s="54" t="inlineStr"/>
      <c r="H245" s="334" t="inlineStr"/>
      <c r="I245" s="323" t="inlineStr"/>
      <c r="J245" s="323" t="inlineStr"/>
      <c r="K245" s="374" t="n"/>
      <c r="L245" s="334" t="inlineStr"/>
      <c r="M245" s="334" t="inlineStr"/>
      <c r="N245" s="334" t="inlineStr"/>
      <c r="O245" s="354" t="inlineStr"/>
      <c r="P245" s="334" t="inlineStr"/>
      <c r="Q245" s="334" t="inlineStr"/>
      <c r="R245" s="334" t="inlineStr"/>
      <c r="S245" s="354" t="inlineStr"/>
      <c r="T245" t="inlineStr"/>
      <c r="U245" t="inlineStr"/>
    </row>
    <row r="246" ht="22.2" customHeight="1" s="375">
      <c r="A246" s="3" t="n"/>
      <c r="D246" s="7" t="inlineStr">
        <is>
          <t> </t>
        </is>
      </c>
      <c r="E246" s="3" t="n"/>
      <c r="G246" s="55" t="inlineStr"/>
      <c r="H246" s="336" t="inlineStr"/>
      <c r="I246" s="336" t="inlineStr"/>
      <c r="J246" s="336" t="inlineStr"/>
      <c r="K246" s="527" t="n"/>
      <c r="L246" s="334" t="inlineStr"/>
      <c r="M246" s="334" t="inlineStr"/>
      <c r="N246" s="334" t="inlineStr"/>
      <c r="O246" s="354" t="inlineStr"/>
      <c r="P246" s="334" t="inlineStr"/>
      <c r="Q246" s="334" t="inlineStr"/>
      <c r="R246" s="334" t="inlineStr"/>
      <c r="S246" s="354" t="inlineStr"/>
      <c r="T246" t="inlineStr"/>
      <c r="U246" t="inlineStr"/>
    </row>
    <row r="247" ht="22.2" customHeight="1" s="375">
      <c r="A247" s="3" t="n"/>
      <c r="E247" s="3" t="n"/>
      <c r="G247" s="539" t="inlineStr">
        <is>
          <t>พุธ</t>
        </is>
      </c>
      <c r="H247" s="126" t="inlineStr">
        <is>
          <t>20143-2011</t>
        </is>
      </c>
      <c r="I247" s="128" t="inlineStr">
        <is>
          <t>ชย.3/7 (26)</t>
        </is>
      </c>
      <c r="J247" s="381" t="inlineStr">
        <is>
          <t>08:10 - 12:10</t>
        </is>
      </c>
      <c r="K247" s="135" t="n"/>
      <c r="L247" s="367" t="n">
        <v>3</v>
      </c>
      <c r="M247" s="381" t="n">
        <v>1</v>
      </c>
      <c r="N247" s="381" t="n">
        <v>200</v>
      </c>
      <c r="O247" s="354">
        <f>M247*N247</f>
        <v/>
      </c>
      <c r="P247" s="381" t="inlineStr"/>
      <c r="Q247" s="367" t="inlineStr"/>
      <c r="R247" s="381" t="inlineStr"/>
      <c r="S247" s="354" t="inlineStr"/>
      <c r="T247" t="inlineStr"/>
      <c r="U247" t="inlineStr"/>
    </row>
    <row r="248" ht="22.2" customHeight="1" s="375">
      <c r="A248" s="3" t="n"/>
      <c r="B248" s="321" t="n"/>
      <c r="C248" s="322" t="n"/>
      <c r="D248" s="322" t="n"/>
      <c r="E248" s="334" t="n"/>
      <c r="G248" s="533" t="inlineStr">
        <is>
          <t>16 ก.ย.69</t>
        </is>
      </c>
      <c r="H248" s="126" t="inlineStr">
        <is>
          <t>20143-2011</t>
        </is>
      </c>
      <c r="I248" s="128" t="inlineStr">
        <is>
          <t>ชย.3/7 (26)</t>
        </is>
      </c>
      <c r="J248" s="376" t="inlineStr">
        <is>
          <t>13:10 - 16:10</t>
        </is>
      </c>
      <c r="K248" s="374" t="n"/>
      <c r="L248" s="334" t="inlineStr"/>
      <c r="M248" s="334" t="n">
        <v>3</v>
      </c>
      <c r="N248" s="334" t="n">
        <v>200</v>
      </c>
      <c r="O248" s="354">
        <f>M248*N248</f>
        <v/>
      </c>
      <c r="P248" s="334" t="inlineStr"/>
      <c r="Q248" s="334" t="inlineStr"/>
      <c r="R248" s="334" t="inlineStr"/>
      <c r="S248" s="354" t="inlineStr"/>
      <c r="T248" t="inlineStr"/>
      <c r="U248" t="inlineStr"/>
    </row>
    <row r="249" ht="22.2" customHeight="1" s="375">
      <c r="A249" s="3" t="n"/>
      <c r="B249" s="313" t="n"/>
      <c r="D249" s="314" t="n"/>
      <c r="E249" s="314" t="n"/>
      <c r="G249" s="334" t="inlineStr"/>
      <c r="H249" s="126" t="inlineStr"/>
      <c r="I249" s="376" t="inlineStr"/>
      <c r="J249" s="334" t="inlineStr"/>
      <c r="K249" s="374" t="n"/>
      <c r="L249" s="334" t="inlineStr"/>
      <c r="M249" s="334" t="inlineStr"/>
      <c r="N249" s="334" t="inlineStr"/>
      <c r="O249" s="354" t="inlineStr"/>
      <c r="P249" s="334" t="inlineStr"/>
      <c r="Q249" s="334" t="inlineStr"/>
      <c r="R249" s="334" t="inlineStr"/>
      <c r="S249" s="354" t="inlineStr"/>
      <c r="T249" t="inlineStr"/>
      <c r="U249" t="inlineStr"/>
    </row>
    <row r="250" ht="22.2" customHeight="1" s="375">
      <c r="A250" s="3" t="n"/>
      <c r="E250" s="3" t="n"/>
      <c r="G250" s="321" t="inlineStr"/>
      <c r="H250" s="334" t="inlineStr"/>
      <c r="I250" s="376" t="inlineStr"/>
      <c r="J250" s="323" t="inlineStr"/>
      <c r="K250" s="374" t="n"/>
      <c r="L250" s="334" t="inlineStr"/>
      <c r="M250" s="334" t="inlineStr"/>
      <c r="N250" s="334" t="inlineStr"/>
      <c r="O250" s="354" t="inlineStr"/>
      <c r="P250" s="334" t="inlineStr"/>
      <c r="Q250" s="334" t="inlineStr"/>
      <c r="R250" s="334" t="inlineStr"/>
      <c r="S250" s="354" t="inlineStr"/>
      <c r="T250" t="inlineStr"/>
      <c r="U250" t="inlineStr"/>
    </row>
    <row r="251" ht="22.2" customHeight="1" s="375">
      <c r="A251" s="3" t="n"/>
      <c r="E251" s="3" t="n"/>
      <c r="G251" s="327" t="inlineStr"/>
      <c r="H251" s="336" t="inlineStr"/>
      <c r="I251" s="336" t="inlineStr"/>
      <c r="J251" s="336" t="inlineStr"/>
      <c r="K251" s="527" t="n"/>
      <c r="L251" s="336" t="inlineStr"/>
      <c r="M251" s="336" t="inlineStr"/>
      <c r="N251" s="336" t="inlineStr"/>
      <c r="O251" s="354" t="inlineStr"/>
      <c r="P251" s="336" t="inlineStr"/>
      <c r="Q251" s="336" t="inlineStr"/>
      <c r="R251" s="336" t="inlineStr"/>
      <c r="S251" s="354" t="inlineStr"/>
      <c r="T251" t="inlineStr"/>
      <c r="U251" t="inlineStr"/>
    </row>
    <row r="252" ht="22.2" customHeight="1" s="375">
      <c r="A252" s="3" t="n"/>
      <c r="E252" s="3" t="n"/>
      <c r="G252" s="533" t="inlineStr">
        <is>
          <t>พฤหัส</t>
        </is>
      </c>
      <c r="H252" s="126" t="inlineStr">
        <is>
          <t>20100-1007</t>
        </is>
      </c>
      <c r="I252" s="128" t="inlineStr">
        <is>
          <t>ชยฟ.2/1 (26)</t>
        </is>
      </c>
      <c r="J252" s="381" t="inlineStr">
        <is>
          <t>08:10 - 12:10</t>
        </is>
      </c>
      <c r="K252" s="135" t="n"/>
      <c r="L252" s="334" t="inlineStr"/>
      <c r="M252" s="334" t="n">
        <v>4</v>
      </c>
      <c r="N252" s="334" t="n">
        <v>200</v>
      </c>
      <c r="O252" s="354">
        <f>M252*N252</f>
        <v/>
      </c>
      <c r="P252" s="334" t="inlineStr"/>
      <c r="Q252" s="362" t="inlineStr"/>
      <c r="R252" s="362" t="inlineStr"/>
      <c r="S252" s="354" t="inlineStr"/>
      <c r="T252" t="inlineStr"/>
      <c r="U252" t="inlineStr"/>
    </row>
    <row r="253" ht="22.2" customHeight="1" s="375">
      <c r="A253" s="3" t="n"/>
      <c r="E253" s="3" t="n"/>
      <c r="G253" s="535" t="inlineStr">
        <is>
          <t>17 ก.ย.69</t>
        </is>
      </c>
      <c r="H253" s="376" t="inlineStr">
        <is>
          <t>20000-2004</t>
        </is>
      </c>
      <c r="I253" s="128" t="inlineStr">
        <is>
          <t>ชย.2/5,ชย.2/6,ชยฟ.2/1 (26)</t>
        </is>
      </c>
      <c r="J253" s="376" t="inlineStr">
        <is>
          <t>13:10 - 15:10</t>
        </is>
      </c>
      <c r="K253" s="374" t="n"/>
      <c r="L253" s="334" t="n">
        <v>2</v>
      </c>
      <c r="M253" s="334" t="inlineStr"/>
      <c r="N253" s="334" t="inlineStr"/>
      <c r="O253" s="354" t="inlineStr"/>
      <c r="P253" s="334" t="inlineStr"/>
      <c r="Q253" s="334" t="inlineStr"/>
      <c r="R253" s="334" t="inlineStr"/>
      <c r="S253" s="354" t="inlineStr"/>
      <c r="T253" t="inlineStr"/>
      <c r="U253" t="inlineStr"/>
    </row>
    <row r="254" ht="22.2" customHeight="1" s="375">
      <c r="A254" s="3" t="n"/>
      <c r="B254" s="313" t="n"/>
      <c r="E254" s="3" t="n"/>
      <c r="G254" s="334" t="inlineStr"/>
      <c r="H254" s="126" t="inlineStr">
        <is>
          <t>20100-1007</t>
        </is>
      </c>
      <c r="I254" s="128" t="inlineStr">
        <is>
          <t>ชย.2/4 (26)</t>
        </is>
      </c>
      <c r="J254" s="376" t="inlineStr">
        <is>
          <t>15:10 - 19:10</t>
        </is>
      </c>
      <c r="K254" s="374" t="n"/>
      <c r="L254" s="376" t="inlineStr"/>
      <c r="M254" s="376" t="n">
        <v>4</v>
      </c>
      <c r="N254" s="376" t="n">
        <v>200</v>
      </c>
      <c r="O254" s="354">
        <f>M254*N254</f>
        <v/>
      </c>
      <c r="P254" s="376" t="inlineStr"/>
      <c r="Q254" s="376" t="inlineStr"/>
      <c r="R254" s="376" t="inlineStr"/>
      <c r="S254" s="354" t="inlineStr"/>
      <c r="T254" t="inlineStr"/>
      <c r="U254" t="inlineStr"/>
    </row>
    <row r="255" ht="22.2" customHeight="1" s="375">
      <c r="A255" s="3" t="n"/>
      <c r="E255" s="3" t="n"/>
      <c r="G255" s="334" t="inlineStr"/>
      <c r="H255" s="334" t="inlineStr"/>
      <c r="I255" s="334" t="inlineStr"/>
      <c r="J255" s="334" t="inlineStr"/>
      <c r="K255" s="374" t="n"/>
      <c r="L255" s="334" t="inlineStr"/>
      <c r="M255" s="334" t="inlineStr"/>
      <c r="N255" s="334" t="inlineStr"/>
      <c r="O255" s="354" t="inlineStr"/>
      <c r="P255" s="334" t="inlineStr"/>
      <c r="Q255" s="334" t="inlineStr"/>
      <c r="R255" s="334" t="inlineStr"/>
      <c r="S255" s="354" t="inlineStr"/>
      <c r="T255" t="inlineStr"/>
      <c r="U255" t="inlineStr"/>
    </row>
    <row r="256" ht="22.2" customHeight="1" s="375">
      <c r="A256" s="3" t="n"/>
      <c r="E256" s="3" t="n"/>
      <c r="G256" s="336" t="inlineStr"/>
      <c r="H256" s="336" t="inlineStr"/>
      <c r="I256" s="336" t="inlineStr"/>
      <c r="J256" s="336" t="inlineStr"/>
      <c r="K256" s="527" t="n"/>
      <c r="L256" s="336" t="inlineStr"/>
      <c r="M256" s="336" t="inlineStr"/>
      <c r="N256" s="336" t="inlineStr"/>
      <c r="O256" s="354" t="inlineStr"/>
      <c r="P256" s="336" t="inlineStr"/>
      <c r="Q256" s="336" t="inlineStr"/>
      <c r="R256" s="336" t="inlineStr"/>
      <c r="S256" s="354" t="inlineStr"/>
      <c r="T256" t="inlineStr"/>
      <c r="U256" t="inlineStr"/>
    </row>
    <row r="257" ht="22.2" customHeight="1" s="375">
      <c r="A257" s="3" t="n"/>
      <c r="D257" s="374" t="n"/>
      <c r="E257" s="251" t="n"/>
      <c r="G257" s="533" t="inlineStr">
        <is>
          <t>ศุกร์</t>
        </is>
      </c>
      <c r="H257" s="126" t="inlineStr"/>
      <c r="I257" s="149" t="inlineStr"/>
      <c r="J257" s="381" t="inlineStr"/>
      <c r="K257" s="135" t="n"/>
      <c r="L257" s="127" t="inlineStr"/>
      <c r="M257" s="60" t="inlineStr"/>
      <c r="N257" s="60" t="inlineStr"/>
      <c r="O257" s="354" t="inlineStr"/>
      <c r="P257" s="125" t="inlineStr"/>
      <c r="Q257" s="127" t="inlineStr"/>
      <c r="R257" s="125" t="inlineStr"/>
      <c r="S257" s="354" t="inlineStr"/>
      <c r="T257" s="23" t="inlineStr"/>
      <c r="U257" s="23" t="inlineStr"/>
      <c r="V257" s="56" t="n"/>
      <c r="W257" s="23" t="n"/>
      <c r="X257" s="23" t="n"/>
    </row>
    <row r="258" ht="22.2" customHeight="1" s="375">
      <c r="A258" s="3" t="n"/>
      <c r="E258" s="3" t="n"/>
      <c r="G258" s="535" t="inlineStr">
        <is>
          <t>18 ก.ย.69</t>
        </is>
      </c>
      <c r="H258" s="126" t="inlineStr"/>
      <c r="I258" s="149" t="inlineStr"/>
      <c r="J258" s="376" t="inlineStr"/>
      <c r="K258" s="374" t="n"/>
      <c r="L258" s="128" t="inlineStr"/>
      <c r="M258" s="59" t="inlineStr"/>
      <c r="N258" s="59" t="inlineStr"/>
      <c r="O258" s="354" t="inlineStr"/>
      <c r="P258" s="128" t="inlineStr"/>
      <c r="Q258" s="128" t="inlineStr"/>
      <c r="R258" s="128" t="inlineStr"/>
      <c r="S258" s="354" t="inlineStr"/>
      <c r="T258" s="23" t="inlineStr"/>
      <c r="U258" s="23" t="inlineStr"/>
      <c r="V258" s="56" t="n"/>
      <c r="W258" s="23" t="n"/>
      <c r="X258" s="23" t="n"/>
    </row>
    <row r="259" ht="22.2" customHeight="1" s="375">
      <c r="A259" s="3" t="n"/>
      <c r="E259" s="3" t="n"/>
      <c r="G259" s="334" t="inlineStr"/>
      <c r="H259" s="126" t="inlineStr"/>
      <c r="I259" s="149" t="inlineStr"/>
      <c r="J259" s="376" t="inlineStr"/>
      <c r="K259" s="374" t="n"/>
      <c r="L259" s="59" t="inlineStr"/>
      <c r="M259" s="59" t="inlineStr"/>
      <c r="N259" s="59" t="inlineStr"/>
      <c r="O259" s="354" t="inlineStr"/>
      <c r="P259" s="128" t="inlineStr"/>
      <c r="Q259" s="128" t="inlineStr"/>
      <c r="R259" s="128" t="inlineStr"/>
      <c r="S259" s="354" t="inlineStr"/>
      <c r="T259" t="inlineStr"/>
      <c r="U259" t="inlineStr"/>
    </row>
    <row r="260" ht="22.2" customHeight="1" s="375">
      <c r="A260" s="3" t="n"/>
      <c r="E260" s="3" t="n"/>
      <c r="G260" s="334" t="inlineStr"/>
      <c r="H260" s="334" t="inlineStr"/>
      <c r="I260" s="334" t="inlineStr"/>
      <c r="J260" s="334" t="inlineStr"/>
      <c r="K260" s="374" t="n"/>
      <c r="L260" s="334" t="inlineStr"/>
      <c r="M260" t="inlineStr"/>
      <c r="N260" s="334" t="inlineStr"/>
      <c r="O260" s="354" t="inlineStr"/>
      <c r="P260" s="334" t="inlineStr"/>
      <c r="Q260" s="334" t="inlineStr"/>
      <c r="R260" s="334" t="inlineStr"/>
      <c r="S260" s="354" t="inlineStr"/>
      <c r="T260" t="inlineStr"/>
      <c r="U260" t="inlineStr"/>
    </row>
    <row r="261" ht="22.2" customHeight="1" s="375">
      <c r="A261" s="3" t="n"/>
      <c r="E261" s="3" t="n"/>
      <c r="F261" s="3" t="n"/>
      <c r="G261" s="329" t="inlineStr"/>
      <c r="H261" s="328" t="inlineStr"/>
      <c r="I261" s="336" t="inlineStr"/>
      <c r="J261" s="336" t="inlineStr"/>
      <c r="K261" s="527" t="n"/>
      <c r="L261" s="336" t="inlineStr"/>
      <c r="M261" s="336" t="inlineStr"/>
      <c r="N261" s="336" t="inlineStr"/>
      <c r="O261" s="354" t="inlineStr"/>
      <c r="P261" s="336" t="inlineStr"/>
      <c r="Q261" s="336" t="inlineStr"/>
      <c r="R261" s="336" t="inlineStr"/>
      <c r="S261" s="354" t="inlineStr"/>
      <c r="T261" t="inlineStr"/>
      <c r="U261" t="inlineStr"/>
    </row>
    <row r="262" ht="22.2" customHeight="1" s="375">
      <c r="A262" s="3" t="n"/>
      <c r="E262" s="3" t="n"/>
      <c r="F262" s="3" t="n"/>
      <c r="G262" s="16" t="inlineStr">
        <is>
          <t>รวมขั่วโมงที่สอนแยก ภาระงาน/ เกินภาระงาน</t>
        </is>
      </c>
      <c r="H262" s="518" t="n"/>
      <c r="I262" s="518" t="n"/>
      <c r="J262" s="518" t="n"/>
      <c r="K262" s="432" t="n"/>
      <c r="L262" s="16">
        <f>SUM(L237:L261)</f>
        <v/>
      </c>
      <c r="M262" s="16">
        <f>SUM(M237:M261)</f>
        <v/>
      </c>
      <c r="N262" s="16" t="n"/>
      <c r="O262" s="16" t="n"/>
      <c r="P262" s="16">
        <f>SUM(P237:P261)</f>
        <v/>
      </c>
      <c r="Q262" s="16">
        <f>SUM(Q237:Q261)</f>
        <v/>
      </c>
      <c r="R262" s="349" t="n"/>
      <c r="S262" s="16" t="n"/>
    </row>
    <row r="263" ht="22.2" customHeight="1" s="375">
      <c r="A263" s="3" t="n"/>
      <c r="E263" s="3" t="n"/>
      <c r="F263" s="3" t="n"/>
      <c r="G263" s="16" t="inlineStr">
        <is>
          <t>รวมจำนวนชั่วโมงสอนคาบต่อสับดาห์</t>
        </is>
      </c>
      <c r="H263" s="518" t="n"/>
      <c r="I263" s="518" t="n"/>
      <c r="J263" s="518" t="n"/>
      <c r="K263" s="432" t="n"/>
      <c r="L263" s="16">
        <f>L262+M262</f>
        <v/>
      </c>
      <c r="M263" s="432" t="n"/>
      <c r="N263" s="348" t="n"/>
      <c r="O263" s="16" t="n"/>
      <c r="P263" s="16">
        <f>P262+Q262</f>
        <v/>
      </c>
      <c r="Q263" s="432" t="n"/>
      <c r="R263" s="329" t="n"/>
      <c r="S263" s="336" t="n"/>
    </row>
    <row r="264" ht="22.2" customHeight="1" s="375">
      <c r="A264" s="3" t="n"/>
      <c r="E264" s="3" t="n"/>
      <c r="F264" s="3" t="n"/>
      <c r="G264" s="16" t="inlineStr">
        <is>
          <t>จำนวนชั่วโมงสอนตามภาระงานสอน</t>
        </is>
      </c>
      <c r="H264" s="518" t="n"/>
      <c r="I264" s="518" t="n"/>
      <c r="J264" s="518" t="n"/>
      <c r="K264" s="432" t="n"/>
      <c r="L264" s="131" t="n">
        <v>18</v>
      </c>
      <c r="M264" s="432" t="n"/>
      <c r="N264" s="130" t="n"/>
      <c r="O264" s="131" t="n"/>
      <c r="P264" s="131" t="n">
        <v>0</v>
      </c>
      <c r="Q264" s="432" t="n"/>
      <c r="R264" s="322" t="n"/>
      <c r="S264" s="334" t="n"/>
    </row>
    <row r="265" ht="22.2" customHeight="1" s="375" thickBot="1">
      <c r="A265" s="3" t="n"/>
      <c r="E265" s="3" t="n"/>
      <c r="F265" s="14" t="n"/>
      <c r="G265" s="16" t="inlineStr">
        <is>
          <t>จำนวนชั่วโมงบิกเกินภาระงานสอน/ค่าสอน</t>
        </is>
      </c>
      <c r="H265" s="518" t="n"/>
      <c r="I265" s="518" t="n"/>
      <c r="J265" s="518" t="n"/>
      <c r="K265" s="432" t="n"/>
      <c r="L265" s="17" t="n">
        <v>0</v>
      </c>
      <c r="M265" s="17">
        <f>SUM(M237:M261)</f>
        <v/>
      </c>
      <c r="N265" s="17" t="n"/>
      <c r="O265" s="17">
        <f>SUM(O237:O261)</f>
        <v/>
      </c>
      <c r="P265" s="17" t="n">
        <v>0</v>
      </c>
      <c r="Q265" s="17">
        <f>SUM(Q237:Q261)</f>
        <v/>
      </c>
      <c r="R265" s="18" t="n"/>
      <c r="S265" s="17">
        <f>SUM(S237:S261)</f>
        <v/>
      </c>
    </row>
    <row r="266" ht="22.2" customHeight="1" s="375" thickTop="1">
      <c r="A266" s="337" t="inlineStr">
        <is>
          <t>รวมจำนวนหน่วยชั่วโมงที่ขอเบิกค่าสอน ….</t>
        </is>
      </c>
      <c r="B266" s="518" t="n"/>
      <c r="C266" s="518" t="n"/>
      <c r="D266" s="518" t="n"/>
      <c r="E266" s="518" t="n"/>
      <c r="F266" s="518" t="n"/>
      <c r="G266" s="518" t="n"/>
      <c r="H266" s="348">
        <f>M265+Q265</f>
        <v/>
      </c>
      <c r="I266" s="348" t="inlineStr">
        <is>
          <t>….ชั่วโมง</t>
        </is>
      </c>
      <c r="J266" s="348" t="n"/>
      <c r="K266" s="328" t="inlineStr">
        <is>
          <t>ยอดเงินรวม</t>
        </is>
      </c>
      <c r="L266" s="522" t="n"/>
      <c r="M266" s="522" t="n"/>
      <c r="N266" s="328" t="n"/>
      <c r="O266" s="328" t="n"/>
      <c r="P266" s="339">
        <f>S265+O265</f>
        <v/>
      </c>
      <c r="Q266" s="538" t="n"/>
      <c r="R266" s="20" t="n"/>
      <c r="S266" s="19" t="inlineStr">
        <is>
          <t>..บาท</t>
        </is>
      </c>
    </row>
    <row r="267" ht="22.2" customHeight="1" s="375">
      <c r="A267" s="154" t="inlineStr">
        <is>
          <t>ผู้ขอเบิก</t>
        </is>
      </c>
      <c r="B267" s="153" t="n"/>
      <c r="C267" s="153" t="n"/>
      <c r="D267" s="153" t="n"/>
      <c r="E267" s="153" t="n"/>
      <c r="F267" s="153" t="n"/>
      <c r="G267" s="135" t="n"/>
      <c r="H267" s="154" t="inlineStr">
        <is>
          <t>ผู้รับรอง</t>
        </is>
      </c>
      <c r="I267" s="153" t="n"/>
      <c r="J267" s="153" t="n"/>
      <c r="K267" s="153" t="n"/>
      <c r="L267" s="135" t="n"/>
      <c r="M267" s="154" t="inlineStr">
        <is>
          <t>ผู้ตรวจ</t>
        </is>
      </c>
      <c r="N267" s="153" t="n"/>
      <c r="O267" s="153" t="n"/>
      <c r="P267" s="153" t="n"/>
      <c r="Q267" s="153" t="n"/>
      <c r="R267" s="153" t="n"/>
      <c r="S267" s="135" t="n"/>
    </row>
    <row r="268" ht="22.2" customHeight="1" s="375">
      <c r="A268" s="334" t="inlineStr">
        <is>
          <t>ลงชื่อ……………………………………………</t>
        </is>
      </c>
      <c r="G268" s="374" t="n"/>
      <c r="H268" s="334" t="inlineStr">
        <is>
          <t>ลงชื่อ……………………………………………</t>
        </is>
      </c>
      <c r="L268" s="374" t="n"/>
      <c r="M268" s="334" t="inlineStr">
        <is>
          <t>ลงชื่อ……………………………………………</t>
        </is>
      </c>
      <c r="S268" s="374" t="n"/>
    </row>
    <row r="269" ht="22.2" customHeight="1" s="375">
      <c r="A269" s="11" t="inlineStr">
        <is>
          <t>(</t>
        </is>
      </c>
      <c r="B269" s="324">
        <f>B237</f>
        <v/>
      </c>
      <c r="G269" s="326" t="inlineStr">
        <is>
          <t>)</t>
        </is>
      </c>
      <c r="H269" s="324" t="inlineStr">
        <is>
          <t>(</t>
        </is>
      </c>
      <c r="I269" s="340">
        <f>I223</f>
        <v/>
      </c>
      <c r="L269" s="12" t="inlineStr">
        <is>
          <t>)</t>
        </is>
      </c>
      <c r="M269" s="53" t="inlineStr">
        <is>
          <t>(</t>
        </is>
      </c>
      <c r="N269" s="53" t="n"/>
      <c r="O269" s="324">
        <f>O39</f>
        <v/>
      </c>
      <c r="R269" s="25" t="n"/>
      <c r="S269" s="326" t="inlineStr">
        <is>
          <t>)</t>
        </is>
      </c>
    </row>
    <row r="270" ht="22.2" customHeight="1" s="375">
      <c r="A270" s="540" t="inlineStr">
        <is>
          <t xml:space="preserve">                         ตำแหน่ง  ครู</t>
        </is>
      </c>
      <c r="G270" s="374" t="n"/>
      <c r="H270" s="54" t="inlineStr">
        <is>
          <t>ตำแหน่ง หัวหน้าแผนก</t>
        </is>
      </c>
      <c r="L270" s="374" t="n"/>
      <c r="M270" s="54" t="inlineStr">
        <is>
          <t>ตำแหน่ง   ผู้ตรวจสอบ</t>
        </is>
      </c>
      <c r="S270" s="374" t="n"/>
    </row>
    <row r="271" ht="22.2" customHeight="1" s="375">
      <c r="A271" s="55" t="inlineStr">
        <is>
          <t>วันที่ 22 เดือน กันยายน  พ.ศ.2569</t>
        </is>
      </c>
      <c r="B271" s="522" t="n"/>
      <c r="C271" s="522" t="n"/>
      <c r="D271" s="522" t="n"/>
      <c r="E271" s="522" t="n"/>
      <c r="F271" s="522" t="n"/>
      <c r="G271" s="527" t="n"/>
      <c r="H271" s="54">
        <f>A41</f>
        <v/>
      </c>
      <c r="L271" s="374" t="n"/>
      <c r="M271" s="55">
        <f>A41</f>
        <v/>
      </c>
      <c r="N271" s="522" t="n"/>
      <c r="O271" s="522" t="n"/>
      <c r="P271" s="522" t="n"/>
      <c r="Q271" s="522" t="n"/>
      <c r="R271" s="522" t="n"/>
      <c r="S271" s="527" t="n"/>
    </row>
    <row r="272" ht="22.2" customHeight="1" s="375">
      <c r="A272" s="154" t="inlineStr">
        <is>
          <t>ผู้ตรวจ</t>
        </is>
      </c>
      <c r="B272" s="153" t="n"/>
      <c r="C272" s="153" t="n"/>
      <c r="D272" s="153" t="n"/>
      <c r="E272" s="153" t="n"/>
      <c r="F272" s="153" t="n"/>
      <c r="G272" s="153" t="n"/>
      <c r="H272" s="153" t="n"/>
      <c r="I272" s="135" t="n"/>
      <c r="J272" s="154" t="inlineStr">
        <is>
          <t>ผู้เห็นชอบ</t>
        </is>
      </c>
      <c r="K272" s="153" t="n"/>
      <c r="L272" s="153" t="n"/>
      <c r="M272" s="153" t="n"/>
      <c r="N272" s="153" t="n"/>
      <c r="O272" s="153" t="n"/>
      <c r="P272" s="153" t="n"/>
      <c r="Q272" s="153" t="n"/>
      <c r="R272" s="153" t="n"/>
      <c r="S272" s="135" t="n"/>
    </row>
    <row r="273" ht="22.2" customHeight="1" s="375">
      <c r="A273" s="334" t="inlineStr">
        <is>
          <t>ลงชื่อ……………………………………………</t>
        </is>
      </c>
      <c r="I273" s="374" t="n"/>
      <c r="J273" s="334" t="inlineStr">
        <is>
          <t>ลงชื่อ……………………………………………</t>
        </is>
      </c>
      <c r="S273" s="374" t="n"/>
    </row>
    <row r="274" ht="22.2" customHeight="1" s="375">
      <c r="A274" s="11" t="n"/>
      <c r="B274" s="324">
        <f>B44</f>
        <v/>
      </c>
      <c r="I274" s="326" t="n"/>
      <c r="J274" s="25" t="n"/>
      <c r="K274" s="25" t="n"/>
      <c r="L274" s="324">
        <f>L44</f>
        <v/>
      </c>
      <c r="R274" s="25" t="n"/>
      <c r="S274" s="12" t="n"/>
    </row>
    <row r="275" ht="22.2" customHeight="1" s="375">
      <c r="A275" s="54" t="inlineStr">
        <is>
          <t>ตำแหน่งครู  หัวหน้างานพัฒนาหลักสูตร ฯ</t>
        </is>
      </c>
      <c r="I275" s="374" t="n"/>
      <c r="J275" s="54" t="inlineStr">
        <is>
          <t>ตำแหน่ง  รองผู้อำนวยการฝ่ายวิชาการ</t>
        </is>
      </c>
      <c r="S275" s="374" t="n"/>
    </row>
    <row r="276" ht="22.2" customHeight="1" s="375">
      <c r="A276" s="336" t="inlineStr">
        <is>
          <t>วันที่.......เดือน..........................พ.ศ..............</t>
        </is>
      </c>
      <c r="B276" s="522" t="n"/>
      <c r="C276" s="522" t="n"/>
      <c r="D276" s="522" t="n"/>
      <c r="E276" s="522" t="n"/>
      <c r="F276" s="522" t="n"/>
      <c r="G276" s="522" t="n"/>
      <c r="H276" s="522" t="n"/>
      <c r="I276" s="527" t="n"/>
      <c r="J276" s="336" t="inlineStr">
        <is>
          <t>วันที่.......เดือน..........................พ.ศ..............</t>
        </is>
      </c>
      <c r="K276" s="522" t="n"/>
      <c r="L276" s="522" t="n"/>
      <c r="M276" s="522" t="n"/>
      <c r="N276" s="522" t="n"/>
      <c r="O276" s="522" t="n"/>
      <c r="P276" s="522" t="n"/>
      <c r="Q276" s="522" t="n"/>
      <c r="R276" s="522" t="n"/>
      <c r="S276" s="527" t="n"/>
    </row>
    <row r="277" ht="22.2" customHeight="1" s="375">
      <c r="A277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75">
      <c r="A278" s="365" t="inlineStr">
        <is>
          <t>แผนกวิชาช่างยนต์</t>
        </is>
      </c>
    </row>
    <row r="279" ht="22.2" customHeight="1" s="375">
      <c r="A279" s="366" t="inlineStr">
        <is>
          <t xml:space="preserve">    ระหว่างวันที่</t>
        </is>
      </c>
      <c r="D279" s="365">
        <f>D3</f>
        <v/>
      </c>
      <c r="E279" s="365" t="inlineStr">
        <is>
          <t xml:space="preserve">   เดือน  </t>
        </is>
      </c>
      <c r="F279" s="365">
        <f>F3</f>
        <v/>
      </c>
      <c r="H279" s="365">
        <f>H3</f>
        <v/>
      </c>
      <c r="I279" s="365" t="inlineStr">
        <is>
          <t xml:space="preserve">     ถึง วันที่</t>
        </is>
      </c>
      <c r="J279" s="365">
        <f>J3</f>
        <v/>
      </c>
      <c r="K279" s="365" t="inlineStr">
        <is>
          <t xml:space="preserve">   เดือน </t>
        </is>
      </c>
      <c r="L279" s="365">
        <f>L3</f>
        <v/>
      </c>
      <c r="N279" s="365">
        <f>N3</f>
        <v/>
      </c>
      <c r="P279" s="365" t="n"/>
      <c r="R279" s="365" t="n"/>
    </row>
    <row r="280" ht="25.5" customHeight="1" s="375">
      <c r="G280" s="51" t="inlineStr">
        <is>
          <t>ü</t>
        </is>
      </c>
      <c r="H280" s="351" t="inlineStr">
        <is>
          <t>ครู</t>
        </is>
      </c>
      <c r="I280" s="322" t="inlineStr">
        <is>
          <t>หน้าที่พิเศษ</t>
        </is>
      </c>
      <c r="J280" t="inlineStr">
        <is>
          <t>ผู้ช่วยงานกิจกรรมนักเรียนนักศึกษา, โครงการพิเศษและการบริการสังคม</t>
        </is>
      </c>
    </row>
    <row r="281" ht="22.2" customHeight="1" s="375">
      <c r="A281" s="24" t="inlineStr">
        <is>
          <t>ที่</t>
        </is>
      </c>
      <c r="B281" s="24" t="inlineStr">
        <is>
          <t>ชื่อ-สกุล</t>
        </is>
      </c>
      <c r="C281" s="153" t="n"/>
      <c r="D281" s="135" t="n"/>
      <c r="E281" s="15" t="inlineStr">
        <is>
          <t>ตำแหน่ง</t>
        </is>
      </c>
      <c r="F281" s="16" t="inlineStr">
        <is>
          <t>ระยะเวลาที่สอน</t>
        </is>
      </c>
      <c r="G281" s="432" t="n"/>
      <c r="H281" s="16" t="inlineStr">
        <is>
          <t>รหัสวิชา</t>
        </is>
      </c>
      <c r="I281" s="362" t="inlineStr">
        <is>
          <t>ชั้น,แผนก,ห้อง</t>
        </is>
      </c>
      <c r="J281" s="16" t="inlineStr">
        <is>
          <t>เวลาสอน</t>
        </is>
      </c>
      <c r="K281" s="135" t="n"/>
      <c r="L281" s="16" t="inlineStr">
        <is>
          <t>ปวช.(คาบ)</t>
        </is>
      </c>
      <c r="M281" s="432" t="n"/>
      <c r="N281" s="354" t="inlineStr">
        <is>
          <t>เงิน</t>
        </is>
      </c>
      <c r="O281" s="362" t="inlineStr">
        <is>
          <t>ยอดเงิน</t>
        </is>
      </c>
      <c r="P281" s="524" t="inlineStr">
        <is>
          <t>ปวส.(คาบ)</t>
        </is>
      </c>
      <c r="Q281" s="432" t="n"/>
      <c r="R281" s="354" t="inlineStr">
        <is>
          <t>เงิน</t>
        </is>
      </c>
      <c r="S281" s="362" t="inlineStr">
        <is>
          <t>ยอดเงิน</t>
        </is>
      </c>
    </row>
    <row r="282" ht="22.2" customHeight="1" s="375">
      <c r="A282" s="52" t="n"/>
      <c r="B282" s="8" t="n"/>
      <c r="C282" s="9" t="n"/>
      <c r="D282" s="13" t="n"/>
      <c r="E282" s="10" t="n"/>
      <c r="F282" s="336" t="inlineStr">
        <is>
          <t>ส.</t>
        </is>
      </c>
      <c r="G282" s="336" t="inlineStr">
        <is>
          <t>วดป.</t>
        </is>
      </c>
      <c r="H282" s="525" t="n"/>
      <c r="I282" s="336" t="n"/>
      <c r="J282" s="526" t="n"/>
      <c r="K282" s="527" t="n"/>
      <c r="L282" s="336" t="inlineStr">
        <is>
          <t>ใน</t>
        </is>
      </c>
      <c r="M282" s="336" t="inlineStr">
        <is>
          <t>นอก</t>
        </is>
      </c>
      <c r="N282" s="336" t="inlineStr">
        <is>
          <t>ต่อ ชม.</t>
        </is>
      </c>
      <c r="O282" s="336" t="inlineStr">
        <is>
          <t>(บาท)</t>
        </is>
      </c>
      <c r="P282" s="52" t="inlineStr">
        <is>
          <t>ใน</t>
        </is>
      </c>
      <c r="Q282" s="52" t="inlineStr">
        <is>
          <t>นอก</t>
        </is>
      </c>
      <c r="R282" s="336" t="inlineStr">
        <is>
          <t>ต่อ ชม.</t>
        </is>
      </c>
      <c r="S282" s="336" t="inlineStr">
        <is>
          <t>(บาท)</t>
        </is>
      </c>
    </row>
    <row r="283" ht="22.2" customHeight="1" s="375">
      <c r="A283" s="362" t="n">
        <v>7</v>
      </c>
      <c r="B283" s="528">
        <f>AB9</f>
        <v/>
      </c>
      <c r="C283" s="153" t="n"/>
      <c r="D283" s="135" t="n"/>
      <c r="E283" s="362" t="inlineStr">
        <is>
          <t>ครู</t>
        </is>
      </c>
      <c r="F283" s="5" t="n">
        <v>1</v>
      </c>
      <c r="G283" s="529" t="inlineStr">
        <is>
          <t>จันทร์</t>
        </is>
      </c>
      <c r="H283" s="376" t="inlineStr">
        <is>
          <t>20101-2011</t>
        </is>
      </c>
      <c r="I283" s="376" t="inlineStr">
        <is>
          <t>ชย.2/5 (26)</t>
        </is>
      </c>
      <c r="J283" s="381" t="inlineStr">
        <is>
          <t>08:10 - 12:10</t>
        </is>
      </c>
      <c r="K283" s="135" t="n"/>
      <c r="L283" s="367" t="n">
        <v>4</v>
      </c>
      <c r="M283" s="381" t="inlineStr"/>
      <c r="N283" s="381" t="inlineStr"/>
      <c r="O283" s="354" t="inlineStr"/>
      <c r="P283" s="381" t="inlineStr"/>
      <c r="Q283" s="367" t="inlineStr"/>
      <c r="R283" s="381" t="inlineStr"/>
      <c r="S283" s="354" t="inlineStr"/>
      <c r="T283" t="inlineStr"/>
      <c r="U283" t="inlineStr"/>
    </row>
    <row r="284" ht="22.2" customHeight="1" s="375">
      <c r="A284" s="3" t="n"/>
      <c r="B284" s="530" t="n"/>
      <c r="D284" s="374" t="n"/>
      <c r="E284" s="334" t="n"/>
      <c r="F284" s="322" t="n"/>
      <c r="G284" s="535" t="inlineStr">
        <is>
          <t>14 ก.ย.69</t>
        </is>
      </c>
      <c r="H284" s="376" t="inlineStr">
        <is>
          <t>20101-2011</t>
        </is>
      </c>
      <c r="I284" s="376" t="inlineStr">
        <is>
          <t>ชย.2/5 (26)</t>
        </is>
      </c>
      <c r="J284" s="334" t="inlineStr">
        <is>
          <t>13:10 - 16:10</t>
        </is>
      </c>
      <c r="K284" s="374" t="n"/>
      <c r="L284" s="334" t="n">
        <v>3</v>
      </c>
      <c r="M284" s="334" t="inlineStr"/>
      <c r="N284" s="334" t="inlineStr"/>
      <c r="O284" s="354" t="inlineStr"/>
      <c r="P284" s="334" t="inlineStr"/>
      <c r="Q284" s="334" t="inlineStr"/>
      <c r="R284" s="334" t="inlineStr"/>
      <c r="S284" s="354" t="inlineStr"/>
      <c r="T284" t="inlineStr"/>
      <c r="U284" t="inlineStr"/>
    </row>
    <row r="285" ht="22.2" customHeight="1" s="375">
      <c r="A285" s="3" t="n"/>
      <c r="B285" s="313" t="n"/>
      <c r="D285" s="314" t="n"/>
      <c r="E285" s="314" t="n"/>
      <c r="F285" s="322" t="n"/>
      <c r="G285" s="321" t="inlineStr"/>
      <c r="H285" s="376" t="inlineStr"/>
      <c r="I285" s="376" t="inlineStr"/>
      <c r="J285" s="334" t="inlineStr"/>
      <c r="K285" s="374" t="n"/>
      <c r="L285" s="334" t="inlineStr"/>
      <c r="M285" s="334" t="inlineStr"/>
      <c r="N285" s="334" t="inlineStr"/>
      <c r="O285" s="354" t="inlineStr"/>
      <c r="P285" s="334" t="inlineStr"/>
      <c r="Q285" s="334" t="inlineStr"/>
      <c r="R285" s="334" t="inlineStr"/>
      <c r="S285" s="354" t="inlineStr"/>
      <c r="T285" t="inlineStr"/>
      <c r="U285" t="inlineStr"/>
    </row>
    <row r="286" ht="22.2" customHeight="1" s="375">
      <c r="A286" s="3" t="n"/>
      <c r="B286" s="313" t="n"/>
      <c r="E286" s="3" t="n"/>
      <c r="F286" s="322" t="n"/>
      <c r="G286" s="321" t="inlineStr"/>
      <c r="H286" s="334" t="inlineStr"/>
      <c r="I286" s="334" t="inlineStr"/>
      <c r="J286" s="334" t="inlineStr"/>
      <c r="K286" s="374" t="n"/>
      <c r="L286" s="334" t="inlineStr"/>
      <c r="M286" s="334" t="inlineStr"/>
      <c r="N286" s="334" t="inlineStr"/>
      <c r="O286" s="354" t="inlineStr"/>
      <c r="P286" s="334" t="inlineStr"/>
      <c r="Q286" s="334" t="inlineStr"/>
      <c r="R286" s="334" t="inlineStr"/>
      <c r="S286" s="354" t="inlineStr"/>
      <c r="T286" t="inlineStr"/>
      <c r="U286" t="inlineStr"/>
    </row>
    <row r="287" ht="22.2" customHeight="1" s="375">
      <c r="A287" s="3" t="n"/>
      <c r="E287" s="3" t="n"/>
      <c r="G287" s="344" t="inlineStr"/>
      <c r="H287" s="336" t="inlineStr"/>
      <c r="I287" s="336" t="inlineStr"/>
      <c r="J287" s="336" t="inlineStr"/>
      <c r="K287" s="527" t="n"/>
      <c r="L287" s="334" t="inlineStr"/>
      <c r="M287" s="334" t="inlineStr"/>
      <c r="N287" s="334" t="inlineStr"/>
      <c r="O287" s="354" t="inlineStr"/>
      <c r="P287" s="334" t="inlineStr"/>
      <c r="Q287" s="334" t="inlineStr"/>
      <c r="R287" s="334" t="inlineStr"/>
      <c r="S287" s="354" t="inlineStr"/>
      <c r="T287" t="inlineStr"/>
      <c r="U287" t="inlineStr"/>
    </row>
    <row r="288" ht="22.2" customHeight="1" s="375">
      <c r="A288" s="3" t="n"/>
      <c r="E288" s="3" t="n"/>
      <c r="G288" s="533" t="inlineStr">
        <is>
          <t>อังคาร</t>
        </is>
      </c>
      <c r="H288" s="376" t="inlineStr">
        <is>
          <t>20101-2008</t>
        </is>
      </c>
      <c r="I288" s="376" t="inlineStr">
        <is>
          <t>ชย.2/4 (26)</t>
        </is>
      </c>
      <c r="J288" s="381" t="inlineStr">
        <is>
          <t>13:10 - 17:10</t>
        </is>
      </c>
      <c r="K288" s="135" t="n"/>
      <c r="L288" s="367" t="n">
        <v>4</v>
      </c>
      <c r="M288" s="381" t="inlineStr"/>
      <c r="N288" s="381" t="inlineStr"/>
      <c r="O288" s="354" t="inlineStr"/>
      <c r="P288" s="381" t="inlineStr"/>
      <c r="Q288" s="367" t="inlineStr"/>
      <c r="R288" s="381" t="inlineStr"/>
      <c r="S288" s="354" t="inlineStr"/>
      <c r="T288" t="inlineStr"/>
      <c r="U288" t="inlineStr"/>
    </row>
    <row r="289" ht="22.2" customHeight="1" s="375">
      <c r="A289" s="3" t="n"/>
      <c r="E289" s="3" t="n"/>
      <c r="G289" s="535" t="inlineStr">
        <is>
          <t>15 ก.ย.69</t>
        </is>
      </c>
      <c r="H289" s="376" t="inlineStr">
        <is>
          <t>20101-2013</t>
        </is>
      </c>
      <c r="I289" s="376" t="inlineStr">
        <is>
          <t>ชย.ทวิ 3/9 (26)</t>
        </is>
      </c>
      <c r="J289" s="334" t="inlineStr">
        <is>
          <t>18:10 - 21:10</t>
        </is>
      </c>
      <c r="K289" s="374" t="n"/>
      <c r="L289" s="334" t="n">
        <v>3</v>
      </c>
      <c r="M289" s="334" t="inlineStr"/>
      <c r="N289" s="334" t="inlineStr"/>
      <c r="O289" s="354" t="inlineStr"/>
      <c r="P289" s="334" t="inlineStr"/>
      <c r="Q289" s="334" t="inlineStr"/>
      <c r="R289" s="334" t="inlineStr"/>
      <c r="S289" s="354" t="inlineStr"/>
      <c r="T289" t="inlineStr"/>
      <c r="U289" t="inlineStr"/>
    </row>
    <row r="290" ht="22.2" customHeight="1" s="375">
      <c r="A290" s="3" t="n"/>
      <c r="B290" s="313" t="n"/>
      <c r="D290" s="314" t="n"/>
      <c r="E290" s="314" t="n"/>
      <c r="G290" s="334" t="inlineStr"/>
      <c r="H290" s="376" t="inlineStr"/>
      <c r="I290" s="376" t="inlineStr"/>
      <c r="J290" s="334" t="inlineStr"/>
      <c r="K290" s="374" t="n"/>
      <c r="L290" s="334" t="inlineStr"/>
      <c r="M290" s="334" t="inlineStr"/>
      <c r="N290" s="334" t="inlineStr"/>
      <c r="O290" s="354" t="inlineStr"/>
      <c r="P290" s="334" t="inlineStr"/>
      <c r="Q290" s="334" t="inlineStr"/>
      <c r="R290" s="334" t="inlineStr"/>
      <c r="S290" s="354" t="inlineStr"/>
      <c r="T290" t="inlineStr"/>
      <c r="U290" t="inlineStr"/>
    </row>
    <row r="291" ht="22.2" customHeight="1" s="375">
      <c r="A291" s="3" t="n"/>
      <c r="E291" s="3" t="n"/>
      <c r="G291" s="54" t="inlineStr"/>
      <c r="H291" s="334" t="inlineStr"/>
      <c r="I291" s="334" t="inlineStr"/>
      <c r="J291" s="334" t="inlineStr"/>
      <c r="K291" s="374" t="n"/>
      <c r="L291" s="334" t="inlineStr"/>
      <c r="M291" s="334" t="inlineStr"/>
      <c r="N291" s="334" t="inlineStr"/>
      <c r="O291" s="354" t="inlineStr"/>
      <c r="P291" s="334" t="inlineStr"/>
      <c r="Q291" s="334" t="inlineStr"/>
      <c r="R291" s="334" t="inlineStr"/>
      <c r="S291" s="354" t="inlineStr"/>
      <c r="T291" t="inlineStr"/>
      <c r="U291" t="inlineStr"/>
    </row>
    <row r="292" ht="22.2" customHeight="1" s="375">
      <c r="A292" s="3" t="n"/>
      <c r="D292" s="7" t="inlineStr">
        <is>
          <t> </t>
        </is>
      </c>
      <c r="E292" s="3" t="n"/>
      <c r="G292" s="55" t="inlineStr"/>
      <c r="H292" s="336" t="inlineStr"/>
      <c r="I292" s="336" t="inlineStr"/>
      <c r="J292" s="336" t="inlineStr"/>
      <c r="K292" s="527" t="n"/>
      <c r="L292" s="334" t="inlineStr"/>
      <c r="M292" s="334" t="inlineStr"/>
      <c r="N292" s="334" t="inlineStr"/>
      <c r="O292" s="354" t="inlineStr"/>
      <c r="P292" s="334" t="inlineStr"/>
      <c r="Q292" s="334" t="inlineStr"/>
      <c r="R292" s="334" t="inlineStr"/>
      <c r="S292" s="354" t="inlineStr"/>
      <c r="T292" t="inlineStr"/>
      <c r="U292" t="inlineStr"/>
    </row>
    <row r="293" ht="22.2" customHeight="1" s="375">
      <c r="A293" s="3" t="n"/>
      <c r="E293" s="3" t="n"/>
      <c r="G293" s="535" t="inlineStr">
        <is>
          <t>พุธ</t>
        </is>
      </c>
      <c r="H293" s="376" t="inlineStr">
        <is>
          <t>20101-2011</t>
        </is>
      </c>
      <c r="I293" s="376" t="inlineStr">
        <is>
          <t>ชย.2/8 (26)</t>
        </is>
      </c>
      <c r="J293" s="381" t="inlineStr">
        <is>
          <t>08:10 - 12:10</t>
        </is>
      </c>
      <c r="K293" s="135" t="n"/>
      <c r="L293" s="367" t="n">
        <v>4</v>
      </c>
      <c r="M293" s="381" t="inlineStr"/>
      <c r="N293" s="381" t="inlineStr"/>
      <c r="O293" s="354" t="inlineStr"/>
      <c r="P293" s="381" t="inlineStr"/>
      <c r="Q293" s="367" t="inlineStr"/>
      <c r="R293" s="381" t="inlineStr"/>
      <c r="S293" s="354" t="inlineStr"/>
      <c r="T293" s="23" t="inlineStr"/>
      <c r="U293" s="23" t="inlineStr"/>
      <c r="V293" s="56" t="n"/>
      <c r="W293" s="23" t="n"/>
      <c r="X293" s="23" t="n"/>
    </row>
    <row r="294" ht="22.2" customHeight="1" s="375">
      <c r="A294" s="3" t="n"/>
      <c r="B294" s="48" t="n"/>
      <c r="C294" s="58" t="n"/>
      <c r="D294" s="49" t="n"/>
      <c r="E294" s="49" t="n"/>
      <c r="G294" s="535" t="inlineStr">
        <is>
          <t>16 ก.ย.69</t>
        </is>
      </c>
      <c r="H294" s="376" t="inlineStr">
        <is>
          <t>20101-2011</t>
        </is>
      </c>
      <c r="I294" s="376" t="inlineStr">
        <is>
          <t>ชย.2/8 (26)</t>
        </is>
      </c>
      <c r="J294" s="334" t="inlineStr">
        <is>
          <t>13:10 - 16:10</t>
        </is>
      </c>
      <c r="K294" s="374" t="n"/>
      <c r="L294" s="334" t="n">
        <v>3</v>
      </c>
      <c r="M294" s="334" t="inlineStr"/>
      <c r="N294" s="334" t="inlineStr"/>
      <c r="O294" s="354" t="inlineStr"/>
      <c r="P294" s="334" t="inlineStr"/>
      <c r="Q294" s="334" t="inlineStr"/>
      <c r="R294" s="334" t="inlineStr"/>
      <c r="S294" s="354" t="inlineStr"/>
      <c r="T294" s="23" t="inlineStr"/>
      <c r="U294" s="23" t="inlineStr"/>
      <c r="V294" s="56" t="n"/>
      <c r="W294" s="23" t="n"/>
      <c r="X294" s="23" t="n"/>
    </row>
    <row r="295" ht="22.2" customHeight="1" s="375">
      <c r="A295" s="3" t="n"/>
      <c r="B295" s="48" t="n"/>
      <c r="C295" s="58" t="n"/>
      <c r="D295" s="49" t="n"/>
      <c r="E295" s="49" t="n"/>
      <c r="G295" s="334" t="inlineStr"/>
      <c r="H295" s="376" t="inlineStr">
        <is>
          <t>20101-2013</t>
        </is>
      </c>
      <c r="I295" s="376" t="inlineStr">
        <is>
          <t>ชย.ทวิ 3/9 (26)</t>
        </is>
      </c>
      <c r="J295" s="334" t="inlineStr">
        <is>
          <t>17:10 - 21:10</t>
        </is>
      </c>
      <c r="K295" s="374" t="n"/>
      <c r="L295" s="334" t="n">
        <v>4</v>
      </c>
      <c r="M295" s="334" t="inlineStr"/>
      <c r="N295" s="334" t="inlineStr"/>
      <c r="O295" s="354" t="inlineStr"/>
      <c r="P295" s="334" t="inlineStr"/>
      <c r="Q295" s="334" t="inlineStr"/>
      <c r="R295" s="334" t="inlineStr"/>
      <c r="S295" s="354" t="inlineStr"/>
      <c r="T295" t="inlineStr"/>
      <c r="U295" t="inlineStr"/>
    </row>
    <row r="296" ht="22.2" customHeight="1" s="375">
      <c r="A296" s="3" t="n"/>
      <c r="B296" s="48" t="n"/>
      <c r="C296" s="58" t="n"/>
      <c r="D296" s="49" t="n"/>
      <c r="E296" s="49" t="n"/>
      <c r="G296" s="321" t="inlineStr"/>
      <c r="H296" s="321" t="inlineStr"/>
      <c r="I296" s="334" t="inlineStr"/>
      <c r="J296" s="334" t="inlineStr"/>
      <c r="K296" s="374" t="n"/>
      <c r="L296" s="334" t="inlineStr"/>
      <c r="M296" s="334" t="inlineStr"/>
      <c r="N296" s="334" t="inlineStr"/>
      <c r="O296" s="354" t="inlineStr"/>
      <c r="P296" s="334" t="inlineStr"/>
      <c r="Q296" s="334" t="inlineStr"/>
      <c r="R296" s="334" t="inlineStr"/>
      <c r="S296" s="354" t="inlineStr"/>
      <c r="T296" t="inlineStr"/>
      <c r="U296" t="inlineStr"/>
    </row>
    <row r="297" ht="22.2" customHeight="1" s="375">
      <c r="A297" s="3" t="n"/>
      <c r="D297" s="314" t="n"/>
      <c r="E297" s="314" t="n"/>
      <c r="G297" s="327" t="inlineStr"/>
      <c r="H297" s="327" t="inlineStr"/>
      <c r="I297" s="336" t="inlineStr"/>
      <c r="J297" s="336" t="inlineStr"/>
      <c r="K297" s="527" t="n"/>
      <c r="L297" s="336" t="inlineStr"/>
      <c r="M297" s="336" t="inlineStr"/>
      <c r="N297" s="336" t="inlineStr"/>
      <c r="O297" s="354" t="inlineStr"/>
      <c r="P297" s="336" t="inlineStr"/>
      <c r="Q297" s="336" t="inlineStr"/>
      <c r="R297" s="336" t="inlineStr"/>
      <c r="S297" s="354" t="inlineStr"/>
      <c r="T297" t="inlineStr"/>
      <c r="U297" t="inlineStr"/>
    </row>
    <row r="298" ht="22.2" customHeight="1" s="375">
      <c r="A298" s="3" t="n"/>
      <c r="E298" s="3" t="n"/>
      <c r="G298" s="533" t="inlineStr">
        <is>
          <t>พฤหัส</t>
        </is>
      </c>
      <c r="H298" s="376" t="inlineStr">
        <is>
          <t>20101-2020</t>
        </is>
      </c>
      <c r="I298" s="376" t="inlineStr">
        <is>
          <t>ชย.3/3 (26)</t>
        </is>
      </c>
      <c r="J298" s="334" t="inlineStr">
        <is>
          <t>08:10 - 12:10</t>
        </is>
      </c>
      <c r="K298" s="374" t="n"/>
      <c r="L298" s="334" t="inlineStr"/>
      <c r="M298" s="334" t="n">
        <v>4</v>
      </c>
      <c r="N298" s="334" t="n">
        <v>200</v>
      </c>
      <c r="O298" s="354">
        <f>M298*N298</f>
        <v/>
      </c>
      <c r="P298" s="334" t="inlineStr"/>
      <c r="Q298" s="362" t="inlineStr"/>
      <c r="R298" s="362" t="inlineStr"/>
      <c r="S298" s="354" t="inlineStr"/>
      <c r="T298" t="inlineStr"/>
      <c r="U298" t="inlineStr"/>
    </row>
    <row r="299" ht="22.2" customHeight="1" s="375">
      <c r="A299" s="3" t="n"/>
      <c r="E299" s="3" t="n"/>
      <c r="G299" s="535" t="inlineStr">
        <is>
          <t>17 ก.ย.69</t>
        </is>
      </c>
      <c r="H299" s="376" t="inlineStr">
        <is>
          <t>20101-2020</t>
        </is>
      </c>
      <c r="I299" s="376" t="inlineStr">
        <is>
          <t>ชย.3/3 (26)</t>
        </is>
      </c>
      <c r="J299" s="334" t="inlineStr">
        <is>
          <t>15:10 - 21:10</t>
        </is>
      </c>
      <c r="K299" s="374" t="n"/>
      <c r="L299" s="334" t="inlineStr"/>
      <c r="M299" s="334" t="n">
        <v>6</v>
      </c>
      <c r="N299" s="334" t="n">
        <v>200</v>
      </c>
      <c r="O299" s="354">
        <f>M299*N299</f>
        <v/>
      </c>
      <c r="P299" s="334" t="inlineStr"/>
      <c r="Q299" s="334" t="inlineStr"/>
      <c r="R299" s="334" t="inlineStr"/>
      <c r="S299" s="354" t="inlineStr"/>
      <c r="T299" t="inlineStr"/>
      <c r="U299" t="inlineStr"/>
    </row>
    <row r="300" ht="22.2" customHeight="1" s="375">
      <c r="A300" s="3" t="n"/>
      <c r="B300" s="313" t="n"/>
      <c r="E300" s="3" t="n"/>
      <c r="G300" s="334" t="inlineStr"/>
      <c r="H300" s="376" t="inlineStr"/>
      <c r="I300" s="376" t="inlineStr"/>
      <c r="J300" s="334" t="inlineStr"/>
      <c r="K300" s="374" t="n"/>
      <c r="L300" s="376" t="inlineStr"/>
      <c r="M300" s="376" t="inlineStr"/>
      <c r="N300" s="376" t="inlineStr"/>
      <c r="O300" s="354" t="inlineStr"/>
      <c r="P300" s="376" t="inlineStr"/>
      <c r="Q300" s="376" t="inlineStr"/>
      <c r="R300" s="376" t="inlineStr"/>
      <c r="S300" s="354" t="inlineStr"/>
      <c r="T300" t="inlineStr"/>
      <c r="U300" t="inlineStr"/>
    </row>
    <row r="301" ht="22.2" customHeight="1" s="375">
      <c r="A301" s="3" t="n"/>
      <c r="E301" s="3" t="n"/>
      <c r="G301" s="334" t="inlineStr"/>
      <c r="H301" s="334" t="inlineStr"/>
      <c r="I301" s="323" t="inlineStr"/>
      <c r="J301" s="334" t="inlineStr"/>
      <c r="K301" s="374" t="n"/>
      <c r="L301" s="334" t="inlineStr"/>
      <c r="M301" s="334" t="inlineStr"/>
      <c r="N301" s="334" t="inlineStr"/>
      <c r="O301" s="354" t="inlineStr"/>
      <c r="P301" s="334" t="inlineStr"/>
      <c r="Q301" s="334" t="inlineStr"/>
      <c r="R301" s="334" t="inlineStr"/>
      <c r="S301" s="354" t="inlineStr"/>
      <c r="T301" t="inlineStr"/>
      <c r="U301" t="inlineStr"/>
    </row>
    <row r="302" ht="22.2" customHeight="1" s="375">
      <c r="A302" s="3" t="n"/>
      <c r="E302" s="3" t="n"/>
      <c r="G302" s="336" t="inlineStr"/>
      <c r="H302" s="328" t="inlineStr"/>
      <c r="I302" s="336" t="inlineStr"/>
      <c r="J302" s="336" t="inlineStr"/>
      <c r="K302" s="527" t="n"/>
      <c r="L302" s="336" t="inlineStr"/>
      <c r="M302" s="336" t="inlineStr"/>
      <c r="N302" s="336" t="inlineStr"/>
      <c r="O302" s="354" t="inlineStr"/>
      <c r="P302" s="336" t="inlineStr"/>
      <c r="Q302" s="336" t="inlineStr"/>
      <c r="R302" s="336" t="inlineStr"/>
      <c r="S302" s="354" t="inlineStr"/>
      <c r="T302" t="inlineStr"/>
      <c r="U302" t="inlineStr"/>
    </row>
    <row r="303" ht="22.2" customHeight="1" s="375">
      <c r="A303" s="3" t="n"/>
      <c r="E303" s="3" t="n"/>
      <c r="G303" s="533" t="inlineStr">
        <is>
          <t>ศุกร์</t>
        </is>
      </c>
      <c r="H303" s="376" t="inlineStr"/>
      <c r="I303" s="376" t="inlineStr"/>
      <c r="J303" s="381" t="inlineStr"/>
      <c r="K303" s="135" t="n"/>
      <c r="L303" s="334" t="inlineStr"/>
      <c r="M303" s="334" t="inlineStr"/>
      <c r="N303" s="334" t="inlineStr"/>
      <c r="O303" s="354" t="inlineStr"/>
      <c r="P303" s="381" t="inlineStr"/>
      <c r="Q303" s="367" t="inlineStr"/>
      <c r="R303" s="381" t="inlineStr"/>
      <c r="S303" s="354" t="inlineStr"/>
      <c r="T303" s="23" t="inlineStr"/>
      <c r="U303" s="23" t="inlineStr"/>
      <c r="V303" s="56" t="n"/>
      <c r="W303" s="23" t="n"/>
      <c r="X303" s="23" t="n"/>
    </row>
    <row r="304" ht="22.2" customHeight="1" s="375">
      <c r="A304" s="3" t="n"/>
      <c r="E304" s="3" t="n"/>
      <c r="G304" s="535" t="inlineStr">
        <is>
          <t>18 ก.ย.69</t>
        </is>
      </c>
      <c r="H304" s="376" t="inlineStr"/>
      <c r="I304" s="376" t="inlineStr"/>
      <c r="J304" s="334" t="inlineStr"/>
      <c r="K304" s="374" t="n"/>
      <c r="L304" s="334" t="inlineStr"/>
      <c r="M304" s="334" t="inlineStr"/>
      <c r="N304" s="334" t="inlineStr"/>
      <c r="O304" s="354" t="inlineStr"/>
      <c r="P304" s="334" t="inlineStr"/>
      <c r="Q304" s="334" t="inlineStr"/>
      <c r="R304" s="334" t="inlineStr"/>
      <c r="S304" s="354" t="inlineStr"/>
      <c r="T304" s="23" t="inlineStr"/>
      <c r="U304" s="23" t="inlineStr"/>
      <c r="V304" s="56" t="n"/>
      <c r="W304" s="23" t="n"/>
      <c r="X304" s="23" t="n"/>
    </row>
    <row r="305" ht="22.2" customHeight="1" s="375">
      <c r="A305" s="3" t="n"/>
      <c r="E305" s="3" t="n"/>
      <c r="G305" s="334" t="inlineStr"/>
      <c r="H305" s="376" t="inlineStr"/>
      <c r="I305" s="376" t="inlineStr"/>
      <c r="J305" s="334" t="inlineStr"/>
      <c r="K305" s="374" t="n"/>
      <c r="L305" s="334" t="inlineStr"/>
      <c r="M305" s="334" t="inlineStr"/>
      <c r="N305" s="334" t="inlineStr"/>
      <c r="O305" s="354" t="inlineStr"/>
      <c r="P305" s="334" t="inlineStr"/>
      <c r="Q305" s="334" t="inlineStr"/>
      <c r="R305" s="334" t="inlineStr"/>
      <c r="S305" s="354" t="inlineStr"/>
      <c r="T305" t="inlineStr"/>
      <c r="U305" t="inlineStr"/>
    </row>
    <row r="306" ht="22.2" customHeight="1" s="375">
      <c r="A306" s="3" t="n"/>
      <c r="E306" s="3" t="n"/>
      <c r="G306" s="334" t="inlineStr"/>
      <c r="H306" s="147" t="inlineStr"/>
      <c r="I306" s="3" t="inlineStr"/>
      <c r="J306" s="334" t="inlineStr"/>
      <c r="K306" s="374" t="n"/>
      <c r="L306" s="334" t="inlineStr"/>
      <c r="M306" s="334" t="inlineStr"/>
      <c r="N306" s="334" t="inlineStr"/>
      <c r="O306" s="354" t="inlineStr"/>
      <c r="P306" s="334" t="inlineStr"/>
      <c r="Q306" s="334" t="inlineStr"/>
      <c r="R306" s="334" t="inlineStr"/>
      <c r="S306" s="354" t="inlineStr"/>
      <c r="T306" t="inlineStr"/>
      <c r="U306" t="inlineStr"/>
    </row>
    <row r="307" ht="22.2" customHeight="1" s="375">
      <c r="A307" s="3" t="n"/>
      <c r="E307" s="3" t="n"/>
      <c r="F307" s="3" t="n"/>
      <c r="G307" s="329" t="inlineStr"/>
      <c r="H307" s="336" t="inlineStr"/>
      <c r="I307" s="329" t="inlineStr"/>
      <c r="J307" s="336" t="inlineStr"/>
      <c r="K307" s="527" t="n"/>
      <c r="L307" s="336" t="inlineStr"/>
      <c r="M307" s="336" t="inlineStr"/>
      <c r="N307" s="336" t="inlineStr"/>
      <c r="O307" s="354" t="inlineStr"/>
      <c r="P307" s="336" t="inlineStr"/>
      <c r="Q307" s="336" t="inlineStr"/>
      <c r="R307" s="336" t="inlineStr"/>
      <c r="S307" s="354" t="inlineStr"/>
      <c r="T307" t="inlineStr"/>
      <c r="U307" t="inlineStr"/>
    </row>
    <row r="308" ht="22.2" customHeight="1" s="375">
      <c r="A308" s="3" t="n"/>
      <c r="E308" s="3" t="n"/>
      <c r="F308" s="3" t="n"/>
      <c r="G308" s="16" t="inlineStr">
        <is>
          <t>รวมขั่วโมงที่สอนแยก ภาระงาน/ เกินภาระงาน</t>
        </is>
      </c>
      <c r="H308" s="518" t="n"/>
      <c r="I308" s="518" t="n"/>
      <c r="J308" s="518" t="n"/>
      <c r="K308" s="432" t="n"/>
      <c r="L308" s="16">
        <f>SUM(L283:L307)</f>
        <v/>
      </c>
      <c r="M308" s="16">
        <f>SUM(M283:M307)</f>
        <v/>
      </c>
      <c r="N308" s="16" t="n"/>
      <c r="O308" s="16" t="n"/>
      <c r="P308" s="16">
        <f>SUM(P283:P307)</f>
        <v/>
      </c>
      <c r="Q308" s="16">
        <f>SUM(Q283:Q307)</f>
        <v/>
      </c>
      <c r="R308" s="349" t="n"/>
      <c r="S308" s="16" t="n"/>
    </row>
    <row r="309" ht="22.2" customHeight="1" s="375">
      <c r="A309" s="3" t="n"/>
      <c r="E309" s="3" t="n"/>
      <c r="F309" s="3" t="n"/>
      <c r="G309" s="16" t="inlineStr">
        <is>
          <t>รวมจำนวนชั่วโมงสอนคาบต่อสับดาห์</t>
        </is>
      </c>
      <c r="H309" s="518" t="n"/>
      <c r="I309" s="518" t="n"/>
      <c r="J309" s="518" t="n"/>
      <c r="K309" s="432" t="n"/>
      <c r="L309" s="16">
        <f>L308+M308</f>
        <v/>
      </c>
      <c r="M309" s="432" t="n"/>
      <c r="N309" s="16" t="n"/>
      <c r="O309" s="348" t="n"/>
      <c r="P309" s="16">
        <f>P308+Q308</f>
        <v/>
      </c>
      <c r="Q309" s="432" t="n"/>
      <c r="R309" s="329" t="n"/>
      <c r="S309" s="336" t="n"/>
    </row>
    <row r="310" ht="22.2" customHeight="1" s="375">
      <c r="A310" s="3" t="n"/>
      <c r="E310" s="3" t="n"/>
      <c r="F310" s="3" t="n"/>
      <c r="G310" s="16" t="inlineStr">
        <is>
          <t>จำนวนชั่วโมงสอนตามภาระงานสอน</t>
        </is>
      </c>
      <c r="H310" s="518" t="n"/>
      <c r="I310" s="518" t="n"/>
      <c r="J310" s="518" t="n"/>
      <c r="K310" s="432" t="n"/>
      <c r="L310" s="16" t="n">
        <v>18</v>
      </c>
      <c r="M310" s="432" t="n"/>
      <c r="N310" s="348" t="n"/>
      <c r="O310" s="16" t="n"/>
      <c r="P310" s="16" t="n">
        <v>0</v>
      </c>
      <c r="Q310" s="432" t="n"/>
      <c r="R310" s="322" t="n"/>
      <c r="S310" s="334" t="n"/>
    </row>
    <row r="311" ht="22.2" customHeight="1" s="375" thickBot="1">
      <c r="A311" s="3" t="n"/>
      <c r="E311" s="3" t="n"/>
      <c r="F311" s="14" t="n"/>
      <c r="G311" s="16" t="inlineStr">
        <is>
          <t>จำนวนชั่วโมงบิกเกินภาระงานสอน/ค่าสอน</t>
        </is>
      </c>
      <c r="H311" s="518" t="n"/>
      <c r="I311" s="518" t="n"/>
      <c r="J311" s="518" t="n"/>
      <c r="K311" s="432" t="n"/>
      <c r="L311" s="17" t="n">
        <v>0</v>
      </c>
      <c r="M311" s="17">
        <f>SUM(M283:M307)</f>
        <v/>
      </c>
      <c r="N311" s="17" t="n"/>
      <c r="O311" s="17">
        <f>SUM(O283:O307)</f>
        <v/>
      </c>
      <c r="P311" s="17" t="n">
        <v>0</v>
      </c>
      <c r="Q311" s="17">
        <f>SUM(Q283:Q307)</f>
        <v/>
      </c>
      <c r="R311" s="18" t="n"/>
      <c r="S311" s="17">
        <f>SUM(S283:S307)</f>
        <v/>
      </c>
    </row>
    <row r="312" ht="22.2" customHeight="1" s="375" thickTop="1">
      <c r="A312" s="337" t="inlineStr">
        <is>
          <t>รวมจำนวนหน่วยชั่วโมงที่ขอเบิกค่าสอน ….</t>
        </is>
      </c>
      <c r="B312" s="518" t="n"/>
      <c r="C312" s="518" t="n"/>
      <c r="D312" s="518" t="n"/>
      <c r="E312" s="518" t="n"/>
      <c r="F312" s="518" t="n"/>
      <c r="G312" s="518" t="n"/>
      <c r="H312" s="348">
        <f>M311+Q311</f>
        <v/>
      </c>
      <c r="I312" s="348" t="inlineStr">
        <is>
          <t>….ชั่วโมง</t>
        </is>
      </c>
      <c r="J312" s="348" t="n"/>
      <c r="K312" s="328" t="inlineStr">
        <is>
          <t>ยอดเงินรวม</t>
        </is>
      </c>
      <c r="L312" s="522" t="n"/>
      <c r="M312" s="522" t="n"/>
      <c r="N312" s="328" t="n"/>
      <c r="O312" s="328" t="n"/>
      <c r="P312" s="339">
        <f>S311+O311</f>
        <v/>
      </c>
      <c r="Q312" s="538" t="n"/>
      <c r="R312" s="20" t="n"/>
      <c r="S312" s="19" t="inlineStr">
        <is>
          <t>..บาท</t>
        </is>
      </c>
    </row>
    <row r="313" ht="22.2" customHeight="1" s="375">
      <c r="A313" s="154" t="inlineStr">
        <is>
          <t>ผู้ขอเบิก</t>
        </is>
      </c>
      <c r="B313" s="153" t="n"/>
      <c r="C313" s="153" t="n"/>
      <c r="D313" s="153" t="n"/>
      <c r="E313" s="153" t="n"/>
      <c r="F313" s="153" t="n"/>
      <c r="G313" s="135" t="n"/>
      <c r="H313" s="154" t="inlineStr">
        <is>
          <t>ผู้รับรอง</t>
        </is>
      </c>
      <c r="I313" s="153" t="n"/>
      <c r="J313" s="153" t="n"/>
      <c r="K313" s="153" t="n"/>
      <c r="L313" s="135" t="n"/>
      <c r="M313" s="154" t="inlineStr">
        <is>
          <t>ผู้ตรวจ</t>
        </is>
      </c>
      <c r="N313" s="153" t="n"/>
      <c r="O313" s="153" t="n"/>
      <c r="P313" s="153" t="n"/>
      <c r="Q313" s="153" t="n"/>
      <c r="R313" s="153" t="n"/>
      <c r="S313" s="135" t="n"/>
    </row>
    <row r="314" ht="22.2" customHeight="1" s="375">
      <c r="A314" s="334" t="inlineStr">
        <is>
          <t>ลงชื่อ……………………………………………</t>
        </is>
      </c>
      <c r="G314" s="374" t="n"/>
      <c r="H314" s="334" t="inlineStr">
        <is>
          <t>ลงชื่อ……………………………………………</t>
        </is>
      </c>
      <c r="L314" s="374" t="n"/>
      <c r="M314" s="334" t="inlineStr">
        <is>
          <t>ลงชื่อ……………………………………………</t>
        </is>
      </c>
      <c r="S314" s="374" t="n"/>
    </row>
    <row r="315" ht="22.2" customHeight="1" s="375">
      <c r="A315" s="11" t="inlineStr">
        <is>
          <t>(</t>
        </is>
      </c>
      <c r="B315" s="324">
        <f>B283</f>
        <v/>
      </c>
      <c r="G315" s="326" t="inlineStr">
        <is>
          <t>)</t>
        </is>
      </c>
      <c r="H315" s="324" t="inlineStr">
        <is>
          <t>(</t>
        </is>
      </c>
      <c r="I315" s="340">
        <f>I269</f>
        <v/>
      </c>
      <c r="L315" s="12" t="inlineStr">
        <is>
          <t>)</t>
        </is>
      </c>
      <c r="M315" s="53" t="inlineStr">
        <is>
          <t>(</t>
        </is>
      </c>
      <c r="N315" s="53" t="n"/>
      <c r="O315" s="324">
        <f>O39</f>
        <v/>
      </c>
      <c r="R315" s="25" t="n"/>
      <c r="S315" s="326" t="inlineStr">
        <is>
          <t>)</t>
        </is>
      </c>
    </row>
    <row r="316" ht="22.2" customHeight="1" s="375">
      <c r="A316" s="540" t="inlineStr">
        <is>
          <t xml:space="preserve">                         ตำแหน่ง  ครู</t>
        </is>
      </c>
      <c r="G316" s="374" t="n"/>
      <c r="H316" s="54" t="inlineStr">
        <is>
          <t>ตำแหน่ง หัวหน้าแผนก</t>
        </is>
      </c>
      <c r="L316" s="374" t="n"/>
      <c r="M316" s="54" t="inlineStr">
        <is>
          <t>ตำแหน่ง   ผู้ตรวจสอบ</t>
        </is>
      </c>
      <c r="S316" s="374" t="n"/>
    </row>
    <row r="317" ht="22.2" customHeight="1" s="375">
      <c r="A317" s="55" t="inlineStr">
        <is>
          <t>วันที่ 22 เดือน กันยายน  พ.ศ.2569</t>
        </is>
      </c>
      <c r="B317" s="522" t="n"/>
      <c r="C317" s="522" t="n"/>
      <c r="D317" s="522" t="n"/>
      <c r="E317" s="522" t="n"/>
      <c r="F317" s="522" t="n"/>
      <c r="G317" s="527" t="n"/>
      <c r="H317" s="54">
        <f>A41</f>
        <v/>
      </c>
      <c r="L317" s="374" t="n"/>
      <c r="M317" s="55">
        <f>A41</f>
        <v/>
      </c>
      <c r="N317" s="522" t="n"/>
      <c r="O317" s="522" t="n"/>
      <c r="P317" s="522" t="n"/>
      <c r="Q317" s="522" t="n"/>
      <c r="R317" s="522" t="n"/>
      <c r="S317" s="527" t="n"/>
    </row>
    <row r="318" ht="22.2" customHeight="1" s="375">
      <c r="A318" s="154" t="inlineStr">
        <is>
          <t>ผู้ตรวจ</t>
        </is>
      </c>
      <c r="B318" s="153" t="n"/>
      <c r="C318" s="153" t="n"/>
      <c r="D318" s="153" t="n"/>
      <c r="E318" s="153" t="n"/>
      <c r="F318" s="153" t="n"/>
      <c r="G318" s="153" t="n"/>
      <c r="H318" s="153" t="n"/>
      <c r="I318" s="135" t="n"/>
      <c r="J318" s="154" t="inlineStr">
        <is>
          <t>ผู้เห็นชอบ</t>
        </is>
      </c>
      <c r="K318" s="153" t="n"/>
      <c r="L318" s="153" t="n"/>
      <c r="M318" s="153" t="n"/>
      <c r="N318" s="153" t="n"/>
      <c r="O318" s="153" t="n"/>
      <c r="P318" s="153" t="n"/>
      <c r="Q318" s="153" t="n"/>
      <c r="R318" s="153" t="n"/>
      <c r="S318" s="135" t="n"/>
    </row>
    <row r="319" ht="22.2" customHeight="1" s="375">
      <c r="A319" s="334" t="inlineStr">
        <is>
          <t>ลงชื่อ……………………………………………</t>
        </is>
      </c>
      <c r="I319" s="374" t="n"/>
      <c r="J319" s="334" t="inlineStr">
        <is>
          <t>ลงชื่อ……………………………………………</t>
        </is>
      </c>
      <c r="S319" s="374" t="n"/>
    </row>
    <row r="320" ht="22.2" customHeight="1" s="375">
      <c r="A320" s="11" t="n"/>
      <c r="B320" s="324">
        <f>B44</f>
        <v/>
      </c>
      <c r="I320" s="326" t="n"/>
      <c r="J320" s="25" t="n"/>
      <c r="K320" s="25" t="n"/>
      <c r="L320" s="324">
        <f>L44</f>
        <v/>
      </c>
      <c r="R320" s="25" t="n"/>
      <c r="S320" s="12" t="n"/>
    </row>
    <row r="321" ht="22.2" customHeight="1" s="375">
      <c r="A321" s="54" t="inlineStr">
        <is>
          <t>ตำแหน่งครู  หัวหน้างานพัฒนาหลักสูตร ฯ</t>
        </is>
      </c>
      <c r="I321" s="374" t="n"/>
      <c r="J321" s="54" t="inlineStr">
        <is>
          <t>ตำแหน่ง  รองผู้อำนวยการฝ่ายวิชาการ</t>
        </is>
      </c>
      <c r="S321" s="374" t="n"/>
    </row>
    <row r="322" ht="22.2" customHeight="1" s="375">
      <c r="A322" s="336" t="inlineStr">
        <is>
          <t>วันที่.......เดือน..........................พ.ศ..............</t>
        </is>
      </c>
      <c r="B322" s="522" t="n"/>
      <c r="C322" s="522" t="n"/>
      <c r="D322" s="522" t="n"/>
      <c r="E322" s="522" t="n"/>
      <c r="F322" s="522" t="n"/>
      <c r="G322" s="522" t="n"/>
      <c r="H322" s="522" t="n"/>
      <c r="I322" s="527" t="n"/>
      <c r="J322" s="336" t="inlineStr">
        <is>
          <t>วันที่.......เดือน..........................พ.ศ..............</t>
        </is>
      </c>
      <c r="K322" s="522" t="n"/>
      <c r="L322" s="522" t="n"/>
      <c r="M322" s="522" t="n"/>
      <c r="N322" s="522" t="n"/>
      <c r="O322" s="522" t="n"/>
      <c r="P322" s="522" t="n"/>
      <c r="Q322" s="522" t="n"/>
      <c r="R322" s="522" t="n"/>
      <c r="S322" s="527" t="n"/>
    </row>
    <row r="323" ht="22.2" customHeight="1" s="375">
      <c r="A323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75">
      <c r="A324" s="365" t="inlineStr">
        <is>
          <t>แผนกวิชาช่างยนต์</t>
        </is>
      </c>
    </row>
    <row r="325" ht="22.2" customHeight="1" s="375">
      <c r="A325" s="366" t="inlineStr">
        <is>
          <t xml:space="preserve">    ระหว่างวันที่</t>
        </is>
      </c>
      <c r="D325" s="365">
        <f>D3</f>
        <v/>
      </c>
      <c r="E325" s="365" t="inlineStr">
        <is>
          <t xml:space="preserve">   เดือน  </t>
        </is>
      </c>
      <c r="F325" s="365">
        <f>F3</f>
        <v/>
      </c>
      <c r="H325" s="365">
        <f>H3</f>
        <v/>
      </c>
      <c r="I325" s="365" t="inlineStr">
        <is>
          <t xml:space="preserve">     ถึง วันที่</t>
        </is>
      </c>
      <c r="J325" s="365">
        <f>J3</f>
        <v/>
      </c>
      <c r="K325" s="365" t="inlineStr">
        <is>
          <t xml:space="preserve">   เดือน </t>
        </is>
      </c>
      <c r="L325" s="365">
        <f>L3</f>
        <v/>
      </c>
      <c r="N325" s="365">
        <f>N3</f>
        <v/>
      </c>
      <c r="P325" s="365" t="n"/>
      <c r="R325" s="365" t="n"/>
    </row>
    <row r="326" ht="22.2" customHeight="1" s="375">
      <c r="G326" s="51" t="inlineStr">
        <is>
          <t>ü</t>
        </is>
      </c>
      <c r="H326" s="351" t="inlineStr">
        <is>
          <t>ครู</t>
        </is>
      </c>
      <c r="I326" s="322" t="inlineStr">
        <is>
          <t>หน้าที่พิเศษ</t>
        </is>
      </c>
      <c r="J326" s="380" t="inlineStr">
        <is>
          <t>ผู้ช่วยงานโครงการพิเศษและการบริการสังคม</t>
        </is>
      </c>
      <c r="K326" s="522" t="n"/>
      <c r="L326" s="522" t="n"/>
      <c r="M326" s="522" t="n"/>
    </row>
    <row r="327" ht="22.2" customHeight="1" s="375">
      <c r="A327" s="24" t="inlineStr">
        <is>
          <t>ที่</t>
        </is>
      </c>
      <c r="B327" s="24" t="inlineStr">
        <is>
          <t>ชื่อ-สกุล</t>
        </is>
      </c>
      <c r="C327" s="153" t="n"/>
      <c r="D327" s="135" t="n"/>
      <c r="E327" s="15" t="inlineStr">
        <is>
          <t>ตำแหน่ง</t>
        </is>
      </c>
      <c r="F327" s="16" t="inlineStr">
        <is>
          <t>ระยะเวลาที่สอน</t>
        </is>
      </c>
      <c r="G327" s="432" t="n"/>
      <c r="H327" s="16" t="inlineStr">
        <is>
          <t>รหัสวิชา</t>
        </is>
      </c>
      <c r="I327" s="362" t="inlineStr">
        <is>
          <t>ชั้น,แผนก,ห้อง</t>
        </is>
      </c>
      <c r="J327" s="16" t="inlineStr">
        <is>
          <t>เวลาสอน</t>
        </is>
      </c>
      <c r="K327" s="135" t="n"/>
      <c r="L327" s="16" t="inlineStr">
        <is>
          <t>ปวช.(คาบ)</t>
        </is>
      </c>
      <c r="M327" s="432" t="n"/>
      <c r="N327" s="354" t="inlineStr">
        <is>
          <t>เงิน</t>
        </is>
      </c>
      <c r="O327" s="362" t="inlineStr">
        <is>
          <t>ยอดเงิน</t>
        </is>
      </c>
      <c r="P327" s="524" t="inlineStr">
        <is>
          <t>ปวส.(คาบ)</t>
        </is>
      </c>
      <c r="Q327" s="432" t="n"/>
      <c r="R327" s="354" t="inlineStr">
        <is>
          <t>เงิน</t>
        </is>
      </c>
      <c r="S327" s="362" t="inlineStr">
        <is>
          <t>ยอดเงิน</t>
        </is>
      </c>
    </row>
    <row r="328" ht="22.2" customHeight="1" s="375">
      <c r="A328" s="52" t="n"/>
      <c r="B328" s="8" t="n"/>
      <c r="C328" s="9" t="n"/>
      <c r="D328" s="13" t="n"/>
      <c r="E328" s="10" t="n"/>
      <c r="F328" s="336" t="inlineStr">
        <is>
          <t>ส.</t>
        </is>
      </c>
      <c r="G328" s="336" t="inlineStr">
        <is>
          <t>วดป.</t>
        </is>
      </c>
      <c r="H328" s="525" t="n"/>
      <c r="I328" s="336" t="n"/>
      <c r="J328" s="526" t="n"/>
      <c r="K328" s="527" t="n"/>
      <c r="L328" s="336" t="inlineStr">
        <is>
          <t>ใน</t>
        </is>
      </c>
      <c r="M328" s="336" t="inlineStr">
        <is>
          <t>นอก</t>
        </is>
      </c>
      <c r="N328" s="336" t="inlineStr">
        <is>
          <t>ต่อ ชม.</t>
        </is>
      </c>
      <c r="O328" s="336" t="inlineStr">
        <is>
          <t>(บาท)</t>
        </is>
      </c>
      <c r="P328" s="52" t="inlineStr">
        <is>
          <t>ใน</t>
        </is>
      </c>
      <c r="Q328" s="52" t="inlineStr">
        <is>
          <t>นอก</t>
        </is>
      </c>
      <c r="R328" s="336" t="inlineStr">
        <is>
          <t>ต่อ ชม.</t>
        </is>
      </c>
      <c r="S328" s="336" t="inlineStr">
        <is>
          <t>(บาท)</t>
        </is>
      </c>
    </row>
    <row r="329" ht="22.2" customHeight="1" s="375">
      <c r="A329" s="362" t="n">
        <v>8</v>
      </c>
      <c r="B329" s="528">
        <f>AB10</f>
        <v/>
      </c>
      <c r="C329" s="153" t="n"/>
      <c r="D329" s="135" t="n"/>
      <c r="E329" s="362" t="inlineStr">
        <is>
          <t>ครู</t>
        </is>
      </c>
      <c r="F329" s="5" t="n">
        <v>1</v>
      </c>
      <c r="G329" s="529" t="inlineStr">
        <is>
          <t>จันทร์</t>
        </is>
      </c>
      <c r="H329" s="376" t="inlineStr">
        <is>
          <t>20101-2015</t>
        </is>
      </c>
      <c r="I329" s="381" t="inlineStr">
        <is>
          <t>ชย.3/1,ชย.3/2 (26)</t>
        </is>
      </c>
      <c r="J329" s="381" t="inlineStr">
        <is>
          <t>17:10 - 21:10</t>
        </is>
      </c>
      <c r="K329" s="135" t="n"/>
      <c r="L329" s="381" t="n">
        <v>4</v>
      </c>
      <c r="M329" s="148" t="inlineStr"/>
      <c r="N329" s="150" t="inlineStr"/>
      <c r="O329" s="354" t="inlineStr"/>
      <c r="P329" s="134" t="inlineStr"/>
      <c r="Q329" s="134" t="inlineStr"/>
      <c r="R329" s="134" t="inlineStr"/>
      <c r="S329" s="354" t="inlineStr"/>
      <c r="T329" t="inlineStr"/>
      <c r="U329" t="inlineStr"/>
    </row>
    <row r="330" ht="22.2" customHeight="1" s="375">
      <c r="A330" s="3" t="n"/>
      <c r="B330" s="530" t="n"/>
      <c r="D330" s="374" t="n"/>
      <c r="E330" s="334" t="n"/>
      <c r="F330" s="322" t="n"/>
      <c r="G330" s="535" t="inlineStr">
        <is>
          <t>14 ก.ย.69</t>
        </is>
      </c>
      <c r="H330" s="376" t="inlineStr"/>
      <c r="I330" s="376" t="inlineStr"/>
      <c r="J330" s="376" t="inlineStr"/>
      <c r="K330" s="374" t="n"/>
      <c r="L330" s="376" t="inlineStr"/>
      <c r="M330" s="334" t="inlineStr"/>
      <c r="N330" s="323" t="inlineStr"/>
      <c r="O330" s="354" t="inlineStr"/>
      <c r="P330" s="334" t="inlineStr"/>
      <c r="Q330" s="334" t="inlineStr"/>
      <c r="R330" s="334" t="inlineStr"/>
      <c r="S330" s="354" t="inlineStr"/>
      <c r="T330" t="inlineStr"/>
      <c r="U330" t="inlineStr"/>
    </row>
    <row r="331" ht="22.2" customHeight="1" s="375">
      <c r="A331" s="3" t="n"/>
      <c r="B331" s="313" t="n"/>
      <c r="D331" s="314" t="n"/>
      <c r="E331" s="314" t="n"/>
      <c r="F331" s="322" t="n"/>
      <c r="G331" s="321" t="inlineStr"/>
      <c r="H331" s="334" t="inlineStr"/>
      <c r="I331" s="334" t="inlineStr"/>
      <c r="J331" s="334" t="inlineStr"/>
      <c r="K331" s="374" t="n"/>
      <c r="L331" s="334" t="inlineStr"/>
      <c r="M331" s="334" t="inlineStr"/>
      <c r="N331" s="334" t="inlineStr"/>
      <c r="O331" s="354" t="inlineStr"/>
      <c r="P331" s="334" t="inlineStr"/>
      <c r="Q331" s="334" t="inlineStr"/>
      <c r="R331" s="334" t="inlineStr"/>
      <c r="S331" s="354" t="inlineStr"/>
      <c r="T331" t="inlineStr"/>
      <c r="U331" t="inlineStr"/>
    </row>
    <row r="332" ht="22.2" customHeight="1" s="375">
      <c r="A332" s="3" t="n"/>
      <c r="B332" s="313" t="n"/>
      <c r="E332" s="3" t="n"/>
      <c r="F332" s="322" t="n"/>
      <c r="G332" s="321" t="inlineStr"/>
      <c r="H332" s="334" t="inlineStr"/>
      <c r="I332" s="334" t="inlineStr"/>
      <c r="J332" s="334" t="inlineStr"/>
      <c r="K332" s="374" t="n"/>
      <c r="L332" s="334" t="inlineStr"/>
      <c r="M332" s="334" t="inlineStr"/>
      <c r="N332" s="334" t="inlineStr"/>
      <c r="O332" s="354" t="inlineStr"/>
      <c r="P332" s="334" t="inlineStr"/>
      <c r="Q332" s="334" t="inlineStr"/>
      <c r="R332" s="334" t="inlineStr"/>
      <c r="S332" s="354" t="inlineStr"/>
      <c r="T332" t="inlineStr"/>
      <c r="U332" t="inlineStr"/>
    </row>
    <row r="333" ht="22.2" customHeight="1" s="375">
      <c r="A333" s="3" t="n"/>
      <c r="E333" s="3" t="n"/>
      <c r="G333" s="344" t="inlineStr"/>
      <c r="H333" s="336" t="inlineStr"/>
      <c r="I333" s="336" t="inlineStr"/>
      <c r="J333" s="336" t="inlineStr"/>
      <c r="K333" s="527" t="n"/>
      <c r="L333" s="336" t="inlineStr"/>
      <c r="M333" s="334" t="inlineStr"/>
      <c r="N333" s="334" t="inlineStr"/>
      <c r="O333" s="354" t="inlineStr"/>
      <c r="P333" s="334" t="inlineStr"/>
      <c r="Q333" s="334" t="inlineStr"/>
      <c r="R333" s="334" t="inlineStr"/>
      <c r="S333" s="354" t="inlineStr"/>
      <c r="T333" t="inlineStr"/>
      <c r="U333" t="inlineStr"/>
    </row>
    <row r="334" ht="22.2" customHeight="1" s="375">
      <c r="A334" s="3" t="n"/>
      <c r="D334" s="7" t="inlineStr">
        <is>
          <t> </t>
        </is>
      </c>
      <c r="E334" s="3" t="n"/>
      <c r="G334" s="533" t="inlineStr">
        <is>
          <t>อังคาร</t>
        </is>
      </c>
      <c r="H334" s="376" t="inlineStr">
        <is>
          <t>20101-2001</t>
        </is>
      </c>
      <c r="I334" s="381" t="inlineStr">
        <is>
          <t>ชย.1/9 (26)</t>
        </is>
      </c>
      <c r="J334" s="381" t="inlineStr">
        <is>
          <t>08:10 - 12:10</t>
        </is>
      </c>
      <c r="K334" s="135" t="n"/>
      <c r="L334" s="367" t="n">
        <v>4</v>
      </c>
      <c r="M334" s="381" t="inlineStr"/>
      <c r="N334" s="381" t="inlineStr"/>
      <c r="O334" s="354" t="inlineStr"/>
      <c r="P334" s="381" t="inlineStr"/>
      <c r="Q334" s="367" t="inlineStr"/>
      <c r="R334" s="381" t="inlineStr"/>
      <c r="S334" s="354" t="inlineStr"/>
      <c r="T334" t="inlineStr"/>
      <c r="U334" t="inlineStr"/>
    </row>
    <row r="335" ht="22.2" customHeight="1" s="375">
      <c r="A335" s="3" t="n"/>
      <c r="E335" s="3" t="n"/>
      <c r="G335" s="535" t="inlineStr">
        <is>
          <t>15 ก.ย.69</t>
        </is>
      </c>
      <c r="H335" s="376" t="inlineStr">
        <is>
          <t>20101-2001</t>
        </is>
      </c>
      <c r="I335" s="376" t="inlineStr">
        <is>
          <t>ชย.1/9 (26)</t>
        </is>
      </c>
      <c r="J335" s="376" t="inlineStr">
        <is>
          <t>13:10 - 16:10</t>
        </is>
      </c>
      <c r="K335" s="374" t="n"/>
      <c r="L335" s="334" t="n">
        <v>3</v>
      </c>
      <c r="M335" s="334" t="inlineStr"/>
      <c r="N335" s="334" t="inlineStr"/>
      <c r="O335" s="354" t="inlineStr"/>
      <c r="P335" s="334" t="inlineStr"/>
      <c r="Q335" s="334" t="inlineStr"/>
      <c r="R335" s="334" t="inlineStr"/>
      <c r="S335" s="354" t="inlineStr"/>
      <c r="T335" t="inlineStr"/>
      <c r="U335" t="inlineStr"/>
    </row>
    <row r="336" ht="22.2" customHeight="1" s="375">
      <c r="A336" s="3" t="n"/>
      <c r="B336" s="321" t="n"/>
      <c r="C336" s="322" t="n"/>
      <c r="D336" s="322" t="n"/>
      <c r="E336" s="334" t="n"/>
      <c r="G336" s="334" t="inlineStr"/>
      <c r="H336" s="376" t="inlineStr"/>
      <c r="I336" s="376" t="inlineStr"/>
      <c r="J336" s="376" t="inlineStr"/>
      <c r="K336" s="374" t="n"/>
      <c r="L336" s="334" t="inlineStr"/>
      <c r="M336" s="334" t="inlineStr"/>
      <c r="N336" s="334" t="inlineStr"/>
      <c r="O336" s="354" t="inlineStr"/>
      <c r="P336" s="334" t="inlineStr"/>
      <c r="Q336" s="334" t="inlineStr"/>
      <c r="R336" s="334" t="inlineStr"/>
      <c r="S336" s="354" t="inlineStr"/>
      <c r="T336" t="inlineStr"/>
      <c r="U336" t="inlineStr"/>
    </row>
    <row r="337" ht="22.2" customHeight="1" s="375">
      <c r="A337" s="3" t="n"/>
      <c r="B337" s="313" t="n"/>
      <c r="D337" s="314" t="n"/>
      <c r="E337" s="314" t="n"/>
      <c r="G337" s="54" t="inlineStr"/>
      <c r="H337" s="322" t="inlineStr"/>
      <c r="I337" s="334" t="inlineStr"/>
      <c r="J337" s="334" t="inlineStr"/>
      <c r="K337" s="374" t="n"/>
      <c r="L337" s="334" t="inlineStr"/>
      <c r="M337" s="334" t="inlineStr"/>
      <c r="N337" s="334" t="inlineStr"/>
      <c r="O337" s="354" t="inlineStr"/>
      <c r="P337" s="334" t="inlineStr"/>
      <c r="Q337" s="334" t="inlineStr"/>
      <c r="R337" s="334" t="inlineStr"/>
      <c r="S337" s="354" t="inlineStr"/>
      <c r="T337" t="inlineStr"/>
      <c r="U337" t="inlineStr"/>
    </row>
    <row r="338" ht="22.2" customHeight="1" s="375">
      <c r="A338" s="3" t="n"/>
      <c r="D338" s="7" t="inlineStr">
        <is>
          <t> </t>
        </is>
      </c>
      <c r="E338" s="3" t="n"/>
      <c r="G338" s="55" t="inlineStr"/>
      <c r="H338" s="336" t="inlineStr"/>
      <c r="I338" s="336" t="inlineStr"/>
      <c r="J338" s="336" t="inlineStr"/>
      <c r="K338" s="527" t="n"/>
      <c r="L338" s="334" t="inlineStr"/>
      <c r="M338" s="336" t="inlineStr"/>
      <c r="N338" s="336" t="inlineStr"/>
      <c r="O338" s="354" t="inlineStr"/>
      <c r="P338" s="336" t="inlineStr"/>
      <c r="Q338" s="336" t="inlineStr"/>
      <c r="R338" s="336" t="inlineStr"/>
      <c r="S338" s="354" t="inlineStr"/>
      <c r="T338" t="inlineStr"/>
      <c r="U338" t="inlineStr"/>
    </row>
    <row r="339" ht="22.2" customHeight="1" s="375">
      <c r="A339" s="3" t="n"/>
      <c r="E339" s="3" t="n"/>
      <c r="G339" s="535" t="inlineStr">
        <is>
          <t>พุธ</t>
        </is>
      </c>
      <c r="H339" s="376" t="inlineStr">
        <is>
          <t>20101-2001</t>
        </is>
      </c>
      <c r="I339" s="381" t="inlineStr">
        <is>
          <t>ชย.1/7 (26)</t>
        </is>
      </c>
      <c r="J339" s="381" t="inlineStr">
        <is>
          <t>08:10 - 12:10</t>
        </is>
      </c>
      <c r="K339" s="135" t="n"/>
      <c r="L339" s="381" t="n">
        <v>4</v>
      </c>
      <c r="M339" s="150" t="inlineStr"/>
      <c r="N339" s="148" t="inlineStr"/>
      <c r="O339" s="354" t="inlineStr"/>
      <c r="P339" s="134" t="inlineStr"/>
      <c r="Q339" s="135" t="inlineStr"/>
      <c r="R339" s="135" t="inlineStr"/>
      <c r="S339" s="354" t="inlineStr"/>
      <c r="T339" s="6" t="inlineStr"/>
      <c r="U339" s="22" t="inlineStr"/>
      <c r="V339" s="57" t="n"/>
      <c r="W339" s="21" t="n"/>
      <c r="X339" s="21" t="n"/>
    </row>
    <row r="340" ht="22.2" customHeight="1" s="375">
      <c r="A340" s="3" t="n"/>
      <c r="B340" s="321" t="n"/>
      <c r="C340" s="322" t="n"/>
      <c r="D340" s="322" t="n"/>
      <c r="E340" s="334" t="n"/>
      <c r="G340" s="535" t="inlineStr">
        <is>
          <t>16 ก.ย.69</t>
        </is>
      </c>
      <c r="H340" s="376" t="inlineStr">
        <is>
          <t>20101-2001</t>
        </is>
      </c>
      <c r="I340" s="376" t="inlineStr">
        <is>
          <t>ชย.1/7 (26)</t>
        </is>
      </c>
      <c r="J340" s="376" t="inlineStr">
        <is>
          <t>13:10 - 16:10</t>
        </is>
      </c>
      <c r="K340" s="374" t="n"/>
      <c r="L340" s="334" t="n">
        <v>3</v>
      </c>
      <c r="M340" s="157" t="inlineStr"/>
      <c r="N340" s="149" t="inlineStr"/>
      <c r="O340" s="354" t="inlineStr"/>
      <c r="P340" s="251" t="inlineStr"/>
      <c r="Q340" s="251" t="inlineStr"/>
      <c r="R340" s="374" t="inlineStr"/>
      <c r="S340" s="354" t="inlineStr"/>
      <c r="T340" s="21" t="inlineStr"/>
      <c r="U340" s="22" t="inlineStr"/>
      <c r="V340" s="57" t="n"/>
      <c r="W340" s="21" t="n"/>
      <c r="X340" s="21" t="n"/>
    </row>
    <row r="341" ht="22.2" customHeight="1" s="375">
      <c r="A341" s="3" t="n"/>
      <c r="B341" s="313" t="n"/>
      <c r="D341" s="314" t="n"/>
      <c r="E341" s="314" t="n"/>
      <c r="G341" s="334" t="inlineStr"/>
      <c r="H341" s="334" t="inlineStr"/>
      <c r="I341" s="334" t="inlineStr"/>
      <c r="J341" s="334" t="inlineStr"/>
      <c r="K341" s="374" t="n"/>
      <c r="L341" s="334" t="inlineStr"/>
      <c r="M341" s="334" t="inlineStr"/>
      <c r="N341" s="334" t="inlineStr"/>
      <c r="O341" s="362" t="inlineStr"/>
      <c r="P341" s="334" t="inlineStr"/>
      <c r="Q341" s="334" t="inlineStr"/>
      <c r="R341" s="334" t="inlineStr"/>
      <c r="S341" s="354" t="inlineStr"/>
      <c r="T341" t="inlineStr"/>
      <c r="U341" t="inlineStr"/>
    </row>
    <row r="342" ht="22.2" customHeight="1" s="375">
      <c r="A342" s="3" t="n"/>
      <c r="E342" s="3" t="n"/>
      <c r="G342" s="321" t="inlineStr"/>
      <c r="H342" s="321" t="inlineStr"/>
      <c r="I342" s="334" t="inlineStr"/>
      <c r="J342" s="334" t="inlineStr"/>
      <c r="K342" s="374" t="n"/>
      <c r="L342" s="334" t="inlineStr"/>
      <c r="M342" s="334" t="inlineStr"/>
      <c r="N342" s="334" t="inlineStr"/>
      <c r="O342" s="362" t="inlineStr"/>
      <c r="P342" s="334" t="inlineStr"/>
      <c r="Q342" s="334" t="inlineStr"/>
      <c r="R342" s="334" t="inlineStr"/>
      <c r="S342" s="354" t="inlineStr"/>
      <c r="T342" t="inlineStr"/>
      <c r="U342" t="inlineStr"/>
    </row>
    <row r="343" ht="22.2" customHeight="1" s="375">
      <c r="A343" s="3" t="n"/>
      <c r="E343" s="3" t="n"/>
      <c r="G343" s="327" t="inlineStr"/>
      <c r="H343" s="327" t="inlineStr"/>
      <c r="I343" s="336" t="inlineStr"/>
      <c r="J343" s="336" t="inlineStr"/>
      <c r="K343" s="527" t="n"/>
      <c r="L343" s="336" t="inlineStr"/>
      <c r="M343" s="336" t="inlineStr"/>
      <c r="N343" s="336" t="inlineStr"/>
      <c r="O343" s="354" t="inlineStr"/>
      <c r="P343" s="336" t="inlineStr"/>
      <c r="Q343" s="336" t="inlineStr"/>
      <c r="R343" s="336" t="inlineStr"/>
      <c r="S343" s="354" t="inlineStr"/>
      <c r="T343" t="inlineStr"/>
      <c r="U343" t="inlineStr"/>
    </row>
    <row r="344" ht="22.2" customHeight="1" s="375">
      <c r="A344" s="3" t="n"/>
      <c r="E344" s="3" t="n"/>
      <c r="G344" s="533" t="inlineStr">
        <is>
          <t>พฤหัส</t>
        </is>
      </c>
      <c r="H344" s="376" t="inlineStr">
        <is>
          <t>20101-2001</t>
        </is>
      </c>
      <c r="I344" s="376" t="inlineStr">
        <is>
          <t>ชย.1/6 (26)</t>
        </is>
      </c>
      <c r="J344" s="381" t="inlineStr">
        <is>
          <t>08:10 - 12:10</t>
        </is>
      </c>
      <c r="K344" s="135" t="n"/>
      <c r="L344" s="381" t="n">
        <v>2</v>
      </c>
      <c r="M344" s="150" t="n">
        <v>2</v>
      </c>
      <c r="N344" s="148" t="n">
        <v>200</v>
      </c>
      <c r="O344" s="354">
        <f>M344*N344</f>
        <v/>
      </c>
      <c r="P344" s="334" t="inlineStr"/>
      <c r="Q344" s="362" t="inlineStr"/>
      <c r="R344" s="362" t="inlineStr"/>
      <c r="S344" s="354" t="inlineStr"/>
      <c r="T344" t="inlineStr"/>
      <c r="U344" t="inlineStr"/>
    </row>
    <row r="345" ht="22.2" customHeight="1" s="375">
      <c r="A345" s="3" t="n"/>
      <c r="E345" s="3" t="n"/>
      <c r="G345" s="533" t="inlineStr">
        <is>
          <t>17 ก.ย.69</t>
        </is>
      </c>
      <c r="H345" s="376" t="inlineStr">
        <is>
          <t>20000-2004</t>
        </is>
      </c>
      <c r="I345" s="376" t="inlineStr">
        <is>
          <t>ชย.2/1,ชย.2/2 (26)</t>
        </is>
      </c>
      <c r="J345" s="376" t="inlineStr">
        <is>
          <t>13:10 - 15:10</t>
        </is>
      </c>
      <c r="K345" s="374" t="n"/>
      <c r="L345" s="334" t="n">
        <v>2</v>
      </c>
      <c r="M345" s="157" t="inlineStr"/>
      <c r="N345" s="149" t="inlineStr"/>
      <c r="O345" s="354" t="inlineStr"/>
      <c r="P345" s="334" t="inlineStr"/>
      <c r="Q345" s="334" t="inlineStr"/>
      <c r="R345" s="334" t="inlineStr"/>
      <c r="S345" s="354" t="inlineStr"/>
      <c r="T345" t="inlineStr"/>
      <c r="U345" t="inlineStr"/>
    </row>
    <row r="346" ht="22.2" customHeight="1" s="375">
      <c r="A346" s="3" t="n"/>
      <c r="B346" s="313" t="n"/>
      <c r="E346" s="3" t="n"/>
      <c r="G346" s="334" t="inlineStr"/>
      <c r="H346" s="376" t="inlineStr">
        <is>
          <t>20101-2001</t>
        </is>
      </c>
      <c r="I346" s="376" t="inlineStr">
        <is>
          <t>ชย.1/6 (26)</t>
        </is>
      </c>
      <c r="J346" s="376" t="inlineStr">
        <is>
          <t>15:10 - 18:10</t>
        </is>
      </c>
      <c r="K346" s="374" t="n"/>
      <c r="L346" s="376" t="inlineStr"/>
      <c r="M346" s="376" t="n">
        <v>3</v>
      </c>
      <c r="N346" s="370" t="n">
        <v>200</v>
      </c>
      <c r="O346" s="354">
        <f>M346*N346</f>
        <v/>
      </c>
      <c r="P346" s="376" t="inlineStr"/>
      <c r="Q346" s="370" t="inlineStr"/>
      <c r="R346" s="376" t="inlineStr"/>
      <c r="S346" s="354" t="inlineStr"/>
      <c r="T346" t="inlineStr"/>
      <c r="U346" t="inlineStr"/>
    </row>
    <row r="347" ht="22.2" customHeight="1" s="375">
      <c r="A347" s="3" t="n"/>
      <c r="E347" s="3" t="n"/>
      <c r="G347" s="334" t="inlineStr"/>
      <c r="H347" s="63" t="inlineStr"/>
      <c r="I347" s="376" t="inlineStr"/>
      <c r="J347" s="376" t="inlineStr"/>
      <c r="K347" s="374" t="n"/>
      <c r="L347" s="376" t="inlineStr"/>
      <c r="M347" s="376" t="inlineStr"/>
      <c r="N347" s="370" t="inlineStr"/>
      <c r="O347" s="354" t="inlineStr"/>
      <c r="P347" s="376" t="inlineStr"/>
      <c r="Q347" s="370" t="inlineStr"/>
      <c r="R347" s="376" t="inlineStr"/>
      <c r="S347" s="354" t="inlineStr"/>
      <c r="T347" t="inlineStr"/>
      <c r="U347" t="inlineStr"/>
    </row>
    <row r="348" ht="22.2" customHeight="1" s="375">
      <c r="A348" s="3" t="n"/>
      <c r="E348" s="3" t="n"/>
      <c r="G348" s="336" t="inlineStr"/>
      <c r="H348" s="328" t="inlineStr"/>
      <c r="I348" s="336" t="inlineStr"/>
      <c r="J348" s="336" t="inlineStr"/>
      <c r="K348" s="527" t="n"/>
      <c r="L348" s="336" t="inlineStr"/>
      <c r="M348" s="336" t="inlineStr"/>
      <c r="N348" s="336" t="inlineStr"/>
      <c r="O348" s="354" t="inlineStr"/>
      <c r="P348" s="336" t="inlineStr"/>
      <c r="Q348" s="336" t="inlineStr"/>
      <c r="R348" s="336" t="inlineStr"/>
      <c r="S348" s="354" t="inlineStr"/>
      <c r="T348" t="inlineStr"/>
      <c r="U348" t="inlineStr"/>
    </row>
    <row r="349" ht="22.2" customHeight="1" s="375">
      <c r="A349" s="3" t="n"/>
      <c r="E349" s="3" t="n"/>
      <c r="G349" s="533" t="inlineStr">
        <is>
          <t>ศุกร์</t>
        </is>
      </c>
      <c r="H349" s="376" t="inlineStr">
        <is>
          <t>20101-2001</t>
        </is>
      </c>
      <c r="I349" s="376" t="inlineStr">
        <is>
          <t>ชย.1/10 (26)</t>
        </is>
      </c>
      <c r="J349" s="381" t="inlineStr">
        <is>
          <t>08:10 - 12:10</t>
        </is>
      </c>
      <c r="K349" s="135" t="n"/>
      <c r="L349" s="334" t="inlineStr"/>
      <c r="M349" s="334" t="n">
        <v>4</v>
      </c>
      <c r="N349" s="334" t="n">
        <v>200</v>
      </c>
      <c r="O349" s="354">
        <f>M349*N349</f>
        <v/>
      </c>
      <c r="P349" s="381" t="inlineStr"/>
      <c r="Q349" s="367" t="inlineStr"/>
      <c r="R349" s="381" t="inlineStr"/>
      <c r="S349" s="354" t="inlineStr"/>
      <c r="T349" t="inlineStr"/>
      <c r="U349" t="inlineStr"/>
    </row>
    <row r="350" ht="22.2" customHeight="1" s="375">
      <c r="A350" s="3" t="n"/>
      <c r="E350" s="3" t="n"/>
      <c r="G350" s="533" t="inlineStr">
        <is>
          <t>18 ก.ย.69</t>
        </is>
      </c>
      <c r="H350" s="376" t="inlineStr">
        <is>
          <t>20101-2001</t>
        </is>
      </c>
      <c r="I350" s="376" t="inlineStr">
        <is>
          <t>ชย.1/10 (26)</t>
        </is>
      </c>
      <c r="J350" s="376" t="inlineStr">
        <is>
          <t>13:10 - 16:10</t>
        </is>
      </c>
      <c r="K350" s="374" t="n"/>
      <c r="L350" s="334" t="inlineStr"/>
      <c r="M350" s="334" t="n">
        <v>3</v>
      </c>
      <c r="N350" s="334" t="n">
        <v>200</v>
      </c>
      <c r="O350" s="354">
        <f>M350*N350</f>
        <v/>
      </c>
      <c r="P350" s="334" t="inlineStr"/>
      <c r="Q350" s="334" t="inlineStr"/>
      <c r="R350" s="334" t="inlineStr"/>
      <c r="S350" s="354" t="inlineStr"/>
      <c r="T350" t="inlineStr"/>
      <c r="U350" t="inlineStr"/>
    </row>
    <row r="351" ht="22.2" customHeight="1" s="375">
      <c r="A351" s="3" t="n"/>
      <c r="E351" s="3" t="n"/>
      <c r="G351" s="334" t="inlineStr"/>
      <c r="H351" s="334" t="inlineStr"/>
      <c r="I351" s="334" t="inlineStr"/>
      <c r="J351" s="334" t="inlineStr"/>
      <c r="K351" s="374" t="n"/>
      <c r="L351" s="334" t="inlineStr"/>
      <c r="M351" s="334" t="inlineStr"/>
      <c r="N351" s="334" t="inlineStr"/>
      <c r="O351" s="354" t="inlineStr"/>
      <c r="P351" s="334" t="inlineStr"/>
      <c r="Q351" s="334" t="inlineStr"/>
      <c r="R351" s="334" t="inlineStr"/>
      <c r="S351" s="354" t="inlineStr"/>
      <c r="T351" t="inlineStr"/>
      <c r="U351" t="inlineStr"/>
    </row>
    <row r="352" ht="22.2" customHeight="1" s="375">
      <c r="A352" s="3" t="n"/>
      <c r="E352" s="3" t="n"/>
      <c r="G352" s="334" t="inlineStr"/>
      <c r="H352" s="322" t="inlineStr"/>
      <c r="I352" s="334" t="inlineStr"/>
      <c r="J352" s="334" t="inlineStr"/>
      <c r="K352" s="374" t="n"/>
      <c r="L352" s="334" t="inlineStr"/>
      <c r="M352" s="334" t="inlineStr"/>
      <c r="N352" s="334" t="inlineStr"/>
      <c r="O352" s="354" t="inlineStr"/>
      <c r="P352" s="334" t="inlineStr"/>
      <c r="Q352" s="334" t="inlineStr"/>
      <c r="R352" s="334" t="inlineStr"/>
      <c r="S352" s="354" t="inlineStr"/>
      <c r="T352" t="inlineStr"/>
      <c r="U352" t="inlineStr"/>
    </row>
    <row r="353" ht="22.2" customHeight="1" s="375">
      <c r="A353" s="3" t="n"/>
      <c r="E353" s="3" t="n"/>
      <c r="F353" s="3" t="n"/>
      <c r="G353" s="329" t="inlineStr"/>
      <c r="H353" s="328" t="inlineStr"/>
      <c r="I353" s="336" t="inlineStr"/>
      <c r="J353" s="336" t="inlineStr"/>
      <c r="K353" s="527" t="n"/>
      <c r="L353" s="336" t="inlineStr"/>
      <c r="M353" s="336" t="inlineStr"/>
      <c r="N353" s="336" t="inlineStr"/>
      <c r="O353" s="354" t="inlineStr"/>
      <c r="P353" s="336" t="inlineStr"/>
      <c r="Q353" s="336" t="inlineStr"/>
      <c r="R353" s="336" t="inlineStr"/>
      <c r="S353" s="354" t="inlineStr"/>
      <c r="T353" t="inlineStr"/>
      <c r="U353" t="inlineStr"/>
    </row>
    <row r="354" ht="22.2" customHeight="1" s="375">
      <c r="A354" s="3" t="n"/>
      <c r="E354" s="3" t="n"/>
      <c r="F354" s="3" t="n"/>
      <c r="G354" s="16" t="inlineStr">
        <is>
          <t>รวมขั่วโมงที่สอนแยก ภาระงาน/ เกินภาระงาน</t>
        </is>
      </c>
      <c r="H354" s="518" t="n"/>
      <c r="I354" s="518" t="n"/>
      <c r="J354" s="518" t="n"/>
      <c r="K354" s="432" t="n"/>
      <c r="L354" s="16">
        <f>SUM(L329:L353)</f>
        <v/>
      </c>
      <c r="M354" s="16">
        <f>SUM(M329:M353)</f>
        <v/>
      </c>
      <c r="N354" s="16" t="n"/>
      <c r="O354" s="16" t="n"/>
      <c r="P354" s="16">
        <f>SUM(P329:P353)</f>
        <v/>
      </c>
      <c r="Q354" s="16">
        <f>SUM(Q329:Q353)</f>
        <v/>
      </c>
      <c r="R354" s="349" t="n"/>
      <c r="S354" s="16" t="n"/>
    </row>
    <row r="355" ht="22.2" customHeight="1" s="375">
      <c r="A355" s="3" t="n"/>
      <c r="E355" s="3" t="n"/>
      <c r="F355" s="3" t="n"/>
      <c r="G355" s="16" t="inlineStr">
        <is>
          <t>รวมจำนวนชั่วโมงสอนคาบต่อสับดาห์</t>
        </is>
      </c>
      <c r="H355" s="518" t="n"/>
      <c r="I355" s="518" t="n"/>
      <c r="J355" s="518" t="n"/>
      <c r="K355" s="432" t="n"/>
      <c r="L355" s="16">
        <f>L354+M354</f>
        <v/>
      </c>
      <c r="M355" s="432" t="n"/>
      <c r="N355" s="348" t="n"/>
      <c r="O355" s="16" t="n"/>
      <c r="P355" s="16">
        <f>P354+Q354</f>
        <v/>
      </c>
      <c r="Q355" s="432" t="n"/>
      <c r="R355" s="329" t="n"/>
      <c r="S355" s="336" t="n"/>
    </row>
    <row r="356" ht="22.2" customHeight="1" s="375">
      <c r="A356" s="3" t="n"/>
      <c r="E356" s="3" t="n"/>
      <c r="F356" s="3" t="n"/>
      <c r="G356" s="16" t="inlineStr">
        <is>
          <t>จำนวนชั่วโมงสอนตามภาระงานสอน</t>
        </is>
      </c>
      <c r="H356" s="518" t="n"/>
      <c r="I356" s="518" t="n"/>
      <c r="J356" s="518" t="n"/>
      <c r="K356" s="432" t="n"/>
      <c r="L356" s="16" t="n">
        <v>18</v>
      </c>
      <c r="M356" s="432" t="n"/>
      <c r="N356" s="348" t="n"/>
      <c r="O356" s="16" t="n"/>
      <c r="P356" s="16" t="n">
        <v>0</v>
      </c>
      <c r="Q356" s="432" t="n"/>
      <c r="R356" s="322" t="n"/>
      <c r="S356" s="334" t="n"/>
    </row>
    <row r="357" ht="22.2" customHeight="1" s="375" thickBot="1">
      <c r="A357" s="3" t="n"/>
      <c r="E357" s="3" t="n"/>
      <c r="F357" s="14" t="n"/>
      <c r="G357" s="16" t="inlineStr">
        <is>
          <t>จำนวนชั่วโมงบิกเกินภาระงานสอน/ค่าสอน</t>
        </is>
      </c>
      <c r="H357" s="518" t="n"/>
      <c r="I357" s="518" t="n"/>
      <c r="J357" s="518" t="n"/>
      <c r="K357" s="432" t="n"/>
      <c r="L357" s="17" t="n">
        <v>0</v>
      </c>
      <c r="M357" s="17">
        <f>SUM(M329:M353)</f>
        <v/>
      </c>
      <c r="N357" s="17" t="n"/>
      <c r="O357" s="17">
        <f>SUM(O329:O353)</f>
        <v/>
      </c>
      <c r="P357" s="17" t="n">
        <v>0</v>
      </c>
      <c r="Q357" s="17">
        <f>SUM(Q329:Q353)</f>
        <v/>
      </c>
      <c r="R357" s="18" t="n"/>
      <c r="S357" s="17">
        <f>SUM(S329:S353)</f>
        <v/>
      </c>
    </row>
    <row r="358" ht="22.2" customHeight="1" s="375" thickTop="1">
      <c r="A358" s="337" t="inlineStr">
        <is>
          <t>รวมจำนวนหน่วยชั่วโมงที่ขอเบิกค่าสอน ….</t>
        </is>
      </c>
      <c r="B358" s="518" t="n"/>
      <c r="C358" s="518" t="n"/>
      <c r="D358" s="518" t="n"/>
      <c r="E358" s="518" t="n"/>
      <c r="F358" s="518" t="n"/>
      <c r="G358" s="518" t="n"/>
      <c r="H358" s="348">
        <f>M357+Q357</f>
        <v/>
      </c>
      <c r="I358" s="348" t="inlineStr">
        <is>
          <t>….ชั่วโมง</t>
        </is>
      </c>
      <c r="J358" s="348" t="n"/>
      <c r="K358" s="328" t="inlineStr">
        <is>
          <t>ยอดเงินรวม</t>
        </is>
      </c>
      <c r="L358" s="522" t="n"/>
      <c r="M358" s="522" t="n"/>
      <c r="N358" s="328" t="n"/>
      <c r="O358" s="328" t="n"/>
      <c r="P358" s="339">
        <f>S357+O357</f>
        <v/>
      </c>
      <c r="Q358" s="538" t="n"/>
      <c r="R358" s="20" t="n"/>
      <c r="S358" s="19" t="inlineStr">
        <is>
          <t>..บาท</t>
        </is>
      </c>
    </row>
    <row r="359" ht="22.2" customHeight="1" s="375">
      <c r="A359" s="154" t="inlineStr">
        <is>
          <t>ผู้ขอเบิก</t>
        </is>
      </c>
      <c r="B359" s="153" t="n"/>
      <c r="C359" s="153" t="n"/>
      <c r="D359" s="153" t="n"/>
      <c r="E359" s="153" t="n"/>
      <c r="F359" s="153" t="n"/>
      <c r="G359" s="135" t="n"/>
      <c r="H359" s="154" t="inlineStr">
        <is>
          <t>ผู้รับรอง</t>
        </is>
      </c>
      <c r="I359" s="153" t="n"/>
      <c r="J359" s="153" t="n"/>
      <c r="K359" s="153" t="n"/>
      <c r="L359" s="135" t="n"/>
      <c r="M359" s="154" t="inlineStr">
        <is>
          <t>ผู้ตรวจ</t>
        </is>
      </c>
      <c r="N359" s="153" t="n"/>
      <c r="O359" s="153" t="n"/>
      <c r="P359" s="153" t="n"/>
      <c r="Q359" s="153" t="n"/>
      <c r="R359" s="153" t="n"/>
      <c r="S359" s="135" t="n"/>
    </row>
    <row r="360" ht="22.2" customHeight="1" s="375">
      <c r="A360" s="334" t="inlineStr">
        <is>
          <t>ลงชื่อ……………………………………………</t>
        </is>
      </c>
      <c r="G360" s="374" t="n"/>
      <c r="H360" s="334" t="inlineStr">
        <is>
          <t>ลงชื่อ……………………………………………</t>
        </is>
      </c>
      <c r="L360" s="374" t="n"/>
      <c r="M360" s="334" t="inlineStr">
        <is>
          <t>ลงชื่อ……………………………………………</t>
        </is>
      </c>
      <c r="S360" s="374" t="n"/>
    </row>
    <row r="361" ht="22.2" customHeight="1" s="375">
      <c r="A361" s="11" t="inlineStr">
        <is>
          <t>(</t>
        </is>
      </c>
      <c r="B361" s="324">
        <f>B329</f>
        <v/>
      </c>
      <c r="G361" s="326" t="inlineStr">
        <is>
          <t>)</t>
        </is>
      </c>
      <c r="H361" s="324" t="inlineStr">
        <is>
          <t>(</t>
        </is>
      </c>
      <c r="I361" s="340">
        <f>I315</f>
        <v/>
      </c>
      <c r="L361" s="12" t="inlineStr">
        <is>
          <t>)</t>
        </is>
      </c>
      <c r="M361" s="53" t="inlineStr">
        <is>
          <t>(</t>
        </is>
      </c>
      <c r="N361" s="53" t="n"/>
      <c r="O361" s="324">
        <f>O39</f>
        <v/>
      </c>
      <c r="R361" s="25" t="n"/>
      <c r="S361" s="326" t="inlineStr">
        <is>
          <t>)</t>
        </is>
      </c>
    </row>
    <row r="362" ht="22.2" customHeight="1" s="375">
      <c r="A362" s="540" t="inlineStr">
        <is>
          <t xml:space="preserve">                         ตำแหน่ง  ครู</t>
        </is>
      </c>
      <c r="G362" s="374" t="n"/>
      <c r="H362" s="54" t="inlineStr">
        <is>
          <t>ตำแหน่ง หัวหน้าแผนก</t>
        </is>
      </c>
      <c r="L362" s="374" t="n"/>
      <c r="M362" s="54" t="inlineStr">
        <is>
          <t>ตำแหน่ง   ผู้ตรวจสอบ</t>
        </is>
      </c>
      <c r="S362" s="374" t="n"/>
    </row>
    <row r="363" ht="22.2" customHeight="1" s="375">
      <c r="A363" s="55" t="inlineStr">
        <is>
          <t>วันที่ 22 เดือน กันยายน  พ.ศ.2569</t>
        </is>
      </c>
      <c r="B363" s="522" t="n"/>
      <c r="C363" s="522" t="n"/>
      <c r="D363" s="522" t="n"/>
      <c r="E363" s="522" t="n"/>
      <c r="F363" s="522" t="n"/>
      <c r="G363" s="527" t="n"/>
      <c r="H363" s="54">
        <f>A41</f>
        <v/>
      </c>
      <c r="L363" s="374" t="n"/>
      <c r="M363" s="55">
        <f>A41</f>
        <v/>
      </c>
      <c r="N363" s="522" t="n"/>
      <c r="O363" s="522" t="n"/>
      <c r="P363" s="522" t="n"/>
      <c r="Q363" s="522" t="n"/>
      <c r="R363" s="522" t="n"/>
      <c r="S363" s="527" t="n"/>
    </row>
    <row r="364" ht="22.2" customHeight="1" s="375">
      <c r="A364" s="154" t="inlineStr">
        <is>
          <t>ผู้ตรวจ</t>
        </is>
      </c>
      <c r="B364" s="153" t="n"/>
      <c r="C364" s="153" t="n"/>
      <c r="D364" s="153" t="n"/>
      <c r="E364" s="153" t="n"/>
      <c r="F364" s="153" t="n"/>
      <c r="G364" s="153" t="n"/>
      <c r="H364" s="153" t="n"/>
      <c r="I364" s="135" t="n"/>
      <c r="J364" s="154" t="inlineStr">
        <is>
          <t>ผู้เห็นชอบ</t>
        </is>
      </c>
      <c r="K364" s="153" t="n"/>
      <c r="L364" s="153" t="n"/>
      <c r="M364" s="153" t="n"/>
      <c r="N364" s="153" t="n"/>
      <c r="O364" s="153" t="n"/>
      <c r="P364" s="153" t="n"/>
      <c r="Q364" s="153" t="n"/>
      <c r="R364" s="153" t="n"/>
      <c r="S364" s="135" t="n"/>
    </row>
    <row r="365" ht="22.2" customHeight="1" s="375">
      <c r="A365" s="334" t="inlineStr">
        <is>
          <t>ลงชื่อ……………………………………………</t>
        </is>
      </c>
      <c r="I365" s="374" t="n"/>
      <c r="J365" s="334" t="inlineStr">
        <is>
          <t>ลงชื่อ……………………………………………</t>
        </is>
      </c>
      <c r="S365" s="374" t="n"/>
    </row>
    <row r="366" ht="22.2" customHeight="1" s="375">
      <c r="A366" s="11" t="n"/>
      <c r="B366" s="324">
        <f>B44</f>
        <v/>
      </c>
      <c r="I366" s="326" t="n"/>
      <c r="J366" s="25" t="n"/>
      <c r="K366" s="25" t="n"/>
      <c r="L366" s="324">
        <f>L44</f>
        <v/>
      </c>
      <c r="R366" s="25" t="n"/>
      <c r="S366" s="12" t="n"/>
    </row>
    <row r="367" ht="22.2" customHeight="1" s="375">
      <c r="A367" s="54" t="inlineStr">
        <is>
          <t>ตำแหน่งครู  หัวหน้างานพัฒนาหลักสูตร ฯ</t>
        </is>
      </c>
      <c r="I367" s="374" t="n"/>
      <c r="J367" s="54" t="inlineStr">
        <is>
          <t>ตำแหน่ง  รองผู้อำนวยการฝ่ายวิชาการ</t>
        </is>
      </c>
      <c r="S367" s="374" t="n"/>
    </row>
    <row r="368" ht="22.2" customHeight="1" s="375">
      <c r="A368" s="336" t="inlineStr">
        <is>
          <t>วันที่.......เดือน..........................พ.ศ..............</t>
        </is>
      </c>
      <c r="B368" s="522" t="n"/>
      <c r="C368" s="522" t="n"/>
      <c r="D368" s="522" t="n"/>
      <c r="E368" s="522" t="n"/>
      <c r="F368" s="522" t="n"/>
      <c r="G368" s="522" t="n"/>
      <c r="H368" s="522" t="n"/>
      <c r="I368" s="527" t="n"/>
      <c r="J368" s="336" t="inlineStr">
        <is>
          <t>วันที่.......เดือน..........................พ.ศ..............</t>
        </is>
      </c>
      <c r="K368" s="522" t="n"/>
      <c r="L368" s="522" t="n"/>
      <c r="M368" s="522" t="n"/>
      <c r="N368" s="522" t="n"/>
      <c r="O368" s="522" t="n"/>
      <c r="P368" s="522" t="n"/>
      <c r="Q368" s="522" t="n"/>
      <c r="R368" s="522" t="n"/>
      <c r="S368" s="527" t="n"/>
    </row>
    <row r="369" ht="22.2" customHeight="1" s="375">
      <c r="A369" s="379" t="inlineStr">
        <is>
          <t>ใบเบิกจ่ายเงินค่าสอนพิเศษและค่าสอนเกินภาระงานสอนในสถานศึกษา</t>
        </is>
      </c>
      <c r="B369" s="153" t="n"/>
      <c r="C369" s="153" t="n"/>
      <c r="D369" s="153" t="n"/>
      <c r="E369" s="153" t="n"/>
      <c r="F369" s="153" t="n"/>
      <c r="G369" s="153" t="n"/>
      <c r="H369" s="153" t="n"/>
      <c r="I369" s="153" t="n"/>
      <c r="J369" s="153" t="n"/>
      <c r="K369" s="153" t="n"/>
      <c r="L369" s="153" t="n"/>
      <c r="M369" s="153" t="n"/>
      <c r="N369" s="153" t="n"/>
      <c r="O369" s="153" t="n"/>
      <c r="P369" s="153" t="n"/>
      <c r="Q369" s="153" t="n"/>
      <c r="R369" s="153" t="n"/>
      <c r="S369" s="153" t="n"/>
    </row>
    <row r="370" ht="22.2" customHeight="1" s="375">
      <c r="A370" s="365" t="inlineStr">
        <is>
          <t>แผนกวิชาช่างยนต์</t>
        </is>
      </c>
    </row>
    <row r="371" ht="22.2" customHeight="1" s="375">
      <c r="A371" s="366" t="inlineStr">
        <is>
          <t xml:space="preserve">    ระหว่างวันที่</t>
        </is>
      </c>
      <c r="D371" s="365">
        <f>D3</f>
        <v/>
      </c>
      <c r="E371" s="365" t="inlineStr">
        <is>
          <t xml:space="preserve">   เดือน  </t>
        </is>
      </c>
      <c r="F371" s="365">
        <f>F3</f>
        <v/>
      </c>
      <c r="H371" s="365">
        <f>H3</f>
        <v/>
      </c>
      <c r="I371" s="365" t="inlineStr">
        <is>
          <t xml:space="preserve">     ถึง วันที่</t>
        </is>
      </c>
      <c r="J371" s="365">
        <f>J3</f>
        <v/>
      </c>
      <c r="K371" s="365" t="inlineStr">
        <is>
          <t xml:space="preserve">   เดือน </t>
        </is>
      </c>
      <c r="L371" s="365">
        <f>L3</f>
        <v/>
      </c>
      <c r="N371" s="365">
        <f>N3</f>
        <v/>
      </c>
      <c r="P371" s="365" t="n"/>
      <c r="R371" s="365" t="n"/>
    </row>
    <row r="372" ht="22.2" customHeight="1" s="375">
      <c r="G372" s="51" t="inlineStr">
        <is>
          <t>ü</t>
        </is>
      </c>
      <c r="H372" s="351" t="inlineStr">
        <is>
          <t>ครู</t>
        </is>
      </c>
      <c r="I372" s="322" t="inlineStr">
        <is>
          <t>หน้าที่พิเศษ</t>
        </is>
      </c>
      <c r="J372" s="351" t="inlineStr">
        <is>
          <t>ผู้ช่วยงานพัสดุ, โครงการพิเศษและการบริการสังคม</t>
        </is>
      </c>
    </row>
    <row r="373" ht="22.2" customHeight="1" s="375">
      <c r="A373" s="24" t="inlineStr">
        <is>
          <t>ที่</t>
        </is>
      </c>
      <c r="B373" s="24" t="inlineStr">
        <is>
          <t>ชื่อ-สกุล</t>
        </is>
      </c>
      <c r="C373" s="153" t="n"/>
      <c r="D373" s="135" t="n"/>
      <c r="E373" s="15" t="inlineStr">
        <is>
          <t>ตำแหน่ง</t>
        </is>
      </c>
      <c r="F373" s="16" t="inlineStr">
        <is>
          <t>ระยะเวลาที่สอน</t>
        </is>
      </c>
      <c r="G373" s="432" t="n"/>
      <c r="H373" s="16" t="inlineStr">
        <is>
          <t>รหัสวิชา</t>
        </is>
      </c>
      <c r="I373" s="362" t="inlineStr">
        <is>
          <t>ชั้น,แผนก,ห้อง</t>
        </is>
      </c>
      <c r="J373" s="16" t="inlineStr">
        <is>
          <t>เวลาสอน</t>
        </is>
      </c>
      <c r="K373" s="135" t="n"/>
      <c r="L373" s="16" t="inlineStr">
        <is>
          <t>ปวช.(คาบ)</t>
        </is>
      </c>
      <c r="M373" s="432" t="n"/>
      <c r="N373" s="354" t="inlineStr">
        <is>
          <t>เงิน</t>
        </is>
      </c>
      <c r="O373" s="362" t="inlineStr">
        <is>
          <t>ยอดเงิน</t>
        </is>
      </c>
      <c r="P373" s="524" t="inlineStr">
        <is>
          <t>ปวส.(คาบ)</t>
        </is>
      </c>
      <c r="Q373" s="432" t="n"/>
      <c r="R373" s="354" t="inlineStr">
        <is>
          <t>เงิน</t>
        </is>
      </c>
      <c r="S373" s="362" t="inlineStr">
        <is>
          <t>ยอดเงิน</t>
        </is>
      </c>
    </row>
    <row r="374" ht="22.2" customHeight="1" s="375">
      <c r="A374" s="52" t="n"/>
      <c r="B374" s="8" t="n"/>
      <c r="C374" s="9" t="n"/>
      <c r="D374" s="13" t="n"/>
      <c r="E374" s="10" t="n"/>
      <c r="F374" s="336" t="inlineStr">
        <is>
          <t>ส.</t>
        </is>
      </c>
      <c r="G374" s="336" t="inlineStr">
        <is>
          <t>วดป.</t>
        </is>
      </c>
      <c r="H374" s="525" t="n"/>
      <c r="I374" s="137" t="n"/>
      <c r="J374" s="526" t="n"/>
      <c r="K374" s="527" t="n"/>
      <c r="L374" s="336" t="inlineStr">
        <is>
          <t>ใน</t>
        </is>
      </c>
      <c r="M374" s="336" t="inlineStr">
        <is>
          <t>นอก</t>
        </is>
      </c>
      <c r="N374" s="336" t="inlineStr">
        <is>
          <t>ต่อ ชม.</t>
        </is>
      </c>
      <c r="O374" s="336" t="inlineStr">
        <is>
          <t>(บาท)</t>
        </is>
      </c>
      <c r="P374" s="52" t="inlineStr">
        <is>
          <t>ใน</t>
        </is>
      </c>
      <c r="Q374" s="52" t="inlineStr">
        <is>
          <t>นอก</t>
        </is>
      </c>
      <c r="R374" s="336" t="inlineStr">
        <is>
          <t>ต่อ ชม.</t>
        </is>
      </c>
      <c r="S374" s="336" t="inlineStr">
        <is>
          <t>(บาท)</t>
        </is>
      </c>
    </row>
    <row r="375" ht="22.2" customHeight="1" s="375">
      <c r="A375" s="334" t="n">
        <v>9</v>
      </c>
      <c r="B375" s="530">
        <f>AB11</f>
        <v/>
      </c>
      <c r="D375" s="374" t="n"/>
      <c r="E375" s="334" t="inlineStr">
        <is>
          <t>ครู</t>
        </is>
      </c>
      <c r="F375" s="334" t="n">
        <v>1</v>
      </c>
      <c r="G375" s="529" t="inlineStr">
        <is>
          <t>จันทร์</t>
        </is>
      </c>
      <c r="H375" s="376" t="inlineStr">
        <is>
          <t>20143-2011</t>
        </is>
      </c>
      <c r="I375" s="376" t="inlineStr">
        <is>
          <t>ชย.3/8 (26)</t>
        </is>
      </c>
      <c r="J375" s="381" t="inlineStr">
        <is>
          <t>08:10 - 12:10</t>
        </is>
      </c>
      <c r="K375" s="135" t="n"/>
      <c r="L375" s="367" t="n">
        <v>4</v>
      </c>
      <c r="M375" s="381" t="inlineStr"/>
      <c r="N375" s="381" t="inlineStr"/>
      <c r="O375" s="354" t="inlineStr"/>
      <c r="P375" s="381" t="inlineStr"/>
      <c r="Q375" s="367" t="inlineStr"/>
      <c r="R375" s="381" t="inlineStr"/>
      <c r="S375" s="354" t="inlineStr"/>
      <c r="T375" t="inlineStr"/>
      <c r="U375" t="inlineStr"/>
    </row>
    <row r="376" ht="22.2" customHeight="1" s="375">
      <c r="A376" s="3" t="n"/>
      <c r="B376" s="530" t="n"/>
      <c r="D376" s="374" t="n"/>
      <c r="E376" s="334" t="n"/>
      <c r="F376" s="322" t="n"/>
      <c r="G376" s="535" t="inlineStr">
        <is>
          <t>14 ก.ย.69</t>
        </is>
      </c>
      <c r="H376" s="376" t="inlineStr">
        <is>
          <t>20143-2011</t>
        </is>
      </c>
      <c r="I376" s="376" t="inlineStr">
        <is>
          <t>ชย.3/8 (26)</t>
        </is>
      </c>
      <c r="J376" s="334" t="inlineStr">
        <is>
          <t>13:10 - 16:10</t>
        </is>
      </c>
      <c r="K376" s="374" t="n"/>
      <c r="L376" s="334" t="n">
        <v>3</v>
      </c>
      <c r="M376" s="334" t="inlineStr"/>
      <c r="N376" s="334" t="inlineStr"/>
      <c r="O376" s="354" t="inlineStr"/>
      <c r="P376" s="334" t="inlineStr"/>
      <c r="Q376" s="334" t="inlineStr"/>
      <c r="R376" s="334" t="inlineStr"/>
      <c r="S376" s="354" t="inlineStr"/>
      <c r="T376" t="inlineStr"/>
      <c r="U376" t="inlineStr"/>
    </row>
    <row r="377" ht="22.2" customHeight="1" s="375">
      <c r="A377" s="3" t="n"/>
      <c r="B377" s="313" t="n"/>
      <c r="D377" s="314" t="n"/>
      <c r="E377" s="314" t="n"/>
      <c r="F377" s="322" t="n"/>
      <c r="G377" s="321" t="inlineStr"/>
      <c r="H377" s="376" t="inlineStr"/>
      <c r="I377" s="376" t="inlineStr"/>
      <c r="J377" s="334" t="inlineStr"/>
      <c r="K377" s="374" t="n"/>
      <c r="L377" s="334" t="inlineStr"/>
      <c r="M377" s="334" t="inlineStr"/>
      <c r="N377" s="334" t="inlineStr"/>
      <c r="O377" s="354" t="inlineStr"/>
      <c r="P377" s="334" t="inlineStr"/>
      <c r="Q377" s="334" t="inlineStr"/>
      <c r="R377" s="334" t="inlineStr"/>
      <c r="S377" s="354" t="inlineStr"/>
      <c r="T377" t="inlineStr"/>
      <c r="U377" t="inlineStr"/>
    </row>
    <row r="378" ht="22.2" customHeight="1" s="375">
      <c r="A378" s="3" t="n"/>
      <c r="D378" s="314" t="n"/>
      <c r="E378" s="314" t="n"/>
      <c r="F378" s="322" t="n"/>
      <c r="G378" s="321" t="inlineStr"/>
      <c r="H378" s="334" t="inlineStr"/>
      <c r="I378" s="334" t="inlineStr"/>
      <c r="J378" s="334" t="inlineStr"/>
      <c r="K378" s="374" t="n"/>
      <c r="L378" s="334" t="inlineStr"/>
      <c r="M378" s="334" t="inlineStr"/>
      <c r="N378" s="334" t="inlineStr"/>
      <c r="O378" s="354" t="inlineStr"/>
      <c r="P378" s="334" t="inlineStr"/>
      <c r="Q378" s="334" t="inlineStr"/>
      <c r="R378" s="334" t="inlineStr"/>
      <c r="S378" s="354" t="inlineStr"/>
      <c r="T378" t="inlineStr"/>
      <c r="U378" t="inlineStr"/>
    </row>
    <row r="379" ht="22.2" customHeight="1" s="375">
      <c r="A379" s="3" t="n"/>
      <c r="E379" s="3" t="n"/>
      <c r="G379" s="344" t="inlineStr"/>
      <c r="H379" s="336" t="inlineStr"/>
      <c r="I379" s="336" t="inlineStr"/>
      <c r="J379" s="336" t="inlineStr"/>
      <c r="K379" s="527" t="n"/>
      <c r="L379" s="334" t="inlineStr"/>
      <c r="M379" s="334" t="inlineStr"/>
      <c r="N379" s="334" t="inlineStr"/>
      <c r="O379" s="354" t="inlineStr"/>
      <c r="P379" s="334" t="inlineStr"/>
      <c r="Q379" s="334" t="inlineStr"/>
      <c r="R379" s="334" t="inlineStr"/>
      <c r="S379" s="354" t="inlineStr"/>
      <c r="T379" t="inlineStr"/>
      <c r="U379" t="inlineStr"/>
    </row>
    <row r="380" ht="22.2" customHeight="1" s="375">
      <c r="A380" s="3" t="n"/>
      <c r="E380" s="3" t="n"/>
      <c r="G380" s="533" t="inlineStr">
        <is>
          <t>อังคาร</t>
        </is>
      </c>
      <c r="H380" s="376" t="inlineStr">
        <is>
          <t>20143-2018</t>
        </is>
      </c>
      <c r="I380" s="376" t="inlineStr">
        <is>
          <t>ชยฟ.3/1 (26)</t>
        </is>
      </c>
      <c r="J380" s="381" t="inlineStr">
        <is>
          <t>08:10 - 12:10</t>
        </is>
      </c>
      <c r="K380" s="135" t="n"/>
      <c r="L380" s="367" t="n">
        <v>4</v>
      </c>
      <c r="M380" s="381" t="inlineStr"/>
      <c r="N380" s="381" t="inlineStr"/>
      <c r="O380" s="354" t="inlineStr"/>
      <c r="P380" s="381" t="inlineStr"/>
      <c r="Q380" s="367" t="inlineStr"/>
      <c r="R380" s="381" t="inlineStr"/>
      <c r="S380" s="354" t="inlineStr"/>
      <c r="T380" t="inlineStr"/>
      <c r="U380" t="inlineStr"/>
    </row>
    <row r="381" ht="22.2" customHeight="1" s="375">
      <c r="A381" s="3" t="n"/>
      <c r="E381" s="3" t="n"/>
      <c r="G381" s="535" t="inlineStr">
        <is>
          <t>15 ก.ย.69</t>
        </is>
      </c>
      <c r="H381" s="376" t="inlineStr"/>
      <c r="I381" s="376" t="inlineStr"/>
      <c r="J381" s="334" t="inlineStr"/>
      <c r="K381" s="374" t="n"/>
      <c r="L381" s="334" t="inlineStr"/>
      <c r="M381" s="334" t="inlineStr"/>
      <c r="N381" s="334" t="inlineStr"/>
      <c r="O381" s="354" t="inlineStr"/>
      <c r="P381" s="334" t="inlineStr"/>
      <c r="Q381" s="334" t="inlineStr"/>
      <c r="R381" s="334" t="inlineStr"/>
      <c r="S381" s="354" t="inlineStr"/>
      <c r="T381" t="inlineStr"/>
      <c r="U381" t="inlineStr"/>
    </row>
    <row r="382" ht="22.2" customHeight="1" s="375">
      <c r="A382" s="3" t="n"/>
      <c r="B382" s="313" t="n"/>
      <c r="D382" s="314" t="n"/>
      <c r="E382" s="314" t="n"/>
      <c r="G382" s="334" t="inlineStr"/>
      <c r="H382" s="334" t="inlineStr"/>
      <c r="I382" s="334" t="inlineStr"/>
      <c r="J382" s="334" t="inlineStr"/>
      <c r="K382" s="374" t="n"/>
      <c r="L382" s="334" t="inlineStr"/>
      <c r="M382" s="334" t="inlineStr"/>
      <c r="N382" s="334" t="inlineStr"/>
      <c r="O382" s="354" t="inlineStr"/>
      <c r="P382" s="334" t="inlineStr"/>
      <c r="Q382" s="334" t="inlineStr"/>
      <c r="R382" s="334" t="inlineStr"/>
      <c r="S382" s="354" t="inlineStr"/>
      <c r="T382" t="inlineStr"/>
      <c r="U382" t="inlineStr"/>
    </row>
    <row r="383" ht="22.2" customHeight="1" s="375">
      <c r="A383" s="3" t="n"/>
      <c r="D383" s="314" t="n"/>
      <c r="E383" s="314" t="n"/>
      <c r="G383" s="334" t="inlineStr"/>
      <c r="H383" s="322" t="inlineStr"/>
      <c r="I383" s="334" t="inlineStr"/>
      <c r="J383" s="334" t="inlineStr"/>
      <c r="K383" s="374" t="n"/>
      <c r="L383" s="334" t="inlineStr"/>
      <c r="M383" s="334" t="inlineStr"/>
      <c r="N383" s="334" t="inlineStr"/>
      <c r="O383" s="354" t="inlineStr"/>
      <c r="P383" s="334" t="inlineStr"/>
      <c r="Q383" s="334" t="inlineStr"/>
      <c r="R383" s="334" t="inlineStr"/>
      <c r="S383" s="354" t="inlineStr"/>
      <c r="T383" t="inlineStr"/>
      <c r="U383" t="inlineStr"/>
    </row>
    <row r="384" ht="22.2" customHeight="1" s="375">
      <c r="A384" s="3" t="n"/>
      <c r="D384" s="314" t="inlineStr">
        <is>
          <t> </t>
        </is>
      </c>
      <c r="E384" s="314" t="n"/>
      <c r="G384" s="55" t="inlineStr"/>
      <c r="H384" s="336" t="inlineStr"/>
      <c r="I384" s="336" t="inlineStr"/>
      <c r="J384" s="336" t="inlineStr"/>
      <c r="K384" s="527" t="n"/>
      <c r="L384" s="334" t="inlineStr"/>
      <c r="M384" s="334" t="inlineStr"/>
      <c r="N384" s="334" t="inlineStr"/>
      <c r="O384" s="354" t="inlineStr"/>
      <c r="P384" s="334" t="inlineStr"/>
      <c r="Q384" s="334" t="inlineStr"/>
      <c r="R384" s="334" t="inlineStr"/>
      <c r="S384" s="349" t="inlineStr"/>
      <c r="T384" t="inlineStr"/>
      <c r="U384" t="inlineStr"/>
    </row>
    <row r="385" ht="22.2" customHeight="1" s="375">
      <c r="A385" s="3" t="n"/>
      <c r="B385" s="143" t="n"/>
      <c r="C385" s="144" t="n"/>
      <c r="D385" s="145" t="n"/>
      <c r="E385" s="146" t="n"/>
      <c r="G385" s="535" t="inlineStr">
        <is>
          <t>พุธ</t>
        </is>
      </c>
      <c r="H385" s="376" t="inlineStr">
        <is>
          <t>20101-2012</t>
        </is>
      </c>
      <c r="I385" s="376" t="inlineStr">
        <is>
          <t>ชย.2/2 (26)</t>
        </is>
      </c>
      <c r="J385" s="381" t="inlineStr">
        <is>
          <t>08:10 - 12:10</t>
        </is>
      </c>
      <c r="K385" s="135" t="n"/>
      <c r="L385" s="367" t="n">
        <v>4</v>
      </c>
      <c r="M385" s="381" t="inlineStr"/>
      <c r="N385" s="381" t="inlineStr"/>
      <c r="O385" s="354" t="inlineStr"/>
      <c r="P385" s="381" t="inlineStr"/>
      <c r="Q385" s="367" t="inlineStr"/>
      <c r="R385" s="381" t="inlineStr"/>
      <c r="S385" s="349" t="inlineStr"/>
      <c r="T385" s="6" t="inlineStr"/>
      <c r="U385" s="22" t="inlineStr"/>
      <c r="V385" s="57" t="n"/>
      <c r="W385" s="21" t="n"/>
      <c r="X385" s="21" t="n"/>
    </row>
    <row r="386" ht="22.2" customHeight="1" s="375">
      <c r="A386" s="3" t="n"/>
      <c r="B386" s="321" t="n"/>
      <c r="C386" s="322" t="n"/>
      <c r="D386" s="323" t="n"/>
      <c r="E386" s="334" t="n"/>
      <c r="G386" s="535" t="inlineStr">
        <is>
          <t>16 ก.ย.69</t>
        </is>
      </c>
      <c r="H386" s="376" t="inlineStr">
        <is>
          <t>20101-2012</t>
        </is>
      </c>
      <c r="I386" s="376" t="inlineStr">
        <is>
          <t>ชย.2/1 (26)</t>
        </is>
      </c>
      <c r="J386" s="334" t="inlineStr">
        <is>
          <t>13:10 - 17:10</t>
        </is>
      </c>
      <c r="K386" s="374" t="n"/>
      <c r="L386" s="334" t="n">
        <v>4</v>
      </c>
      <c r="M386" s="334" t="inlineStr"/>
      <c r="N386" s="334" t="inlineStr"/>
      <c r="O386" s="354" t="inlineStr"/>
      <c r="P386" s="334" t="inlineStr"/>
      <c r="Q386" s="334" t="inlineStr"/>
      <c r="R386" s="334" t="inlineStr"/>
      <c r="S386" s="349" t="inlineStr"/>
      <c r="T386" s="21" t="inlineStr"/>
      <c r="U386" s="22" t="inlineStr"/>
      <c r="V386" s="57" t="n"/>
      <c r="W386" s="21" t="n"/>
      <c r="X386" s="21" t="n"/>
    </row>
    <row r="387" ht="22.2" customHeight="1" s="375">
      <c r="A387" s="3" t="n"/>
      <c r="B387" s="313" t="n"/>
      <c r="D387" s="314" t="n"/>
      <c r="E387" s="314" t="n"/>
      <c r="G387" s="334" t="inlineStr"/>
      <c r="H387" s="376" t="inlineStr"/>
      <c r="I387" s="376" t="inlineStr"/>
      <c r="J387" s="334" t="inlineStr"/>
      <c r="K387" s="374" t="n"/>
      <c r="L387" s="334" t="inlineStr"/>
      <c r="M387" s="334" t="inlineStr"/>
      <c r="N387" s="334" t="inlineStr"/>
      <c r="O387" s="354" t="inlineStr"/>
      <c r="P387" s="334" t="inlineStr"/>
      <c r="Q387" s="334" t="inlineStr"/>
      <c r="R387" s="334" t="inlineStr"/>
      <c r="S387" s="354" t="inlineStr"/>
      <c r="T387" t="inlineStr"/>
      <c r="U387" t="inlineStr"/>
    </row>
    <row r="388" ht="22.2" customHeight="1" s="375">
      <c r="A388" s="3" t="n"/>
      <c r="D388" s="314" t="n"/>
      <c r="E388" s="314" t="n"/>
      <c r="G388" s="321" t="inlineStr"/>
      <c r="H388" s="321" t="inlineStr"/>
      <c r="I388" s="334" t="inlineStr"/>
      <c r="J388" s="334" t="inlineStr"/>
      <c r="K388" s="374" t="n"/>
      <c r="L388" s="334" t="inlineStr"/>
      <c r="M388" s="334" t="inlineStr"/>
      <c r="N388" s="334" t="inlineStr"/>
      <c r="O388" s="354" t="inlineStr"/>
      <c r="P388" s="334" t="inlineStr"/>
      <c r="Q388" s="334" t="inlineStr"/>
      <c r="R388" s="334" t="inlineStr"/>
      <c r="S388" s="354" t="inlineStr"/>
      <c r="T388" t="inlineStr"/>
      <c r="U388" t="inlineStr"/>
    </row>
    <row r="389" ht="22.2" customHeight="1" s="375">
      <c r="A389" s="3" t="n"/>
      <c r="E389" s="3" t="n"/>
      <c r="G389" s="327" t="inlineStr"/>
      <c r="H389" s="327" t="inlineStr"/>
      <c r="I389" s="336" t="inlineStr"/>
      <c r="J389" s="336" t="inlineStr"/>
      <c r="K389" s="527" t="n"/>
      <c r="L389" s="336" t="inlineStr"/>
      <c r="M389" s="336" t="inlineStr"/>
      <c r="N389" s="336" t="inlineStr"/>
      <c r="O389" s="354" t="inlineStr"/>
      <c r="P389" s="336" t="inlineStr"/>
      <c r="Q389" s="336" t="inlineStr"/>
      <c r="R389" s="336" t="inlineStr"/>
      <c r="S389" s="354" t="inlineStr"/>
      <c r="T389" t="inlineStr"/>
      <c r="U389" t="inlineStr"/>
    </row>
    <row r="390" ht="22.2" customHeight="1" s="375">
      <c r="A390" s="3" t="n"/>
      <c r="E390" s="3" t="n"/>
      <c r="G390" s="533" t="inlineStr">
        <is>
          <t>พฤหัส</t>
        </is>
      </c>
      <c r="H390" s="376" t="inlineStr">
        <is>
          <t>20101-2012</t>
        </is>
      </c>
      <c r="I390" s="376" t="inlineStr">
        <is>
          <t>ชย.2/4 (26)</t>
        </is>
      </c>
      <c r="J390" s="381" t="inlineStr">
        <is>
          <t>08:10 - 12:10</t>
        </is>
      </c>
      <c r="K390" s="135" t="n"/>
      <c r="L390" s="367" t="inlineStr"/>
      <c r="M390" s="381" t="n">
        <v>4</v>
      </c>
      <c r="N390" s="376" t="n">
        <v>200</v>
      </c>
      <c r="O390" s="354">
        <f>M390*N390</f>
        <v/>
      </c>
      <c r="P390" s="156" t="inlineStr"/>
      <c r="Q390" s="156" t="inlineStr"/>
      <c r="R390" s="156" t="inlineStr"/>
      <c r="S390" s="354" t="inlineStr"/>
      <c r="T390" s="23" t="inlineStr"/>
      <c r="U390" s="23" t="inlineStr"/>
      <c r="V390" s="56" t="n"/>
      <c r="W390" s="23" t="n"/>
      <c r="X390" s="23" t="n"/>
    </row>
    <row r="391" ht="22.2" customHeight="1" s="375">
      <c r="A391" s="3" t="n"/>
      <c r="E391" s="3" t="n"/>
      <c r="G391" s="533" t="inlineStr">
        <is>
          <t>17 ก.ย.69</t>
        </is>
      </c>
      <c r="H391" s="376" t="inlineStr">
        <is>
          <t>20000-2002</t>
        </is>
      </c>
      <c r="I391" s="376" t="inlineStr">
        <is>
          <t>ชย.1/10,ชย.1/9 (26)</t>
        </is>
      </c>
      <c r="J391" s="334" t="inlineStr">
        <is>
          <t>13:10 - 15:10</t>
        </is>
      </c>
      <c r="K391" s="374" t="n"/>
      <c r="L391" s="334" t="n">
        <v>2</v>
      </c>
      <c r="M391" s="334" t="inlineStr"/>
      <c r="N391" s="334" t="inlineStr"/>
      <c r="O391" s="354" t="inlineStr"/>
      <c r="P391" s="3" t="inlineStr"/>
      <c r="Q391" s="3" t="inlineStr"/>
      <c r="R391" s="3" t="inlineStr"/>
      <c r="S391" s="354" t="inlineStr"/>
      <c r="T391" s="23" t="inlineStr"/>
      <c r="U391" s="23" t="inlineStr"/>
      <c r="V391" s="56" t="n"/>
      <c r="W391" s="23" t="n"/>
      <c r="X391" s="23" t="n"/>
    </row>
    <row r="392" ht="22.2" customHeight="1" s="375">
      <c r="A392" s="3" t="n"/>
      <c r="B392" s="313" t="n"/>
      <c r="E392" s="3" t="n"/>
      <c r="G392" s="334" t="inlineStr"/>
      <c r="H392" s="376" t="inlineStr">
        <is>
          <t>20101-2012</t>
        </is>
      </c>
      <c r="I392" s="376" t="inlineStr">
        <is>
          <t>ชย.2/3 (26)</t>
        </is>
      </c>
      <c r="J392" s="334" t="inlineStr">
        <is>
          <t>15:10 - 19:10</t>
        </is>
      </c>
      <c r="K392" s="374" t="n"/>
      <c r="L392" s="334" t="inlineStr"/>
      <c r="M392" s="334" t="n">
        <v>4</v>
      </c>
      <c r="N392" s="334" t="n">
        <v>200</v>
      </c>
      <c r="O392" s="354">
        <f>M392*N392</f>
        <v/>
      </c>
      <c r="P392" s="376" t="inlineStr"/>
      <c r="Q392" s="376" t="inlineStr"/>
      <c r="R392" s="376" t="inlineStr"/>
      <c r="S392" s="354" t="inlineStr"/>
      <c r="T392" t="inlineStr"/>
      <c r="U392" t="inlineStr"/>
    </row>
    <row r="393" ht="22.2" customHeight="1" s="375">
      <c r="A393" s="3" t="n"/>
      <c r="E393" s="3" t="n"/>
      <c r="G393" s="334" t="inlineStr"/>
      <c r="H393" s="334" t="inlineStr"/>
      <c r="I393" s="334" t="inlineStr"/>
      <c r="J393" s="334" t="inlineStr"/>
      <c r="K393" s="374" t="n"/>
      <c r="L393" s="334" t="inlineStr"/>
      <c r="M393" s="334" t="inlineStr"/>
      <c r="N393" s="334" t="inlineStr"/>
      <c r="O393" s="354" t="inlineStr"/>
      <c r="P393" s="334" t="inlineStr"/>
      <c r="Q393" s="334" t="inlineStr"/>
      <c r="R393" s="334" t="inlineStr"/>
      <c r="S393" s="354" t="inlineStr"/>
      <c r="T393" t="inlineStr"/>
      <c r="U393" t="inlineStr"/>
    </row>
    <row r="394" ht="22.2" customHeight="1" s="375">
      <c r="A394" s="3" t="n"/>
      <c r="E394" s="3" t="n"/>
      <c r="G394" s="336" t="inlineStr"/>
      <c r="H394" s="328" t="inlineStr"/>
      <c r="I394" s="336" t="inlineStr"/>
      <c r="J394" s="336" t="inlineStr"/>
      <c r="K394" s="527" t="n"/>
      <c r="L394" s="336" t="inlineStr"/>
      <c r="M394" s="336" t="inlineStr"/>
      <c r="N394" s="336" t="inlineStr"/>
      <c r="O394" s="354" t="inlineStr"/>
      <c r="P394" s="336" t="inlineStr"/>
      <c r="Q394" s="336" t="inlineStr"/>
      <c r="R394" s="336" t="inlineStr"/>
      <c r="S394" s="354" t="inlineStr"/>
      <c r="T394" t="inlineStr"/>
      <c r="U394" t="inlineStr"/>
    </row>
    <row r="395" ht="22.2" customHeight="1" s="375">
      <c r="A395" s="3" t="n"/>
      <c r="E395" s="3" t="n"/>
      <c r="G395" s="533" t="inlineStr">
        <is>
          <t>ศุกร์</t>
        </is>
      </c>
      <c r="H395" s="376" t="inlineStr">
        <is>
          <t>20101-2012</t>
        </is>
      </c>
      <c r="I395" s="376" t="inlineStr">
        <is>
          <t>ชยฟ.3/1 (26)</t>
        </is>
      </c>
      <c r="J395" s="381" t="inlineStr">
        <is>
          <t>13:10 - 17:10</t>
        </is>
      </c>
      <c r="K395" s="135" t="n"/>
      <c r="L395" s="334" t="inlineStr"/>
      <c r="M395" s="381" t="n">
        <v>4</v>
      </c>
      <c r="N395" s="381" t="n">
        <v>200</v>
      </c>
      <c r="O395" s="354">
        <f>M395*N395</f>
        <v/>
      </c>
      <c r="P395" s="381" t="inlineStr"/>
      <c r="Q395" s="367" t="inlineStr"/>
      <c r="R395" s="381" t="inlineStr"/>
      <c r="S395" s="354" t="inlineStr"/>
      <c r="T395" t="inlineStr"/>
      <c r="U395" t="inlineStr"/>
    </row>
    <row r="396" ht="22.2" customHeight="1" s="375">
      <c r="A396" s="3" t="n"/>
      <c r="E396" s="3" t="n"/>
      <c r="G396" s="533" t="inlineStr">
        <is>
          <t>18 ก.ย.69</t>
        </is>
      </c>
      <c r="H396" s="376" t="inlineStr"/>
      <c r="I396" s="376" t="inlineStr"/>
      <c r="J396" s="334" t="inlineStr"/>
      <c r="K396" s="374" t="n"/>
      <c r="L396" s="334" t="inlineStr"/>
      <c r="M396" s="334" t="inlineStr"/>
      <c r="N396" s="334" t="inlineStr"/>
      <c r="O396" s="354" t="inlineStr"/>
      <c r="P396" s="334" t="inlineStr"/>
      <c r="Q396" s="334" t="inlineStr"/>
      <c r="R396" s="334" t="inlineStr"/>
      <c r="S396" s="354" t="inlineStr"/>
      <c r="T396" t="inlineStr"/>
      <c r="U396" t="inlineStr"/>
    </row>
    <row r="397" ht="22.2" customHeight="1" s="375">
      <c r="A397" s="3" t="n"/>
      <c r="E397" s="3" t="n"/>
      <c r="G397" s="334" t="inlineStr"/>
      <c r="H397" s="334" t="inlineStr"/>
      <c r="I397" s="334" t="inlineStr"/>
      <c r="J397" s="334" t="inlineStr"/>
      <c r="K397" s="374" t="n"/>
      <c r="L397" s="334" t="inlineStr"/>
      <c r="M397" s="334" t="inlineStr"/>
      <c r="N397" s="334" t="inlineStr"/>
      <c r="O397" s="354" t="inlineStr"/>
      <c r="P397" s="334" t="inlineStr"/>
      <c r="Q397" s="334" t="inlineStr"/>
      <c r="R397" s="334" t="inlineStr"/>
      <c r="S397" s="354" t="inlineStr"/>
      <c r="T397" t="inlineStr"/>
      <c r="U397" t="inlineStr"/>
    </row>
    <row r="398" ht="22.2" customHeight="1" s="375">
      <c r="A398" s="3" t="n"/>
      <c r="E398" s="3" t="n"/>
      <c r="F398" s="3" t="n"/>
      <c r="G398" s="323" t="inlineStr"/>
      <c r="H398" s="322" t="inlineStr"/>
      <c r="I398" s="334" t="inlineStr"/>
      <c r="J398" s="334" t="inlineStr"/>
      <c r="K398" s="374" t="n"/>
      <c r="L398" s="334" t="inlineStr"/>
      <c r="M398" s="334" t="inlineStr"/>
      <c r="N398" s="334" t="inlineStr"/>
      <c r="O398" s="354" t="inlineStr"/>
      <c r="P398" s="334" t="inlineStr"/>
      <c r="Q398" s="334" t="inlineStr"/>
      <c r="R398" s="334" t="inlineStr"/>
      <c r="S398" s="354" t="inlineStr"/>
      <c r="T398" t="inlineStr"/>
      <c r="U398" t="inlineStr"/>
    </row>
    <row r="399" ht="22.2" customHeight="1" s="375">
      <c r="A399" s="3" t="n"/>
      <c r="E399" s="3" t="n"/>
      <c r="F399" s="3" t="n"/>
      <c r="G399" s="329" t="inlineStr"/>
      <c r="H399" s="328" t="inlineStr"/>
      <c r="I399" s="336" t="inlineStr"/>
      <c r="J399" s="336" t="inlineStr"/>
      <c r="K399" s="527" t="n"/>
      <c r="L399" s="336" t="inlineStr"/>
      <c r="M399" s="336" t="inlineStr"/>
      <c r="N399" s="336" t="inlineStr"/>
      <c r="O399" s="354" t="inlineStr"/>
      <c r="P399" s="336" t="inlineStr"/>
      <c r="Q399" s="336" t="inlineStr"/>
      <c r="R399" s="336" t="inlineStr"/>
      <c r="S399" s="354" t="inlineStr"/>
      <c r="T399" t="inlineStr"/>
      <c r="U399" t="inlineStr"/>
    </row>
    <row r="400" ht="22.2" customHeight="1" s="375">
      <c r="A400" s="3" t="n"/>
      <c r="E400" s="3" t="n"/>
      <c r="F400" s="3" t="n"/>
      <c r="G400" s="16" t="inlineStr">
        <is>
          <t>รวมขั่วโมงที่สอนแยก ภาระงาน/ เกินภาระงาน</t>
        </is>
      </c>
      <c r="H400" s="518" t="n"/>
      <c r="I400" s="518" t="n"/>
      <c r="J400" s="518" t="n"/>
      <c r="K400" s="432" t="n"/>
      <c r="L400" s="16">
        <f>SUM(L375:L399)</f>
        <v/>
      </c>
      <c r="M400" s="16">
        <f>SUM(M375:M399)</f>
        <v/>
      </c>
      <c r="N400" s="16" t="n"/>
      <c r="O400" s="16" t="n"/>
      <c r="P400" s="16">
        <f>SUM(P375:P399)</f>
        <v/>
      </c>
      <c r="Q400" s="16">
        <f>SUM(Q375:Q399)</f>
        <v/>
      </c>
      <c r="R400" s="349" t="n"/>
      <c r="S400" s="16" t="n"/>
    </row>
    <row r="401" ht="22.2" customHeight="1" s="375">
      <c r="A401" s="3" t="n"/>
      <c r="E401" s="3" t="n"/>
      <c r="F401" s="3" t="n"/>
      <c r="G401" s="16" t="inlineStr">
        <is>
          <t>รวมจำนวนชั่วโมงสอนคาบต่อสับดาห์</t>
        </is>
      </c>
      <c r="H401" s="518" t="n"/>
      <c r="I401" s="518" t="n"/>
      <c r="J401" s="518" t="n"/>
      <c r="K401" s="432" t="n"/>
      <c r="L401" s="16">
        <f>L400+M400</f>
        <v/>
      </c>
      <c r="M401" s="432" t="n"/>
      <c r="N401" s="348" t="n"/>
      <c r="O401" s="16" t="n"/>
      <c r="P401" s="16">
        <f>P400+Q400</f>
        <v/>
      </c>
      <c r="Q401" s="432" t="n"/>
      <c r="R401" s="329" t="n"/>
      <c r="S401" s="336" t="n"/>
    </row>
    <row r="402" ht="22.2" customHeight="1" s="375">
      <c r="A402" s="3" t="n"/>
      <c r="E402" s="3" t="n"/>
      <c r="F402" s="3" t="n"/>
      <c r="G402" s="16" t="inlineStr">
        <is>
          <t>จำนวนชั่วโมงสอนตามภาระงานสอน</t>
        </is>
      </c>
      <c r="H402" s="518" t="n"/>
      <c r="I402" s="518" t="n"/>
      <c r="J402" s="518" t="n"/>
      <c r="K402" s="432" t="n"/>
      <c r="L402" s="131" t="n">
        <v>18</v>
      </c>
      <c r="M402" s="432" t="n"/>
      <c r="N402" s="16" t="n"/>
      <c r="O402" s="348" t="n"/>
      <c r="P402" s="131" t="n">
        <v>0</v>
      </c>
      <c r="Q402" s="432" t="n"/>
      <c r="R402" s="322" t="n"/>
      <c r="S402" s="334" t="n"/>
    </row>
    <row r="403" ht="22.2" customHeight="1" s="375" thickBot="1">
      <c r="A403" s="3" t="n"/>
      <c r="E403" s="3" t="n"/>
      <c r="F403" s="14" t="n"/>
      <c r="G403" s="16" t="inlineStr">
        <is>
          <t>จำนวนชั่วโมงบิกเกินภาระงานสอน/ค่าสอน</t>
        </is>
      </c>
      <c r="H403" s="518" t="n"/>
      <c r="I403" s="518" t="n"/>
      <c r="J403" s="518" t="n"/>
      <c r="K403" s="432" t="n"/>
      <c r="L403" s="17" t="n">
        <v>0</v>
      </c>
      <c r="M403" s="17">
        <f>SUM(M375:M399)</f>
        <v/>
      </c>
      <c r="N403" s="17" t="n"/>
      <c r="O403" s="17">
        <f>SUM(O375:O399)</f>
        <v/>
      </c>
      <c r="P403" s="17" t="n">
        <v>0</v>
      </c>
      <c r="Q403" s="17">
        <f>SUM(Q375:Q399)</f>
        <v/>
      </c>
      <c r="R403" s="18" t="n"/>
      <c r="S403" s="17">
        <f>SUM(S375:S399)</f>
        <v/>
      </c>
    </row>
    <row r="404" ht="22.2" customHeight="1" s="375" thickTop="1">
      <c r="A404" s="337" t="inlineStr">
        <is>
          <t>รวมจำนวนหน่วยชั่วโมงที่ขอเบิกค่าสอน ….</t>
        </is>
      </c>
      <c r="B404" s="518" t="n"/>
      <c r="C404" s="518" t="n"/>
      <c r="D404" s="518" t="n"/>
      <c r="E404" s="518" t="n"/>
      <c r="F404" s="518" t="n"/>
      <c r="G404" s="518" t="n"/>
      <c r="H404" s="348">
        <f>M403+Q403</f>
        <v/>
      </c>
      <c r="I404" s="348" t="inlineStr">
        <is>
          <t>….ชั่วโมง</t>
        </is>
      </c>
      <c r="J404" s="348" t="n"/>
      <c r="K404" s="328" t="inlineStr">
        <is>
          <t>ยอดเงินรวม</t>
        </is>
      </c>
      <c r="L404" s="522" t="n"/>
      <c r="M404" s="522" t="n"/>
      <c r="N404" s="328" t="n"/>
      <c r="O404" s="328" t="n"/>
      <c r="P404" s="339">
        <f>S403+O403</f>
        <v/>
      </c>
      <c r="Q404" s="538" t="n"/>
      <c r="R404" s="20" t="n"/>
      <c r="S404" s="19" t="inlineStr">
        <is>
          <t>..บาท</t>
        </is>
      </c>
    </row>
    <row r="405" ht="22.2" customHeight="1" s="375">
      <c r="A405" s="154" t="inlineStr">
        <is>
          <t>ผู้ขอเบิก</t>
        </is>
      </c>
      <c r="B405" s="153" t="n"/>
      <c r="C405" s="153" t="n"/>
      <c r="D405" s="153" t="n"/>
      <c r="E405" s="153" t="n"/>
      <c r="F405" s="153" t="n"/>
      <c r="G405" s="135" t="n"/>
      <c r="H405" s="154" t="inlineStr">
        <is>
          <t>ผู้รับรอง</t>
        </is>
      </c>
      <c r="I405" s="153" t="n"/>
      <c r="J405" s="153" t="n"/>
      <c r="K405" s="153" t="n"/>
      <c r="L405" s="135" t="n"/>
      <c r="M405" s="154" t="inlineStr">
        <is>
          <t>ผู้ตรวจ</t>
        </is>
      </c>
      <c r="N405" s="153" t="n"/>
      <c r="O405" s="153" t="n"/>
      <c r="P405" s="153" t="n"/>
      <c r="Q405" s="153" t="n"/>
      <c r="R405" s="153" t="n"/>
      <c r="S405" s="135" t="n"/>
    </row>
    <row r="406" ht="22.2" customHeight="1" s="375">
      <c r="A406" s="334" t="inlineStr">
        <is>
          <t>ลงชื่อ……………………………………………</t>
        </is>
      </c>
      <c r="G406" s="374" t="n"/>
      <c r="H406" s="334" t="inlineStr">
        <is>
          <t>ลงชื่อ……………………………………………</t>
        </is>
      </c>
      <c r="L406" s="374" t="n"/>
      <c r="M406" s="334" t="inlineStr">
        <is>
          <t>ลงชื่อ……………………………………………</t>
        </is>
      </c>
      <c r="S406" s="374" t="n"/>
    </row>
    <row r="407" ht="22.2" customHeight="1" s="375">
      <c r="A407" s="11" t="inlineStr">
        <is>
          <t>(</t>
        </is>
      </c>
      <c r="B407" s="324">
        <f>B375</f>
        <v/>
      </c>
      <c r="G407" s="326" t="inlineStr">
        <is>
          <t>)</t>
        </is>
      </c>
      <c r="H407" s="324" t="inlineStr">
        <is>
          <t>(</t>
        </is>
      </c>
      <c r="I407" s="340">
        <f>I361</f>
        <v/>
      </c>
      <c r="L407" s="12" t="inlineStr">
        <is>
          <t>)</t>
        </is>
      </c>
      <c r="M407" s="53" t="inlineStr">
        <is>
          <t>(</t>
        </is>
      </c>
      <c r="N407" s="53" t="n"/>
      <c r="O407" s="324">
        <f>O39</f>
        <v/>
      </c>
      <c r="R407" s="25" t="n"/>
      <c r="S407" s="326" t="inlineStr">
        <is>
          <t>)</t>
        </is>
      </c>
    </row>
    <row r="408" ht="22.2" customHeight="1" s="375">
      <c r="A408" s="540" t="inlineStr">
        <is>
          <t xml:space="preserve">                         ตำแหน่ง  ครู</t>
        </is>
      </c>
      <c r="G408" s="374" t="n"/>
      <c r="H408" s="54" t="inlineStr">
        <is>
          <t>ตำแหน่ง หัวหน้าแผนก</t>
        </is>
      </c>
      <c r="L408" s="374" t="n"/>
      <c r="M408" s="54" t="inlineStr">
        <is>
          <t>ตำแหน่ง   ผู้ตรวจสอบ</t>
        </is>
      </c>
      <c r="S408" s="374" t="n"/>
    </row>
    <row r="409" ht="22.2" customHeight="1" s="375">
      <c r="A409" s="55" t="inlineStr">
        <is>
          <t>วันที่ 22 เดือน กันยายน  พ.ศ.2569</t>
        </is>
      </c>
      <c r="B409" s="522" t="n"/>
      <c r="C409" s="522" t="n"/>
      <c r="D409" s="522" t="n"/>
      <c r="E409" s="522" t="n"/>
      <c r="F409" s="522" t="n"/>
      <c r="G409" s="527" t="n"/>
      <c r="H409" s="54">
        <f>A41</f>
        <v/>
      </c>
      <c r="L409" s="374" t="n"/>
      <c r="M409" s="55">
        <f>A41</f>
        <v/>
      </c>
      <c r="N409" s="522" t="n"/>
      <c r="O409" s="522" t="n"/>
      <c r="P409" s="522" t="n"/>
      <c r="Q409" s="522" t="n"/>
      <c r="R409" s="522" t="n"/>
      <c r="S409" s="527" t="n"/>
    </row>
    <row r="410" ht="22.2" customHeight="1" s="375">
      <c r="A410" s="154" t="inlineStr">
        <is>
          <t>ผู้ตรวจ</t>
        </is>
      </c>
      <c r="B410" s="153" t="n"/>
      <c r="C410" s="153" t="n"/>
      <c r="D410" s="153" t="n"/>
      <c r="E410" s="153" t="n"/>
      <c r="F410" s="153" t="n"/>
      <c r="G410" s="153" t="n"/>
      <c r="H410" s="153" t="n"/>
      <c r="I410" s="135" t="n"/>
      <c r="J410" s="154" t="inlineStr">
        <is>
          <t>ผู้เห็นชอบ</t>
        </is>
      </c>
      <c r="K410" s="153" t="n"/>
      <c r="L410" s="153" t="n"/>
      <c r="M410" s="153" t="n"/>
      <c r="N410" s="153" t="n"/>
      <c r="O410" s="153" t="n"/>
      <c r="P410" s="153" t="n"/>
      <c r="Q410" s="153" t="n"/>
      <c r="R410" s="153" t="n"/>
      <c r="S410" s="135" t="n"/>
    </row>
    <row r="411" ht="22.2" customHeight="1" s="375">
      <c r="A411" s="334" t="inlineStr">
        <is>
          <t>ลงชื่อ……………………………………………</t>
        </is>
      </c>
      <c r="I411" s="374" t="n"/>
      <c r="J411" s="334" t="inlineStr">
        <is>
          <t>ลงชื่อ……………………………………………</t>
        </is>
      </c>
      <c r="S411" s="374" t="n"/>
    </row>
    <row r="412" ht="22.2" customHeight="1" s="375">
      <c r="A412" s="11" t="n"/>
      <c r="B412" s="324">
        <f>B44</f>
        <v/>
      </c>
      <c r="I412" s="326" t="n"/>
      <c r="J412" s="25" t="n"/>
      <c r="K412" s="25" t="n"/>
      <c r="L412" s="324">
        <f>L44</f>
        <v/>
      </c>
      <c r="R412" s="25" t="n"/>
      <c r="S412" s="12" t="n"/>
    </row>
    <row r="413" ht="22.2" customHeight="1" s="375">
      <c r="A413" s="54" t="inlineStr">
        <is>
          <t>ตำแหน่งครู  หัวหน้างานพัฒนาหลักสูตร ฯ</t>
        </is>
      </c>
      <c r="I413" s="374" t="n"/>
      <c r="J413" s="54" t="inlineStr">
        <is>
          <t>ตำแหน่ง  รองผู้อำนวยการฝ่ายวิชาการ</t>
        </is>
      </c>
      <c r="S413" s="374" t="n"/>
    </row>
    <row r="414" ht="22.2" customHeight="1" s="375">
      <c r="A414" s="336" t="inlineStr">
        <is>
          <t>วันที่.......เดือน..........................พ.ศ..............</t>
        </is>
      </c>
      <c r="B414" s="522" t="n"/>
      <c r="C414" s="522" t="n"/>
      <c r="D414" s="522" t="n"/>
      <c r="E414" s="522" t="n"/>
      <c r="F414" s="522" t="n"/>
      <c r="G414" s="522" t="n"/>
      <c r="H414" s="522" t="n"/>
      <c r="I414" s="527" t="n"/>
      <c r="J414" s="336" t="inlineStr">
        <is>
          <t>วันที่.......เดือน..........................พ.ศ..............</t>
        </is>
      </c>
      <c r="K414" s="522" t="n"/>
      <c r="L414" s="522" t="n"/>
      <c r="M414" s="522" t="n"/>
      <c r="N414" s="522" t="n"/>
      <c r="O414" s="522" t="n"/>
      <c r="P414" s="522" t="n"/>
      <c r="Q414" s="522" t="n"/>
      <c r="R414" s="522" t="n"/>
      <c r="S414" s="527" t="n"/>
    </row>
    <row r="415" ht="22.2" customHeight="1" s="375">
      <c r="A415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75">
      <c r="A416" s="365" t="inlineStr">
        <is>
          <t>แผนกวิชาช่างยนต์</t>
        </is>
      </c>
    </row>
    <row r="417" ht="22.2" customHeight="1" s="375">
      <c r="A417" s="366" t="inlineStr">
        <is>
          <t xml:space="preserve">    ระหว่างวันที่</t>
        </is>
      </c>
      <c r="D417" s="365">
        <f>D3</f>
        <v/>
      </c>
      <c r="E417" s="365" t="inlineStr">
        <is>
          <t xml:space="preserve">   เดือน  </t>
        </is>
      </c>
      <c r="F417" s="365">
        <f>F3</f>
        <v/>
      </c>
      <c r="H417" s="365">
        <f>H3</f>
        <v/>
      </c>
      <c r="I417" s="365" t="inlineStr">
        <is>
          <t xml:space="preserve">     ถึง วันที่</t>
        </is>
      </c>
      <c r="J417" s="365">
        <f>J3</f>
        <v/>
      </c>
      <c r="K417" s="365" t="inlineStr">
        <is>
          <t xml:space="preserve">   เดือน </t>
        </is>
      </c>
      <c r="L417" s="365">
        <f>L3</f>
        <v/>
      </c>
      <c r="N417" s="365">
        <f>N3</f>
        <v/>
      </c>
      <c r="P417" s="365" t="n"/>
      <c r="R417" s="365" t="n"/>
    </row>
    <row r="418" ht="22.2" customHeight="1" s="375">
      <c r="G418" s="51" t="inlineStr">
        <is>
          <t>ü</t>
        </is>
      </c>
      <c r="H418" s="351" t="inlineStr">
        <is>
          <t>ครู</t>
        </is>
      </c>
      <c r="I418" s="322" t="inlineStr">
        <is>
          <t>หน้าที่พิเศษ</t>
        </is>
      </c>
      <c r="J418" t="inlineStr">
        <is>
          <t>ผู้ช่วยงานส่งเสริมการวิจัย นวัตกรรม และสิ่งประดิษฐ์, ปกครองและความปลอดภัยนักเรียน</t>
        </is>
      </c>
    </row>
    <row r="419" ht="22.2" customHeight="1" s="375">
      <c r="A419" s="24" t="inlineStr">
        <is>
          <t>ที่</t>
        </is>
      </c>
      <c r="B419" s="24" t="inlineStr">
        <is>
          <t>ชื่อ-สกุล</t>
        </is>
      </c>
      <c r="C419" s="153" t="n"/>
      <c r="D419" s="135" t="n"/>
      <c r="E419" s="15" t="inlineStr">
        <is>
          <t>ตำแหน่ง</t>
        </is>
      </c>
      <c r="F419" s="16" t="inlineStr">
        <is>
          <t>ระยะเวลาที่สอน</t>
        </is>
      </c>
      <c r="G419" s="432" t="n"/>
      <c r="H419" s="16" t="inlineStr">
        <is>
          <t>รหัสวิชา</t>
        </is>
      </c>
      <c r="I419" s="362" t="inlineStr">
        <is>
          <t>ชั้น,แผนก,ห้อง</t>
        </is>
      </c>
      <c r="J419" s="16" t="inlineStr">
        <is>
          <t>เวลาสอน</t>
        </is>
      </c>
      <c r="K419" s="135" t="n"/>
      <c r="L419" s="16" t="inlineStr">
        <is>
          <t>ปวช.(คาบ)</t>
        </is>
      </c>
      <c r="M419" s="432" t="n"/>
      <c r="N419" s="354" t="inlineStr">
        <is>
          <t>เงิน</t>
        </is>
      </c>
      <c r="O419" s="362" t="inlineStr">
        <is>
          <t>ยอดเงิน</t>
        </is>
      </c>
      <c r="P419" s="524" t="inlineStr">
        <is>
          <t>ปวส.(คาบ)</t>
        </is>
      </c>
      <c r="Q419" s="432" t="n"/>
      <c r="R419" s="354" t="inlineStr">
        <is>
          <t>เงิน</t>
        </is>
      </c>
      <c r="S419" s="362" t="inlineStr">
        <is>
          <t>ยอดเงิน</t>
        </is>
      </c>
    </row>
    <row r="420" ht="22.2" customHeight="1" s="375">
      <c r="A420" s="52" t="n"/>
      <c r="B420" s="8" t="n"/>
      <c r="C420" s="9" t="n"/>
      <c r="D420" s="13" t="n"/>
      <c r="E420" s="10" t="n"/>
      <c r="F420" s="336" t="inlineStr">
        <is>
          <t>ส.</t>
        </is>
      </c>
      <c r="G420" s="336" t="inlineStr">
        <is>
          <t>วดป.</t>
        </is>
      </c>
      <c r="H420" s="525" t="n"/>
      <c r="I420" s="336" t="n"/>
      <c r="J420" s="526" t="n"/>
      <c r="K420" s="527" t="n"/>
      <c r="L420" s="336" t="inlineStr">
        <is>
          <t>ใน</t>
        </is>
      </c>
      <c r="M420" s="336" t="inlineStr">
        <is>
          <t>นอก</t>
        </is>
      </c>
      <c r="N420" s="336" t="inlineStr">
        <is>
          <t>ต่อ ชม.</t>
        </is>
      </c>
      <c r="O420" s="336" t="inlineStr">
        <is>
          <t>(บาท)</t>
        </is>
      </c>
      <c r="P420" s="52" t="inlineStr">
        <is>
          <t>ใน</t>
        </is>
      </c>
      <c r="Q420" s="52" t="inlineStr">
        <is>
          <t>นอก</t>
        </is>
      </c>
      <c r="R420" s="336" t="inlineStr">
        <is>
          <t>ต่อ ชม.</t>
        </is>
      </c>
      <c r="S420" s="336" t="inlineStr">
        <is>
          <t>(บาท)</t>
        </is>
      </c>
    </row>
    <row r="421" ht="22.2" customHeight="1" s="375">
      <c r="A421" s="362" t="n">
        <v>10</v>
      </c>
      <c r="B421" s="528">
        <f>AB12</f>
        <v/>
      </c>
      <c r="C421" s="153" t="n"/>
      <c r="D421" s="135" t="n"/>
      <c r="E421" s="362" t="inlineStr">
        <is>
          <t>ครู</t>
        </is>
      </c>
      <c r="F421" s="5" t="n">
        <v>1</v>
      </c>
      <c r="G421" s="529" t="inlineStr">
        <is>
          <t>จันทร์</t>
        </is>
      </c>
      <c r="H421" s="376" t="inlineStr">
        <is>
          <t>20101-2009</t>
        </is>
      </c>
      <c r="I421" s="376" t="inlineStr">
        <is>
          <t>ชย.2/2 (26)</t>
        </is>
      </c>
      <c r="J421" s="334" t="inlineStr">
        <is>
          <t>08:10 - 12:10</t>
        </is>
      </c>
      <c r="K421" s="374" t="n"/>
      <c r="L421" s="367" t="n">
        <v>4</v>
      </c>
      <c r="M421" s="381" t="inlineStr"/>
      <c r="N421" s="381" t="inlineStr"/>
      <c r="O421" s="354" t="inlineStr"/>
      <c r="P421" s="381" t="inlineStr"/>
      <c r="Q421" s="367" t="inlineStr"/>
      <c r="R421" s="381" t="inlineStr"/>
      <c r="S421" s="354" t="inlineStr"/>
      <c r="T421" t="inlineStr"/>
      <c r="U421" t="inlineStr"/>
    </row>
    <row r="422" ht="22.2" customHeight="1" s="375">
      <c r="A422" s="3" t="n"/>
      <c r="B422" s="313" t="n"/>
      <c r="D422" s="314" t="n"/>
      <c r="E422" s="46" t="n"/>
      <c r="F422" s="322" t="n"/>
      <c r="G422" s="535" t="inlineStr">
        <is>
          <t>14 ก.ย.69</t>
        </is>
      </c>
      <c r="H422" s="376" t="inlineStr">
        <is>
          <t>20101-2009</t>
        </is>
      </c>
      <c r="I422" s="376" t="inlineStr">
        <is>
          <t>ชย.2/1 (26)</t>
        </is>
      </c>
      <c r="J422" s="334" t="inlineStr">
        <is>
          <t>13:10 - 17:10</t>
        </is>
      </c>
      <c r="K422" s="374" t="n"/>
      <c r="L422" s="334" t="n">
        <v>4</v>
      </c>
      <c r="M422" s="334" t="inlineStr"/>
      <c r="N422" s="334" t="inlineStr"/>
      <c r="O422" s="354" t="inlineStr"/>
      <c r="P422" s="334" t="inlineStr"/>
      <c r="Q422" s="334" t="inlineStr"/>
      <c r="R422" s="334" t="inlineStr"/>
      <c r="S422" s="354" t="inlineStr"/>
      <c r="T422" t="inlineStr"/>
      <c r="U422" t="inlineStr"/>
    </row>
    <row r="423" ht="22.2" customHeight="1" s="375">
      <c r="A423" s="3" t="n"/>
      <c r="E423" s="3" t="n"/>
      <c r="F423" s="322" t="n"/>
      <c r="G423" s="321" t="inlineStr"/>
      <c r="H423" s="376" t="inlineStr"/>
      <c r="I423" s="376" t="inlineStr"/>
      <c r="J423" s="334" t="inlineStr"/>
      <c r="K423" s="374" t="n"/>
      <c r="L423" s="334" t="inlineStr"/>
      <c r="M423" s="334" t="inlineStr"/>
      <c r="N423" s="334" t="inlineStr"/>
      <c r="O423" s="354" t="inlineStr"/>
      <c r="P423" s="334" t="inlineStr"/>
      <c r="Q423" s="334" t="inlineStr"/>
      <c r="R423" s="334" t="inlineStr"/>
      <c r="S423" s="354" t="inlineStr"/>
      <c r="T423" t="inlineStr"/>
      <c r="U423" t="inlineStr"/>
    </row>
    <row r="424" ht="22.2" customHeight="1" s="375">
      <c r="A424" s="3" t="n"/>
      <c r="D424" s="7" t="inlineStr">
        <is>
          <t> </t>
        </is>
      </c>
      <c r="E424" s="3" t="n"/>
      <c r="F424" s="322" t="n"/>
      <c r="G424" s="321" t="inlineStr"/>
      <c r="H424" s="334" t="inlineStr"/>
      <c r="I424" s="334" t="inlineStr"/>
      <c r="J424" s="334" t="inlineStr"/>
      <c r="K424" s="374" t="n"/>
      <c r="L424" s="334" t="inlineStr"/>
      <c r="M424" s="334" t="inlineStr"/>
      <c r="N424" s="334" t="inlineStr"/>
      <c r="O424" s="354" t="inlineStr"/>
      <c r="P424" s="334" t="inlineStr"/>
      <c r="Q424" s="334" t="inlineStr"/>
      <c r="R424" s="334" t="inlineStr"/>
      <c r="S424" s="354" t="inlineStr"/>
      <c r="T424" t="inlineStr"/>
      <c r="U424" t="inlineStr"/>
    </row>
    <row r="425" ht="22.2" customHeight="1" s="375">
      <c r="A425" s="3" t="n"/>
      <c r="E425" s="3" t="n"/>
      <c r="G425" s="344" t="inlineStr"/>
      <c r="H425" s="336" t="inlineStr"/>
      <c r="I425" s="336" t="inlineStr"/>
      <c r="J425" s="336" t="inlineStr"/>
      <c r="K425" s="527" t="n"/>
      <c r="L425" s="334" t="inlineStr"/>
      <c r="M425" s="334" t="inlineStr"/>
      <c r="N425" s="334" t="inlineStr"/>
      <c r="O425" s="354" t="inlineStr"/>
      <c r="P425" s="334" t="inlineStr"/>
      <c r="Q425" s="334" t="inlineStr"/>
      <c r="R425" s="334" t="inlineStr"/>
      <c r="S425" s="354" t="inlineStr"/>
      <c r="T425" t="inlineStr"/>
      <c r="U425" t="inlineStr"/>
    </row>
    <row r="426" ht="22.2" customHeight="1" s="375">
      <c r="A426" s="3" t="n"/>
      <c r="B426" s="321" t="n"/>
      <c r="C426" s="322" t="n"/>
      <c r="D426" s="322" t="n"/>
      <c r="E426" s="334" t="n"/>
      <c r="G426" s="533" t="inlineStr">
        <is>
          <t>อังคาร</t>
        </is>
      </c>
      <c r="H426" s="376" t="inlineStr">
        <is>
          <t>20101-2009</t>
        </is>
      </c>
      <c r="I426" s="376" t="inlineStr">
        <is>
          <t>ชย.2/4 (26)</t>
        </is>
      </c>
      <c r="J426" s="381" t="inlineStr">
        <is>
          <t>08:10 - 12:10</t>
        </is>
      </c>
      <c r="K426" s="135" t="n"/>
      <c r="L426" s="367" t="n">
        <v>4</v>
      </c>
      <c r="M426" s="381" t="inlineStr"/>
      <c r="N426" s="381" t="inlineStr"/>
      <c r="O426" s="354" t="inlineStr"/>
      <c r="P426" s="381" t="inlineStr"/>
      <c r="Q426" s="367" t="inlineStr"/>
      <c r="R426" s="381" t="inlineStr"/>
      <c r="S426" s="354" t="inlineStr"/>
      <c r="T426" t="inlineStr"/>
      <c r="U426" t="inlineStr"/>
    </row>
    <row r="427" ht="22.2" customHeight="1" s="375">
      <c r="A427" s="3" t="n"/>
      <c r="B427" s="313" t="n"/>
      <c r="D427" s="314" t="n"/>
      <c r="E427" s="314" t="n"/>
      <c r="G427" s="535" t="inlineStr">
        <is>
          <t>15 ก.ย.69</t>
        </is>
      </c>
      <c r="H427" s="376" t="inlineStr">
        <is>
          <t>20101-2009</t>
        </is>
      </c>
      <c r="I427" s="376" t="inlineStr">
        <is>
          <t>ชย.2/3 (26)</t>
        </is>
      </c>
      <c r="J427" s="334" t="inlineStr">
        <is>
          <t>13:10 - 17:10</t>
        </is>
      </c>
      <c r="K427" s="374" t="n"/>
      <c r="L427" s="334" t="n">
        <v>4</v>
      </c>
      <c r="M427" s="334" t="inlineStr"/>
      <c r="N427" s="334" t="inlineStr"/>
      <c r="O427" s="354" t="inlineStr"/>
      <c r="P427" s="334" t="inlineStr"/>
      <c r="Q427" s="334" t="inlineStr"/>
      <c r="R427" s="334" t="inlineStr"/>
      <c r="S427" s="354" t="inlineStr"/>
      <c r="T427" t="inlineStr"/>
      <c r="U427" t="inlineStr"/>
    </row>
    <row r="428" ht="22.2" customHeight="1" s="375">
      <c r="A428" s="3" t="n"/>
      <c r="B428" s="313" t="n"/>
      <c r="D428" s="314" t="n"/>
      <c r="E428" s="314" t="n"/>
      <c r="G428" s="334" t="inlineStr"/>
      <c r="H428" s="376" t="inlineStr"/>
      <c r="I428" s="376" t="inlineStr"/>
      <c r="J428" s="334" t="inlineStr"/>
      <c r="K428" s="374" t="n"/>
      <c r="L428" s="334" t="inlineStr"/>
      <c r="M428" s="334" t="inlineStr"/>
      <c r="N428" s="334" t="inlineStr"/>
      <c r="O428" s="354" t="inlineStr"/>
      <c r="P428" s="334" t="inlineStr"/>
      <c r="Q428" s="334" t="inlineStr"/>
      <c r="R428" s="334" t="inlineStr"/>
      <c r="S428" s="354" t="inlineStr"/>
      <c r="T428" t="inlineStr"/>
      <c r="U428" t="inlineStr"/>
    </row>
    <row r="429" ht="22.2" customHeight="1" s="375">
      <c r="A429" s="3" t="n"/>
      <c r="E429" s="3" t="n"/>
      <c r="G429" s="54" t="inlineStr"/>
      <c r="H429" s="322" t="inlineStr"/>
      <c r="I429" s="334" t="inlineStr"/>
      <c r="J429" s="334" t="inlineStr"/>
      <c r="K429" s="374" t="n"/>
      <c r="L429" s="334" t="inlineStr"/>
      <c r="M429" s="334" t="inlineStr"/>
      <c r="N429" s="334" t="inlineStr"/>
      <c r="O429" s="354" t="inlineStr"/>
      <c r="P429" s="334" t="inlineStr"/>
      <c r="Q429" s="334" t="inlineStr"/>
      <c r="R429" s="334" t="inlineStr"/>
      <c r="S429" s="354" t="inlineStr"/>
      <c r="T429" t="inlineStr"/>
      <c r="U429" t="inlineStr"/>
    </row>
    <row r="430" ht="22.2" customHeight="1" s="375">
      <c r="A430" s="3" t="n"/>
      <c r="D430" s="7" t="inlineStr">
        <is>
          <t> </t>
        </is>
      </c>
      <c r="E430" s="3" t="n"/>
      <c r="G430" s="55" t="inlineStr"/>
      <c r="H430" s="336" t="inlineStr"/>
      <c r="I430" s="336" t="inlineStr"/>
      <c r="J430" s="336" t="inlineStr"/>
      <c r="K430" s="527" t="n"/>
      <c r="L430" s="334" t="inlineStr"/>
      <c r="M430" s="334" t="inlineStr"/>
      <c r="N430" s="334" t="inlineStr"/>
      <c r="O430" s="354" t="inlineStr"/>
      <c r="P430" s="334" t="inlineStr"/>
      <c r="Q430" s="334" t="inlineStr"/>
      <c r="R430" s="334" t="inlineStr"/>
      <c r="S430" s="354" t="inlineStr"/>
      <c r="T430" t="inlineStr"/>
      <c r="U430" t="inlineStr"/>
    </row>
    <row r="431" ht="22.2" customHeight="1" s="375">
      <c r="A431" s="3" t="n"/>
      <c r="E431" s="3" t="n"/>
      <c r="G431" s="535" t="inlineStr">
        <is>
          <t>พุธ</t>
        </is>
      </c>
      <c r="H431" s="376" t="inlineStr">
        <is>
          <t>20100-1007</t>
        </is>
      </c>
      <c r="I431" s="376" t="inlineStr">
        <is>
          <t>ชย.2/1 (26)</t>
        </is>
      </c>
      <c r="J431" s="381" t="inlineStr">
        <is>
          <t>08:10 - 12:10</t>
        </is>
      </c>
      <c r="K431" s="135" t="n"/>
      <c r="L431" s="367" t="n">
        <v>4</v>
      </c>
      <c r="M431" s="381" t="inlineStr"/>
      <c r="N431" s="381" t="inlineStr"/>
      <c r="O431" s="354" t="inlineStr"/>
      <c r="P431" s="381" t="inlineStr"/>
      <c r="Q431" s="367" t="inlineStr"/>
      <c r="R431" s="381" t="inlineStr"/>
      <c r="S431" s="354" t="inlineStr"/>
      <c r="T431" t="inlineStr"/>
      <c r="U431" t="inlineStr"/>
    </row>
    <row r="432" ht="22.2" customHeight="1" s="375">
      <c r="A432" s="3" t="n"/>
      <c r="B432" s="321" t="n"/>
      <c r="C432" s="322" t="n"/>
      <c r="D432" s="322" t="n"/>
      <c r="E432" s="334" t="n"/>
      <c r="G432" s="535" t="inlineStr">
        <is>
          <t>16 ก.ย.69</t>
        </is>
      </c>
      <c r="H432" s="376" t="inlineStr">
        <is>
          <t>20100-1007</t>
        </is>
      </c>
      <c r="I432" s="376" t="inlineStr">
        <is>
          <t>ชย.2/2 (26)</t>
        </is>
      </c>
      <c r="J432" s="334" t="inlineStr">
        <is>
          <t>13:10 - 17:10</t>
        </is>
      </c>
      <c r="K432" s="374" t="n"/>
      <c r="L432" s="334" t="inlineStr"/>
      <c r="M432" s="334" t="n">
        <v>4</v>
      </c>
      <c r="N432" s="334" t="n">
        <v>200</v>
      </c>
      <c r="O432" s="354">
        <f>M432*N432</f>
        <v/>
      </c>
      <c r="P432" s="334" t="inlineStr"/>
      <c r="Q432" s="334" t="inlineStr"/>
      <c r="R432" s="334" t="inlineStr"/>
      <c r="S432" s="354" t="inlineStr"/>
      <c r="T432" t="inlineStr"/>
      <c r="U432" t="inlineStr"/>
    </row>
    <row r="433" ht="22.2" customHeight="1" s="375">
      <c r="A433" s="3" t="n"/>
      <c r="B433" s="313" t="n"/>
      <c r="D433" s="314" t="n"/>
      <c r="E433" s="314" t="n"/>
      <c r="G433" s="334" t="inlineStr"/>
      <c r="H433" s="376" t="inlineStr"/>
      <c r="I433" s="376" t="inlineStr"/>
      <c r="J433" s="334" t="inlineStr"/>
      <c r="K433" s="374" t="n"/>
      <c r="L433" s="334" t="inlineStr"/>
      <c r="M433" s="334" t="inlineStr"/>
      <c r="N433" s="334" t="inlineStr"/>
      <c r="O433" s="354" t="inlineStr"/>
      <c r="P433" s="334" t="inlineStr"/>
      <c r="Q433" s="334" t="inlineStr"/>
      <c r="R433" s="334" t="inlineStr"/>
      <c r="S433" s="354" t="inlineStr"/>
      <c r="T433" t="inlineStr"/>
      <c r="U433" t="inlineStr"/>
    </row>
    <row r="434" ht="22.2" customHeight="1" s="375">
      <c r="A434" s="3" t="n"/>
      <c r="E434" s="3" t="n"/>
      <c r="G434" s="321" t="inlineStr"/>
      <c r="H434" s="334" t="inlineStr"/>
      <c r="I434" s="334" t="inlineStr"/>
      <c r="J434" s="334" t="inlineStr"/>
      <c r="K434" s="374" t="n"/>
      <c r="L434" s="334" t="inlineStr"/>
      <c r="M434" s="334" t="inlineStr"/>
      <c r="N434" s="334" t="inlineStr"/>
      <c r="O434" s="354" t="inlineStr"/>
      <c r="P434" s="334" t="inlineStr"/>
      <c r="Q434" s="334" t="inlineStr"/>
      <c r="R434" s="334" t="inlineStr"/>
      <c r="S434" s="354" t="inlineStr"/>
      <c r="T434" t="inlineStr"/>
      <c r="U434" t="inlineStr"/>
    </row>
    <row r="435" ht="22.2" customHeight="1" s="375">
      <c r="A435" s="3" t="n"/>
      <c r="E435" s="3" t="n"/>
      <c r="G435" s="327" t="inlineStr"/>
      <c r="H435" s="336" t="inlineStr"/>
      <c r="I435" s="336" t="inlineStr"/>
      <c r="J435" s="336" t="inlineStr"/>
      <c r="K435" s="527" t="n"/>
      <c r="L435" s="336" t="inlineStr"/>
      <c r="M435" s="336" t="inlineStr"/>
      <c r="N435" s="336" t="inlineStr"/>
      <c r="O435" s="354" t="inlineStr"/>
      <c r="P435" s="336" t="inlineStr"/>
      <c r="Q435" s="336" t="inlineStr"/>
      <c r="R435" s="336" t="inlineStr"/>
      <c r="S435" s="354" t="inlineStr"/>
      <c r="T435" t="inlineStr"/>
      <c r="U435" t="inlineStr"/>
    </row>
    <row r="436" ht="22.2" customHeight="1" s="375">
      <c r="A436" s="3" t="n"/>
      <c r="E436" s="3" t="n"/>
      <c r="G436" s="533" t="inlineStr">
        <is>
          <t>พฤหัส</t>
        </is>
      </c>
      <c r="H436" s="376" t="inlineStr">
        <is>
          <t>20100-1007</t>
        </is>
      </c>
      <c r="I436" s="376" t="inlineStr">
        <is>
          <t>ชย.2/3 (26)</t>
        </is>
      </c>
      <c r="J436" s="381" t="inlineStr">
        <is>
          <t>08:10 - 12:10</t>
        </is>
      </c>
      <c r="K436" s="135" t="n"/>
      <c r="L436" s="334" t="inlineStr"/>
      <c r="M436" s="334" t="n">
        <v>4</v>
      </c>
      <c r="N436" s="334" t="n">
        <v>200</v>
      </c>
      <c r="O436" s="354">
        <f>M436*N436</f>
        <v/>
      </c>
      <c r="P436" s="334" t="inlineStr"/>
      <c r="Q436" s="362" t="inlineStr"/>
      <c r="R436" s="362" t="inlineStr"/>
      <c r="S436" s="354" t="inlineStr"/>
      <c r="T436" s="6" t="inlineStr"/>
      <c r="U436" s="22" t="inlineStr"/>
      <c r="V436" s="57" t="n"/>
      <c r="W436" s="21" t="n"/>
      <c r="X436" s="21" t="n"/>
    </row>
    <row r="437" ht="22.2" customHeight="1" s="375">
      <c r="A437" s="3" t="n"/>
      <c r="E437" s="3" t="n"/>
      <c r="G437" s="535" t="inlineStr">
        <is>
          <t>17 ก.ย.69</t>
        </is>
      </c>
      <c r="H437" s="376" t="inlineStr">
        <is>
          <t>20000-2002</t>
        </is>
      </c>
      <c r="I437" s="376" t="inlineStr">
        <is>
          <t>ชย.1/7,ชย.1/8 (26)</t>
        </is>
      </c>
      <c r="J437" s="334" t="inlineStr">
        <is>
          <t>13:10 - 15:10</t>
        </is>
      </c>
      <c r="K437" s="374" t="n"/>
      <c r="L437" s="334" t="n">
        <v>2</v>
      </c>
      <c r="M437" s="334" t="inlineStr"/>
      <c r="N437" s="334" t="inlineStr"/>
      <c r="O437" s="354" t="inlineStr"/>
      <c r="P437" s="334" t="inlineStr"/>
      <c r="Q437" s="334" t="inlineStr"/>
      <c r="R437" s="334" t="inlineStr"/>
      <c r="S437" s="354" t="inlineStr"/>
      <c r="T437" s="21" t="inlineStr"/>
      <c r="U437" s="22" t="inlineStr"/>
      <c r="V437" s="57" t="n"/>
      <c r="W437" s="21" t="n"/>
      <c r="X437" s="21" t="n"/>
    </row>
    <row r="438" ht="22.2" customHeight="1" s="375">
      <c r="A438" s="3" t="n"/>
      <c r="B438" s="313" t="n"/>
      <c r="E438" s="3" t="n"/>
      <c r="G438" s="334" t="inlineStr"/>
      <c r="H438" s="376" t="inlineStr"/>
      <c r="I438" s="376" t="inlineStr"/>
      <c r="J438" s="334" t="inlineStr"/>
      <c r="K438" s="374" t="n"/>
      <c r="L438" s="376" t="inlineStr"/>
      <c r="M438" s="376" t="inlineStr"/>
      <c r="N438" s="376" t="inlineStr"/>
      <c r="O438" s="354" t="inlineStr"/>
      <c r="P438" s="376" t="inlineStr"/>
      <c r="Q438" s="376" t="inlineStr"/>
      <c r="R438" s="376" t="inlineStr"/>
      <c r="S438" s="354" t="inlineStr"/>
      <c r="T438" t="inlineStr"/>
      <c r="U438" t="inlineStr"/>
    </row>
    <row r="439" ht="22.2" customHeight="1" s="375">
      <c r="A439" s="3" t="n"/>
      <c r="E439" s="3" t="n"/>
      <c r="G439" s="334" t="inlineStr"/>
      <c r="H439" s="334" t="inlineStr"/>
      <c r="I439" s="334" t="inlineStr"/>
      <c r="J439" s="334" t="inlineStr"/>
      <c r="K439" s="374" t="n"/>
      <c r="L439" s="334" t="inlineStr"/>
      <c r="M439" s="334" t="inlineStr"/>
      <c r="N439" s="334" t="inlineStr"/>
      <c r="O439" s="354" t="inlineStr"/>
      <c r="P439" s="334" t="inlineStr"/>
      <c r="Q439" s="334" t="inlineStr"/>
      <c r="R439" s="334" t="inlineStr"/>
      <c r="S439" s="354" t="inlineStr"/>
      <c r="T439" t="inlineStr"/>
      <c r="U439" t="inlineStr"/>
    </row>
    <row r="440" ht="22.2" customHeight="1" s="375">
      <c r="A440" s="3" t="n"/>
      <c r="E440" s="3" t="n"/>
      <c r="G440" s="336" t="inlineStr"/>
      <c r="H440" s="328" t="inlineStr"/>
      <c r="I440" s="336" t="inlineStr"/>
      <c r="J440" s="336" t="inlineStr"/>
      <c r="K440" s="527" t="n"/>
      <c r="L440" s="336" t="inlineStr"/>
      <c r="M440" s="336" t="inlineStr"/>
      <c r="N440" s="336" t="inlineStr"/>
      <c r="O440" s="354" t="inlineStr"/>
      <c r="P440" s="336" t="inlineStr"/>
      <c r="Q440" s="336" t="inlineStr"/>
      <c r="R440" s="336" t="inlineStr"/>
      <c r="S440" s="354" t="inlineStr"/>
      <c r="T440" t="inlineStr"/>
      <c r="U440" t="inlineStr"/>
    </row>
    <row r="441" ht="22.2" customHeight="1" s="375">
      <c r="A441" s="3" t="n"/>
      <c r="E441" s="3" t="n"/>
      <c r="G441" s="533" t="inlineStr">
        <is>
          <t>ศุกร์</t>
        </is>
      </c>
      <c r="H441" s="376" t="inlineStr">
        <is>
          <t>20101-2009</t>
        </is>
      </c>
      <c r="I441" s="376" t="inlineStr">
        <is>
          <t>ชยฟ.2/1 (26)</t>
        </is>
      </c>
      <c r="J441" s="381" t="inlineStr">
        <is>
          <t>08:10 - 12:10</t>
        </is>
      </c>
      <c r="K441" s="135" t="n"/>
      <c r="L441" s="334" t="inlineStr"/>
      <c r="M441" s="334" t="n">
        <v>4</v>
      </c>
      <c r="N441" s="334" t="n">
        <v>200</v>
      </c>
      <c r="O441" s="354">
        <f>M441*N441</f>
        <v/>
      </c>
      <c r="P441" s="381" t="inlineStr"/>
      <c r="Q441" s="367" t="inlineStr"/>
      <c r="R441" s="381" t="inlineStr"/>
      <c r="S441" s="354" t="inlineStr"/>
      <c r="T441" t="inlineStr"/>
      <c r="U441" t="inlineStr"/>
    </row>
    <row r="442" ht="22.2" customHeight="1" s="375">
      <c r="A442" s="3" t="n"/>
      <c r="E442" s="3" t="n"/>
      <c r="G442" s="535" t="inlineStr">
        <is>
          <t>18 ก.ย.69</t>
        </is>
      </c>
      <c r="H442" s="376" t="inlineStr"/>
      <c r="I442" s="376" t="inlineStr"/>
      <c r="J442" s="334" t="inlineStr"/>
      <c r="K442" s="374" t="n"/>
      <c r="L442" s="334" t="inlineStr"/>
      <c r="M442" s="334" t="inlineStr"/>
      <c r="N442" s="334" t="inlineStr"/>
      <c r="O442" s="354" t="inlineStr"/>
      <c r="P442" s="334" t="inlineStr"/>
      <c r="Q442" s="334" t="inlineStr"/>
      <c r="R442" s="334" t="inlineStr"/>
      <c r="S442" s="354" t="inlineStr"/>
      <c r="T442" t="inlineStr"/>
      <c r="U442" t="inlineStr"/>
    </row>
    <row r="443" ht="22.2" customHeight="1" s="375">
      <c r="A443" s="3" t="n"/>
      <c r="E443" s="3" t="n"/>
      <c r="G443" s="334" t="inlineStr"/>
      <c r="H443" s="334" t="inlineStr"/>
      <c r="I443" s="334" t="inlineStr"/>
      <c r="J443" s="334" t="inlineStr"/>
      <c r="K443" s="374" t="n"/>
      <c r="L443" s="334" t="inlineStr"/>
      <c r="M443" s="334" t="inlineStr"/>
      <c r="N443" s="334" t="inlineStr"/>
      <c r="O443" s="354" t="inlineStr"/>
      <c r="P443" s="334" t="inlineStr"/>
      <c r="Q443" s="334" t="inlineStr"/>
      <c r="R443" s="334" t="inlineStr"/>
      <c r="S443" s="354" t="inlineStr"/>
      <c r="T443" t="inlineStr"/>
      <c r="U443" t="inlineStr"/>
    </row>
    <row r="444" ht="22.2" customHeight="1" s="375">
      <c r="A444" s="3" t="n"/>
      <c r="E444" s="3" t="n"/>
      <c r="G444" s="334" t="inlineStr"/>
      <c r="H444" s="322" t="inlineStr"/>
      <c r="I444" s="334" t="inlineStr"/>
      <c r="J444" s="334" t="inlineStr"/>
      <c r="K444" s="374" t="n"/>
      <c r="L444" s="334" t="inlineStr"/>
      <c r="M444" s="334" t="inlineStr"/>
      <c r="N444" s="334" t="inlineStr"/>
      <c r="O444" s="354" t="inlineStr"/>
      <c r="P444" s="334" t="inlineStr"/>
      <c r="Q444" s="334" t="inlineStr"/>
      <c r="R444" s="334" t="inlineStr"/>
      <c r="S444" s="354" t="inlineStr"/>
      <c r="T444" t="inlineStr"/>
      <c r="U444" t="inlineStr"/>
    </row>
    <row r="445" ht="22.2" customHeight="1" s="375">
      <c r="A445" s="3" t="n"/>
      <c r="E445" s="3" t="n"/>
      <c r="F445" s="3" t="n"/>
      <c r="G445" s="329" t="inlineStr"/>
      <c r="H445" s="328" t="inlineStr"/>
      <c r="I445" s="336" t="inlineStr"/>
      <c r="J445" s="336" t="inlineStr"/>
      <c r="K445" s="527" t="n"/>
      <c r="L445" s="336" t="inlineStr"/>
      <c r="M445" s="336" t="inlineStr"/>
      <c r="N445" s="336" t="inlineStr"/>
      <c r="O445" s="354" t="inlineStr"/>
      <c r="P445" s="336" t="inlineStr"/>
      <c r="Q445" s="336" t="inlineStr"/>
      <c r="R445" s="336" t="inlineStr"/>
      <c r="S445" s="354" t="inlineStr"/>
      <c r="T445" t="inlineStr"/>
      <c r="U445" t="inlineStr"/>
    </row>
    <row r="446" ht="22.2" customHeight="1" s="375">
      <c r="A446" s="3" t="n"/>
      <c r="E446" s="3" t="n"/>
      <c r="F446" s="3" t="n"/>
      <c r="G446" s="16" t="inlineStr">
        <is>
          <t>รวมขั่วโมงที่สอนแยก ภาระงาน/ เกินภาระงาน</t>
        </is>
      </c>
      <c r="H446" s="518" t="n"/>
      <c r="I446" s="518" t="n"/>
      <c r="J446" s="518" t="n"/>
      <c r="K446" s="432" t="n"/>
      <c r="L446" s="16">
        <f>SUM(L421:L445)</f>
        <v/>
      </c>
      <c r="M446" s="16">
        <f>SUM(M421:M445)</f>
        <v/>
      </c>
      <c r="N446" s="16" t="n"/>
      <c r="O446" s="16" t="n"/>
      <c r="P446" s="16">
        <f>SUM(P421:P445)</f>
        <v/>
      </c>
      <c r="Q446" s="16">
        <f>SUM(Q421:Q445)</f>
        <v/>
      </c>
      <c r="R446" s="349" t="n"/>
      <c r="S446" s="16" t="n"/>
    </row>
    <row r="447" ht="22.2" customHeight="1" s="375">
      <c r="A447" s="3" t="n"/>
      <c r="E447" s="3" t="n"/>
      <c r="F447" s="3" t="n"/>
      <c r="G447" s="16" t="inlineStr">
        <is>
          <t>รวมจำนวนชั่วโมงสอนคาบต่อสับดาห์</t>
        </is>
      </c>
      <c r="H447" s="518" t="n"/>
      <c r="I447" s="518" t="n"/>
      <c r="J447" s="518" t="n"/>
      <c r="K447" s="432" t="n"/>
      <c r="L447" s="16">
        <f>L446+M446</f>
        <v/>
      </c>
      <c r="M447" s="432" t="n"/>
      <c r="N447" s="348" t="n"/>
      <c r="O447" s="16" t="n"/>
      <c r="P447" s="16">
        <f>P446+Q446</f>
        <v/>
      </c>
      <c r="Q447" s="432" t="n"/>
      <c r="R447" s="329" t="n"/>
      <c r="S447" s="336" t="n"/>
    </row>
    <row r="448" ht="22.2" customHeight="1" s="375">
      <c r="A448" s="3" t="n"/>
      <c r="E448" s="3" t="n"/>
      <c r="F448" s="3" t="n"/>
      <c r="G448" s="16" t="inlineStr">
        <is>
          <t>จำนวนชั่วโมงสอนตามภาระงานสอน</t>
        </is>
      </c>
      <c r="H448" s="518" t="n"/>
      <c r="I448" s="518" t="n"/>
      <c r="J448" s="518" t="n"/>
      <c r="K448" s="432" t="n"/>
      <c r="L448" s="541" t="n">
        <v>18</v>
      </c>
      <c r="M448" s="432" t="n"/>
      <c r="N448" s="129" t="n"/>
      <c r="O448" s="132" t="n"/>
      <c r="P448" s="131" t="n">
        <v>0</v>
      </c>
      <c r="Q448" s="432" t="n"/>
      <c r="R448" s="322" t="n"/>
      <c r="S448" s="334" t="n"/>
    </row>
    <row r="449" ht="22.2" customHeight="1" s="375" thickBot="1">
      <c r="A449" s="3" t="n"/>
      <c r="E449" s="3" t="n"/>
      <c r="F449" s="14" t="n"/>
      <c r="G449" s="16" t="inlineStr">
        <is>
          <t>จำนวนชั่วโมงบิกเกินภาระงานสอน/ค่าสอน</t>
        </is>
      </c>
      <c r="H449" s="518" t="n"/>
      <c r="I449" s="518" t="n"/>
      <c r="J449" s="518" t="n"/>
      <c r="K449" s="432" t="n"/>
      <c r="L449" s="17" t="n">
        <v>0</v>
      </c>
      <c r="M449" s="17">
        <f>SUM(M421:M445)</f>
        <v/>
      </c>
      <c r="N449" s="17" t="n"/>
      <c r="O449" s="17">
        <f>SUM(O421:O445)</f>
        <v/>
      </c>
      <c r="P449" s="17" t="n">
        <v>0</v>
      </c>
      <c r="Q449" s="17">
        <f>SUM(Q421:Q445)</f>
        <v/>
      </c>
      <c r="R449" s="18" t="n"/>
      <c r="S449" s="17">
        <f>SUM(S421:S445)</f>
        <v/>
      </c>
    </row>
    <row r="450" ht="22.2" customHeight="1" s="375" thickTop="1">
      <c r="A450" s="337" t="inlineStr">
        <is>
          <t>รวมจำนวนหน่วยชั่วโมงที่ขอเบิกค่าสอน ….</t>
        </is>
      </c>
      <c r="B450" s="518" t="n"/>
      <c r="C450" s="518" t="n"/>
      <c r="D450" s="518" t="n"/>
      <c r="E450" s="518" t="n"/>
      <c r="F450" s="518" t="n"/>
      <c r="G450" s="518" t="n"/>
      <c r="H450" s="348">
        <f>M449+Q449</f>
        <v/>
      </c>
      <c r="I450" s="348" t="inlineStr">
        <is>
          <t>….ชั่วโมง</t>
        </is>
      </c>
      <c r="J450" s="348" t="n"/>
      <c r="K450" s="328" t="inlineStr">
        <is>
          <t>ยอดเงินรวม</t>
        </is>
      </c>
      <c r="L450" s="522" t="n"/>
      <c r="M450" s="522" t="n"/>
      <c r="N450" s="328" t="n"/>
      <c r="O450" s="328" t="n"/>
      <c r="P450" s="339">
        <f>S449+O449</f>
        <v/>
      </c>
      <c r="Q450" s="538" t="n"/>
      <c r="R450" s="20" t="n"/>
      <c r="S450" s="19" t="inlineStr">
        <is>
          <t>..บาท</t>
        </is>
      </c>
    </row>
    <row r="451" ht="22.2" customHeight="1" s="375">
      <c r="A451" s="154" t="inlineStr">
        <is>
          <t>ผู้ขอเบิก</t>
        </is>
      </c>
      <c r="B451" s="153" t="n"/>
      <c r="C451" s="153" t="n"/>
      <c r="D451" s="153" t="n"/>
      <c r="E451" s="153" t="n"/>
      <c r="F451" s="153" t="n"/>
      <c r="G451" s="135" t="n"/>
      <c r="H451" s="154" t="inlineStr">
        <is>
          <t>ผู้รับรอง</t>
        </is>
      </c>
      <c r="I451" s="153" t="n"/>
      <c r="J451" s="153" t="n"/>
      <c r="K451" s="153" t="n"/>
      <c r="L451" s="135" t="n"/>
      <c r="M451" s="154" t="inlineStr">
        <is>
          <t>ผู้ตรวจ</t>
        </is>
      </c>
      <c r="N451" s="153" t="n"/>
      <c r="O451" s="153" t="n"/>
      <c r="P451" s="153" t="n"/>
      <c r="Q451" s="153" t="n"/>
      <c r="R451" s="153" t="n"/>
      <c r="S451" s="135" t="n"/>
    </row>
    <row r="452" ht="22.2" customHeight="1" s="375">
      <c r="A452" s="334" t="inlineStr">
        <is>
          <t>ลงชื่อ……………………………………………</t>
        </is>
      </c>
      <c r="G452" s="374" t="n"/>
      <c r="H452" s="334" t="inlineStr">
        <is>
          <t>ลงชื่อ……………………………………………</t>
        </is>
      </c>
      <c r="L452" s="374" t="n"/>
      <c r="M452" s="334" t="inlineStr">
        <is>
          <t>ลงชื่อ……………………………………………</t>
        </is>
      </c>
      <c r="S452" s="374" t="n"/>
    </row>
    <row r="453" ht="22.2" customHeight="1" s="375">
      <c r="A453" s="11" t="inlineStr">
        <is>
          <t>(</t>
        </is>
      </c>
      <c r="B453" s="324">
        <f>B421</f>
        <v/>
      </c>
      <c r="G453" s="326" t="inlineStr">
        <is>
          <t>)</t>
        </is>
      </c>
      <c r="H453" s="324" t="inlineStr">
        <is>
          <t>(</t>
        </is>
      </c>
      <c r="I453" s="340">
        <f>I407</f>
        <v/>
      </c>
      <c r="L453" s="12" t="inlineStr">
        <is>
          <t>)</t>
        </is>
      </c>
      <c r="M453" s="53" t="inlineStr">
        <is>
          <t>(</t>
        </is>
      </c>
      <c r="N453" s="53" t="n"/>
      <c r="O453" s="324">
        <f>O39</f>
        <v/>
      </c>
      <c r="R453" s="25" t="n"/>
      <c r="S453" s="326" t="inlineStr">
        <is>
          <t>)</t>
        </is>
      </c>
    </row>
    <row r="454" ht="22.2" customHeight="1" s="375">
      <c r="A454" s="540" t="inlineStr">
        <is>
          <t xml:space="preserve">                         ตำแหน่ง  ครู</t>
        </is>
      </c>
      <c r="G454" s="374" t="n"/>
      <c r="H454" s="54" t="inlineStr">
        <is>
          <t>ตำแหน่ง หัวหน้าแผนก</t>
        </is>
      </c>
      <c r="L454" s="374" t="n"/>
      <c r="M454" s="54" t="inlineStr">
        <is>
          <t>ตำแหน่ง   ผู้ตรวจสอบ</t>
        </is>
      </c>
      <c r="S454" s="374" t="n"/>
    </row>
    <row r="455" ht="22.2" customHeight="1" s="375">
      <c r="A455" s="55" t="inlineStr">
        <is>
          <t>วันที่ 22 เดือน กันยายน  พ.ศ.2569</t>
        </is>
      </c>
      <c r="B455" s="522" t="n"/>
      <c r="C455" s="522" t="n"/>
      <c r="D455" s="522" t="n"/>
      <c r="E455" s="522" t="n"/>
      <c r="F455" s="522" t="n"/>
      <c r="G455" s="527" t="n"/>
      <c r="H455" s="54">
        <f>A41</f>
        <v/>
      </c>
      <c r="L455" s="374" t="n"/>
      <c r="M455" s="55">
        <f>A41</f>
        <v/>
      </c>
      <c r="N455" s="522" t="n"/>
      <c r="O455" s="522" t="n"/>
      <c r="P455" s="522" t="n"/>
      <c r="Q455" s="522" t="n"/>
      <c r="R455" s="522" t="n"/>
      <c r="S455" s="527" t="n"/>
    </row>
    <row r="456" ht="22.2" customHeight="1" s="375">
      <c r="A456" s="154" t="inlineStr">
        <is>
          <t>ผู้ตรวจ</t>
        </is>
      </c>
      <c r="B456" s="153" t="n"/>
      <c r="C456" s="153" t="n"/>
      <c r="D456" s="153" t="n"/>
      <c r="E456" s="153" t="n"/>
      <c r="F456" s="153" t="n"/>
      <c r="G456" s="153" t="n"/>
      <c r="H456" s="153" t="n"/>
      <c r="I456" s="135" t="n"/>
      <c r="J456" s="154" t="inlineStr">
        <is>
          <t>ผู้เห็นชอบ</t>
        </is>
      </c>
      <c r="K456" s="153" t="n"/>
      <c r="L456" s="153" t="n"/>
      <c r="M456" s="153" t="n"/>
      <c r="N456" s="153" t="n"/>
      <c r="O456" s="153" t="n"/>
      <c r="P456" s="153" t="n"/>
      <c r="Q456" s="153" t="n"/>
      <c r="R456" s="153" t="n"/>
      <c r="S456" s="135" t="n"/>
    </row>
    <row r="457" ht="22.2" customHeight="1" s="375">
      <c r="A457" s="334" t="inlineStr">
        <is>
          <t>ลงชื่อ……………………………………………</t>
        </is>
      </c>
      <c r="I457" s="374" t="n"/>
      <c r="J457" s="334" t="inlineStr">
        <is>
          <t>ลงชื่อ……………………………………………</t>
        </is>
      </c>
      <c r="S457" s="374" t="n"/>
    </row>
    <row r="458" ht="22.2" customHeight="1" s="375">
      <c r="A458" s="11" t="n"/>
      <c r="B458" s="324">
        <f>B44</f>
        <v/>
      </c>
      <c r="I458" s="326" t="n"/>
      <c r="J458" s="25" t="n"/>
      <c r="K458" s="25" t="n"/>
      <c r="L458" s="324">
        <f>L44</f>
        <v/>
      </c>
      <c r="R458" s="25" t="n"/>
      <c r="S458" s="12" t="n"/>
    </row>
    <row r="459" ht="22.2" customHeight="1" s="375">
      <c r="A459" s="54" t="inlineStr">
        <is>
          <t>ตำแหน่งครู  หัวหน้างานพัฒนาหลักสูตร ฯ</t>
        </is>
      </c>
      <c r="I459" s="374" t="n"/>
      <c r="J459" s="54" t="inlineStr">
        <is>
          <t>ตำแหน่ง  รองผู้อำนวยการฝ่ายวิชาการ</t>
        </is>
      </c>
      <c r="S459" s="374" t="n"/>
    </row>
    <row r="460" ht="22.2" customHeight="1" s="375">
      <c r="A460" s="336" t="inlineStr">
        <is>
          <t>วันที่.......เดือน..........................พ.ศ..............</t>
        </is>
      </c>
      <c r="B460" s="522" t="n"/>
      <c r="C460" s="522" t="n"/>
      <c r="D460" s="522" t="n"/>
      <c r="E460" s="522" t="n"/>
      <c r="F460" s="522" t="n"/>
      <c r="G460" s="522" t="n"/>
      <c r="H460" s="522" t="n"/>
      <c r="I460" s="527" t="n"/>
      <c r="J460" s="336" t="inlineStr">
        <is>
          <t>วันที่.......เดือน..........................พ.ศ..............</t>
        </is>
      </c>
      <c r="K460" s="522" t="n"/>
      <c r="L460" s="522" t="n"/>
      <c r="M460" s="522" t="n"/>
      <c r="N460" s="522" t="n"/>
      <c r="O460" s="522" t="n"/>
      <c r="P460" s="522" t="n"/>
      <c r="Q460" s="522" t="n"/>
      <c r="R460" s="522" t="n"/>
      <c r="S460" s="527" t="n"/>
    </row>
    <row r="461" ht="22.2" customHeight="1" s="375">
      <c r="A461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75">
      <c r="A462" s="365" t="inlineStr">
        <is>
          <t>แผนกวิชาช่างยนต์</t>
        </is>
      </c>
    </row>
    <row r="463" ht="22.2" customHeight="1" s="375">
      <c r="A463" s="366" t="inlineStr">
        <is>
          <t xml:space="preserve">    ระหว่างวันที่</t>
        </is>
      </c>
      <c r="D463" s="365">
        <f>D3</f>
        <v/>
      </c>
      <c r="E463" s="365" t="inlineStr">
        <is>
          <t xml:space="preserve">   เดือน  </t>
        </is>
      </c>
      <c r="F463" s="365">
        <f>F3</f>
        <v/>
      </c>
      <c r="H463" s="365">
        <f>H3</f>
        <v/>
      </c>
      <c r="I463" s="365" t="inlineStr">
        <is>
          <t xml:space="preserve">     ถึง วันที่</t>
        </is>
      </c>
      <c r="J463" s="365">
        <f>J3</f>
        <v/>
      </c>
      <c r="K463" s="365" t="inlineStr">
        <is>
          <t xml:space="preserve">   เดือน </t>
        </is>
      </c>
      <c r="L463" s="365">
        <f>L3</f>
        <v/>
      </c>
      <c r="N463" s="365">
        <f>N3</f>
        <v/>
      </c>
      <c r="P463" s="365" t="n"/>
      <c r="R463" s="365" t="n"/>
    </row>
    <row r="464" ht="22.2" customHeight="1" s="375">
      <c r="G464" s="51" t="inlineStr">
        <is>
          <t>ü</t>
        </is>
      </c>
      <c r="H464" s="351" t="inlineStr">
        <is>
          <t>ครู</t>
        </is>
      </c>
      <c r="I464" s="322" t="inlineStr">
        <is>
          <t>หน้าที่พิเศษ</t>
        </is>
      </c>
      <c r="J464" s="351" t="inlineStr">
        <is>
          <t>ผู้ช่วยงานมาตราฐานและการประกันคุณภาพการศึกษา</t>
        </is>
      </c>
    </row>
    <row r="465" ht="22.2" customHeight="1" s="375">
      <c r="A465" s="24" t="inlineStr">
        <is>
          <t>ที่</t>
        </is>
      </c>
      <c r="B465" s="24" t="inlineStr">
        <is>
          <t>ชื่อ-สกุล</t>
        </is>
      </c>
      <c r="C465" s="153" t="n"/>
      <c r="D465" s="135" t="n"/>
      <c r="E465" s="15" t="inlineStr">
        <is>
          <t>ตำแหน่ง</t>
        </is>
      </c>
      <c r="F465" s="16" t="inlineStr">
        <is>
          <t>ระยะเวลาที่สอน</t>
        </is>
      </c>
      <c r="G465" s="432" t="n"/>
      <c r="H465" s="16" t="inlineStr">
        <is>
          <t>รหัสวิชา</t>
        </is>
      </c>
      <c r="I465" s="362" t="inlineStr">
        <is>
          <t>ชั้น,แผนก,ห้อง</t>
        </is>
      </c>
      <c r="J465" s="16" t="inlineStr">
        <is>
          <t>เวลาสอน</t>
        </is>
      </c>
      <c r="K465" s="135" t="n"/>
      <c r="L465" s="16" t="inlineStr">
        <is>
          <t>ปวช.(คาบ)</t>
        </is>
      </c>
      <c r="M465" s="432" t="n"/>
      <c r="N465" s="354" t="inlineStr">
        <is>
          <t>เงิน</t>
        </is>
      </c>
      <c r="O465" s="362" t="inlineStr">
        <is>
          <t>ยอดเงิน</t>
        </is>
      </c>
      <c r="P465" s="524" t="inlineStr">
        <is>
          <t>ปวส.(คาบ)</t>
        </is>
      </c>
      <c r="Q465" s="432" t="n"/>
      <c r="R465" s="354" t="inlineStr">
        <is>
          <t>เงิน</t>
        </is>
      </c>
      <c r="S465" s="362" t="inlineStr">
        <is>
          <t>ยอดเงิน</t>
        </is>
      </c>
    </row>
    <row r="466" ht="22.2" customHeight="1" s="375">
      <c r="A466" s="52" t="n"/>
      <c r="B466" s="8" t="n"/>
      <c r="C466" s="9" t="n"/>
      <c r="D466" s="13" t="n"/>
      <c r="E466" s="10" t="n"/>
      <c r="F466" s="336" t="inlineStr">
        <is>
          <t>ส.</t>
        </is>
      </c>
      <c r="G466" s="336" t="inlineStr">
        <is>
          <t>วดป.</t>
        </is>
      </c>
      <c r="H466" s="525" t="n"/>
      <c r="I466" s="336" t="n"/>
      <c r="J466" s="526" t="n"/>
      <c r="K466" s="527" t="n"/>
      <c r="L466" s="336" t="inlineStr">
        <is>
          <t>ใน</t>
        </is>
      </c>
      <c r="M466" s="336" t="inlineStr">
        <is>
          <t>นอก</t>
        </is>
      </c>
      <c r="N466" s="336" t="inlineStr">
        <is>
          <t>ต่อ ชม.</t>
        </is>
      </c>
      <c r="O466" s="336" t="inlineStr">
        <is>
          <t>(บาท)</t>
        </is>
      </c>
      <c r="P466" s="52" t="inlineStr">
        <is>
          <t>ใน</t>
        </is>
      </c>
      <c r="Q466" s="52" t="inlineStr">
        <is>
          <t>นอก</t>
        </is>
      </c>
      <c r="R466" s="336" t="inlineStr">
        <is>
          <t>ต่อ ชม.</t>
        </is>
      </c>
      <c r="S466" s="336" t="inlineStr">
        <is>
          <t>(บาท)</t>
        </is>
      </c>
    </row>
    <row r="467" ht="22.2" customHeight="1" s="375">
      <c r="A467" s="362" t="n">
        <v>11</v>
      </c>
      <c r="B467" s="528">
        <f>AB13</f>
        <v/>
      </c>
      <c r="C467" s="153" t="n"/>
      <c r="D467" s="135" t="n"/>
      <c r="E467" s="362" t="inlineStr">
        <is>
          <t>ครู</t>
        </is>
      </c>
      <c r="F467" s="5" t="n">
        <v>1</v>
      </c>
      <c r="G467" s="529" t="inlineStr">
        <is>
          <t>จันทร์</t>
        </is>
      </c>
      <c r="H467" s="376" t="inlineStr">
        <is>
          <t>20101-2010</t>
        </is>
      </c>
      <c r="I467" s="376" t="inlineStr">
        <is>
          <t>ชย.ทวิ 2/9 (26)</t>
        </is>
      </c>
      <c r="J467" s="334" t="inlineStr">
        <is>
          <t>08:10 - 12:10</t>
        </is>
      </c>
      <c r="K467" s="374" t="n"/>
      <c r="L467" s="367" t="n">
        <v>4</v>
      </c>
      <c r="M467" s="381" t="inlineStr"/>
      <c r="N467" s="381" t="inlineStr"/>
      <c r="O467" s="354" t="inlineStr"/>
      <c r="P467" s="381" t="inlineStr"/>
      <c r="Q467" s="367" t="inlineStr"/>
      <c r="R467" s="381" t="inlineStr"/>
      <c r="S467" s="354" t="inlineStr"/>
      <c r="T467" t="inlineStr"/>
      <c r="U467" t="inlineStr"/>
    </row>
    <row r="468" ht="22.2" customHeight="1" s="375">
      <c r="A468" s="3" t="n"/>
      <c r="B468" s="530" t="n"/>
      <c r="D468" s="374" t="n"/>
      <c r="E468" s="46" t="n"/>
      <c r="F468" s="322" t="n"/>
      <c r="G468" s="535" t="inlineStr">
        <is>
          <t>14 ก.ย.69</t>
        </is>
      </c>
      <c r="H468" s="376" t="inlineStr">
        <is>
          <t>20101-2010</t>
        </is>
      </c>
      <c r="I468" s="376" t="inlineStr">
        <is>
          <t>ชย.ทวิ 2/9 (26)</t>
        </is>
      </c>
      <c r="J468" s="334" t="inlineStr">
        <is>
          <t>13:10 - 16:10</t>
        </is>
      </c>
      <c r="K468" s="374" t="n"/>
      <c r="L468" s="334" t="n">
        <v>3</v>
      </c>
      <c r="M468" s="334" t="inlineStr"/>
      <c r="N468" s="334" t="inlineStr"/>
      <c r="O468" s="354" t="inlineStr"/>
      <c r="P468" s="334" t="inlineStr"/>
      <c r="Q468" s="334" t="inlineStr"/>
      <c r="R468" s="334" t="inlineStr"/>
      <c r="S468" s="354" t="inlineStr"/>
      <c r="T468" t="inlineStr"/>
      <c r="U468" t="inlineStr"/>
    </row>
    <row r="469" ht="22.2" customHeight="1" s="375">
      <c r="A469" s="3" t="n"/>
      <c r="B469" s="313" t="n"/>
      <c r="D469" s="314" t="n"/>
      <c r="E469" s="314" t="n"/>
      <c r="F469" s="322" t="n"/>
      <c r="G469" s="321" t="inlineStr"/>
      <c r="H469" s="376" t="inlineStr"/>
      <c r="I469" s="376" t="inlineStr"/>
      <c r="J469" s="334" t="inlineStr"/>
      <c r="K469" s="374" t="n"/>
      <c r="L469" s="334" t="inlineStr"/>
      <c r="M469" s="334" t="inlineStr"/>
      <c r="N469" s="334" t="inlineStr"/>
      <c r="O469" s="354" t="inlineStr"/>
      <c r="P469" s="334" t="inlineStr"/>
      <c r="Q469" s="334" t="inlineStr"/>
      <c r="R469" s="334" t="inlineStr"/>
      <c r="S469" s="354" t="inlineStr"/>
      <c r="T469" t="inlineStr"/>
      <c r="U469" t="inlineStr"/>
    </row>
    <row r="470" ht="22.2" customHeight="1" s="375">
      <c r="A470" s="3" t="n"/>
      <c r="B470" s="313" t="n"/>
      <c r="E470" s="3" t="n"/>
      <c r="F470" s="322" t="n"/>
      <c r="G470" s="321" t="inlineStr"/>
      <c r="H470" s="334" t="inlineStr"/>
      <c r="I470" s="334" t="inlineStr"/>
      <c r="J470" s="334" t="inlineStr"/>
      <c r="K470" s="374" t="n"/>
      <c r="L470" s="334" t="inlineStr"/>
      <c r="M470" s="334" t="inlineStr"/>
      <c r="N470" s="334" t="inlineStr"/>
      <c r="O470" s="354" t="inlineStr"/>
      <c r="P470" s="334" t="inlineStr"/>
      <c r="Q470" s="334" t="inlineStr"/>
      <c r="R470" s="334" t="inlineStr"/>
      <c r="S470" s="354" t="inlineStr"/>
      <c r="T470" t="inlineStr"/>
      <c r="U470" t="inlineStr"/>
    </row>
    <row r="471" ht="22.2" customHeight="1" s="375">
      <c r="A471" s="3" t="n"/>
      <c r="E471" s="3" t="n"/>
      <c r="G471" s="344" t="inlineStr"/>
      <c r="H471" s="336" t="inlineStr"/>
      <c r="I471" s="336" t="inlineStr"/>
      <c r="J471" s="336" t="inlineStr"/>
      <c r="K471" s="527" t="n"/>
      <c r="L471" s="334" t="inlineStr"/>
      <c r="M471" s="334" t="inlineStr"/>
      <c r="N471" s="334" t="inlineStr"/>
      <c r="O471" s="354" t="inlineStr"/>
      <c r="P471" s="334" t="inlineStr"/>
      <c r="Q471" s="334" t="inlineStr"/>
      <c r="R471" s="334" t="inlineStr"/>
      <c r="S471" s="354" t="inlineStr"/>
      <c r="T471" t="inlineStr"/>
      <c r="U471" t="inlineStr"/>
    </row>
    <row r="472" ht="22.2" customHeight="1" s="375">
      <c r="A472" s="3" t="n"/>
      <c r="D472" s="374" t="n"/>
      <c r="E472" s="251" t="n"/>
      <c r="G472" s="533" t="inlineStr">
        <is>
          <t>อังคาร</t>
        </is>
      </c>
      <c r="H472" s="376" t="inlineStr">
        <is>
          <t>20101-2016</t>
        </is>
      </c>
      <c r="I472" s="376" t="inlineStr">
        <is>
          <t>ชย.1/3,ชย.1/4 (26)</t>
        </is>
      </c>
      <c r="J472" s="334" t="inlineStr">
        <is>
          <t>08:10 - 10:10</t>
        </is>
      </c>
      <c r="K472" s="374" t="n"/>
      <c r="L472" s="367" t="n">
        <v>2</v>
      </c>
      <c r="M472" s="381" t="inlineStr"/>
      <c r="N472" s="381" t="inlineStr"/>
      <c r="O472" s="354" t="inlineStr"/>
      <c r="P472" s="381" t="inlineStr"/>
      <c r="Q472" s="367" t="inlineStr"/>
      <c r="R472" s="381" t="inlineStr"/>
      <c r="S472" s="354" t="inlineStr"/>
      <c r="T472" s="6" t="inlineStr"/>
      <c r="U472" s="22" t="inlineStr"/>
      <c r="V472" s="57" t="n"/>
      <c r="W472" s="21" t="n"/>
      <c r="X472" s="21" t="n"/>
    </row>
    <row r="473" ht="22.2" customHeight="1" s="375">
      <c r="A473" s="3" t="n"/>
      <c r="D473" s="314" t="n"/>
      <c r="E473" s="314" t="n"/>
      <c r="G473" s="535" t="inlineStr">
        <is>
          <t>15 ก.ย.69</t>
        </is>
      </c>
      <c r="H473" s="376" t="inlineStr">
        <is>
          <t>20101-2006</t>
        </is>
      </c>
      <c r="I473" s="376" t="inlineStr">
        <is>
          <t>ชย.1/3,ชย.1/4 (26)</t>
        </is>
      </c>
      <c r="J473" s="334" t="inlineStr">
        <is>
          <t>10:10 - 12:10</t>
        </is>
      </c>
      <c r="K473" s="374" t="n"/>
      <c r="L473" s="334" t="n">
        <v>2</v>
      </c>
      <c r="M473" s="334" t="inlineStr"/>
      <c r="N473" s="334" t="inlineStr"/>
      <c r="O473" s="354" t="inlineStr"/>
      <c r="P473" s="334" t="inlineStr"/>
      <c r="Q473" s="334" t="inlineStr"/>
      <c r="R473" s="334" t="inlineStr"/>
      <c r="S473" s="354" t="inlineStr"/>
      <c r="T473" s="21" t="inlineStr"/>
      <c r="U473" s="22" t="inlineStr"/>
      <c r="V473" s="57" t="n"/>
      <c r="W473" s="21" t="n"/>
      <c r="X473" s="21" t="n"/>
    </row>
    <row r="474" ht="22.2" customHeight="1" s="375">
      <c r="A474" s="3" t="n"/>
      <c r="B474" s="313" t="n"/>
      <c r="D474" s="314" t="n"/>
      <c r="E474" s="314" t="n"/>
      <c r="G474" s="334" t="inlineStr"/>
      <c r="H474" s="334" t="inlineStr">
        <is>
          <t>20101-2007</t>
        </is>
      </c>
      <c r="I474" s="334" t="inlineStr">
        <is>
          <t>ชย.1/7,ชย.1/8 (26)</t>
        </is>
      </c>
      <c r="J474" s="334" t="inlineStr">
        <is>
          <t>13:10 - 15:10</t>
        </is>
      </c>
      <c r="K474" s="374" t="n"/>
      <c r="L474" s="334" t="n">
        <v>2</v>
      </c>
      <c r="M474" s="334" t="inlineStr"/>
      <c r="N474" s="334" t="inlineStr"/>
      <c r="O474" s="354" t="inlineStr"/>
      <c r="P474" s="334" t="inlineStr"/>
      <c r="Q474" s="334" t="inlineStr"/>
      <c r="R474" s="334" t="inlineStr"/>
      <c r="S474" s="354" t="inlineStr"/>
      <c r="T474" t="inlineStr"/>
      <c r="U474" t="inlineStr"/>
    </row>
    <row r="475" ht="22.2" customHeight="1" s="375">
      <c r="A475" s="3" t="n"/>
      <c r="E475" s="3" t="n"/>
      <c r="G475" s="54" t="inlineStr"/>
      <c r="H475" s="322" t="inlineStr">
        <is>
          <t>20101-2007</t>
        </is>
      </c>
      <c r="I475" s="334" t="inlineStr">
        <is>
          <t>ชย.1/5,ชย.1/6 (26)</t>
        </is>
      </c>
      <c r="J475" s="334" t="inlineStr">
        <is>
          <t>15:10 - 17:10</t>
        </is>
      </c>
      <c r="K475" s="374" t="n"/>
      <c r="L475" s="334" t="n">
        <v>2</v>
      </c>
      <c r="M475" s="334" t="inlineStr"/>
      <c r="N475" s="334" t="inlineStr"/>
      <c r="O475" s="354" t="inlineStr"/>
      <c r="P475" s="334" t="inlineStr"/>
      <c r="Q475" s="334" t="inlineStr"/>
      <c r="R475" s="334" t="inlineStr"/>
      <c r="S475" s="354" t="inlineStr"/>
      <c r="T475" t="inlineStr"/>
      <c r="U475" t="inlineStr"/>
    </row>
    <row r="476" ht="22.2" customHeight="1" s="375">
      <c r="A476" s="3" t="n"/>
      <c r="D476" s="7" t="inlineStr">
        <is>
          <t> </t>
        </is>
      </c>
      <c r="E476" s="3" t="n"/>
      <c r="G476" s="55" t="inlineStr"/>
      <c r="H476" s="336" t="inlineStr"/>
      <c r="I476" s="336" t="inlineStr"/>
      <c r="J476" s="336" t="inlineStr"/>
      <c r="K476" s="527" t="n"/>
      <c r="L476" s="334" t="inlineStr"/>
      <c r="M476" s="334" t="inlineStr"/>
      <c r="N476" s="334" t="inlineStr"/>
      <c r="O476" s="354" t="inlineStr"/>
      <c r="P476" s="334" t="inlineStr"/>
      <c r="Q476" s="334" t="inlineStr"/>
      <c r="R476" s="334" t="inlineStr"/>
      <c r="S476" s="354" t="inlineStr"/>
      <c r="T476" t="inlineStr"/>
      <c r="U476" t="inlineStr"/>
    </row>
    <row r="477" ht="22.2" customHeight="1" s="375">
      <c r="A477" s="3" t="n"/>
      <c r="E477" s="3" t="n"/>
      <c r="G477" s="535" t="inlineStr">
        <is>
          <t>พุธ</t>
        </is>
      </c>
      <c r="H477" s="376" t="inlineStr">
        <is>
          <t>20143-2010</t>
        </is>
      </c>
      <c r="I477" s="376" t="inlineStr">
        <is>
          <t>ชยฟ.3/1 (26)</t>
        </is>
      </c>
      <c r="J477" s="381" t="inlineStr">
        <is>
          <t>08:10 - 10:10</t>
        </is>
      </c>
      <c r="K477" s="135" t="n"/>
      <c r="L477" s="367" t="n">
        <v>2</v>
      </c>
      <c r="M477" s="381" t="inlineStr"/>
      <c r="N477" s="381" t="inlineStr"/>
      <c r="O477" s="354" t="inlineStr"/>
      <c r="P477" s="381" t="inlineStr"/>
      <c r="Q477" s="367" t="inlineStr"/>
      <c r="R477" s="381" t="inlineStr"/>
      <c r="S477" s="354" t="inlineStr"/>
      <c r="T477" t="inlineStr"/>
      <c r="U477" t="inlineStr"/>
    </row>
    <row r="478" ht="22.2" customHeight="1" s="375">
      <c r="A478" s="3" t="n"/>
      <c r="B478" s="321" t="n"/>
      <c r="C478" s="322" t="n"/>
      <c r="D478" s="322" t="n"/>
      <c r="E478" s="334" t="n"/>
      <c r="G478" s="535" t="inlineStr">
        <is>
          <t>16 ก.ย.69</t>
        </is>
      </c>
      <c r="H478" s="376" t="inlineStr">
        <is>
          <t>20101-2006</t>
        </is>
      </c>
      <c r="I478" s="376" t="inlineStr">
        <is>
          <t>ชย.1/1,ชย.1/2 (26)</t>
        </is>
      </c>
      <c r="J478" s="334" t="inlineStr">
        <is>
          <t>10:10 - 12:10</t>
        </is>
      </c>
      <c r="K478" s="374" t="n"/>
      <c r="L478" s="334" t="n">
        <v>2</v>
      </c>
      <c r="M478" s="334" t="inlineStr"/>
      <c r="N478" s="334" t="inlineStr"/>
      <c r="O478" s="354" t="inlineStr"/>
      <c r="P478" s="334" t="inlineStr"/>
      <c r="Q478" s="334" t="inlineStr"/>
      <c r="R478" s="334" t="inlineStr"/>
      <c r="S478" s="354" t="inlineStr"/>
      <c r="T478" t="inlineStr"/>
      <c r="U478" t="inlineStr"/>
    </row>
    <row r="479" ht="22.2" customHeight="1" s="375">
      <c r="A479" s="3" t="n"/>
      <c r="B479" s="313" t="n"/>
      <c r="D479" s="314" t="n"/>
      <c r="E479" s="314" t="n"/>
      <c r="G479" s="334" t="inlineStr"/>
      <c r="H479" s="376" t="inlineStr">
        <is>
          <t>20101-2007</t>
        </is>
      </c>
      <c r="I479" s="376" t="inlineStr">
        <is>
          <t>ชย.1/10,ชย.1/9 (26)</t>
        </is>
      </c>
      <c r="J479" s="334" t="inlineStr">
        <is>
          <t>13:10 - 15:10</t>
        </is>
      </c>
      <c r="K479" s="374" t="n"/>
      <c r="L479" s="334" t="n">
        <v>2</v>
      </c>
      <c r="M479" s="334" t="inlineStr"/>
      <c r="N479" s="334" t="inlineStr"/>
      <c r="O479" s="354" t="inlineStr"/>
      <c r="P479" s="334" t="inlineStr"/>
      <c r="Q479" s="334" t="inlineStr"/>
      <c r="R479" s="334" t="inlineStr"/>
      <c r="S479" s="354" t="inlineStr"/>
      <c r="T479" t="inlineStr"/>
      <c r="U479" t="inlineStr"/>
    </row>
    <row r="480" ht="22.2" customHeight="1" s="375">
      <c r="A480" s="3" t="n"/>
      <c r="E480" s="3" t="n"/>
      <c r="G480" s="321" t="inlineStr"/>
      <c r="H480" s="334" t="inlineStr">
        <is>
          <t>20101-2015</t>
        </is>
      </c>
      <c r="I480" s="334" t="inlineStr">
        <is>
          <t>ชย.3/3 (26)</t>
        </is>
      </c>
      <c r="J480" s="334" t="inlineStr">
        <is>
          <t>17:10 - 21:10</t>
        </is>
      </c>
      <c r="K480" s="374" t="n"/>
      <c r="L480" s="334" t="inlineStr"/>
      <c r="M480" s="334" t="n">
        <v>4</v>
      </c>
      <c r="N480" s="334" t="n">
        <v>200</v>
      </c>
      <c r="O480" s="354">
        <f>M480*N480</f>
        <v/>
      </c>
      <c r="P480" s="334" t="inlineStr"/>
      <c r="Q480" s="334" t="inlineStr"/>
      <c r="R480" s="334" t="inlineStr"/>
      <c r="S480" s="354" t="inlineStr"/>
      <c r="T480" t="inlineStr"/>
      <c r="U480" t="inlineStr"/>
    </row>
    <row r="481" ht="22.2" customHeight="1" s="375">
      <c r="A481" s="3" t="n"/>
      <c r="E481" s="3" t="n"/>
      <c r="G481" s="327" t="inlineStr"/>
      <c r="H481" s="336" t="inlineStr"/>
      <c r="I481" s="336" t="inlineStr"/>
      <c r="J481" s="336" t="inlineStr"/>
      <c r="K481" s="527" t="n"/>
      <c r="L481" s="336" t="inlineStr"/>
      <c r="M481" s="336" t="inlineStr"/>
      <c r="N481" s="336" t="inlineStr"/>
      <c r="O481" s="354" t="inlineStr"/>
      <c r="P481" s="336" t="inlineStr"/>
      <c r="Q481" s="336" t="inlineStr"/>
      <c r="R481" s="336" t="inlineStr"/>
      <c r="S481" s="354" t="inlineStr"/>
      <c r="T481" t="inlineStr"/>
      <c r="U481" t="inlineStr"/>
    </row>
    <row r="482" ht="22.2" customHeight="1" s="375">
      <c r="A482" s="3" t="n"/>
      <c r="D482" s="374" t="n"/>
      <c r="E482" s="251" t="n"/>
      <c r="G482" s="533" t="inlineStr">
        <is>
          <t>พฤหัส</t>
        </is>
      </c>
      <c r="H482" s="376" t="inlineStr">
        <is>
          <t>20000-2002</t>
        </is>
      </c>
      <c r="I482" s="376" t="inlineStr">
        <is>
          <t>ชย.1/1,ชย.1/2 (26)</t>
        </is>
      </c>
      <c r="J482" s="376" t="inlineStr">
        <is>
          <t>13:10 - 15:10</t>
        </is>
      </c>
      <c r="K482" s="374" t="n"/>
      <c r="L482" s="334" t="n">
        <v>2</v>
      </c>
      <c r="M482" s="334" t="inlineStr"/>
      <c r="N482" s="334" t="inlineStr"/>
      <c r="O482" s="354" t="inlineStr"/>
      <c r="P482" s="155" t="inlineStr"/>
      <c r="Q482" s="156" t="inlineStr"/>
      <c r="R482" s="156" t="inlineStr"/>
      <c r="S482" s="354" t="inlineStr"/>
      <c r="T482" t="inlineStr"/>
      <c r="U482" t="inlineStr"/>
    </row>
    <row r="483" ht="22.2" customHeight="1" s="375">
      <c r="A483" s="3" t="n"/>
      <c r="D483" s="314" t="n"/>
      <c r="E483" s="314" t="n"/>
      <c r="G483" s="535" t="inlineStr">
        <is>
          <t>17 ก.ย.69</t>
        </is>
      </c>
      <c r="H483" s="376" t="inlineStr"/>
      <c r="I483" s="376" t="inlineStr"/>
      <c r="J483" s="376" t="inlineStr"/>
      <c r="K483" s="374" t="n"/>
      <c r="L483" s="376" t="inlineStr"/>
      <c r="M483" s="334" t="inlineStr"/>
      <c r="N483" s="334" t="inlineStr"/>
      <c r="O483" s="354" t="inlineStr"/>
      <c r="P483" s="334" t="inlineStr"/>
      <c r="Q483" s="334" t="inlineStr"/>
      <c r="R483" s="334" t="inlineStr"/>
      <c r="S483" s="354" t="inlineStr"/>
      <c r="T483" t="inlineStr"/>
      <c r="U483" t="inlineStr"/>
    </row>
    <row r="484" ht="22.2" customHeight="1" s="375">
      <c r="A484" s="3" t="n"/>
      <c r="B484" s="313" t="n"/>
      <c r="E484" s="3" t="n"/>
      <c r="G484" s="334" t="inlineStr"/>
      <c r="H484" s="376" t="inlineStr"/>
      <c r="I484" s="376" t="inlineStr"/>
      <c r="J484" s="334" t="inlineStr"/>
      <c r="K484" s="374" t="n"/>
      <c r="L484" s="376" t="inlineStr"/>
      <c r="M484" s="376" t="inlineStr"/>
      <c r="N484" s="376" t="inlineStr"/>
      <c r="O484" s="354" t="inlineStr"/>
      <c r="P484" s="3" t="inlineStr"/>
      <c r="Q484" s="3" t="inlineStr"/>
      <c r="R484" s="3" t="inlineStr"/>
      <c r="S484" s="354" t="inlineStr"/>
      <c r="T484" t="inlineStr"/>
      <c r="U484" t="inlineStr"/>
    </row>
    <row r="485" ht="22.2" customHeight="1" s="375">
      <c r="A485" s="3" t="n"/>
      <c r="E485" s="3" t="n"/>
      <c r="G485" s="334" t="inlineStr"/>
      <c r="H485" s="334" t="inlineStr"/>
      <c r="I485" s="334" t="inlineStr"/>
      <c r="J485" s="334" t="inlineStr"/>
      <c r="K485" s="374" t="n"/>
      <c r="L485" s="334" t="inlineStr"/>
      <c r="M485" s="334" t="inlineStr"/>
      <c r="N485" s="334" t="inlineStr"/>
      <c r="O485" s="354" t="inlineStr"/>
      <c r="P485" s="334" t="inlineStr"/>
      <c r="Q485" s="334" t="inlineStr"/>
      <c r="R485" s="334" t="inlineStr"/>
      <c r="S485" s="354" t="inlineStr"/>
      <c r="T485" t="inlineStr"/>
      <c r="U485" t="inlineStr"/>
    </row>
    <row r="486" ht="22.2" customHeight="1" s="375">
      <c r="A486" s="3" t="n"/>
      <c r="E486" s="3" t="n"/>
      <c r="G486" s="336" t="inlineStr"/>
      <c r="H486" s="328" t="inlineStr"/>
      <c r="I486" s="336" t="inlineStr"/>
      <c r="J486" s="336" t="inlineStr"/>
      <c r="K486" s="527" t="n"/>
      <c r="L486" s="336" t="inlineStr"/>
      <c r="M486" s="336" t="inlineStr"/>
      <c r="N486" s="336" t="inlineStr"/>
      <c r="O486" s="354" t="inlineStr"/>
      <c r="P486" s="336" t="inlineStr"/>
      <c r="Q486" s="336" t="inlineStr"/>
      <c r="R486" s="336" t="inlineStr"/>
      <c r="S486" s="354" t="inlineStr"/>
      <c r="T486" t="inlineStr"/>
      <c r="U486" t="inlineStr"/>
    </row>
    <row r="487" ht="22.2" customHeight="1" s="375">
      <c r="A487" s="3" t="n"/>
      <c r="E487" s="3" t="n"/>
      <c r="G487" s="533" t="inlineStr">
        <is>
          <t>ศุกร์</t>
        </is>
      </c>
      <c r="H487" s="376" t="inlineStr">
        <is>
          <t>20001-1005</t>
        </is>
      </c>
      <c r="I487" s="376" t="inlineStr">
        <is>
          <t>ชย.2/5,ชย.2/6 (26)</t>
        </is>
      </c>
      <c r="J487" s="381" t="inlineStr">
        <is>
          <t>08:10 - 12:10</t>
        </is>
      </c>
      <c r="K487" s="135" t="n"/>
      <c r="L487" s="334" t="inlineStr"/>
      <c r="M487" s="334" t="n">
        <v>4</v>
      </c>
      <c r="N487" s="334" t="n">
        <v>200</v>
      </c>
      <c r="O487" s="354">
        <f>M487*N487</f>
        <v/>
      </c>
      <c r="P487" s="381" t="inlineStr"/>
      <c r="Q487" s="367" t="inlineStr"/>
      <c r="R487" s="381" t="inlineStr"/>
      <c r="S487" s="354" t="inlineStr"/>
      <c r="T487" t="inlineStr"/>
      <c r="U487" t="inlineStr"/>
    </row>
    <row r="488" ht="22.2" customHeight="1" s="375">
      <c r="A488" s="3" t="n"/>
      <c r="E488" s="3" t="n"/>
      <c r="G488" s="535" t="inlineStr">
        <is>
          <t>18 ก.ย.69</t>
        </is>
      </c>
      <c r="H488" s="376" t="inlineStr">
        <is>
          <t>20001-1005</t>
        </is>
      </c>
      <c r="I488" s="376" t="inlineStr">
        <is>
          <t>ชย.2/7,ชย.2/8,ชย.ทวิ 2/9 (26)</t>
        </is>
      </c>
      <c r="J488" s="334" t="inlineStr">
        <is>
          <t>13:10 - 17:10</t>
        </is>
      </c>
      <c r="K488" s="374" t="n"/>
      <c r="L488" s="334" t="inlineStr"/>
      <c r="M488" s="334" t="n">
        <v>4</v>
      </c>
      <c r="N488" s="334" t="n">
        <v>200</v>
      </c>
      <c r="O488" s="354">
        <f>M488*N488</f>
        <v/>
      </c>
      <c r="P488" s="334" t="inlineStr"/>
      <c r="Q488" s="334" t="inlineStr"/>
      <c r="R488" s="334" t="inlineStr"/>
      <c r="S488" s="354" t="inlineStr"/>
      <c r="T488" t="inlineStr"/>
      <c r="U488" t="inlineStr"/>
    </row>
    <row r="489" ht="22.2" customHeight="1" s="375">
      <c r="A489" s="3" t="n"/>
      <c r="E489" s="3" t="n"/>
      <c r="G489" s="334" t="inlineStr"/>
      <c r="H489" s="334" t="inlineStr"/>
      <c r="I489" s="334" t="inlineStr"/>
      <c r="J489" s="334" t="inlineStr"/>
      <c r="K489" s="374" t="n"/>
      <c r="L489" s="334" t="inlineStr"/>
      <c r="M489" s="334" t="inlineStr"/>
      <c r="N489" s="334" t="inlineStr"/>
      <c r="O489" s="354" t="inlineStr"/>
      <c r="P489" s="334" t="inlineStr"/>
      <c r="Q489" s="334" t="inlineStr"/>
      <c r="R489" s="334" t="inlineStr"/>
      <c r="S489" s="354" t="inlineStr"/>
      <c r="T489" t="inlineStr"/>
      <c r="U489" t="inlineStr"/>
    </row>
    <row r="490" ht="22.2" customHeight="1" s="375">
      <c r="A490" s="3" t="n"/>
      <c r="E490" s="3" t="n"/>
      <c r="G490" s="334" t="inlineStr"/>
      <c r="H490" s="322" t="inlineStr"/>
      <c r="I490" s="334" t="inlineStr"/>
      <c r="J490" s="334" t="inlineStr"/>
      <c r="K490" s="374" t="n"/>
      <c r="L490" s="334" t="inlineStr"/>
      <c r="M490" s="334" t="inlineStr"/>
      <c r="N490" s="334" t="inlineStr"/>
      <c r="O490" s="354" t="inlineStr"/>
      <c r="P490" s="334" t="inlineStr"/>
      <c r="Q490" s="334" t="inlineStr"/>
      <c r="R490" s="334" t="inlineStr"/>
      <c r="S490" s="354" t="inlineStr"/>
      <c r="T490" t="inlineStr"/>
      <c r="U490" t="inlineStr"/>
    </row>
    <row r="491" ht="22.2" customHeight="1" s="375">
      <c r="A491" s="3" t="n"/>
      <c r="E491" s="3" t="n"/>
      <c r="F491" s="3" t="n"/>
      <c r="G491" s="329" t="inlineStr"/>
      <c r="H491" s="328" t="inlineStr"/>
      <c r="I491" s="336" t="inlineStr"/>
      <c r="J491" s="336" t="inlineStr"/>
      <c r="K491" s="527" t="n"/>
      <c r="L491" s="336" t="inlineStr"/>
      <c r="M491" s="336" t="inlineStr"/>
      <c r="N491" s="336" t="inlineStr"/>
      <c r="O491" s="354" t="inlineStr"/>
      <c r="P491" s="336" t="inlineStr"/>
      <c r="Q491" s="336" t="inlineStr"/>
      <c r="R491" s="336" t="inlineStr"/>
      <c r="S491" s="354" t="inlineStr"/>
      <c r="T491" t="inlineStr"/>
      <c r="U491" t="inlineStr"/>
    </row>
    <row r="492" ht="22.2" customHeight="1" s="375">
      <c r="A492" s="3" t="n"/>
      <c r="E492" s="3" t="n"/>
      <c r="F492" s="3" t="n"/>
      <c r="G492" s="16" t="inlineStr">
        <is>
          <t>รวมขั่วโมงที่สอนแยก ภาระงาน/ เกินภาระงาน</t>
        </is>
      </c>
      <c r="H492" s="518" t="n"/>
      <c r="I492" s="518" t="n"/>
      <c r="J492" s="518" t="n"/>
      <c r="K492" s="432" t="n"/>
      <c r="L492" s="16">
        <f>SUM(L467:L491)</f>
        <v/>
      </c>
      <c r="M492" s="16">
        <f>SUM(M467:M491)</f>
        <v/>
      </c>
      <c r="N492" s="16" t="n"/>
      <c r="O492" s="16" t="n"/>
      <c r="P492" s="16">
        <f>SUM(P467:P491)</f>
        <v/>
      </c>
      <c r="Q492" s="16">
        <f>SUM(Q467:Q491)</f>
        <v/>
      </c>
      <c r="R492" s="349" t="n"/>
      <c r="S492" s="16" t="n"/>
    </row>
    <row r="493" ht="22.2" customHeight="1" s="375">
      <c r="A493" s="3" t="n"/>
      <c r="E493" s="3" t="n"/>
      <c r="F493" s="3" t="n"/>
      <c r="G493" s="16" t="inlineStr">
        <is>
          <t>รวมจำนวนชั่วโมงสอนคาบต่อสับดาห์</t>
        </is>
      </c>
      <c r="H493" s="518" t="n"/>
      <c r="I493" s="518" t="n"/>
      <c r="J493" s="518" t="n"/>
      <c r="K493" s="432" t="n"/>
      <c r="L493" s="16">
        <f>L492+M492</f>
        <v/>
      </c>
      <c r="M493" s="432" t="n"/>
      <c r="N493" s="16" t="n"/>
      <c r="O493" s="348" t="n"/>
      <c r="P493" s="16">
        <f>P492+Q492</f>
        <v/>
      </c>
      <c r="Q493" s="432" t="n"/>
      <c r="R493" s="329" t="n"/>
      <c r="S493" s="336" t="n"/>
    </row>
    <row r="494" ht="22.2" customHeight="1" s="375">
      <c r="A494" s="3" t="n"/>
      <c r="E494" s="3" t="n"/>
      <c r="F494" s="3" t="n"/>
      <c r="G494" s="16" t="inlineStr">
        <is>
          <t>จำนวนชั่วโมงสอนตามภาระงานสอน</t>
        </is>
      </c>
      <c r="H494" s="518" t="n"/>
      <c r="I494" s="518" t="n"/>
      <c r="J494" s="518" t="n"/>
      <c r="K494" s="432" t="n"/>
      <c r="L494" s="131" t="n">
        <v>18</v>
      </c>
      <c r="M494" s="432" t="n"/>
      <c r="N494" s="130" t="n"/>
      <c r="O494" s="131" t="n"/>
      <c r="P494" s="131" t="n">
        <v>0</v>
      </c>
      <c r="Q494" s="432" t="n"/>
      <c r="R494" s="322" t="n"/>
      <c r="S494" s="334" t="n"/>
    </row>
    <row r="495" ht="22.2" customHeight="1" s="375" thickBot="1">
      <c r="A495" s="3" t="n"/>
      <c r="E495" s="3" t="n"/>
      <c r="F495" s="14" t="n"/>
      <c r="G495" s="16" t="inlineStr">
        <is>
          <t>จำนวนชั่วโมงบิกเกินภาระงานสอน/ค่าสอน</t>
        </is>
      </c>
      <c r="H495" s="518" t="n"/>
      <c r="I495" s="518" t="n"/>
      <c r="J495" s="518" t="n"/>
      <c r="K495" s="432" t="n"/>
      <c r="L495" s="17" t="n">
        <v>0</v>
      </c>
      <c r="M495" s="17">
        <f>SUM(M467:M491)</f>
        <v/>
      </c>
      <c r="N495" s="17" t="n"/>
      <c r="O495" s="17">
        <f>SUM(O467:O491)</f>
        <v/>
      </c>
      <c r="P495" s="17" t="n">
        <v>0</v>
      </c>
      <c r="Q495" s="17">
        <f>SUM(Q467:Q491)</f>
        <v/>
      </c>
      <c r="R495" s="18" t="n"/>
      <c r="S495" s="17">
        <f>SUM(S467:S491)</f>
        <v/>
      </c>
    </row>
    <row r="496" ht="22.2" customHeight="1" s="375" thickTop="1">
      <c r="A496" s="337" t="inlineStr">
        <is>
          <t>รวมจำนวนหน่วยชั่วโมงที่ขอเบิกค่าสอน ….</t>
        </is>
      </c>
      <c r="B496" s="518" t="n"/>
      <c r="C496" s="518" t="n"/>
      <c r="D496" s="518" t="n"/>
      <c r="E496" s="518" t="n"/>
      <c r="F496" s="518" t="n"/>
      <c r="G496" s="518" t="n"/>
      <c r="H496" s="348">
        <f>M495+Q495</f>
        <v/>
      </c>
      <c r="I496" s="348" t="inlineStr">
        <is>
          <t>….ชั่วโมง</t>
        </is>
      </c>
      <c r="J496" s="348" t="n"/>
      <c r="K496" s="328" t="inlineStr">
        <is>
          <t>ยอดเงินรวม</t>
        </is>
      </c>
      <c r="L496" s="522" t="n"/>
      <c r="M496" s="522" t="n"/>
      <c r="N496" s="328" t="n"/>
      <c r="O496" s="328" t="n"/>
      <c r="P496" s="339">
        <f>S495+O495</f>
        <v/>
      </c>
      <c r="Q496" s="538" t="n"/>
      <c r="R496" s="20" t="n"/>
      <c r="S496" s="19" t="inlineStr">
        <is>
          <t>..บาท</t>
        </is>
      </c>
    </row>
    <row r="497" ht="22.2" customHeight="1" s="375">
      <c r="A497" s="154" t="inlineStr">
        <is>
          <t>ผู้ขอเบิก</t>
        </is>
      </c>
      <c r="B497" s="153" t="n"/>
      <c r="C497" s="153" t="n"/>
      <c r="D497" s="153" t="n"/>
      <c r="E497" s="153" t="n"/>
      <c r="F497" s="153" t="n"/>
      <c r="G497" s="135" t="n"/>
      <c r="H497" s="154" t="inlineStr">
        <is>
          <t>ผู้รับรอง</t>
        </is>
      </c>
      <c r="I497" s="153" t="n"/>
      <c r="J497" s="153" t="n"/>
      <c r="K497" s="153" t="n"/>
      <c r="L497" s="135" t="n"/>
      <c r="M497" s="154" t="inlineStr">
        <is>
          <t>ผู้ตรวจ</t>
        </is>
      </c>
      <c r="N497" s="153" t="n"/>
      <c r="O497" s="153" t="n"/>
      <c r="P497" s="153" t="n"/>
      <c r="Q497" s="153" t="n"/>
      <c r="R497" s="153" t="n"/>
      <c r="S497" s="135" t="n"/>
    </row>
    <row r="498" ht="22.2" customHeight="1" s="375">
      <c r="A498" s="334" t="inlineStr">
        <is>
          <t>ลงชื่อ……………………………………………</t>
        </is>
      </c>
      <c r="G498" s="374" t="n"/>
      <c r="H498" s="334" t="inlineStr">
        <is>
          <t>ลงชื่อ……………………………………………</t>
        </is>
      </c>
      <c r="L498" s="374" t="n"/>
      <c r="M498" s="334" t="inlineStr">
        <is>
          <t>ลงชื่อ……………………………………………</t>
        </is>
      </c>
      <c r="S498" s="374" t="n"/>
    </row>
    <row r="499" ht="22.2" customHeight="1" s="375">
      <c r="A499" s="11" t="inlineStr">
        <is>
          <t>(</t>
        </is>
      </c>
      <c r="B499" s="324">
        <f>B467</f>
        <v/>
      </c>
      <c r="G499" s="326" t="inlineStr">
        <is>
          <t>)</t>
        </is>
      </c>
      <c r="H499" s="324" t="inlineStr">
        <is>
          <t>(</t>
        </is>
      </c>
      <c r="I499" s="340">
        <f>I453</f>
        <v/>
      </c>
      <c r="L499" s="12" t="inlineStr">
        <is>
          <t>)</t>
        </is>
      </c>
      <c r="M499" s="53" t="inlineStr">
        <is>
          <t>(</t>
        </is>
      </c>
      <c r="N499" s="53" t="n"/>
      <c r="O499" s="324">
        <f>O39</f>
        <v/>
      </c>
      <c r="R499" s="25" t="n"/>
      <c r="S499" s="326" t="inlineStr">
        <is>
          <t>)</t>
        </is>
      </c>
    </row>
    <row r="500" ht="22.2" customHeight="1" s="375">
      <c r="A500" s="540" t="inlineStr">
        <is>
          <t xml:space="preserve">                         ตำแหน่ง  ครู</t>
        </is>
      </c>
      <c r="G500" s="374" t="n"/>
      <c r="H500" s="54" t="inlineStr">
        <is>
          <t>ตำแหน่ง หัวหน้าแผนก</t>
        </is>
      </c>
      <c r="L500" s="374" t="n"/>
      <c r="M500" s="54" t="inlineStr">
        <is>
          <t>ตำแหน่ง   ผู้ตรวจสอบ</t>
        </is>
      </c>
      <c r="S500" s="374" t="n"/>
    </row>
    <row r="501" ht="22.2" customHeight="1" s="375">
      <c r="A501" s="55" t="inlineStr">
        <is>
          <t>วันที่ 22 เดือน กันยายน  พ.ศ.2569</t>
        </is>
      </c>
      <c r="B501" s="522" t="n"/>
      <c r="C501" s="522" t="n"/>
      <c r="D501" s="522" t="n"/>
      <c r="E501" s="522" t="n"/>
      <c r="F501" s="522" t="n"/>
      <c r="G501" s="527" t="n"/>
      <c r="H501" s="54">
        <f>A41</f>
        <v/>
      </c>
      <c r="L501" s="374" t="n"/>
      <c r="M501" s="55">
        <f>A41</f>
        <v/>
      </c>
      <c r="N501" s="522" t="n"/>
      <c r="O501" s="522" t="n"/>
      <c r="P501" s="522" t="n"/>
      <c r="Q501" s="522" t="n"/>
      <c r="R501" s="522" t="n"/>
      <c r="S501" s="527" t="n"/>
    </row>
    <row r="502" ht="22.2" customHeight="1" s="375">
      <c r="A502" s="154" t="inlineStr">
        <is>
          <t>ผู้ตรวจ</t>
        </is>
      </c>
      <c r="B502" s="153" t="n"/>
      <c r="C502" s="153" t="n"/>
      <c r="D502" s="153" t="n"/>
      <c r="E502" s="153" t="n"/>
      <c r="F502" s="153" t="n"/>
      <c r="G502" s="153" t="n"/>
      <c r="H502" s="153" t="n"/>
      <c r="I502" s="135" t="n"/>
      <c r="J502" s="154" t="inlineStr">
        <is>
          <t>ผู้เห็นชอบ</t>
        </is>
      </c>
      <c r="K502" s="153" t="n"/>
      <c r="L502" s="153" t="n"/>
      <c r="M502" s="153" t="n"/>
      <c r="N502" s="153" t="n"/>
      <c r="O502" s="153" t="n"/>
      <c r="P502" s="153" t="n"/>
      <c r="Q502" s="153" t="n"/>
      <c r="R502" s="153" t="n"/>
      <c r="S502" s="135" t="n"/>
    </row>
    <row r="503" ht="22.2" customHeight="1" s="375">
      <c r="A503" s="334" t="inlineStr">
        <is>
          <t>ลงชื่อ……………………………………………</t>
        </is>
      </c>
      <c r="I503" s="374" t="n"/>
      <c r="J503" s="334" t="inlineStr">
        <is>
          <t>ลงชื่อ……………………………………………</t>
        </is>
      </c>
      <c r="S503" s="374" t="n"/>
    </row>
    <row r="504" ht="22.2" customHeight="1" s="375">
      <c r="A504" s="11" t="n"/>
      <c r="B504" s="324">
        <f>B44</f>
        <v/>
      </c>
      <c r="I504" s="326" t="n"/>
      <c r="J504" s="25" t="n"/>
      <c r="K504" s="25" t="n"/>
      <c r="L504" s="324">
        <f>L44</f>
        <v/>
      </c>
      <c r="R504" s="25" t="n"/>
      <c r="S504" s="12" t="n"/>
    </row>
    <row r="505" ht="22.2" customHeight="1" s="375">
      <c r="A505" s="54" t="inlineStr">
        <is>
          <t>ตำแหน่งครู  หัวหน้างานพัฒนาหลักสูตร ฯ</t>
        </is>
      </c>
      <c r="I505" s="374" t="n"/>
      <c r="J505" s="54" t="inlineStr">
        <is>
          <t>ตำแหน่ง  รองผู้อำนวยการฝ่ายวิชาการ</t>
        </is>
      </c>
      <c r="S505" s="374" t="n"/>
    </row>
    <row r="506" ht="22.2" customHeight="1" s="375">
      <c r="A506" s="336" t="inlineStr">
        <is>
          <t>วันที่.......เดือน..........................พ.ศ..............</t>
        </is>
      </c>
      <c r="B506" s="522" t="n"/>
      <c r="C506" s="522" t="n"/>
      <c r="D506" s="522" t="n"/>
      <c r="E506" s="522" t="n"/>
      <c r="F506" s="522" t="n"/>
      <c r="G506" s="522" t="n"/>
      <c r="H506" s="522" t="n"/>
      <c r="I506" s="527" t="n"/>
      <c r="J506" s="336" t="inlineStr">
        <is>
          <t>วันที่.......เดือน..........................พ.ศ..............</t>
        </is>
      </c>
      <c r="K506" s="522" t="n"/>
      <c r="L506" s="522" t="n"/>
      <c r="M506" s="522" t="n"/>
      <c r="N506" s="522" t="n"/>
      <c r="O506" s="522" t="n"/>
      <c r="P506" s="522" t="n"/>
      <c r="Q506" s="522" t="n"/>
      <c r="R506" s="522" t="n"/>
      <c r="S506" s="527" t="n"/>
    </row>
    <row r="507" ht="22.2" customHeight="1" s="375">
      <c r="A507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75">
      <c r="A508" s="365" t="inlineStr">
        <is>
          <t>แผนกวิชาช่างยนต์</t>
        </is>
      </c>
    </row>
    <row r="509" ht="22.2" customHeight="1" s="375">
      <c r="A509" s="366" t="inlineStr">
        <is>
          <t xml:space="preserve">    ระหว่างวันที่</t>
        </is>
      </c>
      <c r="D509" s="365">
        <f>D3</f>
        <v/>
      </c>
      <c r="E509" s="365" t="inlineStr">
        <is>
          <t xml:space="preserve">   เดือน  </t>
        </is>
      </c>
      <c r="F509" s="365">
        <f>F3</f>
        <v/>
      </c>
      <c r="H509" s="365">
        <f>H3</f>
        <v/>
      </c>
      <c r="I509" s="365" t="inlineStr">
        <is>
          <t xml:space="preserve">     ถึง วันที่</t>
        </is>
      </c>
      <c r="J509" s="365">
        <f>J3</f>
        <v/>
      </c>
      <c r="K509" s="365" t="inlineStr">
        <is>
          <t xml:space="preserve">   เดือน </t>
        </is>
      </c>
      <c r="L509" s="365">
        <f>L3</f>
        <v/>
      </c>
      <c r="N509" s="365">
        <f>N3</f>
        <v/>
      </c>
      <c r="P509" s="365" t="n"/>
      <c r="R509" s="365" t="n"/>
    </row>
    <row r="510" ht="22.2" customHeight="1" s="375">
      <c r="G510" s="51" t="inlineStr">
        <is>
          <t>ü</t>
        </is>
      </c>
      <c r="H510" s="351" t="inlineStr">
        <is>
          <t>ครู</t>
        </is>
      </c>
      <c r="I510" s="322" t="inlineStr">
        <is>
          <t>หน้าที่พิเศษ</t>
        </is>
      </c>
      <c r="J510" s="351" t="inlineStr">
        <is>
          <t>รหัสวิชา</t>
        </is>
      </c>
    </row>
    <row r="511" ht="22.2" customHeight="1" s="375">
      <c r="A511" s="24" t="inlineStr">
        <is>
          <t>ที่</t>
        </is>
      </c>
      <c r="B511" s="24" t="inlineStr">
        <is>
          <t>ชื่อ-สกุล</t>
        </is>
      </c>
      <c r="C511" s="153" t="n"/>
      <c r="D511" s="135" t="n"/>
      <c r="E511" s="15" t="inlineStr">
        <is>
          <t>ตำแหน่ง</t>
        </is>
      </c>
      <c r="F511" s="16" t="inlineStr">
        <is>
          <t>ระยะเวลาที่สอน</t>
        </is>
      </c>
      <c r="G511" s="432" t="n"/>
      <c r="H511" s="16" t="inlineStr">
        <is>
          <t>รหัสวิชา</t>
        </is>
      </c>
      <c r="I511" s="362" t="inlineStr">
        <is>
          <t>ชั้น,แผนก,ห้อง</t>
        </is>
      </c>
      <c r="J511" s="16" t="inlineStr">
        <is>
          <t>เวลาสอน</t>
        </is>
      </c>
      <c r="K511" s="135" t="n"/>
      <c r="L511" s="16" t="inlineStr">
        <is>
          <t>ปวช.(คาบ)</t>
        </is>
      </c>
      <c r="M511" s="432" t="n"/>
      <c r="N511" s="354" t="inlineStr">
        <is>
          <t>เงิน</t>
        </is>
      </c>
      <c r="O511" s="362" t="inlineStr">
        <is>
          <t>ยอดเงิน</t>
        </is>
      </c>
      <c r="P511" s="524" t="inlineStr">
        <is>
          <t>ปวส.(คาบ)</t>
        </is>
      </c>
      <c r="Q511" s="432" t="n"/>
      <c r="R511" s="354" t="inlineStr">
        <is>
          <t>เงิน</t>
        </is>
      </c>
      <c r="S511" s="362" t="inlineStr">
        <is>
          <t>ยอดเงิน</t>
        </is>
      </c>
    </row>
    <row r="512" ht="22.2" customHeight="1" s="375">
      <c r="A512" s="52" t="n"/>
      <c r="B512" s="8" t="n"/>
      <c r="C512" s="9" t="n"/>
      <c r="D512" s="13" t="n"/>
      <c r="E512" s="10" t="n"/>
      <c r="F512" s="336" t="inlineStr">
        <is>
          <t>ส.</t>
        </is>
      </c>
      <c r="G512" s="336" t="inlineStr">
        <is>
          <t>วดป.</t>
        </is>
      </c>
      <c r="H512" s="525" t="n"/>
      <c r="I512" s="336" t="n"/>
      <c r="J512" s="526" t="n"/>
      <c r="K512" s="527" t="n"/>
      <c r="L512" s="336" t="inlineStr">
        <is>
          <t>ใน</t>
        </is>
      </c>
      <c r="M512" s="336" t="inlineStr">
        <is>
          <t>นอก</t>
        </is>
      </c>
      <c r="N512" s="336" t="inlineStr">
        <is>
          <t>ต่อ ชม.</t>
        </is>
      </c>
      <c r="O512" s="336" t="inlineStr">
        <is>
          <t>(บาท)</t>
        </is>
      </c>
      <c r="P512" s="52" t="inlineStr">
        <is>
          <t>ใน</t>
        </is>
      </c>
      <c r="Q512" s="52" t="inlineStr">
        <is>
          <t>นอก</t>
        </is>
      </c>
      <c r="R512" s="336" t="inlineStr">
        <is>
          <t>ต่อ ชม.</t>
        </is>
      </c>
      <c r="S512" s="336" t="inlineStr">
        <is>
          <t>(บาท)</t>
        </is>
      </c>
    </row>
    <row r="513" ht="22.2" customHeight="1" s="375">
      <c r="A513" s="362" t="n">
        <v>12</v>
      </c>
      <c r="B513" s="528">
        <f>AB14</f>
        <v/>
      </c>
      <c r="C513" s="153" t="n"/>
      <c r="D513" s="135" t="n"/>
      <c r="E513" s="362" t="inlineStr">
        <is>
          <t>ครู</t>
        </is>
      </c>
      <c r="F513" s="5" t="n">
        <v>1</v>
      </c>
      <c r="G513" s="529" t="inlineStr">
        <is>
          <t>จันทร์</t>
        </is>
      </c>
      <c r="H513" s="376" t="inlineStr"/>
      <c r="I513" s="334" t="inlineStr"/>
      <c r="J513" s="381" t="inlineStr"/>
      <c r="K513" s="135" t="n"/>
      <c r="L513" s="367" t="inlineStr"/>
      <c r="M513" s="381" t="inlineStr"/>
      <c r="N513" s="381" t="inlineStr"/>
      <c r="O513" s="354" t="inlineStr"/>
      <c r="P513" s="381" t="inlineStr"/>
      <c r="Q513" s="367" t="inlineStr"/>
      <c r="R513" s="381" t="inlineStr"/>
      <c r="S513" s="354" t="inlineStr"/>
      <c r="T513" t="inlineStr"/>
      <c r="U513" t="inlineStr"/>
    </row>
    <row r="514" ht="22.2" customHeight="1" s="375">
      <c r="A514" s="3" t="n"/>
      <c r="B514" s="530" t="n"/>
      <c r="D514" s="374" t="n"/>
      <c r="E514" s="46" t="n"/>
      <c r="F514" s="322" t="n"/>
      <c r="G514" s="535" t="inlineStr">
        <is>
          <t>14 ก.ย.69</t>
        </is>
      </c>
      <c r="H514" s="376" t="inlineStr"/>
      <c r="I514" s="334" t="inlineStr"/>
      <c r="J514" s="334" t="inlineStr"/>
      <c r="K514" s="374" t="n"/>
      <c r="L514" s="334" t="inlineStr"/>
      <c r="M514" s="334" t="inlineStr"/>
      <c r="N514" s="334" t="inlineStr"/>
      <c r="O514" s="354" t="inlineStr"/>
      <c r="P514" s="334" t="inlineStr"/>
      <c r="Q514" s="334" t="inlineStr"/>
      <c r="R514" s="334" t="inlineStr"/>
      <c r="S514" s="354" t="inlineStr"/>
      <c r="T514" t="inlineStr"/>
      <c r="U514" t="inlineStr"/>
    </row>
    <row r="515" ht="22.2" customHeight="1" s="375">
      <c r="A515" s="3" t="n"/>
      <c r="B515" s="313" t="n"/>
      <c r="D515" s="314" t="n"/>
      <c r="E515" s="314" t="n"/>
      <c r="F515" s="322" t="n"/>
      <c r="G515" s="321" t="inlineStr"/>
      <c r="H515" s="376" t="inlineStr"/>
      <c r="I515" s="334" t="inlineStr"/>
      <c r="J515" s="334" t="inlineStr"/>
      <c r="K515" s="374" t="n"/>
      <c r="L515" s="334" t="inlineStr"/>
      <c r="M515" s="334" t="inlineStr"/>
      <c r="N515" s="334" t="inlineStr"/>
      <c r="O515" s="354" t="inlineStr"/>
      <c r="P515" s="334" t="inlineStr"/>
      <c r="Q515" s="334" t="inlineStr"/>
      <c r="R515" s="334" t="inlineStr"/>
      <c r="S515" s="354" t="inlineStr"/>
      <c r="T515" t="inlineStr"/>
      <c r="U515" t="inlineStr"/>
    </row>
    <row r="516" ht="22.2" customHeight="1" s="375">
      <c r="A516" s="3" t="n"/>
      <c r="B516" s="313" t="n"/>
      <c r="E516" s="3" t="n"/>
      <c r="F516" s="322" t="n"/>
      <c r="G516" s="321" t="inlineStr"/>
      <c r="H516" s="334" t="inlineStr"/>
      <c r="I516" s="334" t="inlineStr"/>
      <c r="J516" s="334" t="inlineStr"/>
      <c r="K516" s="374" t="n"/>
      <c r="L516" s="334" t="inlineStr"/>
      <c r="M516" s="334" t="inlineStr"/>
      <c r="N516" s="334" t="inlineStr"/>
      <c r="O516" s="354" t="inlineStr"/>
      <c r="P516" s="334" t="inlineStr"/>
      <c r="Q516" s="334" t="inlineStr"/>
      <c r="R516" s="334" t="inlineStr"/>
      <c r="S516" s="354" t="inlineStr"/>
      <c r="T516" t="inlineStr"/>
      <c r="U516" t="inlineStr"/>
    </row>
    <row r="517" ht="22.2" customHeight="1" s="375">
      <c r="A517" s="3" t="n"/>
      <c r="E517" s="3" t="n"/>
      <c r="G517" s="344" t="inlineStr"/>
      <c r="H517" s="336" t="inlineStr"/>
      <c r="I517" s="336" t="inlineStr"/>
      <c r="J517" s="336" t="inlineStr"/>
      <c r="K517" s="527" t="n"/>
      <c r="L517" s="334" t="inlineStr"/>
      <c r="M517" s="334" t="inlineStr"/>
      <c r="N517" s="334" t="inlineStr"/>
      <c r="O517" s="354" t="inlineStr"/>
      <c r="P517" s="334" t="inlineStr"/>
      <c r="Q517" s="334" t="inlineStr"/>
      <c r="R517" s="334" t="inlineStr"/>
      <c r="S517" s="354" t="inlineStr"/>
      <c r="T517" t="inlineStr"/>
      <c r="U517" t="inlineStr"/>
    </row>
    <row r="518" ht="22.2" customHeight="1" s="375">
      <c r="A518" s="3" t="n"/>
      <c r="E518" s="3" t="n"/>
      <c r="G518" s="533" t="inlineStr">
        <is>
          <t>อังคาร</t>
        </is>
      </c>
      <c r="H518" s="376" t="inlineStr">
        <is>
          <t>20101-2013</t>
        </is>
      </c>
      <c r="I518" s="334" t="inlineStr">
        <is>
          <t>ชย.3/7 (26)</t>
        </is>
      </c>
      <c r="J518" s="381" t="inlineStr">
        <is>
          <t>08:10 - 12:10</t>
        </is>
      </c>
      <c r="K518" s="135" t="n"/>
      <c r="L518" s="367" t="n">
        <v>4</v>
      </c>
      <c r="M518" s="381" t="inlineStr"/>
      <c r="N518" s="381" t="inlineStr"/>
      <c r="O518" s="354" t="inlineStr"/>
      <c r="P518" s="381" t="inlineStr"/>
      <c r="Q518" s="367" t="inlineStr"/>
      <c r="R518" s="381" t="inlineStr"/>
      <c r="S518" s="354" t="inlineStr"/>
      <c r="T518" t="inlineStr"/>
      <c r="U518" t="inlineStr"/>
    </row>
    <row r="519" ht="22.2" customHeight="1" s="375">
      <c r="A519" s="3" t="n"/>
      <c r="E519" s="3" t="n"/>
      <c r="G519" s="535" t="inlineStr">
        <is>
          <t>15 ก.ย.69</t>
        </is>
      </c>
      <c r="H519" s="376" t="inlineStr">
        <is>
          <t>20101-2013</t>
        </is>
      </c>
      <c r="I519" s="334" t="inlineStr">
        <is>
          <t>ชย.3/7 (26)</t>
        </is>
      </c>
      <c r="J519" s="376" t="inlineStr">
        <is>
          <t>13:10 - 16:10</t>
        </is>
      </c>
      <c r="K519" s="374" t="n"/>
      <c r="L519" s="334" t="n">
        <v>3</v>
      </c>
      <c r="M519" s="334" t="inlineStr"/>
      <c r="N519" s="334" t="inlineStr"/>
      <c r="O519" s="354" t="inlineStr"/>
      <c r="P519" s="334" t="inlineStr"/>
      <c r="Q519" s="334" t="inlineStr"/>
      <c r="R519" s="334" t="inlineStr"/>
      <c r="S519" s="354" t="inlineStr"/>
      <c r="T519" t="inlineStr"/>
      <c r="U519" t="inlineStr"/>
    </row>
    <row r="520" ht="22.2" customHeight="1" s="375">
      <c r="A520" s="3" t="n"/>
      <c r="B520" s="313" t="n"/>
      <c r="D520" s="314" t="n"/>
      <c r="E520" s="314" t="n"/>
      <c r="G520" s="334" t="inlineStr"/>
      <c r="H520" s="376" t="inlineStr">
        <is>
          <t>20101-2020</t>
        </is>
      </c>
      <c r="I520" s="376" t="inlineStr">
        <is>
          <t>ชย.3/1,ชย.3/2 (26)</t>
        </is>
      </c>
      <c r="J520" s="334" t="inlineStr">
        <is>
          <t>17:10 - 21:10</t>
        </is>
      </c>
      <c r="K520" s="374" t="n"/>
      <c r="L520" s="334" t="n">
        <v>4</v>
      </c>
      <c r="M520" s="334" t="inlineStr"/>
      <c r="N520" s="334" t="inlineStr"/>
      <c r="O520" s="354" t="inlineStr"/>
      <c r="P520" s="334" t="inlineStr"/>
      <c r="Q520" s="334" t="inlineStr"/>
      <c r="R520" s="334" t="inlineStr"/>
      <c r="S520" s="354" t="inlineStr"/>
      <c r="T520" t="inlineStr"/>
      <c r="U520" t="inlineStr"/>
    </row>
    <row r="521" ht="22.2" customHeight="1" s="375">
      <c r="A521" s="3" t="n"/>
      <c r="E521" s="3" t="n"/>
      <c r="G521" s="54" t="inlineStr"/>
      <c r="H521" s="322" t="inlineStr"/>
      <c r="I521" s="334" t="inlineStr"/>
      <c r="J521" s="334" t="inlineStr"/>
      <c r="K521" s="374" t="n"/>
      <c r="L521" s="334" t="inlineStr"/>
      <c r="M521" s="334" t="inlineStr"/>
      <c r="N521" s="334" t="inlineStr"/>
      <c r="O521" s="354" t="inlineStr"/>
      <c r="P521" s="334" t="inlineStr"/>
      <c r="Q521" s="334" t="inlineStr"/>
      <c r="R521" s="334" t="inlineStr"/>
      <c r="S521" s="354" t="inlineStr"/>
      <c r="T521" t="inlineStr"/>
      <c r="U521" t="inlineStr"/>
    </row>
    <row r="522" ht="22.2" customHeight="1" s="375">
      <c r="A522" s="3" t="n"/>
      <c r="D522" s="7" t="inlineStr">
        <is>
          <t> </t>
        </is>
      </c>
      <c r="E522" s="3" t="n"/>
      <c r="G522" s="55" t="inlineStr"/>
      <c r="H522" s="336" t="inlineStr"/>
      <c r="I522" s="336" t="inlineStr"/>
      <c r="J522" s="336" t="inlineStr"/>
      <c r="K522" s="527" t="n"/>
      <c r="L522" s="334" t="inlineStr"/>
      <c r="M522" s="334" t="inlineStr"/>
      <c r="N522" s="334" t="inlineStr"/>
      <c r="O522" s="354" t="inlineStr"/>
      <c r="P522" s="334" t="inlineStr"/>
      <c r="Q522" s="334" t="inlineStr"/>
      <c r="R522" s="334" t="inlineStr"/>
      <c r="S522" s="354" t="inlineStr"/>
      <c r="T522" t="inlineStr"/>
      <c r="U522" t="inlineStr"/>
    </row>
    <row r="523" ht="22.2" customHeight="1" s="375">
      <c r="A523" s="3" t="n"/>
      <c r="E523" s="3" t="n"/>
      <c r="G523" s="535" t="inlineStr">
        <is>
          <t>พุธ</t>
        </is>
      </c>
      <c r="H523" s="376" t="inlineStr">
        <is>
          <t>20101-2002</t>
        </is>
      </c>
      <c r="I523" s="376" t="inlineStr">
        <is>
          <t>ชย.1/5 (26)</t>
        </is>
      </c>
      <c r="J523" s="381" t="inlineStr">
        <is>
          <t>08:10 - 12:10</t>
        </is>
      </c>
      <c r="K523" s="135" t="n"/>
      <c r="L523" s="367" t="n">
        <v>4</v>
      </c>
      <c r="M523" s="381" t="inlineStr"/>
      <c r="N523" s="381" t="inlineStr"/>
      <c r="O523" s="354" t="inlineStr"/>
      <c r="P523" s="381" t="inlineStr"/>
      <c r="Q523" s="367" t="inlineStr"/>
      <c r="R523" s="381" t="inlineStr"/>
      <c r="S523" s="354" t="inlineStr"/>
      <c r="T523" t="inlineStr"/>
      <c r="U523" t="inlineStr"/>
    </row>
    <row r="524" ht="22.2" customHeight="1" s="375">
      <c r="A524" s="3" t="n"/>
      <c r="B524" s="321" t="n"/>
      <c r="C524" s="322" t="n"/>
      <c r="D524" s="322" t="n"/>
      <c r="E524" s="334" t="n"/>
      <c r="G524" s="535" t="inlineStr">
        <is>
          <t>16 ก.ย.69</t>
        </is>
      </c>
      <c r="H524" s="376" t="inlineStr">
        <is>
          <t>20101-2002</t>
        </is>
      </c>
      <c r="I524" s="376" t="inlineStr">
        <is>
          <t>ชย.1/5 (26)</t>
        </is>
      </c>
      <c r="J524" s="334" t="inlineStr">
        <is>
          <t>13:10 - 16:10</t>
        </is>
      </c>
      <c r="K524" s="374" t="n"/>
      <c r="L524" s="334" t="n">
        <v>3</v>
      </c>
      <c r="M524" s="334" t="inlineStr"/>
      <c r="N524" s="334" t="inlineStr"/>
      <c r="O524" s="354" t="inlineStr"/>
      <c r="P524" s="334" t="inlineStr"/>
      <c r="Q524" s="334" t="inlineStr"/>
      <c r="R524" s="334" t="inlineStr"/>
      <c r="S524" s="354" t="inlineStr"/>
      <c r="T524" t="inlineStr"/>
      <c r="U524" t="inlineStr"/>
    </row>
    <row r="525" ht="22.2" customHeight="1" s="375">
      <c r="A525" s="3" t="n"/>
      <c r="B525" s="313" t="n"/>
      <c r="D525" s="314" t="n"/>
      <c r="E525" s="314" t="n"/>
      <c r="G525" s="334" t="inlineStr"/>
      <c r="H525" s="376" t="inlineStr">
        <is>
          <t>20101-2020</t>
        </is>
      </c>
      <c r="I525" s="376" t="inlineStr">
        <is>
          <t>ชย.3/1,ชย.3/2 (26)</t>
        </is>
      </c>
      <c r="J525" s="334" t="inlineStr">
        <is>
          <t>17:10 - 21:10</t>
        </is>
      </c>
      <c r="K525" s="374" t="n"/>
      <c r="L525" s="334" t="n">
        <v>3</v>
      </c>
      <c r="M525" s="334" t="n">
        <v>1</v>
      </c>
      <c r="N525" s="334" t="n">
        <v>200</v>
      </c>
      <c r="O525" s="354">
        <f>M525*N525</f>
        <v/>
      </c>
      <c r="P525" s="334" t="inlineStr"/>
      <c r="Q525" s="334" t="inlineStr"/>
      <c r="R525" s="334" t="inlineStr"/>
      <c r="S525" s="354" t="inlineStr"/>
      <c r="T525" t="inlineStr"/>
      <c r="U525" t="inlineStr"/>
    </row>
    <row r="526" ht="22.2" customHeight="1" s="375">
      <c r="A526" s="3" t="n"/>
      <c r="E526" s="3" t="n"/>
      <c r="G526" s="321" t="inlineStr"/>
      <c r="H526" s="321" t="inlineStr"/>
      <c r="I526" s="334" t="inlineStr"/>
      <c r="J526" s="334" t="inlineStr"/>
      <c r="K526" s="374" t="n"/>
      <c r="L526" s="334" t="inlineStr"/>
      <c r="M526" s="334" t="inlineStr"/>
      <c r="N526" s="334" t="inlineStr"/>
      <c r="O526" s="354" t="inlineStr"/>
      <c r="P526" s="334" t="inlineStr"/>
      <c r="Q526" s="334" t="inlineStr"/>
      <c r="R526" s="334" t="inlineStr"/>
      <c r="S526" s="354" t="inlineStr"/>
      <c r="T526" t="inlineStr"/>
      <c r="U526" t="inlineStr"/>
    </row>
    <row r="527" ht="22.2" customHeight="1" s="375">
      <c r="A527" s="3" t="n"/>
      <c r="E527" s="3" t="n"/>
      <c r="G527" s="327" t="inlineStr"/>
      <c r="H527" s="327" t="inlineStr"/>
      <c r="I527" s="336" t="inlineStr"/>
      <c r="J527" s="336" t="inlineStr"/>
      <c r="K527" s="527" t="n"/>
      <c r="L527" s="336" t="inlineStr"/>
      <c r="M527" s="336" t="inlineStr"/>
      <c r="N527" s="336" t="inlineStr"/>
      <c r="O527" s="354" t="inlineStr"/>
      <c r="P527" s="336" t="inlineStr"/>
      <c r="Q527" s="336" t="inlineStr"/>
      <c r="R527" s="336" t="inlineStr"/>
      <c r="S527" s="354" t="inlineStr"/>
      <c r="T527" t="inlineStr"/>
      <c r="U527" t="inlineStr"/>
    </row>
    <row r="528" ht="22.2" customHeight="1" s="375">
      <c r="A528" s="3" t="n"/>
      <c r="E528" s="3" t="n"/>
      <c r="G528" s="533" t="inlineStr">
        <is>
          <t>พฤหัส</t>
        </is>
      </c>
      <c r="H528" s="376" t="inlineStr">
        <is>
          <t>20101-2002</t>
        </is>
      </c>
      <c r="I528" s="376" t="inlineStr">
        <is>
          <t>ชย.1/8 (26)</t>
        </is>
      </c>
      <c r="J528" s="381" t="inlineStr">
        <is>
          <t>08:10 - 12:10</t>
        </is>
      </c>
      <c r="K528" s="135" t="n"/>
      <c r="L528" s="362" t="inlineStr"/>
      <c r="M528" s="334" t="n">
        <v>4</v>
      </c>
      <c r="N528" s="334" t="n">
        <v>200</v>
      </c>
      <c r="O528" s="354">
        <f>M528*N528</f>
        <v/>
      </c>
      <c r="P528" s="334" t="inlineStr"/>
      <c r="Q528" s="362" t="inlineStr"/>
      <c r="R528" s="362" t="inlineStr"/>
      <c r="S528" s="354" t="inlineStr"/>
      <c r="T528" t="inlineStr"/>
      <c r="U528" t="inlineStr"/>
    </row>
    <row r="529" ht="22.2" customHeight="1" s="375">
      <c r="A529" s="3" t="n"/>
      <c r="E529" s="3" t="n"/>
      <c r="G529" s="535" t="inlineStr">
        <is>
          <t>17 ก.ย.69</t>
        </is>
      </c>
      <c r="H529" s="376" t="inlineStr">
        <is>
          <t>20000-2005</t>
        </is>
      </c>
      <c r="I529" s="334" t="inlineStr">
        <is>
          <t>ชยฟ.3/1 (26)</t>
        </is>
      </c>
      <c r="J529" s="334" t="inlineStr">
        <is>
          <t>13:10 - 15:10</t>
        </is>
      </c>
      <c r="K529" s="374" t="n"/>
      <c r="L529" s="376" t="n">
        <v>2</v>
      </c>
      <c r="M529" s="334" t="inlineStr"/>
      <c r="N529" s="334" t="inlineStr"/>
      <c r="O529" s="354" t="inlineStr"/>
      <c r="P529" s="334" t="inlineStr"/>
      <c r="Q529" s="334" t="inlineStr"/>
      <c r="R529" s="334" t="inlineStr"/>
      <c r="S529" s="354" t="inlineStr"/>
      <c r="T529" t="inlineStr"/>
      <c r="U529" t="inlineStr"/>
    </row>
    <row r="530" ht="22.2" customHeight="1" s="375">
      <c r="A530" s="3" t="n"/>
      <c r="B530" s="313" t="n"/>
      <c r="E530" s="3" t="n"/>
      <c r="G530" s="334" t="inlineStr"/>
      <c r="H530" s="376" t="inlineStr">
        <is>
          <t>20101-2002</t>
        </is>
      </c>
      <c r="I530" s="376" t="inlineStr">
        <is>
          <t>ชย.1/8 (26)</t>
        </is>
      </c>
      <c r="J530" s="376" t="inlineStr">
        <is>
          <t>15:10 - 18:10</t>
        </is>
      </c>
      <c r="K530" s="374" t="n"/>
      <c r="L530" s="376" t="inlineStr"/>
      <c r="M530" s="376" t="n">
        <v>3</v>
      </c>
      <c r="N530" s="376" t="n">
        <v>200</v>
      </c>
      <c r="O530" s="354">
        <f>M530*N530</f>
        <v/>
      </c>
      <c r="P530" s="376" t="inlineStr"/>
      <c r="Q530" s="376" t="inlineStr"/>
      <c r="R530" s="376" t="inlineStr"/>
      <c r="S530" s="354" t="inlineStr"/>
      <c r="T530" t="inlineStr"/>
      <c r="U530" t="inlineStr"/>
    </row>
    <row r="531" ht="22.2" customHeight="1" s="375">
      <c r="A531" s="3" t="n"/>
      <c r="E531" s="3" t="n"/>
      <c r="G531" s="334" t="inlineStr"/>
      <c r="H531" s="334" t="inlineStr">
        <is>
          <t>20101-2020</t>
        </is>
      </c>
      <c r="I531" s="334" t="inlineStr">
        <is>
          <t>ชย.3/1,ชย.3/2 (26)</t>
        </is>
      </c>
      <c r="J531" s="334" t="inlineStr">
        <is>
          <t>18:10 - 21:10</t>
        </is>
      </c>
      <c r="K531" s="374" t="n"/>
      <c r="L531" s="334" t="inlineStr"/>
      <c r="M531" s="334" t="n">
        <v>3</v>
      </c>
      <c r="N531" s="334" t="n">
        <v>200</v>
      </c>
      <c r="O531" s="354">
        <f>M531*N531</f>
        <v/>
      </c>
      <c r="P531" s="334" t="inlineStr"/>
      <c r="Q531" s="334" t="inlineStr"/>
      <c r="R531" s="334" t="inlineStr"/>
      <c r="S531" s="354" t="inlineStr"/>
      <c r="T531" t="inlineStr"/>
      <c r="U531" t="inlineStr"/>
    </row>
    <row r="532" ht="22.2" customHeight="1" s="375">
      <c r="A532" s="3" t="n"/>
      <c r="E532" s="3" t="n"/>
      <c r="G532" s="336" t="inlineStr"/>
      <c r="H532" s="328" t="inlineStr"/>
      <c r="I532" s="336" t="inlineStr"/>
      <c r="J532" s="336" t="inlineStr"/>
      <c r="K532" s="527" t="n"/>
      <c r="L532" s="336" t="inlineStr"/>
      <c r="M532" s="336" t="inlineStr"/>
      <c r="N532" s="336" t="inlineStr"/>
      <c r="O532" s="354" t="inlineStr"/>
      <c r="P532" s="336" t="inlineStr"/>
      <c r="Q532" s="336" t="inlineStr"/>
      <c r="R532" s="336" t="inlineStr"/>
      <c r="S532" s="354" t="inlineStr"/>
      <c r="T532" t="inlineStr"/>
      <c r="U532" t="inlineStr"/>
    </row>
    <row r="533" ht="22.2" customHeight="1" s="375">
      <c r="A533" s="3" t="n"/>
      <c r="E533" s="3" t="n"/>
      <c r="G533" s="533" t="inlineStr">
        <is>
          <t>ศุกร์</t>
        </is>
      </c>
      <c r="H533" s="376" t="inlineStr">
        <is>
          <t>20101-2020</t>
        </is>
      </c>
      <c r="I533" s="376" t="inlineStr">
        <is>
          <t>ชย.3/1,ชย.3/2 (26)</t>
        </is>
      </c>
      <c r="J533" s="381" t="inlineStr">
        <is>
          <t>17:10 - 18:10</t>
        </is>
      </c>
      <c r="K533" s="135" t="n"/>
      <c r="L533" s="367" t="inlineStr"/>
      <c r="M533" s="381" t="n">
        <v>1</v>
      </c>
      <c r="N533" s="381" t="n">
        <v>200</v>
      </c>
      <c r="O533" s="354">
        <f>M533*N533</f>
        <v/>
      </c>
      <c r="P533" s="381" t="inlineStr"/>
      <c r="Q533" s="367" t="inlineStr"/>
      <c r="R533" s="381" t="inlineStr"/>
      <c r="S533" s="354" t="inlineStr"/>
      <c r="T533" t="inlineStr"/>
      <c r="U533" t="inlineStr"/>
    </row>
    <row r="534" ht="22.2" customHeight="1" s="375">
      <c r="A534" s="3" t="n"/>
      <c r="E534" s="3" t="n"/>
      <c r="G534" s="535" t="inlineStr">
        <is>
          <t>18 ก.ย.69</t>
        </is>
      </c>
      <c r="H534" s="376" t="inlineStr"/>
      <c r="I534" s="376" t="inlineStr"/>
      <c r="J534" s="376" t="inlineStr"/>
      <c r="K534" s="374" t="n"/>
      <c r="L534" s="334" t="inlineStr"/>
      <c r="M534" s="334" t="inlineStr"/>
      <c r="N534" s="334" t="inlineStr"/>
      <c r="O534" s="354" t="inlineStr"/>
      <c r="P534" s="334" t="inlineStr"/>
      <c r="Q534" s="334" t="inlineStr"/>
      <c r="R534" s="334" t="inlineStr"/>
      <c r="S534" s="354" t="inlineStr"/>
      <c r="T534" t="inlineStr"/>
      <c r="U534" t="inlineStr"/>
    </row>
    <row r="535" ht="22.2" customHeight="1" s="375">
      <c r="A535" s="3" t="n"/>
      <c r="E535" s="3" t="n"/>
      <c r="G535" s="334" t="inlineStr"/>
      <c r="H535" s="376" t="inlineStr"/>
      <c r="I535" s="376" t="inlineStr"/>
      <c r="J535" s="376" t="inlineStr"/>
      <c r="K535" s="374" t="n"/>
      <c r="L535" s="334" t="inlineStr"/>
      <c r="M535" s="334" t="inlineStr"/>
      <c r="N535" s="334" t="inlineStr"/>
      <c r="O535" s="354" t="inlineStr"/>
      <c r="P535" s="334" t="inlineStr"/>
      <c r="Q535" s="334" t="inlineStr"/>
      <c r="R535" s="334" t="inlineStr"/>
      <c r="S535" s="354" t="inlineStr"/>
      <c r="T535" t="inlineStr"/>
      <c r="U535" t="inlineStr"/>
    </row>
    <row r="536" ht="22.2" customHeight="1" s="375">
      <c r="A536" s="3" t="n"/>
      <c r="E536" s="3" t="n"/>
      <c r="G536" s="334" t="inlineStr"/>
      <c r="H536" s="322" t="inlineStr"/>
      <c r="I536" s="334" t="inlineStr"/>
      <c r="J536" s="334" t="inlineStr"/>
      <c r="K536" s="374" t="n"/>
      <c r="L536" s="334" t="inlineStr"/>
      <c r="M536" s="334" t="inlineStr"/>
      <c r="N536" s="334" t="inlineStr"/>
      <c r="O536" s="354" t="inlineStr"/>
      <c r="P536" s="334" t="inlineStr"/>
      <c r="Q536" s="334" t="inlineStr"/>
      <c r="R536" s="334" t="inlineStr"/>
      <c r="S536" s="354" t="inlineStr"/>
      <c r="T536" t="inlineStr"/>
      <c r="U536" t="inlineStr"/>
    </row>
    <row r="537" ht="22.2" customHeight="1" s="375">
      <c r="A537" s="3" t="n"/>
      <c r="E537" s="3" t="n"/>
      <c r="F537" s="3" t="n"/>
      <c r="G537" s="329" t="inlineStr"/>
      <c r="H537" s="328" t="inlineStr"/>
      <c r="I537" s="336" t="inlineStr"/>
      <c r="J537" s="336" t="inlineStr"/>
      <c r="K537" s="527" t="n"/>
      <c r="L537" s="336" t="inlineStr"/>
      <c r="M537" s="336" t="inlineStr"/>
      <c r="N537" s="336" t="inlineStr"/>
      <c r="O537" s="354" t="inlineStr"/>
      <c r="P537" s="336" t="inlineStr"/>
      <c r="Q537" s="336" t="inlineStr"/>
      <c r="R537" s="336" t="inlineStr"/>
      <c r="S537" s="354" t="inlineStr"/>
      <c r="T537" t="inlineStr"/>
      <c r="U537" t="inlineStr"/>
    </row>
    <row r="538" ht="22.2" customHeight="1" s="375">
      <c r="A538" s="3" t="n"/>
      <c r="E538" s="3" t="n"/>
      <c r="F538" s="3" t="n"/>
      <c r="G538" s="16" t="inlineStr">
        <is>
          <t>รวมขั่วโมงที่สอนแยก ภาระงาน/ เกินภาระงาน</t>
        </is>
      </c>
      <c r="H538" s="518" t="n"/>
      <c r="I538" s="518" t="n"/>
      <c r="J538" s="518" t="n"/>
      <c r="K538" s="432" t="n"/>
      <c r="L538" s="16">
        <f>SUM(L513:L537)</f>
        <v/>
      </c>
      <c r="M538" s="16">
        <f>SUM(M513:M537)</f>
        <v/>
      </c>
      <c r="N538" s="16" t="n"/>
      <c r="O538" s="16" t="n"/>
      <c r="P538" s="16">
        <f>SUM(P513:P537)</f>
        <v/>
      </c>
      <c r="Q538" s="16">
        <f>SUM(Q513:Q537)</f>
        <v/>
      </c>
      <c r="R538" s="349" t="n"/>
      <c r="S538" s="16" t="n"/>
    </row>
    <row r="539" ht="22.2" customHeight="1" s="375">
      <c r="A539" s="3" t="n"/>
      <c r="E539" s="3" t="n"/>
      <c r="F539" s="3" t="n"/>
      <c r="G539" s="16" t="inlineStr">
        <is>
          <t>รวมจำนวนชั่วโมงสอนคาบต่อสับดาห์</t>
        </is>
      </c>
      <c r="H539" s="518" t="n"/>
      <c r="I539" s="518" t="n"/>
      <c r="J539" s="518" t="n"/>
      <c r="K539" s="432" t="n"/>
      <c r="L539" s="16">
        <f>L538+M538</f>
        <v/>
      </c>
      <c r="M539" s="432" t="n"/>
      <c r="N539" s="16" t="n"/>
      <c r="O539" s="348" t="n"/>
      <c r="P539" s="16">
        <f>P538+Q538</f>
        <v/>
      </c>
      <c r="Q539" s="432" t="n"/>
      <c r="R539" s="329" t="n"/>
      <c r="S539" s="336" t="n"/>
    </row>
    <row r="540" ht="22.2" customHeight="1" s="375">
      <c r="A540" s="3" t="n"/>
      <c r="E540" s="3" t="n"/>
      <c r="F540" s="3" t="n"/>
      <c r="G540" s="16" t="inlineStr">
        <is>
          <t>จำนวนชั่วโมงสอนตามภาระงานสอน</t>
        </is>
      </c>
      <c r="H540" s="518" t="n"/>
      <c r="I540" s="518" t="n"/>
      <c r="J540" s="518" t="n"/>
      <c r="K540" s="432" t="n"/>
      <c r="L540" s="131" t="n">
        <v>18</v>
      </c>
      <c r="M540" s="432" t="n"/>
      <c r="N540" s="130" t="n"/>
      <c r="O540" s="131" t="n"/>
      <c r="P540" s="131" t="n">
        <v>0</v>
      </c>
      <c r="Q540" s="432" t="n"/>
      <c r="R540" s="322" t="n"/>
      <c r="S540" s="334" t="n"/>
    </row>
    <row r="541" ht="22.2" customHeight="1" s="375" thickBot="1">
      <c r="A541" s="3" t="n"/>
      <c r="E541" s="3" t="n"/>
      <c r="F541" s="14" t="n"/>
      <c r="G541" s="16" t="inlineStr">
        <is>
          <t>จำนวนชั่วโมงบิกเกินภาระงานสอน/ค่าสอน</t>
        </is>
      </c>
      <c r="H541" s="518" t="n"/>
      <c r="I541" s="518" t="n"/>
      <c r="J541" s="518" t="n"/>
      <c r="K541" s="432" t="n"/>
      <c r="L541" s="17" t="n">
        <v>0</v>
      </c>
      <c r="M541" s="17">
        <f>SUM(M513:M537)</f>
        <v/>
      </c>
      <c r="N541" s="17" t="n"/>
      <c r="O541" s="17">
        <f>SUM(O513:O537)</f>
        <v/>
      </c>
      <c r="P541" s="17" t="n">
        <v>0</v>
      </c>
      <c r="Q541" s="17">
        <f>SUM(Q513:Q537)</f>
        <v/>
      </c>
      <c r="R541" s="18" t="n"/>
      <c r="S541" s="17">
        <f>SUM(S513:S537)</f>
        <v/>
      </c>
    </row>
    <row r="542" ht="22.2" customHeight="1" s="375" thickTop="1">
      <c r="A542" s="337" t="inlineStr">
        <is>
          <t>รวมจำนวนหน่วยชั่วโมงที่ขอเบิกค่าสอน ….</t>
        </is>
      </c>
      <c r="B542" s="518" t="n"/>
      <c r="C542" s="518" t="n"/>
      <c r="D542" s="518" t="n"/>
      <c r="E542" s="518" t="n"/>
      <c r="F542" s="518" t="n"/>
      <c r="G542" s="518" t="n"/>
      <c r="H542" s="348">
        <f>M541+Q541</f>
        <v/>
      </c>
      <c r="I542" s="348" t="inlineStr">
        <is>
          <t>….ชั่วโมง</t>
        </is>
      </c>
      <c r="J542" s="348" t="n"/>
      <c r="K542" s="328" t="inlineStr">
        <is>
          <t>ยอดเงินรวม</t>
        </is>
      </c>
      <c r="L542" s="522" t="n"/>
      <c r="M542" s="522" t="n"/>
      <c r="N542" s="328" t="n"/>
      <c r="O542" s="328" t="n"/>
      <c r="P542" s="339">
        <f>S541+O541</f>
        <v/>
      </c>
      <c r="Q542" s="538" t="n"/>
      <c r="R542" s="20" t="n"/>
      <c r="S542" s="19" t="inlineStr">
        <is>
          <t>..บาท</t>
        </is>
      </c>
    </row>
    <row r="543" ht="22.2" customHeight="1" s="375">
      <c r="A543" s="154" t="inlineStr">
        <is>
          <t>ผู้ขอเบิก</t>
        </is>
      </c>
      <c r="B543" s="153" t="n"/>
      <c r="C543" s="153" t="n"/>
      <c r="D543" s="153" t="n"/>
      <c r="E543" s="153" t="n"/>
      <c r="F543" s="153" t="n"/>
      <c r="G543" s="135" t="n"/>
      <c r="H543" s="154" t="inlineStr">
        <is>
          <t>ผู้รับรอง</t>
        </is>
      </c>
      <c r="I543" s="153" t="n"/>
      <c r="J543" s="153" t="n"/>
      <c r="K543" s="153" t="n"/>
      <c r="L543" s="135" t="n"/>
      <c r="M543" s="154" t="inlineStr">
        <is>
          <t>ผู้ตรวจ</t>
        </is>
      </c>
      <c r="N543" s="153" t="n"/>
      <c r="O543" s="153" t="n"/>
      <c r="P543" s="153" t="n"/>
      <c r="Q543" s="153" t="n"/>
      <c r="R543" s="153" t="n"/>
      <c r="S543" s="135" t="n"/>
    </row>
    <row r="544" ht="22.2" customHeight="1" s="375">
      <c r="A544" s="334" t="inlineStr">
        <is>
          <t>ลงชื่อ……………………………………………</t>
        </is>
      </c>
      <c r="G544" s="374" t="n"/>
      <c r="H544" s="334" t="inlineStr">
        <is>
          <t>ลงชื่อ……………………………………………</t>
        </is>
      </c>
      <c r="L544" s="374" t="n"/>
      <c r="M544" s="334" t="inlineStr">
        <is>
          <t>ลงชื่อ……………………………………………</t>
        </is>
      </c>
      <c r="S544" s="374" t="n"/>
    </row>
    <row r="545" ht="22.2" customHeight="1" s="375">
      <c r="A545" s="11" t="inlineStr">
        <is>
          <t>(</t>
        </is>
      </c>
      <c r="B545" s="324">
        <f>B513</f>
        <v/>
      </c>
      <c r="G545" s="326" t="inlineStr">
        <is>
          <t>)</t>
        </is>
      </c>
      <c r="H545" s="324" t="inlineStr">
        <is>
          <t>(</t>
        </is>
      </c>
      <c r="I545" s="340">
        <f>I499</f>
        <v/>
      </c>
      <c r="L545" s="12" t="inlineStr">
        <is>
          <t>)</t>
        </is>
      </c>
      <c r="M545" s="53" t="inlineStr">
        <is>
          <t>(</t>
        </is>
      </c>
      <c r="N545" s="53" t="n"/>
      <c r="O545" s="324">
        <f>O39</f>
        <v/>
      </c>
      <c r="R545" s="25" t="n"/>
      <c r="S545" s="326" t="inlineStr">
        <is>
          <t>)</t>
        </is>
      </c>
    </row>
    <row r="546" ht="22.2" customHeight="1" s="375">
      <c r="A546" s="540" t="inlineStr">
        <is>
          <t xml:space="preserve">                         ตำแหน่ง  ครู</t>
        </is>
      </c>
      <c r="G546" s="374" t="n"/>
      <c r="H546" s="54" t="inlineStr">
        <is>
          <t>ตำแหน่ง หัวหน้าแผนก</t>
        </is>
      </c>
      <c r="L546" s="374" t="n"/>
      <c r="M546" s="54" t="inlineStr">
        <is>
          <t>ตำแหน่ง   ผู้ตรวจสอบ</t>
        </is>
      </c>
      <c r="S546" s="374" t="n"/>
    </row>
    <row r="547" ht="22.2" customHeight="1" s="375">
      <c r="A547" s="55" t="inlineStr">
        <is>
          <t>วันที่ 22 เดือน กันยายน  พ.ศ.2569</t>
        </is>
      </c>
      <c r="B547" s="522" t="n"/>
      <c r="C547" s="522" t="n"/>
      <c r="D547" s="522" t="n"/>
      <c r="E547" s="522" t="n"/>
      <c r="F547" s="522" t="n"/>
      <c r="G547" s="527" t="n"/>
      <c r="H547" s="54">
        <f>A87</f>
        <v/>
      </c>
      <c r="L547" s="374" t="n"/>
      <c r="M547" s="55">
        <f>A87</f>
        <v/>
      </c>
      <c r="N547" s="522" t="n"/>
      <c r="O547" s="522" t="n"/>
      <c r="P547" s="522" t="n"/>
      <c r="Q547" s="522" t="n"/>
      <c r="R547" s="522" t="n"/>
      <c r="S547" s="527" t="n"/>
    </row>
    <row r="548" ht="22.2" customHeight="1" s="375">
      <c r="A548" s="154" t="inlineStr">
        <is>
          <t>ผู้ตรวจ</t>
        </is>
      </c>
      <c r="B548" s="153" t="n"/>
      <c r="C548" s="153" t="n"/>
      <c r="D548" s="153" t="n"/>
      <c r="E548" s="153" t="n"/>
      <c r="F548" s="153" t="n"/>
      <c r="G548" s="153" t="n"/>
      <c r="H548" s="153" t="n"/>
      <c r="I548" s="135" t="n"/>
      <c r="J548" s="154" t="inlineStr">
        <is>
          <t>ผู้เห็นชอบ</t>
        </is>
      </c>
      <c r="K548" s="153" t="n"/>
      <c r="L548" s="153" t="n"/>
      <c r="M548" s="153" t="n"/>
      <c r="N548" s="153" t="n"/>
      <c r="O548" s="153" t="n"/>
      <c r="P548" s="153" t="n"/>
      <c r="Q548" s="153" t="n"/>
      <c r="R548" s="153" t="n"/>
      <c r="S548" s="135" t="n"/>
    </row>
    <row r="549" ht="22.2" customHeight="1" s="375">
      <c r="A549" s="334" t="inlineStr">
        <is>
          <t>ลงชื่อ……………………………………………</t>
        </is>
      </c>
      <c r="I549" s="374" t="n"/>
      <c r="J549" s="334" t="inlineStr">
        <is>
          <t>ลงชื่อ……………………………………………</t>
        </is>
      </c>
      <c r="S549" s="374" t="n"/>
    </row>
    <row r="550" ht="22.2" customHeight="1" s="375">
      <c r="A550" s="11" t="n"/>
      <c r="B550" s="324">
        <f>B44</f>
        <v/>
      </c>
      <c r="I550" s="326" t="n"/>
      <c r="J550" s="25" t="n"/>
      <c r="K550" s="25" t="n"/>
      <c r="L550" s="324">
        <f>L44</f>
        <v/>
      </c>
      <c r="R550" s="25" t="n"/>
      <c r="S550" s="12" t="n"/>
    </row>
    <row r="551" ht="22.2" customHeight="1" s="375">
      <c r="A551" s="54" t="inlineStr">
        <is>
          <t>ตำแหน่งครู  หัวหน้างานพัฒนาหลักสูตร ฯ</t>
        </is>
      </c>
      <c r="I551" s="374" t="n"/>
      <c r="J551" s="54" t="inlineStr">
        <is>
          <t>ตำแหน่ง  รองผู้อำนวยการฝ่ายวิชาการ</t>
        </is>
      </c>
      <c r="S551" s="374" t="n"/>
    </row>
    <row r="552" ht="22.2" customHeight="1" s="375">
      <c r="A552" s="336" t="inlineStr">
        <is>
          <t>วันที่.......เดือน..........................พ.ศ..............</t>
        </is>
      </c>
      <c r="B552" s="522" t="n"/>
      <c r="C552" s="522" t="n"/>
      <c r="D552" s="522" t="n"/>
      <c r="E552" s="522" t="n"/>
      <c r="F552" s="522" t="n"/>
      <c r="G552" s="522" t="n"/>
      <c r="H552" s="522" t="n"/>
      <c r="I552" s="527" t="n"/>
      <c r="J552" s="336" t="inlineStr">
        <is>
          <t>วันที่.......เดือน..........................พ.ศ..............</t>
        </is>
      </c>
      <c r="K552" s="522" t="n"/>
      <c r="L552" s="522" t="n"/>
      <c r="M552" s="522" t="n"/>
      <c r="N552" s="522" t="n"/>
      <c r="O552" s="522" t="n"/>
      <c r="P552" s="522" t="n"/>
      <c r="Q552" s="522" t="n"/>
      <c r="R552" s="522" t="n"/>
      <c r="S552" s="527" t="n"/>
    </row>
    <row r="553" ht="22.2" customHeight="1" s="375">
      <c r="A553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75">
      <c r="A554" s="365" t="inlineStr">
        <is>
          <t>แผนกวิชาช่างยนต์</t>
        </is>
      </c>
    </row>
    <row r="555" ht="22.2" customHeight="1" s="375">
      <c r="A555" s="366" t="inlineStr">
        <is>
          <t xml:space="preserve">    ระหว่างวันที่</t>
        </is>
      </c>
      <c r="D555" s="365">
        <f>D3</f>
        <v/>
      </c>
      <c r="E555" s="365" t="inlineStr">
        <is>
          <t xml:space="preserve">   เดือน  </t>
        </is>
      </c>
      <c r="F555" s="365">
        <f>F3</f>
        <v/>
      </c>
      <c r="H555" s="365">
        <f>H3</f>
        <v/>
      </c>
      <c r="I555" s="365" t="inlineStr">
        <is>
          <t xml:space="preserve">     ถึง วันที่</t>
        </is>
      </c>
      <c r="J555" s="365">
        <f>J3</f>
        <v/>
      </c>
      <c r="K555" s="365" t="inlineStr">
        <is>
          <t xml:space="preserve">   เดือน </t>
        </is>
      </c>
      <c r="L555" s="365">
        <f>L3</f>
        <v/>
      </c>
      <c r="N555" s="365">
        <f>N3</f>
        <v/>
      </c>
      <c r="P555" s="365" t="n"/>
      <c r="R555" s="365" t="n"/>
    </row>
    <row r="556" ht="22.2" customHeight="1" s="375">
      <c r="G556" s="51" t="inlineStr">
        <is>
          <t>ü</t>
        </is>
      </c>
      <c r="H556" s="328" t="inlineStr">
        <is>
          <t>พนักงานราชการ</t>
        </is>
      </c>
      <c r="I556" s="328" t="inlineStr">
        <is>
          <t>หน้าที่พิเศษ</t>
        </is>
      </c>
      <c r="J556" s="351" t="inlineStr">
        <is>
          <t>ผู้ช่วยงานบริหารและพัฒนาทรัพยากรบุคคล, พัสดุ, ปกครองและความปลอดภัยนักเรียน</t>
        </is>
      </c>
      <c r="K556" s="351" t="n"/>
      <c r="L556" s="351" t="n"/>
      <c r="M556" s="351" t="n"/>
      <c r="N556" s="351" t="n"/>
      <c r="O556" s="351" t="n"/>
      <c r="P556" s="351" t="n"/>
      <c r="Q556" s="351" t="n"/>
      <c r="R556" s="351" t="n"/>
      <c r="S556" s="351" t="n"/>
    </row>
    <row r="557" ht="22.2" customHeight="1" s="375">
      <c r="A557" s="24" t="inlineStr">
        <is>
          <t>ที่</t>
        </is>
      </c>
      <c r="B557" s="24" t="inlineStr">
        <is>
          <t>ชื่อ-สกุล</t>
        </is>
      </c>
      <c r="C557" s="153" t="n"/>
      <c r="D557" s="135" t="n"/>
      <c r="E557" s="15" t="inlineStr">
        <is>
          <t>ตำแหน่ง</t>
        </is>
      </c>
      <c r="F557" s="16" t="inlineStr">
        <is>
          <t>ระยะเวลาที่สอน</t>
        </is>
      </c>
      <c r="G557" s="432" t="n"/>
      <c r="H557" s="16" t="inlineStr">
        <is>
          <t>รหัสวิชา</t>
        </is>
      </c>
      <c r="I557" s="362" t="inlineStr">
        <is>
          <t>ชั้น,แผนก,ห้อง</t>
        </is>
      </c>
      <c r="J557" s="16" t="inlineStr">
        <is>
          <t>เวลาสอน</t>
        </is>
      </c>
      <c r="K557" s="135" t="n"/>
      <c r="L557" s="16" t="inlineStr">
        <is>
          <t>ปวช.(คาบ)</t>
        </is>
      </c>
      <c r="M557" s="432" t="n"/>
      <c r="N557" s="354" t="inlineStr">
        <is>
          <t>เงิน</t>
        </is>
      </c>
      <c r="O557" s="362" t="inlineStr">
        <is>
          <t>ยอดเงิน</t>
        </is>
      </c>
      <c r="P557" s="524" t="inlineStr">
        <is>
          <t>ปวส.(คาบ)</t>
        </is>
      </c>
      <c r="Q557" s="432" t="n"/>
      <c r="R557" s="354" t="inlineStr">
        <is>
          <t>เงิน</t>
        </is>
      </c>
      <c r="S557" s="362" t="inlineStr">
        <is>
          <t>ยอดเงิน</t>
        </is>
      </c>
    </row>
    <row r="558" ht="22.2" customHeight="1" s="375">
      <c r="A558" s="52" t="n"/>
      <c r="B558" s="8" t="n"/>
      <c r="C558" s="9" t="n"/>
      <c r="D558" s="13" t="n"/>
      <c r="E558" s="10" t="n"/>
      <c r="F558" s="336" t="inlineStr">
        <is>
          <t>ส.</t>
        </is>
      </c>
      <c r="G558" s="336" t="inlineStr">
        <is>
          <t>วดป.</t>
        </is>
      </c>
      <c r="H558" s="525" t="n"/>
      <c r="I558" s="336" t="n"/>
      <c r="J558" s="526" t="n"/>
      <c r="K558" s="527" t="n"/>
      <c r="L558" s="336" t="inlineStr">
        <is>
          <t>ใน</t>
        </is>
      </c>
      <c r="M558" s="336" t="inlineStr">
        <is>
          <t>นอก</t>
        </is>
      </c>
      <c r="N558" s="336" t="inlineStr">
        <is>
          <t>ต่อ ชม.</t>
        </is>
      </c>
      <c r="O558" s="336" t="inlineStr">
        <is>
          <t>(บาท)</t>
        </is>
      </c>
      <c r="P558" s="52" t="inlineStr">
        <is>
          <t>ใน</t>
        </is>
      </c>
      <c r="Q558" s="52" t="inlineStr">
        <is>
          <t>นอก</t>
        </is>
      </c>
      <c r="R558" s="336" t="inlineStr">
        <is>
          <t>ต่อ ชม.</t>
        </is>
      </c>
      <c r="S558" s="336" t="inlineStr">
        <is>
          <t>(บาท)</t>
        </is>
      </c>
    </row>
    <row r="559" ht="22.2" customHeight="1" s="375">
      <c r="A559" s="362" t="n">
        <v>13</v>
      </c>
      <c r="B559" s="528">
        <f>AB15</f>
        <v/>
      </c>
      <c r="C559" s="153" t="n"/>
      <c r="D559" s="135" t="n"/>
      <c r="E559" s="362" t="inlineStr">
        <is>
          <t>พนักงานราชการ</t>
        </is>
      </c>
      <c r="F559" s="5" t="n">
        <v>1</v>
      </c>
      <c r="G559" s="529" t="inlineStr">
        <is>
          <t>จันทร์</t>
        </is>
      </c>
      <c r="H559" s="376" t="inlineStr">
        <is>
          <t>20101-2005</t>
        </is>
      </c>
      <c r="I559" s="376" t="inlineStr">
        <is>
          <t>ชย.2/7 (26)</t>
        </is>
      </c>
      <c r="J559" s="334" t="inlineStr">
        <is>
          <t>08:10 - 12:10</t>
        </is>
      </c>
      <c r="K559" s="374" t="n"/>
      <c r="L559" s="367" t="n">
        <v>4</v>
      </c>
      <c r="M559" s="381" t="inlineStr"/>
      <c r="N559" s="381" t="inlineStr"/>
      <c r="O559" s="354" t="inlineStr"/>
      <c r="P559" s="381" t="inlineStr"/>
      <c r="Q559" s="367" t="inlineStr"/>
      <c r="R559" s="381" t="inlineStr"/>
      <c r="S559" s="354" t="inlineStr"/>
      <c r="T559" t="inlineStr"/>
      <c r="U559" t="inlineStr"/>
    </row>
    <row r="560" ht="22.2" customHeight="1" s="375">
      <c r="A560" s="3" t="n"/>
      <c r="B560" s="530" t="n"/>
      <c r="D560" s="374" t="n"/>
      <c r="E560" s="334" t="n"/>
      <c r="F560" s="322" t="n"/>
      <c r="G560" s="535" t="inlineStr">
        <is>
          <t>14 ก.ย.69</t>
        </is>
      </c>
      <c r="H560" s="376" t="inlineStr">
        <is>
          <t>20101-2005</t>
        </is>
      </c>
      <c r="I560" s="376" t="inlineStr">
        <is>
          <t>ชย.2/7 (26)</t>
        </is>
      </c>
      <c r="J560" s="334" t="inlineStr">
        <is>
          <t>13:10 - 16:10</t>
        </is>
      </c>
      <c r="K560" s="374" t="n"/>
      <c r="L560" s="334" t="n">
        <v>3</v>
      </c>
      <c r="M560" s="334" t="inlineStr"/>
      <c r="N560" s="334" t="inlineStr"/>
      <c r="O560" s="354" t="inlineStr"/>
      <c r="P560" s="334" t="inlineStr"/>
      <c r="Q560" s="334" t="inlineStr"/>
      <c r="R560" s="334" t="inlineStr"/>
      <c r="S560" s="354" t="inlineStr"/>
      <c r="T560" s="351" t="inlineStr"/>
      <c r="U560" t="inlineStr"/>
    </row>
    <row r="561" ht="22.2" customHeight="1" s="375">
      <c r="A561" s="3" t="n"/>
      <c r="B561" s="313" t="n"/>
      <c r="D561" s="314" t="n"/>
      <c r="E561" s="314" t="n"/>
      <c r="F561" s="322" t="n"/>
      <c r="G561" s="321" t="inlineStr"/>
      <c r="H561" s="334" t="inlineStr"/>
      <c r="I561" s="376" t="inlineStr"/>
      <c r="J561" s="334" t="inlineStr"/>
      <c r="K561" s="374" t="n"/>
      <c r="L561" s="334" t="inlineStr"/>
      <c r="M561" s="334" t="inlineStr"/>
      <c r="N561" s="334" t="inlineStr"/>
      <c r="O561" s="354" t="inlineStr"/>
      <c r="P561" s="334" t="inlineStr"/>
      <c r="Q561" s="334" t="inlineStr"/>
      <c r="R561" s="334" t="inlineStr"/>
      <c r="S561" s="354" t="inlineStr"/>
      <c r="T561" t="inlineStr"/>
      <c r="U561" t="inlineStr"/>
    </row>
    <row r="562" ht="22.2" customHeight="1" s="375">
      <c r="A562" s="3" t="n"/>
      <c r="B562" s="313" t="n"/>
      <c r="E562" s="3" t="n"/>
      <c r="F562" s="322" t="n"/>
      <c r="G562" s="321" t="inlineStr"/>
      <c r="H562" s="334" t="inlineStr"/>
      <c r="I562" s="334" t="inlineStr"/>
      <c r="J562" s="334" t="inlineStr"/>
      <c r="K562" s="374" t="n"/>
      <c r="L562" s="334" t="inlineStr"/>
      <c r="M562" s="334" t="inlineStr"/>
      <c r="N562" s="334" t="inlineStr"/>
      <c r="O562" s="354" t="inlineStr"/>
      <c r="P562" s="334" t="inlineStr"/>
      <c r="Q562" s="334" t="inlineStr"/>
      <c r="R562" s="334" t="inlineStr"/>
      <c r="S562" s="354" t="inlineStr"/>
      <c r="T562" t="inlineStr"/>
      <c r="U562" t="inlineStr"/>
    </row>
    <row r="563" ht="22.2" customHeight="1" s="375">
      <c r="A563" s="3" t="n"/>
      <c r="E563" s="3" t="n"/>
      <c r="G563" s="344" t="inlineStr"/>
      <c r="H563" s="336" t="inlineStr"/>
      <c r="I563" s="336" t="inlineStr"/>
      <c r="J563" s="336" t="inlineStr"/>
      <c r="K563" s="527" t="n"/>
      <c r="L563" s="334" t="inlineStr"/>
      <c r="M563" s="334" t="inlineStr"/>
      <c r="N563" s="334" t="inlineStr"/>
      <c r="O563" s="354" t="inlineStr"/>
      <c r="P563" s="334" t="inlineStr"/>
      <c r="Q563" s="334" t="inlineStr"/>
      <c r="R563" s="334" t="inlineStr"/>
      <c r="S563" s="354" t="inlineStr"/>
      <c r="T563" t="inlineStr"/>
      <c r="U563" t="inlineStr"/>
    </row>
    <row r="564" ht="22.2" customHeight="1" s="375">
      <c r="A564" s="3" t="n"/>
      <c r="E564" s="3" t="n"/>
      <c r="G564" s="533" t="inlineStr">
        <is>
          <t>อังคาร</t>
        </is>
      </c>
      <c r="H564" s="376" t="inlineStr">
        <is>
          <t>20101-2005</t>
        </is>
      </c>
      <c r="I564" s="376" t="inlineStr">
        <is>
          <t>ชย.2/8 (26)</t>
        </is>
      </c>
      <c r="J564" s="334" t="inlineStr">
        <is>
          <t>08:10 - 12:10</t>
        </is>
      </c>
      <c r="K564" s="374" t="n"/>
      <c r="L564" s="367" t="n">
        <v>4</v>
      </c>
      <c r="M564" s="381" t="inlineStr"/>
      <c r="N564" s="381" t="inlineStr"/>
      <c r="O564" s="354" t="inlineStr"/>
      <c r="P564" s="381" t="inlineStr"/>
      <c r="Q564" s="367" t="inlineStr"/>
      <c r="R564" s="381" t="inlineStr"/>
      <c r="S564" s="354" t="inlineStr"/>
      <c r="T564" s="23" t="inlineStr"/>
      <c r="U564" s="23" t="inlineStr"/>
      <c r="V564" s="56" t="n"/>
      <c r="W564" s="23" t="n"/>
      <c r="X564" s="23" t="n"/>
    </row>
    <row r="565" ht="22.2" customHeight="1" s="375">
      <c r="A565" s="3" t="n"/>
      <c r="E565" s="3" t="n"/>
      <c r="G565" s="535" t="inlineStr">
        <is>
          <t>15 ก.ย.69</t>
        </is>
      </c>
      <c r="H565" s="376" t="inlineStr">
        <is>
          <t>20101-2005</t>
        </is>
      </c>
      <c r="I565" s="376" t="inlineStr">
        <is>
          <t>ชย.2/8 (26)</t>
        </is>
      </c>
      <c r="J565" s="334" t="inlineStr">
        <is>
          <t>13:10 - 16:10</t>
        </is>
      </c>
      <c r="K565" s="374" t="n"/>
      <c r="L565" s="334" t="n">
        <v>3</v>
      </c>
      <c r="M565" s="334" t="inlineStr"/>
      <c r="N565" s="334" t="inlineStr"/>
      <c r="O565" s="354" t="inlineStr"/>
      <c r="P565" s="334" t="inlineStr"/>
      <c r="Q565" s="334" t="inlineStr"/>
      <c r="R565" s="334" t="inlineStr"/>
      <c r="S565" s="354" t="inlineStr"/>
      <c r="T565" s="23" t="inlineStr"/>
      <c r="U565" s="23" t="inlineStr"/>
      <c r="V565" s="56" t="n"/>
      <c r="W565" s="23" t="n"/>
      <c r="X565" s="23" t="n"/>
    </row>
    <row r="566" ht="22.2" customHeight="1" s="375">
      <c r="A566" s="3" t="n"/>
      <c r="B566" s="313" t="n"/>
      <c r="D566" s="314" t="n"/>
      <c r="E566" s="314" t="n"/>
      <c r="G566" s="334" t="inlineStr"/>
      <c r="H566" s="376" t="inlineStr"/>
      <c r="I566" s="376" t="inlineStr"/>
      <c r="J566" s="334" t="inlineStr"/>
      <c r="K566" s="374" t="n"/>
      <c r="L566" s="334" t="inlineStr"/>
      <c r="M566" s="334" t="inlineStr"/>
      <c r="N566" s="334" t="inlineStr"/>
      <c r="O566" s="354" t="inlineStr"/>
      <c r="P566" s="334" t="inlineStr"/>
      <c r="Q566" s="334" t="inlineStr"/>
      <c r="R566" s="334" t="inlineStr"/>
      <c r="S566" s="354" t="inlineStr"/>
      <c r="T566" t="inlineStr"/>
      <c r="U566" t="inlineStr"/>
    </row>
    <row r="567" ht="22.2" customHeight="1" s="375">
      <c r="A567" s="3" t="n"/>
      <c r="E567" s="3" t="n"/>
      <c r="G567" s="54" t="inlineStr"/>
      <c r="H567" s="334" t="inlineStr"/>
      <c r="I567" s="376" t="inlineStr"/>
      <c r="J567" s="334" t="inlineStr"/>
      <c r="K567" s="374" t="n"/>
      <c r="L567" s="334" t="inlineStr"/>
      <c r="M567" s="334" t="inlineStr"/>
      <c r="N567" s="334" t="inlineStr"/>
      <c r="O567" s="354" t="inlineStr"/>
      <c r="P567" s="334" t="inlineStr"/>
      <c r="Q567" s="334" t="inlineStr"/>
      <c r="R567" s="334" t="inlineStr"/>
      <c r="S567" s="354" t="inlineStr"/>
      <c r="T567" t="inlineStr"/>
      <c r="U567" t="inlineStr"/>
    </row>
    <row r="568" ht="22.2" customHeight="1" s="375">
      <c r="A568" s="3" t="n"/>
      <c r="D568" s="7" t="inlineStr">
        <is>
          <t> </t>
        </is>
      </c>
      <c r="E568" s="3" t="n"/>
      <c r="G568" s="55" t="inlineStr"/>
      <c r="H568" s="336" t="inlineStr"/>
      <c r="I568" s="336" t="inlineStr"/>
      <c r="J568" s="336" t="inlineStr"/>
      <c r="K568" s="527" t="n"/>
      <c r="L568" s="334" t="inlineStr"/>
      <c r="M568" s="334" t="inlineStr"/>
      <c r="N568" s="334" t="inlineStr"/>
      <c r="O568" s="354" t="inlineStr"/>
      <c r="P568" s="336" t="inlineStr"/>
      <c r="Q568" s="336" t="inlineStr"/>
      <c r="R568" s="336" t="inlineStr"/>
      <c r="S568" s="354" t="inlineStr"/>
      <c r="T568" t="inlineStr"/>
      <c r="U568" t="inlineStr"/>
    </row>
    <row r="569" ht="22.2" customHeight="1" s="375">
      <c r="A569" s="3" t="n"/>
      <c r="E569" s="3" t="n"/>
      <c r="G569" s="535" t="inlineStr">
        <is>
          <t>พุธ</t>
        </is>
      </c>
      <c r="H569" s="376" t="inlineStr">
        <is>
          <t>20101-2005</t>
        </is>
      </c>
      <c r="I569" s="376" t="inlineStr">
        <is>
          <t>ชย.2/5 (26)</t>
        </is>
      </c>
      <c r="J569" s="381" t="inlineStr">
        <is>
          <t>08:10 - 12:10</t>
        </is>
      </c>
      <c r="K569" s="135" t="n"/>
      <c r="L569" s="367" t="n">
        <v>2</v>
      </c>
      <c r="M569" s="381" t="n">
        <v>2</v>
      </c>
      <c r="N569" s="381" t="n">
        <v>200</v>
      </c>
      <c r="O569" s="354">
        <f>M569*N569</f>
        <v/>
      </c>
      <c r="P569" s="148" t="inlineStr"/>
      <c r="Q569" s="148" t="inlineStr"/>
      <c r="R569" s="149" t="inlineStr"/>
      <c r="S569" s="354" t="inlineStr"/>
      <c r="T569" s="6" t="inlineStr"/>
      <c r="U569" s="22" t="inlineStr"/>
      <c r="V569" s="57" t="n"/>
      <c r="W569" s="21" t="n"/>
      <c r="X569" s="21" t="n"/>
    </row>
    <row r="570" ht="22.2" customHeight="1" s="375">
      <c r="A570" s="3" t="n"/>
      <c r="B570" s="321" t="n"/>
      <c r="C570" s="322" t="n"/>
      <c r="D570" s="322" t="n"/>
      <c r="E570" s="334" t="n"/>
      <c r="G570" s="535" t="inlineStr">
        <is>
          <t>16 ก.ย.69</t>
        </is>
      </c>
      <c r="H570" s="376" t="inlineStr">
        <is>
          <t>20101-2005</t>
        </is>
      </c>
      <c r="I570" s="376" t="inlineStr">
        <is>
          <t>ชย.2/5 (26)</t>
        </is>
      </c>
      <c r="J570" s="334" t="inlineStr">
        <is>
          <t>13:10 - 16:10</t>
        </is>
      </c>
      <c r="K570" s="374" t="n"/>
      <c r="L570" s="334" t="inlineStr"/>
      <c r="M570" s="334" t="n">
        <v>3</v>
      </c>
      <c r="N570" s="334" t="n">
        <v>200</v>
      </c>
      <c r="O570" s="354">
        <f>M570*N570</f>
        <v/>
      </c>
      <c r="P570" s="334" t="inlineStr"/>
      <c r="Q570" s="334" t="inlineStr"/>
      <c r="R570" s="334" t="inlineStr"/>
      <c r="S570" s="354" t="inlineStr"/>
      <c r="T570" s="21" t="inlineStr"/>
      <c r="U570" s="22" t="inlineStr"/>
      <c r="V570" s="57" t="n"/>
      <c r="W570" s="21" t="n"/>
      <c r="X570" s="21" t="n"/>
    </row>
    <row r="571" ht="22.2" customHeight="1" s="375">
      <c r="A571" s="3" t="n"/>
      <c r="B571" s="313" t="n"/>
      <c r="D571" s="314" t="n"/>
      <c r="E571" s="314" t="n"/>
      <c r="G571" s="334" t="inlineStr"/>
      <c r="H571" s="376" t="inlineStr"/>
      <c r="I571" s="376" t="inlineStr"/>
      <c r="J571" s="334" t="inlineStr"/>
      <c r="K571" s="374" t="n"/>
      <c r="L571" s="334" t="inlineStr"/>
      <c r="M571" s="334" t="inlineStr"/>
      <c r="N571" s="334" t="inlineStr"/>
      <c r="O571" s="354" t="inlineStr"/>
      <c r="P571" s="334" t="inlineStr"/>
      <c r="Q571" s="334" t="inlineStr"/>
      <c r="R571" s="334" t="inlineStr"/>
      <c r="S571" s="354" t="inlineStr"/>
      <c r="T571" t="inlineStr"/>
      <c r="U571" t="inlineStr"/>
    </row>
    <row r="572" ht="22.2" customHeight="1" s="375">
      <c r="A572" s="3" t="n"/>
      <c r="E572" s="3" t="n"/>
      <c r="G572" s="321" t="inlineStr"/>
      <c r="H572" s="321" t="inlineStr"/>
      <c r="I572" s="334" t="inlineStr"/>
      <c r="J572" s="334" t="inlineStr"/>
      <c r="K572" s="374" t="n"/>
      <c r="L572" t="inlineStr"/>
      <c r="M572" s="334" t="inlineStr"/>
      <c r="N572" s="334" t="inlineStr"/>
      <c r="O572" s="354" t="inlineStr"/>
      <c r="P572" s="334" t="inlineStr"/>
      <c r="Q572" s="334" t="inlineStr"/>
      <c r="R572" s="334" t="inlineStr"/>
      <c r="S572" s="354" t="inlineStr"/>
      <c r="T572" t="inlineStr"/>
      <c r="U572" t="inlineStr"/>
    </row>
    <row r="573" ht="22.2" customHeight="1" s="375">
      <c r="A573" s="3" t="n"/>
      <c r="E573" s="3" t="n"/>
      <c r="G573" s="327" t="inlineStr"/>
      <c r="H573" s="327" t="inlineStr"/>
      <c r="I573" s="336" t="inlineStr"/>
      <c r="J573" s="336" t="inlineStr"/>
      <c r="K573" s="527" t="n"/>
      <c r="L573" s="336" t="inlineStr"/>
      <c r="M573" s="336" t="inlineStr"/>
      <c r="N573" s="336" t="inlineStr"/>
      <c r="O573" s="354" t="inlineStr"/>
      <c r="P573" s="336" t="inlineStr"/>
      <c r="Q573" s="336" t="inlineStr"/>
      <c r="R573" s="336" t="inlineStr"/>
      <c r="S573" s="354" t="inlineStr"/>
      <c r="T573" t="inlineStr"/>
      <c r="U573" t="inlineStr"/>
    </row>
    <row r="574" ht="22.2" customHeight="1" s="375">
      <c r="A574" s="3" t="n"/>
      <c r="E574" s="3" t="n"/>
      <c r="G574" s="533" t="inlineStr">
        <is>
          <t>พฤหัส</t>
        </is>
      </c>
      <c r="H574" s="376" t="inlineStr">
        <is>
          <t>20101-2005</t>
        </is>
      </c>
      <c r="I574" s="376" t="inlineStr">
        <is>
          <t>ชย.2/6 (26)</t>
        </is>
      </c>
      <c r="J574" s="381" t="inlineStr">
        <is>
          <t>08:10 - 12:10</t>
        </is>
      </c>
      <c r="K574" s="135" t="n"/>
      <c r="L574" s="367" t="inlineStr"/>
      <c r="M574" s="334" t="n">
        <v>4</v>
      </c>
      <c r="N574" s="334" t="n">
        <v>200</v>
      </c>
      <c r="O574" s="354">
        <f>M574*N574</f>
        <v/>
      </c>
      <c r="P574" s="24" t="inlineStr"/>
      <c r="Q574" s="24" t="inlineStr"/>
      <c r="R574" s="24" t="inlineStr"/>
      <c r="S574" s="354" t="inlineStr"/>
      <c r="T574" t="inlineStr"/>
      <c r="U574" t="inlineStr"/>
    </row>
    <row r="575" ht="22.2" customHeight="1" s="375">
      <c r="A575" s="3" t="n"/>
      <c r="E575" s="3" t="n"/>
      <c r="G575" s="535" t="inlineStr">
        <is>
          <t>17 ก.ย.69</t>
        </is>
      </c>
      <c r="H575" s="250" t="inlineStr">
        <is>
          <t>20101-2005</t>
        </is>
      </c>
      <c r="I575" s="376" t="inlineStr">
        <is>
          <t>ชย.2/6 (26)</t>
        </is>
      </c>
      <c r="J575" s="313" t="inlineStr">
        <is>
          <t>15:10 - 18:10</t>
        </is>
      </c>
      <c r="K575" s="314" t="n"/>
      <c r="L575" s="334" t="inlineStr"/>
      <c r="M575" s="334" t="n">
        <v>3</v>
      </c>
      <c r="N575" s="334" t="n">
        <v>200</v>
      </c>
      <c r="O575" s="354">
        <f>M575*N575</f>
        <v/>
      </c>
      <c r="P575" s="334" t="inlineStr"/>
      <c r="Q575" s="251" t="inlineStr"/>
      <c r="R575" s="251" t="inlineStr"/>
      <c r="S575" s="16" t="inlineStr"/>
      <c r="T575" t="inlineStr"/>
      <c r="U575" t="inlineStr"/>
    </row>
    <row r="576" ht="22.2" customHeight="1" s="375">
      <c r="A576" s="3" t="n"/>
      <c r="B576" s="313" t="n"/>
      <c r="E576" s="3" t="n"/>
      <c r="G576" s="334" t="inlineStr"/>
      <c r="H576" s="376" t="inlineStr"/>
      <c r="I576" s="376" t="inlineStr"/>
      <c r="J576" s="334" t="inlineStr"/>
      <c r="K576" s="374" t="n"/>
      <c r="L576" s="376" t="inlineStr"/>
      <c r="M576" s="376" t="inlineStr"/>
      <c r="N576" s="376" t="inlineStr"/>
      <c r="O576" s="354" t="inlineStr"/>
      <c r="P576" s="334" t="inlineStr"/>
      <c r="Q576" s="251" t="inlineStr"/>
      <c r="R576" s="251" t="inlineStr"/>
      <c r="S576" s="525" t="n"/>
      <c r="T576" t="inlineStr"/>
      <c r="U576" t="inlineStr"/>
    </row>
    <row r="577" ht="22.2" customHeight="1" s="375">
      <c r="A577" s="3" t="n"/>
      <c r="E577" s="3" t="n"/>
      <c r="G577" s="334" t="inlineStr"/>
      <c r="H577" s="376" t="inlineStr"/>
      <c r="I577" s="376" t="inlineStr"/>
      <c r="J577" s="334" t="inlineStr"/>
      <c r="K577" s="374" t="n"/>
      <c r="L577" s="334" t="inlineStr"/>
      <c r="M577" s="334" t="inlineStr"/>
      <c r="N577" s="334" t="inlineStr"/>
      <c r="O577" s="354" t="inlineStr"/>
      <c r="P577" s="334" t="inlineStr"/>
      <c r="Q577" s="334" t="inlineStr"/>
      <c r="R577" s="334" t="inlineStr"/>
      <c r="S577" s="354" t="inlineStr"/>
      <c r="T577" t="inlineStr"/>
      <c r="U577" t="inlineStr"/>
    </row>
    <row r="578" ht="22.2" customHeight="1" s="375">
      <c r="A578" s="3" t="n"/>
      <c r="E578" s="3" t="n"/>
      <c r="G578" s="336" t="inlineStr"/>
      <c r="H578" s="328" t="inlineStr"/>
      <c r="I578" s="336" t="inlineStr"/>
      <c r="J578" s="336" t="inlineStr"/>
      <c r="K578" s="527" t="n"/>
      <c r="L578" s="336" t="inlineStr"/>
      <c r="M578" s="336" t="inlineStr"/>
      <c r="N578" s="336" t="inlineStr"/>
      <c r="O578" s="354" t="inlineStr"/>
      <c r="P578" s="336" t="inlineStr"/>
      <c r="Q578" s="336" t="inlineStr"/>
      <c r="R578" s="336" t="inlineStr"/>
      <c r="S578" s="354" t="inlineStr"/>
      <c r="T578" t="inlineStr"/>
      <c r="U578" t="inlineStr"/>
    </row>
    <row r="579" ht="22.2" customHeight="1" s="375">
      <c r="A579" s="3" t="n"/>
      <c r="E579" s="3" t="n"/>
      <c r="G579" s="533" t="inlineStr">
        <is>
          <t>ศุกร์</t>
        </is>
      </c>
      <c r="H579" s="376" t="inlineStr"/>
      <c r="I579" s="376" t="inlineStr"/>
      <c r="J579" s="381" t="inlineStr"/>
      <c r="K579" s="135" t="n"/>
      <c r="L579" s="334" t="inlineStr"/>
      <c r="M579" s="381" t="inlineStr"/>
      <c r="N579" s="381" t="inlineStr"/>
      <c r="O579" s="354" t="inlineStr"/>
      <c r="P579" s="381" t="inlineStr"/>
      <c r="Q579" s="367" t="inlineStr"/>
      <c r="R579" s="381" t="inlineStr"/>
      <c r="S579" s="354" t="inlineStr"/>
      <c r="T579" t="inlineStr"/>
      <c r="U579" t="inlineStr"/>
    </row>
    <row r="580" ht="22.2" customHeight="1" s="375">
      <c r="A580" s="3" t="n"/>
      <c r="E580" s="3" t="n"/>
      <c r="G580" s="535" t="inlineStr">
        <is>
          <t>18 ก.ย.69</t>
        </is>
      </c>
      <c r="H580" s="376" t="inlineStr"/>
      <c r="I580" s="376" t="inlineStr"/>
      <c r="J580" s="334" t="inlineStr"/>
      <c r="K580" s="374" t="n"/>
      <c r="L580" s="334" t="inlineStr"/>
      <c r="M580" s="334" t="inlineStr"/>
      <c r="N580" s="334" t="inlineStr"/>
      <c r="O580" s="354" t="inlineStr"/>
      <c r="P580" s="334" t="inlineStr"/>
      <c r="Q580" s="334" t="inlineStr"/>
      <c r="R580" s="334" t="inlineStr"/>
      <c r="S580" s="354" t="inlineStr"/>
      <c r="T580" t="inlineStr"/>
      <c r="U580" t="inlineStr"/>
    </row>
    <row r="581" ht="22.2" customHeight="1" s="375">
      <c r="A581" s="3" t="n"/>
      <c r="E581" s="3" t="n"/>
      <c r="G581" s="334" t="inlineStr"/>
      <c r="H581" s="376" t="inlineStr"/>
      <c r="I581" s="376" t="inlineStr"/>
      <c r="J581" s="334" t="inlineStr"/>
      <c r="K581" s="374" t="n"/>
      <c r="L581" s="334" t="inlineStr"/>
      <c r="M581" s="334" t="inlineStr"/>
      <c r="N581" s="334" t="inlineStr"/>
      <c r="O581" s="354" t="inlineStr"/>
      <c r="P581" s="334" t="inlineStr"/>
      <c r="Q581" s="334" t="inlineStr"/>
      <c r="R581" s="334" t="inlineStr"/>
      <c r="S581" s="354" t="inlineStr"/>
      <c r="T581" t="inlineStr"/>
      <c r="U581" t="inlineStr"/>
    </row>
    <row r="582" ht="22.2" customHeight="1" s="375">
      <c r="A582" s="3" t="n"/>
      <c r="E582" s="3" t="n"/>
      <c r="G582" s="334" t="inlineStr"/>
      <c r="H582" s="322" t="inlineStr"/>
      <c r="I582" s="334" t="inlineStr"/>
      <c r="J582" s="334" t="inlineStr"/>
      <c r="K582" s="374" t="n"/>
      <c r="L582" s="334" t="inlineStr"/>
      <c r="M582" s="334" t="inlineStr"/>
      <c r="N582" s="334" t="inlineStr"/>
      <c r="O582" s="354" t="inlineStr"/>
      <c r="P582" s="334" t="inlineStr"/>
      <c r="Q582" s="334" t="inlineStr"/>
      <c r="R582" s="334" t="inlineStr"/>
      <c r="S582" s="354" t="inlineStr"/>
      <c r="T582" t="inlineStr"/>
      <c r="U582" t="inlineStr"/>
    </row>
    <row r="583" ht="22.2" customHeight="1" s="375">
      <c r="A583" s="3" t="n"/>
      <c r="E583" s="3" t="n"/>
      <c r="F583" s="3" t="n"/>
      <c r="G583" s="329" t="inlineStr"/>
      <c r="H583" s="328" t="inlineStr"/>
      <c r="I583" s="336" t="inlineStr"/>
      <c r="J583" s="336" t="inlineStr"/>
      <c r="K583" s="527" t="n"/>
      <c r="L583" s="336" t="inlineStr"/>
      <c r="M583" s="336" t="inlineStr"/>
      <c r="N583" s="336" t="inlineStr"/>
      <c r="O583" s="354" t="inlineStr"/>
      <c r="P583" s="336" t="inlineStr"/>
      <c r="Q583" s="336" t="inlineStr"/>
      <c r="R583" s="336" t="inlineStr"/>
      <c r="S583" s="354" t="inlineStr"/>
      <c r="T583" t="inlineStr"/>
      <c r="U583" t="inlineStr"/>
    </row>
    <row r="584" ht="22.2" customHeight="1" s="375">
      <c r="A584" s="3" t="n"/>
      <c r="E584" s="3" t="n"/>
      <c r="F584" s="3" t="n"/>
      <c r="G584" s="16" t="inlineStr">
        <is>
          <t>รวมขั่วโมงที่สอนแยก ภาระงาน/ เกินภาระงาน</t>
        </is>
      </c>
      <c r="H584" s="518" t="n"/>
      <c r="I584" s="518" t="n"/>
      <c r="J584" s="518" t="n"/>
      <c r="K584" s="432" t="n"/>
      <c r="L584" s="16">
        <f>SUM(L559:L583)</f>
        <v/>
      </c>
      <c r="M584" s="16">
        <f>SUM(M559:M583)</f>
        <v/>
      </c>
      <c r="N584" s="16" t="n"/>
      <c r="O584" s="16" t="n"/>
      <c r="P584" s="16">
        <f>SUM(P559:P583)</f>
        <v/>
      </c>
      <c r="Q584" s="16">
        <f>SUM(Q559:Q583)</f>
        <v/>
      </c>
      <c r="R584" s="349" t="n"/>
      <c r="S584" s="16" t="n"/>
      <c r="T584" s="23" t="n"/>
      <c r="U584" s="23" t="inlineStr">
        <is>
          <t>สอน ป.ตรี</t>
        </is>
      </c>
      <c r="V584" s="56" t="n"/>
      <c r="W584" s="23" t="n"/>
      <c r="X584" s="23" t="n"/>
    </row>
    <row r="585" ht="22.2" customHeight="1" s="375">
      <c r="A585" s="3" t="n"/>
      <c r="E585" s="3" t="n"/>
      <c r="F585" s="3" t="n"/>
      <c r="G585" s="16" t="inlineStr">
        <is>
          <t>รวมจำนวนชั่วโมงสอนคาบต่อสับดาห์</t>
        </is>
      </c>
      <c r="H585" s="518" t="n"/>
      <c r="I585" s="518" t="n"/>
      <c r="J585" s="518" t="n"/>
      <c r="K585" s="432" t="n"/>
      <c r="L585" s="16">
        <f>L584+M584</f>
        <v/>
      </c>
      <c r="M585" s="432" t="n"/>
      <c r="N585" s="348" t="n"/>
      <c r="O585" s="16" t="n"/>
      <c r="P585" s="16">
        <f>P584+Q584</f>
        <v/>
      </c>
      <c r="Q585" s="432" t="n"/>
      <c r="R585" s="329" t="n"/>
      <c r="S585" s="336" t="n"/>
      <c r="T585" s="23" t="n"/>
      <c r="U585" s="23" t="inlineStr">
        <is>
          <t>17.10-20.10</t>
        </is>
      </c>
      <c r="V585" s="56" t="n"/>
      <c r="W585" s="23" t="n"/>
      <c r="X585" s="23" t="n"/>
    </row>
    <row r="586" ht="22.2" customHeight="1" s="375">
      <c r="A586" s="3" t="n"/>
      <c r="E586" s="3" t="n"/>
      <c r="F586" s="3" t="n"/>
      <c r="G586" s="16" t="inlineStr">
        <is>
          <t>จำนวนชั่วโมงสอนตามภาระงานสอน</t>
        </is>
      </c>
      <c r="H586" s="518" t="n"/>
      <c r="I586" s="518" t="n"/>
      <c r="J586" s="518" t="n"/>
      <c r="K586" s="432" t="n"/>
      <c r="L586" s="16" t="n">
        <v>12</v>
      </c>
      <c r="M586" s="432" t="n"/>
      <c r="N586" s="348" t="n"/>
      <c r="O586" s="16" t="n"/>
      <c r="P586" s="16" t="n">
        <v>0</v>
      </c>
      <c r="Q586" s="432" t="n"/>
      <c r="R586" s="322" t="n"/>
      <c r="S586" s="334" t="n"/>
    </row>
    <row r="587" ht="22.2" customHeight="1" s="375" thickBot="1">
      <c r="A587" s="3" t="n"/>
      <c r="E587" s="3" t="n"/>
      <c r="F587" s="14" t="n"/>
      <c r="G587" s="16" t="inlineStr">
        <is>
          <t>จำนวนชั่วโมงบิกเกินภาระงานสอน/ค่าสอน</t>
        </is>
      </c>
      <c r="H587" s="518" t="n"/>
      <c r="I587" s="518" t="n"/>
      <c r="J587" s="518" t="n"/>
      <c r="K587" s="432" t="n"/>
      <c r="L587" s="17" t="n">
        <v>0</v>
      </c>
      <c r="M587" s="17">
        <f>SUM(M559:M583)</f>
        <v/>
      </c>
      <c r="N587" s="17" t="n"/>
      <c r="O587" s="17">
        <f>SUM(O559:O583)</f>
        <v/>
      </c>
      <c r="P587" s="17" t="n">
        <v>0</v>
      </c>
      <c r="Q587" s="17">
        <f>SUM(Q559:Q583)</f>
        <v/>
      </c>
      <c r="R587" s="18" t="n"/>
      <c r="S587" s="17">
        <f>SUM(S559:S583)</f>
        <v/>
      </c>
    </row>
    <row r="588" ht="22.2" customHeight="1" s="375" thickTop="1">
      <c r="A588" s="337" t="inlineStr">
        <is>
          <t>รวมจำนวนหน่วยชั่วโมงที่ขอเบิกค่าสอน ….</t>
        </is>
      </c>
      <c r="B588" s="518" t="n"/>
      <c r="C588" s="518" t="n"/>
      <c r="D588" s="518" t="n"/>
      <c r="E588" s="518" t="n"/>
      <c r="F588" s="518" t="n"/>
      <c r="G588" s="518" t="n"/>
      <c r="H588" s="348">
        <f>M587+Q587</f>
        <v/>
      </c>
      <c r="I588" s="348" t="inlineStr">
        <is>
          <t>….ชั่วโมง</t>
        </is>
      </c>
      <c r="J588" s="348" t="n"/>
      <c r="K588" s="328" t="inlineStr">
        <is>
          <t>ยอดเงินรวม</t>
        </is>
      </c>
      <c r="L588" s="522" t="n"/>
      <c r="M588" s="522" t="n"/>
      <c r="N588" s="328" t="n"/>
      <c r="O588" s="328" t="n"/>
      <c r="P588" s="339">
        <f>S587+O587</f>
        <v/>
      </c>
      <c r="Q588" s="538" t="n"/>
      <c r="R588" s="20" t="n"/>
      <c r="S588" s="19" t="inlineStr">
        <is>
          <t>..บาท</t>
        </is>
      </c>
    </row>
    <row r="589" ht="22.2" customHeight="1" s="375">
      <c r="A589" s="154" t="inlineStr">
        <is>
          <t>ผู้ขอเบิก</t>
        </is>
      </c>
      <c r="B589" s="153" t="n"/>
      <c r="C589" s="153" t="n"/>
      <c r="D589" s="153" t="n"/>
      <c r="E589" s="153" t="n"/>
      <c r="F589" s="153" t="n"/>
      <c r="G589" s="135" t="n"/>
      <c r="H589" s="154" t="inlineStr">
        <is>
          <t>ผู้รับรอง</t>
        </is>
      </c>
      <c r="I589" s="153" t="n"/>
      <c r="J589" s="153" t="n"/>
      <c r="K589" s="153" t="n"/>
      <c r="L589" s="135" t="n"/>
      <c r="M589" s="154" t="inlineStr">
        <is>
          <t>ผู้ตรวจ</t>
        </is>
      </c>
      <c r="N589" s="153" t="n"/>
      <c r="O589" s="153" t="n"/>
      <c r="P589" s="153" t="n"/>
      <c r="Q589" s="153" t="n"/>
      <c r="R589" s="153" t="n"/>
      <c r="S589" s="135" t="n"/>
    </row>
    <row r="590" ht="22.2" customHeight="1" s="375">
      <c r="A590" s="334" t="inlineStr">
        <is>
          <t>ลงชื่อ……………………………………………</t>
        </is>
      </c>
      <c r="G590" s="374" t="n"/>
      <c r="H590" s="334" t="inlineStr">
        <is>
          <t>ลงชื่อ……………………………………………</t>
        </is>
      </c>
      <c r="L590" s="374" t="n"/>
      <c r="M590" s="334" t="inlineStr">
        <is>
          <t>ลงชื่อ……………………………………………</t>
        </is>
      </c>
      <c r="S590" s="374" t="n"/>
    </row>
    <row r="591" ht="22.2" customHeight="1" s="375">
      <c r="A591" s="11" t="inlineStr">
        <is>
          <t>(</t>
        </is>
      </c>
      <c r="B591" s="324">
        <f>B559</f>
        <v/>
      </c>
      <c r="G591" s="326" t="inlineStr">
        <is>
          <t>)</t>
        </is>
      </c>
      <c r="H591" s="324" t="inlineStr">
        <is>
          <t>(</t>
        </is>
      </c>
      <c r="I591" s="340">
        <f>I545</f>
        <v/>
      </c>
      <c r="L591" s="12" t="inlineStr">
        <is>
          <t>)</t>
        </is>
      </c>
      <c r="M591" s="53" t="inlineStr">
        <is>
          <t>(</t>
        </is>
      </c>
      <c r="N591" s="53" t="n"/>
      <c r="O591" s="324">
        <f>O39</f>
        <v/>
      </c>
      <c r="R591" s="25" t="n"/>
      <c r="S591" s="326" t="inlineStr">
        <is>
          <t>)</t>
        </is>
      </c>
    </row>
    <row r="592" ht="22.2" customHeight="1" s="375">
      <c r="A592" s="540" t="inlineStr">
        <is>
          <t xml:space="preserve">                         ตำแหน่ง  ครู</t>
        </is>
      </c>
      <c r="G592" s="374" t="n"/>
      <c r="H592" s="54" t="inlineStr">
        <is>
          <t>ตำแหน่ง หัวหน้าแผนก</t>
        </is>
      </c>
      <c r="L592" s="374" t="n"/>
      <c r="M592" s="54" t="inlineStr">
        <is>
          <t>ตำแหน่ง   ผู้ตรวจสอบ</t>
        </is>
      </c>
      <c r="S592" s="374" t="n"/>
    </row>
    <row r="593" ht="22.2" customHeight="1" s="375">
      <c r="A593" s="55" t="inlineStr">
        <is>
          <t>วันที่ 22 เดือน กันยายน  พ.ศ.2569</t>
        </is>
      </c>
      <c r="B593" s="522" t="n"/>
      <c r="C593" s="522" t="n"/>
      <c r="D593" s="522" t="n"/>
      <c r="E593" s="522" t="n"/>
      <c r="F593" s="522" t="n"/>
      <c r="G593" s="527" t="n"/>
      <c r="H593" s="54">
        <f>A41</f>
        <v/>
      </c>
      <c r="L593" s="374" t="n"/>
      <c r="M593" s="55">
        <f>A41</f>
        <v/>
      </c>
      <c r="N593" s="522" t="n"/>
      <c r="O593" s="522" t="n"/>
      <c r="P593" s="522" t="n"/>
      <c r="Q593" s="522" t="n"/>
      <c r="R593" s="522" t="n"/>
      <c r="S593" s="527" t="n"/>
    </row>
    <row r="594" ht="22.2" customHeight="1" s="375">
      <c r="A594" s="154" t="inlineStr">
        <is>
          <t>ผู้ตรวจ</t>
        </is>
      </c>
      <c r="B594" s="153" t="n"/>
      <c r="C594" s="153" t="n"/>
      <c r="D594" s="153" t="n"/>
      <c r="E594" s="153" t="n"/>
      <c r="F594" s="153" t="n"/>
      <c r="G594" s="153" t="n"/>
      <c r="H594" s="153" t="n"/>
      <c r="I594" s="135" t="n"/>
      <c r="J594" s="154" t="inlineStr">
        <is>
          <t>ผู้เห็นชอบ</t>
        </is>
      </c>
      <c r="K594" s="153" t="n"/>
      <c r="L594" s="153" t="n"/>
      <c r="M594" s="153" t="n"/>
      <c r="N594" s="153" t="n"/>
      <c r="O594" s="153" t="n"/>
      <c r="P594" s="153" t="n"/>
      <c r="Q594" s="153" t="n"/>
      <c r="R594" s="153" t="n"/>
      <c r="S594" s="135" t="n"/>
    </row>
    <row r="595" ht="22.2" customHeight="1" s="375">
      <c r="A595" s="334" t="inlineStr">
        <is>
          <t>ลงชื่อ……………………………………………</t>
        </is>
      </c>
      <c r="I595" s="374" t="n"/>
      <c r="J595" s="334" t="inlineStr">
        <is>
          <t>ลงชื่อ……………………………………………</t>
        </is>
      </c>
      <c r="S595" s="374" t="n"/>
    </row>
    <row r="596" ht="22.2" customHeight="1" s="375">
      <c r="A596" s="11" t="n"/>
      <c r="B596" s="324">
        <f>B44</f>
        <v/>
      </c>
      <c r="I596" s="326" t="n"/>
      <c r="J596" s="25" t="n"/>
      <c r="K596" s="25" t="n"/>
      <c r="L596" s="324">
        <f>L44</f>
        <v/>
      </c>
      <c r="R596" s="25" t="n"/>
      <c r="S596" s="12" t="n"/>
    </row>
    <row r="597" ht="22.2" customHeight="1" s="375">
      <c r="A597" s="54" t="inlineStr">
        <is>
          <t>ตำแหน่งครู  หัวหน้างานพัฒนาหลักสูตร ฯ</t>
        </is>
      </c>
      <c r="I597" s="374" t="n"/>
      <c r="J597" s="54" t="inlineStr">
        <is>
          <t>ตำแหน่ง  รองผู้อำนวยการฝ่ายวิชาการ</t>
        </is>
      </c>
      <c r="S597" s="374" t="n"/>
    </row>
    <row r="598" ht="22.2" customHeight="1" s="375">
      <c r="A598" s="336" t="inlineStr">
        <is>
          <t>วันที่.......เดือน..........................พ.ศ..............</t>
        </is>
      </c>
      <c r="B598" s="522" t="n"/>
      <c r="C598" s="522" t="n"/>
      <c r="D598" s="522" t="n"/>
      <c r="E598" s="522" t="n"/>
      <c r="F598" s="522" t="n"/>
      <c r="G598" s="522" t="n"/>
      <c r="H598" s="522" t="n"/>
      <c r="I598" s="527" t="n"/>
      <c r="J598" s="336" t="inlineStr">
        <is>
          <t>วันที่.......เดือน..........................พ.ศ..............</t>
        </is>
      </c>
      <c r="K598" s="522" t="n"/>
      <c r="L598" s="522" t="n"/>
      <c r="M598" s="522" t="n"/>
      <c r="N598" s="522" t="n"/>
      <c r="O598" s="522" t="n"/>
      <c r="P598" s="522" t="n"/>
      <c r="Q598" s="522" t="n"/>
      <c r="R598" s="522" t="n"/>
      <c r="S598" s="527" t="n"/>
    </row>
    <row r="599" ht="22.2" customHeight="1" s="375"/>
    <row r="600" ht="22.2" customHeight="1" s="375"/>
    <row r="601" ht="22.2" customHeight="1" s="375"/>
    <row r="602" ht="22.2" customHeight="1" s="375"/>
    <row r="603" ht="22.2" customHeight="1" s="375"/>
    <row r="604" ht="22.2" customHeight="1" s="375"/>
    <row r="605" ht="22.2" customHeight="1" s="375"/>
    <row r="606" ht="22.2" customHeight="1" s="375"/>
    <row r="607" ht="22.2" customHeight="1" s="375"/>
    <row r="608" ht="22.2" customHeight="1" s="375"/>
    <row r="609" ht="22.2" customHeight="1" s="375"/>
    <row r="610" ht="22.2" customHeight="1" s="375"/>
    <row r="611" ht="22.2" customHeight="1" s="375"/>
    <row r="612" ht="22.2" customHeight="1" s="375"/>
    <row r="613" ht="22.2" customHeight="1" s="375"/>
    <row r="614" ht="22.2" customHeight="1" s="375"/>
    <row r="615" ht="22.2" customHeight="1" s="375"/>
    <row r="616" ht="22.2" customHeight="1" s="375"/>
    <row r="617" ht="22.2" customHeight="1" s="375"/>
    <row r="618" ht="22.2" customHeight="1" s="375"/>
    <row r="619" ht="22.2" customHeight="1" s="375"/>
    <row r="620" ht="22.2" customHeight="1" s="375"/>
    <row r="621" ht="22.2" customHeight="1" s="375"/>
    <row r="622" ht="22.2" customHeight="1" s="375"/>
    <row r="623" ht="22.2" customHeight="1" s="375"/>
    <row r="624" ht="22.2" customHeight="1" s="375"/>
    <row r="625" ht="22.2" customHeight="1" s="375"/>
    <row r="626" ht="22.2" customHeight="1" s="375"/>
    <row r="627" ht="22.2" customHeight="1" s="375"/>
    <row r="628" ht="22.2" customHeight="1" s="375"/>
    <row r="629" ht="22.2" customHeight="1" s="375"/>
    <row r="630" ht="22.2" customHeight="1" s="375"/>
    <row r="631" ht="22.2" customHeight="1" s="375"/>
    <row r="632" ht="22.2" customHeight="1" s="375"/>
    <row r="633" ht="22.2" customHeight="1" s="375" thickBot="1"/>
    <row r="634" ht="22.2" customHeight="1" s="375" thickTop="1"/>
    <row r="635" ht="22.2" customHeight="1" s="375"/>
    <row r="636" ht="22.2" customHeight="1" s="375"/>
    <row r="637" ht="22.2" customHeight="1" s="375"/>
    <row r="638" ht="22.2" customHeight="1" s="375"/>
    <row r="639" ht="22.2" customHeight="1" s="375"/>
    <row r="640" ht="22.2" customHeight="1" s="375"/>
    <row r="641" ht="22.2" customHeight="1" s="375"/>
    <row r="642" ht="22.2" customHeight="1" s="375"/>
    <row r="643" ht="22.2" customHeight="1" s="375"/>
    <row r="644" ht="22.2" customHeight="1" s="375"/>
    <row r="645" ht="22.2" customHeight="1" s="375"/>
    <row r="646" ht="22.2" customHeight="1" s="375"/>
    <row r="647" ht="22.2" customHeight="1" s="375"/>
    <row r="648" ht="22.2" customHeight="1" s="375"/>
    <row r="649" ht="22.2" customHeight="1" s="375"/>
    <row r="650" ht="22.2" customHeight="1" s="375"/>
    <row r="651" ht="22.2" customHeight="1" s="375"/>
    <row r="652" ht="22.2" customHeight="1" s="375"/>
    <row r="653" ht="22.2" customHeight="1" s="375"/>
    <row r="654" ht="22.2" customHeight="1" s="375"/>
    <row r="655" ht="22.2" customHeight="1" s="375"/>
    <row r="656" ht="22.2" customHeight="1" s="375"/>
    <row r="657" ht="22.2" customHeight="1" s="375"/>
    <row r="658" ht="22.2" customHeight="1" s="375"/>
    <row r="659" ht="22.2" customHeight="1" s="375"/>
    <row r="660" ht="22.2" customHeight="1" s="375"/>
    <row r="661" ht="22.2" customHeight="1" s="375"/>
    <row r="662" ht="22.2" customHeight="1" s="375"/>
    <row r="663" ht="22.2" customHeight="1" s="375"/>
    <row r="664" ht="22.2" customHeight="1" s="375"/>
    <row r="665" ht="22.2" customHeight="1" s="375"/>
    <row r="666" ht="22.2" customHeight="1" s="375"/>
    <row r="667" ht="22.2" customHeight="1" s="375"/>
    <row r="668" ht="22.2" customHeight="1" s="375"/>
    <row r="669" ht="22.2" customHeight="1" s="375"/>
    <row r="670" ht="22.2" customHeight="1" s="375"/>
    <row r="671" ht="22.2" customHeight="1" s="375"/>
    <row r="672" ht="22.2" customHeight="1" s="375"/>
    <row r="673" ht="22.2" customHeight="1" s="375"/>
    <row r="674" ht="22.2" customHeight="1" s="375"/>
    <row r="675" ht="22.2" customHeight="1" s="375"/>
    <row r="676" ht="22.2" customHeight="1" s="375"/>
    <row r="677" ht="22.2" customHeight="1" s="375"/>
    <row r="678" ht="22.2" customHeight="1" s="375"/>
    <row r="679" ht="22.2" customHeight="1" s="375" thickBot="1"/>
    <row r="680" ht="22.2" customHeight="1" s="375" thickTop="1"/>
    <row r="681" ht="22.2" customHeight="1" s="375"/>
    <row r="682" ht="22.2" customHeight="1" s="375"/>
    <row r="683" ht="22.2" customHeight="1" s="375"/>
    <row r="684" ht="22.2" customHeight="1" s="375"/>
    <row r="685" ht="22.2" customHeight="1" s="375"/>
    <row r="686" ht="22.2" customHeight="1" s="375"/>
    <row r="687" ht="22.2" customHeight="1" s="375"/>
    <row r="688" ht="22.2" customHeight="1" s="375"/>
    <row r="689" ht="22.2" customHeight="1" s="375"/>
    <row r="690" ht="22.2" customHeight="1" s="375"/>
    <row r="691" ht="22.2" customHeight="1" s="375"/>
    <row r="692" ht="22.2" customHeight="1" s="375"/>
    <row r="693" ht="22.2" customHeight="1" s="375"/>
    <row r="694" ht="22.2" customHeight="1" s="375"/>
    <row r="695" ht="22.2" customHeight="1" s="375"/>
    <row r="696" ht="22.2" customHeight="1" s="375"/>
    <row r="697" ht="22.2" customHeight="1" s="375"/>
    <row r="698" ht="22.2" customHeight="1" s="375"/>
    <row r="699" ht="22.2" customHeight="1" s="375"/>
    <row r="700" ht="22.2" customHeight="1" s="375"/>
    <row r="701" ht="22.2" customHeight="1" s="375"/>
    <row r="702" ht="22.2" customHeight="1" s="375"/>
    <row r="703" ht="22.2" customHeight="1" s="375"/>
    <row r="704" ht="22.2" customHeight="1" s="375"/>
    <row r="705" ht="22.2" customHeight="1" s="375"/>
    <row r="706" ht="22.2" customHeight="1" s="375"/>
    <row r="707" ht="22.2" customHeight="1" s="375"/>
    <row r="708" ht="22.2" customHeight="1" s="375"/>
    <row r="709" ht="22.2" customHeight="1" s="375"/>
    <row r="710" ht="22.2" customHeight="1" s="375"/>
    <row r="711" ht="22.2" customHeight="1" s="375"/>
    <row r="712" ht="22.2" customHeight="1" s="375"/>
    <row r="713" ht="22.2" customHeight="1" s="375"/>
    <row r="714" ht="22.2" customHeight="1" s="375"/>
    <row r="715" ht="22.2" customHeight="1" s="375"/>
    <row r="716" ht="22.2" customHeight="1" s="375"/>
    <row r="717" ht="22.2" customHeight="1" s="375"/>
    <row r="718" ht="22.2" customHeight="1" s="375"/>
    <row r="719" ht="22.2" customHeight="1" s="375"/>
    <row r="720" ht="22.2" customHeight="1" s="375"/>
    <row r="721" ht="22.2" customHeight="1" s="375"/>
    <row r="722" ht="22.2" customHeight="1" s="375"/>
    <row r="723" ht="22.2" customHeight="1" s="375"/>
    <row r="724" ht="22.2" customHeight="1" s="375"/>
    <row r="725" ht="22.2" customHeight="1" s="375" thickBot="1"/>
    <row r="726" ht="22.2" customHeight="1" s="375" thickTop="1"/>
    <row r="727" ht="22.2" customHeight="1" s="375"/>
    <row r="728" ht="22.2" customHeight="1" s="375"/>
    <row r="729" ht="22.2" customHeight="1" s="375"/>
    <row r="730" ht="22.2" customHeight="1" s="375"/>
    <row r="731" ht="22.2" customHeight="1" s="375"/>
    <row r="732" ht="22.2" customHeight="1" s="375"/>
    <row r="733" ht="22.2" customHeight="1" s="375"/>
    <row r="734" ht="22.2" customHeight="1" s="375"/>
    <row r="735" ht="22.2" customHeight="1" s="375"/>
    <row r="736" ht="22.2" customHeight="1" s="375"/>
    <row r="737" ht="22.2" customHeight="1" s="375"/>
    <row r="738" ht="22.2" customHeight="1" s="375"/>
    <row r="739" ht="22.2" customHeight="1" s="375"/>
    <row r="740" ht="22.2" customHeight="1" s="375"/>
    <row r="741" ht="22.2" customHeight="1" s="375"/>
    <row r="742" ht="22.2" customHeight="1" s="375"/>
    <row r="743" ht="22.2" customHeight="1" s="375"/>
    <row r="744" ht="22.2" customHeight="1" s="375"/>
    <row r="745" ht="22.2" customHeight="1" s="375"/>
    <row r="746" ht="22.2" customHeight="1" s="375"/>
    <row r="747" ht="22.2" customHeight="1" s="375"/>
    <row r="748" ht="22.2" customHeight="1" s="375"/>
    <row r="749" ht="22.2" customHeight="1" s="375"/>
    <row r="750" ht="22.2" customHeight="1" s="375"/>
    <row r="751" ht="22.2" customHeight="1" s="375"/>
    <row r="752" ht="22.2" customHeight="1" s="375"/>
    <row r="753" ht="22.2" customHeight="1" s="375"/>
    <row r="754" ht="22.2" customHeight="1" s="375"/>
    <row r="755" ht="22.2" customHeight="1" s="375"/>
    <row r="756" ht="22.2" customHeight="1" s="375"/>
    <row r="757" ht="22.2" customHeight="1" s="375"/>
    <row r="758" ht="22.2" customHeight="1" s="375"/>
    <row r="759" ht="22.2" customHeight="1" s="375"/>
    <row r="760" ht="22.2" customHeight="1" s="375"/>
    <row r="761" ht="22.2" customHeight="1" s="375"/>
    <row r="762" ht="22.2" customHeight="1" s="375"/>
    <row r="763" ht="22.2" customHeight="1" s="375"/>
    <row r="764" ht="22.2" customHeight="1" s="375"/>
    <row r="765" ht="22.2" customHeight="1" s="375"/>
    <row r="766" ht="22.2" customHeight="1" s="375"/>
    <row r="767" ht="22.2" customHeight="1" s="375"/>
    <row r="768" ht="22.2" customHeight="1" s="375"/>
    <row r="769" ht="22.2" customHeight="1" s="375"/>
    <row r="770" ht="22.2" customHeight="1" s="375"/>
    <row r="771" ht="22.2" customHeight="1" s="375" thickBot="1"/>
    <row r="772" ht="22.2" customHeight="1" s="375" thickTop="1"/>
    <row r="773" ht="22.2" customHeight="1" s="375"/>
    <row r="774" ht="22.2" customHeight="1" s="375"/>
    <row r="775" ht="22.2" customHeight="1" s="375"/>
    <row r="776" ht="22.2" customHeight="1" s="375"/>
    <row r="777" ht="22.2" customHeight="1" s="375"/>
    <row r="778" ht="22.2" customHeight="1" s="375"/>
    <row r="779" ht="22.2" customHeight="1" s="375"/>
    <row r="780" ht="22.2" customHeight="1" s="375"/>
    <row r="781" ht="22.2" customHeight="1" s="375"/>
    <row r="782" ht="22.2" customHeight="1" s="375"/>
    <row r="783" ht="22.2" customHeight="1" s="375"/>
    <row r="784" ht="22.2" customHeight="1" s="375"/>
    <row r="785" ht="22.2" customHeight="1" s="375"/>
    <row r="786" ht="22.2" customHeight="1" s="375"/>
    <row r="787" ht="22.2" customHeight="1" s="375"/>
    <row r="788" ht="22.2" customHeight="1" s="375"/>
    <row r="789" ht="22.2" customHeight="1" s="375"/>
    <row r="790" ht="22.2" customHeight="1" s="375"/>
    <row r="791" ht="22.2" customHeight="1" s="375"/>
    <row r="792" ht="22.2" customHeight="1" s="375"/>
    <row r="793" ht="22.2" customHeight="1" s="375"/>
    <row r="794" ht="22.2" customHeight="1" s="375"/>
    <row r="795" ht="22.2" customHeight="1" s="375"/>
    <row r="796" ht="22.2" customHeight="1" s="375"/>
    <row r="797" ht="22.2" customHeight="1" s="375"/>
    <row r="798" ht="22.2" customHeight="1" s="375"/>
    <row r="799" ht="22.2" customHeight="1" s="375"/>
    <row r="800" ht="22.2" customHeight="1" s="375"/>
    <row r="801" ht="22.2" customHeight="1" s="375"/>
    <row r="802" ht="22.2" customHeight="1" s="375"/>
    <row r="803" ht="22.2" customHeight="1" s="375"/>
    <row r="804" ht="22.2" customHeight="1" s="375"/>
    <row r="805" ht="22.2" customHeight="1" s="375"/>
    <row r="806" ht="22.2" customHeight="1" s="375"/>
    <row r="807" ht="22.2" customHeight="1" s="375"/>
    <row r="808" ht="22.2" customHeight="1" s="375"/>
    <row r="809" ht="22.2" customHeight="1" s="375"/>
    <row r="810" ht="22.2" customHeight="1" s="375"/>
    <row r="811" ht="22.2" customHeight="1" s="375"/>
    <row r="812" ht="22.2" customHeight="1" s="375"/>
    <row r="813" ht="22.2" customHeight="1" s="375"/>
    <row r="814" ht="22.2" customHeight="1" s="375"/>
    <row r="815" ht="22.2" customHeight="1" s="375"/>
    <row r="816" ht="22.2" customHeight="1" s="375"/>
    <row r="817" ht="22.2" customHeight="1" s="375" thickBot="1"/>
    <row r="818" ht="22.2" customHeight="1" s="375" thickTop="1"/>
    <row r="819" ht="22.2" customHeight="1" s="375"/>
    <row r="820" ht="22.2" customHeight="1" s="375"/>
    <row r="821" ht="22.2" customHeight="1" s="375"/>
    <row r="822" ht="22.2" customHeight="1" s="375"/>
    <row r="823" ht="22.2" customHeight="1" s="375"/>
    <row r="824" ht="22.2" customHeight="1" s="375"/>
    <row r="825" ht="22.2" customHeight="1" s="375"/>
    <row r="826" ht="22.2" customHeight="1" s="375"/>
    <row r="827" ht="22.2" customHeight="1" s="375"/>
    <row r="828" ht="22.2" customHeight="1" s="375"/>
    <row r="829" ht="22.2" customHeight="1" s="375"/>
    <row r="830" ht="22.2" customHeight="1" s="375"/>
    <row r="831" ht="22.2" customHeight="1" s="375"/>
    <row r="832" ht="22.2" customHeight="1" s="375"/>
    <row r="833" ht="22.2" customHeight="1" s="375"/>
    <row r="834" ht="22.2" customHeight="1" s="375"/>
    <row r="835" ht="22.2" customHeight="1" s="375"/>
    <row r="836" ht="22.2" customHeight="1" s="375"/>
    <row r="837" ht="22.2" customHeight="1" s="375"/>
    <row r="838" ht="22.2" customHeight="1" s="375"/>
    <row r="839" ht="22.2" customHeight="1" s="375"/>
    <row r="840" ht="22.2" customHeight="1" s="375"/>
    <row r="841" ht="22.2" customHeight="1" s="375"/>
    <row r="842" ht="22.2" customHeight="1" s="375"/>
    <row r="843" ht="22.2" customHeight="1" s="375"/>
    <row r="844" ht="22.2" customHeight="1" s="375"/>
    <row r="845" ht="22.2" customHeight="1" s="375"/>
    <row r="846" ht="22.2" customHeight="1" s="375"/>
    <row r="847" ht="22.2" customHeight="1" s="375"/>
    <row r="848" ht="22.2" customHeight="1" s="375"/>
    <row r="849" ht="22.2" customHeight="1" s="375"/>
    <row r="850" ht="22.2" customHeight="1" s="375"/>
    <row r="851" ht="22.2" customHeight="1" s="375"/>
    <row r="852" ht="22.2" customHeight="1" s="375"/>
    <row r="853" ht="22.2" customHeight="1" s="375"/>
    <row r="854" ht="22.2" customHeight="1" s="375"/>
    <row r="855" ht="22.2" customHeight="1" s="375"/>
    <row r="856" ht="22.2" customHeight="1" s="375"/>
    <row r="857" ht="22.2" customHeight="1" s="375"/>
    <row r="858" ht="22.2" customHeight="1" s="375"/>
    <row r="859" ht="22.2" customHeight="1" s="375"/>
    <row r="860" ht="22.2" customHeight="1" s="375"/>
    <row r="861" ht="22.2" customHeight="1" s="375"/>
    <row r="862" ht="22.2" customHeight="1" s="375"/>
    <row r="863" ht="22.2" customHeight="1" s="375" thickBot="1"/>
    <row r="864" ht="22.2" customHeight="1" s="375" thickTop="1"/>
    <row r="865" ht="22.2" customHeight="1" s="375"/>
    <row r="866" ht="22.2" customHeight="1" s="375"/>
    <row r="867" ht="22.2" customHeight="1" s="375"/>
    <row r="868" ht="22.2" customHeight="1" s="375"/>
    <row r="869" ht="22.2" customHeight="1" s="375"/>
    <row r="870" ht="22.2" customHeight="1" s="375"/>
    <row r="871" ht="22.2" customHeight="1" s="375"/>
    <row r="872" ht="22.2" customHeight="1" s="375"/>
    <row r="873" ht="22.2" customHeight="1" s="375"/>
    <row r="874" ht="22.2" customHeight="1" s="375"/>
    <row r="875" ht="22.2" customHeight="1" s="375"/>
    <row r="876" ht="22.2" customHeight="1" s="375"/>
    <row r="877" ht="22.2" customHeight="1" s="375"/>
    <row r="878" ht="22.2" customHeight="1" s="375"/>
    <row r="879" ht="22.2" customHeight="1" s="375"/>
    <row r="880" ht="22.2" customHeight="1" s="375"/>
    <row r="881" ht="22.2" customHeight="1" s="375"/>
    <row r="882" ht="22.2" customHeight="1" s="375"/>
    <row r="883" ht="22.2" customHeight="1" s="375"/>
    <row r="884" ht="22.2" customHeight="1" s="375"/>
    <row r="885" ht="22.2" customHeight="1" s="375"/>
    <row r="886" ht="22.2" customHeight="1" s="375"/>
    <row r="887" ht="22.2" customHeight="1" s="375"/>
    <row r="888" ht="22.2" customHeight="1" s="375"/>
    <row r="889" ht="22.2" customHeight="1" s="375"/>
    <row r="890" ht="22.2" customHeight="1" s="375"/>
    <row r="891" ht="22.2" customHeight="1" s="375"/>
    <row r="892" ht="22.2" customHeight="1" s="375"/>
    <row r="893" ht="22.2" customHeight="1" s="375"/>
    <row r="894" ht="22.2" customHeight="1" s="375"/>
    <row r="895" ht="22.2" customHeight="1" s="375"/>
    <row r="896" ht="22.2" customHeight="1" s="375"/>
    <row r="897" ht="22.2" customHeight="1" s="375"/>
    <row r="898" ht="22.2" customHeight="1" s="375"/>
    <row r="899" ht="22.2" customHeight="1" s="375"/>
    <row r="900" ht="22.2" customHeight="1" s="375"/>
    <row r="901" ht="22.2" customHeight="1" s="375"/>
    <row r="902" ht="22.2" customHeight="1" s="375"/>
    <row r="903" ht="22.2" customHeight="1" s="375"/>
    <row r="904" ht="22.2" customHeight="1" s="375"/>
    <row r="905" ht="22.2" customHeight="1" s="375"/>
    <row r="906" ht="22.2" customHeight="1" s="375"/>
    <row r="907" ht="22.2" customHeight="1" s="375"/>
    <row r="908" ht="22.2" customHeight="1" s="375"/>
    <row r="909" ht="22.2" customHeight="1" s="375" thickBot="1"/>
    <row r="910" ht="22.2" customHeight="1" s="375" thickTop="1"/>
    <row r="911" ht="22.2" customHeight="1" s="375"/>
    <row r="912" ht="22.2" customHeight="1" s="375"/>
    <row r="913" ht="22.2" customHeight="1" s="375"/>
    <row r="914" ht="22.2" customHeight="1" s="375"/>
    <row r="915" ht="22.2" customHeight="1" s="375"/>
    <row r="916" ht="22.2" customHeight="1" s="375"/>
    <row r="917" ht="22.2" customHeight="1" s="375"/>
    <row r="918" ht="22.2" customHeight="1" s="375"/>
    <row r="919" ht="22.2" customHeight="1" s="375"/>
    <row r="920" ht="22.2" customHeight="1" s="375"/>
    <row r="921" ht="22.2" customHeight="1" s="375"/>
    <row r="922" ht="22.2" customHeight="1" s="375"/>
    <row r="923" ht="22.2" customHeight="1" s="375"/>
    <row r="924" ht="22.2" customHeight="1" s="375"/>
    <row r="925" ht="22.2" customHeight="1" s="375"/>
    <row r="926" ht="22.2" customHeight="1" s="375"/>
    <row r="927" ht="22.2" customHeight="1" s="375"/>
    <row r="928" ht="22.2" customHeight="1" s="375"/>
    <row r="929" ht="22.2" customHeight="1" s="375"/>
    <row r="930" ht="22.2" customHeight="1" s="375"/>
    <row r="931" ht="22.2" customHeight="1" s="375"/>
    <row r="932" ht="22.2" customHeight="1" s="375"/>
    <row r="933" ht="22.2" customHeight="1" s="375"/>
    <row r="934" ht="22.2" customHeight="1" s="375"/>
    <row r="935" ht="22.2" customHeight="1" s="375"/>
    <row r="936" ht="22.2" customHeight="1" s="375"/>
    <row r="937" ht="22.2" customHeight="1" s="375"/>
    <row r="938" ht="22.2" customHeight="1" s="375"/>
    <row r="939" ht="22.2" customHeight="1" s="375"/>
    <row r="940" ht="22.2" customHeight="1" s="375"/>
    <row r="941" ht="22.2" customHeight="1" s="375"/>
    <row r="942" ht="22.2" customHeight="1" s="375"/>
    <row r="943" ht="22.2" customHeight="1" s="375"/>
    <row r="944" ht="22.2" customHeight="1" s="375"/>
    <row r="945" ht="22.2" customHeight="1" s="375"/>
    <row r="946" ht="22.2" customHeight="1" s="375"/>
    <row r="947" ht="22.2" customHeight="1" s="375"/>
    <row r="948" ht="22.2" customHeight="1" s="375"/>
    <row r="949" ht="22.2" customHeight="1" s="375"/>
    <row r="950" ht="22.2" customHeight="1" s="375"/>
    <row r="951" ht="22.2" customHeight="1" s="375"/>
    <row r="952" ht="22.2" customHeight="1" s="375"/>
    <row r="953" ht="22.2" customHeight="1" s="375"/>
    <row r="954" ht="22.2" customHeight="1" s="375"/>
    <row r="955" ht="22.2" customHeight="1" s="375" thickBot="1"/>
    <row r="956" ht="22.2" customHeight="1" s="375" thickTop="1"/>
    <row r="957" ht="22.2" customHeight="1" s="375"/>
    <row r="958" ht="22.2" customHeight="1" s="375"/>
    <row r="959" ht="22.2" customHeight="1" s="375"/>
    <row r="960" ht="22.2" customHeight="1" s="375"/>
    <row r="961" ht="22.2" customHeight="1" s="375"/>
    <row r="962" ht="22.2" customHeight="1" s="375"/>
    <row r="963" ht="22.2" customHeight="1" s="375"/>
    <row r="964" ht="22.2" customHeight="1" s="375"/>
    <row r="965" ht="22.2" customHeight="1" s="375"/>
    <row r="966" ht="22.2" customHeight="1" s="375"/>
    <row r="967" ht="22.2" customHeight="1" s="375"/>
    <row r="968" ht="22.2" customHeight="1" s="375"/>
    <row r="969" ht="22.2" customHeight="1" s="375"/>
    <row r="970" ht="22.2" customHeight="1" s="375"/>
    <row r="971" ht="22.2" customHeight="1" s="375"/>
    <row r="972" ht="22.2" customHeight="1" s="375"/>
    <row r="973" ht="22.2" customHeight="1" s="375"/>
    <row r="974" ht="22.2" customHeight="1" s="375"/>
    <row r="975" ht="22.2" customHeight="1" s="375"/>
    <row r="976" ht="22.2" customHeight="1" s="375"/>
    <row r="977" ht="22.2" customHeight="1" s="375"/>
    <row r="978" ht="22.2" customHeight="1" s="375"/>
    <row r="979" ht="22.2" customHeight="1" s="375"/>
    <row r="980" ht="22.2" customHeight="1" s="375"/>
    <row r="981" ht="22.2" customHeight="1" s="375"/>
    <row r="982" ht="22.2" customHeight="1" s="375"/>
    <row r="983" ht="22.2" customHeight="1" s="375"/>
    <row r="984" ht="22.2" customHeight="1" s="375"/>
    <row r="985" ht="22.2" customHeight="1" s="375"/>
    <row r="986" ht="22.2" customHeight="1" s="375"/>
    <row r="987" ht="22.2" customHeight="1" s="375"/>
    <row r="988" ht="22.2" customHeight="1" s="375"/>
    <row r="989" ht="22.2" customHeight="1" s="375"/>
    <row r="990" ht="22.2" customHeight="1" s="375"/>
    <row r="991" ht="22.2" customHeight="1" s="375"/>
    <row r="992" ht="22.2" customHeight="1" s="375"/>
    <row r="993" ht="22.2" customHeight="1" s="375"/>
    <row r="994" ht="22.2" customHeight="1" s="375"/>
    <row r="995" ht="22.2" customHeight="1" s="375"/>
    <row r="996" ht="22.2" customHeight="1" s="375"/>
    <row r="997" ht="22.2" customHeight="1" s="375"/>
    <row r="998" ht="22.2" customHeight="1" s="375"/>
    <row r="999" ht="22.2" customHeight="1" s="375"/>
    <row r="1000" ht="22.2" customHeight="1" s="375"/>
    <row r="1001" ht="22.2" customHeight="1" s="375" thickBot="1"/>
    <row r="1002" ht="22.2" customHeight="1" s="375" thickTop="1"/>
    <row r="1003" ht="22.2" customHeight="1" s="375"/>
    <row r="1004" ht="22.2" customHeight="1" s="375"/>
    <row r="1005" ht="22.2" customHeight="1" s="375"/>
    <row r="1006" ht="22.2" customHeight="1" s="375"/>
    <row r="1007" ht="22.2" customHeight="1" s="375"/>
    <row r="1008" ht="22.2" customHeight="1" s="375"/>
    <row r="1009" ht="22.2" customHeight="1" s="375"/>
    <row r="1010" ht="22.2" customHeight="1" s="375"/>
    <row r="1011" ht="22.2" customHeight="1" s="375"/>
    <row r="1012" ht="22.2" customHeight="1" s="375"/>
    <row r="1013" ht="22.2" customHeight="1" s="375"/>
    <row r="1014" ht="22.2" customHeight="1" s="375"/>
    <row r="1015" ht="22.2" customHeight="1" s="375"/>
    <row r="1016" ht="22.2" customHeight="1" s="375"/>
    <row r="1017" ht="22.2" customHeight="1" s="375"/>
    <row r="1018" ht="22.2" customHeight="1" s="375"/>
    <row r="1019" ht="22.2" customHeight="1" s="375"/>
    <row r="1020" ht="22.2" customHeight="1" s="375"/>
    <row r="1021" ht="22.2" customHeight="1" s="375"/>
    <row r="1022" ht="22.2" customHeight="1" s="375"/>
    <row r="1023" ht="22.2" customHeight="1" s="375"/>
    <row r="1024" ht="22.2" customHeight="1" s="375"/>
    <row r="1025" ht="22.2" customHeight="1" s="375"/>
    <row r="1026" ht="22.2" customHeight="1" s="375"/>
    <row r="1027" ht="22.2" customHeight="1" s="375"/>
    <row r="1028" ht="22.2" customHeight="1" s="375"/>
    <row r="1029" ht="22.2" customHeight="1" s="375"/>
    <row r="1030" ht="22.2" customHeight="1" s="375"/>
    <row r="1031" ht="22.2" customHeight="1" s="375"/>
    <row r="1032" ht="22.2" customHeight="1" s="375"/>
    <row r="1033" ht="22.2" customHeight="1" s="375"/>
    <row r="1034" ht="22.2" customHeight="1" s="375"/>
    <row r="1035" ht="22.2" customHeight="1" s="375"/>
    <row r="1036" ht="22.2" customHeight="1" s="375"/>
    <row r="1037" ht="22.2" customHeight="1" s="375"/>
    <row r="1038" ht="22.2" customHeight="1" s="375"/>
    <row r="1039" ht="22.2" customHeight="1" s="375"/>
    <row r="1040" ht="22.2" customHeight="1" s="375"/>
    <row r="1041" ht="22.2" customHeight="1" s="375"/>
    <row r="1042" ht="22.2" customHeight="1" s="375"/>
    <row r="1043" ht="22.2" customHeight="1" s="375"/>
    <row r="1044" ht="22.2" customHeight="1" s="375"/>
    <row r="1045" ht="22.2" customHeight="1" s="375"/>
    <row r="1046" ht="22.2" customHeight="1" s="375"/>
    <row r="1047" ht="22.2" customHeight="1" s="375" thickBot="1"/>
    <row r="1048" ht="22.2" customHeight="1" s="375" thickTop="1"/>
    <row r="1049" ht="22.2" customHeight="1" s="375"/>
    <row r="1050" ht="22.2" customHeight="1" s="375"/>
    <row r="1051" ht="22.2" customHeight="1" s="375"/>
    <row r="1052" ht="22.2" customHeight="1" s="375"/>
    <row r="1053" ht="22.2" customHeight="1" s="375"/>
    <row r="1054" ht="22.2" customHeight="1" s="375"/>
    <row r="1055" ht="22.2" customHeight="1" s="375"/>
    <row r="1056" ht="22.2" customHeight="1" s="375"/>
    <row r="1057" ht="22.2" customHeight="1" s="375"/>
    <row r="1058" ht="22.2" customHeight="1" s="375"/>
    <row r="1059" ht="22.2" customHeight="1" s="375"/>
    <row r="1060" ht="22.2" customHeight="1" s="375"/>
    <row r="1061" ht="22.2" customHeight="1" s="375"/>
    <row r="1062" ht="22.2" customHeight="1" s="375"/>
    <row r="1063" ht="22.2" customHeight="1" s="375"/>
    <row r="1064" ht="22.2" customHeight="1" s="375"/>
    <row r="1065" ht="22.2" customHeight="1" s="375"/>
    <row r="1066" ht="22.2" customHeight="1" s="375"/>
    <row r="1067" ht="22.2" customHeight="1" s="375"/>
    <row r="1068" ht="22.2" customHeight="1" s="375"/>
    <row r="1069" ht="22.2" customHeight="1" s="375"/>
    <row r="1070" ht="22.2" customHeight="1" s="375"/>
    <row r="1071" ht="22.2" customHeight="1" s="375"/>
    <row r="1072" ht="22.2" customHeight="1" s="375"/>
    <row r="1073" ht="22.2" customHeight="1" s="375"/>
    <row r="1074" ht="22.2" customHeight="1" s="375"/>
    <row r="1075" ht="22.2" customHeight="1" s="375"/>
    <row r="1076" ht="22.2" customHeight="1" s="375"/>
    <row r="1077" ht="22.2" customHeight="1" s="375"/>
    <row r="1078" ht="22.2" customHeight="1" s="375"/>
    <row r="1079" ht="22.2" customHeight="1" s="375"/>
    <row r="1080" ht="22.2" customHeight="1" s="375"/>
    <row r="1081" ht="22.2" customHeight="1" s="375"/>
    <row r="1082" ht="22.2" customHeight="1" s="375"/>
    <row r="1083" ht="22.2" customHeight="1" s="375"/>
    <row r="1084" ht="22.2" customHeight="1" s="375"/>
    <row r="1085" ht="22.2" customHeight="1" s="375"/>
    <row r="1086" ht="22.2" customHeight="1" s="375"/>
    <row r="1087" ht="22.2" customHeight="1" s="375"/>
    <row r="1088" ht="22.2" customHeight="1" s="375"/>
    <row r="1089" ht="22.2" customHeight="1" s="375"/>
    <row r="1090" ht="22.2" customHeight="1" s="375"/>
    <row r="1091" ht="22.2" customHeight="1" s="375"/>
    <row r="1092" ht="22.2" customHeight="1" s="375"/>
    <row r="1093" ht="22.2" customHeight="1" s="375" thickBot="1"/>
    <row r="1094" ht="22.2" customHeight="1" s="375" thickTop="1"/>
    <row r="1095" ht="22.2" customHeight="1" s="375"/>
    <row r="1096" ht="22.2" customHeight="1" s="375"/>
    <row r="1097" ht="22.2" customHeight="1" s="375"/>
    <row r="1098" ht="22.2" customHeight="1" s="375"/>
    <row r="1099" ht="22.2" customHeight="1" s="375"/>
    <row r="1100" ht="22.2" customHeight="1" s="375"/>
    <row r="1101" ht="22.2" customHeight="1" s="375"/>
    <row r="1102" ht="22.2" customHeight="1" s="375"/>
    <row r="1103" ht="22.2" customHeight="1" s="375"/>
    <row r="1104" ht="22.2" customHeight="1" s="375"/>
    <row r="1105" ht="22.2" customHeight="1" s="375"/>
    <row r="1106" ht="22.2" customHeight="1" s="375"/>
    <row r="1107" ht="22.2" customHeight="1" s="375"/>
    <row r="1108" ht="22.2" customHeight="1" s="375"/>
    <row r="1109" ht="22.2" customHeight="1" s="375"/>
    <row r="1110" ht="22.2" customHeight="1" s="375"/>
    <row r="1111" ht="22.2" customHeight="1" s="375"/>
    <row r="1112" ht="22.2" customHeight="1" s="375"/>
    <row r="1113" ht="22.2" customHeight="1" s="375"/>
    <row r="1114" ht="22.2" customHeight="1" s="375"/>
    <row r="1115" ht="22.2" customHeight="1" s="375"/>
    <row r="1116" ht="22.2" customHeight="1" s="375"/>
    <row r="1117" ht="22.2" customHeight="1" s="375"/>
    <row r="1118" ht="22.2" customHeight="1" s="375"/>
    <row r="1119" ht="22.2" customHeight="1" s="375"/>
    <row r="1120" ht="22.2" customHeight="1" s="375"/>
    <row r="1121" ht="22.2" customHeight="1" s="375"/>
    <row r="1122" ht="22.2" customHeight="1" s="375"/>
    <row r="1123" ht="22.2" customHeight="1" s="375"/>
    <row r="1124" ht="22.2" customHeight="1" s="375"/>
    <row r="1125" ht="22.2" customHeight="1" s="375"/>
    <row r="1126" ht="22.2" customHeight="1" s="375"/>
    <row r="1127" ht="22.2" customHeight="1" s="375"/>
    <row r="1128" ht="22.2" customHeight="1" s="375"/>
    <row r="1129" ht="22.2" customHeight="1" s="375"/>
    <row r="1130" ht="22.2" customHeight="1" s="375"/>
    <row r="1131" ht="22.2" customHeight="1" s="375"/>
    <row r="1132" ht="22.2" customHeight="1" s="375"/>
    <row r="1133" ht="22.2" customHeight="1" s="375"/>
    <row r="1134" ht="22.2" customHeight="1" s="375"/>
    <row r="1135" ht="22.2" customHeight="1" s="375"/>
    <row r="1136" ht="22.2" customHeight="1" s="375"/>
    <row r="1137" ht="22.2" customHeight="1" s="375"/>
    <row r="1138" ht="22.2" customHeight="1" s="375"/>
    <row r="1139" ht="22.2" customHeight="1" s="375" thickBot="1"/>
    <row r="1140" ht="22.2" customHeight="1" s="375" thickTop="1"/>
    <row r="1141" ht="22.2" customHeight="1" s="375"/>
    <row r="1142" ht="22.2" customHeight="1" s="375"/>
    <row r="1143" ht="22.2" customHeight="1" s="375"/>
    <row r="1144" ht="22.2" customHeight="1" s="375"/>
    <row r="1145" ht="22.2" customHeight="1" s="375"/>
    <row r="1146" ht="22.2" customHeight="1" s="375"/>
    <row r="1147" ht="22.2" customHeight="1" s="375"/>
    <row r="1148" ht="22.2" customHeight="1" s="375"/>
    <row r="1149" ht="22.2" customHeight="1" s="375"/>
    <row r="1150" ht="22.2" customHeight="1" s="375"/>
    <row r="1151" ht="22.2" customHeight="1" s="375"/>
    <row r="1152" ht="22.2" customHeight="1" s="375"/>
    <row r="1153" ht="22.2" customHeight="1" s="375"/>
    <row r="1154" ht="22.2" customHeight="1" s="375"/>
    <row r="1155" ht="22.2" customHeight="1" s="375"/>
    <row r="1156" ht="22.2" customHeight="1" s="375"/>
    <row r="1157" ht="22.2" customHeight="1" s="375"/>
    <row r="1158" ht="22.2" customHeight="1" s="375"/>
    <row r="1159" ht="22.2" customHeight="1" s="375"/>
    <row r="1160" ht="22.2" customHeight="1" s="375"/>
    <row r="1161" ht="22.2" customHeight="1" s="375"/>
    <row r="1162" ht="22.2" customHeight="1" s="375"/>
    <row r="1163" ht="22.2" customHeight="1" s="375"/>
    <row r="1164" ht="22.2" customHeight="1" s="375"/>
    <row r="1165" ht="22.2" customHeight="1" s="375"/>
    <row r="1166" ht="22.2" customHeight="1" s="375"/>
    <row r="1167" ht="22.2" customHeight="1" s="375"/>
    <row r="1168" ht="22.2" customHeight="1" s="375"/>
    <row r="1169" ht="22.2" customHeight="1" s="375"/>
    <row r="1170" ht="22.2" customHeight="1" s="375"/>
    <row r="1171" ht="22.2" customHeight="1" s="375"/>
    <row r="1172" ht="22.2" customHeight="1" s="375"/>
    <row r="1173" ht="22.2" customHeight="1" s="375"/>
    <row r="1174" ht="22.2" customHeight="1" s="375"/>
    <row r="1175" ht="22.2" customHeight="1" s="375"/>
    <row r="1176" ht="22.2" customHeight="1" s="375"/>
    <row r="1177" ht="22.2" customHeight="1" s="375"/>
    <row r="1178" ht="22.2" customHeight="1" s="375"/>
    <row r="1179" ht="22.2" customHeight="1" s="375"/>
    <row r="1180" ht="22.2" customHeight="1" s="375"/>
    <row r="1181" ht="22.2" customHeight="1" s="375"/>
    <row r="1182" ht="22.2" customHeight="1" s="375"/>
    <row r="1183" ht="22.2" customHeight="1" s="375"/>
    <row r="1184" ht="22.2" customHeight="1" s="375"/>
    <row r="1185" ht="22.2" customHeight="1" s="375"/>
    <row r="1186" ht="22.2" customHeight="1" s="375"/>
    <row r="1187" ht="22.2" customHeight="1" s="375"/>
    <row r="1188" ht="22.2" customHeight="1" s="375"/>
    <row r="1189" ht="22.2" customHeight="1" s="375"/>
    <row r="1190" ht="22.2" customHeight="1" s="375"/>
    <row r="1191" ht="22.2" customHeight="1" s="375"/>
    <row r="1192" ht="22.2" customHeight="1" s="375"/>
    <row r="1193" ht="22.2" customHeight="1" s="375"/>
    <row r="1194" ht="22.2" customHeight="1" s="375"/>
    <row r="1195" ht="22.2" customHeight="1" s="375"/>
    <row r="1196" ht="22.2" customHeight="1" s="375"/>
    <row r="1197" ht="22.2" customHeight="1" s="375"/>
    <row r="1198" ht="22.2" customHeight="1" s="375"/>
    <row r="1199" ht="22.2" customHeight="1" s="375"/>
    <row r="1200" ht="22.2" customHeight="1" s="375"/>
    <row r="1201" ht="22.2" customHeight="1" s="375"/>
    <row r="1202" ht="22.2" customHeight="1" s="375"/>
    <row r="1203" ht="22.2" customHeight="1" s="375"/>
    <row r="1204" ht="22.2" customHeight="1" s="375"/>
    <row r="1205" ht="22.2" customHeight="1" s="375"/>
    <row r="1206" ht="22.2" customHeight="1" s="375"/>
    <row r="1207" ht="22.2" customHeight="1" s="375"/>
    <row r="1208" ht="22.2" customHeight="1" s="375"/>
    <row r="1209" ht="22.2" customHeight="1" s="375"/>
    <row r="1210" ht="22.2" customHeight="1" s="375"/>
    <row r="1211" ht="22.2" customHeight="1" s="375"/>
    <row r="1212" ht="22.2" customHeight="1" s="375"/>
    <row r="1213" ht="22.2" customHeight="1" s="375"/>
    <row r="1214" ht="22.2" customHeight="1" s="375"/>
    <row r="1215" ht="22.2" customHeight="1" s="375"/>
    <row r="1216" ht="22.2" customHeight="1" s="375"/>
    <row r="1217" ht="22.2" customHeight="1" s="375"/>
    <row r="1218" ht="22.2" customHeight="1" s="375"/>
    <row r="1219" ht="22.2" customHeight="1" s="375"/>
    <row r="1220" ht="22.2" customHeight="1" s="375"/>
    <row r="1221" ht="22.2" customHeight="1" s="375"/>
    <row r="1222" ht="22.2" customHeight="1" s="375"/>
    <row r="1223" ht="22.2" customHeight="1" s="375"/>
    <row r="1224" ht="22.2" customHeight="1" s="375"/>
    <row r="1225" ht="22.2" customHeight="1" s="375"/>
    <row r="1226" ht="22.2" customHeight="1" s="375"/>
    <row r="1227" ht="22.2" customHeight="1" s="375"/>
    <row r="1228" ht="22.2" customHeight="1" s="375"/>
    <row r="1229" ht="22.2" customHeight="1" s="375"/>
    <row r="1230" ht="22.2" customHeight="1" s="375"/>
    <row r="1231" ht="22.2" customHeight="1" s="375"/>
    <row r="1232" ht="22.2" customHeight="1" s="375"/>
    <row r="1233" ht="22.2" customHeight="1" s="375"/>
    <row r="1234" ht="22.2" customHeight="1" s="375"/>
    <row r="1235" ht="22.2" customHeight="1" s="375"/>
    <row r="1236" ht="22.2" customHeight="1" s="375"/>
    <row r="1237" ht="22.2" customHeight="1" s="375"/>
    <row r="1238" ht="22.2" customHeight="1" s="375"/>
    <row r="1239" ht="22.2" customHeight="1" s="375"/>
    <row r="1240" ht="22.2" customHeight="1" s="375"/>
    <row r="1241" ht="22.2" customHeight="1" s="375"/>
    <row r="1242" ht="22.2" customHeight="1" s="375"/>
    <row r="1243" ht="22.2" customHeight="1" s="375"/>
    <row r="1244" ht="22.2" customHeight="1" s="375"/>
    <row r="1245" ht="22.2" customHeight="1" s="375"/>
    <row r="1246" ht="22.2" customHeight="1" s="375"/>
    <row r="1247" ht="22.2" customHeight="1" s="375"/>
    <row r="1248" ht="22.2" customHeight="1" s="375"/>
    <row r="1249" ht="22.2" customHeight="1" s="375"/>
    <row r="1250" ht="22.2" customHeight="1" s="375"/>
    <row r="1251" ht="22.2" customHeight="1" s="375"/>
    <row r="1252" ht="22.2" customHeight="1" s="375"/>
    <row r="1253" ht="22.2" customHeight="1" s="375"/>
    <row r="1254" ht="22.2" customHeight="1" s="375"/>
    <row r="1255" ht="22.2" customHeight="1" s="375"/>
    <row r="1256" ht="22.2" customHeight="1" s="375"/>
    <row r="1257" ht="22.2" customHeight="1" s="375"/>
    <row r="1258" ht="22.2" customHeight="1" s="375"/>
    <row r="1259" ht="22.2" customHeight="1" s="375"/>
    <row r="1260" ht="22.2" customHeight="1" s="375"/>
    <row r="1261" ht="22.2" customHeight="1" s="375"/>
    <row r="1262" ht="22.2" customHeight="1" s="375"/>
    <row r="1263" ht="22.2" customHeight="1" s="375"/>
    <row r="1264" ht="22.2" customHeight="1" s="375"/>
    <row r="1265" ht="22.2" customHeight="1" s="375"/>
    <row r="1266" ht="22.2" customHeight="1" s="375"/>
    <row r="1267" ht="22.2" customHeight="1" s="375"/>
    <row r="1268" ht="22.2" customHeight="1" s="375"/>
    <row r="1269" ht="22.2" customHeight="1" s="375"/>
    <row r="1270" ht="22.2" customHeight="1" s="375"/>
    <row r="1271" ht="22.2" customHeight="1" s="375"/>
    <row r="1272" ht="22.2" customHeight="1" s="375"/>
    <row r="1273" ht="22.2" customHeight="1" s="375"/>
    <row r="1274" ht="22.2" customHeight="1" s="375"/>
    <row r="1275" ht="22.2" customHeight="1" s="375"/>
    <row r="1276" ht="22.2" customHeight="1" s="375"/>
    <row r="1277" ht="22.2" customHeight="1" s="375"/>
    <row r="1278" ht="22.2" customHeight="1" s="375"/>
    <row r="1279" ht="22.2" customHeight="1" s="375"/>
    <row r="1280" ht="22.2" customHeight="1" s="375"/>
    <row r="1281" ht="22.2" customHeight="1" s="375"/>
    <row r="1282" ht="22.2" customHeight="1" s="375"/>
    <row r="1283" ht="22.2" customHeight="1" s="375"/>
    <row r="1284" ht="22.2" customHeight="1" s="375"/>
    <row r="1285" ht="22.2" customHeight="1" s="375"/>
    <row r="1286" ht="22.2" customHeight="1" s="375"/>
    <row r="1287" ht="22.2" customHeight="1" s="375"/>
    <row r="1288" ht="22.2" customHeight="1" s="375"/>
    <row r="1289" ht="23.4" customHeight="1" s="375"/>
  </sheetData>
  <mergeCells count="1120">
    <mergeCell ref="H451:L451"/>
    <mergeCell ref="P496:Q496"/>
    <mergeCell ref="M221:S221"/>
    <mergeCell ref="AH27:AJ27"/>
    <mergeCell ref="J288:K288"/>
    <mergeCell ref="J207:K207"/>
    <mergeCell ref="L263:M263"/>
    <mergeCell ref="J5:K6"/>
    <mergeCell ref="AH22:AJ22"/>
    <mergeCell ref="H593:L593"/>
    <mergeCell ref="O269:Q269"/>
    <mergeCell ref="G492:K492"/>
    <mergeCell ref="J347:K347"/>
    <mergeCell ref="J349:K349"/>
    <mergeCell ref="P511:Q511"/>
    <mergeCell ref="L412:Q412"/>
    <mergeCell ref="J518:K518"/>
    <mergeCell ref="P542:Q542"/>
    <mergeCell ref="A83:G83"/>
    <mergeCell ref="J344:K344"/>
    <mergeCell ref="J520:K520"/>
    <mergeCell ref="J464:S464"/>
    <mergeCell ref="A186:S186"/>
    <mergeCell ref="J375:K375"/>
    <mergeCell ref="G539:K539"/>
    <mergeCell ref="P141:Q141"/>
    <mergeCell ref="J246:K246"/>
    <mergeCell ref="J459:S459"/>
    <mergeCell ref="I453:K453"/>
    <mergeCell ref="P143:Q143"/>
    <mergeCell ref="J248:K248"/>
    <mergeCell ref="A45:I45"/>
    <mergeCell ref="M313:S313"/>
    <mergeCell ref="J180:S180"/>
    <mergeCell ref="J292:K292"/>
    <mergeCell ref="J286:K286"/>
    <mergeCell ref="J302:K302"/>
    <mergeCell ref="A275:I275"/>
    <mergeCell ref="B550:H550"/>
    <mergeCell ref="J287:K287"/>
    <mergeCell ref="I499:K499"/>
    <mergeCell ref="J14:K14"/>
    <mergeCell ref="AH9:AJ9"/>
    <mergeCell ref="AE8:AG8"/>
    <mergeCell ref="I223:K223"/>
    <mergeCell ref="J13:K13"/>
    <mergeCell ref="A450:G450"/>
    <mergeCell ref="AE10:AG10"/>
    <mergeCell ref="AH11:AJ11"/>
    <mergeCell ref="J15:K15"/>
    <mergeCell ref="G494:K494"/>
    <mergeCell ref="H129:L129"/>
    <mergeCell ref="A589:G589"/>
    <mergeCell ref="J51:K52"/>
    <mergeCell ref="G34:K34"/>
    <mergeCell ref="A501:G501"/>
    <mergeCell ref="A279:C279"/>
    <mergeCell ref="F509:G509"/>
    <mergeCell ref="P264:Q264"/>
    <mergeCell ref="A592:G592"/>
    <mergeCell ref="B315:F315"/>
    <mergeCell ref="AE21:AG21"/>
    <mergeCell ref="J244:K244"/>
    <mergeCell ref="AE23:AG23"/>
    <mergeCell ref="J28:K28"/>
    <mergeCell ref="O591:Q591"/>
    <mergeCell ref="L3:M3"/>
    <mergeCell ref="J272:S272"/>
    <mergeCell ref="L5:M5"/>
    <mergeCell ref="B281:D281"/>
    <mergeCell ref="K358:M358"/>
    <mergeCell ref="J384:K384"/>
    <mergeCell ref="M129:S129"/>
    <mergeCell ref="A87:G87"/>
    <mergeCell ref="P125:Q125"/>
    <mergeCell ref="J255:K255"/>
    <mergeCell ref="G217:K217"/>
    <mergeCell ref="J511:K512"/>
    <mergeCell ref="J110:K110"/>
    <mergeCell ref="H501:L501"/>
    <mergeCell ref="L356:M356"/>
    <mergeCell ref="H38:L38"/>
    <mergeCell ref="A542:G542"/>
    <mergeCell ref="Z27:AA27"/>
    <mergeCell ref="G400:K400"/>
    <mergeCell ref="H40:L40"/>
    <mergeCell ref="A544:G544"/>
    <mergeCell ref="J99:K99"/>
    <mergeCell ref="G402:K402"/>
    <mergeCell ref="J397:K397"/>
    <mergeCell ref="A414:I414"/>
    <mergeCell ref="Z22:AA22"/>
    <mergeCell ref="AE6:AG6"/>
    <mergeCell ref="J101:K101"/>
    <mergeCell ref="J100:K100"/>
    <mergeCell ref="G32:K32"/>
    <mergeCell ref="M37:S37"/>
    <mergeCell ref="H97:H98"/>
    <mergeCell ref="O407:Q407"/>
    <mergeCell ref="J29:K29"/>
    <mergeCell ref="P51:Q51"/>
    <mergeCell ref="A588:G588"/>
    <mergeCell ref="AE17:AG17"/>
    <mergeCell ref="M38:S38"/>
    <mergeCell ref="J329:K329"/>
    <mergeCell ref="AE19:AG19"/>
    <mergeCell ref="J481:K481"/>
    <mergeCell ref="J552:S552"/>
    <mergeCell ref="J24:K24"/>
    <mergeCell ref="AH30:AJ30"/>
    <mergeCell ref="J26:K26"/>
    <mergeCell ref="L126:M126"/>
    <mergeCell ref="A43:I43"/>
    <mergeCell ref="J482:K482"/>
    <mergeCell ref="I591:K591"/>
    <mergeCell ref="J350:K350"/>
    <mergeCell ref="J386:K386"/>
    <mergeCell ref="J352:K352"/>
    <mergeCell ref="I407:K407"/>
    <mergeCell ref="B419:D419"/>
    <mergeCell ref="M451:S451"/>
    <mergeCell ref="P263:Q263"/>
    <mergeCell ref="J70:K70"/>
    <mergeCell ref="J235:K236"/>
    <mergeCell ref="J63:K63"/>
    <mergeCell ref="AB49:AD49"/>
    <mergeCell ref="J422:K422"/>
    <mergeCell ref="J424:K424"/>
    <mergeCell ref="AB50:AD50"/>
    <mergeCell ref="O499:Q499"/>
    <mergeCell ref="Z9:AA9"/>
    <mergeCell ref="H362:L362"/>
    <mergeCell ref="Z11:AA11"/>
    <mergeCell ref="J421:K421"/>
    <mergeCell ref="J579:K579"/>
    <mergeCell ref="B223:F223"/>
    <mergeCell ref="J152:K152"/>
    <mergeCell ref="A135:I135"/>
    <mergeCell ref="J147:K147"/>
    <mergeCell ref="O131:Q131"/>
    <mergeCell ref="H409:L409"/>
    <mergeCell ref="H235:H236"/>
    <mergeCell ref="J468:K468"/>
    <mergeCell ref="P373:Q373"/>
    <mergeCell ref="A417:C417"/>
    <mergeCell ref="P33:Q33"/>
    <mergeCell ref="L511:M511"/>
    <mergeCell ref="J163:K163"/>
    <mergeCell ref="J294:K294"/>
    <mergeCell ref="J365:S365"/>
    <mergeCell ref="A364:I364"/>
    <mergeCell ref="J165:K165"/>
    <mergeCell ref="J382:K382"/>
    <mergeCell ref="AB2:AD2"/>
    <mergeCell ref="J77:K77"/>
    <mergeCell ref="J348:K348"/>
    <mergeCell ref="L264:M264"/>
    <mergeCell ref="A181:I181"/>
    <mergeCell ref="L141:M141"/>
    <mergeCell ref="J522:K522"/>
    <mergeCell ref="A505:I505"/>
    <mergeCell ref="J524:K524"/>
    <mergeCell ref="M409:S409"/>
    <mergeCell ref="J61:K61"/>
    <mergeCell ref="H175:L175"/>
    <mergeCell ref="L125:M125"/>
    <mergeCell ref="A38:G38"/>
    <mergeCell ref="J519:K519"/>
    <mergeCell ref="AB48:AD48"/>
    <mergeCell ref="P404:Q404"/>
    <mergeCell ref="H176:L176"/>
    <mergeCell ref="Z7:AA7"/>
    <mergeCell ref="A40:G40"/>
    <mergeCell ref="G538:K538"/>
    <mergeCell ref="H178:L178"/>
    <mergeCell ref="L310:M310"/>
    <mergeCell ref="G540:K540"/>
    <mergeCell ref="J237:K237"/>
    <mergeCell ref="Z8:AA8"/>
    <mergeCell ref="J535:K535"/>
    <mergeCell ref="Z2:AA2"/>
    <mergeCell ref="F141:G141"/>
    <mergeCell ref="J239:K239"/>
    <mergeCell ref="J537:K537"/>
    <mergeCell ref="J118:K118"/>
    <mergeCell ref="M175:S175"/>
    <mergeCell ref="J563:K563"/>
    <mergeCell ref="J167:K167"/>
    <mergeCell ref="H133:L133"/>
    <mergeCell ref="M176:S176"/>
    <mergeCell ref="J162:K162"/>
    <mergeCell ref="L51:M51"/>
    <mergeCell ref="H547:L547"/>
    <mergeCell ref="AH13:AJ13"/>
    <mergeCell ref="J164:K164"/>
    <mergeCell ref="P171:Q171"/>
    <mergeCell ref="J372:S372"/>
    <mergeCell ref="J487:K487"/>
    <mergeCell ref="AH8:AJ8"/>
    <mergeCell ref="AB16:AD16"/>
    <mergeCell ref="J410:S410"/>
    <mergeCell ref="AH10:AJ10"/>
    <mergeCell ref="AB9:AD9"/>
    <mergeCell ref="J146:K146"/>
    <mergeCell ref="G449:K449"/>
    <mergeCell ref="J488:K488"/>
    <mergeCell ref="A503:I503"/>
    <mergeCell ref="AB11:AD11"/>
    <mergeCell ref="J515:K515"/>
    <mergeCell ref="J92:S92"/>
    <mergeCell ref="I545:K545"/>
    <mergeCell ref="B557:D557"/>
    <mergeCell ref="J331:K331"/>
    <mergeCell ref="AH28:AJ28"/>
    <mergeCell ref="P401:Q401"/>
    <mergeCell ref="P97:Q97"/>
    <mergeCell ref="J208:K208"/>
    <mergeCell ref="G79:K79"/>
    <mergeCell ref="J373:K374"/>
    <mergeCell ref="M547:S547"/>
    <mergeCell ref="AH21:AJ21"/>
    <mergeCell ref="J89:S89"/>
    <mergeCell ref="J201:K201"/>
    <mergeCell ref="AH23:AJ23"/>
    <mergeCell ref="O39:Q39"/>
    <mergeCell ref="A179:G179"/>
    <mergeCell ref="L596:Q596"/>
    <mergeCell ref="J203:K203"/>
    <mergeCell ref="K174:M174"/>
    <mergeCell ref="A89:I89"/>
    <mergeCell ref="J259:K259"/>
    <mergeCell ref="H500:L500"/>
    <mergeCell ref="B458:H458"/>
    <mergeCell ref="J261:K261"/>
    <mergeCell ref="J559:K559"/>
    <mergeCell ref="F5:G5"/>
    <mergeCell ref="J254:K254"/>
    <mergeCell ref="M270:S270"/>
    <mergeCell ref="J561:K561"/>
    <mergeCell ref="P126:Q126"/>
    <mergeCell ref="J256:K256"/>
    <mergeCell ref="A229:I229"/>
    <mergeCell ref="A409:G409"/>
    <mergeCell ref="J502:S502"/>
    <mergeCell ref="M497:S497"/>
    <mergeCell ref="H373:H374"/>
    <mergeCell ref="A404:G404"/>
    <mergeCell ref="J281:K282"/>
    <mergeCell ref="J432:K432"/>
    <mergeCell ref="B191:D191"/>
    <mergeCell ref="J503:S503"/>
    <mergeCell ref="H271:L271"/>
    <mergeCell ref="AH6:AJ6"/>
    <mergeCell ref="L373:M373"/>
    <mergeCell ref="L33:M33"/>
    <mergeCell ref="A130:G130"/>
    <mergeCell ref="B192:D192"/>
    <mergeCell ref="J486:K486"/>
    <mergeCell ref="A132:G132"/>
    <mergeCell ref="P493:Q493"/>
    <mergeCell ref="J300:K300"/>
    <mergeCell ref="H268:L268"/>
    <mergeCell ref="AH24:AJ24"/>
    <mergeCell ref="AH17:AJ17"/>
    <mergeCell ref="AH19:AJ19"/>
    <mergeCell ref="J199:K199"/>
    <mergeCell ref="F95:G95"/>
    <mergeCell ref="A176:G176"/>
    <mergeCell ref="F97:G97"/>
    <mergeCell ref="A178:G178"/>
    <mergeCell ref="J346:K346"/>
    <mergeCell ref="J340:K340"/>
    <mergeCell ref="J252:K252"/>
    <mergeCell ref="M268:S268"/>
    <mergeCell ref="J341:K341"/>
    <mergeCell ref="J377:K377"/>
    <mergeCell ref="N49:O49"/>
    <mergeCell ref="A185:S185"/>
    <mergeCell ref="J59:K59"/>
    <mergeCell ref="F143:G143"/>
    <mergeCell ref="A42:I42"/>
    <mergeCell ref="A411:I411"/>
    <mergeCell ref="J97:K98"/>
    <mergeCell ref="J184:S184"/>
    <mergeCell ref="A128:G128"/>
    <mergeCell ref="P309:Q309"/>
    <mergeCell ref="G584:K584"/>
    <mergeCell ref="A129:G129"/>
    <mergeCell ref="J439:K439"/>
    <mergeCell ref="K542:M542"/>
    <mergeCell ref="J510:S510"/>
    <mergeCell ref="H224:L224"/>
    <mergeCell ref="J291:K291"/>
    <mergeCell ref="J293:K293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P233:Q233"/>
    <mergeCell ref="AE7:AG7"/>
    <mergeCell ref="J469:K469"/>
    <mergeCell ref="J12:K12"/>
    <mergeCell ref="P235:Q235"/>
    <mergeCell ref="B85:F85"/>
    <mergeCell ref="J227:S227"/>
    <mergeCell ref="AE2:AG2"/>
    <mergeCell ref="J339:K339"/>
    <mergeCell ref="L401:M401"/>
    <mergeCell ref="B283:D283"/>
    <mergeCell ref="A500:G500"/>
    <mergeCell ref="J65:K65"/>
    <mergeCell ref="J480:K480"/>
    <mergeCell ref="J551:S551"/>
    <mergeCell ref="J399:K399"/>
    <mergeCell ref="J392:K392"/>
    <mergeCell ref="J25:K25"/>
    <mergeCell ref="N187:O187"/>
    <mergeCell ref="J394:K394"/>
    <mergeCell ref="P279:Q279"/>
    <mergeCell ref="Z6:AA6"/>
    <mergeCell ref="G81:K81"/>
    <mergeCell ref="J112:K112"/>
    <mergeCell ref="J383:K383"/>
    <mergeCell ref="J376:K376"/>
    <mergeCell ref="J419:K420"/>
    <mergeCell ref="J534:K534"/>
    <mergeCell ref="B329:D329"/>
    <mergeCell ref="J597:S597"/>
    <mergeCell ref="J107:K107"/>
    <mergeCell ref="J378:K378"/>
    <mergeCell ref="L172:M172"/>
    <mergeCell ref="L171:M171"/>
    <mergeCell ref="B330:D330"/>
    <mergeCell ref="A461:S461"/>
    <mergeCell ref="H37:L37"/>
    <mergeCell ref="A268:G268"/>
    <mergeCell ref="J438:K438"/>
    <mergeCell ref="B177:F177"/>
    <mergeCell ref="H406:L406"/>
    <mergeCell ref="J319:S319"/>
    <mergeCell ref="Z19:AA19"/>
    <mergeCell ref="AE3:AG3"/>
    <mergeCell ref="J8:K8"/>
    <mergeCell ref="G311:K311"/>
    <mergeCell ref="J10:K10"/>
    <mergeCell ref="A456:I456"/>
    <mergeCell ref="A93:S93"/>
    <mergeCell ref="H546:L546"/>
    <mergeCell ref="A371:C371"/>
    <mergeCell ref="A316:G316"/>
    <mergeCell ref="AB15:AD15"/>
    <mergeCell ref="AE16:AG16"/>
    <mergeCell ref="J478:K478"/>
    <mergeCell ref="J549:S549"/>
    <mergeCell ref="J21:K21"/>
    <mergeCell ref="AE18:AG18"/>
    <mergeCell ref="I361:K361"/>
    <mergeCell ref="J23:K23"/>
    <mergeCell ref="M406:S406"/>
    <mergeCell ref="A313:G313"/>
    <mergeCell ref="J479:K479"/>
    <mergeCell ref="J91:S91"/>
    <mergeCell ref="L448:M448"/>
    <mergeCell ref="A3:C3"/>
    <mergeCell ref="A323:S323"/>
    <mergeCell ref="K450:M450"/>
    <mergeCell ref="A91:I91"/>
    <mergeCell ref="M546:S546"/>
    <mergeCell ref="A180:I180"/>
    <mergeCell ref="AB28:AD28"/>
    <mergeCell ref="J103:K103"/>
    <mergeCell ref="P417:Q417"/>
    <mergeCell ref="AB30:AD30"/>
    <mergeCell ref="AB29:AD29"/>
    <mergeCell ref="A2:S2"/>
    <mergeCell ref="J321:S321"/>
    <mergeCell ref="J436:K436"/>
    <mergeCell ref="J429:K429"/>
    <mergeCell ref="L494:M494"/>
    <mergeCell ref="J431:K431"/>
    <mergeCell ref="L44:Q44"/>
    <mergeCell ref="L493:M493"/>
    <mergeCell ref="F325:G325"/>
    <mergeCell ref="L309:M309"/>
    <mergeCell ref="H359:L359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J121:K121"/>
    <mergeCell ref="J115:K115"/>
    <mergeCell ref="Z28:AA28"/>
    <mergeCell ref="A138:I138"/>
    <mergeCell ref="M498:S498"/>
    <mergeCell ref="J571:K571"/>
    <mergeCell ref="J150:K150"/>
    <mergeCell ref="Z30:AA30"/>
    <mergeCell ref="N95:O95"/>
    <mergeCell ref="J573:K573"/>
    <mergeCell ref="J116:K116"/>
    <mergeCell ref="A231:S231"/>
    <mergeCell ref="J477:K477"/>
    <mergeCell ref="L235:M235"/>
    <mergeCell ref="M87:S87"/>
    <mergeCell ref="J284:K284"/>
    <mergeCell ref="J364:S364"/>
    <mergeCell ref="M359:S359"/>
    <mergeCell ref="B237:D237"/>
    <mergeCell ref="AB26:AD26"/>
    <mergeCell ref="J76:K76"/>
    <mergeCell ref="N325:O325"/>
    <mergeCell ref="H454:L454"/>
    <mergeCell ref="AB27:AD27"/>
    <mergeCell ref="G219:K219"/>
    <mergeCell ref="J521:K521"/>
    <mergeCell ref="M224:S224"/>
    <mergeCell ref="L279:M279"/>
    <mergeCell ref="P80:Q80"/>
    <mergeCell ref="J514:K514"/>
    <mergeCell ref="J516:K516"/>
    <mergeCell ref="A1:S1"/>
    <mergeCell ref="J460:S460"/>
    <mergeCell ref="A506:I506"/>
    <mergeCell ref="A37:G37"/>
    <mergeCell ref="G448:K448"/>
    <mergeCell ref="A406:G406"/>
    <mergeCell ref="J58:K58"/>
    <mergeCell ref="J574:K574"/>
    <mergeCell ref="J457:S457"/>
    <mergeCell ref="J567:K567"/>
    <mergeCell ref="J569:K569"/>
    <mergeCell ref="M454:S454"/>
    <mergeCell ref="J440:K440"/>
    <mergeCell ref="F465:G465"/>
    <mergeCell ref="A546:G546"/>
    <mergeCell ref="A509:C509"/>
    <mergeCell ref="A276:I276"/>
    <mergeCell ref="B361:F361"/>
    <mergeCell ref="J159:K159"/>
    <mergeCell ref="B235:D235"/>
    <mergeCell ref="A553:S553"/>
    <mergeCell ref="J153:K153"/>
    <mergeCell ref="J290:K290"/>
    <mergeCell ref="J582:K582"/>
    <mergeCell ref="A273:I273"/>
    <mergeCell ref="L217:M217"/>
    <mergeCell ref="A451:G451"/>
    <mergeCell ref="B376:D376"/>
    <mergeCell ref="J285:K285"/>
    <mergeCell ref="A141:C141"/>
    <mergeCell ref="P49:Q49"/>
    <mergeCell ref="K588:M588"/>
    <mergeCell ref="AH7:AJ7"/>
    <mergeCell ref="M222:S222"/>
    <mergeCell ref="J301:K301"/>
    <mergeCell ref="B136:H136"/>
    <mergeCell ref="H267:L267"/>
    <mergeCell ref="A502:I502"/>
    <mergeCell ref="N463:O463"/>
    <mergeCell ref="F49:G49"/>
    <mergeCell ref="H592:L592"/>
    <mergeCell ref="A140:S140"/>
    <mergeCell ref="P95:Q95"/>
    <mergeCell ref="A359:G359"/>
    <mergeCell ref="L182:Q182"/>
    <mergeCell ref="J525:K525"/>
    <mergeCell ref="T104:X104"/>
    <mergeCell ref="J456:S456"/>
    <mergeCell ref="H497:L497"/>
    <mergeCell ref="J380:K380"/>
    <mergeCell ref="B453:F453"/>
    <mergeCell ref="J251:K251"/>
    <mergeCell ref="B182:H182"/>
    <mergeCell ref="J595:S595"/>
    <mergeCell ref="M267:S267"/>
    <mergeCell ref="H143:H144"/>
    <mergeCell ref="J253:K253"/>
    <mergeCell ref="M592:S592"/>
    <mergeCell ref="H41:L41"/>
    <mergeCell ref="G126:K126"/>
    <mergeCell ref="N233:O233"/>
    <mergeCell ref="J598:S598"/>
    <mergeCell ref="A225:G225"/>
    <mergeCell ref="J393:K393"/>
    <mergeCell ref="J188:O188"/>
    <mergeCell ref="AH3:AJ3"/>
    <mergeCell ref="J395:K395"/>
    <mergeCell ref="AH5:AJ5"/>
    <mergeCell ref="G173:K173"/>
    <mergeCell ref="A454:G454"/>
    <mergeCell ref="G170:K170"/>
    <mergeCell ref="P187:Q187"/>
    <mergeCell ref="P494:Q494"/>
    <mergeCell ref="AE13:AG13"/>
    <mergeCell ref="G172:K172"/>
    <mergeCell ref="A455:G455"/>
    <mergeCell ref="J27:K27"/>
    <mergeCell ref="A184:I184"/>
    <mergeCell ref="P189:Q189"/>
    <mergeCell ref="AE15:AG15"/>
    <mergeCell ref="AH16:AJ16"/>
    <mergeCell ref="L90:Q90"/>
    <mergeCell ref="J20:K20"/>
    <mergeCell ref="J196:K196"/>
    <mergeCell ref="P218:Q218"/>
    <mergeCell ref="B269:F269"/>
    <mergeCell ref="J22:K22"/>
    <mergeCell ref="L80:M80"/>
    <mergeCell ref="A175:G175"/>
    <mergeCell ref="J137:S137"/>
    <mergeCell ref="J338:K338"/>
    <mergeCell ref="J138:S138"/>
    <mergeCell ref="AE28:AG28"/>
    <mergeCell ref="L320:Q320"/>
    <mergeCell ref="B596:H596"/>
    <mergeCell ref="AE30:AG30"/>
    <mergeCell ref="B284:D284"/>
    <mergeCell ref="A221:G221"/>
    <mergeCell ref="J66:K66"/>
    <mergeCell ref="H360:L360"/>
    <mergeCell ref="J389:K389"/>
    <mergeCell ref="H465:H466"/>
    <mergeCell ref="G265:K265"/>
    <mergeCell ref="J122:K122"/>
    <mergeCell ref="A410:I410"/>
    <mergeCell ref="A324:S324"/>
    <mergeCell ref="I177:K177"/>
    <mergeCell ref="A48:S48"/>
    <mergeCell ref="J148:K148"/>
    <mergeCell ref="J104:K104"/>
    <mergeCell ref="J105:K105"/>
    <mergeCell ref="M360:S360"/>
    <mergeCell ref="A267:G267"/>
    <mergeCell ref="L49:M49"/>
    <mergeCell ref="H405:L405"/>
    <mergeCell ref="F187:G187"/>
    <mergeCell ref="J143:K144"/>
    <mergeCell ref="K404:M404"/>
    <mergeCell ref="B53:D53"/>
    <mergeCell ref="J430:K430"/>
    <mergeCell ref="J46:S46"/>
    <mergeCell ref="J9:K9"/>
    <mergeCell ref="A593:G593"/>
    <mergeCell ref="J161:K161"/>
    <mergeCell ref="P356:Q356"/>
    <mergeCell ref="AE24:AG24"/>
    <mergeCell ref="A94:S94"/>
    <mergeCell ref="AE26:AG26"/>
    <mergeCell ref="J31:K31"/>
    <mergeCell ref="A319:I319"/>
    <mergeCell ref="A497:G497"/>
    <mergeCell ref="K36:M36"/>
    <mergeCell ref="J62:K62"/>
    <mergeCell ref="J64:K64"/>
    <mergeCell ref="M316:S316"/>
    <mergeCell ref="B591:F591"/>
    <mergeCell ref="B8:D8"/>
    <mergeCell ref="M405:S405"/>
    <mergeCell ref="J276:S276"/>
    <mergeCell ref="J57:K57"/>
    <mergeCell ref="J391:K391"/>
    <mergeCell ref="J189:K190"/>
    <mergeCell ref="T114:X114"/>
    <mergeCell ref="B99:D99"/>
    <mergeCell ref="P586:Q586"/>
    <mergeCell ref="G264:K264"/>
    <mergeCell ref="Z3:AA3"/>
    <mergeCell ref="G78:K78"/>
    <mergeCell ref="A36:G36"/>
    <mergeCell ref="B5:D5"/>
    <mergeCell ref="P402:Q402"/>
    <mergeCell ref="Z5:AA5"/>
    <mergeCell ref="G80:K80"/>
    <mergeCell ref="J75:K75"/>
    <mergeCell ref="A363:G363"/>
    <mergeCell ref="A92:I92"/>
    <mergeCell ref="J531:K531"/>
    <mergeCell ref="J444:K444"/>
    <mergeCell ref="J533:K533"/>
    <mergeCell ref="A548:I548"/>
    <mergeCell ref="B145:D145"/>
    <mergeCell ref="J322:S322"/>
    <mergeCell ref="Z16:AA16"/>
    <mergeCell ref="I39:K39"/>
    <mergeCell ref="G308:K308"/>
    <mergeCell ref="A266:G266"/>
    <mergeCell ref="B499:F499"/>
    <mergeCell ref="P325:Q325"/>
    <mergeCell ref="Z18:AA18"/>
    <mergeCell ref="B51:D51"/>
    <mergeCell ref="J4:N4"/>
    <mergeCell ref="H189:H190"/>
    <mergeCell ref="G310:K310"/>
    <mergeCell ref="Z17:AA17"/>
    <mergeCell ref="P327:Q327"/>
    <mergeCell ref="L228:Q228"/>
    <mergeCell ref="H87:L87"/>
    <mergeCell ref="N279:O279"/>
    <mergeCell ref="H543:L543"/>
    <mergeCell ref="L218:M218"/>
    <mergeCell ref="AB12:AD12"/>
    <mergeCell ref="J475:K475"/>
    <mergeCell ref="F51:G51"/>
    <mergeCell ref="AB13:AD13"/>
    <mergeCell ref="J55:K55"/>
    <mergeCell ref="A232:S232"/>
    <mergeCell ref="AB7:AD7"/>
    <mergeCell ref="J476:K476"/>
    <mergeCell ref="J88:S88"/>
    <mergeCell ref="A459:I459"/>
    <mergeCell ref="L458:Q458"/>
    <mergeCell ref="P371:Q371"/>
    <mergeCell ref="B97:D97"/>
    <mergeCell ref="L417:M417"/>
    <mergeCell ref="AH18:AJ18"/>
    <mergeCell ref="A88:I88"/>
    <mergeCell ref="J204:K204"/>
    <mergeCell ref="J198:K198"/>
    <mergeCell ref="J548:S548"/>
    <mergeCell ref="M543:S543"/>
    <mergeCell ref="AB25:AD25"/>
    <mergeCell ref="J529:K529"/>
    <mergeCell ref="J327:K328"/>
    <mergeCell ref="O177:Q177"/>
    <mergeCell ref="J68:K68"/>
    <mergeCell ref="B143:D143"/>
    <mergeCell ref="I315:K315"/>
    <mergeCell ref="H281:H282"/>
    <mergeCell ref="J257:K257"/>
    <mergeCell ref="P419:Q419"/>
    <mergeCell ref="A230:I230"/>
    <mergeCell ref="H498:L498"/>
    <mergeCell ref="J242:K242"/>
    <mergeCell ref="Z13:AA13"/>
    <mergeCell ref="J428:K428"/>
    <mergeCell ref="B44:H44"/>
    <mergeCell ref="Z15:AA15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J568:K568"/>
    <mergeCell ref="H511:H512"/>
    <mergeCell ref="P36:Q36"/>
    <mergeCell ref="P465:Q465"/>
    <mergeCell ref="L550:Q550"/>
    <mergeCell ref="J570:K570"/>
    <mergeCell ref="B189:D189"/>
    <mergeCell ref="L366:Q366"/>
    <mergeCell ref="AB3:AD3"/>
    <mergeCell ref="A547:G547"/>
    <mergeCell ref="AB5:AD5"/>
    <mergeCell ref="J169:K169"/>
    <mergeCell ref="T19:X19"/>
    <mergeCell ref="A457:I457"/>
    <mergeCell ref="AH20:AJ20"/>
    <mergeCell ref="J200:K200"/>
    <mergeCell ref="J50:P50"/>
    <mergeCell ref="J202:K202"/>
    <mergeCell ref="A554:S554"/>
    <mergeCell ref="AH15:AJ15"/>
    <mergeCell ref="J195:K195"/>
    <mergeCell ref="A597:I597"/>
    <mergeCell ref="P509:Q509"/>
    <mergeCell ref="J197:K197"/>
    <mergeCell ref="B560:D560"/>
    <mergeCell ref="P82:Q82"/>
    <mergeCell ref="AB18:AD18"/>
    <mergeCell ref="G216:K216"/>
    <mergeCell ref="A174:G174"/>
    <mergeCell ref="J342:K342"/>
    <mergeCell ref="P540:Q540"/>
    <mergeCell ref="G218:K218"/>
    <mergeCell ref="G541:K541"/>
    <mergeCell ref="J213:K213"/>
    <mergeCell ref="M133:S133"/>
    <mergeCell ref="H179:L179"/>
    <mergeCell ref="J215:K215"/>
    <mergeCell ref="L95:M95"/>
    <mergeCell ref="J337:K337"/>
    <mergeCell ref="J513:K513"/>
    <mergeCell ref="L402:M402"/>
    <mergeCell ref="O315:Q315"/>
    <mergeCell ref="L97:M97"/>
    <mergeCell ref="F233:G233"/>
    <mergeCell ref="J210:K210"/>
    <mergeCell ref="F235:G235"/>
    <mergeCell ref="P217:Q217"/>
    <mergeCell ref="J564:K564"/>
    <mergeCell ref="J566:K566"/>
    <mergeCell ref="J109:K109"/>
    <mergeCell ref="H327:H328"/>
    <mergeCell ref="A549:I549"/>
    <mergeCell ref="A543:G543"/>
    <mergeCell ref="L325:M325"/>
    <mergeCell ref="H225:L225"/>
    <mergeCell ref="A233:C233"/>
    <mergeCell ref="L327:M327"/>
    <mergeCell ref="F463:G463"/>
    <mergeCell ref="M179:S179"/>
    <mergeCell ref="P447:Q447"/>
    <mergeCell ref="G125:K125"/>
    <mergeCell ref="J437:K437"/>
    <mergeCell ref="H222:L222"/>
    <mergeCell ref="G127:K127"/>
    <mergeCell ref="O85:Q85"/>
    <mergeCell ref="J193:K193"/>
    <mergeCell ref="A370:S370"/>
    <mergeCell ref="J226:S226"/>
    <mergeCell ref="J305:K305"/>
    <mergeCell ref="J307:K307"/>
    <mergeCell ref="AH4:AJ4"/>
    <mergeCell ref="P79:Q79"/>
    <mergeCell ref="M225:S225"/>
    <mergeCell ref="L371:M371"/>
    <mergeCell ref="L274:Q274"/>
    <mergeCell ref="J465:K466"/>
    <mergeCell ref="J335:K335"/>
    <mergeCell ref="B375:D375"/>
    <mergeCell ref="AH26:AJ26"/>
    <mergeCell ref="P220:Q220"/>
    <mergeCell ref="J368:S368"/>
    <mergeCell ref="J206:K206"/>
    <mergeCell ref="A496:G496"/>
    <mergeCell ref="G354:K354"/>
    <mergeCell ref="P555:Q555"/>
    <mergeCell ref="H419:H420"/>
    <mergeCell ref="A498:G498"/>
    <mergeCell ref="G356:K356"/>
    <mergeCell ref="P557:Q557"/>
    <mergeCell ref="J351:K351"/>
    <mergeCell ref="A368:I368"/>
    <mergeCell ref="M271:S271"/>
    <mergeCell ref="J353:K353"/>
    <mergeCell ref="L419:M419"/>
    <mergeCell ref="F555:G555"/>
    <mergeCell ref="F557:G557"/>
    <mergeCell ref="A365:I365"/>
    <mergeCell ref="H314:L314"/>
    <mergeCell ref="H51:H52"/>
    <mergeCell ref="J379:K379"/>
    <mergeCell ref="A82:G82"/>
    <mergeCell ref="J74:K74"/>
    <mergeCell ref="J250:K250"/>
    <mergeCell ref="J594:S594"/>
    <mergeCell ref="A462:S462"/>
    <mergeCell ref="G586:K586"/>
    <mergeCell ref="B327:D327"/>
    <mergeCell ref="Z20:AA20"/>
    <mergeCell ref="S575:S576"/>
    <mergeCell ref="N555:O555"/>
    <mergeCell ref="M317:S317"/>
    <mergeCell ref="J303:K303"/>
    <mergeCell ref="A224:G224"/>
    <mergeCell ref="H544:L544"/>
    <mergeCell ref="J557:K558"/>
    <mergeCell ref="B467:D467"/>
    <mergeCell ref="J123:K123"/>
    <mergeCell ref="J304:K304"/>
    <mergeCell ref="A321:I321"/>
    <mergeCell ref="M314:S314"/>
    <mergeCell ref="J423:K423"/>
    <mergeCell ref="J306:K306"/>
    <mergeCell ref="J18:K18"/>
    <mergeCell ref="AE12:AG12"/>
    <mergeCell ref="J474:K474"/>
    <mergeCell ref="J17:K17"/>
    <mergeCell ref="AE14:AG14"/>
    <mergeCell ref="J19:K19"/>
    <mergeCell ref="L233:M233"/>
    <mergeCell ref="L540:M540"/>
    <mergeCell ref="O453:Q453"/>
    <mergeCell ref="M544:S544"/>
    <mergeCell ref="H316:L316"/>
    <mergeCell ref="H557:H558"/>
    <mergeCell ref="F373:G373"/>
    <mergeCell ref="P355:Q355"/>
    <mergeCell ref="G33:K33"/>
    <mergeCell ref="AB24:AD24"/>
    <mergeCell ref="AE25:AG25"/>
    <mergeCell ref="G35:K35"/>
    <mergeCell ref="J243:K243"/>
    <mergeCell ref="A46:I46"/>
    <mergeCell ref="L463:M463"/>
    <mergeCell ref="H363:L363"/>
    <mergeCell ref="G262:K262"/>
    <mergeCell ref="A220:G220"/>
    <mergeCell ref="L465:M465"/>
    <mergeCell ref="J117:K117"/>
    <mergeCell ref="J388:K388"/>
    <mergeCell ref="A222:G222"/>
    <mergeCell ref="P585:Q585"/>
    <mergeCell ref="J119:K119"/>
    <mergeCell ref="P281:Q281"/>
    <mergeCell ref="J390:K390"/>
    <mergeCell ref="G263:K263"/>
    <mergeCell ref="J427:K427"/>
    <mergeCell ref="P312:Q312"/>
    <mergeCell ref="H84:L84"/>
    <mergeCell ref="J114:K114"/>
    <mergeCell ref="J385:K385"/>
    <mergeCell ref="L447:M447"/>
    <mergeCell ref="Z4:AA4"/>
    <mergeCell ref="F279:G279"/>
    <mergeCell ref="J572:K572"/>
    <mergeCell ref="H86:L86"/>
    <mergeCell ref="J145:K145"/>
    <mergeCell ref="F281:G281"/>
    <mergeCell ref="J443:K443"/>
    <mergeCell ref="A47:S47"/>
    <mergeCell ref="J111:K111"/>
    <mergeCell ref="J445:K445"/>
    <mergeCell ref="Z26:AA26"/>
    <mergeCell ref="L509:M509"/>
    <mergeCell ref="AE5:AG5"/>
    <mergeCell ref="P358:Q358"/>
    <mergeCell ref="J158:K158"/>
    <mergeCell ref="J45:S45"/>
    <mergeCell ref="M84:S84"/>
    <mergeCell ref="J489:K489"/>
    <mergeCell ref="J160:K160"/>
    <mergeCell ref="M86:S86"/>
    <mergeCell ref="L555:M555"/>
    <mergeCell ref="H455:L455"/>
    <mergeCell ref="J491:K491"/>
    <mergeCell ref="AB22:AD22"/>
    <mergeCell ref="J72:K72"/>
    <mergeCell ref="L557:M557"/>
    <mergeCell ref="J484:K484"/>
    <mergeCell ref="A416:S416"/>
    <mergeCell ref="J30:K30"/>
    <mergeCell ref="I269:K269"/>
    <mergeCell ref="A314:G314"/>
    <mergeCell ref="H452:L452"/>
    <mergeCell ref="G171:K171"/>
    <mergeCell ref="J517:K517"/>
    <mergeCell ref="J54:K54"/>
    <mergeCell ref="G357:K357"/>
    <mergeCell ref="J212:K212"/>
    <mergeCell ref="B7:D7"/>
    <mergeCell ref="J56:K56"/>
    <mergeCell ref="J214:K214"/>
    <mergeCell ref="B465:D465"/>
    <mergeCell ref="B421:D421"/>
    <mergeCell ref="A139:S139"/>
    <mergeCell ref="P310:Q310"/>
    <mergeCell ref="J414:S414"/>
    <mergeCell ref="M455:S455"/>
    <mergeCell ref="J441:K441"/>
    <mergeCell ref="A362:G362"/>
    <mergeCell ref="J530:K530"/>
    <mergeCell ref="G401:K401"/>
    <mergeCell ref="J532:K532"/>
    <mergeCell ref="G403:K403"/>
    <mergeCell ref="O361:Q361"/>
    <mergeCell ref="P539:Q539"/>
    <mergeCell ref="M452:S452"/>
    <mergeCell ref="A49:C49"/>
    <mergeCell ref="A369:S369"/>
    <mergeCell ref="J154:K154"/>
    <mergeCell ref="J583:K583"/>
    <mergeCell ref="J120:K120"/>
    <mergeCell ref="A137:I137"/>
    <mergeCell ref="L136:Q136"/>
    <mergeCell ref="J156:K156"/>
    <mergeCell ref="J43:S43"/>
    <mergeCell ref="J155:K155"/>
    <mergeCell ref="J426:K426"/>
    <mergeCell ref="J578:K578"/>
    <mergeCell ref="J157:K157"/>
    <mergeCell ref="J151:K151"/>
    <mergeCell ref="AH2:AJ2"/>
    <mergeCell ref="G447:K447"/>
    <mergeCell ref="K128:M128"/>
    <mergeCell ref="J296:K296"/>
    <mergeCell ref="J367:S367"/>
    <mergeCell ref="J298:K298"/>
    <mergeCell ref="T83:Z83"/>
    <mergeCell ref="B513:D513"/>
    <mergeCell ref="J297:K297"/>
    <mergeCell ref="AB4:AD4"/>
    <mergeCell ref="A367:I367"/>
    <mergeCell ref="A183:I183"/>
    <mergeCell ref="J299:K299"/>
    <mergeCell ref="F371:G371"/>
    <mergeCell ref="L355:M355"/>
    <mergeCell ref="J326:M326"/>
    <mergeCell ref="B514:D514"/>
    <mergeCell ref="J381:K381"/>
    <mergeCell ref="H590:L590"/>
    <mergeCell ref="A358:G358"/>
    <mergeCell ref="J526:K526"/>
    <mergeCell ref="A360:G360"/>
    <mergeCell ref="J528:K528"/>
    <mergeCell ref="A84:G84"/>
    <mergeCell ref="A277:S277"/>
    <mergeCell ref="A86:G86"/>
    <mergeCell ref="J523:K523"/>
    <mergeCell ref="L281:M281"/>
    <mergeCell ref="L585:M585"/>
    <mergeCell ref="F417:G417"/>
    <mergeCell ref="M593:S593"/>
    <mergeCell ref="A278:S278"/>
    <mergeCell ref="J247:K247"/>
    <mergeCell ref="I131:K131"/>
    <mergeCell ref="F419:G419"/>
    <mergeCell ref="J249:K249"/>
    <mergeCell ref="J241:K241"/>
    <mergeCell ref="A598:I598"/>
    <mergeCell ref="N371:O371"/>
    <mergeCell ref="A507:S507"/>
    <mergeCell ref="J183:S183"/>
    <mergeCell ref="J289:K289"/>
    <mergeCell ref="H130:L130"/>
    <mergeCell ref="N3:O3"/>
    <mergeCell ref="J166:K166"/>
    <mergeCell ref="H132:L132"/>
    <mergeCell ref="B90:H90"/>
    <mergeCell ref="M363:S363"/>
    <mergeCell ref="T9:X9"/>
    <mergeCell ref="J191:K191"/>
    <mergeCell ref="A452:G452"/>
    <mergeCell ref="N417:O417"/>
    <mergeCell ref="G493:K493"/>
    <mergeCell ref="L79:M79"/>
    <mergeCell ref="G309:K309"/>
    <mergeCell ref="AH12:AJ12"/>
    <mergeCell ref="J192:K192"/>
    <mergeCell ref="G495:K495"/>
    <mergeCell ref="AH14:AJ14"/>
    <mergeCell ref="J194:K194"/>
    <mergeCell ref="F511:G511"/>
    <mergeCell ref="B559:D559"/>
    <mergeCell ref="J333:K333"/>
    <mergeCell ref="AE29:AG29"/>
    <mergeCell ref="A322:I322"/>
    <mergeCell ref="J135:S135"/>
    <mergeCell ref="J245:K245"/>
    <mergeCell ref="M130:S130"/>
    <mergeCell ref="J334:K334"/>
    <mergeCell ref="AH25:AJ25"/>
    <mergeCell ref="M132:S132"/>
    <mergeCell ref="B407:F407"/>
    <mergeCell ref="J205:K205"/>
    <mergeCell ref="J336:K336"/>
    <mergeCell ref="P588:Q588"/>
    <mergeCell ref="M590:S590"/>
    <mergeCell ref="V5:X5"/>
    <mergeCell ref="J275:S275"/>
    <mergeCell ref="A187:C187"/>
    <mergeCell ref="A551:I551"/>
    <mergeCell ref="P128:Q128"/>
    <mergeCell ref="J258:K258"/>
    <mergeCell ref="J565:K565"/>
    <mergeCell ref="B39:F39"/>
    <mergeCell ref="J181:S181"/>
    <mergeCell ref="J260:K260"/>
    <mergeCell ref="B511:D511"/>
    <mergeCell ref="J506:S506"/>
    <mergeCell ref="G585:K585"/>
    <mergeCell ref="K266:M266"/>
    <mergeCell ref="J434:K434"/>
    <mergeCell ref="J505:S505"/>
    <mergeCell ref="N141:O141"/>
    <mergeCell ref="H270:L270"/>
    <mergeCell ref="A590:G590"/>
    <mergeCell ref="A318:I318"/>
    <mergeCell ref="AE27:AG27"/>
    <mergeCell ref="J7:K7"/>
    <mergeCell ref="J330:K330"/>
    <mergeCell ref="AE20:AG20"/>
    <mergeCell ref="J332:K332"/>
    <mergeCell ref="AE22:AG22"/>
    <mergeCell ref="A415:S415"/>
    <mergeCell ref="B131:F131"/>
    <mergeCell ref="J60:K60"/>
    <mergeCell ref="J273:S273"/>
    <mergeCell ref="J234:O234"/>
    <mergeCell ref="J53:K53"/>
    <mergeCell ref="J387:K387"/>
    <mergeCell ref="J343:K343"/>
    <mergeCell ref="J345:K345"/>
    <mergeCell ref="H317:L317"/>
    <mergeCell ref="N509:O509"/>
    <mergeCell ref="A325:C325"/>
    <mergeCell ref="J71:K71"/>
    <mergeCell ref="J73:K73"/>
    <mergeCell ref="A413:I413"/>
    <mergeCell ref="J102:K102"/>
    <mergeCell ref="J425:K425"/>
    <mergeCell ref="J318:S318"/>
    <mergeCell ref="Z12:AA12"/>
    <mergeCell ref="B228:H228"/>
    <mergeCell ref="P172:Q172"/>
    <mergeCell ref="Z14:AA14"/>
    <mergeCell ref="A555:C555"/>
    <mergeCell ref="A133:G133"/>
    <mergeCell ref="J295:K295"/>
    <mergeCell ref="M40:S40"/>
    <mergeCell ref="O223:Q223"/>
    <mergeCell ref="G446:K446"/>
    <mergeCell ref="B373:D373"/>
    <mergeCell ref="AE9:AG9"/>
    <mergeCell ref="AB8:AD8"/>
    <mergeCell ref="J471:K471"/>
    <mergeCell ref="A460:I460"/>
    <mergeCell ref="AB10:AD10"/>
    <mergeCell ref="AE11:AG11"/>
    <mergeCell ref="J473:K473"/>
    <mergeCell ref="J16:K16"/>
    <mergeCell ref="J229:S229"/>
    <mergeCell ref="J168:K168"/>
    <mergeCell ref="J472:K472"/>
    <mergeCell ref="AE4:AG4"/>
    <mergeCell ref="L143:M143"/>
    <mergeCell ref="B545:F545"/>
    <mergeCell ref="B274:H274"/>
    <mergeCell ref="H313:L313"/>
    <mergeCell ref="J67:K67"/>
    <mergeCell ref="J413:S413"/>
    <mergeCell ref="J69:K69"/>
    <mergeCell ref="AB21:AD21"/>
    <mergeCell ref="G355:K355"/>
    <mergeCell ref="P266:Q266"/>
    <mergeCell ref="AB23:AD23"/>
    <mergeCell ref="J396:K396"/>
    <mergeCell ref="J527:K527"/>
    <mergeCell ref="J485:K485"/>
    <mergeCell ref="B320:H320"/>
    <mergeCell ref="K496:M496"/>
    <mergeCell ref="J398:K398"/>
    <mergeCell ref="A41:G41"/>
    <mergeCell ref="AB51:AD51"/>
    <mergeCell ref="A226:I226"/>
    <mergeCell ref="Z10:AA10"/>
    <mergeCell ref="L586:M586"/>
    <mergeCell ref="J238:K238"/>
    <mergeCell ref="J240:K240"/>
    <mergeCell ref="H83:L83"/>
    <mergeCell ref="K82:M82"/>
    <mergeCell ref="B366:H366"/>
    <mergeCell ref="H408:L408"/>
    <mergeCell ref="J108:K108"/>
    <mergeCell ref="Z21:AA21"/>
    <mergeCell ref="J442:K442"/>
    <mergeCell ref="A271:G271"/>
    <mergeCell ref="Z29:AA29"/>
    <mergeCell ref="M362:S362"/>
    <mergeCell ref="Z23:AA23"/>
    <mergeCell ref="M178:S178"/>
    <mergeCell ref="AB6:AD6"/>
    <mergeCell ref="B54:D54"/>
    <mergeCell ref="Z24:AA24"/>
    <mergeCell ref="J470:K470"/>
    <mergeCell ref="B468:D468"/>
    <mergeCell ref="O545:Q545"/>
    <mergeCell ref="J42:S42"/>
    <mergeCell ref="P174:Q174"/>
    <mergeCell ref="K312:M312"/>
    <mergeCell ref="AB17:AD17"/>
    <mergeCell ref="J411:S411"/>
    <mergeCell ref="M83:S83"/>
    <mergeCell ref="J490:K490"/>
    <mergeCell ref="AB19:AD19"/>
    <mergeCell ref="A594:I594"/>
    <mergeCell ref="M408:S408"/>
    <mergeCell ref="B412:H412"/>
    <mergeCell ref="B100:D100"/>
    <mergeCell ref="A317:G317"/>
    <mergeCell ref="AB20:AD20"/>
    <mergeCell ref="J483:K483"/>
    <mergeCell ref="AB14:AD14"/>
    <mergeCell ref="L539:M539"/>
    <mergeCell ref="A595:I595"/>
    <mergeCell ref="I85:K85"/>
    <mergeCell ref="A463:C463"/>
    <mergeCell ref="AH29:AJ29"/>
    <mergeCell ref="A312:G312"/>
    <mergeCell ref="J209:K209"/>
    <mergeCell ref="J211:K211"/>
    <mergeCell ref="J536:K536"/>
    <mergeCell ref="H589:L589"/>
    <mergeCell ref="J560:K560"/>
    <mergeCell ref="P3:Q3"/>
    <mergeCell ref="J106:K106"/>
    <mergeCell ref="J562:K562"/>
    <mergeCell ref="A552:I552"/>
    <mergeCell ref="P5:Q5"/>
    <mergeCell ref="J433:K433"/>
    <mergeCell ref="H221:L221"/>
    <mergeCell ref="J435:K435"/>
    <mergeCell ref="J134:S134"/>
    <mergeCell ref="L504:Q504"/>
    <mergeCell ref="F3:G3"/>
    <mergeCell ref="K220:M220"/>
    <mergeCell ref="P450:Q450"/>
    <mergeCell ref="J580:K580"/>
    <mergeCell ref="M500:S500"/>
    <mergeCell ref="A134:I134"/>
    <mergeCell ref="B504:H504"/>
    <mergeCell ref="M589:S589"/>
    <mergeCell ref="J283:K283"/>
    <mergeCell ref="J581:K581"/>
    <mergeCell ref="M501:S501"/>
    <mergeCell ref="L34:M34"/>
    <mergeCell ref="J577:K577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2" horizontalDpi="360" verticalDpi="360"/>
  <rowBreaks count="27" manualBreakCount="27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6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  <brk id="1242" min="0" max="34" man="1"/>
  </rowBreaks>
  <colBreaks count="1" manualBreakCount="1">
    <brk id="19" min="0" max="1199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98"/>
  <sheetViews>
    <sheetView view="pageBreakPreview" zoomScaleNormal="115" zoomScaleSheetLayoutView="100" workbookViewId="0">
      <selection activeCell="A2" sqref="A2:S2"/>
    </sheetView>
  </sheetViews>
  <sheetFormatPr baseColWidth="8" defaultColWidth="9.109375" defaultRowHeight="18"/>
  <cols>
    <col width="3.33203125" customWidth="1" style="7" min="1" max="1"/>
    <col width="5" customWidth="1" style="7" min="2" max="2"/>
    <col width="3.6640625" customWidth="1" style="7" min="3" max="3"/>
    <col width="12.44140625" customWidth="1" style="7" min="4" max="4"/>
    <col width="6.5546875" customWidth="1" style="7" min="5" max="5"/>
    <col width="3.44140625" customWidth="1" style="7" min="6" max="6"/>
    <col width="11.88671875" customWidth="1" style="7" min="7" max="7"/>
    <col width="10.44140625" customWidth="1" style="7" min="8" max="8"/>
    <col width="16.109375" customWidth="1" style="322" min="9" max="9"/>
    <col width="4.44140625" customWidth="1" style="7" min="10" max="10"/>
    <col width="6.5546875" customWidth="1" style="7" min="11" max="11"/>
    <col width="6.6640625" customWidth="1" style="7" min="12" max="13"/>
    <col width="8.6640625" customWidth="1" style="7" min="14" max="14"/>
    <col width="9.5546875" customWidth="1" style="7" min="15" max="15"/>
    <col width="6.6640625" customWidth="1" style="7" min="16" max="17"/>
    <col width="8.6640625" customWidth="1" style="7" min="18" max="18"/>
    <col width="9.6640625" customWidth="1" style="7" min="19" max="19"/>
    <col width="8.6640625" customWidth="1" style="7" min="20" max="20"/>
    <col width="3" customWidth="1" style="7" min="21" max="21"/>
    <col width="8.6640625" customWidth="1" style="7" min="22" max="22"/>
    <col width="3" customWidth="1" style="7" min="23" max="23"/>
    <col width="8.6640625" customWidth="1" style="7" min="24" max="24"/>
    <col width="3" customWidth="1" style="7" min="25" max="25"/>
    <col width="8.6640625" customWidth="1" style="7" min="26" max="26"/>
    <col width="3" customWidth="1" style="7" min="27" max="27"/>
    <col width="9.109375" customWidth="1" style="7" min="28" max="16384"/>
  </cols>
  <sheetData>
    <row r="1" ht="22.2" customHeight="1" s="375">
      <c r="A1" s="365" t="inlineStr">
        <is>
          <t>ใบเบิกจ่ายเงินค่าสอนพิเศษและค่าสอนเกินภาระงานสอนในสถานศึกษา</t>
        </is>
      </c>
      <c r="Z1" s="382" t="n"/>
      <c r="AA1" s="382" t="n"/>
    </row>
    <row r="2" ht="22.2" customHeight="1" s="375">
      <c r="A2" s="365" t="inlineStr">
        <is>
          <t>แผนกวิชาช่างยนต์</t>
        </is>
      </c>
      <c r="Y2" s="374" t="n"/>
      <c r="Z2" s="412" t="inlineStr">
        <is>
          <t>ลำดับ</t>
        </is>
      </c>
      <c r="AA2" s="432" t="n"/>
      <c r="AB2" s="409" t="inlineStr">
        <is>
          <t>รายชื่อ</t>
        </is>
      </c>
      <c r="AC2" s="518" t="n"/>
      <c r="AD2" s="518" t="n"/>
      <c r="AE2" s="412" t="inlineStr">
        <is>
          <t>รวม ชม./ ส.</t>
        </is>
      </c>
      <c r="AF2" s="518" t="n"/>
      <c r="AG2" s="432" t="n"/>
      <c r="AH2" s="412" t="inlineStr">
        <is>
          <t>รวม ค่าสอน / สัปดาห์</t>
        </is>
      </c>
      <c r="AI2" s="518" t="n"/>
      <c r="AJ2" s="432" t="n"/>
    </row>
    <row r="3" ht="22.2" customHeight="1" s="375">
      <c r="A3" s="366" t="inlineStr">
        <is>
          <t xml:space="preserve">    ระหว่างวันที่</t>
        </is>
      </c>
      <c r="D3" s="365" t="n">
        <v>21</v>
      </c>
      <c r="E3" s="365" t="inlineStr">
        <is>
          <t xml:space="preserve">   เดือน  </t>
        </is>
      </c>
      <c r="F3" s="365" t="inlineStr">
        <is>
          <t>กันยายน</t>
        </is>
      </c>
      <c r="H3" s="365" t="inlineStr">
        <is>
          <t>พ.ศ. 2569</t>
        </is>
      </c>
      <c r="I3" s="365" t="inlineStr">
        <is>
          <t xml:space="preserve">     ถึง วันที่</t>
        </is>
      </c>
      <c r="J3" s="365" t="n">
        <v>25</v>
      </c>
      <c r="K3" s="365" t="inlineStr">
        <is>
          <t xml:space="preserve">   เดือน </t>
        </is>
      </c>
      <c r="L3" s="365" t="inlineStr">
        <is>
          <t>กันยายน</t>
        </is>
      </c>
      <c r="N3" s="365" t="inlineStr">
        <is>
          <t>พ.ศ. 2569</t>
        </is>
      </c>
      <c r="P3" s="365" t="n"/>
      <c r="R3" s="365" t="n"/>
      <c r="Y3" s="374" t="n"/>
      <c r="Z3" s="519" t="n">
        <v>1</v>
      </c>
      <c r="AA3" s="135" t="n"/>
      <c r="AB3" s="520" t="inlineStr">
        <is>
          <t>นายชำนาญ แก้วจงประสิทธิ์</t>
        </is>
      </c>
      <c r="AD3" s="374" t="n"/>
      <c r="AE3" s="362" t="n">
        <v>12</v>
      </c>
      <c r="AF3" s="153" t="n"/>
      <c r="AG3" s="135" t="n"/>
      <c r="AH3" s="521" t="n">
        <v>2400</v>
      </c>
      <c r="AI3" s="153" t="n"/>
      <c r="AJ3" s="135" t="n"/>
    </row>
    <row r="4" ht="22.2" customHeight="1" s="375">
      <c r="G4" s="51" t="inlineStr">
        <is>
          <t>ü</t>
        </is>
      </c>
      <c r="H4" s="351" t="inlineStr">
        <is>
          <t>ครู</t>
        </is>
      </c>
      <c r="I4" s="322" t="inlineStr">
        <is>
          <t>หน้าที่พิเศษ</t>
        </is>
      </c>
      <c r="J4" s="380" t="inlineStr">
        <is>
          <t>หัวหน้าแผนกวิชาช่างยนต์</t>
        </is>
      </c>
      <c r="K4" s="522" t="n"/>
      <c r="L4" s="522" t="n"/>
      <c r="M4" s="522" t="n"/>
      <c r="N4" s="522" t="n"/>
      <c r="Y4" s="374" t="n"/>
      <c r="Z4" s="523" t="n">
        <v>2</v>
      </c>
      <c r="AA4" s="374" t="n"/>
      <c r="AB4" s="390" t="inlineStr">
        <is>
          <t>นายวัชรัศนิ์ ไชยศาสตร์</t>
        </is>
      </c>
      <c r="AE4" s="334" t="n">
        <v>12</v>
      </c>
      <c r="AG4" s="374" t="n"/>
      <c r="AH4" s="333" t="n">
        <v>2400</v>
      </c>
      <c r="AJ4" s="374" t="n"/>
    </row>
    <row r="5" ht="22.2" customHeight="1" s="375">
      <c r="A5" s="24" t="inlineStr">
        <is>
          <t>ที่</t>
        </is>
      </c>
      <c r="B5" s="24" t="inlineStr">
        <is>
          <t>ชื่อ-สกุล</t>
        </is>
      </c>
      <c r="C5" s="153" t="n"/>
      <c r="D5" s="135" t="n"/>
      <c r="E5" s="15" t="inlineStr">
        <is>
          <t>ตำแหน่ง</t>
        </is>
      </c>
      <c r="F5" s="16" t="inlineStr">
        <is>
          <t>ระยะเวลาที่สอน</t>
        </is>
      </c>
      <c r="G5" s="432" t="n"/>
      <c r="H5" s="16" t="inlineStr">
        <is>
          <t>รหัสวิชา</t>
        </is>
      </c>
      <c r="I5" s="362" t="inlineStr">
        <is>
          <t>ชั้น,แผนก,ห้อง</t>
        </is>
      </c>
      <c r="J5" s="16" t="inlineStr">
        <is>
          <t>เวลาสอน</t>
        </is>
      </c>
      <c r="K5" s="135" t="n"/>
      <c r="L5" s="16" t="inlineStr">
        <is>
          <t>ปวช.(คาบ)</t>
        </is>
      </c>
      <c r="M5" s="432" t="n"/>
      <c r="N5" s="354" t="inlineStr">
        <is>
          <t>เงิน</t>
        </is>
      </c>
      <c r="O5" s="362" t="inlineStr">
        <is>
          <t>ยอดเงิน</t>
        </is>
      </c>
      <c r="P5" s="524" t="inlineStr">
        <is>
          <t>ปวส.(คาบ)</t>
        </is>
      </c>
      <c r="Q5" s="432" t="n"/>
      <c r="R5" s="354" t="inlineStr">
        <is>
          <t>เงิน</t>
        </is>
      </c>
      <c r="S5" s="362" t="inlineStr">
        <is>
          <t>ยอดเงิน</t>
        </is>
      </c>
      <c r="V5" s="390" t="n"/>
      <c r="Y5" s="374" t="n"/>
      <c r="Z5" s="523" t="n">
        <v>3</v>
      </c>
      <c r="AA5" s="374" t="n"/>
      <c r="AB5" s="390" t="inlineStr">
        <is>
          <t>นายไพรัช น้อยแสง</t>
        </is>
      </c>
      <c r="AE5" s="334" t="n">
        <v>12</v>
      </c>
      <c r="AG5" s="374" t="n"/>
      <c r="AH5" s="333" t="n">
        <v>2400</v>
      </c>
      <c r="AJ5" s="374" t="n"/>
    </row>
    <row r="6" ht="22.2" customHeight="1" s="375">
      <c r="A6" s="52" t="n"/>
      <c r="B6" s="8" t="n"/>
      <c r="C6" s="9" t="n"/>
      <c r="D6" s="13" t="n"/>
      <c r="E6" s="10" t="n"/>
      <c r="F6" s="336" t="inlineStr">
        <is>
          <t>ส.</t>
        </is>
      </c>
      <c r="G6" s="336" t="inlineStr">
        <is>
          <t>วดป.</t>
        </is>
      </c>
      <c r="H6" s="525" t="n"/>
      <c r="I6" s="336" t="n"/>
      <c r="J6" s="526" t="n"/>
      <c r="K6" s="527" t="n"/>
      <c r="L6" s="336" t="inlineStr">
        <is>
          <t>ใน</t>
        </is>
      </c>
      <c r="M6" s="336" t="inlineStr">
        <is>
          <t>นอก</t>
        </is>
      </c>
      <c r="N6" s="336" t="inlineStr">
        <is>
          <t>ต่อ ชม.</t>
        </is>
      </c>
      <c r="O6" s="336" t="inlineStr">
        <is>
          <t>(บาท)</t>
        </is>
      </c>
      <c r="P6" s="52" t="inlineStr">
        <is>
          <t>ใน</t>
        </is>
      </c>
      <c r="Q6" s="52" t="inlineStr">
        <is>
          <t>นอก</t>
        </is>
      </c>
      <c r="R6" s="336" t="inlineStr">
        <is>
          <t>ต่อ ชม.</t>
        </is>
      </c>
      <c r="S6" s="336" t="inlineStr">
        <is>
          <t>(บาท)</t>
        </is>
      </c>
      <c r="Y6" s="374" t="n"/>
      <c r="Z6" s="523" t="n">
        <v>4</v>
      </c>
      <c r="AA6" s="374" t="n"/>
      <c r="AB6" s="392" t="inlineStr">
        <is>
          <t>นายจักรกฤษณ์ ปัญญา</t>
        </is>
      </c>
      <c r="AD6" s="374" t="n"/>
      <c r="AE6" s="334" t="n">
        <v>12</v>
      </c>
      <c r="AG6" s="374" t="n"/>
      <c r="AH6" s="333" t="n">
        <v>2400</v>
      </c>
      <c r="AJ6" s="374" t="n"/>
    </row>
    <row r="7" ht="22.2" customHeight="1" s="375">
      <c r="A7" s="362" t="n">
        <v>1</v>
      </c>
      <c r="B7" s="528">
        <f>AB3</f>
        <v/>
      </c>
      <c r="C7" s="153" t="n"/>
      <c r="D7" s="135" t="n"/>
      <c r="E7" s="362" t="inlineStr">
        <is>
          <t>ครู</t>
        </is>
      </c>
      <c r="F7" s="5" t="n">
        <v>2</v>
      </c>
      <c r="G7" s="529" t="inlineStr">
        <is>
          <t>จันทร์</t>
        </is>
      </c>
      <c r="H7" s="542" t="inlineStr">
        <is>
          <t>หยุด</t>
        </is>
      </c>
      <c r="I7" s="543" t="inlineStr"/>
      <c r="J7" s="544" t="inlineStr"/>
      <c r="K7" s="374" t="n"/>
      <c r="L7" s="367" t="inlineStr"/>
      <c r="M7" s="367" t="inlineStr"/>
      <c r="N7" s="381" t="inlineStr"/>
      <c r="O7" s="354">
        <f>M7*N7</f>
        <v/>
      </c>
      <c r="P7" s="381" t="inlineStr"/>
      <c r="Q7" s="367" t="inlineStr"/>
      <c r="R7" s="381" t="inlineStr"/>
      <c r="S7" s="354">
        <f>Q7*R7</f>
        <v/>
      </c>
      <c r="T7" t="inlineStr"/>
      <c r="U7" t="inlineStr"/>
      <c r="Y7" s="314" t="n"/>
      <c r="Z7" s="523" t="n">
        <v>5</v>
      </c>
      <c r="AA7" s="374" t="n"/>
      <c r="AB7" s="392" t="inlineStr">
        <is>
          <t>นายพลกฤต น้อยเกิด</t>
        </is>
      </c>
      <c r="AD7" s="374" t="n"/>
      <c r="AE7" s="334" t="n">
        <v>12</v>
      </c>
      <c r="AG7" s="374" t="n"/>
      <c r="AH7" s="333" t="n">
        <v>2400</v>
      </c>
      <c r="AJ7" s="374" t="n"/>
    </row>
    <row r="8" ht="22.2" customHeight="1" s="375">
      <c r="A8" s="3" t="n"/>
      <c r="B8" s="530" t="n"/>
      <c r="D8" s="374" t="n"/>
      <c r="E8" s="334" t="n"/>
      <c r="F8" s="322" t="n"/>
      <c r="G8" s="531" t="inlineStr">
        <is>
          <t>21 ก.ย.69</t>
        </is>
      </c>
      <c r="H8" s="543" t="inlineStr"/>
      <c r="I8" s="543" t="inlineStr"/>
      <c r="J8" s="544" t="inlineStr"/>
      <c r="K8" s="374" t="n"/>
      <c r="L8" s="334" t="inlineStr"/>
      <c r="M8" s="334" t="inlineStr"/>
      <c r="N8" s="334" t="inlineStr"/>
      <c r="O8" s="354">
        <f>M8*N8</f>
        <v/>
      </c>
      <c r="P8" s="334" t="inlineStr"/>
      <c r="Q8" s="334" t="inlineStr"/>
      <c r="R8" s="334" t="inlineStr"/>
      <c r="S8" s="354">
        <f>Q8*R8</f>
        <v/>
      </c>
      <c r="T8" t="inlineStr"/>
      <c r="U8" t="inlineStr"/>
      <c r="Z8" s="523" t="n">
        <v>6</v>
      </c>
      <c r="AA8" s="374" t="n"/>
      <c r="AB8" s="532" t="inlineStr">
        <is>
          <t>นายพงษ์พัฒน์ พิมพ์ปรุ</t>
        </is>
      </c>
      <c r="AD8" s="374" t="n"/>
      <c r="AE8" s="334" t="n">
        <v>12</v>
      </c>
      <c r="AG8" s="374" t="n"/>
      <c r="AH8" s="333" t="n">
        <v>2400</v>
      </c>
      <c r="AJ8" s="374" t="n"/>
    </row>
    <row r="9" ht="22.2" customHeight="1" s="375">
      <c r="A9" s="3" t="n"/>
      <c r="B9" s="313" t="n"/>
      <c r="D9" s="314" t="n"/>
      <c r="E9" s="314" t="n"/>
      <c r="F9" s="322" t="n"/>
      <c r="G9" s="321" t="inlineStr"/>
      <c r="H9" s="543" t="inlineStr"/>
      <c r="I9" s="543" t="inlineStr"/>
      <c r="J9" s="544" t="inlineStr"/>
      <c r="K9" s="374" t="n"/>
      <c r="L9" s="334" t="inlineStr"/>
      <c r="M9" s="334" t="inlineStr"/>
      <c r="N9" s="334" t="inlineStr"/>
      <c r="O9" s="354">
        <f>M9*N9</f>
        <v/>
      </c>
      <c r="P9" s="334" t="inlineStr"/>
      <c r="Q9" s="334" t="inlineStr"/>
      <c r="R9" s="334" t="inlineStr"/>
      <c r="S9" s="354">
        <f>Q9*R9</f>
        <v/>
      </c>
      <c r="T9" s="383" t="inlineStr"/>
      <c r="Y9" s="62" t="n"/>
      <c r="Z9" s="523" t="n">
        <v>7</v>
      </c>
      <c r="AA9" s="374" t="n"/>
      <c r="AB9" s="532" t="inlineStr">
        <is>
          <t>นายพงศ์ศิริ ธรรมาวุฒิ</t>
        </is>
      </c>
      <c r="AD9" s="374" t="n"/>
      <c r="AE9" s="334" t="n">
        <v>12</v>
      </c>
      <c r="AG9" s="374" t="n"/>
      <c r="AH9" s="333" t="n">
        <v>2400</v>
      </c>
      <c r="AJ9" s="374" t="n"/>
    </row>
    <row r="10" ht="22.2" customHeight="1" s="375">
      <c r="A10" s="3" t="n"/>
      <c r="B10" s="313" t="n"/>
      <c r="E10" s="3" t="n"/>
      <c r="F10" s="322" t="n"/>
      <c r="G10" s="321" t="inlineStr"/>
      <c r="H10" s="544" t="inlineStr"/>
      <c r="I10" s="544" t="inlineStr"/>
      <c r="J10" s="544" t="inlineStr"/>
      <c r="K10" s="374" t="n"/>
      <c r="L10" s="334" t="inlineStr"/>
      <c r="M10" s="334" t="inlineStr"/>
      <c r="N10" s="334" t="inlineStr"/>
      <c r="O10" s="354">
        <f>M10*N10</f>
        <v/>
      </c>
      <c r="P10" s="334" t="inlineStr"/>
      <c r="Q10" s="334" t="inlineStr"/>
      <c r="R10" s="334" t="inlineStr"/>
      <c r="S10" s="354">
        <f>Q10*R10</f>
        <v/>
      </c>
      <c r="T10" s="23" t="inlineStr"/>
      <c r="U10" s="23" t="inlineStr"/>
      <c r="V10" s="56" t="n"/>
      <c r="W10" s="23" t="n"/>
      <c r="X10" s="23" t="n"/>
      <c r="Y10" s="63" t="n"/>
      <c r="Z10" s="523" t="n">
        <v>8</v>
      </c>
      <c r="AA10" s="374" t="n"/>
      <c r="AB10" s="520" t="inlineStr">
        <is>
          <t>นายศุภเดช เมืองเงิน</t>
        </is>
      </c>
      <c r="AD10" s="374" t="n"/>
      <c r="AE10" s="334" t="n">
        <v>12</v>
      </c>
      <c r="AG10" s="374" t="n"/>
      <c r="AH10" s="333" t="n">
        <v>2400</v>
      </c>
      <c r="AJ10" s="374" t="n"/>
    </row>
    <row r="11" ht="22.2" customHeight="1" s="375">
      <c r="A11" s="3" t="n"/>
      <c r="D11" s="61" t="n"/>
      <c r="E11" s="3" t="n"/>
      <c r="G11" s="344" t="inlineStr"/>
      <c r="H11" s="545" t="inlineStr"/>
      <c r="I11" s="545" t="inlineStr"/>
      <c r="J11" s="545" t="inlineStr"/>
      <c r="K11" s="527" t="n"/>
      <c r="L11" s="334" t="inlineStr"/>
      <c r="M11" s="334" t="inlineStr"/>
      <c r="N11" s="334" t="inlineStr"/>
      <c r="O11" s="354">
        <f>M11*N11</f>
        <v/>
      </c>
      <c r="P11" s="334" t="inlineStr"/>
      <c r="Q11" s="334" t="inlineStr"/>
      <c r="R11" s="334" t="inlineStr"/>
      <c r="S11" s="354">
        <f>Q11*R11</f>
        <v/>
      </c>
      <c r="T11" t="inlineStr"/>
      <c r="U11" t="inlineStr"/>
      <c r="W11" s="63" t="n"/>
      <c r="X11" s="63" t="n"/>
      <c r="Y11" s="351" t="n"/>
      <c r="Z11" s="523" t="n">
        <v>9</v>
      </c>
      <c r="AA11" s="374" t="n"/>
      <c r="AB11" s="532" t="inlineStr">
        <is>
          <t>นายณัฐพงศ์ จันทร์แดง</t>
        </is>
      </c>
      <c r="AD11" s="374" t="n"/>
      <c r="AE11" s="334" t="n">
        <v>12</v>
      </c>
      <c r="AG11" s="374" t="n"/>
      <c r="AH11" s="333" t="n">
        <v>2400</v>
      </c>
      <c r="AJ11" s="374" t="n"/>
    </row>
    <row r="12" ht="22.2" customHeight="1" s="375">
      <c r="A12" s="3" t="n"/>
      <c r="E12" s="3" t="n"/>
      <c r="G12" s="533" t="inlineStr">
        <is>
          <t>อังคาร</t>
        </is>
      </c>
      <c r="H12" s="376" t="inlineStr">
        <is>
          <t>20101-2010</t>
        </is>
      </c>
      <c r="I12" s="376" t="inlineStr">
        <is>
          <t>ชย.2/7 (26)</t>
        </is>
      </c>
      <c r="J12" s="381" t="inlineStr">
        <is>
          <t>08:10 - 12:10</t>
        </is>
      </c>
      <c r="K12" s="135" t="n"/>
      <c r="L12" s="381" t="n">
        <v>4</v>
      </c>
      <c r="M12" s="381" t="inlineStr"/>
      <c r="N12" s="381" t="inlineStr"/>
      <c r="O12" s="354" t="inlineStr"/>
      <c r="P12" s="381" t="inlineStr"/>
      <c r="Q12" s="367" t="inlineStr"/>
      <c r="R12" s="381" t="inlineStr"/>
      <c r="S12" s="354" t="inlineStr"/>
      <c r="T12" t="inlineStr"/>
      <c r="U12" t="inlineStr"/>
      <c r="W12" s="62" t="n"/>
      <c r="X12" s="62" t="n"/>
      <c r="Y12" s="62" t="n"/>
      <c r="Z12" s="523" t="n">
        <v>10</v>
      </c>
      <c r="AA12" s="374" t="n"/>
      <c r="AB12" s="390" t="inlineStr">
        <is>
          <t>นายมนตรี ทิมสุข</t>
        </is>
      </c>
      <c r="AE12" s="333" t="n">
        <v>12</v>
      </c>
      <c r="AG12" s="374" t="n"/>
      <c r="AH12" s="333" t="n">
        <v>2400</v>
      </c>
      <c r="AJ12" s="374" t="n"/>
    </row>
    <row r="13" ht="22.2" customHeight="1" s="375">
      <c r="A13" s="3" t="n"/>
      <c r="E13" s="3" t="n"/>
      <c r="G13" s="531" t="inlineStr">
        <is>
          <t>22 ก.ย.69</t>
        </is>
      </c>
      <c r="H13" s="376" t="inlineStr">
        <is>
          <t>20101-2010</t>
        </is>
      </c>
      <c r="I13" s="376" t="inlineStr">
        <is>
          <t>ชย.2/7 (26)</t>
        </is>
      </c>
      <c r="J13" s="334" t="inlineStr">
        <is>
          <t>13:10 - 16:10</t>
        </is>
      </c>
      <c r="K13" s="374" t="n"/>
      <c r="L13" s="334" t="n">
        <v>3</v>
      </c>
      <c r="M13" s="334" t="inlineStr"/>
      <c r="N13" s="334" t="inlineStr"/>
      <c r="O13" s="354" t="inlineStr"/>
      <c r="P13" s="334" t="inlineStr"/>
      <c r="Q13" s="334" t="inlineStr"/>
      <c r="R13" s="334" t="inlineStr"/>
      <c r="S13" s="354" t="inlineStr"/>
      <c r="T13" t="inlineStr"/>
      <c r="U13" t="inlineStr"/>
      <c r="W13" s="62" t="n"/>
      <c r="X13" s="62" t="n"/>
      <c r="Y13" s="62" t="n"/>
      <c r="Z13" s="523" t="n">
        <v>11</v>
      </c>
      <c r="AA13" s="374" t="n"/>
      <c r="AB13" s="390" t="inlineStr">
        <is>
          <t>นางสาวจิราพร พิมเสน</t>
        </is>
      </c>
      <c r="AE13" s="333" t="n">
        <v>12</v>
      </c>
      <c r="AG13" s="374" t="n"/>
      <c r="AH13" s="333" t="n">
        <v>2400</v>
      </c>
      <c r="AJ13" s="374" t="n"/>
    </row>
    <row r="14" ht="22.2" customHeight="1" s="375">
      <c r="A14" s="3" t="n"/>
      <c r="B14" s="313" t="n"/>
      <c r="D14" s="314" t="n"/>
      <c r="E14" s="314" t="n"/>
      <c r="G14" s="334" t="inlineStr"/>
      <c r="H14" s="376" t="inlineStr">
        <is>
          <t>20101-2018</t>
        </is>
      </c>
      <c r="I14" s="376" t="inlineStr">
        <is>
          <t>ชย.3/3 (26)</t>
        </is>
      </c>
      <c r="J14" s="334" t="inlineStr">
        <is>
          <t>17:10 - 20:10</t>
        </is>
      </c>
      <c r="K14" s="374" t="n"/>
      <c r="L14" s="334" t="n">
        <v>3</v>
      </c>
      <c r="M14" s="334" t="inlineStr"/>
      <c r="N14" s="334" t="inlineStr"/>
      <c r="O14" s="354" t="inlineStr"/>
      <c r="P14" s="334" t="inlineStr"/>
      <c r="Q14" s="334" t="inlineStr"/>
      <c r="R14" s="334" t="inlineStr"/>
      <c r="S14" s="354" t="inlineStr"/>
      <c r="T14" t="inlineStr"/>
      <c r="U14" t="inlineStr"/>
      <c r="Y14" s="62" t="n"/>
      <c r="Z14" s="523" t="n">
        <v>12</v>
      </c>
      <c r="AA14" s="374" t="n"/>
      <c r="AB14" s="534" t="inlineStr">
        <is>
          <t>นายสมชาย อุประ</t>
        </is>
      </c>
      <c r="AD14" s="374" t="n"/>
      <c r="AE14" s="333" t="n">
        <v>12</v>
      </c>
      <c r="AG14" s="374" t="n"/>
      <c r="AH14" s="333" t="n">
        <v>2400</v>
      </c>
      <c r="AJ14" s="374" t="n"/>
    </row>
    <row r="15" ht="22.2" customHeight="1" s="375">
      <c r="A15" s="3" t="n"/>
      <c r="E15" s="3" t="n"/>
      <c r="G15" s="54" t="inlineStr"/>
      <c r="H15" s="322" t="inlineStr"/>
      <c r="I15" s="334" t="inlineStr"/>
      <c r="J15" s="334" t="inlineStr"/>
      <c r="K15" s="374" t="n"/>
      <c r="L15" s="334" t="inlineStr"/>
      <c r="M15" s="334" t="inlineStr"/>
      <c r="N15" s="334" t="inlineStr"/>
      <c r="O15" s="354" t="inlineStr"/>
      <c r="P15" s="334" t="inlineStr"/>
      <c r="Q15" s="334" t="inlineStr"/>
      <c r="R15" s="334" t="inlineStr"/>
      <c r="S15" s="354" t="inlineStr"/>
      <c r="T15" t="inlineStr"/>
      <c r="U15" t="inlineStr"/>
      <c r="W15" s="62" t="n"/>
      <c r="X15" s="62" t="n"/>
      <c r="Y15" s="62" t="n"/>
      <c r="Z15" s="523" t="n">
        <v>13</v>
      </c>
      <c r="AA15" s="374" t="n"/>
      <c r="AB15" s="534" t="inlineStr">
        <is>
          <t>นายสถาปนิก คุ้มสะอาด</t>
        </is>
      </c>
      <c r="AD15" s="374" t="n"/>
      <c r="AE15" s="333" t="n">
        <v>12</v>
      </c>
      <c r="AG15" s="374" t="n"/>
      <c r="AH15" s="333" t="n">
        <v>2400</v>
      </c>
      <c r="AJ15" s="374" t="n"/>
    </row>
    <row r="16" ht="22.2" customHeight="1" s="375">
      <c r="A16" s="3" t="n"/>
      <c r="D16" s="7" t="inlineStr">
        <is>
          <t> </t>
        </is>
      </c>
      <c r="E16" s="3" t="n"/>
      <c r="G16" s="55" t="inlineStr"/>
      <c r="H16" s="336" t="inlineStr"/>
      <c r="I16" s="336" t="inlineStr"/>
      <c r="J16" s="336" t="inlineStr"/>
      <c r="K16" s="527" t="n"/>
      <c r="L16" s="334" t="inlineStr"/>
      <c r="M16" s="334" t="inlineStr"/>
      <c r="N16" s="334" t="inlineStr"/>
      <c r="O16" s="354" t="inlineStr"/>
      <c r="P16" s="334" t="inlineStr"/>
      <c r="Q16" s="334" t="inlineStr"/>
      <c r="R16" s="334" t="inlineStr"/>
      <c r="S16" s="354" t="inlineStr"/>
      <c r="T16" t="inlineStr"/>
      <c r="U16" t="inlineStr"/>
      <c r="Y16" s="62" t="n"/>
      <c r="Z16" s="523" t="n"/>
      <c r="AA16" s="374" t="n"/>
      <c r="AB16" s="532" t="n"/>
      <c r="AD16" s="374" t="n"/>
      <c r="AE16" s="333" t="n"/>
      <c r="AG16" s="374" t="n"/>
      <c r="AH16" s="333" t="n"/>
      <c r="AJ16" s="374" t="n"/>
    </row>
    <row r="17" ht="22.2" customHeight="1" s="375">
      <c r="A17" s="3" t="n"/>
      <c r="E17" s="3" t="n"/>
      <c r="G17" s="535" t="inlineStr">
        <is>
          <t>พุธ</t>
        </is>
      </c>
      <c r="H17" s="376" t="inlineStr">
        <is>
          <t>20101-2010</t>
        </is>
      </c>
      <c r="I17" s="376" t="inlineStr">
        <is>
          <t>ชย.2/6 (26)</t>
        </is>
      </c>
      <c r="J17" s="381" t="inlineStr">
        <is>
          <t>08:10 - 12:10</t>
        </is>
      </c>
      <c r="K17" s="135" t="n"/>
      <c r="L17" s="367" t="n">
        <v>2</v>
      </c>
      <c r="M17" s="381" t="n">
        <v>2</v>
      </c>
      <c r="N17" s="381" t="n">
        <v>200</v>
      </c>
      <c r="O17" s="354">
        <f>M17*N17</f>
        <v/>
      </c>
      <c r="P17" s="381" t="inlineStr"/>
      <c r="Q17" s="367" t="inlineStr"/>
      <c r="R17" s="381" t="inlineStr"/>
      <c r="S17" s="354" t="inlineStr"/>
      <c r="T17" t="inlineStr"/>
      <c r="U17" t="inlineStr"/>
      <c r="Y17" s="62" t="n"/>
      <c r="Z17" s="523" t="n"/>
      <c r="AA17" s="374" t="n"/>
      <c r="AB17" s="532" t="n"/>
      <c r="AD17" s="374" t="n"/>
      <c r="AE17" s="333" t="n"/>
      <c r="AG17" s="374" t="n"/>
      <c r="AH17" s="333" t="n"/>
      <c r="AJ17" s="374" t="n"/>
    </row>
    <row r="18" ht="22.2" customHeight="1" s="375">
      <c r="A18" s="3" t="n"/>
      <c r="B18" s="321" t="n"/>
      <c r="C18" s="322" t="n"/>
      <c r="D18" s="322" t="n"/>
      <c r="E18" s="334" t="n"/>
      <c r="G18" s="531" t="inlineStr">
        <is>
          <t>23 ก.ย.69</t>
        </is>
      </c>
      <c r="H18" s="376" t="inlineStr">
        <is>
          <t>20101-2010</t>
        </is>
      </c>
      <c r="I18" s="376" t="inlineStr">
        <is>
          <t>ชย.2/6 (26)</t>
        </is>
      </c>
      <c r="J18" s="334" t="inlineStr">
        <is>
          <t>13:10 - 16:10</t>
        </is>
      </c>
      <c r="K18" s="374" t="n"/>
      <c r="L18" s="334" t="inlineStr"/>
      <c r="M18" s="334" t="n">
        <v>3</v>
      </c>
      <c r="N18" s="334" t="n">
        <v>200</v>
      </c>
      <c r="O18" s="354">
        <f>M18*N18</f>
        <v/>
      </c>
      <c r="P18" s="334" t="inlineStr"/>
      <c r="Q18" s="334" t="inlineStr"/>
      <c r="R18" s="334" t="inlineStr"/>
      <c r="S18" s="354" t="inlineStr"/>
      <c r="T18" t="inlineStr"/>
      <c r="U18" t="inlineStr"/>
      <c r="W18" s="62" t="n"/>
      <c r="X18" s="62" t="n"/>
      <c r="Z18" s="523" t="n"/>
      <c r="AA18" s="374" t="n"/>
      <c r="AB18" s="520" t="n"/>
      <c r="AD18" s="374" t="n"/>
      <c r="AE18" s="333" t="n"/>
      <c r="AG18" s="374" t="n"/>
      <c r="AH18" s="333" t="n"/>
      <c r="AJ18" s="374" t="n"/>
    </row>
    <row r="19" ht="22.2" customHeight="1" s="375">
      <c r="A19" s="3" t="n"/>
      <c r="B19" s="313" t="n"/>
      <c r="D19" s="314" t="n"/>
      <c r="E19" s="314" t="n"/>
      <c r="G19" s="334" t="inlineStr"/>
      <c r="H19" s="376" t="inlineStr"/>
      <c r="I19" s="376" t="inlineStr"/>
      <c r="J19" s="334" t="inlineStr"/>
      <c r="K19" s="374" t="n"/>
      <c r="L19" s="334" t="inlineStr"/>
      <c r="M19" s="334" t="inlineStr"/>
      <c r="N19" s="334" t="inlineStr"/>
      <c r="O19" s="354" t="inlineStr"/>
      <c r="P19" s="334" t="inlineStr"/>
      <c r="Q19" s="334" t="inlineStr"/>
      <c r="R19" s="334" t="inlineStr"/>
      <c r="S19" s="354" t="inlineStr"/>
      <c r="T19" s="383" t="inlineStr"/>
      <c r="Z19" s="523" t="n"/>
      <c r="AA19" s="374" t="n"/>
      <c r="AB19" s="520" t="n"/>
      <c r="AD19" s="374" t="n"/>
      <c r="AE19" s="333" t="n"/>
      <c r="AG19" s="374" t="n"/>
      <c r="AH19" s="333" t="n"/>
      <c r="AJ19" s="374" t="n"/>
    </row>
    <row r="20" ht="22.2" customHeight="1" s="375">
      <c r="A20" s="3" t="n"/>
      <c r="E20" s="3" t="n"/>
      <c r="G20" s="321" t="inlineStr"/>
      <c r="H20" s="321" t="inlineStr"/>
      <c r="I20" s="376" t="inlineStr"/>
      <c r="J20" s="334" t="inlineStr"/>
      <c r="K20" s="374" t="n"/>
      <c r="L20" s="334" t="inlineStr"/>
      <c r="M20" s="334" t="inlineStr"/>
      <c r="N20" s="334" t="inlineStr"/>
      <c r="O20" s="354" t="inlineStr"/>
      <c r="P20" s="334" t="inlineStr"/>
      <c r="Q20" s="334" t="inlineStr"/>
      <c r="R20" s="334" t="inlineStr"/>
      <c r="S20" s="354" t="inlineStr"/>
      <c r="T20" s="23" t="inlineStr"/>
      <c r="U20" s="23" t="inlineStr"/>
      <c r="V20" s="56" t="n"/>
      <c r="W20" s="23" t="n"/>
      <c r="X20" s="23" t="n"/>
      <c r="Y20" s="322" t="n"/>
      <c r="Z20" s="523" t="n"/>
      <c r="AA20" s="374" t="n"/>
      <c r="AB20" s="520" t="n"/>
      <c r="AD20" s="374" t="n"/>
      <c r="AE20" s="333" t="n"/>
      <c r="AG20" s="374" t="n"/>
      <c r="AH20" s="333" t="n"/>
      <c r="AJ20" s="374" t="n"/>
    </row>
    <row r="21" ht="22.2" customHeight="1" s="375">
      <c r="A21" s="3" t="n"/>
      <c r="E21" s="3" t="n"/>
      <c r="G21" s="327" t="inlineStr"/>
      <c r="H21" s="327" t="inlineStr"/>
      <c r="I21" s="336" t="inlineStr"/>
      <c r="J21" s="336" t="inlineStr"/>
      <c r="K21" s="527" t="n"/>
      <c r="L21" s="336" t="inlineStr"/>
      <c r="M21" s="336" t="inlineStr"/>
      <c r="N21" s="336" t="inlineStr"/>
      <c r="O21" s="354" t="inlineStr"/>
      <c r="P21" s="336" t="inlineStr"/>
      <c r="Q21" s="336" t="inlineStr"/>
      <c r="R21" s="336" t="inlineStr"/>
      <c r="S21" s="354" t="inlineStr"/>
      <c r="T21" t="inlineStr"/>
      <c r="U21" t="inlineStr"/>
      <c r="Y21" s="322" t="n"/>
      <c r="Z21" s="523" t="n"/>
      <c r="AA21" s="374" t="n"/>
      <c r="AB21" s="532" t="n"/>
      <c r="AD21" s="374" t="n"/>
      <c r="AE21" s="333" t="n"/>
      <c r="AG21" s="374" t="n"/>
      <c r="AH21" s="333" t="n"/>
      <c r="AJ21" s="374" t="n"/>
    </row>
    <row r="22" ht="22.2" customHeight="1" s="375">
      <c r="A22" s="3" t="n"/>
      <c r="E22" s="3" t="n"/>
      <c r="G22" s="533" t="inlineStr">
        <is>
          <t>พฤหัส</t>
        </is>
      </c>
      <c r="H22" s="376" t="inlineStr">
        <is>
          <t>20101-2010</t>
        </is>
      </c>
      <c r="I22" s="376" t="inlineStr">
        <is>
          <t>ชย.2/5 (26)</t>
        </is>
      </c>
      <c r="J22" s="381" t="inlineStr">
        <is>
          <t>08:10 - 12:10</t>
        </is>
      </c>
      <c r="K22" s="135" t="n"/>
      <c r="L22" s="334" t="inlineStr"/>
      <c r="M22" s="334" t="n">
        <v>4</v>
      </c>
      <c r="N22" s="334" t="n">
        <v>200</v>
      </c>
      <c r="O22" s="354">
        <f>M22*N22</f>
        <v/>
      </c>
      <c r="P22" s="381" t="inlineStr"/>
      <c r="Q22" s="367" t="inlineStr"/>
      <c r="R22" s="381" t="inlineStr"/>
      <c r="S22" s="354" t="inlineStr"/>
      <c r="T22" t="inlineStr"/>
      <c r="U22" t="inlineStr"/>
      <c r="Y22" s="322" t="n"/>
      <c r="Z22" s="523" t="n"/>
      <c r="AA22" s="374" t="n"/>
      <c r="AB22" s="532" t="n"/>
      <c r="AD22" s="374" t="n"/>
      <c r="AE22" s="333" t="n"/>
      <c r="AG22" s="374" t="n"/>
      <c r="AH22" s="333" t="n"/>
      <c r="AJ22" s="374" t="n"/>
    </row>
    <row r="23" ht="22.2" customHeight="1" s="375">
      <c r="A23" s="3" t="n"/>
      <c r="E23" s="3" t="n"/>
      <c r="G23" s="531" t="inlineStr">
        <is>
          <t>24 ก.ย.69</t>
        </is>
      </c>
      <c r="H23" s="376" t="inlineStr">
        <is>
          <t>20101-2010</t>
        </is>
      </c>
      <c r="I23" s="376" t="inlineStr">
        <is>
          <t>ชย.2/5 (26)</t>
        </is>
      </c>
      <c r="J23" s="334" t="inlineStr">
        <is>
          <t>15:10 - 18:10</t>
        </is>
      </c>
      <c r="K23" s="374" t="n"/>
      <c r="L23" s="334" t="inlineStr"/>
      <c r="M23" s="334" t="n">
        <v>3</v>
      </c>
      <c r="N23" s="334" t="n">
        <v>200</v>
      </c>
      <c r="O23" s="354">
        <f>M23*N23</f>
        <v/>
      </c>
      <c r="P23" s="334" t="inlineStr"/>
      <c r="Q23" s="334" t="inlineStr"/>
      <c r="R23" s="334" t="inlineStr"/>
      <c r="S23" s="354" t="inlineStr"/>
      <c r="T23" t="inlineStr"/>
      <c r="U23" s="322" t="inlineStr"/>
      <c r="V23" s="322" t="n"/>
      <c r="W23" s="322" t="n"/>
      <c r="X23" s="322" t="n"/>
      <c r="Y23" s="322" t="n"/>
      <c r="Z23" s="523" t="n"/>
      <c r="AA23" s="374" t="n"/>
      <c r="AB23" s="532" t="n"/>
      <c r="AD23" s="374" t="n"/>
      <c r="AE23" s="333" t="n"/>
      <c r="AG23" s="374" t="n"/>
      <c r="AH23" s="333" t="n"/>
      <c r="AJ23" s="374" t="n"/>
    </row>
    <row r="24" ht="22.2" customHeight="1" s="375">
      <c r="A24" s="3" t="n"/>
      <c r="B24" s="313" t="n"/>
      <c r="E24" s="3" t="n"/>
      <c r="G24" s="334" t="inlineStr"/>
      <c r="H24" s="376" t="inlineStr"/>
      <c r="I24" s="376" t="inlineStr"/>
      <c r="J24" s="334" t="inlineStr"/>
      <c r="K24" s="374" t="n"/>
      <c r="L24" s="376" t="inlineStr"/>
      <c r="M24" s="376" t="inlineStr"/>
      <c r="N24" s="376" t="inlineStr"/>
      <c r="O24" s="354" t="inlineStr"/>
      <c r="P24" s="334" t="inlineStr"/>
      <c r="Q24" s="334" t="inlineStr"/>
      <c r="R24" s="334" t="inlineStr"/>
      <c r="S24" s="354" t="inlineStr"/>
      <c r="T24" t="inlineStr"/>
      <c r="U24" t="inlineStr"/>
      <c r="Y24" s="322" t="n"/>
      <c r="Z24" s="523" t="n"/>
      <c r="AA24" s="374" t="n"/>
      <c r="AB24" s="532" t="n"/>
      <c r="AD24" s="374" t="n"/>
      <c r="AE24" s="333" t="n"/>
      <c r="AG24" s="374" t="n"/>
      <c r="AH24" s="333" t="n"/>
      <c r="AJ24" s="374" t="n"/>
    </row>
    <row r="25" ht="22.2" customHeight="1" s="375">
      <c r="A25" s="3" t="n"/>
      <c r="E25" s="3" t="n"/>
      <c r="G25" s="334" t="inlineStr"/>
      <c r="H25" s="376" t="inlineStr"/>
      <c r="I25" s="376" t="inlineStr"/>
      <c r="J25" s="334" t="inlineStr"/>
      <c r="K25" s="374" t="n"/>
      <c r="L25" s="334" t="inlineStr"/>
      <c r="M25" s="334" t="inlineStr"/>
      <c r="N25" s="334" t="inlineStr"/>
      <c r="O25" s="354" t="inlineStr"/>
      <c r="P25" s="334" t="inlineStr"/>
      <c r="Q25" s="334" t="inlineStr"/>
      <c r="R25" s="334" t="inlineStr"/>
      <c r="S25" s="354" t="inlineStr"/>
      <c r="T25" t="inlineStr"/>
      <c r="U25" t="inlineStr"/>
      <c r="Y25" s="322" t="n"/>
      <c r="Z25" s="523" t="n"/>
      <c r="AA25" s="374" t="n"/>
      <c r="AB25" s="532" t="n"/>
      <c r="AD25" s="374" t="n"/>
      <c r="AE25" s="333" t="n"/>
      <c r="AG25" s="374" t="n"/>
      <c r="AH25" s="333" t="n"/>
      <c r="AJ25" s="374" t="n"/>
    </row>
    <row r="26" ht="22.2" customHeight="1" s="375">
      <c r="A26" s="3" t="n"/>
      <c r="E26" s="3" t="n"/>
      <c r="G26" s="336" t="inlineStr"/>
      <c r="H26" s="328" t="inlineStr"/>
      <c r="I26" s="336" t="inlineStr"/>
      <c r="J26" s="336" t="inlineStr"/>
      <c r="K26" s="527" t="n"/>
      <c r="L26" s="336" t="inlineStr"/>
      <c r="M26" s="336" t="inlineStr"/>
      <c r="N26" s="336" t="inlineStr"/>
      <c r="O26" s="354" t="inlineStr"/>
      <c r="P26" s="336" t="inlineStr"/>
      <c r="Q26" s="336" t="inlineStr"/>
      <c r="R26" s="336" t="inlineStr"/>
      <c r="S26" s="354" t="inlineStr"/>
      <c r="T26" t="inlineStr"/>
      <c r="U26" t="inlineStr"/>
      <c r="Y26" s="322" t="n"/>
      <c r="Z26" s="523" t="n"/>
      <c r="AA26" s="374" t="n"/>
      <c r="AB26" s="536" t="n"/>
      <c r="AD26" s="374" t="n"/>
      <c r="AE26" s="333" t="n"/>
      <c r="AG26" s="374" t="n"/>
      <c r="AH26" s="333" t="n"/>
      <c r="AJ26" s="374" t="n"/>
    </row>
    <row r="27" ht="22.2" customHeight="1" s="375">
      <c r="A27" s="3" t="n"/>
      <c r="E27" s="3" t="n"/>
      <c r="G27" s="533" t="inlineStr">
        <is>
          <t>ศุกร์</t>
        </is>
      </c>
      <c r="H27" s="376" t="inlineStr"/>
      <c r="I27" s="376" t="inlineStr"/>
      <c r="J27" s="381" t="inlineStr"/>
      <c r="K27" s="135" t="n"/>
      <c r="L27" s="334" t="inlineStr"/>
      <c r="M27" s="381" t="inlineStr"/>
      <c r="N27" s="381" t="inlineStr"/>
      <c r="O27" s="354" t="inlineStr"/>
      <c r="P27" s="381" t="inlineStr"/>
      <c r="Q27" s="367" t="inlineStr"/>
      <c r="R27" s="381" t="inlineStr"/>
      <c r="S27" s="354" t="inlineStr"/>
      <c r="T27" t="inlineStr"/>
      <c r="U27" t="inlineStr"/>
      <c r="W27" s="322" t="n"/>
      <c r="X27" s="322" t="n"/>
      <c r="Y27" s="322" t="n"/>
      <c r="Z27" s="334" t="n"/>
      <c r="AA27" s="374" t="n"/>
      <c r="AB27" s="532" t="n"/>
      <c r="AD27" s="374" t="n"/>
      <c r="AE27" s="333" t="n"/>
      <c r="AG27" s="374" t="n"/>
      <c r="AH27" s="333" t="n"/>
      <c r="AJ27" s="374" t="n"/>
    </row>
    <row r="28" ht="22.2" customHeight="1" s="375">
      <c r="A28" s="3" t="n"/>
      <c r="E28" s="3" t="n"/>
      <c r="G28" s="531" t="inlineStr">
        <is>
          <t>25 ก.ย.69</t>
        </is>
      </c>
      <c r="H28" s="376" t="inlineStr"/>
      <c r="I28" s="376" t="inlineStr"/>
      <c r="J28" s="334" t="inlineStr"/>
      <c r="K28" s="374" t="n"/>
      <c r="L28" s="334" t="inlineStr"/>
      <c r="M28" s="334" t="inlineStr"/>
      <c r="N28" s="334" t="inlineStr"/>
      <c r="O28" s="354" t="inlineStr"/>
      <c r="P28" s="334" t="inlineStr"/>
      <c r="Q28" s="334" t="inlineStr"/>
      <c r="R28" s="334" t="inlineStr"/>
      <c r="S28" s="354" t="inlineStr"/>
      <c r="T28" s="322" t="inlineStr"/>
      <c r="U28" s="322" t="inlineStr"/>
      <c r="V28" s="322" t="n"/>
      <c r="W28" s="322" t="n"/>
      <c r="X28" s="322" t="n"/>
      <c r="Y28" s="323" t="n"/>
      <c r="Z28" s="334" t="n"/>
      <c r="AA28" s="374" t="n"/>
      <c r="AB28" s="532" t="n"/>
      <c r="AD28" s="374" t="n"/>
      <c r="AE28" s="333" t="n"/>
      <c r="AG28" s="374" t="n"/>
      <c r="AH28" s="333" t="n"/>
      <c r="AJ28" s="374" t="n"/>
    </row>
    <row r="29" ht="22.2" customHeight="1" s="375">
      <c r="A29" s="3" t="n"/>
      <c r="E29" s="3" t="n"/>
      <c r="G29" s="334" t="inlineStr"/>
      <c r="H29" s="334" t="inlineStr"/>
      <c r="I29" s="334" t="inlineStr"/>
      <c r="J29" s="334" t="inlineStr"/>
      <c r="K29" s="374" t="n"/>
      <c r="L29" s="334" t="inlineStr"/>
      <c r="M29" s="334" t="inlineStr"/>
      <c r="N29" s="334" t="inlineStr"/>
      <c r="O29" s="354" t="inlineStr"/>
      <c r="P29" s="334" t="inlineStr"/>
      <c r="Q29" s="334" t="inlineStr"/>
      <c r="R29" s="334" t="inlineStr"/>
      <c r="S29" s="354" t="inlineStr"/>
      <c r="T29" s="6" t="inlineStr"/>
      <c r="U29" s="22" t="inlineStr"/>
      <c r="V29" s="57" t="n"/>
      <c r="W29" s="21" t="n"/>
      <c r="X29" s="21" t="n"/>
      <c r="Y29" s="314" t="n"/>
      <c r="Z29" s="334" t="n"/>
      <c r="AA29" s="374" t="n"/>
      <c r="AB29" s="390" t="n"/>
      <c r="AE29" s="333" t="n"/>
      <c r="AG29" s="374" t="n"/>
      <c r="AH29" s="333" t="n"/>
      <c r="AJ29" s="374" t="n"/>
    </row>
    <row r="30" ht="22.2" customHeight="1" s="375">
      <c r="A30" s="3" t="n"/>
      <c r="E30" s="3" t="n"/>
      <c r="G30" s="334" t="inlineStr"/>
      <c r="H30" s="334" t="inlineStr"/>
      <c r="I30" s="334" t="inlineStr"/>
      <c r="J30" s="334" t="inlineStr"/>
      <c r="K30" s="374" t="n"/>
      <c r="L30" s="334" t="inlineStr"/>
      <c r="M30" s="334" t="inlineStr"/>
      <c r="N30" s="334" t="inlineStr"/>
      <c r="O30" s="354" t="inlineStr"/>
      <c r="P30" s="334" t="inlineStr"/>
      <c r="Q30" s="334" t="inlineStr"/>
      <c r="R30" s="334" t="inlineStr"/>
      <c r="S30" s="354" t="inlineStr"/>
      <c r="T30" s="21" t="inlineStr"/>
      <c r="U30" s="22" t="inlineStr"/>
      <c r="V30" s="57" t="n"/>
      <c r="W30" s="21" t="n"/>
      <c r="X30" s="21" t="n"/>
      <c r="Y30" s="314" t="n"/>
      <c r="Z30" s="336" t="n"/>
      <c r="AA30" s="527" t="n"/>
      <c r="AB30" s="537" t="n"/>
      <c r="AC30" s="522" t="n"/>
      <c r="AD30" s="527" t="n"/>
      <c r="AE30" s="333" t="n"/>
      <c r="AG30" s="374" t="n"/>
      <c r="AH30" s="335" t="n"/>
      <c r="AI30" s="522" t="n"/>
      <c r="AJ30" s="527" t="n"/>
    </row>
    <row r="31" ht="22.2" customHeight="1" s="375">
      <c r="A31" s="3" t="n"/>
      <c r="E31" s="3" t="n"/>
      <c r="F31" s="3" t="n"/>
      <c r="G31" s="329" t="inlineStr"/>
      <c r="H31" s="328" t="inlineStr"/>
      <c r="I31" s="336" t="inlineStr"/>
      <c r="J31" s="336" t="inlineStr"/>
      <c r="K31" s="527" t="n"/>
      <c r="L31" s="336" t="inlineStr"/>
      <c r="M31" s="336" t="inlineStr"/>
      <c r="N31" s="336" t="inlineStr"/>
      <c r="O31" s="354" t="inlineStr"/>
      <c r="P31" s="336" t="inlineStr"/>
      <c r="Q31" s="336" t="inlineStr"/>
      <c r="R31" s="336" t="inlineStr"/>
      <c r="S31" s="354" t="inlineStr"/>
      <c r="T31" t="inlineStr"/>
      <c r="U31" t="inlineStr"/>
      <c r="AE31" s="153" t="n"/>
      <c r="AF31" s="153" t="n"/>
      <c r="AG31" s="153" t="n"/>
    </row>
    <row r="32" ht="22.2" customHeight="1" s="375">
      <c r="A32" s="3" t="n"/>
      <c r="E32" s="3" t="n"/>
      <c r="F32" s="3" t="n"/>
      <c r="G32" s="16" t="inlineStr">
        <is>
          <t>รวมขั่วโมงที่สอนแยก ภาระงาน/ เกินภาระงาน</t>
        </is>
      </c>
      <c r="H32" s="518" t="n"/>
      <c r="I32" s="518" t="n"/>
      <c r="J32" s="518" t="n"/>
      <c r="K32" s="432" t="n"/>
      <c r="L32" s="16">
        <f>SUM(L7:L31)</f>
        <v/>
      </c>
      <c r="M32" s="16">
        <f>SUM(M7:M31)</f>
        <v/>
      </c>
      <c r="N32" s="16" t="n"/>
      <c r="O32" s="16" t="n"/>
      <c r="P32" s="16">
        <f>SUM(P7:P31)</f>
        <v/>
      </c>
      <c r="Q32" s="16">
        <f>SUM(Q7:Q31)</f>
        <v/>
      </c>
      <c r="R32" s="349" t="n"/>
      <c r="S32" s="16" t="n"/>
    </row>
    <row r="33" ht="22.2" customHeight="1" s="375">
      <c r="A33" s="3" t="n"/>
      <c r="E33" s="3" t="n"/>
      <c r="F33" s="3" t="n"/>
      <c r="G33" s="16" t="inlineStr">
        <is>
          <t>รวมจำนวนชั่วโมงสอนคาบต่อสับดาห์</t>
        </is>
      </c>
      <c r="H33" s="518" t="n"/>
      <c r="I33" s="518" t="n"/>
      <c r="J33" s="518" t="n"/>
      <c r="K33" s="432" t="n"/>
      <c r="L33" s="16">
        <f>L32+M32</f>
        <v/>
      </c>
      <c r="M33" s="432" t="n"/>
      <c r="N33" s="16" t="n"/>
      <c r="O33" s="348" t="n"/>
      <c r="P33" s="16">
        <f>P32+Q32</f>
        <v/>
      </c>
      <c r="Q33" s="432" t="n"/>
      <c r="R33" s="329" t="n"/>
      <c r="S33" s="336" t="n"/>
    </row>
    <row r="34" ht="22.2" customHeight="1" s="375">
      <c r="A34" s="3" t="n"/>
      <c r="E34" s="3" t="n"/>
      <c r="F34" s="3" t="n"/>
      <c r="G34" s="16" t="inlineStr">
        <is>
          <t>จำนวนชั่วโมงสอนตามภาระงานสอน</t>
        </is>
      </c>
      <c r="H34" s="518" t="n"/>
      <c r="I34" s="518" t="n"/>
      <c r="J34" s="518" t="n"/>
      <c r="K34" s="432" t="n"/>
      <c r="L34" s="131" t="n">
        <v>12</v>
      </c>
      <c r="M34" s="432" t="n"/>
      <c r="N34" s="131" t="n"/>
      <c r="O34" s="130" t="n"/>
      <c r="P34" s="131" t="n">
        <v>0</v>
      </c>
      <c r="Q34" s="432" t="n"/>
      <c r="R34" s="322" t="n"/>
      <c r="S34" s="334" t="n"/>
    </row>
    <row r="35" ht="22.2" customHeight="1" s="375" thickBot="1">
      <c r="A35" s="3" t="n"/>
      <c r="E35" s="3" t="n"/>
      <c r="F35" s="14" t="n"/>
      <c r="G35" s="16" t="inlineStr">
        <is>
          <t>จำนวนชั่วโมงบิกเกินภาระงานสอน/ค่าสอน</t>
        </is>
      </c>
      <c r="H35" s="518" t="n"/>
      <c r="I35" s="518" t="n"/>
      <c r="J35" s="518" t="n"/>
      <c r="K35" s="432" t="n"/>
      <c r="L35" s="17" t="n">
        <v>0</v>
      </c>
      <c r="M35" s="17">
        <f>SUM(M7:M31)</f>
        <v/>
      </c>
      <c r="N35" s="17" t="n"/>
      <c r="O35" s="17">
        <f>SUM(O7:O31)</f>
        <v/>
      </c>
      <c r="P35" s="17" t="n">
        <v>0</v>
      </c>
      <c r="Q35" s="17">
        <f>SUM(Q7:Q31)</f>
        <v/>
      </c>
      <c r="R35" s="18" t="n"/>
      <c r="S35" s="17">
        <f>SUM(S7:S31)</f>
        <v/>
      </c>
    </row>
    <row r="36" ht="22.2" customHeight="1" s="375" thickTop="1">
      <c r="A36" s="337" t="inlineStr">
        <is>
          <t>รวมจำนวนหน่วยชั่วโมงที่ขอเบิกค่าสอน ….</t>
        </is>
      </c>
      <c r="B36" s="518" t="n"/>
      <c r="C36" s="518" t="n"/>
      <c r="D36" s="518" t="n"/>
      <c r="E36" s="518" t="n"/>
      <c r="F36" s="518" t="n"/>
      <c r="G36" s="518" t="n"/>
      <c r="H36" s="348">
        <f>M35+Q35</f>
        <v/>
      </c>
      <c r="I36" s="348" t="inlineStr">
        <is>
          <t>….ชั่วโมง</t>
        </is>
      </c>
      <c r="J36" s="348" t="n"/>
      <c r="K36" s="328" t="inlineStr">
        <is>
          <t>ยอดเงินรวม</t>
        </is>
      </c>
      <c r="L36" s="522" t="n"/>
      <c r="M36" s="522" t="n"/>
      <c r="N36" s="328" t="n"/>
      <c r="O36" s="328" t="n"/>
      <c r="P36" s="339">
        <f>S35+O35</f>
        <v/>
      </c>
      <c r="Q36" s="538" t="n"/>
      <c r="R36" s="20" t="n"/>
      <c r="S36" s="19" t="inlineStr">
        <is>
          <t>..บาท</t>
        </is>
      </c>
    </row>
    <row r="37" ht="22.2" customHeight="1" s="375">
      <c r="A37" s="154" t="inlineStr">
        <is>
          <t>ผู้ขอเบิก</t>
        </is>
      </c>
      <c r="B37" s="153" t="n"/>
      <c r="C37" s="153" t="n"/>
      <c r="D37" s="153" t="n"/>
      <c r="E37" s="153" t="n"/>
      <c r="F37" s="153" t="n"/>
      <c r="G37" s="135" t="n"/>
      <c r="H37" s="154" t="inlineStr">
        <is>
          <t>ผู้รับรอง</t>
        </is>
      </c>
      <c r="I37" s="153" t="n"/>
      <c r="J37" s="153" t="n"/>
      <c r="K37" s="153" t="n"/>
      <c r="L37" s="135" t="n"/>
      <c r="M37" s="154" t="inlineStr">
        <is>
          <t>ผู้ตรวจ</t>
        </is>
      </c>
      <c r="N37" s="153" t="n"/>
      <c r="O37" s="153" t="n"/>
      <c r="P37" s="153" t="n"/>
      <c r="Q37" s="153" t="n"/>
      <c r="R37" s="153" t="n"/>
      <c r="S37" s="135" t="n"/>
    </row>
    <row r="38" ht="22.2" customHeight="1" s="375">
      <c r="A38" s="334" t="inlineStr">
        <is>
          <t>ลงชื่อ……………………………………………</t>
        </is>
      </c>
      <c r="G38" s="374" t="n"/>
      <c r="H38" s="334" t="inlineStr">
        <is>
          <t>ลงชื่อ……………………………………………</t>
        </is>
      </c>
      <c r="L38" s="374" t="n"/>
      <c r="M38" s="334" t="inlineStr">
        <is>
          <t>ลงชื่อ……………………………………………</t>
        </is>
      </c>
      <c r="S38" s="374" t="n"/>
    </row>
    <row r="39" ht="22.2" customHeight="1" s="375">
      <c r="A39" s="11" t="inlineStr">
        <is>
          <t>(</t>
        </is>
      </c>
      <c r="B39" s="324">
        <f>B7</f>
        <v/>
      </c>
      <c r="G39" s="326" t="inlineStr">
        <is>
          <t>)</t>
        </is>
      </c>
      <c r="H39" s="324" t="inlineStr">
        <is>
          <t>(</t>
        </is>
      </c>
      <c r="I39" s="340" t="inlineStr">
        <is>
          <t xml:space="preserve">  นายชำนาญ แก้วจงประสิทธิ์</t>
        </is>
      </c>
      <c r="L39" s="12" t="inlineStr">
        <is>
          <t>)</t>
        </is>
      </c>
      <c r="M39" s="53" t="inlineStr">
        <is>
          <t>(</t>
        </is>
      </c>
      <c r="N39" s="53" t="n"/>
      <c r="O39" s="324" t="inlineStr">
        <is>
          <t>นายทศวรรษ  คำสม</t>
        </is>
      </c>
      <c r="R39" s="25" t="n"/>
      <c r="S39" s="326" t="inlineStr">
        <is>
          <t>)</t>
        </is>
      </c>
    </row>
    <row r="40" ht="22.2" customHeight="1" s="375">
      <c r="A40" s="54" t="inlineStr">
        <is>
          <t>ตำแหน่ง  ครู</t>
        </is>
      </c>
      <c r="G40" s="374" t="n"/>
      <c r="H40" s="54" t="inlineStr">
        <is>
          <t>ตำแหน่ง หัวหน้าแผนก</t>
        </is>
      </c>
      <c r="L40" s="374" t="n"/>
      <c r="M40" s="54" t="inlineStr">
        <is>
          <t>ตำแหน่ง   ผู้ตรวจสอบ</t>
        </is>
      </c>
      <c r="S40" s="374" t="n"/>
    </row>
    <row r="41" ht="22.2" customHeight="1" s="375">
      <c r="A41" s="55" t="inlineStr">
        <is>
          <t>วันที่ 28 เดือน กันยายน  พ.ศ.2569</t>
        </is>
      </c>
      <c r="B41" s="522" t="n"/>
      <c r="C41" s="522" t="n"/>
      <c r="D41" s="522" t="n"/>
      <c r="E41" s="522" t="n"/>
      <c r="F41" s="522" t="n"/>
      <c r="G41" s="527" t="n"/>
      <c r="H41" s="54">
        <f>A41</f>
        <v/>
      </c>
      <c r="L41" s="374" t="n"/>
      <c r="M41" s="55">
        <f>A41</f>
        <v/>
      </c>
      <c r="N41" s="522" t="n"/>
      <c r="O41" s="522" t="n"/>
      <c r="P41" s="522" t="n"/>
      <c r="Q41" s="522" t="n"/>
      <c r="R41" s="522" t="n"/>
      <c r="S41" s="527" t="n"/>
    </row>
    <row r="42" ht="22.2" customHeight="1" s="375">
      <c r="A42" s="154" t="inlineStr">
        <is>
          <t>ผู้ตรวจ</t>
        </is>
      </c>
      <c r="B42" s="153" t="n"/>
      <c r="C42" s="153" t="n"/>
      <c r="D42" s="153" t="n"/>
      <c r="E42" s="153" t="n"/>
      <c r="F42" s="153" t="n"/>
      <c r="G42" s="153" t="n"/>
      <c r="H42" s="153" t="n"/>
      <c r="I42" s="135" t="n"/>
      <c r="J42" s="154" t="inlineStr">
        <is>
          <t>ผู้เห็นชอบ</t>
        </is>
      </c>
      <c r="K42" s="153" t="n"/>
      <c r="L42" s="153" t="n"/>
      <c r="M42" s="153" t="n"/>
      <c r="N42" s="153" t="n"/>
      <c r="O42" s="153" t="n"/>
      <c r="P42" s="153" t="n"/>
      <c r="Q42" s="153" t="n"/>
      <c r="R42" s="153" t="n"/>
      <c r="S42" s="135" t="n"/>
    </row>
    <row r="43" ht="22.2" customHeight="1" s="375">
      <c r="A43" s="334" t="inlineStr">
        <is>
          <t>ลงชื่อ……………………………………………</t>
        </is>
      </c>
      <c r="I43" s="374" t="n"/>
      <c r="J43" s="334" t="inlineStr">
        <is>
          <t>ลงชื่อ……………………………………………</t>
        </is>
      </c>
      <c r="S43" s="374" t="n"/>
    </row>
    <row r="44" ht="22.2" customHeight="1" s="375">
      <c r="A44" s="11" t="n"/>
      <c r="B44" s="324" t="inlineStr">
        <is>
          <t xml:space="preserve">                     (นายศิวรักษ์ บุญประเสริฐ)</t>
        </is>
      </c>
      <c r="I44" s="326" t="n"/>
      <c r="J44" s="25" t="n"/>
      <c r="K44" s="25" t="n"/>
      <c r="L44" s="324" t="inlineStr">
        <is>
          <t xml:space="preserve">            (นายฉัตรชัย งาหอม)</t>
        </is>
      </c>
      <c r="R44" s="25" t="n"/>
      <c r="S44" s="12" t="n"/>
    </row>
    <row r="45" ht="22.2" customHeight="1" s="375">
      <c r="A45" s="54" t="inlineStr">
        <is>
          <t>ตำแหน่งครู  หัวหน้างานพัฒนาหลักสูตร ฯ</t>
        </is>
      </c>
      <c r="I45" s="374" t="n"/>
      <c r="J45" s="54" t="inlineStr">
        <is>
          <t>ตำแหน่ง  รองผู้อำนวยการฝ่ายวิชาการ</t>
        </is>
      </c>
      <c r="S45" s="374" t="n"/>
    </row>
    <row r="46" ht="22.2" customHeight="1" s="375">
      <c r="A46" s="336" t="inlineStr">
        <is>
          <t>วันที่.......เดือน..........................พ.ศ..............</t>
        </is>
      </c>
      <c r="B46" s="522" t="n"/>
      <c r="C46" s="522" t="n"/>
      <c r="D46" s="522" t="n"/>
      <c r="E46" s="522" t="n"/>
      <c r="F46" s="522" t="n"/>
      <c r="G46" s="522" t="n"/>
      <c r="H46" s="522" t="n"/>
      <c r="I46" s="527" t="n"/>
      <c r="J46" s="336" t="inlineStr">
        <is>
          <t>วันที่.......เดือน..........................พ.ศ..............</t>
        </is>
      </c>
      <c r="K46" s="522" t="n"/>
      <c r="L46" s="522" t="n"/>
      <c r="M46" s="522" t="n"/>
      <c r="N46" s="522" t="n"/>
      <c r="O46" s="522" t="n"/>
      <c r="P46" s="522" t="n"/>
      <c r="Q46" s="522" t="n"/>
      <c r="R46" s="522" t="n"/>
      <c r="S46" s="527" t="n"/>
    </row>
    <row r="47" ht="22.2" customHeight="1" s="375">
      <c r="A47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48" ht="22.2" customHeight="1" s="375">
      <c r="A48" s="365" t="inlineStr">
        <is>
          <t>แผนกวิชาช่างยนต์</t>
        </is>
      </c>
      <c r="AB48" s="389" t="n"/>
    </row>
    <row r="49" ht="22.2" customHeight="1" s="375">
      <c r="A49" s="366" t="inlineStr">
        <is>
          <t xml:space="preserve">    ระหว่างวันที่</t>
        </is>
      </c>
      <c r="D49" s="365">
        <f>D3</f>
        <v/>
      </c>
      <c r="E49" s="365" t="inlineStr">
        <is>
          <t xml:space="preserve">   เดือน  </t>
        </is>
      </c>
      <c r="F49" s="365">
        <f>F3</f>
        <v/>
      </c>
      <c r="H49" s="365">
        <f>H3</f>
        <v/>
      </c>
      <c r="I49" s="365" t="inlineStr">
        <is>
          <t xml:space="preserve">     ถึง วันที่</t>
        </is>
      </c>
      <c r="J49" s="365">
        <f>J3</f>
        <v/>
      </c>
      <c r="K49" s="365" t="inlineStr">
        <is>
          <t xml:space="preserve">   เดือน </t>
        </is>
      </c>
      <c r="L49" s="365">
        <f>L3</f>
        <v/>
      </c>
      <c r="N49" s="365">
        <f>N3</f>
        <v/>
      </c>
      <c r="P49" s="365" t="n"/>
      <c r="R49" s="365" t="n"/>
      <c r="AB49" s="389" t="n"/>
    </row>
    <row r="50" ht="22.2" customHeight="1" s="375">
      <c r="G50" s="51" t="inlineStr">
        <is>
          <t>ü</t>
        </is>
      </c>
      <c r="H50" s="351" t="inlineStr">
        <is>
          <t>ครู</t>
        </is>
      </c>
      <c r="I50" s="322" t="inlineStr">
        <is>
          <t>หน้าที่พิเศษ</t>
        </is>
      </c>
      <c r="J50" s="382" t="inlineStr">
        <is>
          <t>หัวงานทวิภาคี</t>
        </is>
      </c>
      <c r="K50" s="522" t="n"/>
      <c r="L50" s="522" t="n"/>
      <c r="M50" s="522" t="n"/>
      <c r="N50" s="522" t="n"/>
      <c r="O50" s="522" t="n"/>
      <c r="P50" s="522" t="n"/>
      <c r="AB50" s="388" t="n"/>
    </row>
    <row r="51" ht="22.2" customHeight="1" s="375">
      <c r="A51" s="24" t="inlineStr">
        <is>
          <t>ที่</t>
        </is>
      </c>
      <c r="B51" s="24" t="inlineStr">
        <is>
          <t>ชื่อ-สกุล</t>
        </is>
      </c>
      <c r="C51" s="153" t="n"/>
      <c r="D51" s="135" t="n"/>
      <c r="E51" s="15" t="inlineStr">
        <is>
          <t>ตำแหน่ง</t>
        </is>
      </c>
      <c r="F51" s="16" t="inlineStr">
        <is>
          <t>ระยะเวลาที่สอน</t>
        </is>
      </c>
      <c r="G51" s="432" t="n"/>
      <c r="H51" s="16" t="inlineStr">
        <is>
          <t>รหัสวิชา</t>
        </is>
      </c>
      <c r="I51" s="362" t="inlineStr">
        <is>
          <t>ชั้น,แผนก,ห้อง</t>
        </is>
      </c>
      <c r="J51" s="16" t="inlineStr">
        <is>
          <t>เวลาสอน</t>
        </is>
      </c>
      <c r="K51" s="135" t="n"/>
      <c r="L51" s="16" t="inlineStr">
        <is>
          <t>ปวช.(คาบ)</t>
        </is>
      </c>
      <c r="M51" s="432" t="n"/>
      <c r="N51" s="362" t="inlineStr">
        <is>
          <t>เงิน</t>
        </is>
      </c>
      <c r="O51" s="362" t="inlineStr">
        <is>
          <t>ยอดเงิน</t>
        </is>
      </c>
      <c r="P51" s="524" t="inlineStr">
        <is>
          <t>ปวส.(คาบ)</t>
        </is>
      </c>
      <c r="Q51" s="432" t="n"/>
      <c r="R51" s="354" t="inlineStr">
        <is>
          <t>เงิน</t>
        </is>
      </c>
      <c r="S51" s="362" t="inlineStr">
        <is>
          <t>ยอดเงิน</t>
        </is>
      </c>
      <c r="AB51" s="389" t="n"/>
    </row>
    <row r="52" ht="22.2" customHeight="1" s="375">
      <c r="A52" s="52" t="n"/>
      <c r="B52" s="8" t="n"/>
      <c r="C52" s="9" t="n"/>
      <c r="D52" s="13" t="n"/>
      <c r="E52" s="10" t="n"/>
      <c r="F52" s="336" t="inlineStr">
        <is>
          <t>ส.</t>
        </is>
      </c>
      <c r="G52" s="336" t="inlineStr">
        <is>
          <t>วดป.</t>
        </is>
      </c>
      <c r="H52" s="525" t="n"/>
      <c r="I52" s="336" t="n"/>
      <c r="J52" s="526" t="n"/>
      <c r="K52" s="527" t="n"/>
      <c r="L52" s="336" t="inlineStr">
        <is>
          <t>ใน</t>
        </is>
      </c>
      <c r="M52" s="336" t="inlineStr">
        <is>
          <t>นอก</t>
        </is>
      </c>
      <c r="N52" s="336" t="inlineStr">
        <is>
          <t>ต่อ ชม.</t>
        </is>
      </c>
      <c r="O52" s="336" t="inlineStr">
        <is>
          <t>(บาท)</t>
        </is>
      </c>
      <c r="P52" s="52" t="inlineStr">
        <is>
          <t>ใน</t>
        </is>
      </c>
      <c r="Q52" s="52" t="inlineStr">
        <is>
          <t>นอก</t>
        </is>
      </c>
      <c r="R52" s="336" t="inlineStr">
        <is>
          <t>ต่อ ชม.</t>
        </is>
      </c>
      <c r="S52" s="336" t="inlineStr">
        <is>
          <t>(บาท)</t>
        </is>
      </c>
    </row>
    <row r="53" ht="22.2" customHeight="1" s="375">
      <c r="A53" s="362" t="n">
        <v>2</v>
      </c>
      <c r="B53" s="528">
        <f>AB4</f>
        <v/>
      </c>
      <c r="C53" s="153" t="n"/>
      <c r="D53" s="135" t="n"/>
      <c r="E53" s="362" t="inlineStr">
        <is>
          <t>ครู</t>
        </is>
      </c>
      <c r="F53" s="5" t="n">
        <v>2</v>
      </c>
      <c r="G53" s="529" t="inlineStr">
        <is>
          <t>จันทร์</t>
        </is>
      </c>
      <c r="H53" s="546" t="inlineStr">
        <is>
          <t>หยุด</t>
        </is>
      </c>
      <c r="I53" s="543" t="inlineStr"/>
      <c r="J53" s="547" t="inlineStr"/>
      <c r="K53" s="135" t="n"/>
      <c r="L53" s="367" t="inlineStr"/>
      <c r="M53" s="381" t="inlineStr"/>
      <c r="N53" s="381" t="inlineStr"/>
      <c r="O53" s="354">
        <f>M53*N53</f>
        <v/>
      </c>
      <c r="P53" s="381" t="inlineStr"/>
      <c r="Q53" s="367" t="inlineStr"/>
      <c r="R53" s="381" t="inlineStr"/>
      <c r="S53" s="354">
        <f>Q53*R53</f>
        <v/>
      </c>
      <c r="T53" t="inlineStr"/>
      <c r="U53" t="inlineStr"/>
    </row>
    <row r="54" ht="22.2" customHeight="1" s="375">
      <c r="A54" s="3" t="n"/>
      <c r="B54" s="530" t="n"/>
      <c r="D54" s="374" t="n"/>
      <c r="E54" s="334" t="n"/>
      <c r="F54" s="322" t="n"/>
      <c r="G54" s="535" t="inlineStr">
        <is>
          <t>21 ก.ย.69</t>
        </is>
      </c>
      <c r="H54" s="543" t="inlineStr"/>
      <c r="I54" s="543" t="inlineStr"/>
      <c r="J54" s="544" t="inlineStr"/>
      <c r="K54" s="374" t="n"/>
      <c r="L54" s="323" t="inlineStr"/>
      <c r="M54" s="334" t="inlineStr"/>
      <c r="N54" s="334" t="inlineStr"/>
      <c r="O54" s="354">
        <f>M54*N54</f>
        <v/>
      </c>
      <c r="P54" s="334" t="inlineStr"/>
      <c r="Q54" s="334" t="inlineStr"/>
      <c r="R54" s="376" t="inlineStr"/>
      <c r="S54" s="354">
        <f>Q54*R54</f>
        <v/>
      </c>
      <c r="T54" t="inlineStr"/>
      <c r="U54" t="inlineStr"/>
    </row>
    <row r="55" ht="22.2" customHeight="1" s="375">
      <c r="A55" s="3" t="n"/>
      <c r="B55" s="313" t="n"/>
      <c r="D55" s="314" t="n"/>
      <c r="E55" s="314" t="n"/>
      <c r="F55" s="322" t="n"/>
      <c r="G55" s="321" t="inlineStr"/>
      <c r="H55" s="544" t="inlineStr"/>
      <c r="I55" s="543" t="inlineStr"/>
      <c r="J55" s="543" t="inlineStr"/>
      <c r="K55" s="374" t="n"/>
      <c r="L55" s="334" t="inlineStr"/>
      <c r="M55" s="334" t="inlineStr"/>
      <c r="N55" s="334" t="inlineStr"/>
      <c r="O55" s="354">
        <f>M55*N55</f>
        <v/>
      </c>
      <c r="P55" s="334" t="inlineStr"/>
      <c r="Q55" s="334" t="inlineStr"/>
      <c r="R55" s="334" t="inlineStr"/>
      <c r="S55" s="354">
        <f>Q55*R55</f>
        <v/>
      </c>
      <c r="T55" t="inlineStr"/>
      <c r="U55" t="inlineStr"/>
    </row>
    <row r="56" ht="22.2" customHeight="1" s="375">
      <c r="A56" s="3" t="n"/>
      <c r="B56" s="313" t="n"/>
      <c r="E56" s="3" t="n"/>
      <c r="F56" s="322" t="n"/>
      <c r="G56" s="321" t="inlineStr"/>
      <c r="H56" s="548" t="inlineStr"/>
      <c r="I56" s="548" t="inlineStr"/>
      <c r="J56" s="544" t="inlineStr"/>
      <c r="K56" s="374" t="n"/>
      <c r="L56" s="334" t="inlineStr"/>
      <c r="M56" s="334" t="inlineStr"/>
      <c r="N56" s="334" t="inlineStr"/>
      <c r="O56" s="354">
        <f>M56*N56</f>
        <v/>
      </c>
      <c r="P56" s="334" t="inlineStr"/>
      <c r="Q56" s="334" t="inlineStr"/>
      <c r="R56" s="334" t="inlineStr"/>
      <c r="S56" s="354">
        <f>Q56*R56</f>
        <v/>
      </c>
      <c r="T56" t="inlineStr"/>
      <c r="U56" t="inlineStr"/>
      <c r="Y56" s="62" t="n"/>
      <c r="Z56" s="62" t="n"/>
      <c r="AA56" s="62" t="n"/>
      <c r="AB56" s="62" t="n"/>
    </row>
    <row r="57" ht="22.2" customHeight="1" s="375">
      <c r="A57" s="3" t="n"/>
      <c r="E57" s="3" t="n"/>
      <c r="G57" s="344" t="inlineStr"/>
      <c r="H57" s="545" t="inlineStr"/>
      <c r="I57" s="545" t="inlineStr"/>
      <c r="J57" s="545" t="inlineStr"/>
      <c r="K57" s="527" t="n"/>
      <c r="L57" s="334" t="inlineStr"/>
      <c r="M57" s="334" t="inlineStr"/>
      <c r="N57" s="334" t="inlineStr"/>
      <c r="O57" s="354">
        <f>M57*N57</f>
        <v/>
      </c>
      <c r="P57" s="334" t="inlineStr"/>
      <c r="Q57" s="334" t="inlineStr"/>
      <c r="R57" s="334" t="inlineStr"/>
      <c r="S57" s="354">
        <f>Q57*R57</f>
        <v/>
      </c>
      <c r="T57" t="inlineStr"/>
      <c r="U57" t="inlineStr"/>
      <c r="Y57" s="63" t="n"/>
      <c r="Z57" s="63" t="n"/>
      <c r="AA57" s="63" t="n"/>
      <c r="AB57" s="63" t="n"/>
    </row>
    <row r="58" ht="22.2" customHeight="1" s="375">
      <c r="A58" s="3" t="n"/>
      <c r="E58" s="3" t="n"/>
      <c r="G58" s="533" t="inlineStr">
        <is>
          <t>อังคาร</t>
        </is>
      </c>
      <c r="H58" s="381" t="inlineStr">
        <is>
          <t>20100-1006</t>
        </is>
      </c>
      <c r="I58" s="376" t="inlineStr">
        <is>
          <t>ชย.1/8 (26)</t>
        </is>
      </c>
      <c r="J58" s="381" t="inlineStr">
        <is>
          <t>08:10 - 12:10</t>
        </is>
      </c>
      <c r="K58" s="135" t="n"/>
      <c r="L58" s="367" t="n">
        <v>4</v>
      </c>
      <c r="M58" s="381" t="inlineStr"/>
      <c r="N58" s="381" t="inlineStr"/>
      <c r="O58" s="354" t="inlineStr"/>
      <c r="P58" s="381" t="inlineStr"/>
      <c r="Q58" s="367" t="inlineStr"/>
      <c r="R58" s="381" t="inlineStr"/>
      <c r="S58" s="354" t="inlineStr"/>
      <c r="T58" t="inlineStr"/>
      <c r="U58" t="inlineStr"/>
      <c r="W58" s="63" t="n"/>
      <c r="X58" s="63" t="n"/>
      <c r="Y58" s="351" t="n"/>
      <c r="Z58" s="63" t="n"/>
      <c r="AA58" s="351" t="n"/>
      <c r="AB58" s="63" t="n"/>
    </row>
    <row r="59" ht="22.2" customHeight="1" s="375">
      <c r="A59" s="3" t="n"/>
      <c r="E59" s="3" t="n"/>
      <c r="G59" s="535" t="inlineStr">
        <is>
          <t>22 ก.ย.69</t>
        </is>
      </c>
      <c r="H59" s="376" t="inlineStr"/>
      <c r="I59" s="376" t="inlineStr"/>
      <c r="J59" s="334" t="inlineStr"/>
      <c r="K59" s="374" t="n"/>
      <c r="L59" s="334" t="inlineStr"/>
      <c r="M59" s="334" t="inlineStr"/>
      <c r="N59" s="334" t="inlineStr"/>
      <c r="O59" s="354" t="inlineStr"/>
      <c r="P59" s="334" t="inlineStr"/>
      <c r="Q59" s="334" t="inlineStr"/>
      <c r="R59" s="376" t="inlineStr"/>
      <c r="S59" s="354" t="inlineStr"/>
      <c r="T59" t="inlineStr"/>
      <c r="U59" t="inlineStr"/>
      <c r="W59" s="62" t="n"/>
      <c r="X59" s="62" t="n"/>
      <c r="Y59" s="62" t="n"/>
      <c r="Z59" s="63" t="n"/>
      <c r="AA59" s="64" t="n"/>
      <c r="AB59" s="63" t="n"/>
    </row>
    <row r="60" ht="22.2" customHeight="1" s="375">
      <c r="A60" s="3" t="n"/>
      <c r="B60" s="313" t="n"/>
      <c r="D60" s="314" t="n"/>
      <c r="E60" s="314" t="n"/>
      <c r="G60" s="334" t="inlineStr"/>
      <c r="H60" s="376" t="inlineStr"/>
      <c r="I60" s="376" t="inlineStr"/>
      <c r="J60" s="334" t="inlineStr"/>
      <c r="K60" s="374" t="n"/>
      <c r="L60" s="334" t="inlineStr"/>
      <c r="M60" s="334" t="inlineStr"/>
      <c r="N60" s="334" t="inlineStr"/>
      <c r="O60" s="354" t="inlineStr"/>
      <c r="P60" s="334" t="inlineStr"/>
      <c r="Q60" s="334" t="inlineStr"/>
      <c r="R60" s="334" t="inlineStr"/>
      <c r="S60" s="354" t="inlineStr"/>
      <c r="T60" t="inlineStr"/>
      <c r="U60" t="inlineStr"/>
      <c r="W60" s="62" t="n"/>
      <c r="X60" s="62" t="n"/>
      <c r="Y60" s="62" t="n"/>
      <c r="Z60" s="63" t="n"/>
      <c r="AA60" s="64" t="n"/>
      <c r="AB60" s="63" t="n"/>
    </row>
    <row r="61" ht="22.2" customHeight="1" s="375">
      <c r="A61" s="3" t="n"/>
      <c r="E61" s="3" t="n"/>
      <c r="G61" s="54" t="inlineStr"/>
      <c r="H61" s="322" t="inlineStr"/>
      <c r="I61" s="334" t="inlineStr"/>
      <c r="J61" s="334" t="inlineStr"/>
      <c r="K61" s="374" t="n"/>
      <c r="L61" s="334" t="inlineStr"/>
      <c r="M61" s="334" t="inlineStr"/>
      <c r="N61" s="334" t="inlineStr"/>
      <c r="O61" s="354" t="inlineStr"/>
      <c r="P61" s="334" t="inlineStr"/>
      <c r="Q61" s="334" t="inlineStr"/>
      <c r="R61" s="334" t="inlineStr"/>
      <c r="S61" s="354" t="inlineStr"/>
      <c r="T61" s="6" t="inlineStr"/>
      <c r="U61" s="22" t="inlineStr"/>
      <c r="V61" s="57" t="n"/>
      <c r="W61" s="21" t="n"/>
      <c r="X61" s="21" t="n"/>
      <c r="Y61" s="62" t="n"/>
      <c r="Z61" s="63" t="n"/>
      <c r="AA61" s="64" t="n"/>
      <c r="AB61" s="63" t="n"/>
    </row>
    <row r="62" ht="22.2" customHeight="1" s="375">
      <c r="A62" s="3" t="n"/>
      <c r="D62" s="7" t="inlineStr">
        <is>
          <t> </t>
        </is>
      </c>
      <c r="E62" s="3" t="n"/>
      <c r="G62" s="55" t="inlineStr"/>
      <c r="H62" s="327" t="inlineStr"/>
      <c r="I62" s="336" t="inlineStr"/>
      <c r="J62" s="336" t="inlineStr"/>
      <c r="K62" s="527" t="n"/>
      <c r="L62" s="334" t="inlineStr"/>
      <c r="M62" s="334" t="inlineStr"/>
      <c r="N62" s="334" t="inlineStr"/>
      <c r="O62" s="354" t="inlineStr"/>
      <c r="P62" s="334" t="inlineStr"/>
      <c r="Q62" s="334" t="inlineStr"/>
      <c r="R62" s="334" t="inlineStr"/>
      <c r="S62" s="354" t="inlineStr"/>
      <c r="T62" s="21" t="inlineStr"/>
      <c r="U62" s="22" t="inlineStr"/>
      <c r="V62" s="57" t="n"/>
      <c r="W62" s="21" t="n"/>
      <c r="X62" s="21" t="n"/>
      <c r="Y62" s="62" t="n"/>
      <c r="Z62" s="62" t="n"/>
      <c r="AA62" s="62" t="n"/>
      <c r="AB62" s="62" t="n"/>
    </row>
    <row r="63" ht="22.2" customHeight="1" s="375">
      <c r="A63" s="3" t="n"/>
      <c r="D63" s="374" t="n"/>
      <c r="E63" s="251" t="n"/>
      <c r="G63" s="539" t="inlineStr">
        <is>
          <t>พุธ</t>
        </is>
      </c>
      <c r="H63" s="381" t="inlineStr">
        <is>
          <t>20101-2011</t>
        </is>
      </c>
      <c r="I63" s="376" t="inlineStr">
        <is>
          <t>ชย.2/7 (26)</t>
        </is>
      </c>
      <c r="J63" s="381" t="inlineStr">
        <is>
          <t>08:10 - 12:10</t>
        </is>
      </c>
      <c r="K63" s="135" t="n"/>
      <c r="L63" s="381" t="n">
        <v>4</v>
      </c>
      <c r="M63" s="381" t="inlineStr"/>
      <c r="N63" s="381" t="inlineStr"/>
      <c r="O63" s="354" t="inlineStr"/>
      <c r="P63" s="381" t="inlineStr"/>
      <c r="Q63" s="381" t="inlineStr"/>
      <c r="R63" s="381" t="inlineStr"/>
      <c r="S63" s="354" t="inlineStr"/>
      <c r="T63" t="inlineStr"/>
      <c r="U63" t="inlineStr"/>
      <c r="Y63" s="62" t="n"/>
      <c r="Z63" s="62" t="n"/>
      <c r="AA63" s="62" t="n"/>
      <c r="AB63" s="62" t="n"/>
    </row>
    <row r="64" ht="22.2" customHeight="1" s="375">
      <c r="A64" s="3" t="n"/>
      <c r="B64" s="321" t="n"/>
      <c r="C64" s="322" t="n"/>
      <c r="D64" s="322" t="n"/>
      <c r="E64" s="334" t="n"/>
      <c r="G64" s="533" t="inlineStr">
        <is>
          <t>23 ก.ย.69</t>
        </is>
      </c>
      <c r="H64" s="376" t="inlineStr">
        <is>
          <t>20101-2011</t>
        </is>
      </c>
      <c r="I64" s="376" t="inlineStr">
        <is>
          <t>ชย.2/7 (26)</t>
        </is>
      </c>
      <c r="J64" s="334" t="inlineStr">
        <is>
          <t>13:10 - 16:10</t>
        </is>
      </c>
      <c r="K64" s="374" t="n"/>
      <c r="L64" s="334" t="inlineStr"/>
      <c r="M64" s="334" t="n">
        <v>3</v>
      </c>
      <c r="N64" s="334" t="n">
        <v>200</v>
      </c>
      <c r="O64" s="354">
        <f>M64*N64</f>
        <v/>
      </c>
      <c r="P64" s="334" t="inlineStr"/>
      <c r="Q64" s="334" t="inlineStr"/>
      <c r="R64" s="334" t="inlineStr"/>
      <c r="S64" s="354" t="inlineStr"/>
      <c r="T64" t="inlineStr"/>
      <c r="U64" t="inlineStr"/>
      <c r="Y64" s="62" t="n"/>
      <c r="Z64" s="62" t="n"/>
      <c r="AA64" s="62" t="n"/>
      <c r="AB64" s="62" t="n"/>
    </row>
    <row r="65" ht="22.2" customHeight="1" s="375">
      <c r="A65" s="3" t="n"/>
      <c r="B65" s="313" t="n"/>
      <c r="D65" s="314" t="n"/>
      <c r="E65" s="314" t="n"/>
      <c r="G65" s="334" t="inlineStr"/>
      <c r="H65" s="376" t="inlineStr"/>
      <c r="I65" s="376" t="inlineStr"/>
      <c r="J65" s="334" t="inlineStr"/>
      <c r="K65" s="374" t="n"/>
      <c r="L65" s="334" t="inlineStr"/>
      <c r="M65" s="334" t="inlineStr"/>
      <c r="N65" s="334" t="inlineStr"/>
      <c r="O65" s="354" t="inlineStr"/>
      <c r="P65" s="334" t="inlineStr"/>
      <c r="Q65" s="334" t="inlineStr"/>
      <c r="R65" s="334" t="inlineStr"/>
      <c r="S65" s="354" t="inlineStr"/>
      <c r="T65" t="inlineStr"/>
      <c r="U65" t="inlineStr"/>
      <c r="W65" s="62" t="n"/>
      <c r="X65" s="62" t="n"/>
    </row>
    <row r="66" ht="22.2" customHeight="1" s="375">
      <c r="A66" s="3" t="n"/>
      <c r="E66" s="3" t="n"/>
      <c r="G66" s="321" t="inlineStr"/>
      <c r="H66" s="334" t="inlineStr"/>
      <c r="I66" s="376" t="inlineStr"/>
      <c r="J66" s="334" t="inlineStr"/>
      <c r="K66" s="374" t="n"/>
      <c r="L66" s="334" t="inlineStr"/>
      <c r="M66" s="334" t="inlineStr"/>
      <c r="N66" s="334" t="inlineStr"/>
      <c r="O66" s="354" t="inlineStr"/>
      <c r="P66" s="334" t="inlineStr"/>
      <c r="Q66" s="334" t="inlineStr"/>
      <c r="R66" s="334" t="inlineStr"/>
      <c r="S66" s="354" t="inlineStr"/>
      <c r="T66" t="inlineStr"/>
      <c r="U66" t="inlineStr"/>
      <c r="Z66" s="322" t="n"/>
      <c r="AA66" s="322" t="n"/>
      <c r="AB66" s="322" t="n"/>
    </row>
    <row r="67" ht="22.2" customHeight="1" s="375">
      <c r="A67" s="3" t="n"/>
      <c r="E67" s="3" t="n"/>
      <c r="G67" s="327" t="inlineStr"/>
      <c r="H67" s="336" t="inlineStr"/>
      <c r="I67" s="336" t="inlineStr"/>
      <c r="J67" s="336" t="inlineStr"/>
      <c r="K67" s="527" t="n"/>
      <c r="L67" s="336" t="inlineStr"/>
      <c r="M67" s="336" t="inlineStr"/>
      <c r="N67" s="336" t="inlineStr"/>
      <c r="O67" s="354" t="inlineStr"/>
      <c r="P67" s="336" t="inlineStr"/>
      <c r="Q67" s="336" t="inlineStr"/>
      <c r="R67" s="336" t="inlineStr"/>
      <c r="S67" s="354" t="inlineStr"/>
      <c r="T67" t="inlineStr"/>
      <c r="U67" t="inlineStr"/>
      <c r="Y67" s="322" t="n"/>
      <c r="Z67" s="322" t="n"/>
      <c r="AA67" s="322" t="n"/>
      <c r="AB67" s="322" t="n"/>
    </row>
    <row r="68" ht="22.2" customHeight="1" s="375">
      <c r="A68" s="3" t="n"/>
      <c r="E68" s="3" t="n"/>
      <c r="G68" s="533" t="inlineStr">
        <is>
          <t>พฤหัส</t>
        </is>
      </c>
      <c r="H68" s="381" t="inlineStr">
        <is>
          <t>20000-2008</t>
        </is>
      </c>
      <c r="I68" s="376" t="inlineStr">
        <is>
          <t>ชย.ทวิ 3/9 (26)</t>
        </is>
      </c>
      <c r="J68" s="381" t="inlineStr">
        <is>
          <t>13:10 - 15:10</t>
        </is>
      </c>
      <c r="K68" s="135" t="n"/>
      <c r="L68" s="334" t="n">
        <v>2</v>
      </c>
      <c r="M68" s="334" t="inlineStr"/>
      <c r="N68" s="334" t="inlineStr"/>
      <c r="O68" s="354" t="inlineStr"/>
      <c r="P68" s="334" t="inlineStr"/>
      <c r="Q68" s="362" t="inlineStr"/>
      <c r="R68" s="362" t="inlineStr"/>
      <c r="S68" s="354" t="inlineStr"/>
      <c r="T68" t="inlineStr"/>
      <c r="U68" t="inlineStr"/>
      <c r="Y68" s="322" t="n"/>
      <c r="Z68" s="322" t="n"/>
      <c r="AA68" s="322" t="n"/>
      <c r="AB68" s="322" t="n"/>
    </row>
    <row r="69" ht="22.2" customHeight="1" s="375">
      <c r="A69" s="3" t="n"/>
      <c r="E69" s="3" t="n"/>
      <c r="G69" s="535" t="inlineStr">
        <is>
          <t>24 ก.ย.69</t>
        </is>
      </c>
      <c r="H69" s="376" t="inlineStr">
        <is>
          <t>20101-2050</t>
        </is>
      </c>
      <c r="I69" s="376" t="inlineStr">
        <is>
          <t>ชย.ทวิ 3/9 (26)</t>
        </is>
      </c>
      <c r="J69" s="376" t="inlineStr">
        <is>
          <t>19:10 - 21:10</t>
        </is>
      </c>
      <c r="K69" s="374" t="n"/>
      <c r="L69" s="323" t="inlineStr"/>
      <c r="M69" s="334" t="n">
        <v>2</v>
      </c>
      <c r="N69" s="334" t="n">
        <v>200</v>
      </c>
      <c r="O69" s="354">
        <f>M69*N69</f>
        <v/>
      </c>
      <c r="P69" s="376" t="inlineStr"/>
      <c r="Q69" s="334" t="inlineStr"/>
      <c r="R69" s="334" t="inlineStr"/>
      <c r="S69" s="354" t="inlineStr"/>
      <c r="T69" t="inlineStr"/>
      <c r="U69" s="322" t="inlineStr"/>
      <c r="V69" s="322" t="n"/>
      <c r="X69" s="322" t="n"/>
      <c r="Y69" s="322" t="n"/>
      <c r="Z69" s="322" t="n"/>
    </row>
    <row r="70" ht="22.2" customHeight="1" s="375">
      <c r="A70" s="3" t="n"/>
      <c r="B70" s="313" t="n"/>
      <c r="E70" s="3" t="n"/>
      <c r="G70" s="334" t="inlineStr"/>
      <c r="H70" s="376" t="inlineStr"/>
      <c r="I70" s="376" t="inlineStr"/>
      <c r="J70" s="334" t="inlineStr"/>
      <c r="K70" s="374" t="n"/>
      <c r="L70" s="376" t="inlineStr"/>
      <c r="M70" s="376" t="inlineStr"/>
      <c r="N70" s="376" t="inlineStr"/>
      <c r="O70" s="354" t="inlineStr"/>
      <c r="P70" t="inlineStr"/>
      <c r="Q70" s="376" t="inlineStr"/>
      <c r="R70" s="376" t="inlineStr"/>
      <c r="S70" s="354" t="inlineStr"/>
      <c r="T70" t="inlineStr"/>
      <c r="U70" s="322" t="inlineStr"/>
      <c r="V70" s="322" t="n"/>
      <c r="W70" s="322" t="n"/>
      <c r="X70" s="322" t="n"/>
      <c r="Y70" s="322" t="n"/>
      <c r="Z70" s="322" t="n"/>
    </row>
    <row r="71" ht="22.2" customHeight="1" s="375">
      <c r="A71" s="3" t="n"/>
      <c r="E71" s="3" t="n"/>
      <c r="G71" s="334" t="inlineStr"/>
      <c r="H71" s="334" t="inlineStr"/>
      <c r="I71" s="376" t="inlineStr"/>
      <c r="J71" s="376" t="inlineStr"/>
      <c r="K71" s="374" t="n"/>
      <c r="L71" s="334" t="inlineStr"/>
      <c r="M71" s="334" t="inlineStr"/>
      <c r="N71" s="334" t="inlineStr"/>
      <c r="O71" s="354" t="inlineStr"/>
      <c r="P71" s="376" t="inlineStr"/>
      <c r="Q71" s="334" t="inlineStr"/>
      <c r="R71" s="334" t="inlineStr"/>
      <c r="S71" s="354" t="inlineStr"/>
      <c r="T71" t="inlineStr"/>
      <c r="U71" s="322" t="inlineStr"/>
      <c r="V71" s="322" t="n"/>
      <c r="W71" s="322" t="n"/>
      <c r="X71" s="322" t="n"/>
      <c r="Y71" s="322" t="n"/>
      <c r="Z71" s="322" t="n"/>
    </row>
    <row r="72" ht="22.2" customHeight="1" s="375">
      <c r="A72" s="3" t="n"/>
      <c r="E72" s="3" t="n"/>
      <c r="G72" s="336" t="inlineStr"/>
      <c r="H72" s="336" t="inlineStr"/>
      <c r="I72" s="136" t="inlineStr"/>
      <c r="J72" s="336" t="inlineStr"/>
      <c r="K72" s="527" t="n"/>
      <c r="L72" s="336" t="inlineStr"/>
      <c r="M72" s="336" t="inlineStr"/>
      <c r="N72" s="336" t="inlineStr"/>
      <c r="O72" s="354" t="inlineStr"/>
      <c r="P72" s="334" t="inlineStr"/>
      <c r="Q72" s="336" t="inlineStr"/>
      <c r="R72" s="336" t="inlineStr"/>
      <c r="S72" s="354" t="inlineStr"/>
      <c r="T72" s="322" t="inlineStr"/>
      <c r="U72" s="322" t="inlineStr"/>
      <c r="V72" s="322" t="n"/>
      <c r="W72" s="322" t="n"/>
      <c r="X72" s="322" t="n"/>
      <c r="Y72" s="322" t="n"/>
    </row>
    <row r="73" ht="22.2" customHeight="1" s="375">
      <c r="A73" s="3" t="n"/>
      <c r="B73" s="143" t="n"/>
      <c r="C73" s="144" t="n"/>
      <c r="D73" s="145" t="n"/>
      <c r="E73" s="146" t="n"/>
      <c r="F73" s="145" t="n"/>
      <c r="G73" s="533" t="inlineStr">
        <is>
          <t>ศุกร์</t>
        </is>
      </c>
      <c r="H73" s="381" t="inlineStr">
        <is>
          <t>20101-2017</t>
        </is>
      </c>
      <c r="I73" s="381" t="inlineStr">
        <is>
          <t>ชย.ทวิ 3/9 (26)</t>
        </is>
      </c>
      <c r="J73" s="381" t="inlineStr">
        <is>
          <t>17:10 - 21:10</t>
        </is>
      </c>
      <c r="K73" s="135" t="n"/>
      <c r="L73" s="334" t="inlineStr"/>
      <c r="M73" s="334" t="n">
        <v>4</v>
      </c>
      <c r="N73" s="334" t="n">
        <v>200</v>
      </c>
      <c r="O73" s="354">
        <f>M73*N73</f>
        <v/>
      </c>
      <c r="P73" s="362" t="inlineStr"/>
      <c r="Q73" s="367" t="inlineStr"/>
      <c r="R73" s="381" t="inlineStr"/>
      <c r="S73" s="354" t="inlineStr"/>
      <c r="T73" s="322" t="inlineStr"/>
      <c r="U73" s="322" t="inlineStr"/>
      <c r="V73" s="322" t="n"/>
      <c r="W73" s="322" t="n"/>
      <c r="X73" s="322" t="n"/>
      <c r="Y73" s="322" t="n"/>
    </row>
    <row r="74" ht="22.2" customHeight="1" s="375">
      <c r="A74" s="3" t="n"/>
      <c r="D74" s="314" t="n"/>
      <c r="E74" s="3" t="n"/>
      <c r="G74" s="535" t="inlineStr">
        <is>
          <t>25 ก.ย.69</t>
        </is>
      </c>
      <c r="H74" s="376" t="inlineStr"/>
      <c r="I74" s="376" t="inlineStr"/>
      <c r="J74" s="376" t="inlineStr"/>
      <c r="K74" s="374" t="n"/>
      <c r="L74" s="334" t="inlineStr"/>
      <c r="M74" s="334" t="inlineStr"/>
      <c r="N74" s="334" t="inlineStr"/>
      <c r="O74" s="354" t="inlineStr"/>
      <c r="P74" s="334" t="inlineStr"/>
      <c r="Q74" s="334" t="inlineStr"/>
      <c r="R74" s="334" t="inlineStr"/>
      <c r="S74" s="354" t="inlineStr"/>
      <c r="T74" t="inlineStr"/>
      <c r="U74" t="inlineStr"/>
      <c r="W74" s="322" t="n"/>
      <c r="X74" s="322" t="n"/>
      <c r="Y74" s="322" t="n"/>
    </row>
    <row r="75" ht="22.2" customHeight="1" s="375">
      <c r="A75" s="3" t="n"/>
      <c r="B75" s="143" t="n"/>
      <c r="C75" s="144" t="n"/>
      <c r="D75" s="145" t="n"/>
      <c r="E75" s="146" t="n"/>
      <c r="F75" s="145" t="n"/>
      <c r="G75" s="334" t="inlineStr"/>
      <c r="H75" s="376" t="inlineStr"/>
      <c r="I75" s="376" t="inlineStr"/>
      <c r="J75" s="376" t="inlineStr"/>
      <c r="K75" s="374" t="n"/>
      <c r="L75" s="334" t="inlineStr"/>
      <c r="M75" s="334" t="inlineStr"/>
      <c r="N75" s="334" t="inlineStr"/>
      <c r="O75" s="354" t="inlineStr"/>
      <c r="P75" s="334" t="inlineStr"/>
      <c r="Q75" s="334" t="inlineStr"/>
      <c r="R75" s="334" t="inlineStr"/>
      <c r="S75" s="354" t="inlineStr"/>
      <c r="T75" s="322" t="inlineStr"/>
      <c r="U75" s="322" t="inlineStr"/>
      <c r="V75" s="322" t="n"/>
      <c r="W75" s="322" t="n"/>
      <c r="X75" s="322" t="n"/>
      <c r="Y75" s="322" t="n"/>
    </row>
    <row r="76" ht="22.2" customHeight="1" s="375">
      <c r="A76" s="3" t="n"/>
      <c r="E76" s="3" t="n"/>
      <c r="G76" s="334" t="inlineStr"/>
      <c r="H76" s="334" t="inlineStr"/>
      <c r="I76" s="376" t="inlineStr"/>
      <c r="J76" s="376" t="inlineStr"/>
      <c r="K76" s="374" t="n"/>
      <c r="L76" s="334" t="inlineStr"/>
      <c r="M76" s="334" t="inlineStr"/>
      <c r="N76" s="334" t="inlineStr"/>
      <c r="O76" s="354" t="inlineStr"/>
      <c r="P76" s="334" t="inlineStr"/>
      <c r="Q76" s="334" t="inlineStr"/>
      <c r="R76" s="334" t="inlineStr"/>
      <c r="S76" s="354" t="inlineStr"/>
      <c r="T76" s="383" t="inlineStr"/>
    </row>
    <row r="77" ht="22.2" customHeight="1" s="375">
      <c r="A77" s="3" t="n"/>
      <c r="E77" s="3" t="n"/>
      <c r="F77" s="3" t="n"/>
      <c r="G77" s="329" t="inlineStr"/>
      <c r="H77" s="334" t="inlineStr"/>
      <c r="I77" s="376" t="inlineStr"/>
      <c r="J77" s="334" t="inlineStr"/>
      <c r="K77" s="374" t="n"/>
      <c r="L77" s="336" t="inlineStr"/>
      <c r="M77" s="336" t="inlineStr"/>
      <c r="N77" s="336" t="inlineStr"/>
      <c r="O77" s="354" t="inlineStr"/>
      <c r="P77" s="334" t="inlineStr"/>
      <c r="Q77" s="336" t="inlineStr"/>
      <c r="R77" s="336" t="inlineStr"/>
      <c r="S77" s="354" t="inlineStr"/>
      <c r="T77" s="23" t="inlineStr"/>
      <c r="U77" s="23" t="inlineStr"/>
      <c r="V77" s="56" t="n"/>
      <c r="W77" s="23" t="n"/>
      <c r="X77" s="23" t="n"/>
    </row>
    <row r="78" ht="22.2" customHeight="1" s="375">
      <c r="A78" s="3" t="n"/>
      <c r="E78" s="3" t="n"/>
      <c r="F78" s="3" t="n"/>
      <c r="G78" s="16" t="inlineStr">
        <is>
          <t>รวมขั่วโมงที่สอนแยก ภาระงาน/ เกินภาระงาน</t>
        </is>
      </c>
      <c r="H78" s="518" t="n"/>
      <c r="I78" s="518" t="n"/>
      <c r="J78" s="518" t="n"/>
      <c r="K78" s="432" t="n"/>
      <c r="L78" s="16">
        <f>SUM(L53:L77)</f>
        <v/>
      </c>
      <c r="M78" s="16">
        <f>SUM(M53:M77)</f>
        <v/>
      </c>
      <c r="N78" s="16" t="n"/>
      <c r="O78" s="16" t="n"/>
      <c r="P78" s="16">
        <f>SUM(P53:P77)</f>
        <v/>
      </c>
      <c r="Q78" s="16">
        <f>SUM(Q53:Q77)</f>
        <v/>
      </c>
      <c r="R78" s="349" t="n"/>
      <c r="S78" s="16" t="n"/>
    </row>
    <row r="79" ht="22.2" customHeight="1" s="375">
      <c r="A79" s="3" t="n"/>
      <c r="E79" s="3" t="n"/>
      <c r="F79" s="3" t="n"/>
      <c r="G79" s="16" t="inlineStr">
        <is>
          <t>รวมจำนวนชั่วโมงสอนคาบต่อสับดาห์</t>
        </is>
      </c>
      <c r="H79" s="518" t="n"/>
      <c r="I79" s="518" t="n"/>
      <c r="J79" s="518" t="n"/>
      <c r="K79" s="432" t="n"/>
      <c r="L79" s="16">
        <f>L78+M78</f>
        <v/>
      </c>
      <c r="M79" s="432" t="n"/>
      <c r="N79" s="16" t="n"/>
      <c r="O79" s="348" t="n"/>
      <c r="P79" s="16">
        <f>P78+Q78</f>
        <v/>
      </c>
      <c r="Q79" s="432" t="n"/>
      <c r="R79" s="329" t="n"/>
      <c r="S79" s="336" t="n"/>
    </row>
    <row r="80" ht="22.2" customHeight="1" s="375">
      <c r="A80" s="3" t="n"/>
      <c r="E80" s="3" t="n"/>
      <c r="F80" s="3" t="n"/>
      <c r="G80" s="16" t="inlineStr">
        <is>
          <t>จำนวนชั่วโมงสอนตามภาระงานสอน</t>
        </is>
      </c>
      <c r="H80" s="518" t="n"/>
      <c r="I80" s="518" t="n"/>
      <c r="J80" s="518" t="n"/>
      <c r="K80" s="432" t="n"/>
      <c r="L80" s="16" t="n">
        <v>12</v>
      </c>
      <c r="M80" s="432" t="n"/>
      <c r="N80" s="348" t="n"/>
      <c r="O80" s="16" t="n"/>
      <c r="P80" s="16" t="n">
        <v>0</v>
      </c>
      <c r="Q80" s="432" t="n"/>
      <c r="R80" s="322" t="n"/>
      <c r="S80" s="334" t="n"/>
    </row>
    <row r="81" ht="22.2" customHeight="1" s="375" thickBot="1">
      <c r="A81" s="3" t="n"/>
      <c r="E81" s="3" t="n"/>
      <c r="F81" s="14" t="n"/>
      <c r="G81" s="16" t="inlineStr">
        <is>
          <t>จำนวนชั่วโมงบิกเกินภาระงานสอน/ค่าสอน</t>
        </is>
      </c>
      <c r="H81" s="518" t="n"/>
      <c r="I81" s="518" t="n"/>
      <c r="J81" s="518" t="n"/>
      <c r="K81" s="432" t="n"/>
      <c r="L81" s="17" t="n">
        <v>0</v>
      </c>
      <c r="M81" s="17">
        <f>SUM(M53:M77)</f>
        <v/>
      </c>
      <c r="N81" s="17" t="n"/>
      <c r="O81" s="17">
        <f>SUM(O53:O77)</f>
        <v/>
      </c>
      <c r="P81" s="17" t="n">
        <v>0</v>
      </c>
      <c r="Q81" s="17">
        <f>SUM(Q53:Q77)</f>
        <v/>
      </c>
      <c r="R81" s="18" t="n"/>
      <c r="S81" s="17">
        <f>SUM(S53:S77)</f>
        <v/>
      </c>
    </row>
    <row r="82" ht="22.2" customHeight="1" s="375" thickTop="1">
      <c r="A82" s="337" t="inlineStr">
        <is>
          <t>รวมจำนวนหน่วยชั่วโมงที่ขอเบิกค่าสอน ….</t>
        </is>
      </c>
      <c r="B82" s="518" t="n"/>
      <c r="C82" s="518" t="n"/>
      <c r="D82" s="518" t="n"/>
      <c r="E82" s="518" t="n"/>
      <c r="F82" s="518" t="n"/>
      <c r="G82" s="518" t="n"/>
      <c r="H82" s="348">
        <f>M81+Q81</f>
        <v/>
      </c>
      <c r="I82" s="348" t="inlineStr">
        <is>
          <t>….ชั่วโมง</t>
        </is>
      </c>
      <c r="J82" s="348" t="n"/>
      <c r="K82" s="328" t="inlineStr">
        <is>
          <t>ยอดเงินรวม</t>
        </is>
      </c>
      <c r="L82" s="522" t="n"/>
      <c r="M82" s="522" t="n"/>
      <c r="N82" s="328" t="n"/>
      <c r="O82" s="328" t="n"/>
      <c r="P82" s="339">
        <f>S81+O81</f>
        <v/>
      </c>
      <c r="Q82" s="538" t="n"/>
      <c r="R82" s="20" t="n"/>
      <c r="S82" s="19" t="inlineStr">
        <is>
          <t>..บาท</t>
        </is>
      </c>
    </row>
    <row r="83" ht="22.2" customHeight="1" s="375">
      <c r="A83" s="154" t="inlineStr">
        <is>
          <t>ผู้ขอเบิก</t>
        </is>
      </c>
      <c r="B83" s="153" t="n"/>
      <c r="C83" s="153" t="n"/>
      <c r="D83" s="153" t="n"/>
      <c r="E83" s="153" t="n"/>
      <c r="F83" s="153" t="n"/>
      <c r="G83" s="135" t="n"/>
      <c r="H83" s="154" t="inlineStr">
        <is>
          <t>ผู้รับรอง</t>
        </is>
      </c>
      <c r="I83" s="153" t="n"/>
      <c r="J83" s="153" t="n"/>
      <c r="K83" s="153" t="n"/>
      <c r="L83" s="135" t="n"/>
      <c r="M83" s="154" t="inlineStr">
        <is>
          <t>ผู้ตรวจ</t>
        </is>
      </c>
      <c r="N83" s="153" t="n"/>
      <c r="O83" s="153" t="n"/>
      <c r="P83" s="153" t="n"/>
      <c r="Q83" s="153" t="n"/>
      <c r="R83" s="153" t="n"/>
      <c r="S83" s="135" t="n"/>
      <c r="T83" s="387" t="n"/>
    </row>
    <row r="84" ht="22.2" customHeight="1" s="375">
      <c r="A84" s="334" t="inlineStr">
        <is>
          <t>ลงชื่อ……………………………………………</t>
        </is>
      </c>
      <c r="G84" s="374" t="n"/>
      <c r="H84" s="334" t="inlineStr">
        <is>
          <t>ลงชื่อ……………………………………………</t>
        </is>
      </c>
      <c r="L84" s="374" t="n"/>
      <c r="M84" s="334" t="inlineStr">
        <is>
          <t>ลงชื่อ……………………………………………</t>
        </is>
      </c>
      <c r="S84" s="374" t="n"/>
    </row>
    <row r="85" ht="22.2" customHeight="1" s="375">
      <c r="A85" s="11" t="inlineStr">
        <is>
          <t>(</t>
        </is>
      </c>
      <c r="B85" s="324">
        <f>B53</f>
        <v/>
      </c>
      <c r="G85" s="326" t="inlineStr">
        <is>
          <t>)</t>
        </is>
      </c>
      <c r="H85" s="324" t="inlineStr">
        <is>
          <t>(</t>
        </is>
      </c>
      <c r="I85" s="340">
        <f>I39</f>
        <v/>
      </c>
      <c r="L85" s="12" t="inlineStr">
        <is>
          <t>)</t>
        </is>
      </c>
      <c r="M85" s="53" t="inlineStr">
        <is>
          <t>(</t>
        </is>
      </c>
      <c r="N85" s="53" t="n"/>
      <c r="O85" s="324">
        <f>O39</f>
        <v/>
      </c>
      <c r="R85" s="25" t="n"/>
      <c r="S85" s="326" t="inlineStr">
        <is>
          <t>)</t>
        </is>
      </c>
    </row>
    <row r="86" ht="22.2" customHeight="1" s="375">
      <c r="A86" s="540" t="inlineStr">
        <is>
          <t xml:space="preserve">                         ตำแหน่ง  ครู</t>
        </is>
      </c>
      <c r="G86" s="374" t="n"/>
      <c r="H86" s="54" t="inlineStr">
        <is>
          <t>ตำแหน่ง หัวหน้าแผนก</t>
        </is>
      </c>
      <c r="L86" s="374" t="n"/>
      <c r="M86" s="54" t="inlineStr">
        <is>
          <t>ตำแหน่ง   ผู้ตรวจสอบ</t>
        </is>
      </c>
      <c r="S86" s="374" t="n"/>
    </row>
    <row r="87" ht="22.2" customHeight="1" s="375">
      <c r="A87" s="55" t="inlineStr">
        <is>
          <t>วันที่ 28 เดือน กันยายน  พ.ศ.2569</t>
        </is>
      </c>
      <c r="B87" s="522" t="n"/>
      <c r="C87" s="522" t="n"/>
      <c r="D87" s="522" t="n"/>
      <c r="E87" s="522" t="n"/>
      <c r="F87" s="522" t="n"/>
      <c r="G87" s="527" t="n"/>
      <c r="H87" s="54">
        <f>A41</f>
        <v/>
      </c>
      <c r="L87" s="374" t="n"/>
      <c r="M87" s="55">
        <f>A41</f>
        <v/>
      </c>
      <c r="N87" s="522" t="n"/>
      <c r="O87" s="522" t="n"/>
      <c r="P87" s="522" t="n"/>
      <c r="Q87" s="522" t="n"/>
      <c r="R87" s="522" t="n"/>
      <c r="S87" s="527" t="n"/>
    </row>
    <row r="88" ht="22.2" customHeight="1" s="375">
      <c r="A88" s="154" t="inlineStr">
        <is>
          <t>ผู้ตรวจ</t>
        </is>
      </c>
      <c r="B88" s="153" t="n"/>
      <c r="C88" s="153" t="n"/>
      <c r="D88" s="153" t="n"/>
      <c r="E88" s="153" t="n"/>
      <c r="F88" s="153" t="n"/>
      <c r="G88" s="153" t="n"/>
      <c r="H88" s="153" t="n"/>
      <c r="I88" s="135" t="n"/>
      <c r="J88" s="154" t="inlineStr">
        <is>
          <t>ผู้เห็นชอบ</t>
        </is>
      </c>
      <c r="K88" s="153" t="n"/>
      <c r="L88" s="153" t="n"/>
      <c r="M88" s="153" t="n"/>
      <c r="N88" s="153" t="n"/>
      <c r="O88" s="153" t="n"/>
      <c r="P88" s="153" t="n"/>
      <c r="Q88" s="153" t="n"/>
      <c r="R88" s="153" t="n"/>
      <c r="S88" s="135" t="n"/>
    </row>
    <row r="89" ht="22.2" customHeight="1" s="375">
      <c r="A89" s="334" t="inlineStr">
        <is>
          <t>ลงชื่อ……………………………………………</t>
        </is>
      </c>
      <c r="I89" s="374" t="n"/>
      <c r="J89" s="334" t="inlineStr">
        <is>
          <t>ลงชื่อ……………………………………………</t>
        </is>
      </c>
      <c r="S89" s="374" t="n"/>
    </row>
    <row r="90" ht="22.2" customHeight="1" s="375">
      <c r="A90" s="11" t="n"/>
      <c r="B90" s="324">
        <f>B44</f>
        <v/>
      </c>
      <c r="I90" s="326" t="n"/>
      <c r="J90" s="25" t="n"/>
      <c r="K90" s="25" t="n"/>
      <c r="L90" s="324">
        <f>L44</f>
        <v/>
      </c>
      <c r="R90" s="25" t="n"/>
      <c r="S90" s="12" t="n"/>
    </row>
    <row r="91" ht="22.2" customHeight="1" s="375">
      <c r="A91" s="54" t="inlineStr">
        <is>
          <t>ตำแหน่งครู  หัวหน้างานพัฒนาหลักสูตร ฯ</t>
        </is>
      </c>
      <c r="I91" s="374" t="n"/>
      <c r="J91" s="54" t="inlineStr">
        <is>
          <t>ตำแหน่ง  รองผู้อำนวยการฝ่ายวิชาการ</t>
        </is>
      </c>
      <c r="S91" s="374" t="n"/>
    </row>
    <row r="92" ht="22.2" customHeight="1" s="375">
      <c r="A92" s="336" t="inlineStr">
        <is>
          <t>วันที่.......เดือน..........................พ.ศ..............</t>
        </is>
      </c>
      <c r="B92" s="522" t="n"/>
      <c r="C92" s="522" t="n"/>
      <c r="D92" s="522" t="n"/>
      <c r="E92" s="522" t="n"/>
      <c r="F92" s="522" t="n"/>
      <c r="G92" s="522" t="n"/>
      <c r="H92" s="522" t="n"/>
      <c r="I92" s="527" t="n"/>
      <c r="J92" s="336" t="inlineStr">
        <is>
          <t>วันที่.......เดือน..........................พ.ศ..............</t>
        </is>
      </c>
      <c r="K92" s="522" t="n"/>
      <c r="L92" s="522" t="n"/>
      <c r="M92" s="522" t="n"/>
      <c r="N92" s="522" t="n"/>
      <c r="O92" s="522" t="n"/>
      <c r="P92" s="522" t="n"/>
      <c r="Q92" s="522" t="n"/>
      <c r="R92" s="522" t="n"/>
      <c r="S92" s="527" t="n"/>
    </row>
    <row r="93" ht="22.2" customHeight="1" s="375">
      <c r="A93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75">
      <c r="A94" s="365" t="inlineStr">
        <is>
          <t>แผนกวิชาช่างยนต์</t>
        </is>
      </c>
    </row>
    <row r="95" ht="22.2" customHeight="1" s="375">
      <c r="A95" s="366" t="inlineStr">
        <is>
          <t xml:space="preserve">    ระหว่างวันที่</t>
        </is>
      </c>
      <c r="D95" s="365">
        <f>D3</f>
        <v/>
      </c>
      <c r="E95" s="365" t="inlineStr">
        <is>
          <t xml:space="preserve">   เดือน  </t>
        </is>
      </c>
      <c r="F95" s="365">
        <f>F3</f>
        <v/>
      </c>
      <c r="H95" s="365">
        <f>H3</f>
        <v/>
      </c>
      <c r="I95" s="365" t="inlineStr">
        <is>
          <t xml:space="preserve">     ถึง วันที่</t>
        </is>
      </c>
      <c r="J95" s="365">
        <f>J3</f>
        <v/>
      </c>
      <c r="K95" s="365" t="inlineStr">
        <is>
          <t xml:space="preserve">   เดือน </t>
        </is>
      </c>
      <c r="L95" s="365">
        <f>L3</f>
        <v/>
      </c>
      <c r="N95" s="365">
        <f>N3</f>
        <v/>
      </c>
      <c r="P95" s="365" t="n"/>
      <c r="R95" s="365" t="n"/>
    </row>
    <row r="96" ht="22.2" customHeight="1" s="375">
      <c r="G96" s="51" t="inlineStr">
        <is>
          <t>ü</t>
        </is>
      </c>
      <c r="H96" s="351" t="inlineStr">
        <is>
          <t>ครู</t>
        </is>
      </c>
      <c r="I96" s="322" t="inlineStr">
        <is>
          <t>หน้าที่พิเศษ</t>
        </is>
      </c>
      <c r="J96" s="7" t="inlineStr">
        <is>
          <t>ผู้ช่วยงานกิจกรรมนักเรียนนักศึกษา, โครงการพิเศษและการบริการสังคม,</t>
        </is>
      </c>
    </row>
    <row r="97" ht="22.2" customHeight="1" s="375">
      <c r="A97" s="24" t="inlineStr">
        <is>
          <t>ที่</t>
        </is>
      </c>
      <c r="B97" s="24" t="inlineStr">
        <is>
          <t>ชื่อ-สกุล</t>
        </is>
      </c>
      <c r="C97" s="153" t="n"/>
      <c r="D97" s="135" t="n"/>
      <c r="E97" s="15" t="inlineStr">
        <is>
          <t>ตำแหน่ง</t>
        </is>
      </c>
      <c r="F97" s="16" t="inlineStr">
        <is>
          <t>ระยะเวลาที่สอน</t>
        </is>
      </c>
      <c r="G97" s="432" t="n"/>
      <c r="H97" s="16" t="inlineStr">
        <is>
          <t>รหัสวิชา</t>
        </is>
      </c>
      <c r="I97" s="362" t="inlineStr">
        <is>
          <t>ชั้น,แผนก,ห้อง</t>
        </is>
      </c>
      <c r="J97" s="16" t="inlineStr">
        <is>
          <t>เวลาสอน</t>
        </is>
      </c>
      <c r="K97" s="135" t="n"/>
      <c r="L97" s="16" t="inlineStr">
        <is>
          <t>ปวช.(คาบ)</t>
        </is>
      </c>
      <c r="M97" s="432" t="n"/>
      <c r="N97" s="354" t="inlineStr">
        <is>
          <t>เงิน</t>
        </is>
      </c>
      <c r="O97" s="362" t="inlineStr">
        <is>
          <t>ยอดเงิน</t>
        </is>
      </c>
      <c r="P97" s="524" t="inlineStr">
        <is>
          <t>ปวส.(คาบ)</t>
        </is>
      </c>
      <c r="Q97" s="432" t="n"/>
      <c r="R97" s="354" t="inlineStr">
        <is>
          <t>เงิน</t>
        </is>
      </c>
      <c r="S97" s="362" t="inlineStr">
        <is>
          <t>ยอดเงิน</t>
        </is>
      </c>
    </row>
    <row r="98" ht="22.2" customHeight="1" s="375">
      <c r="A98" s="52" t="n"/>
      <c r="B98" s="8" t="n"/>
      <c r="C98" s="9" t="n"/>
      <c r="D98" s="13" t="n"/>
      <c r="E98" s="10" t="n"/>
      <c r="F98" s="336" t="inlineStr">
        <is>
          <t>ส.</t>
        </is>
      </c>
      <c r="G98" s="336" t="inlineStr">
        <is>
          <t>วดป.</t>
        </is>
      </c>
      <c r="H98" s="525" t="n"/>
      <c r="I98" s="336" t="n"/>
      <c r="J98" s="526" t="n"/>
      <c r="K98" s="527" t="n"/>
      <c r="L98" s="336" t="inlineStr">
        <is>
          <t>ใน</t>
        </is>
      </c>
      <c r="M98" s="336" t="inlineStr">
        <is>
          <t>นอก</t>
        </is>
      </c>
      <c r="N98" s="336" t="inlineStr">
        <is>
          <t>ต่อ ชม.</t>
        </is>
      </c>
      <c r="O98" s="336" t="inlineStr">
        <is>
          <t>(บาท)</t>
        </is>
      </c>
      <c r="P98" s="52" t="inlineStr">
        <is>
          <t>ใน</t>
        </is>
      </c>
      <c r="Q98" s="52" t="inlineStr">
        <is>
          <t>นอก</t>
        </is>
      </c>
      <c r="R98" s="336" t="inlineStr">
        <is>
          <t>ต่อ ชม.</t>
        </is>
      </c>
      <c r="S98" s="336" t="inlineStr">
        <is>
          <t>(บาท)</t>
        </is>
      </c>
    </row>
    <row r="99" ht="22.2" customHeight="1" s="375">
      <c r="A99" s="362" t="n">
        <v>3</v>
      </c>
      <c r="B99" s="528">
        <f>AB5</f>
        <v/>
      </c>
      <c r="C99" s="153" t="n"/>
      <c r="D99" s="135" t="n"/>
      <c r="E99" s="362" t="inlineStr">
        <is>
          <t>ครู</t>
        </is>
      </c>
      <c r="F99" s="5" t="n">
        <v>2</v>
      </c>
      <c r="G99" s="529" t="inlineStr">
        <is>
          <t>จันทร์</t>
        </is>
      </c>
      <c r="H99" s="546" t="inlineStr">
        <is>
          <t>หยุด</t>
        </is>
      </c>
      <c r="I99" s="543" t="inlineStr"/>
      <c r="J99" s="547" t="inlineStr"/>
      <c r="K99" s="135" t="n"/>
      <c r="L99" s="367" t="inlineStr"/>
      <c r="M99" s="381" t="inlineStr"/>
      <c r="N99" s="381" t="inlineStr"/>
      <c r="O99" s="354">
        <f>M99*N99</f>
        <v/>
      </c>
      <c r="P99" s="381" t="inlineStr"/>
      <c r="Q99" s="367" t="inlineStr"/>
      <c r="R99" s="381" t="inlineStr"/>
      <c r="S99" s="354">
        <f>Q99*R99</f>
        <v/>
      </c>
      <c r="T99" t="inlineStr"/>
      <c r="U99" t="inlineStr"/>
    </row>
    <row r="100" ht="22.2" customHeight="1" s="375">
      <c r="A100" s="3" t="n"/>
      <c r="B100" s="530" t="n"/>
      <c r="D100" s="374" t="n"/>
      <c r="E100" s="334" t="n"/>
      <c r="F100" s="322" t="n"/>
      <c r="G100" s="535" t="inlineStr">
        <is>
          <t>21 ก.ย.69</t>
        </is>
      </c>
      <c r="H100" s="543" t="inlineStr"/>
      <c r="I100" s="543" t="inlineStr"/>
      <c r="J100" s="543" t="inlineStr"/>
      <c r="K100" s="374" t="n"/>
      <c r="L100" s="334" t="inlineStr"/>
      <c r="M100" s="334" t="inlineStr"/>
      <c r="N100" s="334" t="inlineStr"/>
      <c r="O100" s="354">
        <f>M100*N100</f>
        <v/>
      </c>
      <c r="P100" s="334" t="inlineStr"/>
      <c r="Q100" s="334" t="inlineStr"/>
      <c r="R100" s="334" t="inlineStr"/>
      <c r="S100" s="354">
        <f>Q100*R100</f>
        <v/>
      </c>
      <c r="T100" t="inlineStr"/>
      <c r="U100" t="inlineStr"/>
    </row>
    <row r="101" ht="22.2" customHeight="1" s="375">
      <c r="A101" s="3" t="n"/>
      <c r="B101" s="313" t="n"/>
      <c r="D101" s="47" t="n"/>
      <c r="E101" s="314" t="n"/>
      <c r="F101" s="322" t="n"/>
      <c r="G101" s="325" t="inlineStr"/>
      <c r="H101" s="543" t="inlineStr"/>
      <c r="I101" s="543" t="inlineStr"/>
      <c r="J101" s="543" t="inlineStr"/>
      <c r="K101" s="374" t="n"/>
      <c r="L101" s="334" t="inlineStr"/>
      <c r="M101" s="334" t="inlineStr"/>
      <c r="N101" s="334" t="inlineStr"/>
      <c r="O101" s="354">
        <f>M101*N101</f>
        <v/>
      </c>
      <c r="P101" s="334" t="inlineStr"/>
      <c r="Q101" s="334" t="inlineStr"/>
      <c r="R101" s="334" t="inlineStr"/>
      <c r="S101" s="354">
        <f>Q101*R101</f>
        <v/>
      </c>
      <c r="T101" t="inlineStr"/>
      <c r="U101" t="inlineStr"/>
    </row>
    <row r="102" ht="22.2" customHeight="1" s="375">
      <c r="A102" s="3" t="n"/>
      <c r="B102" s="313" t="n"/>
      <c r="D102" s="61" t="n"/>
      <c r="E102" s="3" t="n"/>
      <c r="F102" s="322" t="n"/>
      <c r="G102" s="325" t="inlineStr"/>
      <c r="H102" s="544" t="inlineStr"/>
      <c r="I102" s="548" t="inlineStr"/>
      <c r="J102" s="548" t="inlineStr"/>
      <c r="K102" s="374" t="n"/>
      <c r="L102" s="334" t="inlineStr"/>
      <c r="M102" s="334" t="inlineStr"/>
      <c r="N102" s="334" t="inlineStr"/>
      <c r="O102" s="354">
        <f>M102*N102</f>
        <v/>
      </c>
      <c r="P102" s="334" t="inlineStr"/>
      <c r="Q102" s="334" t="inlineStr"/>
      <c r="R102" s="334" t="inlineStr"/>
      <c r="S102" s="354">
        <f>Q102*R102</f>
        <v/>
      </c>
      <c r="T102" t="inlineStr"/>
      <c r="U102" t="inlineStr"/>
    </row>
    <row r="103" ht="22.2" customHeight="1" s="375">
      <c r="A103" s="3" t="n"/>
      <c r="E103" s="3" t="n"/>
      <c r="G103" s="55" t="inlineStr"/>
      <c r="H103" s="545" t="inlineStr"/>
      <c r="I103" s="545" t="inlineStr"/>
      <c r="J103" s="545" t="inlineStr"/>
      <c r="K103" s="527" t="n"/>
      <c r="L103" s="334" t="inlineStr"/>
      <c r="M103" s="334" t="inlineStr"/>
      <c r="N103" s="334" t="inlineStr"/>
      <c r="O103" s="354">
        <f>M103*N103</f>
        <v/>
      </c>
      <c r="P103" s="334" t="inlineStr"/>
      <c r="Q103" s="334" t="inlineStr"/>
      <c r="R103" s="334" t="inlineStr"/>
      <c r="S103" s="354">
        <f>Q103*R103</f>
        <v/>
      </c>
      <c r="T103" t="inlineStr"/>
      <c r="U103" t="inlineStr"/>
    </row>
    <row r="104" ht="22.2" customHeight="1" s="375">
      <c r="A104" s="3" t="n"/>
      <c r="E104" s="3" t="n"/>
      <c r="G104" s="533" t="inlineStr">
        <is>
          <t>อังคาร</t>
        </is>
      </c>
      <c r="H104" s="381" t="inlineStr">
        <is>
          <t>20101-2008</t>
        </is>
      </c>
      <c r="I104" s="376" t="inlineStr">
        <is>
          <t>ชย.2/3 (26)</t>
        </is>
      </c>
      <c r="J104" s="381" t="inlineStr">
        <is>
          <t>08:10 - 12:10</t>
        </is>
      </c>
      <c r="K104" s="135" t="n"/>
      <c r="L104" s="176" t="n">
        <v>4</v>
      </c>
      <c r="M104" s="381" t="inlineStr"/>
      <c r="N104" s="381" t="inlineStr"/>
      <c r="O104" s="354" t="inlineStr"/>
      <c r="P104" s="381" t="inlineStr"/>
      <c r="Q104" s="367" t="inlineStr"/>
      <c r="R104" s="381" t="inlineStr"/>
      <c r="S104" s="354" t="inlineStr"/>
      <c r="T104" s="383" t="inlineStr"/>
    </row>
    <row r="105" ht="22.2" customHeight="1" s="375">
      <c r="A105" s="3" t="n"/>
      <c r="E105" s="3" t="n"/>
      <c r="G105" s="535" t="inlineStr">
        <is>
          <t>22 ก.ย.69</t>
        </is>
      </c>
      <c r="H105" s="376" t="inlineStr">
        <is>
          <t>20100-1005</t>
        </is>
      </c>
      <c r="I105" s="376" t="inlineStr">
        <is>
          <t>ชย.1/1 (26)</t>
        </is>
      </c>
      <c r="J105" s="376" t="inlineStr">
        <is>
          <t>13:10 - 17:10</t>
        </is>
      </c>
      <c r="K105" s="374" t="n"/>
      <c r="L105" s="334" t="n">
        <v>4</v>
      </c>
      <c r="M105" s="334" t="inlineStr"/>
      <c r="N105" s="334" t="inlineStr"/>
      <c r="O105" s="354" t="inlineStr"/>
      <c r="P105" s="334" t="inlineStr"/>
      <c r="Q105" s="334" t="inlineStr"/>
      <c r="R105" s="376" t="inlineStr"/>
      <c r="S105" s="354" t="inlineStr"/>
      <c r="T105" s="23" t="inlineStr"/>
      <c r="U105" s="23" t="inlineStr"/>
      <c r="V105" s="56" t="n"/>
      <c r="W105" s="23" t="n"/>
      <c r="X105" s="23" t="n"/>
    </row>
    <row r="106" ht="22.2" customHeight="1" s="375">
      <c r="A106" s="3" t="n"/>
      <c r="B106" s="313" t="n"/>
      <c r="D106" s="314" t="n"/>
      <c r="E106" s="314" t="n"/>
      <c r="G106" s="334" t="inlineStr"/>
      <c r="H106" s="376" t="inlineStr"/>
      <c r="I106" s="376" t="inlineStr"/>
      <c r="J106" s="376" t="inlineStr"/>
      <c r="K106" s="374" t="n"/>
      <c r="L106" s="334" t="inlineStr"/>
      <c r="M106" s="334" t="inlineStr"/>
      <c r="N106" s="334" t="inlineStr"/>
      <c r="O106" s="354" t="inlineStr"/>
      <c r="P106" s="334" t="inlineStr"/>
      <c r="Q106" s="334" t="inlineStr"/>
      <c r="R106" s="376" t="inlineStr"/>
      <c r="S106" s="354" t="inlineStr"/>
      <c r="T106" t="inlineStr"/>
      <c r="U106" t="inlineStr"/>
    </row>
    <row r="107" ht="22.2" customHeight="1" s="375">
      <c r="A107" s="3" t="n"/>
      <c r="B107" s="313" t="n"/>
      <c r="D107" s="314" t="n"/>
      <c r="E107" s="314" t="n"/>
      <c r="G107" s="54" t="inlineStr"/>
      <c r="H107" s="334" t="inlineStr"/>
      <c r="I107" s="334" t="inlineStr"/>
      <c r="J107" s="334" t="inlineStr"/>
      <c r="K107" s="374" t="n"/>
      <c r="L107" s="334" t="inlineStr"/>
      <c r="M107" s="334" t="inlineStr"/>
      <c r="N107" s="334" t="inlineStr"/>
      <c r="O107" s="354" t="inlineStr"/>
      <c r="P107" s="334" t="inlineStr"/>
      <c r="Q107" s="334" t="inlineStr"/>
      <c r="R107" s="334" t="inlineStr"/>
      <c r="S107" s="354" t="inlineStr"/>
      <c r="T107" t="inlineStr"/>
      <c r="U107" t="inlineStr"/>
    </row>
    <row r="108" ht="22.2" customHeight="1" s="375">
      <c r="A108" s="3" t="n"/>
      <c r="B108" s="313" t="n"/>
      <c r="E108" s="3" t="n"/>
      <c r="G108" s="55" t="inlineStr"/>
      <c r="H108" s="336" t="inlineStr"/>
      <c r="I108" s="336" t="inlineStr"/>
      <c r="J108" s="336" t="inlineStr"/>
      <c r="K108" s="527" t="n"/>
      <c r="L108" s="334" t="inlineStr"/>
      <c r="M108" s="334" t="inlineStr"/>
      <c r="N108" s="334" t="inlineStr"/>
      <c r="O108" s="354" t="inlineStr"/>
      <c r="P108" s="334" t="inlineStr"/>
      <c r="Q108" s="334" t="inlineStr"/>
      <c r="R108" s="334" t="inlineStr"/>
      <c r="S108" s="354" t="inlineStr"/>
      <c r="T108" t="inlineStr"/>
      <c r="U108" t="inlineStr"/>
    </row>
    <row r="109" ht="22.2" customHeight="1" s="375">
      <c r="A109" s="3" t="n"/>
      <c r="E109" s="3" t="n"/>
      <c r="G109" s="535" t="inlineStr">
        <is>
          <t>พุธ</t>
        </is>
      </c>
      <c r="H109" s="381" t="inlineStr">
        <is>
          <t>20100-1005</t>
        </is>
      </c>
      <c r="I109" s="376" t="inlineStr">
        <is>
          <t>ชย.1/4 (26)</t>
        </is>
      </c>
      <c r="J109" s="381" t="inlineStr">
        <is>
          <t>08:10 - 12:10</t>
        </is>
      </c>
      <c r="K109" s="135" t="n"/>
      <c r="L109" s="367" t="n">
        <v>3</v>
      </c>
      <c r="M109" s="381" t="n">
        <v>1</v>
      </c>
      <c r="N109" s="381" t="n">
        <v>200</v>
      </c>
      <c r="O109" s="354">
        <f>M109*N109</f>
        <v/>
      </c>
      <c r="P109" s="381" t="inlineStr"/>
      <c r="Q109" s="367" t="inlineStr"/>
      <c r="R109" s="381" t="inlineStr"/>
      <c r="S109" s="354" t="inlineStr"/>
      <c r="T109" t="inlineStr"/>
      <c r="U109" t="inlineStr"/>
    </row>
    <row r="110" ht="22.2" customHeight="1" s="375">
      <c r="A110" s="3" t="n"/>
      <c r="E110" s="3" t="n"/>
      <c r="G110" s="535" t="inlineStr">
        <is>
          <t>23 ก.ย.69</t>
        </is>
      </c>
      <c r="H110" s="376" t="inlineStr">
        <is>
          <t>20143-2015</t>
        </is>
      </c>
      <c r="I110" s="376" t="inlineStr">
        <is>
          <t>ชยฟ.3/1 (26)</t>
        </is>
      </c>
      <c r="J110" s="334" t="inlineStr">
        <is>
          <t>13:10 - 17:10</t>
        </is>
      </c>
      <c r="K110" s="374" t="n"/>
      <c r="L110" s="334" t="inlineStr"/>
      <c r="M110" s="334" t="n">
        <v>4</v>
      </c>
      <c r="N110" s="334" t="n">
        <v>200</v>
      </c>
      <c r="O110" s="354">
        <f>M110*N110</f>
        <v/>
      </c>
      <c r="P110" s="334" t="inlineStr"/>
      <c r="Q110" s="334" t="inlineStr"/>
      <c r="R110" s="334" t="inlineStr"/>
      <c r="S110" s="354" t="inlineStr"/>
      <c r="T110" t="inlineStr"/>
      <c r="U110" t="inlineStr"/>
    </row>
    <row r="111" ht="22.2" customHeight="1" s="375">
      <c r="A111" s="3" t="n"/>
      <c r="E111" s="3" t="n"/>
      <c r="G111" s="334" t="inlineStr"/>
      <c r="H111" s="376" t="inlineStr"/>
      <c r="I111" s="376" t="inlineStr"/>
      <c r="J111" s="376" t="inlineStr"/>
      <c r="K111" s="374" t="n"/>
      <c r="L111" s="334" t="inlineStr"/>
      <c r="M111" s="334" t="inlineStr"/>
      <c r="N111" s="334" t="inlineStr"/>
      <c r="O111" s="354" t="inlineStr"/>
      <c r="P111" s="334" t="inlineStr"/>
      <c r="Q111" s="334" t="inlineStr"/>
      <c r="R111" s="334" t="inlineStr"/>
      <c r="S111" s="354" t="inlineStr"/>
      <c r="T111" t="inlineStr"/>
      <c r="U111" t="inlineStr"/>
    </row>
    <row r="112" ht="22.2" customHeight="1" s="375">
      <c r="A112" s="3" t="n"/>
      <c r="B112" s="313" t="n"/>
      <c r="D112" s="314" t="n"/>
      <c r="E112" s="314" t="n"/>
      <c r="G112" s="321" t="inlineStr"/>
      <c r="H112" s="334" t="inlineStr"/>
      <c r="I112" s="376" t="inlineStr"/>
      <c r="J112" s="334" t="inlineStr"/>
      <c r="K112" s="374" t="n"/>
      <c r="L112" s="334" t="inlineStr"/>
      <c r="M112" s="334" t="inlineStr"/>
      <c r="N112" s="334" t="inlineStr"/>
      <c r="O112" s="354" t="inlineStr"/>
      <c r="P112" s="334" t="inlineStr"/>
      <c r="Q112" s="334" t="inlineStr"/>
      <c r="R112" s="334" t="inlineStr"/>
      <c r="S112" s="354" t="inlineStr"/>
      <c r="T112" t="inlineStr"/>
      <c r="U112" t="inlineStr"/>
    </row>
    <row r="113" ht="22.2" customHeight="1" s="375">
      <c r="A113" s="3" t="n"/>
      <c r="E113" s="3" t="n"/>
      <c r="G113" s="327" t="inlineStr"/>
      <c r="H113" s="336" t="inlineStr"/>
      <c r="I113" s="336" t="inlineStr"/>
      <c r="J113" s="336" t="inlineStr"/>
      <c r="K113" s="527" t="n"/>
      <c r="L113" s="336" t="inlineStr"/>
      <c r="M113" s="336" t="inlineStr"/>
      <c r="N113" s="336" t="inlineStr"/>
      <c r="O113" s="354" t="inlineStr"/>
      <c r="P113" s="336" t="inlineStr"/>
      <c r="Q113" s="336" t="inlineStr"/>
      <c r="R113" s="336" t="inlineStr"/>
      <c r="S113" s="354" t="inlineStr"/>
      <c r="T113" t="inlineStr"/>
      <c r="U113" t="inlineStr"/>
    </row>
    <row r="114" ht="22.2" customHeight="1" s="375">
      <c r="A114" s="3" t="n"/>
      <c r="D114" s="7" t="inlineStr">
        <is>
          <t> </t>
        </is>
      </c>
      <c r="E114" s="3" t="n"/>
      <c r="G114" s="533" t="inlineStr">
        <is>
          <t>พฤหัส</t>
        </is>
      </c>
      <c r="H114" s="381" t="inlineStr">
        <is>
          <t>20101-2003</t>
        </is>
      </c>
      <c r="I114" s="376" t="inlineStr">
        <is>
          <t>ชย.1/4 (26)</t>
        </is>
      </c>
      <c r="J114" s="381" t="inlineStr">
        <is>
          <t>08:10 - 12:10</t>
        </is>
      </c>
      <c r="K114" s="135" t="n"/>
      <c r="L114" s="334" t="inlineStr"/>
      <c r="M114" s="334" t="n">
        <v>4</v>
      </c>
      <c r="N114" s="334" t="n">
        <v>200</v>
      </c>
      <c r="O114" s="354">
        <f>M114*N114</f>
        <v/>
      </c>
      <c r="P114" s="334" t="inlineStr"/>
      <c r="Q114" s="362" t="inlineStr"/>
      <c r="R114" s="362" t="inlineStr"/>
      <c r="S114" s="354" t="inlineStr"/>
      <c r="T114" s="383" t="inlineStr"/>
    </row>
    <row r="115" ht="22.2" customHeight="1" s="375">
      <c r="A115" s="3" t="n"/>
      <c r="E115" s="3" t="n"/>
      <c r="G115" s="535" t="inlineStr">
        <is>
          <t>24 ก.ย.69</t>
        </is>
      </c>
      <c r="H115" s="376" t="inlineStr">
        <is>
          <t>20000-2004</t>
        </is>
      </c>
      <c r="I115" s="376" t="inlineStr">
        <is>
          <t>ชย.2/7,ชย.2/8,ชย.ทวิ 2/9 (26)</t>
        </is>
      </c>
      <c r="J115" s="376" t="inlineStr">
        <is>
          <t>13:10 - 15:10</t>
        </is>
      </c>
      <c r="K115" s="374" t="n"/>
      <c r="L115" s="323" t="n">
        <v>2</v>
      </c>
      <c r="M115" s="334" t="inlineStr"/>
      <c r="N115" s="334" t="inlineStr"/>
      <c r="O115" s="354" t="inlineStr"/>
      <c r="P115" s="334" t="inlineStr"/>
      <c r="Q115" s="334" t="inlineStr"/>
      <c r="R115" s="334" t="inlineStr"/>
      <c r="S115" s="354" t="inlineStr"/>
      <c r="T115" s="23" t="inlineStr"/>
      <c r="U115" s="23" t="inlineStr"/>
      <c r="V115" s="56" t="n"/>
      <c r="W115" s="23" t="n"/>
      <c r="X115" s="23" t="n"/>
    </row>
    <row r="116" ht="22.2" customHeight="1" s="375">
      <c r="A116" s="3" t="n"/>
      <c r="B116" s="313" t="n"/>
      <c r="E116" s="3" t="n"/>
      <c r="G116" s="334" t="inlineStr"/>
      <c r="H116" s="376" t="inlineStr">
        <is>
          <t>20101-2003</t>
        </is>
      </c>
      <c r="I116" s="376" t="inlineStr">
        <is>
          <t>ชย.1/4 (26)</t>
        </is>
      </c>
      <c r="J116" s="376" t="inlineStr">
        <is>
          <t>15:10 - 18:10</t>
        </is>
      </c>
      <c r="K116" s="374" t="n"/>
      <c r="L116" s="376" t="inlineStr"/>
      <c r="M116" s="376" t="n">
        <v>3</v>
      </c>
      <c r="N116" s="376" t="n">
        <v>200</v>
      </c>
      <c r="O116" s="354">
        <f>M116*N116</f>
        <v/>
      </c>
      <c r="P116" s="376" t="inlineStr"/>
      <c r="Q116" s="376" t="inlineStr"/>
      <c r="R116" s="376" t="inlineStr"/>
      <c r="S116" s="354" t="inlineStr"/>
      <c r="T116" t="inlineStr"/>
      <c r="U116" t="inlineStr"/>
    </row>
    <row r="117" ht="22.2" customHeight="1" s="375">
      <c r="A117" s="3" t="n"/>
      <c r="E117" s="3" t="n"/>
      <c r="G117" s="334" t="inlineStr"/>
      <c r="H117" s="334" t="inlineStr"/>
      <c r="I117" s="334" t="inlineStr"/>
      <c r="J117" s="334" t="inlineStr"/>
      <c r="K117" s="374" t="n"/>
      <c r="L117" s="334" t="inlineStr"/>
      <c r="M117" s="334" t="inlineStr"/>
      <c r="N117" s="334" t="inlineStr"/>
      <c r="O117" s="354" t="inlineStr"/>
      <c r="P117" s="334" t="inlineStr"/>
      <c r="Q117" s="334" t="inlineStr"/>
      <c r="R117" s="334" t="inlineStr"/>
      <c r="S117" s="354" t="inlineStr"/>
      <c r="T117" t="inlineStr"/>
      <c r="U117" t="inlineStr"/>
    </row>
    <row r="118" ht="22.2" customHeight="1" s="375">
      <c r="A118" s="3" t="n"/>
      <c r="E118" s="3" t="n"/>
      <c r="G118" s="336" t="inlineStr"/>
      <c r="H118" s="328" t="inlineStr"/>
      <c r="I118" s="336" t="inlineStr"/>
      <c r="J118" s="336" t="inlineStr"/>
      <c r="K118" s="527" t="n"/>
      <c r="L118" s="336" t="inlineStr"/>
      <c r="M118" s="336" t="inlineStr"/>
      <c r="N118" s="336" t="inlineStr"/>
      <c r="O118" s="354" t="inlineStr"/>
      <c r="P118" s="336" t="inlineStr"/>
      <c r="Q118" s="336" t="inlineStr"/>
      <c r="R118" s="336" t="inlineStr"/>
      <c r="S118" s="354" t="inlineStr"/>
      <c r="T118" t="inlineStr"/>
      <c r="U118" t="inlineStr"/>
    </row>
    <row r="119" ht="22.2" customHeight="1" s="375">
      <c r="A119" s="3" t="n"/>
      <c r="E119" s="3" t="n"/>
      <c r="G119" s="533" t="inlineStr">
        <is>
          <t>ศุกร์</t>
        </is>
      </c>
      <c r="H119" s="381" t="inlineStr"/>
      <c r="I119" s="376" t="inlineStr"/>
      <c r="J119" s="376" t="inlineStr"/>
      <c r="K119" s="374" t="n"/>
      <c r="L119" s="381" t="inlineStr"/>
      <c r="M119" s="362" t="inlineStr"/>
      <c r="N119" s="362" t="inlineStr"/>
      <c r="O119" s="354" t="inlineStr"/>
      <c r="P119" s="381" t="inlineStr"/>
      <c r="Q119" s="381" t="inlineStr"/>
      <c r="R119" s="381" t="inlineStr"/>
      <c r="S119" s="354" t="inlineStr"/>
      <c r="T119" t="inlineStr"/>
      <c r="U119" t="inlineStr"/>
    </row>
    <row r="120" ht="22.2" customHeight="1" s="375">
      <c r="A120" s="3" t="n"/>
      <c r="E120" s="3" t="n"/>
      <c r="G120" s="535" t="inlineStr">
        <is>
          <t>25 ก.ย.69</t>
        </is>
      </c>
      <c r="H120" s="376" t="inlineStr"/>
      <c r="I120" s="376" t="inlineStr"/>
      <c r="J120" s="376" t="inlineStr"/>
      <c r="K120" s="374" t="n"/>
      <c r="L120" s="334" t="inlineStr"/>
      <c r="M120" s="334" t="inlineStr"/>
      <c r="N120" s="334" t="inlineStr"/>
      <c r="O120" s="354" t="inlineStr"/>
      <c r="P120" s="334" t="inlineStr"/>
      <c r="Q120" s="334" t="inlineStr"/>
      <c r="R120" s="334" t="inlineStr"/>
      <c r="S120" s="354" t="inlineStr"/>
      <c r="T120" t="inlineStr"/>
      <c r="U120" t="inlineStr"/>
    </row>
    <row r="121" ht="22.2" customHeight="1" s="375">
      <c r="A121" s="3" t="n"/>
      <c r="E121" s="3" t="n"/>
      <c r="G121" s="334" t="inlineStr"/>
      <c r="H121" s="376" t="inlineStr"/>
      <c r="I121" s="376" t="inlineStr"/>
      <c r="J121" s="376" t="inlineStr"/>
      <c r="K121" s="374" t="n"/>
      <c r="L121" s="334" t="inlineStr"/>
      <c r="M121" s="334" t="inlineStr"/>
      <c r="N121" s="334" t="inlineStr"/>
      <c r="O121" s="354" t="inlineStr"/>
      <c r="P121" s="334" t="inlineStr"/>
      <c r="Q121" s="334" t="inlineStr"/>
      <c r="R121" s="334" t="inlineStr"/>
      <c r="S121" s="354" t="inlineStr"/>
      <c r="T121" t="inlineStr"/>
      <c r="U121" t="inlineStr"/>
    </row>
    <row r="122" ht="22.2" customHeight="1" s="375">
      <c r="A122" s="3" t="n"/>
      <c r="E122" s="3" t="n"/>
      <c r="G122" s="334" t="inlineStr"/>
      <c r="H122" s="334" t="inlineStr"/>
      <c r="I122" s="334" t="inlineStr"/>
      <c r="J122" s="323" t="inlineStr"/>
      <c r="K122" s="374" t="n"/>
      <c r="L122" s="334" t="inlineStr"/>
      <c r="M122" s="334" t="inlineStr"/>
      <c r="N122" s="334" t="inlineStr"/>
      <c r="O122" s="354" t="inlineStr"/>
      <c r="P122" s="334" t="inlineStr"/>
      <c r="Q122" s="334" t="inlineStr"/>
      <c r="R122" s="334" t="inlineStr"/>
      <c r="S122" s="354" t="inlineStr"/>
      <c r="T122" t="inlineStr"/>
      <c r="U122" t="inlineStr"/>
    </row>
    <row r="123" ht="22.2" customHeight="1" s="375">
      <c r="A123" s="3" t="n"/>
      <c r="E123" s="3" t="n"/>
      <c r="F123" s="3" t="n"/>
      <c r="G123" s="329" t="inlineStr"/>
      <c r="H123" s="336" t="inlineStr"/>
      <c r="I123" s="336" t="inlineStr"/>
      <c r="J123" s="336" t="inlineStr"/>
      <c r="K123" s="527" t="n"/>
      <c r="L123" s="336" t="inlineStr"/>
      <c r="M123" s="336" t="inlineStr"/>
      <c r="N123" s="336" t="inlineStr"/>
      <c r="O123" s="354" t="inlineStr"/>
      <c r="P123" s="336" t="inlineStr"/>
      <c r="Q123" s="336" t="inlineStr"/>
      <c r="R123" s="336" t="inlineStr"/>
      <c r="S123" s="354" t="inlineStr"/>
      <c r="T123" t="inlineStr"/>
      <c r="U123" t="inlineStr"/>
    </row>
    <row r="124" ht="22.2" customHeight="1" s="375">
      <c r="A124" s="3" t="n"/>
      <c r="E124" s="3" t="n"/>
      <c r="F124" s="3" t="n"/>
      <c r="G124" s="16" t="inlineStr">
        <is>
          <t>รวมขั่วโมงที่สอนแยก ภาระงาน/ เกินภาระงาน</t>
        </is>
      </c>
      <c r="H124" s="518" t="n"/>
      <c r="I124" s="518" t="n"/>
      <c r="J124" s="518" t="n"/>
      <c r="K124" s="432" t="n"/>
      <c r="L124" s="16">
        <f>SUM(L99:L123)</f>
        <v/>
      </c>
      <c r="M124" s="16">
        <f>SUM(M99:M123)</f>
        <v/>
      </c>
      <c r="N124" s="16" t="n"/>
      <c r="O124" s="16" t="n"/>
      <c r="P124" s="16">
        <f>SUM(P99:P123)</f>
        <v/>
      </c>
      <c r="Q124" s="16">
        <f>SUM(Q99:Q123)</f>
        <v/>
      </c>
      <c r="R124" s="349" t="n"/>
      <c r="S124" s="16" t="n"/>
    </row>
    <row r="125" ht="22.2" customHeight="1" s="375">
      <c r="A125" s="3" t="n"/>
      <c r="E125" s="3" t="n"/>
      <c r="F125" s="3" t="n"/>
      <c r="G125" s="16" t="inlineStr">
        <is>
          <t>รวมจำนวนชั่วโมงสอนคาบต่อสับดาห์</t>
        </is>
      </c>
      <c r="H125" s="518" t="n"/>
      <c r="I125" s="518" t="n"/>
      <c r="J125" s="518" t="n"/>
      <c r="K125" s="432" t="n"/>
      <c r="L125" s="16">
        <f>L124+M124</f>
        <v/>
      </c>
      <c r="M125" s="432" t="n"/>
      <c r="N125" s="348" t="n"/>
      <c r="O125" s="16" t="n"/>
      <c r="P125" s="16">
        <f>P124+Q124</f>
        <v/>
      </c>
      <c r="Q125" s="432" t="n"/>
      <c r="R125" s="329" t="n"/>
      <c r="S125" s="336" t="n"/>
    </row>
    <row r="126" ht="22.2" customHeight="1" s="375">
      <c r="A126" s="3" t="n"/>
      <c r="E126" s="3" t="n"/>
      <c r="F126" s="3" t="n"/>
      <c r="G126" s="16" t="inlineStr">
        <is>
          <t>จำนวนชั่วโมงสอนตามภาระงานสอน</t>
        </is>
      </c>
      <c r="H126" s="518" t="n"/>
      <c r="I126" s="518" t="n"/>
      <c r="J126" s="518" t="n"/>
      <c r="K126" s="432" t="n"/>
      <c r="L126" s="16" t="n">
        <v>18</v>
      </c>
      <c r="M126" s="432" t="n"/>
      <c r="N126" s="16" t="n"/>
      <c r="O126" s="348" t="n"/>
      <c r="P126" s="131" t="n">
        <v>0</v>
      </c>
      <c r="Q126" s="432" t="n"/>
      <c r="R126" s="322" t="n"/>
      <c r="S126" s="334" t="n"/>
    </row>
    <row r="127" ht="22.2" customHeight="1" s="375" thickBot="1">
      <c r="A127" s="3" t="n"/>
      <c r="E127" s="3" t="n"/>
      <c r="F127" s="14" t="n"/>
      <c r="G127" s="16" t="inlineStr">
        <is>
          <t>จำนวนชั่วโมงบิกเกินภาระงานสอน/ค่าสอน</t>
        </is>
      </c>
      <c r="H127" s="518" t="n"/>
      <c r="I127" s="518" t="n"/>
      <c r="J127" s="518" t="n"/>
      <c r="K127" s="432" t="n"/>
      <c r="L127" s="17" t="n">
        <v>0</v>
      </c>
      <c r="M127" s="17">
        <f>SUM(M99:M123)</f>
        <v/>
      </c>
      <c r="N127" s="17" t="n"/>
      <c r="O127" s="17">
        <f>SUM(O99:O123)</f>
        <v/>
      </c>
      <c r="P127" s="17" t="n">
        <v>0</v>
      </c>
      <c r="Q127" s="17">
        <f>SUM(Q99:Q123)</f>
        <v/>
      </c>
      <c r="R127" s="18" t="n"/>
      <c r="S127" s="17">
        <f>SUM(S99:S123)</f>
        <v/>
      </c>
    </row>
    <row r="128" ht="22.2" customHeight="1" s="375" thickTop="1">
      <c r="A128" s="337" t="inlineStr">
        <is>
          <t>รวมจำนวนหน่วยชั่วโมงที่ขอเบิกค่าสอน ….</t>
        </is>
      </c>
      <c r="B128" s="518" t="n"/>
      <c r="C128" s="518" t="n"/>
      <c r="D128" s="518" t="n"/>
      <c r="E128" s="518" t="n"/>
      <c r="F128" s="518" t="n"/>
      <c r="G128" s="518" t="n"/>
      <c r="H128" s="348">
        <f>M127+Q127</f>
        <v/>
      </c>
      <c r="I128" s="348" t="inlineStr">
        <is>
          <t>….ชั่วโมง</t>
        </is>
      </c>
      <c r="J128" s="348" t="n"/>
      <c r="K128" s="328" t="inlineStr">
        <is>
          <t>ยอดเงินรวม</t>
        </is>
      </c>
      <c r="L128" s="522" t="n"/>
      <c r="M128" s="522" t="n"/>
      <c r="N128" s="328" t="n"/>
      <c r="O128" s="328" t="n"/>
      <c r="P128" s="339">
        <f>S127+O127</f>
        <v/>
      </c>
      <c r="Q128" s="538" t="n"/>
      <c r="R128" s="20" t="n"/>
      <c r="S128" s="19" t="inlineStr">
        <is>
          <t>..บาท</t>
        </is>
      </c>
    </row>
    <row r="129" ht="22.2" customHeight="1" s="375">
      <c r="A129" s="154" t="inlineStr">
        <is>
          <t>ผู้ขอเบิก</t>
        </is>
      </c>
      <c r="B129" s="153" t="n"/>
      <c r="C129" s="153" t="n"/>
      <c r="D129" s="153" t="n"/>
      <c r="E129" s="153" t="n"/>
      <c r="F129" s="153" t="n"/>
      <c r="G129" s="135" t="n"/>
      <c r="H129" s="154" t="inlineStr">
        <is>
          <t>ผู้รับรอง</t>
        </is>
      </c>
      <c r="I129" s="153" t="n"/>
      <c r="J129" s="153" t="n"/>
      <c r="K129" s="153" t="n"/>
      <c r="L129" s="135" t="n"/>
      <c r="M129" s="154" t="inlineStr">
        <is>
          <t>ผู้ตรวจ</t>
        </is>
      </c>
      <c r="N129" s="153" t="n"/>
      <c r="O129" s="153" t="n"/>
      <c r="P129" s="153" t="n"/>
      <c r="Q129" s="153" t="n"/>
      <c r="R129" s="153" t="n"/>
      <c r="S129" s="135" t="n"/>
    </row>
    <row r="130" ht="22.2" customHeight="1" s="375">
      <c r="A130" s="334" t="inlineStr">
        <is>
          <t>ลงชื่อ……………………………………………</t>
        </is>
      </c>
      <c r="G130" s="374" t="n"/>
      <c r="H130" s="334" t="inlineStr">
        <is>
          <t>ลงชื่อ……………………………………………</t>
        </is>
      </c>
      <c r="L130" s="374" t="n"/>
      <c r="M130" s="334" t="inlineStr">
        <is>
          <t>ลงชื่อ……………………………………………</t>
        </is>
      </c>
      <c r="S130" s="374" t="n"/>
    </row>
    <row r="131" ht="22.2" customHeight="1" s="375">
      <c r="A131" s="11" t="inlineStr">
        <is>
          <t>(</t>
        </is>
      </c>
      <c r="B131" s="324">
        <f>B99</f>
        <v/>
      </c>
      <c r="G131" s="326" t="inlineStr">
        <is>
          <t>)</t>
        </is>
      </c>
      <c r="H131" s="324" t="inlineStr">
        <is>
          <t>(</t>
        </is>
      </c>
      <c r="I131" s="340">
        <f>I85</f>
        <v/>
      </c>
      <c r="L131" s="12" t="inlineStr">
        <is>
          <t>)</t>
        </is>
      </c>
      <c r="M131" s="53" t="inlineStr">
        <is>
          <t>(</t>
        </is>
      </c>
      <c r="N131" s="53" t="n"/>
      <c r="O131" s="324">
        <f>O39</f>
        <v/>
      </c>
      <c r="R131" s="25" t="n"/>
      <c r="S131" s="326" t="inlineStr">
        <is>
          <t>)</t>
        </is>
      </c>
    </row>
    <row r="132" ht="22.2" customHeight="1" s="375">
      <c r="A132" s="540" t="inlineStr">
        <is>
          <t xml:space="preserve">                         ตำแหน่ง  ครู</t>
        </is>
      </c>
      <c r="G132" s="374" t="n"/>
      <c r="H132" s="54" t="inlineStr">
        <is>
          <t>ตำแหน่ง หัวหน้าแผนก</t>
        </is>
      </c>
      <c r="L132" s="374" t="n"/>
      <c r="M132" s="54" t="inlineStr">
        <is>
          <t>ตำแหน่ง   ผู้ตรวจสอบ</t>
        </is>
      </c>
      <c r="S132" s="374" t="n"/>
    </row>
    <row r="133" ht="22.2" customHeight="1" s="375">
      <c r="A133" s="55" t="inlineStr">
        <is>
          <t>วันที่ 28 เดือน กันยายน  พ.ศ.2569</t>
        </is>
      </c>
      <c r="B133" s="522" t="n"/>
      <c r="C133" s="522" t="n"/>
      <c r="D133" s="522" t="n"/>
      <c r="E133" s="522" t="n"/>
      <c r="F133" s="522" t="n"/>
      <c r="G133" s="527" t="n"/>
      <c r="H133" s="54">
        <f>A41</f>
        <v/>
      </c>
      <c r="L133" s="374" t="n"/>
      <c r="M133" s="55">
        <f>A41</f>
        <v/>
      </c>
      <c r="N133" s="522" t="n"/>
      <c r="O133" s="522" t="n"/>
      <c r="P133" s="522" t="n"/>
      <c r="Q133" s="522" t="n"/>
      <c r="R133" s="522" t="n"/>
      <c r="S133" s="527" t="n"/>
    </row>
    <row r="134" ht="22.2" customHeight="1" s="375">
      <c r="A134" s="154" t="inlineStr">
        <is>
          <t>ผู้ตรวจ</t>
        </is>
      </c>
      <c r="B134" s="153" t="n"/>
      <c r="C134" s="153" t="n"/>
      <c r="D134" s="153" t="n"/>
      <c r="E134" s="153" t="n"/>
      <c r="F134" s="153" t="n"/>
      <c r="G134" s="153" t="n"/>
      <c r="H134" s="153" t="n"/>
      <c r="I134" s="135" t="n"/>
      <c r="J134" s="154" t="inlineStr">
        <is>
          <t>ผู้เห็นชอบ</t>
        </is>
      </c>
      <c r="K134" s="153" t="n"/>
      <c r="L134" s="153" t="n"/>
      <c r="M134" s="153" t="n"/>
      <c r="N134" s="153" t="n"/>
      <c r="O134" s="153" t="n"/>
      <c r="P134" s="153" t="n"/>
      <c r="Q134" s="153" t="n"/>
      <c r="R134" s="153" t="n"/>
      <c r="S134" s="135" t="n"/>
    </row>
    <row r="135" ht="22.2" customHeight="1" s="375">
      <c r="A135" s="334" t="inlineStr">
        <is>
          <t>ลงชื่อ……………………………………………</t>
        </is>
      </c>
      <c r="I135" s="374" t="n"/>
      <c r="J135" s="334" t="inlineStr">
        <is>
          <t>ลงชื่อ……………………………………………</t>
        </is>
      </c>
      <c r="S135" s="374" t="n"/>
    </row>
    <row r="136" ht="22.2" customHeight="1" s="375">
      <c r="A136" s="11" t="n"/>
      <c r="B136" s="324">
        <f>B44</f>
        <v/>
      </c>
      <c r="I136" s="326" t="n"/>
      <c r="J136" s="25" t="n"/>
      <c r="K136" s="25" t="n"/>
      <c r="L136" s="324">
        <f>L44</f>
        <v/>
      </c>
      <c r="R136" s="25" t="n"/>
      <c r="S136" s="12" t="n"/>
    </row>
    <row r="137" ht="22.2" customHeight="1" s="375">
      <c r="A137" s="54" t="inlineStr">
        <is>
          <t>ตำแหน่งครู  หัวหน้างานพัฒนาหลักสูตร ฯ</t>
        </is>
      </c>
      <c r="I137" s="374" t="n"/>
      <c r="J137" s="54" t="inlineStr">
        <is>
          <t>ตำแหน่ง  รองผู้อำนวยการฝ่ายวิชาการ</t>
        </is>
      </c>
      <c r="S137" s="374" t="n"/>
    </row>
    <row r="138" ht="22.2" customHeight="1" s="375">
      <c r="A138" s="336" t="inlineStr">
        <is>
          <t>วันที่.......เดือน..........................พ.ศ..............</t>
        </is>
      </c>
      <c r="B138" s="522" t="n"/>
      <c r="C138" s="522" t="n"/>
      <c r="D138" s="522" t="n"/>
      <c r="E138" s="522" t="n"/>
      <c r="F138" s="522" t="n"/>
      <c r="G138" s="522" t="n"/>
      <c r="H138" s="522" t="n"/>
      <c r="I138" s="527" t="n"/>
      <c r="J138" s="336" t="inlineStr">
        <is>
          <t>วันที่.......เดือน..........................พ.ศ..............</t>
        </is>
      </c>
      <c r="K138" s="522" t="n"/>
      <c r="L138" s="522" t="n"/>
      <c r="M138" s="522" t="n"/>
      <c r="N138" s="522" t="n"/>
      <c r="O138" s="522" t="n"/>
      <c r="P138" s="522" t="n"/>
      <c r="Q138" s="522" t="n"/>
      <c r="R138" s="522" t="n"/>
      <c r="S138" s="527" t="n"/>
    </row>
    <row r="139" ht="22.2" customHeight="1" s="375">
      <c r="A139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75">
      <c r="A140" s="365" t="inlineStr">
        <is>
          <t>แผนกวิชาช่างยนต์</t>
        </is>
      </c>
    </row>
    <row r="141" ht="22.2" customHeight="1" s="375">
      <c r="A141" s="366" t="inlineStr">
        <is>
          <t xml:space="preserve">    ระหว่างวันที่</t>
        </is>
      </c>
      <c r="D141" s="365">
        <f>D3</f>
        <v/>
      </c>
      <c r="E141" s="365" t="inlineStr">
        <is>
          <t xml:space="preserve">   เดือน  </t>
        </is>
      </c>
      <c r="F141" s="365">
        <f>F3</f>
        <v/>
      </c>
      <c r="H141" s="365">
        <f>H3</f>
        <v/>
      </c>
      <c r="I141" s="365" t="inlineStr">
        <is>
          <t xml:space="preserve">     ถึง วันที่</t>
        </is>
      </c>
      <c r="J141" s="365">
        <f>J3</f>
        <v/>
      </c>
      <c r="K141" s="365" t="inlineStr">
        <is>
          <t xml:space="preserve">   เดือน </t>
        </is>
      </c>
      <c r="L141" s="365">
        <f>L3</f>
        <v/>
      </c>
      <c r="N141" s="365">
        <f>N3</f>
        <v/>
      </c>
      <c r="P141" s="365" t="n"/>
      <c r="R141" s="365" t="n"/>
    </row>
    <row r="142" ht="22.2" customHeight="1" s="375">
      <c r="G142" s="51" t="inlineStr">
        <is>
          <t>ü</t>
        </is>
      </c>
      <c r="H142" s="351" t="inlineStr">
        <is>
          <t>ครู</t>
        </is>
      </c>
      <c r="I142" s="322" t="inlineStr">
        <is>
          <t>หน้าที่พิเศษ</t>
        </is>
      </c>
      <c r="J142" t="inlineStr">
        <is>
          <t>รหัสวิชา</t>
        </is>
      </c>
    </row>
    <row r="143" ht="22.2" customHeight="1" s="375">
      <c r="A143" s="24" t="inlineStr">
        <is>
          <t>ที่</t>
        </is>
      </c>
      <c r="B143" s="24" t="inlineStr">
        <is>
          <t>ชื่อ-สกุล</t>
        </is>
      </c>
      <c r="C143" s="153" t="n"/>
      <c r="D143" s="135" t="n"/>
      <c r="E143" s="15" t="inlineStr">
        <is>
          <t>ตำแหน่ง</t>
        </is>
      </c>
      <c r="F143" s="16" t="inlineStr">
        <is>
          <t>ระยะเวลาที่สอน</t>
        </is>
      </c>
      <c r="G143" s="432" t="n"/>
      <c r="H143" s="16" t="inlineStr">
        <is>
          <t>รหัสวิชา</t>
        </is>
      </c>
      <c r="I143" s="362" t="inlineStr">
        <is>
          <t>ชั้น,แผนก,ห้อง</t>
        </is>
      </c>
      <c r="J143" s="16" t="inlineStr">
        <is>
          <t>เวลาสอน</t>
        </is>
      </c>
      <c r="K143" s="135" t="n"/>
      <c r="L143" s="16" t="inlineStr">
        <is>
          <t>ปวช.(คาบ)</t>
        </is>
      </c>
      <c r="M143" s="432" t="n"/>
      <c r="N143" s="354" t="inlineStr">
        <is>
          <t>เงิน</t>
        </is>
      </c>
      <c r="O143" s="362" t="inlineStr">
        <is>
          <t>ยอดเงิน</t>
        </is>
      </c>
      <c r="P143" s="524" t="inlineStr">
        <is>
          <t>ปวส.(คาบ)</t>
        </is>
      </c>
      <c r="Q143" s="432" t="n"/>
      <c r="R143" s="354" t="inlineStr">
        <is>
          <t>เงิน</t>
        </is>
      </c>
      <c r="S143" s="362" t="inlineStr">
        <is>
          <t>ยอดเงิน</t>
        </is>
      </c>
    </row>
    <row r="144" ht="22.2" customHeight="1" s="375">
      <c r="A144" s="52" t="n"/>
      <c r="B144" s="8" t="n"/>
      <c r="C144" s="9" t="n"/>
      <c r="D144" s="13" t="n"/>
      <c r="E144" s="10" t="n"/>
      <c r="F144" s="336" t="inlineStr">
        <is>
          <t>ส.</t>
        </is>
      </c>
      <c r="G144" s="336" t="inlineStr">
        <is>
          <t>วดป.</t>
        </is>
      </c>
      <c r="H144" s="525" t="n"/>
      <c r="I144" s="336" t="n"/>
      <c r="J144" s="526" t="n"/>
      <c r="K144" s="527" t="n"/>
      <c r="L144" s="336" t="inlineStr">
        <is>
          <t>ใน</t>
        </is>
      </c>
      <c r="M144" s="336" t="inlineStr">
        <is>
          <t>นอก</t>
        </is>
      </c>
      <c r="N144" s="336" t="inlineStr">
        <is>
          <t>ต่อ ชม.</t>
        </is>
      </c>
      <c r="O144" s="336" t="inlineStr">
        <is>
          <t>(บาท)</t>
        </is>
      </c>
      <c r="P144" s="52" t="inlineStr">
        <is>
          <t>ใน</t>
        </is>
      </c>
      <c r="Q144" s="52" t="inlineStr">
        <is>
          <t>นอก</t>
        </is>
      </c>
      <c r="R144" s="336" t="inlineStr">
        <is>
          <t>ต่อ ชม.</t>
        </is>
      </c>
      <c r="S144" s="336" t="inlineStr">
        <is>
          <t>(บาท)</t>
        </is>
      </c>
    </row>
    <row r="145" ht="22.2" customHeight="1" s="375">
      <c r="A145" s="362" t="n">
        <v>4</v>
      </c>
      <c r="B145" s="528">
        <f>AB6</f>
        <v/>
      </c>
      <c r="C145" s="153" t="n"/>
      <c r="D145" s="135" t="n"/>
      <c r="E145" s="362" t="inlineStr">
        <is>
          <t>ครู</t>
        </is>
      </c>
      <c r="F145" s="5" t="n">
        <v>2</v>
      </c>
      <c r="G145" s="529" t="inlineStr">
        <is>
          <t>จันทร์</t>
        </is>
      </c>
      <c r="H145" s="546" t="inlineStr">
        <is>
          <t>หยุด</t>
        </is>
      </c>
      <c r="I145" s="544" t="inlineStr"/>
      <c r="J145" s="547" t="inlineStr"/>
      <c r="K145" s="135" t="n"/>
      <c r="L145" s="367" t="inlineStr"/>
      <c r="M145" s="381" t="inlineStr"/>
      <c r="N145" s="381" t="inlineStr"/>
      <c r="O145" s="354">
        <f>M145*N145</f>
        <v/>
      </c>
      <c r="P145" s="367" t="inlineStr"/>
      <c r="Q145" s="381" t="inlineStr"/>
      <c r="R145" s="381" t="inlineStr"/>
      <c r="S145" s="354">
        <f>Q145*R145</f>
        <v/>
      </c>
      <c r="T145" t="inlineStr"/>
      <c r="U145" t="inlineStr"/>
    </row>
    <row r="146" ht="22.2" customHeight="1" s="375">
      <c r="A146" s="3" t="n"/>
      <c r="E146" s="334" t="n"/>
      <c r="F146" s="322" t="n"/>
      <c r="G146" s="535" t="inlineStr">
        <is>
          <t>21 ก.ย.69</t>
        </is>
      </c>
      <c r="H146" s="543" t="inlineStr"/>
      <c r="I146" s="544" t="inlineStr"/>
      <c r="J146" s="544" t="inlineStr"/>
      <c r="K146" s="374" t="n"/>
      <c r="L146" s="334" t="inlineStr"/>
      <c r="M146" s="334" t="inlineStr"/>
      <c r="N146" s="334" t="inlineStr"/>
      <c r="O146" s="354">
        <f>M146*N146</f>
        <v/>
      </c>
      <c r="P146" s="334" t="inlineStr"/>
      <c r="Q146" s="334" t="inlineStr"/>
      <c r="R146" s="334" t="inlineStr"/>
      <c r="S146" s="354">
        <f>Q146*R146</f>
        <v/>
      </c>
      <c r="T146" t="inlineStr"/>
      <c r="U146" t="inlineStr"/>
    </row>
    <row r="147" ht="22.2" customHeight="1" s="375">
      <c r="A147" s="3" t="n"/>
      <c r="B147" s="313" t="n"/>
      <c r="D147" s="314" t="n"/>
      <c r="E147" s="314" t="n"/>
      <c r="F147" s="322" t="n"/>
      <c r="G147" s="321" t="inlineStr"/>
      <c r="H147" s="543" t="inlineStr"/>
      <c r="I147" s="544" t="inlineStr"/>
      <c r="J147" s="544" t="inlineStr"/>
      <c r="K147" s="374" t="n"/>
      <c r="L147" s="334" t="inlineStr"/>
      <c r="M147" s="334" t="inlineStr"/>
      <c r="N147" s="334" t="inlineStr"/>
      <c r="O147" s="354">
        <f>M147*N147</f>
        <v/>
      </c>
      <c r="P147" s="334" t="inlineStr"/>
      <c r="Q147" s="334" t="inlineStr"/>
      <c r="R147" s="334" t="inlineStr"/>
      <c r="S147" s="354">
        <f>Q147*R147</f>
        <v/>
      </c>
      <c r="T147" t="inlineStr"/>
      <c r="U147" t="inlineStr"/>
    </row>
    <row r="148" ht="22.2" customHeight="1" s="375">
      <c r="A148" s="3" t="n"/>
      <c r="B148" s="313" t="n"/>
      <c r="E148" s="3" t="n"/>
      <c r="F148" s="322" t="n"/>
      <c r="G148" s="321" t="inlineStr"/>
      <c r="H148" s="544" t="inlineStr"/>
      <c r="I148" s="544" t="inlineStr"/>
      <c r="J148" s="544" t="inlineStr"/>
      <c r="K148" s="374" t="n"/>
      <c r="L148" s="334" t="inlineStr"/>
      <c r="M148" s="334" t="inlineStr"/>
      <c r="N148" s="334" t="inlineStr"/>
      <c r="O148" s="354">
        <f>M148*N148</f>
        <v/>
      </c>
      <c r="P148" s="334" t="inlineStr"/>
      <c r="Q148" s="334" t="inlineStr"/>
      <c r="R148" s="334" t="inlineStr"/>
      <c r="S148" s="354">
        <f>Q148*R148</f>
        <v/>
      </c>
      <c r="T148" t="inlineStr"/>
      <c r="U148" t="inlineStr"/>
    </row>
    <row r="149" ht="22.2" customHeight="1" s="375">
      <c r="A149" s="3" t="n"/>
      <c r="E149" s="3" t="n"/>
      <c r="G149" s="344" t="inlineStr"/>
      <c r="H149" s="545" t="inlineStr"/>
      <c r="I149" s="545" t="inlineStr"/>
      <c r="J149" s="545" t="inlineStr"/>
      <c r="K149" s="527" t="n"/>
      <c r="L149" s="334" t="inlineStr"/>
      <c r="M149" s="334" t="inlineStr"/>
      <c r="N149" s="334" t="inlineStr"/>
      <c r="O149" s="354">
        <f>M149*N149</f>
        <v/>
      </c>
      <c r="P149" s="334" t="inlineStr"/>
      <c r="Q149" s="334" t="inlineStr"/>
      <c r="R149" s="334" t="inlineStr"/>
      <c r="S149" s="354">
        <f>Q149*R149</f>
        <v/>
      </c>
      <c r="T149" t="inlineStr"/>
      <c r="U149" t="inlineStr"/>
    </row>
    <row r="150" ht="22.2" customHeight="1" s="375">
      <c r="A150" s="3" t="n"/>
      <c r="E150" s="3" t="n"/>
      <c r="G150" s="533" t="inlineStr">
        <is>
          <t>อังคาร</t>
        </is>
      </c>
      <c r="H150" s="376" t="inlineStr">
        <is>
          <t>20101-2002</t>
        </is>
      </c>
      <c r="I150" s="376" t="inlineStr">
        <is>
          <t>ชย.1/10 (26)</t>
        </is>
      </c>
      <c r="J150" s="381" t="inlineStr">
        <is>
          <t>08:10 - 12:10</t>
        </is>
      </c>
      <c r="K150" s="135" t="n"/>
      <c r="L150" s="367" t="n">
        <v>4</v>
      </c>
      <c r="M150" s="381" t="inlineStr"/>
      <c r="N150" s="381" t="inlineStr"/>
      <c r="O150" s="354" t="inlineStr"/>
      <c r="P150" s="367" t="inlineStr"/>
      <c r="Q150" s="381" t="inlineStr"/>
      <c r="R150" s="381" t="inlineStr"/>
      <c r="S150" s="354" t="inlineStr"/>
      <c r="T150" s="6" t="inlineStr"/>
      <c r="U150" s="22" t="inlineStr"/>
      <c r="V150" s="57" t="n"/>
      <c r="W150" s="21" t="n"/>
      <c r="X150" s="21" t="n"/>
    </row>
    <row r="151" ht="22.2" customHeight="1" s="375">
      <c r="A151" s="3" t="n"/>
      <c r="E151" s="3" t="n"/>
      <c r="G151" s="535" t="inlineStr">
        <is>
          <t>22 ก.ย.69</t>
        </is>
      </c>
      <c r="H151" s="376" t="inlineStr">
        <is>
          <t>20101-2002</t>
        </is>
      </c>
      <c r="I151" s="376" t="inlineStr">
        <is>
          <t>ชย.1/10 (26)</t>
        </is>
      </c>
      <c r="J151" s="334" t="inlineStr">
        <is>
          <t>13:10 - 16:10</t>
        </is>
      </c>
      <c r="K151" s="374" t="n"/>
      <c r="L151" s="334" t="n">
        <v>3</v>
      </c>
      <c r="M151" s="334" t="inlineStr"/>
      <c r="N151" s="334" t="inlineStr"/>
      <c r="O151" s="354" t="inlineStr"/>
      <c r="P151" s="334" t="inlineStr"/>
      <c r="Q151" s="334" t="inlineStr"/>
      <c r="R151" s="334" t="inlineStr"/>
      <c r="S151" s="354" t="inlineStr"/>
      <c r="T151" s="21" t="inlineStr"/>
      <c r="U151" s="22" t="inlineStr"/>
      <c r="V151" s="57" t="n"/>
      <c r="W151" s="21" t="n"/>
      <c r="X151" s="21" t="n"/>
    </row>
    <row r="152" ht="22.2" customHeight="1" s="375">
      <c r="A152" s="3" t="n"/>
      <c r="B152" s="313" t="n"/>
      <c r="D152" s="314" t="n"/>
      <c r="E152" s="314" t="n"/>
      <c r="G152" s="334" t="inlineStr"/>
      <c r="H152" s="376" t="inlineStr"/>
      <c r="I152" s="376" t="inlineStr"/>
      <c r="J152" s="376" t="inlineStr"/>
      <c r="K152" s="374" t="n"/>
      <c r="L152" s="334" t="inlineStr"/>
      <c r="M152" s="334" t="inlineStr"/>
      <c r="N152" s="334" t="inlineStr"/>
      <c r="O152" s="354" t="inlineStr"/>
      <c r="P152" s="334" t="inlineStr"/>
      <c r="Q152" s="334" t="inlineStr"/>
      <c r="R152" s="334" t="inlineStr"/>
      <c r="S152" s="354" t="inlineStr"/>
      <c r="T152" t="inlineStr"/>
      <c r="U152" t="inlineStr"/>
    </row>
    <row r="153" ht="22.2" customHeight="1" s="375">
      <c r="A153" s="3" t="n"/>
      <c r="E153" s="3" t="n"/>
      <c r="G153" s="54" t="inlineStr"/>
      <c r="H153" s="334" t="inlineStr"/>
      <c r="I153" s="334" t="inlineStr"/>
      <c r="J153" s="334" t="inlineStr"/>
      <c r="K153" s="374" t="n"/>
      <c r="L153" s="334" t="inlineStr"/>
      <c r="M153" s="334" t="inlineStr"/>
      <c r="N153" s="334" t="inlineStr"/>
      <c r="O153" s="354" t="inlineStr"/>
      <c r="P153" s="334" t="inlineStr"/>
      <c r="Q153" s="334" t="inlineStr"/>
      <c r="R153" s="334" t="inlineStr"/>
      <c r="S153" s="354" t="inlineStr"/>
      <c r="T153" t="inlineStr"/>
      <c r="U153" t="inlineStr"/>
    </row>
    <row r="154" ht="22.2" customHeight="1" s="375">
      <c r="A154" s="3" t="n"/>
      <c r="D154" s="7" t="inlineStr">
        <is>
          <t> </t>
        </is>
      </c>
      <c r="E154" s="3" t="n"/>
      <c r="G154" s="55" t="inlineStr"/>
      <c r="H154" s="336" t="inlineStr"/>
      <c r="I154" s="336" t="inlineStr"/>
      <c r="J154" s="336" t="inlineStr"/>
      <c r="K154" s="527" t="n"/>
      <c r="L154" s="334" t="inlineStr"/>
      <c r="M154" s="334" t="inlineStr"/>
      <c r="N154" s="334" t="inlineStr"/>
      <c r="O154" s="354" t="inlineStr"/>
      <c r="P154" s="334" t="inlineStr"/>
      <c r="Q154" s="334" t="inlineStr"/>
      <c r="R154" s="334" t="inlineStr"/>
      <c r="S154" s="354" t="inlineStr"/>
      <c r="T154" t="inlineStr"/>
      <c r="U154" t="inlineStr"/>
    </row>
    <row r="155" ht="22.2" customHeight="1" s="375">
      <c r="A155" s="3" t="n"/>
      <c r="E155" s="3" t="n"/>
      <c r="G155" s="535" t="inlineStr">
        <is>
          <t>พุธ</t>
        </is>
      </c>
      <c r="H155" s="376" t="inlineStr">
        <is>
          <t>20101-2002</t>
        </is>
      </c>
      <c r="I155" s="376" t="inlineStr">
        <is>
          <t>ชย.1/6 (26)</t>
        </is>
      </c>
      <c r="J155" s="381" t="inlineStr">
        <is>
          <t>08:10 - 12:10</t>
        </is>
      </c>
      <c r="K155" s="135" t="n"/>
      <c r="L155" s="367" t="n">
        <v>4</v>
      </c>
      <c r="M155" s="381" t="inlineStr"/>
      <c r="N155" s="381" t="inlineStr"/>
      <c r="O155" s="354" t="inlineStr"/>
      <c r="P155" s="367" t="inlineStr"/>
      <c r="Q155" s="381" t="inlineStr"/>
      <c r="R155" s="381" t="inlineStr"/>
      <c r="S155" s="354" t="inlineStr"/>
      <c r="T155" t="inlineStr"/>
      <c r="U155" t="inlineStr"/>
    </row>
    <row r="156" ht="22.2" customHeight="1" s="375">
      <c r="A156" s="3" t="n"/>
      <c r="E156" s="3" t="n"/>
      <c r="G156" s="535" t="inlineStr">
        <is>
          <t>23 ก.ย.69</t>
        </is>
      </c>
      <c r="H156" s="376" t="inlineStr">
        <is>
          <t>20101-2002</t>
        </is>
      </c>
      <c r="I156" s="376" t="inlineStr">
        <is>
          <t>ชย.1/6 (26)</t>
        </is>
      </c>
      <c r="J156" s="334" t="inlineStr">
        <is>
          <t>13:10 - 16:10</t>
        </is>
      </c>
      <c r="K156" s="374" t="n"/>
      <c r="L156" s="334" t="n">
        <v>3</v>
      </c>
      <c r="M156" s="334" t="inlineStr"/>
      <c r="N156" s="334" t="inlineStr"/>
      <c r="O156" s="354" t="inlineStr"/>
      <c r="P156" s="334" t="inlineStr"/>
      <c r="Q156" s="334" t="inlineStr"/>
      <c r="R156" s="334" t="inlineStr"/>
      <c r="S156" s="354" t="inlineStr"/>
      <c r="T156" t="inlineStr"/>
      <c r="U156" t="inlineStr"/>
    </row>
    <row r="157" ht="22.2" customHeight="1" s="375">
      <c r="A157" s="3" t="n"/>
      <c r="B157" s="313" t="n"/>
      <c r="D157" s="314" t="n"/>
      <c r="E157" s="314" t="n"/>
      <c r="G157" s="334" t="inlineStr"/>
      <c r="H157" s="376" t="inlineStr"/>
      <c r="I157" s="334" t="inlineStr"/>
      <c r="J157" s="334" t="inlineStr"/>
      <c r="K157" s="374" t="n"/>
      <c r="L157" s="334" t="inlineStr"/>
      <c r="M157" s="334" t="inlineStr"/>
      <c r="N157" s="334" t="inlineStr"/>
      <c r="O157" s="354" t="inlineStr"/>
      <c r="P157" s="334" t="inlineStr"/>
      <c r="Q157" s="334" t="inlineStr"/>
      <c r="R157" s="334" t="inlineStr"/>
      <c r="S157" s="354" t="inlineStr"/>
      <c r="T157" t="inlineStr"/>
      <c r="U157" t="inlineStr"/>
    </row>
    <row r="158" ht="22.2" customHeight="1" s="375">
      <c r="A158" s="3" t="n"/>
      <c r="E158" s="3" t="n"/>
      <c r="G158" s="321" t="inlineStr"/>
      <c r="H158" s="334" t="inlineStr"/>
      <c r="I158" s="334" t="inlineStr"/>
      <c r="J158" s="334" t="inlineStr"/>
      <c r="K158" s="374" t="n"/>
      <c r="L158" s="334" t="inlineStr"/>
      <c r="M158" s="334" t="inlineStr"/>
      <c r="N158" s="334" t="inlineStr"/>
      <c r="O158" s="354" t="inlineStr"/>
      <c r="P158" s="334" t="inlineStr"/>
      <c r="Q158" s="334" t="inlineStr"/>
      <c r="R158" s="334" t="inlineStr"/>
      <c r="S158" s="354" t="inlineStr"/>
      <c r="T158" t="inlineStr"/>
      <c r="U158" t="inlineStr"/>
    </row>
    <row r="159" ht="22.2" customHeight="1" s="375">
      <c r="A159" s="3" t="n"/>
      <c r="E159" s="3" t="n"/>
      <c r="G159" s="327" t="inlineStr"/>
      <c r="H159" s="336" t="inlineStr"/>
      <c r="I159" s="336" t="inlineStr"/>
      <c r="J159" s="336" t="inlineStr"/>
      <c r="K159" s="527" t="n"/>
      <c r="L159" s="336" t="inlineStr"/>
      <c r="M159" s="336" t="inlineStr"/>
      <c r="N159" s="336" t="inlineStr"/>
      <c r="O159" s="354" t="inlineStr"/>
      <c r="P159" s="336" t="inlineStr"/>
      <c r="Q159" s="336" t="inlineStr"/>
      <c r="R159" s="336" t="inlineStr"/>
      <c r="S159" s="16" t="inlineStr"/>
      <c r="T159" t="inlineStr"/>
      <c r="U159" t="inlineStr"/>
    </row>
    <row r="160" ht="22.2" customHeight="1" s="375">
      <c r="A160" s="3" t="n"/>
      <c r="E160" s="3" t="n"/>
      <c r="G160" s="533" t="inlineStr">
        <is>
          <t>พฤหัส</t>
        </is>
      </c>
      <c r="H160" s="376" t="inlineStr">
        <is>
          <t>20101-2002</t>
        </is>
      </c>
      <c r="I160" s="334" t="inlineStr">
        <is>
          <t>ชย.1/7 (26)</t>
        </is>
      </c>
      <c r="J160" s="381" t="inlineStr">
        <is>
          <t>08:10 - 12:10</t>
        </is>
      </c>
      <c r="K160" s="135" t="n"/>
      <c r="L160" s="334" t="n">
        <v>2</v>
      </c>
      <c r="M160" s="148" t="n">
        <v>2</v>
      </c>
      <c r="N160" s="148" t="n">
        <v>200</v>
      </c>
      <c r="O160" s="354">
        <f>M160*N160</f>
        <v/>
      </c>
      <c r="P160" s="334" t="inlineStr"/>
      <c r="Q160" s="148" t="inlineStr"/>
      <c r="R160" s="148" t="inlineStr"/>
      <c r="S160" s="16" t="inlineStr"/>
      <c r="T160" t="inlineStr"/>
      <c r="U160" t="inlineStr"/>
    </row>
    <row r="161" ht="22.2" customHeight="1" s="375">
      <c r="A161" s="3" t="n"/>
      <c r="E161" s="3" t="n"/>
      <c r="G161" s="535" t="inlineStr">
        <is>
          <t>24 ก.ย.69</t>
        </is>
      </c>
      <c r="H161" s="376" t="inlineStr">
        <is>
          <t>20101-2002</t>
        </is>
      </c>
      <c r="I161" s="334" t="inlineStr">
        <is>
          <t>ชย.1/7 (26)</t>
        </is>
      </c>
      <c r="J161" s="334" t="inlineStr">
        <is>
          <t>15:10 - 18:10</t>
        </is>
      </c>
      <c r="K161" s="374" t="n"/>
      <c r="L161" s="334" t="inlineStr"/>
      <c r="M161" s="251" t="n">
        <v>3</v>
      </c>
      <c r="N161" s="251" t="n">
        <v>200</v>
      </c>
      <c r="O161" s="354">
        <f>M161*N161</f>
        <v/>
      </c>
      <c r="P161" s="334" t="inlineStr"/>
      <c r="Q161" s="251" t="inlineStr"/>
      <c r="R161" s="149" t="inlineStr"/>
      <c r="S161" s="16" t="inlineStr"/>
      <c r="T161" t="inlineStr"/>
      <c r="U161" t="inlineStr"/>
    </row>
    <row r="162" ht="22.2" customHeight="1" s="375">
      <c r="A162" s="3" t="n"/>
      <c r="B162" s="313" t="n"/>
      <c r="E162" s="3" t="n"/>
      <c r="G162" s="334" t="inlineStr"/>
      <c r="H162" s="376" t="inlineStr"/>
      <c r="I162" s="334" t="inlineStr"/>
      <c r="J162" s="334" t="inlineStr"/>
      <c r="K162" s="374" t="n"/>
      <c r="L162" s="376" t="inlineStr"/>
      <c r="M162" s="251" t="inlineStr"/>
      <c r="N162" s="251" t="inlineStr"/>
      <c r="O162" s="354" t="inlineStr"/>
      <c r="P162" s="376" t="inlineStr"/>
      <c r="Q162" s="251" t="inlineStr"/>
      <c r="R162" s="149" t="inlineStr"/>
      <c r="S162" s="16" t="inlineStr"/>
      <c r="T162" t="inlineStr"/>
      <c r="U162" t="inlineStr"/>
    </row>
    <row r="163" ht="22.2" customHeight="1" s="375">
      <c r="A163" s="3" t="n"/>
      <c r="E163" s="3" t="n"/>
      <c r="G163" s="334" t="inlineStr"/>
      <c r="H163" s="334" t="inlineStr"/>
      <c r="I163" s="334" t="inlineStr"/>
      <c r="J163" s="334" t="inlineStr"/>
      <c r="K163" s="374" t="n"/>
      <c r="L163" s="334" t="inlineStr"/>
      <c r="M163" s="334" t="inlineStr"/>
      <c r="N163" s="334" t="inlineStr"/>
      <c r="O163" s="354" t="inlineStr"/>
      <c r="P163" s="334" t="inlineStr"/>
      <c r="Q163" s="334" t="inlineStr"/>
      <c r="R163" s="334" t="inlineStr"/>
      <c r="S163" s="354" t="inlineStr"/>
      <c r="T163" t="inlineStr"/>
      <c r="U163" t="inlineStr"/>
    </row>
    <row r="164" ht="22.2" customHeight="1" s="375">
      <c r="A164" s="3" t="n"/>
      <c r="E164" s="3" t="n"/>
      <c r="G164" s="336" t="inlineStr"/>
      <c r="H164" s="328" t="inlineStr"/>
      <c r="I164" s="336" t="inlineStr"/>
      <c r="J164" s="336" t="inlineStr"/>
      <c r="K164" s="527" t="n"/>
      <c r="L164" s="336" t="inlineStr"/>
      <c r="M164" s="336" t="inlineStr"/>
      <c r="N164" s="336" t="inlineStr"/>
      <c r="O164" s="354" t="inlineStr"/>
      <c r="P164" s="336" t="inlineStr"/>
      <c r="Q164" s="336" t="inlineStr"/>
      <c r="R164" s="336" t="inlineStr"/>
      <c r="S164" s="354" t="inlineStr"/>
      <c r="T164" t="inlineStr"/>
      <c r="U164" t="inlineStr"/>
    </row>
    <row r="165" ht="22.2" customHeight="1" s="375">
      <c r="A165" s="3" t="n"/>
      <c r="D165" s="374" t="n"/>
      <c r="E165" s="251" t="n"/>
      <c r="G165" s="533" t="inlineStr">
        <is>
          <t>ศุกร์</t>
        </is>
      </c>
      <c r="H165" s="376" t="inlineStr">
        <is>
          <t>20101-2002</t>
        </is>
      </c>
      <c r="I165" s="376" t="inlineStr">
        <is>
          <t>ชย.1/9 (26)</t>
        </is>
      </c>
      <c r="J165" s="381" t="inlineStr">
        <is>
          <t>08:10 - 12:10</t>
        </is>
      </c>
      <c r="K165" s="135" t="n"/>
      <c r="L165" s="334" t="inlineStr"/>
      <c r="M165" s="24" t="n">
        <v>4</v>
      </c>
      <c r="N165" s="360" t="n">
        <v>200</v>
      </c>
      <c r="O165" s="354">
        <f>M165*N165</f>
        <v/>
      </c>
      <c r="P165" s="367" t="inlineStr"/>
      <c r="Q165" s="362" t="inlineStr"/>
      <c r="R165" s="354" t="inlineStr"/>
      <c r="S165" s="16" t="inlineStr"/>
      <c r="T165" t="inlineStr"/>
      <c r="U165" t="inlineStr"/>
    </row>
    <row r="166" ht="22.2" customHeight="1" s="375">
      <c r="A166" s="3" t="n"/>
      <c r="D166" s="314" t="n"/>
      <c r="E166" s="3" t="n"/>
      <c r="G166" s="535" t="inlineStr">
        <is>
          <t>25 ก.ย.69</t>
        </is>
      </c>
      <c r="H166" s="376" t="inlineStr">
        <is>
          <t>20101-2002</t>
        </is>
      </c>
      <c r="I166" s="376" t="inlineStr">
        <is>
          <t>ชย.1/9 (26)</t>
        </is>
      </c>
      <c r="J166" s="334" t="inlineStr">
        <is>
          <t>13:10 - 16:10</t>
        </is>
      </c>
      <c r="K166" s="374" t="n"/>
      <c r="L166" s="334" t="inlineStr"/>
      <c r="M166" s="251" t="n">
        <v>3</v>
      </c>
      <c r="N166" s="374" t="n">
        <v>200</v>
      </c>
      <c r="O166" s="354">
        <f>M166*N166</f>
        <v/>
      </c>
      <c r="P166" s="334" t="inlineStr"/>
      <c r="Q166" s="251" t="inlineStr"/>
      <c r="R166" s="251" t="inlineStr"/>
      <c r="S166" s="16" t="inlineStr"/>
      <c r="T166" t="inlineStr"/>
      <c r="U166" t="inlineStr"/>
    </row>
    <row r="167" ht="22.2" customHeight="1" s="375">
      <c r="A167" s="3" t="n"/>
      <c r="E167" s="3" t="n"/>
      <c r="G167" s="334" t="inlineStr"/>
      <c r="H167" s="376" t="inlineStr"/>
      <c r="I167" s="334" t="inlineStr"/>
      <c r="J167" s="334" t="inlineStr"/>
      <c r="K167" s="374" t="n"/>
      <c r="L167" s="334" t="inlineStr"/>
      <c r="M167" s="334" t="inlineStr"/>
      <c r="N167" s="334" t="inlineStr"/>
      <c r="O167" s="354" t="inlineStr"/>
      <c r="P167" s="334" t="inlineStr"/>
      <c r="Q167" s="334" t="inlineStr"/>
      <c r="R167" s="334" t="inlineStr"/>
      <c r="S167" s="354" t="inlineStr"/>
      <c r="T167" t="inlineStr"/>
      <c r="U167" t="inlineStr"/>
    </row>
    <row r="168" ht="22.2" customHeight="1" s="375">
      <c r="A168" s="3" t="n"/>
      <c r="E168" s="3" t="n"/>
      <c r="G168" s="334" t="inlineStr"/>
      <c r="H168" s="334" t="inlineStr"/>
      <c r="I168" s="334" t="inlineStr"/>
      <c r="J168" s="334" t="inlineStr"/>
      <c r="K168" s="374" t="n"/>
      <c r="L168" s="334" t="inlineStr"/>
      <c r="M168" s="334" t="inlineStr"/>
      <c r="N168" s="334" t="inlineStr"/>
      <c r="O168" s="354" t="inlineStr"/>
      <c r="P168" s="334" t="inlineStr"/>
      <c r="Q168" s="334" t="inlineStr"/>
      <c r="R168" s="334" t="inlineStr"/>
      <c r="S168" s="354" t="inlineStr"/>
      <c r="T168" t="inlineStr"/>
      <c r="U168" t="inlineStr"/>
    </row>
    <row r="169" ht="22.2" customHeight="1" s="375">
      <c r="A169" s="3" t="n"/>
      <c r="E169" s="3" t="n"/>
      <c r="F169" s="3" t="n"/>
      <c r="G169" s="329" t="inlineStr"/>
      <c r="H169" s="328" t="inlineStr"/>
      <c r="I169" s="336" t="inlineStr"/>
      <c r="J169" s="336" t="inlineStr"/>
      <c r="K169" s="527" t="n"/>
      <c r="L169" s="336" t="inlineStr"/>
      <c r="M169" s="336" t="inlineStr"/>
      <c r="N169" s="336" t="inlineStr"/>
      <c r="O169" s="354" t="inlineStr"/>
      <c r="P169" s="336" t="inlineStr"/>
      <c r="Q169" s="336" t="inlineStr"/>
      <c r="R169" s="336" t="inlineStr"/>
      <c r="S169" s="354" t="inlineStr"/>
      <c r="T169" t="inlineStr"/>
      <c r="U169" t="inlineStr"/>
    </row>
    <row r="170" ht="22.2" customHeight="1" s="375">
      <c r="A170" s="3" t="n"/>
      <c r="E170" s="3" t="n"/>
      <c r="F170" s="3" t="n"/>
      <c r="G170" s="16" t="inlineStr">
        <is>
          <t>รวมขั่วโมงที่สอนแยก ภาระงาน/ เกินภาระงาน</t>
        </is>
      </c>
      <c r="H170" s="518" t="n"/>
      <c r="I170" s="518" t="n"/>
      <c r="J170" s="518" t="n"/>
      <c r="K170" s="432" t="n"/>
      <c r="L170" s="16">
        <f>SUM(L145:L169)</f>
        <v/>
      </c>
      <c r="M170" s="16">
        <f>SUM(M145:M169)</f>
        <v/>
      </c>
      <c r="N170" s="16" t="n"/>
      <c r="O170" s="16" t="n"/>
      <c r="P170" s="16">
        <f>SUM(P145:P169)</f>
        <v/>
      </c>
      <c r="Q170" s="16">
        <f>SUM(Q145:Q169)</f>
        <v/>
      </c>
      <c r="R170" s="349" t="n"/>
      <c r="S170" s="16" t="n"/>
      <c r="T170" s="23" t="n"/>
      <c r="U170" s="23" t="inlineStr">
        <is>
          <t>สอน ป.ตรี</t>
        </is>
      </c>
      <c r="V170" s="56" t="n"/>
      <c r="W170" s="23" t="n"/>
      <c r="X170" s="23" t="n"/>
    </row>
    <row r="171" ht="22.2" customHeight="1" s="375">
      <c r="A171" s="3" t="n"/>
      <c r="E171" s="3" t="n"/>
      <c r="F171" s="3" t="n"/>
      <c r="G171" s="16" t="inlineStr">
        <is>
          <t>รวมจำนวนชั่วโมงสอนคาบต่อสับดาห์</t>
        </is>
      </c>
      <c r="H171" s="518" t="n"/>
      <c r="I171" s="518" t="n"/>
      <c r="J171" s="518" t="n"/>
      <c r="K171" s="432" t="n"/>
      <c r="L171" s="16">
        <f>L170+M170</f>
        <v/>
      </c>
      <c r="M171" s="432" t="n"/>
      <c r="N171" s="16" t="n"/>
      <c r="O171" s="348" t="n"/>
      <c r="P171" s="16">
        <f>P170+Q170</f>
        <v/>
      </c>
      <c r="Q171" s="432" t="n"/>
      <c r="R171" s="329" t="n"/>
      <c r="S171" s="336" t="n"/>
      <c r="T171" s="23" t="n"/>
      <c r="U171" s="23" t="inlineStr">
        <is>
          <t>17.10-20.10</t>
        </is>
      </c>
      <c r="V171" s="56" t="n"/>
      <c r="W171" s="23" t="n"/>
      <c r="X171" s="23" t="n"/>
    </row>
    <row r="172" ht="22.2" customHeight="1" s="375">
      <c r="A172" s="3" t="n"/>
      <c r="E172" s="3" t="n"/>
      <c r="F172" s="3" t="n"/>
      <c r="G172" s="16" t="inlineStr">
        <is>
          <t>จำนวนชั่วโมงสอนตามภาระงานสอน</t>
        </is>
      </c>
      <c r="H172" s="518" t="n"/>
      <c r="I172" s="518" t="n"/>
      <c r="J172" s="518" t="n"/>
      <c r="K172" s="432" t="n"/>
      <c r="L172" s="541" t="n">
        <v>12</v>
      </c>
      <c r="M172" s="432" t="n"/>
      <c r="N172" s="129" t="n"/>
      <c r="O172" s="132" t="n"/>
      <c r="P172" s="541" t="n">
        <v>0</v>
      </c>
      <c r="Q172" s="432" t="n"/>
      <c r="R172" s="322" t="n"/>
      <c r="S172" s="334" t="n"/>
    </row>
    <row r="173" ht="22.2" customHeight="1" s="375" thickBot="1">
      <c r="A173" s="3" t="n"/>
      <c r="E173" s="3" t="n"/>
      <c r="F173" s="14" t="n"/>
      <c r="G173" s="16" t="inlineStr">
        <is>
          <t>จำนวนชั่วโมงบิกเกินภาระงานสอน/ค่าสอน</t>
        </is>
      </c>
      <c r="H173" s="518" t="n"/>
      <c r="I173" s="518" t="n"/>
      <c r="J173" s="518" t="n"/>
      <c r="K173" s="432" t="n"/>
      <c r="L173" s="17" t="n">
        <v>0</v>
      </c>
      <c r="M173" s="17">
        <f>SUM(M145:M169)</f>
        <v/>
      </c>
      <c r="N173" s="17" t="n"/>
      <c r="O173" s="17">
        <f>SUM(O145:O169)</f>
        <v/>
      </c>
      <c r="P173" s="17" t="n">
        <v>0</v>
      </c>
      <c r="Q173" s="17">
        <f>SUM(Q145:Q169)</f>
        <v/>
      </c>
      <c r="R173" s="18" t="n"/>
      <c r="S173" s="17">
        <f>SUM(S145:S169)</f>
        <v/>
      </c>
    </row>
    <row r="174" ht="22.2" customHeight="1" s="375" thickTop="1">
      <c r="A174" s="337" t="inlineStr">
        <is>
          <t>รวมจำนวนหน่วยชั่วโมงที่ขอเบิกค่าสอน ….</t>
        </is>
      </c>
      <c r="B174" s="518" t="n"/>
      <c r="C174" s="518" t="n"/>
      <c r="D174" s="518" t="n"/>
      <c r="E174" s="518" t="n"/>
      <c r="F174" s="518" t="n"/>
      <c r="G174" s="518" t="n"/>
      <c r="H174" s="348">
        <f>M173+Q173</f>
        <v/>
      </c>
      <c r="I174" s="348" t="inlineStr">
        <is>
          <t>….ชั่วโมง</t>
        </is>
      </c>
      <c r="J174" s="348" t="n"/>
      <c r="K174" s="328" t="inlineStr">
        <is>
          <t>ยอดเงินรวม</t>
        </is>
      </c>
      <c r="L174" s="522" t="n"/>
      <c r="M174" s="522" t="n"/>
      <c r="N174" s="328" t="n"/>
      <c r="O174" s="328" t="n"/>
      <c r="P174" s="339">
        <f>S173+O173</f>
        <v/>
      </c>
      <c r="Q174" s="538" t="n"/>
      <c r="R174" s="20" t="n"/>
      <c r="S174" s="19" t="inlineStr">
        <is>
          <t>..บาท</t>
        </is>
      </c>
    </row>
    <row r="175" ht="22.2" customHeight="1" s="375">
      <c r="A175" s="154" t="inlineStr">
        <is>
          <t>ผู้ขอเบิก</t>
        </is>
      </c>
      <c r="B175" s="153" t="n"/>
      <c r="C175" s="153" t="n"/>
      <c r="D175" s="153" t="n"/>
      <c r="E175" s="153" t="n"/>
      <c r="F175" s="153" t="n"/>
      <c r="G175" s="135" t="n"/>
      <c r="H175" s="154" t="inlineStr">
        <is>
          <t>ผู้รับรอง</t>
        </is>
      </c>
      <c r="I175" s="153" t="n"/>
      <c r="J175" s="153" t="n"/>
      <c r="K175" s="153" t="n"/>
      <c r="L175" s="135" t="n"/>
      <c r="M175" s="154" t="inlineStr">
        <is>
          <t>ผู้ตรวจ</t>
        </is>
      </c>
      <c r="N175" s="153" t="n"/>
      <c r="O175" s="153" t="n"/>
      <c r="P175" s="153" t="n"/>
      <c r="Q175" s="153" t="n"/>
      <c r="R175" s="153" t="n"/>
      <c r="S175" s="135" t="n"/>
    </row>
    <row r="176" ht="22.2" customHeight="1" s="375">
      <c r="A176" s="334" t="inlineStr">
        <is>
          <t>ลงชื่อ……………………………………………</t>
        </is>
      </c>
      <c r="G176" s="374" t="n"/>
      <c r="H176" s="334" t="inlineStr">
        <is>
          <t>ลงชื่อ……………………………………………</t>
        </is>
      </c>
      <c r="L176" s="374" t="n"/>
      <c r="M176" s="334" t="inlineStr">
        <is>
          <t>ลงชื่อ……………………………………………</t>
        </is>
      </c>
      <c r="S176" s="374" t="n"/>
    </row>
    <row r="177" ht="22.2" customHeight="1" s="375">
      <c r="A177" s="11" t="inlineStr">
        <is>
          <t>(</t>
        </is>
      </c>
      <c r="B177" s="324">
        <f>B145</f>
        <v/>
      </c>
      <c r="G177" s="326" t="inlineStr">
        <is>
          <t>)</t>
        </is>
      </c>
      <c r="H177" s="324" t="inlineStr">
        <is>
          <t>(</t>
        </is>
      </c>
      <c r="I177" s="340">
        <f>I131</f>
        <v/>
      </c>
      <c r="L177" s="12" t="inlineStr">
        <is>
          <t>)</t>
        </is>
      </c>
      <c r="M177" s="53" t="inlineStr">
        <is>
          <t>(</t>
        </is>
      </c>
      <c r="N177" s="53" t="n"/>
      <c r="O177" s="324">
        <f>O39</f>
        <v/>
      </c>
      <c r="R177" s="25" t="n"/>
      <c r="S177" s="326" t="inlineStr">
        <is>
          <t>)</t>
        </is>
      </c>
    </row>
    <row r="178" ht="22.2" customHeight="1" s="375">
      <c r="A178" s="540" t="inlineStr">
        <is>
          <t xml:space="preserve">                        ตำแหน่ง  ครู</t>
        </is>
      </c>
      <c r="G178" s="374" t="n"/>
      <c r="H178" s="54" t="inlineStr">
        <is>
          <t>ตำแหน่ง หัวหน้าแผนก</t>
        </is>
      </c>
      <c r="L178" s="374" t="n"/>
      <c r="M178" s="54" t="inlineStr">
        <is>
          <t>ตำแหน่ง   ผู้ตรวจสอบ</t>
        </is>
      </c>
      <c r="S178" s="374" t="n"/>
    </row>
    <row r="179" ht="22.2" customHeight="1" s="375">
      <c r="A179" s="55" t="inlineStr">
        <is>
          <t>วันที่ 28 เดือน กันยายน  พ.ศ.2569</t>
        </is>
      </c>
      <c r="B179" s="522" t="n"/>
      <c r="C179" s="522" t="n"/>
      <c r="D179" s="522" t="n"/>
      <c r="E179" s="522" t="n"/>
      <c r="F179" s="522" t="n"/>
      <c r="G179" s="527" t="n"/>
      <c r="H179" s="54">
        <f>A41</f>
        <v/>
      </c>
      <c r="L179" s="374" t="n"/>
      <c r="M179" s="55">
        <f>A41</f>
        <v/>
      </c>
      <c r="N179" s="522" t="n"/>
      <c r="O179" s="522" t="n"/>
      <c r="P179" s="522" t="n"/>
      <c r="Q179" s="522" t="n"/>
      <c r="R179" s="522" t="n"/>
      <c r="S179" s="527" t="n"/>
    </row>
    <row r="180" ht="22.2" customHeight="1" s="375">
      <c r="A180" s="154" t="inlineStr">
        <is>
          <t>ผู้ตรวจ</t>
        </is>
      </c>
      <c r="B180" s="153" t="n"/>
      <c r="C180" s="153" t="n"/>
      <c r="D180" s="153" t="n"/>
      <c r="E180" s="153" t="n"/>
      <c r="F180" s="153" t="n"/>
      <c r="G180" s="153" t="n"/>
      <c r="H180" s="153" t="n"/>
      <c r="I180" s="135" t="n"/>
      <c r="J180" s="154" t="inlineStr">
        <is>
          <t>ผู้เห็นชอบ</t>
        </is>
      </c>
      <c r="K180" s="153" t="n"/>
      <c r="L180" s="153" t="n"/>
      <c r="M180" s="153" t="n"/>
      <c r="N180" s="153" t="n"/>
      <c r="O180" s="153" t="n"/>
      <c r="P180" s="153" t="n"/>
      <c r="Q180" s="153" t="n"/>
      <c r="R180" s="153" t="n"/>
      <c r="S180" s="135" t="n"/>
    </row>
    <row r="181" ht="22.2" customHeight="1" s="375">
      <c r="A181" s="334" t="inlineStr">
        <is>
          <t>ลงชื่อ……………………………………………</t>
        </is>
      </c>
      <c r="I181" s="374" t="n"/>
      <c r="J181" s="334" t="inlineStr">
        <is>
          <t>ลงชื่อ……………………………………………</t>
        </is>
      </c>
      <c r="S181" s="374" t="n"/>
    </row>
    <row r="182" ht="22.2" customHeight="1" s="375">
      <c r="A182" s="11" t="n"/>
      <c r="B182" s="324">
        <f>B44</f>
        <v/>
      </c>
      <c r="I182" s="326" t="n"/>
      <c r="J182" s="25" t="n"/>
      <c r="K182" s="25" t="n"/>
      <c r="L182" s="324">
        <f>L44</f>
        <v/>
      </c>
      <c r="R182" s="25" t="n"/>
      <c r="S182" s="12" t="n"/>
    </row>
    <row r="183" ht="22.2" customHeight="1" s="375">
      <c r="A183" s="54" t="inlineStr">
        <is>
          <t>ตำแหน่งครู  หัวหน้างานพัฒนาหลักสูตร ฯ</t>
        </is>
      </c>
      <c r="I183" s="374" t="n"/>
      <c r="J183" s="54" t="inlineStr">
        <is>
          <t>ตำแหน่ง  รองผู้อำนวยการฝ่ายวิชาการ</t>
        </is>
      </c>
      <c r="S183" s="374" t="n"/>
    </row>
    <row r="184" ht="22.2" customHeight="1" s="375">
      <c r="A184" s="336" t="inlineStr">
        <is>
          <t>วันที่.......เดือน..........................พ.ศ..............</t>
        </is>
      </c>
      <c r="B184" s="522" t="n"/>
      <c r="C184" s="522" t="n"/>
      <c r="D184" s="522" t="n"/>
      <c r="E184" s="522" t="n"/>
      <c r="F184" s="522" t="n"/>
      <c r="G184" s="522" t="n"/>
      <c r="H184" s="522" t="n"/>
      <c r="I184" s="527" t="n"/>
      <c r="J184" s="336" t="inlineStr">
        <is>
          <t>วันที่.......เดือน..........................พ.ศ..............</t>
        </is>
      </c>
      <c r="K184" s="522" t="n"/>
      <c r="L184" s="522" t="n"/>
      <c r="M184" s="522" t="n"/>
      <c r="N184" s="522" t="n"/>
      <c r="O184" s="522" t="n"/>
      <c r="P184" s="522" t="n"/>
      <c r="Q184" s="522" t="n"/>
      <c r="R184" s="522" t="n"/>
      <c r="S184" s="527" t="n"/>
    </row>
    <row r="185" ht="22.2" customHeight="1" s="375">
      <c r="A185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75">
      <c r="A186" s="365" t="inlineStr">
        <is>
          <t>แผนกวิชาช่างยนต์</t>
        </is>
      </c>
    </row>
    <row r="187" ht="22.2" customHeight="1" s="375">
      <c r="A187" s="366" t="inlineStr">
        <is>
          <t xml:space="preserve">    ระหว่างวันที่</t>
        </is>
      </c>
      <c r="D187" s="365">
        <f>D3</f>
        <v/>
      </c>
      <c r="E187" s="365" t="inlineStr">
        <is>
          <t xml:space="preserve">   เดือน  </t>
        </is>
      </c>
      <c r="F187" s="365">
        <f>F3</f>
        <v/>
      </c>
      <c r="H187" s="365">
        <f>H3</f>
        <v/>
      </c>
      <c r="I187" s="365" t="inlineStr">
        <is>
          <t xml:space="preserve">     ถึง วันที่</t>
        </is>
      </c>
      <c r="J187" s="365">
        <f>J3</f>
        <v/>
      </c>
      <c r="K187" s="365" t="inlineStr">
        <is>
          <t xml:space="preserve">   เดือน </t>
        </is>
      </c>
      <c r="L187" s="365">
        <f>L3</f>
        <v/>
      </c>
      <c r="N187" s="365">
        <f>N3</f>
        <v/>
      </c>
      <c r="P187" s="365" t="n"/>
      <c r="R187" s="365" t="n"/>
    </row>
    <row r="188" ht="22.2" customHeight="1" s="375">
      <c r="G188" s="51" t="inlineStr">
        <is>
          <t>ü</t>
        </is>
      </c>
      <c r="H188" s="351" t="inlineStr">
        <is>
          <t>ครู</t>
        </is>
      </c>
      <c r="I188" s="322" t="inlineStr">
        <is>
          <t>หน้าที่พิเศษ</t>
        </is>
      </c>
      <c r="J188" s="382" t="inlineStr">
        <is>
          <t>ผู้ช่วยงานบริหารและพัฒนาทรัพยากรบุคคล, สวัสดิการนักเรียนนักศึกษา,</t>
        </is>
      </c>
      <c r="K188" s="522" t="n"/>
      <c r="L188" s="522" t="n"/>
      <c r="M188" s="522" t="n"/>
      <c r="N188" s="522" t="n"/>
      <c r="O188" s="522" t="n"/>
    </row>
    <row r="189" ht="22.2" customHeight="1" s="375">
      <c r="A189" s="24" t="inlineStr">
        <is>
          <t>ที่</t>
        </is>
      </c>
      <c r="B189" s="24" t="inlineStr">
        <is>
          <t>ชื่อ-สกุล</t>
        </is>
      </c>
      <c r="C189" s="153" t="n"/>
      <c r="D189" s="135" t="n"/>
      <c r="E189" s="15" t="inlineStr">
        <is>
          <t>ตำแหน่ง</t>
        </is>
      </c>
      <c r="F189" s="16" t="inlineStr">
        <is>
          <t>ระยะเวลาที่สอน</t>
        </is>
      </c>
      <c r="G189" s="432" t="n"/>
      <c r="H189" s="16" t="inlineStr">
        <is>
          <t>รหัสวิชา</t>
        </is>
      </c>
      <c r="I189" s="362" t="inlineStr">
        <is>
          <t>ชั้น,แผนก,ห้อง</t>
        </is>
      </c>
      <c r="J189" s="16" t="inlineStr">
        <is>
          <t>เวลาสอน</t>
        </is>
      </c>
      <c r="K189" s="135" t="n"/>
      <c r="L189" s="16" t="inlineStr">
        <is>
          <t>ปวช.(คาบ)</t>
        </is>
      </c>
      <c r="M189" s="432" t="n"/>
      <c r="N189" s="354" t="inlineStr">
        <is>
          <t>เงิน</t>
        </is>
      </c>
      <c r="O189" s="362" t="inlineStr">
        <is>
          <t>ยอดเงิน</t>
        </is>
      </c>
      <c r="P189" s="524" t="inlineStr">
        <is>
          <t>ปวส.(คาบ)</t>
        </is>
      </c>
      <c r="Q189" s="432" t="n"/>
      <c r="R189" s="354" t="inlineStr">
        <is>
          <t>เงิน</t>
        </is>
      </c>
      <c r="S189" s="362" t="inlineStr">
        <is>
          <t>ยอดเงิน</t>
        </is>
      </c>
    </row>
    <row r="190" ht="22.2" customHeight="1" s="375">
      <c r="A190" s="52" t="n"/>
      <c r="B190" s="8" t="n"/>
      <c r="C190" s="9" t="n"/>
      <c r="D190" s="13" t="n"/>
      <c r="E190" s="10" t="n"/>
      <c r="F190" s="336" t="inlineStr">
        <is>
          <t>ส.</t>
        </is>
      </c>
      <c r="G190" s="336" t="inlineStr">
        <is>
          <t>วดป.</t>
        </is>
      </c>
      <c r="H190" s="525" t="n"/>
      <c r="I190" s="336" t="n"/>
      <c r="J190" s="526" t="n"/>
      <c r="K190" s="527" t="n"/>
      <c r="L190" s="336" t="inlineStr">
        <is>
          <t>ใน</t>
        </is>
      </c>
      <c r="M190" s="336" t="inlineStr">
        <is>
          <t>นอก</t>
        </is>
      </c>
      <c r="N190" s="336" t="inlineStr">
        <is>
          <t>ต่อ ชม.</t>
        </is>
      </c>
      <c r="O190" s="336" t="inlineStr">
        <is>
          <t>(บาท)</t>
        </is>
      </c>
      <c r="P190" s="52" t="inlineStr">
        <is>
          <t>ใน</t>
        </is>
      </c>
      <c r="Q190" s="52" t="inlineStr">
        <is>
          <t>นอก</t>
        </is>
      </c>
      <c r="R190" s="336" t="inlineStr">
        <is>
          <t>ต่อ ชม.</t>
        </is>
      </c>
      <c r="S190" s="336" t="inlineStr">
        <is>
          <t>(บาท)</t>
        </is>
      </c>
    </row>
    <row r="191" ht="22.2" customHeight="1" s="375">
      <c r="A191" s="362" t="n">
        <v>5</v>
      </c>
      <c r="B191" s="528">
        <f>AB7</f>
        <v/>
      </c>
      <c r="C191" s="153" t="n"/>
      <c r="D191" s="135" t="n"/>
      <c r="E191" s="362" t="inlineStr">
        <is>
          <t>ครู</t>
        </is>
      </c>
      <c r="F191" s="5" t="n">
        <v>2</v>
      </c>
      <c r="G191" s="529" t="inlineStr">
        <is>
          <t>จันทร์</t>
        </is>
      </c>
      <c r="H191" s="542" t="inlineStr">
        <is>
          <t>หยุด</t>
        </is>
      </c>
      <c r="I191" s="543" t="inlineStr"/>
      <c r="J191" s="547" t="inlineStr"/>
      <c r="K191" s="135" t="n"/>
      <c r="L191" s="367" t="inlineStr"/>
      <c r="M191" s="381" t="inlineStr"/>
      <c r="N191" s="381" t="inlineStr"/>
      <c r="O191" s="354">
        <f>M191*N191</f>
        <v/>
      </c>
      <c r="P191" s="381" t="inlineStr"/>
      <c r="Q191" s="367" t="inlineStr"/>
      <c r="R191" s="381" t="inlineStr"/>
      <c r="S191" s="354">
        <f>Q191*R191</f>
        <v/>
      </c>
      <c r="T191" t="inlineStr"/>
      <c r="U191" t="inlineStr"/>
    </row>
    <row r="192" ht="22.2" customHeight="1" s="375">
      <c r="A192" s="3" t="n"/>
      <c r="B192" s="530" t="n"/>
      <c r="D192" s="374" t="n"/>
      <c r="E192" s="334" t="n"/>
      <c r="F192" s="322" t="n"/>
      <c r="G192" s="535" t="inlineStr">
        <is>
          <t>21 ก.ย.69</t>
        </is>
      </c>
      <c r="H192" s="543" t="inlineStr"/>
      <c r="I192" s="543" t="inlineStr"/>
      <c r="J192" s="544" t="inlineStr"/>
      <c r="K192" s="374" t="n"/>
      <c r="L192" s="334" t="inlineStr"/>
      <c r="M192" s="334" t="inlineStr"/>
      <c r="N192" s="334" t="inlineStr"/>
      <c r="O192" s="354">
        <f>M192*N192</f>
        <v/>
      </c>
      <c r="P192" s="334" t="inlineStr"/>
      <c r="Q192" s="334" t="inlineStr"/>
      <c r="R192" s="334" t="inlineStr"/>
      <c r="S192" s="354">
        <f>Q192*R192</f>
        <v/>
      </c>
      <c r="T192" t="inlineStr"/>
      <c r="U192" t="inlineStr"/>
    </row>
    <row r="193" ht="22.2" customHeight="1" s="375">
      <c r="A193" s="3" t="n"/>
      <c r="B193" s="313" t="n"/>
      <c r="D193" s="314" t="n"/>
      <c r="E193" s="314" t="n"/>
      <c r="F193" s="322" t="n"/>
      <c r="G193" s="321" t="inlineStr"/>
      <c r="H193" s="543" t="inlineStr"/>
      <c r="I193" s="543" t="inlineStr"/>
      <c r="J193" s="544" t="inlineStr"/>
      <c r="K193" s="374" t="n"/>
      <c r="L193" s="334" t="inlineStr"/>
      <c r="M193" s="334" t="inlineStr"/>
      <c r="N193" s="334" t="inlineStr"/>
      <c r="O193" s="354">
        <f>M193*N193</f>
        <v/>
      </c>
      <c r="P193" s="334" t="inlineStr"/>
      <c r="Q193" s="334" t="inlineStr"/>
      <c r="R193" s="334" t="inlineStr"/>
      <c r="S193" s="354">
        <f>Q193*R193</f>
        <v/>
      </c>
      <c r="T193" t="inlineStr"/>
      <c r="U193" t="inlineStr"/>
    </row>
    <row r="194" ht="22.2" customHeight="1" s="375">
      <c r="A194" s="3" t="n"/>
      <c r="B194" s="313" t="n"/>
      <c r="E194" s="3" t="n"/>
      <c r="F194" s="322" t="n"/>
      <c r="G194" s="321" t="inlineStr"/>
      <c r="H194" s="544" t="inlineStr"/>
      <c r="I194" s="544" t="inlineStr"/>
      <c r="J194" s="544" t="inlineStr"/>
      <c r="K194" s="374" t="n"/>
      <c r="L194" s="334" t="inlineStr"/>
      <c r="M194" s="334" t="inlineStr"/>
      <c r="N194" s="334" t="inlineStr"/>
      <c r="O194" s="354">
        <f>M194*N194</f>
        <v/>
      </c>
      <c r="P194" s="334" t="inlineStr"/>
      <c r="Q194" s="334" t="inlineStr"/>
      <c r="R194" s="334" t="inlineStr"/>
      <c r="S194" s="354">
        <f>Q194*R194</f>
        <v/>
      </c>
      <c r="T194" t="inlineStr"/>
      <c r="U194" t="inlineStr"/>
    </row>
    <row r="195" ht="22.2" customHeight="1" s="375">
      <c r="A195" s="3" t="n"/>
      <c r="E195" s="3" t="n"/>
      <c r="G195" s="344" t="inlineStr"/>
      <c r="H195" s="545" t="inlineStr"/>
      <c r="I195" s="545" t="inlineStr"/>
      <c r="J195" s="545" t="inlineStr"/>
      <c r="K195" s="527" t="n"/>
      <c r="L195" s="334" t="inlineStr"/>
      <c r="M195" s="334" t="inlineStr"/>
      <c r="N195" s="334" t="inlineStr"/>
      <c r="O195" s="354">
        <f>M195*N195</f>
        <v/>
      </c>
      <c r="P195" s="334" t="inlineStr"/>
      <c r="Q195" s="334" t="inlineStr"/>
      <c r="R195" s="334" t="inlineStr"/>
      <c r="S195" s="354">
        <f>Q195*R195</f>
        <v/>
      </c>
      <c r="T195" t="inlineStr"/>
      <c r="U195" t="inlineStr"/>
    </row>
    <row r="196" ht="22.2" customHeight="1" s="375">
      <c r="A196" s="3" t="n"/>
      <c r="B196" s="143" t="n"/>
      <c r="C196" s="144" t="n"/>
      <c r="D196" s="145" t="n"/>
      <c r="E196" s="146" t="n"/>
      <c r="F196" s="145" t="n"/>
      <c r="G196" s="533" t="inlineStr">
        <is>
          <t>อังคาร</t>
        </is>
      </c>
      <c r="H196" s="381" t="inlineStr">
        <is>
          <t>20101-2029</t>
        </is>
      </c>
      <c r="I196" s="376" t="inlineStr">
        <is>
          <t>ชย.3/5 (26)</t>
        </is>
      </c>
      <c r="J196" s="381" t="inlineStr">
        <is>
          <t>08:10 - 12:10</t>
        </is>
      </c>
      <c r="K196" s="135" t="n"/>
      <c r="L196" s="367" t="n">
        <v>4</v>
      </c>
      <c r="M196" s="381" t="inlineStr"/>
      <c r="N196" s="381" t="inlineStr"/>
      <c r="O196" s="354" t="inlineStr"/>
      <c r="P196" s="381" t="inlineStr"/>
      <c r="Q196" s="367" t="inlineStr"/>
      <c r="R196" s="381" t="inlineStr"/>
      <c r="S196" s="354" t="inlineStr"/>
      <c r="T196" t="inlineStr"/>
      <c r="U196" t="inlineStr"/>
    </row>
    <row r="197" ht="22.2" customHeight="1" s="375">
      <c r="A197" s="3" t="n"/>
      <c r="D197" s="314" t="n"/>
      <c r="E197" s="3" t="n"/>
      <c r="G197" s="535" t="inlineStr">
        <is>
          <t>22 ก.ย.69</t>
        </is>
      </c>
      <c r="H197" s="376" t="inlineStr">
        <is>
          <t>20101-2029</t>
        </is>
      </c>
      <c r="I197" s="376" t="inlineStr">
        <is>
          <t>ชย.3/5 (26)</t>
        </is>
      </c>
      <c r="J197" s="334" t="inlineStr">
        <is>
          <t>13:10 - 16:10</t>
        </is>
      </c>
      <c r="K197" s="374" t="n"/>
      <c r="L197" s="334" t="n">
        <v>3</v>
      </c>
      <c r="M197" s="334" t="inlineStr"/>
      <c r="N197" s="334" t="inlineStr"/>
      <c r="O197" s="354" t="inlineStr"/>
      <c r="P197" s="334" t="inlineStr"/>
      <c r="Q197" s="334" t="inlineStr"/>
      <c r="R197" s="334" t="inlineStr"/>
      <c r="S197" s="354" t="inlineStr"/>
      <c r="T197" t="inlineStr"/>
      <c r="U197" t="inlineStr"/>
    </row>
    <row r="198" ht="22.2" customHeight="1" s="375">
      <c r="A198" s="3" t="n"/>
      <c r="B198" s="313" t="n"/>
      <c r="D198" s="314" t="n"/>
      <c r="E198" s="314" t="n"/>
      <c r="G198" s="334" t="inlineStr"/>
      <c r="H198" s="376" t="inlineStr"/>
      <c r="I198" s="376" t="inlineStr"/>
      <c r="J198" s="334" t="inlineStr"/>
      <c r="K198" s="374" t="n"/>
      <c r="L198" s="334" t="inlineStr"/>
      <c r="M198" s="334" t="inlineStr"/>
      <c r="N198" s="334" t="inlineStr"/>
      <c r="O198" s="354" t="inlineStr"/>
      <c r="P198" s="334" t="inlineStr"/>
      <c r="Q198" s="334" t="inlineStr"/>
      <c r="R198" s="334" t="inlineStr"/>
      <c r="S198" s="354" t="inlineStr"/>
      <c r="T198" t="inlineStr"/>
      <c r="U198" t="inlineStr"/>
    </row>
    <row r="199" ht="22.2" customHeight="1" s="375">
      <c r="A199" s="3" t="n"/>
      <c r="E199" s="3" t="n"/>
      <c r="G199" s="54" t="inlineStr"/>
      <c r="H199" s="334" t="inlineStr"/>
      <c r="I199" s="334" t="inlineStr"/>
      <c r="J199" s="334" t="inlineStr"/>
      <c r="K199" s="374" t="n"/>
      <c r="L199" s="334" t="inlineStr"/>
      <c r="M199" s="334" t="inlineStr"/>
      <c r="N199" s="334" t="inlineStr"/>
      <c r="O199" s="354" t="inlineStr"/>
      <c r="P199" s="334" t="inlineStr"/>
      <c r="Q199" s="334" t="inlineStr"/>
      <c r="R199" s="334" t="inlineStr"/>
      <c r="S199" s="354" t="inlineStr"/>
      <c r="T199" t="inlineStr"/>
      <c r="U199" t="inlineStr"/>
    </row>
    <row r="200" ht="22.2" customHeight="1" s="375">
      <c r="A200" s="3" t="n"/>
      <c r="D200" s="7" t="inlineStr">
        <is>
          <t> </t>
        </is>
      </c>
      <c r="E200" s="3" t="n"/>
      <c r="G200" s="55" t="inlineStr"/>
      <c r="H200" s="336" t="inlineStr"/>
      <c r="I200" s="336" t="inlineStr"/>
      <c r="J200" s="336" t="inlineStr"/>
      <c r="K200" s="527" t="n"/>
      <c r="L200" s="334" t="inlineStr"/>
      <c r="M200" s="334" t="inlineStr"/>
      <c r="N200" s="334" t="inlineStr"/>
      <c r="O200" s="354" t="inlineStr"/>
      <c r="P200" s="334" t="inlineStr"/>
      <c r="Q200" s="334" t="inlineStr"/>
      <c r="R200" s="334" t="inlineStr"/>
      <c r="S200" s="354" t="inlineStr"/>
      <c r="T200" t="inlineStr"/>
      <c r="U200" t="inlineStr"/>
    </row>
    <row r="201" ht="22.2" customHeight="1" s="375">
      <c r="A201" s="3" t="n"/>
      <c r="E201" s="3" t="n"/>
      <c r="G201" s="535" t="inlineStr">
        <is>
          <t>พุธ</t>
        </is>
      </c>
      <c r="H201" s="376" t="inlineStr">
        <is>
          <t>20101-2029</t>
        </is>
      </c>
      <c r="I201" s="376" t="inlineStr">
        <is>
          <t>ชย.3/8 (26)</t>
        </is>
      </c>
      <c r="J201" s="381" t="inlineStr">
        <is>
          <t>08:10 - 12:10</t>
        </is>
      </c>
      <c r="K201" s="135" t="n"/>
      <c r="L201" s="367" t="n">
        <v>4</v>
      </c>
      <c r="M201" s="381" t="inlineStr"/>
      <c r="N201" s="381" t="inlineStr"/>
      <c r="O201" s="354" t="inlineStr"/>
      <c r="P201" s="381" t="inlineStr"/>
      <c r="Q201" s="367" t="inlineStr"/>
      <c r="R201" s="381" t="inlineStr"/>
      <c r="S201" s="354" t="inlineStr"/>
      <c r="T201" s="23" t="inlineStr"/>
      <c r="U201" s="23" t="inlineStr"/>
      <c r="V201" s="56" t="n"/>
      <c r="W201" s="23" t="n"/>
      <c r="X201" s="23" t="n"/>
    </row>
    <row r="202" ht="22.2" customHeight="1" s="375">
      <c r="A202" s="3" t="n"/>
      <c r="B202" s="321" t="n"/>
      <c r="C202" s="322" t="n"/>
      <c r="D202" s="322" t="n"/>
      <c r="E202" s="334" t="n"/>
      <c r="G202" s="535" t="inlineStr">
        <is>
          <t>23 ก.ย.69</t>
        </is>
      </c>
      <c r="H202" s="376" t="inlineStr">
        <is>
          <t>20101-2029</t>
        </is>
      </c>
      <c r="I202" s="376" t="inlineStr">
        <is>
          <t>ชย.3/8 (26)</t>
        </is>
      </c>
      <c r="J202" s="334" t="inlineStr">
        <is>
          <t>13:10 - 16:10</t>
        </is>
      </c>
      <c r="K202" s="374" t="n"/>
      <c r="L202" s="334" t="inlineStr"/>
      <c r="M202" s="334" t="n">
        <v>3</v>
      </c>
      <c r="N202" s="334" t="n">
        <v>200</v>
      </c>
      <c r="O202" s="354">
        <f>M202*N202</f>
        <v/>
      </c>
      <c r="P202" s="334" t="inlineStr"/>
      <c r="Q202" s="334" t="inlineStr"/>
      <c r="R202" s="334" t="inlineStr"/>
      <c r="S202" s="354" t="inlineStr"/>
      <c r="T202" s="23" t="inlineStr"/>
      <c r="U202" s="23" t="inlineStr"/>
      <c r="V202" s="56" t="n"/>
      <c r="W202" s="23" t="n"/>
      <c r="X202" s="23" t="n"/>
    </row>
    <row r="203" ht="22.2" customHeight="1" s="375">
      <c r="A203" s="3" t="n"/>
      <c r="B203" s="313" t="n"/>
      <c r="D203" s="314" t="n"/>
      <c r="E203" s="314" t="n"/>
      <c r="G203" s="334" t="inlineStr"/>
      <c r="H203" s="376" t="inlineStr"/>
      <c r="I203" s="376" t="inlineStr"/>
      <c r="J203" s="334" t="inlineStr"/>
      <c r="K203" s="374" t="n"/>
      <c r="L203" s="334" t="inlineStr"/>
      <c r="M203" s="334" t="inlineStr"/>
      <c r="N203" s="334" t="inlineStr"/>
      <c r="O203" s="354" t="inlineStr"/>
      <c r="P203" s="334" t="inlineStr"/>
      <c r="Q203" s="334" t="inlineStr"/>
      <c r="R203" s="334" t="inlineStr"/>
      <c r="S203" s="354" t="inlineStr"/>
      <c r="T203" t="inlineStr"/>
      <c r="U203" t="inlineStr"/>
    </row>
    <row r="204" ht="22.2" customHeight="1" s="375">
      <c r="A204" s="3" t="n"/>
      <c r="E204" s="3" t="n"/>
      <c r="G204" s="321" t="inlineStr"/>
      <c r="H204" s="321" t="inlineStr"/>
      <c r="I204" s="334" t="inlineStr"/>
      <c r="J204" s="334" t="inlineStr"/>
      <c r="K204" s="374" t="n"/>
      <c r="L204" s="334" t="inlineStr"/>
      <c r="M204" s="334" t="inlineStr"/>
      <c r="N204" s="334" t="inlineStr"/>
      <c r="O204" s="354" t="inlineStr"/>
      <c r="P204" s="334" t="inlineStr"/>
      <c r="Q204" s="334" t="inlineStr"/>
      <c r="R204" s="334" t="inlineStr"/>
      <c r="S204" s="354" t="inlineStr"/>
      <c r="T204" t="inlineStr"/>
      <c r="U204" t="inlineStr"/>
    </row>
    <row r="205" ht="22.2" customHeight="1" s="375">
      <c r="A205" s="3" t="n"/>
      <c r="E205" s="3" t="n"/>
      <c r="G205" s="327" t="inlineStr"/>
      <c r="H205" s="327" t="inlineStr"/>
      <c r="I205" s="336" t="inlineStr"/>
      <c r="J205" s="336" t="inlineStr"/>
      <c r="K205" s="527" t="n"/>
      <c r="L205" s="336" t="inlineStr"/>
      <c r="M205" s="336" t="inlineStr"/>
      <c r="N205" s="336" t="inlineStr"/>
      <c r="O205" s="354" t="inlineStr"/>
      <c r="P205" s="336" t="inlineStr"/>
      <c r="Q205" s="336" t="inlineStr"/>
      <c r="R205" s="336" t="inlineStr"/>
      <c r="S205" s="354" t="inlineStr"/>
      <c r="T205" t="inlineStr"/>
      <c r="U205" t="inlineStr"/>
    </row>
    <row r="206" ht="22.2" customHeight="1" s="375">
      <c r="A206" s="3" t="n"/>
      <c r="E206" s="3" t="n"/>
      <c r="G206" s="533" t="inlineStr">
        <is>
          <t>พฤหัส</t>
        </is>
      </c>
      <c r="H206" s="376" t="inlineStr">
        <is>
          <t>20101-2016</t>
        </is>
      </c>
      <c r="I206" s="376" t="inlineStr">
        <is>
          <t>ชย.1/1,ชย.1/2 (26)</t>
        </is>
      </c>
      <c r="J206" s="381" t="inlineStr">
        <is>
          <t>08:10 - 10:10</t>
        </is>
      </c>
      <c r="K206" s="135" t="n"/>
      <c r="L206" s="334" t="inlineStr"/>
      <c r="M206" s="334" t="n">
        <v>2</v>
      </c>
      <c r="N206" s="334" t="n">
        <v>200</v>
      </c>
      <c r="O206" s="354">
        <f>M206*N206</f>
        <v/>
      </c>
      <c r="P206" s="334" t="inlineStr"/>
      <c r="Q206" s="367" t="inlineStr"/>
      <c r="R206" s="381" t="inlineStr"/>
      <c r="S206" s="354" t="inlineStr"/>
      <c r="T206" t="inlineStr"/>
      <c r="U206" t="inlineStr"/>
    </row>
    <row r="207" ht="22.2" customHeight="1" s="375">
      <c r="A207" s="3" t="n"/>
      <c r="E207" s="3" t="n"/>
      <c r="G207" s="535" t="inlineStr">
        <is>
          <t>24 ก.ย.69</t>
        </is>
      </c>
      <c r="H207" s="334" t="inlineStr">
        <is>
          <t>20000-2007</t>
        </is>
      </c>
      <c r="I207" s="376" t="inlineStr">
        <is>
          <t>ชย.3/1,ชย.3/2,ชย.3/3 (26)</t>
        </is>
      </c>
      <c r="J207" s="334" t="inlineStr">
        <is>
          <t>13:10 - 15:10</t>
        </is>
      </c>
      <c r="K207" s="374" t="n"/>
      <c r="L207" s="334" t="n">
        <v>2</v>
      </c>
      <c r="M207" s="334" t="inlineStr"/>
      <c r="N207" s="334" t="inlineStr"/>
      <c r="O207" s="354" t="inlineStr"/>
      <c r="P207" s="334" t="inlineStr"/>
      <c r="Q207" s="334" t="inlineStr"/>
      <c r="R207" s="334" t="inlineStr"/>
      <c r="S207" s="354" t="inlineStr"/>
      <c r="T207" t="inlineStr"/>
      <c r="U207" t="inlineStr"/>
    </row>
    <row r="208" ht="22.2" customHeight="1" s="375">
      <c r="A208" s="3" t="n"/>
      <c r="E208" s="3" t="n"/>
      <c r="G208" s="334" t="inlineStr"/>
      <c r="H208" s="376" t="inlineStr"/>
      <c r="I208" s="376" t="inlineStr"/>
      <c r="J208" s="376" t="inlineStr"/>
      <c r="K208" s="374" t="n"/>
      <c r="L208" s="376" t="inlineStr"/>
      <c r="M208" s="376" t="inlineStr"/>
      <c r="N208" s="376" t="inlineStr"/>
      <c r="O208" s="354" t="inlineStr"/>
      <c r="P208" s="376" t="inlineStr"/>
      <c r="Q208" s="376" t="inlineStr"/>
      <c r="R208" s="376" t="inlineStr"/>
      <c r="S208" s="354" t="inlineStr"/>
      <c r="T208" t="inlineStr"/>
      <c r="U208" t="inlineStr"/>
    </row>
    <row r="209" ht="22.2" customHeight="1" s="375">
      <c r="A209" s="3" t="n"/>
      <c r="E209" s="3" t="n"/>
      <c r="G209" s="334" t="inlineStr"/>
      <c r="H209" s="334" t="inlineStr"/>
      <c r="I209" s="334" t="inlineStr"/>
      <c r="J209" s="334" t="inlineStr"/>
      <c r="K209" s="374" t="n"/>
      <c r="L209" s="334" t="inlineStr"/>
      <c r="M209" s="334" t="inlineStr"/>
      <c r="N209" s="334" t="inlineStr"/>
      <c r="O209" s="354" t="inlineStr"/>
      <c r="P209" s="334" t="inlineStr"/>
      <c r="Q209" s="334" t="inlineStr"/>
      <c r="R209" s="334" t="inlineStr"/>
      <c r="S209" s="354" t="inlineStr"/>
      <c r="T209" t="inlineStr"/>
      <c r="U209" t="inlineStr"/>
    </row>
    <row r="210" ht="22.2" customHeight="1" s="375">
      <c r="A210" s="3" t="n"/>
      <c r="E210" s="3" t="n"/>
      <c r="G210" s="336" t="inlineStr"/>
      <c r="H210" s="328" t="inlineStr"/>
      <c r="I210" s="336" t="inlineStr"/>
      <c r="J210" s="336" t="inlineStr"/>
      <c r="K210" s="527" t="n"/>
      <c r="L210" s="336" t="inlineStr"/>
      <c r="M210" s="336" t="inlineStr"/>
      <c r="N210" s="336" t="inlineStr"/>
      <c r="O210" s="354" t="inlineStr"/>
      <c r="P210" s="336" t="inlineStr"/>
      <c r="Q210" s="336" t="inlineStr"/>
      <c r="R210" s="336" t="inlineStr"/>
      <c r="S210" s="354" t="inlineStr"/>
      <c r="T210" t="inlineStr"/>
      <c r="U210" t="inlineStr"/>
    </row>
    <row r="211" ht="22.2" customHeight="1" s="375">
      <c r="A211" s="3" t="n"/>
      <c r="E211" s="3" t="n"/>
      <c r="G211" s="533" t="inlineStr">
        <is>
          <t>ศุกร์</t>
        </is>
      </c>
      <c r="H211" s="376" t="inlineStr">
        <is>
          <t>20101-2018</t>
        </is>
      </c>
      <c r="I211" s="376" t="inlineStr">
        <is>
          <t>ชย.3/1,ชย.3/2 (26)</t>
        </is>
      </c>
      <c r="J211" s="381" t="inlineStr">
        <is>
          <t>18:10 - 21:10</t>
        </is>
      </c>
      <c r="K211" s="135" t="n"/>
      <c r="L211" s="334" t="inlineStr"/>
      <c r="M211" s="334" t="n">
        <v>3</v>
      </c>
      <c r="N211" s="334" t="n">
        <v>200</v>
      </c>
      <c r="O211" s="354">
        <f>M211*N211</f>
        <v/>
      </c>
      <c r="P211" s="381" t="inlineStr"/>
      <c r="Q211" s="367" t="inlineStr"/>
      <c r="R211" s="381" t="inlineStr"/>
      <c r="S211" s="354" t="inlineStr"/>
      <c r="T211" t="inlineStr"/>
      <c r="U211" t="inlineStr"/>
    </row>
    <row r="212" ht="22.2" customHeight="1" s="375">
      <c r="A212" s="3" t="n"/>
      <c r="B212" s="143" t="n"/>
      <c r="C212" s="144" t="n"/>
      <c r="D212" s="145" t="n"/>
      <c r="E212" s="146" t="n"/>
      <c r="F212" s="145" t="n"/>
      <c r="G212" s="535" t="inlineStr">
        <is>
          <t>25 ก.ย.69</t>
        </is>
      </c>
      <c r="H212" s="376" t="inlineStr"/>
      <c r="I212" s="376" t="inlineStr"/>
      <c r="J212" s="334" t="inlineStr"/>
      <c r="K212" s="374" t="n"/>
      <c r="L212" s="334" t="inlineStr"/>
      <c r="M212" s="334" t="inlineStr"/>
      <c r="N212" s="334" t="inlineStr"/>
      <c r="O212" s="354" t="inlineStr"/>
      <c r="P212" s="334" t="inlineStr"/>
      <c r="Q212" s="334" t="inlineStr"/>
      <c r="R212" s="334" t="inlineStr"/>
      <c r="S212" s="354" t="inlineStr"/>
      <c r="T212" t="inlineStr"/>
      <c r="U212" t="inlineStr"/>
    </row>
    <row r="213" ht="22.2" customHeight="1" s="375">
      <c r="A213" s="3" t="n"/>
      <c r="E213" s="3" t="n"/>
      <c r="G213" s="334" t="inlineStr"/>
      <c r="H213" s="376" t="inlineStr"/>
      <c r="I213" s="376" t="inlineStr"/>
      <c r="J213" s="334" t="inlineStr"/>
      <c r="K213" s="374" t="n"/>
      <c r="L213" s="334" t="inlineStr"/>
      <c r="M213" s="334" t="inlineStr"/>
      <c r="N213" s="334" t="inlineStr"/>
      <c r="O213" s="354" t="inlineStr"/>
      <c r="P213" s="334" t="inlineStr"/>
      <c r="Q213" s="334" t="inlineStr"/>
      <c r="R213" s="334" t="inlineStr"/>
      <c r="S213" s="354" t="inlineStr"/>
      <c r="T213" t="inlineStr"/>
      <c r="U213" t="inlineStr"/>
    </row>
    <row r="214" ht="22.2" customHeight="1" s="375">
      <c r="A214" s="3" t="n"/>
      <c r="E214" s="3" t="n"/>
      <c r="G214" s="334" t="inlineStr"/>
      <c r="H214" s="334" t="inlineStr"/>
      <c r="I214" s="334" t="inlineStr"/>
      <c r="J214" s="334" t="inlineStr"/>
      <c r="K214" s="374" t="n"/>
      <c r="L214" s="334" t="inlineStr"/>
      <c r="M214" s="334" t="inlineStr"/>
      <c r="N214" s="334" t="inlineStr"/>
      <c r="O214" s="354" t="inlineStr"/>
      <c r="P214" s="334" t="inlineStr"/>
      <c r="Q214" s="334" t="inlineStr"/>
      <c r="R214" s="334" t="inlineStr"/>
      <c r="S214" s="354" t="inlineStr"/>
      <c r="T214" t="inlineStr"/>
      <c r="U214" t="inlineStr"/>
    </row>
    <row r="215" ht="22.2" customHeight="1" s="375">
      <c r="A215" s="3" t="n"/>
      <c r="E215" s="3" t="n"/>
      <c r="F215" s="3" t="n"/>
      <c r="G215" s="329" t="inlineStr"/>
      <c r="H215" s="328" t="inlineStr"/>
      <c r="I215" s="336" t="inlineStr"/>
      <c r="J215" s="336" t="inlineStr"/>
      <c r="K215" s="527" t="n"/>
      <c r="L215" s="336" t="inlineStr"/>
      <c r="M215" s="336" t="inlineStr"/>
      <c r="N215" s="336" t="inlineStr"/>
      <c r="O215" s="354" t="inlineStr"/>
      <c r="P215" s="336" t="inlineStr"/>
      <c r="Q215" s="336" t="inlineStr"/>
      <c r="R215" s="336" t="inlineStr"/>
      <c r="S215" s="354" t="inlineStr"/>
      <c r="T215" t="inlineStr"/>
      <c r="U215" t="inlineStr"/>
    </row>
    <row r="216" ht="22.2" customHeight="1" s="375">
      <c r="A216" s="3" t="n"/>
      <c r="E216" s="3" t="n"/>
      <c r="F216" s="3" t="n"/>
      <c r="G216" s="16" t="inlineStr">
        <is>
          <t>รวมขั่วโมงที่สอนแยก ภาระงาน/ เกินภาระงาน</t>
        </is>
      </c>
      <c r="H216" s="518" t="n"/>
      <c r="I216" s="518" t="n"/>
      <c r="J216" s="518" t="n"/>
      <c r="K216" s="432" t="n"/>
      <c r="L216" s="16">
        <f>SUM(L191:L215)</f>
        <v/>
      </c>
      <c r="M216" s="16">
        <f>SUM(M191:M215)</f>
        <v/>
      </c>
      <c r="N216" s="16" t="n"/>
      <c r="O216" s="16" t="n"/>
      <c r="P216" s="16">
        <f>SUM(P191:P215)</f>
        <v/>
      </c>
      <c r="Q216" s="16">
        <f>SUM(Q191:Q215)</f>
        <v/>
      </c>
      <c r="R216" s="349" t="n"/>
      <c r="S216" s="16" t="n"/>
    </row>
    <row r="217" ht="22.2" customHeight="1" s="375">
      <c r="A217" s="3" t="n"/>
      <c r="E217" s="3" t="n"/>
      <c r="F217" s="3" t="n"/>
      <c r="G217" s="16" t="inlineStr">
        <is>
          <t>รวมจำนวนชั่วโมงสอนคาบต่อสับดาห์</t>
        </is>
      </c>
      <c r="H217" s="518" t="n"/>
      <c r="I217" s="518" t="n"/>
      <c r="J217" s="518" t="n"/>
      <c r="K217" s="432" t="n"/>
      <c r="L217" s="16">
        <f>L216+M216</f>
        <v/>
      </c>
      <c r="M217" s="432" t="n"/>
      <c r="N217" s="16" t="n"/>
      <c r="O217" s="348" t="n"/>
      <c r="P217" s="16">
        <f>P216+Q216</f>
        <v/>
      </c>
      <c r="Q217" s="432" t="n"/>
      <c r="R217" s="329" t="n"/>
      <c r="S217" s="336" t="n"/>
    </row>
    <row r="218" ht="22.2" customHeight="1" s="375">
      <c r="A218" s="3" t="n"/>
      <c r="E218" s="3" t="n"/>
      <c r="F218" s="3" t="n"/>
      <c r="G218" s="16" t="inlineStr">
        <is>
          <t>จำนวนชั่วโมงสอนตามภาระงานสอน</t>
        </is>
      </c>
      <c r="H218" s="518" t="n"/>
      <c r="I218" s="518" t="n"/>
      <c r="J218" s="518" t="n"/>
      <c r="K218" s="432" t="n"/>
      <c r="L218" s="16" t="n">
        <v>18</v>
      </c>
      <c r="M218" s="432" t="n"/>
      <c r="N218" s="348" t="n"/>
      <c r="O218" s="16" t="n"/>
      <c r="P218" s="16" t="n">
        <v>0</v>
      </c>
      <c r="Q218" s="432" t="n"/>
      <c r="R218" s="322" t="n"/>
      <c r="S218" s="334" t="n"/>
    </row>
    <row r="219" ht="22.2" customHeight="1" s="375" thickBot="1">
      <c r="A219" s="3" t="n"/>
      <c r="E219" s="3" t="n"/>
      <c r="F219" s="14" t="n"/>
      <c r="G219" s="16" t="inlineStr">
        <is>
          <t>จำนวนชั่วโมงบิกเกินภาระงานสอน/ค่าสอน</t>
        </is>
      </c>
      <c r="H219" s="518" t="n"/>
      <c r="I219" s="518" t="n"/>
      <c r="J219" s="518" t="n"/>
      <c r="K219" s="432" t="n"/>
      <c r="L219" s="17" t="n">
        <v>0</v>
      </c>
      <c r="M219" s="17">
        <f>SUM(M191:M215)</f>
        <v/>
      </c>
      <c r="N219" s="17" t="n"/>
      <c r="O219" s="17">
        <f>SUM(O191:O215)</f>
        <v/>
      </c>
      <c r="P219" s="17" t="n">
        <v>0</v>
      </c>
      <c r="Q219" s="17">
        <f>SUM(Q191:Q215)</f>
        <v/>
      </c>
      <c r="R219" s="18" t="n"/>
      <c r="S219" s="17">
        <f>SUM(S191:S215)</f>
        <v/>
      </c>
    </row>
    <row r="220" ht="22.2" customHeight="1" s="375" thickTop="1">
      <c r="A220" s="337" t="inlineStr">
        <is>
          <t>รวมจำนวนหน่วยชั่วโมงที่ขอเบิกค่าสอน ….</t>
        </is>
      </c>
      <c r="B220" s="518" t="n"/>
      <c r="C220" s="518" t="n"/>
      <c r="D220" s="518" t="n"/>
      <c r="E220" s="518" t="n"/>
      <c r="F220" s="518" t="n"/>
      <c r="G220" s="518" t="n"/>
      <c r="H220" s="348">
        <f>M219+Q219</f>
        <v/>
      </c>
      <c r="I220" s="348" t="inlineStr">
        <is>
          <t>….ชั่วโมง</t>
        </is>
      </c>
      <c r="J220" s="348" t="n"/>
      <c r="K220" s="328" t="inlineStr">
        <is>
          <t>ยอดเงินรวม</t>
        </is>
      </c>
      <c r="L220" s="522" t="n"/>
      <c r="M220" s="522" t="n"/>
      <c r="N220" s="328" t="n"/>
      <c r="O220" s="328" t="n"/>
      <c r="P220" s="339">
        <f>S219+O219</f>
        <v/>
      </c>
      <c r="Q220" s="538" t="n"/>
      <c r="R220" s="20" t="n"/>
      <c r="S220" s="19" t="inlineStr">
        <is>
          <t>..บาท</t>
        </is>
      </c>
    </row>
    <row r="221" ht="22.2" customHeight="1" s="375">
      <c r="A221" s="154" t="inlineStr">
        <is>
          <t>ผู้ขอเบิก</t>
        </is>
      </c>
      <c r="B221" s="153" t="n"/>
      <c r="C221" s="153" t="n"/>
      <c r="D221" s="153" t="n"/>
      <c r="E221" s="153" t="n"/>
      <c r="F221" s="153" t="n"/>
      <c r="G221" s="135" t="n"/>
      <c r="H221" s="154" t="inlineStr">
        <is>
          <t>ผู้รับรอง</t>
        </is>
      </c>
      <c r="I221" s="153" t="n"/>
      <c r="J221" s="153" t="n"/>
      <c r="K221" s="153" t="n"/>
      <c r="L221" s="135" t="n"/>
      <c r="M221" s="154" t="inlineStr">
        <is>
          <t>ผู้ตรวจ</t>
        </is>
      </c>
      <c r="N221" s="153" t="n"/>
      <c r="O221" s="153" t="n"/>
      <c r="P221" s="153" t="n"/>
      <c r="Q221" s="153" t="n"/>
      <c r="R221" s="153" t="n"/>
      <c r="S221" s="135" t="n"/>
    </row>
    <row r="222" ht="22.2" customHeight="1" s="375">
      <c r="A222" s="334" t="inlineStr">
        <is>
          <t>ลงชื่อ……………………………………………</t>
        </is>
      </c>
      <c r="G222" s="374" t="n"/>
      <c r="H222" s="334" t="inlineStr">
        <is>
          <t>ลงชื่อ……………………………………………</t>
        </is>
      </c>
      <c r="L222" s="374" t="n"/>
      <c r="M222" s="334" t="inlineStr">
        <is>
          <t>ลงชื่อ……………………………………………</t>
        </is>
      </c>
      <c r="S222" s="374" t="n"/>
    </row>
    <row r="223" ht="22.2" customHeight="1" s="375">
      <c r="A223" s="11" t="inlineStr">
        <is>
          <t>(</t>
        </is>
      </c>
      <c r="B223" s="324">
        <f>B191</f>
        <v/>
      </c>
      <c r="G223" s="326" t="inlineStr">
        <is>
          <t>)</t>
        </is>
      </c>
      <c r="H223" s="324" t="inlineStr">
        <is>
          <t>(</t>
        </is>
      </c>
      <c r="I223" s="340">
        <f>I177</f>
        <v/>
      </c>
      <c r="L223" s="12" t="inlineStr">
        <is>
          <t>)</t>
        </is>
      </c>
      <c r="M223" s="53" t="inlineStr">
        <is>
          <t>(</t>
        </is>
      </c>
      <c r="N223" s="53" t="n"/>
      <c r="O223" s="324">
        <f>O39</f>
        <v/>
      </c>
      <c r="R223" s="25" t="n"/>
      <c r="S223" s="326" t="inlineStr">
        <is>
          <t>)</t>
        </is>
      </c>
    </row>
    <row r="224" ht="22.2" customHeight="1" s="375">
      <c r="A224" s="540" t="inlineStr">
        <is>
          <t xml:space="preserve">                         ตำแหน่ง  ครู</t>
        </is>
      </c>
      <c r="G224" s="374" t="n"/>
      <c r="H224" s="54" t="inlineStr">
        <is>
          <t>ตำแหน่ง หัวหน้าแผนก</t>
        </is>
      </c>
      <c r="L224" s="374" t="n"/>
      <c r="M224" s="54" t="inlineStr">
        <is>
          <t>ตำแหน่ง   ผู้ตรวจสอบ</t>
        </is>
      </c>
      <c r="S224" s="374" t="n"/>
    </row>
    <row r="225" ht="22.2" customHeight="1" s="375">
      <c r="A225" s="55" t="inlineStr">
        <is>
          <t>วันที่ 28 เดือน กันยายน  พ.ศ.2569</t>
        </is>
      </c>
      <c r="B225" s="522" t="n"/>
      <c r="C225" s="522" t="n"/>
      <c r="D225" s="522" t="n"/>
      <c r="E225" s="522" t="n"/>
      <c r="F225" s="522" t="n"/>
      <c r="G225" s="527" t="n"/>
      <c r="H225" s="54">
        <f>A41</f>
        <v/>
      </c>
      <c r="L225" s="374" t="n"/>
      <c r="M225" s="55">
        <f>A41</f>
        <v/>
      </c>
      <c r="N225" s="522" t="n"/>
      <c r="O225" s="522" t="n"/>
      <c r="P225" s="522" t="n"/>
      <c r="Q225" s="522" t="n"/>
      <c r="R225" s="522" t="n"/>
      <c r="S225" s="527" t="n"/>
    </row>
    <row r="226" ht="22.2" customHeight="1" s="375">
      <c r="A226" s="154" t="inlineStr">
        <is>
          <t>ผู้ตรวจ</t>
        </is>
      </c>
      <c r="B226" s="153" t="n"/>
      <c r="C226" s="153" t="n"/>
      <c r="D226" s="153" t="n"/>
      <c r="E226" s="153" t="n"/>
      <c r="F226" s="153" t="n"/>
      <c r="G226" s="153" t="n"/>
      <c r="H226" s="153" t="n"/>
      <c r="I226" s="135" t="n"/>
      <c r="J226" s="154" t="inlineStr">
        <is>
          <t>ผู้เห็นชอบ</t>
        </is>
      </c>
      <c r="K226" s="153" t="n"/>
      <c r="L226" s="153" t="n"/>
      <c r="M226" s="153" t="n"/>
      <c r="N226" s="153" t="n"/>
      <c r="O226" s="153" t="n"/>
      <c r="P226" s="153" t="n"/>
      <c r="Q226" s="153" t="n"/>
      <c r="R226" s="153" t="n"/>
      <c r="S226" s="135" t="n"/>
    </row>
    <row r="227" ht="22.2" customHeight="1" s="375">
      <c r="A227" s="334" t="inlineStr">
        <is>
          <t>ลงชื่อ……………………………………………</t>
        </is>
      </c>
      <c r="I227" s="374" t="n"/>
      <c r="J227" s="334" t="inlineStr">
        <is>
          <t>ลงชื่อ……………………………………………</t>
        </is>
      </c>
      <c r="S227" s="374" t="n"/>
    </row>
    <row r="228" ht="22.2" customHeight="1" s="375">
      <c r="A228" s="11" t="n"/>
      <c r="B228" s="324">
        <f>B44</f>
        <v/>
      </c>
      <c r="I228" s="326" t="n"/>
      <c r="J228" s="25" t="n"/>
      <c r="K228" s="25" t="n"/>
      <c r="L228" s="324">
        <f>L44</f>
        <v/>
      </c>
      <c r="R228" s="25" t="n"/>
      <c r="S228" s="12" t="n"/>
    </row>
    <row r="229" ht="22.2" customHeight="1" s="375">
      <c r="A229" s="54" t="inlineStr">
        <is>
          <t>ตำแหน่งครู  หัวหน้างานพัฒนาหลักสูตร ฯ</t>
        </is>
      </c>
      <c r="I229" s="374" t="n"/>
      <c r="J229" s="54" t="inlineStr">
        <is>
          <t>ตำแหน่ง  รองผู้อำนวยการฝ่ายวิชาการ</t>
        </is>
      </c>
      <c r="S229" s="374" t="n"/>
    </row>
    <row r="230" ht="22.2" customHeight="1" s="375">
      <c r="A230" s="336" t="inlineStr">
        <is>
          <t>วันที่.......เดือน..........................พ.ศ..............</t>
        </is>
      </c>
      <c r="B230" s="522" t="n"/>
      <c r="C230" s="522" t="n"/>
      <c r="D230" s="522" t="n"/>
      <c r="E230" s="522" t="n"/>
      <c r="F230" s="522" t="n"/>
      <c r="G230" s="522" t="n"/>
      <c r="H230" s="522" t="n"/>
      <c r="I230" s="527" t="n"/>
      <c r="J230" s="336" t="inlineStr">
        <is>
          <t>วันที่.......เดือน..........................พ.ศ..............</t>
        </is>
      </c>
      <c r="K230" s="522" t="n"/>
      <c r="L230" s="522" t="n"/>
      <c r="M230" s="522" t="n"/>
      <c r="N230" s="522" t="n"/>
      <c r="O230" s="522" t="n"/>
      <c r="P230" s="522" t="n"/>
      <c r="Q230" s="522" t="n"/>
      <c r="R230" s="522" t="n"/>
      <c r="S230" s="527" t="n"/>
    </row>
    <row r="231" ht="22.2" customHeight="1" s="375">
      <c r="A231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75">
      <c r="A232" s="365" t="inlineStr">
        <is>
          <t>แผนกวิชาช่างยนต์</t>
        </is>
      </c>
    </row>
    <row r="233" ht="22.2" customHeight="1" s="375">
      <c r="A233" s="366" t="inlineStr">
        <is>
          <t xml:space="preserve">    ระหว่างวันที่</t>
        </is>
      </c>
      <c r="D233" s="365">
        <f>D3</f>
        <v/>
      </c>
      <c r="E233" s="365" t="inlineStr">
        <is>
          <t xml:space="preserve">   เดือน  </t>
        </is>
      </c>
      <c r="F233" s="365">
        <f>F3</f>
        <v/>
      </c>
      <c r="H233" s="365">
        <f>H3</f>
        <v/>
      </c>
      <c r="I233" s="365" t="inlineStr">
        <is>
          <t xml:space="preserve">     ถึง วันที่</t>
        </is>
      </c>
      <c r="J233" s="365">
        <f>J3</f>
        <v/>
      </c>
      <c r="K233" s="365" t="inlineStr">
        <is>
          <t xml:space="preserve">   เดือน </t>
        </is>
      </c>
      <c r="L233" s="365">
        <f>L3</f>
        <v/>
      </c>
      <c r="N233" s="365">
        <f>N3</f>
        <v/>
      </c>
      <c r="P233" s="365" t="n"/>
      <c r="R233" s="365" t="n"/>
    </row>
    <row r="234" ht="22.2" customHeight="1" s="375">
      <c r="G234" s="51" t="inlineStr">
        <is>
          <t>ü</t>
        </is>
      </c>
      <c r="H234" s="351" t="inlineStr">
        <is>
          <t>ครู</t>
        </is>
      </c>
      <c r="I234" s="322" t="inlineStr">
        <is>
          <t>หน้าที่พิเศษ</t>
        </is>
      </c>
      <c r="J234" s="382" t="inlineStr">
        <is>
          <t>ผู้ช่วยงานการเงิน, อาคารสถานที่, โครงการพิเศษและการบริการสังคม</t>
        </is>
      </c>
      <c r="K234" s="522" t="n"/>
      <c r="L234" s="522" t="n"/>
      <c r="M234" s="522" t="n"/>
      <c r="N234" s="522" t="n"/>
      <c r="O234" s="522" t="n"/>
    </row>
    <row r="235" ht="22.2" customHeight="1" s="375">
      <c r="A235" s="24" t="inlineStr">
        <is>
          <t>ที่</t>
        </is>
      </c>
      <c r="B235" s="24" t="inlineStr">
        <is>
          <t>ชื่อ-สกุล</t>
        </is>
      </c>
      <c r="C235" s="153" t="n"/>
      <c r="D235" s="135" t="n"/>
      <c r="E235" s="15" t="inlineStr">
        <is>
          <t>ตำแหน่ง</t>
        </is>
      </c>
      <c r="F235" s="16" t="inlineStr">
        <is>
          <t>ระยะเวลาที่สอน</t>
        </is>
      </c>
      <c r="G235" s="432" t="n"/>
      <c r="H235" s="16" t="inlineStr">
        <is>
          <t>รหัสวิชา</t>
        </is>
      </c>
      <c r="I235" s="362" t="inlineStr">
        <is>
          <t>ชั้น,แผนก,ห้อง</t>
        </is>
      </c>
      <c r="J235" s="16" t="inlineStr">
        <is>
          <t>เวลาสอน</t>
        </is>
      </c>
      <c r="K235" s="135" t="n"/>
      <c r="L235" s="16" t="inlineStr">
        <is>
          <t>ปวช.(คาบ)</t>
        </is>
      </c>
      <c r="M235" s="432" t="n"/>
      <c r="N235" s="354" t="inlineStr">
        <is>
          <t>เงิน</t>
        </is>
      </c>
      <c r="O235" s="362" t="inlineStr">
        <is>
          <t>ยอดเงิน</t>
        </is>
      </c>
      <c r="P235" s="524" t="inlineStr">
        <is>
          <t>ปวส.(คาบ)</t>
        </is>
      </c>
      <c r="Q235" s="432" t="n"/>
      <c r="R235" s="354" t="inlineStr">
        <is>
          <t>เงิน</t>
        </is>
      </c>
      <c r="S235" s="362" t="inlineStr">
        <is>
          <t>ยอดเงิน</t>
        </is>
      </c>
    </row>
    <row r="236" ht="22.2" customHeight="1" s="375">
      <c r="A236" s="52" t="n"/>
      <c r="B236" s="8" t="n"/>
      <c r="C236" s="9" t="n"/>
      <c r="D236" s="13" t="n"/>
      <c r="E236" s="10" t="n"/>
      <c r="F236" s="336" t="inlineStr">
        <is>
          <t>ส.</t>
        </is>
      </c>
      <c r="G236" s="336" t="inlineStr">
        <is>
          <t>วดป.</t>
        </is>
      </c>
      <c r="H236" s="525" t="n"/>
      <c r="I236" s="336" t="n"/>
      <c r="J236" s="526" t="n"/>
      <c r="K236" s="527" t="n"/>
      <c r="L236" s="336" t="inlineStr">
        <is>
          <t>ใน</t>
        </is>
      </c>
      <c r="M236" s="336" t="inlineStr">
        <is>
          <t>นอก</t>
        </is>
      </c>
      <c r="N236" s="336" t="inlineStr">
        <is>
          <t>ต่อ ชม.</t>
        </is>
      </c>
      <c r="O236" s="336" t="inlineStr">
        <is>
          <t>(บาท)</t>
        </is>
      </c>
      <c r="P236" s="52" t="inlineStr">
        <is>
          <t>ใน</t>
        </is>
      </c>
      <c r="Q236" s="52" t="inlineStr">
        <is>
          <t>นอก</t>
        </is>
      </c>
      <c r="R236" s="336" t="inlineStr">
        <is>
          <t>ต่อ ชม.</t>
        </is>
      </c>
      <c r="S236" s="336" t="inlineStr">
        <is>
          <t>(บาท)</t>
        </is>
      </c>
    </row>
    <row r="237" ht="22.2" customHeight="1" s="375">
      <c r="A237" s="362" t="n">
        <v>6</v>
      </c>
      <c r="B237" s="528">
        <f>AB8</f>
        <v/>
      </c>
      <c r="C237" s="153" t="n"/>
      <c r="D237" s="135" t="n"/>
      <c r="E237" s="362" t="inlineStr">
        <is>
          <t>ครู</t>
        </is>
      </c>
      <c r="F237" s="5" t="n">
        <v>2</v>
      </c>
      <c r="G237" s="539" t="inlineStr">
        <is>
          <t>จันทร์</t>
        </is>
      </c>
      <c r="H237" s="542" t="inlineStr">
        <is>
          <t>หยุด</t>
        </is>
      </c>
      <c r="I237" s="549" t="inlineStr"/>
      <c r="J237" s="547" t="inlineStr"/>
      <c r="K237" s="135" t="n"/>
      <c r="L237" s="367" t="inlineStr"/>
      <c r="M237" s="381" t="inlineStr"/>
      <c r="N237" s="381" t="inlineStr"/>
      <c r="O237" s="354">
        <f>M237*N237</f>
        <v/>
      </c>
      <c r="P237" s="381" t="inlineStr"/>
      <c r="Q237" s="367" t="inlineStr"/>
      <c r="R237" s="381" t="inlineStr"/>
      <c r="S237" s="354">
        <f>Q237*R237</f>
        <v/>
      </c>
      <c r="T237" t="inlineStr"/>
      <c r="U237" t="inlineStr"/>
    </row>
    <row r="238" ht="22.2" customHeight="1" s="375">
      <c r="A238" s="3" t="n"/>
      <c r="B238" s="313" t="n"/>
      <c r="D238" s="314" t="n"/>
      <c r="E238" s="314" t="n"/>
      <c r="F238" s="322" t="n"/>
      <c r="G238" s="533" t="inlineStr">
        <is>
          <t>21 ก.ย.69</t>
        </is>
      </c>
      <c r="H238" s="550" t="inlineStr"/>
      <c r="I238" s="549" t="inlineStr"/>
      <c r="J238" s="543" t="inlineStr"/>
      <c r="K238" s="374" t="n"/>
      <c r="L238" s="334" t="inlineStr"/>
      <c r="M238" s="334" t="inlineStr"/>
      <c r="N238" s="334" t="inlineStr"/>
      <c r="O238" s="354">
        <f>M238*N238</f>
        <v/>
      </c>
      <c r="P238" s="334" t="inlineStr"/>
      <c r="Q238" s="334" t="inlineStr"/>
      <c r="R238" s="334" t="inlineStr"/>
      <c r="S238" s="354">
        <f>Q238*R238</f>
        <v/>
      </c>
      <c r="T238" t="inlineStr"/>
      <c r="U238" t="inlineStr"/>
    </row>
    <row r="239" ht="22.2" customHeight="1" s="375">
      <c r="A239" s="3" t="n"/>
      <c r="B239" s="313" t="n"/>
      <c r="D239" s="314" t="n"/>
      <c r="E239" s="314" t="n"/>
      <c r="F239" s="322" t="n"/>
      <c r="G239" s="334" t="inlineStr"/>
      <c r="H239" s="550" t="inlineStr"/>
      <c r="I239" s="551" t="inlineStr"/>
      <c r="J239" s="543" t="inlineStr"/>
      <c r="K239" s="374" t="n"/>
      <c r="L239" s="334" t="inlineStr"/>
      <c r="M239" s="334" t="inlineStr"/>
      <c r="N239" s="334" t="inlineStr"/>
      <c r="O239" s="354">
        <f>M239*N239</f>
        <v/>
      </c>
      <c r="P239" s="334" t="inlineStr"/>
      <c r="Q239" s="334" t="inlineStr"/>
      <c r="R239" s="334" t="inlineStr"/>
      <c r="S239" s="354">
        <f>Q239*R239</f>
        <v/>
      </c>
      <c r="T239" t="inlineStr"/>
      <c r="U239" t="inlineStr"/>
    </row>
    <row r="240" ht="22.2" customHeight="1" s="375">
      <c r="A240" s="3" t="n"/>
      <c r="B240" s="313" t="n"/>
      <c r="E240" s="3" t="n"/>
      <c r="F240" s="322" t="n"/>
      <c r="G240" s="321" t="inlineStr"/>
      <c r="H240" s="544" t="inlineStr"/>
      <c r="I240" s="544" t="inlineStr"/>
      <c r="J240" s="544" t="inlineStr"/>
      <c r="K240" s="374" t="n"/>
      <c r="L240" s="334" t="inlineStr"/>
      <c r="M240" s="334" t="inlineStr"/>
      <c r="N240" s="334" t="inlineStr"/>
      <c r="O240" s="354">
        <f>M240*N240</f>
        <v/>
      </c>
      <c r="P240" s="334" t="inlineStr"/>
      <c r="Q240" s="334" t="inlineStr"/>
      <c r="R240" s="334" t="inlineStr"/>
      <c r="S240" s="354">
        <f>Q240*R240</f>
        <v/>
      </c>
      <c r="T240" t="inlineStr"/>
      <c r="U240" t="inlineStr"/>
    </row>
    <row r="241" ht="22.2" customHeight="1" s="375">
      <c r="A241" s="3" t="n"/>
      <c r="E241" s="3" t="n"/>
      <c r="G241" s="344" t="inlineStr"/>
      <c r="H241" s="545" t="inlineStr"/>
      <c r="I241" s="545" t="inlineStr"/>
      <c r="J241" s="545" t="inlineStr"/>
      <c r="K241" s="527" t="n"/>
      <c r="L241" s="334" t="inlineStr"/>
      <c r="M241" s="334" t="inlineStr"/>
      <c r="N241" s="334" t="inlineStr"/>
      <c r="O241" s="354">
        <f>M241*N241</f>
        <v/>
      </c>
      <c r="P241" s="334" t="inlineStr"/>
      <c r="Q241" s="334" t="inlineStr"/>
      <c r="R241" s="334" t="inlineStr"/>
      <c r="S241" s="354">
        <f>Q241*R241</f>
        <v/>
      </c>
      <c r="T241" t="inlineStr"/>
      <c r="U241" t="inlineStr"/>
    </row>
    <row r="242" ht="22.2" customHeight="1" s="375">
      <c r="A242" s="3" t="n"/>
      <c r="E242" s="3" t="n"/>
      <c r="G242" s="539" t="inlineStr">
        <is>
          <t>อังคาร</t>
        </is>
      </c>
      <c r="H242" s="126" t="inlineStr">
        <is>
          <t>20143-2004</t>
        </is>
      </c>
      <c r="I242" s="149" t="inlineStr">
        <is>
          <t>ชยฟ.1/1 (26)</t>
        </is>
      </c>
      <c r="J242" s="334" t="inlineStr">
        <is>
          <t>08:10 - 12:10</t>
        </is>
      </c>
      <c r="K242" s="374" t="n"/>
      <c r="L242" s="367" t="n">
        <v>4</v>
      </c>
      <c r="M242" s="381" t="inlineStr"/>
      <c r="N242" s="381" t="inlineStr"/>
      <c r="O242" s="354" t="inlineStr"/>
      <c r="P242" s="381" t="inlineStr"/>
      <c r="Q242" s="367" t="inlineStr"/>
      <c r="R242" s="381" t="inlineStr"/>
      <c r="S242" s="354" t="inlineStr"/>
      <c r="T242" s="6" t="inlineStr"/>
      <c r="U242" s="22" t="inlineStr"/>
      <c r="V242" s="57" t="n"/>
      <c r="W242" s="21" t="n"/>
      <c r="X242" s="21" t="n"/>
    </row>
    <row r="243" ht="22.2" customHeight="1" s="375">
      <c r="A243" s="3" t="n"/>
      <c r="E243" s="3" t="n"/>
      <c r="G243" s="533" t="inlineStr">
        <is>
          <t>22 ก.ย.69</t>
        </is>
      </c>
      <c r="H243" s="126" t="inlineStr">
        <is>
          <t>20143-2008</t>
        </is>
      </c>
      <c r="I243" s="149" t="inlineStr">
        <is>
          <t>ชยฟ.3/1 (26)</t>
        </is>
      </c>
      <c r="J243" s="376" t="inlineStr">
        <is>
          <t>13:10 - 17:10</t>
        </is>
      </c>
      <c r="K243" s="374" t="n"/>
      <c r="L243" s="334" t="n">
        <v>4</v>
      </c>
      <c r="M243" s="334" t="inlineStr"/>
      <c r="N243" s="334" t="inlineStr"/>
      <c r="O243" s="354" t="inlineStr"/>
      <c r="P243" s="334" t="inlineStr"/>
      <c r="Q243" s="334" t="inlineStr"/>
      <c r="R243" s="334" t="inlineStr"/>
      <c r="S243" s="354" t="inlineStr"/>
      <c r="T243" s="21" t="inlineStr"/>
      <c r="U243" s="22" t="inlineStr"/>
      <c r="V243" s="57" t="n"/>
      <c r="W243" s="21" t="n"/>
      <c r="X243" s="21" t="n"/>
    </row>
    <row r="244" ht="22.2" customHeight="1" s="375">
      <c r="A244" s="3" t="n"/>
      <c r="B244" s="313" t="n"/>
      <c r="D244" s="314" t="n"/>
      <c r="E244" s="314" t="n"/>
      <c r="G244" s="334" t="inlineStr"/>
      <c r="H244" s="126" t="inlineStr"/>
      <c r="I244" s="149" t="inlineStr"/>
      <c r="J244" s="334" t="inlineStr"/>
      <c r="K244" s="374" t="n"/>
      <c r="L244" s="334" t="inlineStr"/>
      <c r="M244" s="334" t="inlineStr"/>
      <c r="N244" s="334" t="inlineStr"/>
      <c r="O244" s="354" t="inlineStr"/>
      <c r="P244" s="334" t="inlineStr"/>
      <c r="Q244" s="334" t="inlineStr"/>
      <c r="R244" s="334" t="inlineStr"/>
      <c r="S244" s="354" t="inlineStr"/>
      <c r="T244" t="inlineStr"/>
      <c r="U244" t="inlineStr"/>
    </row>
    <row r="245" ht="22.2" customHeight="1" s="375">
      <c r="A245" s="3" t="n"/>
      <c r="E245" s="3" t="n"/>
      <c r="G245" s="54" t="inlineStr"/>
      <c r="H245" s="334" t="inlineStr"/>
      <c r="I245" s="323" t="inlineStr"/>
      <c r="J245" s="323" t="inlineStr"/>
      <c r="K245" s="374" t="n"/>
      <c r="L245" s="334" t="inlineStr"/>
      <c r="M245" s="334" t="inlineStr"/>
      <c r="N245" s="334" t="inlineStr"/>
      <c r="O245" s="354" t="inlineStr"/>
      <c r="P245" s="334" t="inlineStr"/>
      <c r="Q245" s="334" t="inlineStr"/>
      <c r="R245" s="334" t="inlineStr"/>
      <c r="S245" s="354" t="inlineStr"/>
      <c r="T245" t="inlineStr"/>
      <c r="U245" t="inlineStr"/>
    </row>
    <row r="246" ht="22.2" customHeight="1" s="375">
      <c r="A246" s="3" t="n"/>
      <c r="D246" s="7" t="inlineStr">
        <is>
          <t> </t>
        </is>
      </c>
      <c r="E246" s="3" t="n"/>
      <c r="G246" s="55" t="inlineStr"/>
      <c r="H246" s="336" t="inlineStr"/>
      <c r="I246" s="336" t="inlineStr"/>
      <c r="J246" s="336" t="inlineStr"/>
      <c r="K246" s="527" t="n"/>
      <c r="L246" s="334" t="inlineStr"/>
      <c r="M246" s="334" t="inlineStr"/>
      <c r="N246" s="334" t="inlineStr"/>
      <c r="O246" s="354" t="inlineStr"/>
      <c r="P246" s="334" t="inlineStr"/>
      <c r="Q246" s="334" t="inlineStr"/>
      <c r="R246" s="334" t="inlineStr"/>
      <c r="S246" s="354" t="inlineStr"/>
      <c r="T246" t="inlineStr"/>
      <c r="U246" t="inlineStr"/>
    </row>
    <row r="247" ht="22.2" customHeight="1" s="375">
      <c r="A247" s="3" t="n"/>
      <c r="E247" s="3" t="n"/>
      <c r="G247" s="539" t="inlineStr">
        <is>
          <t>พุธ</t>
        </is>
      </c>
      <c r="H247" s="126" t="inlineStr">
        <is>
          <t>20143-2011</t>
        </is>
      </c>
      <c r="I247" s="128" t="inlineStr">
        <is>
          <t>ชย.3/7 (26)</t>
        </is>
      </c>
      <c r="J247" s="381" t="inlineStr">
        <is>
          <t>08:10 - 12:10</t>
        </is>
      </c>
      <c r="K247" s="135" t="n"/>
      <c r="L247" s="367" t="n">
        <v>3</v>
      </c>
      <c r="M247" s="381" t="n">
        <v>1</v>
      </c>
      <c r="N247" s="381" t="n">
        <v>200</v>
      </c>
      <c r="O247" s="354">
        <f>M247*N247</f>
        <v/>
      </c>
      <c r="P247" s="381" t="inlineStr"/>
      <c r="Q247" s="367" t="inlineStr"/>
      <c r="R247" s="381" t="inlineStr"/>
      <c r="S247" s="354" t="inlineStr"/>
      <c r="T247" t="inlineStr"/>
      <c r="U247" t="inlineStr"/>
    </row>
    <row r="248" ht="22.2" customHeight="1" s="375">
      <c r="A248" s="3" t="n"/>
      <c r="B248" s="321" t="n"/>
      <c r="C248" s="322" t="n"/>
      <c r="D248" s="322" t="n"/>
      <c r="E248" s="334" t="n"/>
      <c r="G248" s="533" t="inlineStr">
        <is>
          <t>23 ก.ย.69</t>
        </is>
      </c>
      <c r="H248" s="126" t="inlineStr">
        <is>
          <t>20143-2011</t>
        </is>
      </c>
      <c r="I248" s="128" t="inlineStr">
        <is>
          <t>ชย.3/7 (26)</t>
        </is>
      </c>
      <c r="J248" s="376" t="inlineStr">
        <is>
          <t>13:10 - 16:10</t>
        </is>
      </c>
      <c r="K248" s="374" t="n"/>
      <c r="L248" s="334" t="inlineStr"/>
      <c r="M248" s="334" t="n">
        <v>3</v>
      </c>
      <c r="N248" s="334" t="n">
        <v>200</v>
      </c>
      <c r="O248" s="354">
        <f>M248*N248</f>
        <v/>
      </c>
      <c r="P248" s="334" t="inlineStr"/>
      <c r="Q248" s="334" t="inlineStr"/>
      <c r="R248" s="334" t="inlineStr"/>
      <c r="S248" s="354" t="inlineStr"/>
      <c r="T248" t="inlineStr"/>
      <c r="U248" t="inlineStr"/>
    </row>
    <row r="249" ht="22.2" customHeight="1" s="375">
      <c r="A249" s="3" t="n"/>
      <c r="B249" s="313" t="n"/>
      <c r="D249" s="314" t="n"/>
      <c r="E249" s="314" t="n"/>
      <c r="G249" s="334" t="inlineStr"/>
      <c r="H249" s="126" t="inlineStr"/>
      <c r="I249" s="376" t="inlineStr"/>
      <c r="J249" s="334" t="inlineStr"/>
      <c r="K249" s="374" t="n"/>
      <c r="L249" s="334" t="inlineStr"/>
      <c r="M249" s="334" t="inlineStr"/>
      <c r="N249" s="334" t="inlineStr"/>
      <c r="O249" s="354" t="inlineStr"/>
      <c r="P249" s="334" t="inlineStr"/>
      <c r="Q249" s="334" t="inlineStr"/>
      <c r="R249" s="334" t="inlineStr"/>
      <c r="S249" s="354" t="inlineStr"/>
      <c r="T249" t="inlineStr"/>
      <c r="U249" t="inlineStr"/>
    </row>
    <row r="250" ht="22.2" customHeight="1" s="375">
      <c r="A250" s="3" t="n"/>
      <c r="E250" s="3" t="n"/>
      <c r="G250" s="321" t="inlineStr"/>
      <c r="H250" s="334" t="inlineStr"/>
      <c r="I250" s="376" t="inlineStr"/>
      <c r="J250" s="323" t="inlineStr"/>
      <c r="K250" s="374" t="n"/>
      <c r="L250" s="334" t="inlineStr"/>
      <c r="M250" s="334" t="inlineStr"/>
      <c r="N250" s="334" t="inlineStr"/>
      <c r="O250" s="354" t="inlineStr"/>
      <c r="P250" s="334" t="inlineStr"/>
      <c r="Q250" s="334" t="inlineStr"/>
      <c r="R250" s="334" t="inlineStr"/>
      <c r="S250" s="354" t="inlineStr"/>
      <c r="T250" t="inlineStr"/>
      <c r="U250" t="inlineStr"/>
    </row>
    <row r="251" ht="22.2" customHeight="1" s="375">
      <c r="A251" s="3" t="n"/>
      <c r="E251" s="3" t="n"/>
      <c r="G251" s="327" t="inlineStr"/>
      <c r="H251" s="336" t="inlineStr"/>
      <c r="I251" s="336" t="inlineStr"/>
      <c r="J251" s="336" t="inlineStr"/>
      <c r="K251" s="527" t="n"/>
      <c r="L251" s="336" t="inlineStr"/>
      <c r="M251" s="336" t="inlineStr"/>
      <c r="N251" s="336" t="inlineStr"/>
      <c r="O251" s="354" t="inlineStr"/>
      <c r="P251" s="336" t="inlineStr"/>
      <c r="Q251" s="336" t="inlineStr"/>
      <c r="R251" s="336" t="inlineStr"/>
      <c r="S251" s="354" t="inlineStr"/>
      <c r="T251" t="inlineStr"/>
      <c r="U251" t="inlineStr"/>
    </row>
    <row r="252" ht="22.2" customHeight="1" s="375">
      <c r="A252" s="3" t="n"/>
      <c r="E252" s="3" t="n"/>
      <c r="G252" s="533" t="inlineStr">
        <is>
          <t>พฤหัส</t>
        </is>
      </c>
      <c r="H252" s="126" t="inlineStr">
        <is>
          <t>20100-1007</t>
        </is>
      </c>
      <c r="I252" s="128" t="inlineStr">
        <is>
          <t>ชยฟ.2/1 (26)</t>
        </is>
      </c>
      <c r="J252" s="381" t="inlineStr">
        <is>
          <t>08:10 - 12:10</t>
        </is>
      </c>
      <c r="K252" s="135" t="n"/>
      <c r="L252" s="334" t="inlineStr"/>
      <c r="M252" s="334" t="n">
        <v>4</v>
      </c>
      <c r="N252" s="334" t="n">
        <v>200</v>
      </c>
      <c r="O252" s="354">
        <f>M252*N252</f>
        <v/>
      </c>
      <c r="P252" s="334" t="inlineStr"/>
      <c r="Q252" s="362" t="inlineStr"/>
      <c r="R252" s="362" t="inlineStr"/>
      <c r="S252" s="354" t="inlineStr"/>
      <c r="T252" t="inlineStr"/>
      <c r="U252" t="inlineStr"/>
    </row>
    <row r="253" ht="22.2" customHeight="1" s="375">
      <c r="A253" s="3" t="n"/>
      <c r="E253" s="3" t="n"/>
      <c r="G253" s="535" t="inlineStr">
        <is>
          <t>24 ก.ย.69</t>
        </is>
      </c>
      <c r="H253" s="376" t="inlineStr">
        <is>
          <t>20000-2004</t>
        </is>
      </c>
      <c r="I253" s="128" t="inlineStr">
        <is>
          <t>ชย.2/5,ชย.2/6,ชยฟ.2/1 (26)</t>
        </is>
      </c>
      <c r="J253" s="376" t="inlineStr">
        <is>
          <t>13:10 - 15:10</t>
        </is>
      </c>
      <c r="K253" s="374" t="n"/>
      <c r="L253" s="334" t="n">
        <v>2</v>
      </c>
      <c r="M253" s="334" t="inlineStr"/>
      <c r="N253" s="334" t="inlineStr"/>
      <c r="O253" s="354" t="inlineStr"/>
      <c r="P253" s="334" t="inlineStr"/>
      <c r="Q253" s="334" t="inlineStr"/>
      <c r="R253" s="334" t="inlineStr"/>
      <c r="S253" s="354" t="inlineStr"/>
      <c r="T253" t="inlineStr"/>
      <c r="U253" t="inlineStr"/>
    </row>
    <row r="254" ht="22.2" customHeight="1" s="375">
      <c r="A254" s="3" t="n"/>
      <c r="B254" s="313" t="n"/>
      <c r="E254" s="3" t="n"/>
      <c r="G254" s="334" t="inlineStr"/>
      <c r="H254" s="126" t="inlineStr">
        <is>
          <t>20100-1007</t>
        </is>
      </c>
      <c r="I254" s="128" t="inlineStr">
        <is>
          <t>ชย.2/4 (26)</t>
        </is>
      </c>
      <c r="J254" s="376" t="inlineStr">
        <is>
          <t>15:10 - 19:10</t>
        </is>
      </c>
      <c r="K254" s="374" t="n"/>
      <c r="L254" s="376" t="inlineStr"/>
      <c r="M254" s="376" t="n">
        <v>4</v>
      </c>
      <c r="N254" s="376" t="n">
        <v>200</v>
      </c>
      <c r="O254" s="354">
        <f>M254*N254</f>
        <v/>
      </c>
      <c r="P254" s="376" t="inlineStr"/>
      <c r="Q254" s="376" t="inlineStr"/>
      <c r="R254" s="376" t="inlineStr"/>
      <c r="S254" s="354" t="inlineStr"/>
      <c r="T254" t="inlineStr"/>
      <c r="U254" t="inlineStr"/>
    </row>
    <row r="255" ht="22.2" customHeight="1" s="375">
      <c r="A255" s="3" t="n"/>
      <c r="E255" s="3" t="n"/>
      <c r="G255" s="334" t="inlineStr"/>
      <c r="H255" s="334" t="inlineStr"/>
      <c r="I255" s="334" t="inlineStr"/>
      <c r="J255" s="334" t="inlineStr"/>
      <c r="K255" s="374" t="n"/>
      <c r="L255" s="334" t="inlineStr"/>
      <c r="M255" s="334" t="inlineStr"/>
      <c r="N255" s="334" t="inlineStr"/>
      <c r="O255" s="354" t="inlineStr"/>
      <c r="P255" s="334" t="inlineStr"/>
      <c r="Q255" s="334" t="inlineStr"/>
      <c r="R255" s="334" t="inlineStr"/>
      <c r="S255" s="354" t="inlineStr"/>
      <c r="T255" t="inlineStr"/>
      <c r="U255" t="inlineStr"/>
    </row>
    <row r="256" ht="22.2" customHeight="1" s="375">
      <c r="A256" s="3" t="n"/>
      <c r="E256" s="3" t="n"/>
      <c r="G256" s="336" t="inlineStr"/>
      <c r="H256" s="336" t="inlineStr"/>
      <c r="I256" s="336" t="inlineStr"/>
      <c r="J256" s="336" t="inlineStr"/>
      <c r="K256" s="527" t="n"/>
      <c r="L256" s="336" t="inlineStr"/>
      <c r="M256" s="336" t="inlineStr"/>
      <c r="N256" s="336" t="inlineStr"/>
      <c r="O256" s="354" t="inlineStr"/>
      <c r="P256" s="336" t="inlineStr"/>
      <c r="Q256" s="336" t="inlineStr"/>
      <c r="R256" s="336" t="inlineStr"/>
      <c r="S256" s="354" t="inlineStr"/>
      <c r="T256" t="inlineStr"/>
      <c r="U256" t="inlineStr"/>
    </row>
    <row r="257" ht="22.2" customHeight="1" s="375">
      <c r="A257" s="3" t="n"/>
      <c r="D257" s="374" t="n"/>
      <c r="E257" s="251" t="n"/>
      <c r="G257" s="533" t="inlineStr">
        <is>
          <t>ศุกร์</t>
        </is>
      </c>
      <c r="H257" s="126" t="inlineStr"/>
      <c r="I257" s="149" t="inlineStr"/>
      <c r="J257" s="381" t="inlineStr"/>
      <c r="K257" s="135" t="n"/>
      <c r="L257" s="127" t="inlineStr"/>
      <c r="M257" s="60" t="inlineStr"/>
      <c r="N257" s="60" t="inlineStr"/>
      <c r="O257" s="354" t="inlineStr"/>
      <c r="P257" s="125" t="inlineStr"/>
      <c r="Q257" s="127" t="inlineStr"/>
      <c r="R257" s="125" t="inlineStr"/>
      <c r="S257" s="354" t="inlineStr"/>
      <c r="T257" s="23" t="inlineStr"/>
      <c r="U257" s="23" t="inlineStr"/>
      <c r="V257" s="56" t="n"/>
      <c r="W257" s="23" t="n"/>
      <c r="X257" s="23" t="n"/>
    </row>
    <row r="258" ht="22.2" customHeight="1" s="375">
      <c r="A258" s="3" t="n"/>
      <c r="E258" s="3" t="n"/>
      <c r="G258" s="535" t="inlineStr">
        <is>
          <t>25 ก.ย.69</t>
        </is>
      </c>
      <c r="H258" s="126" t="inlineStr"/>
      <c r="I258" s="149" t="inlineStr"/>
      <c r="J258" s="376" t="inlineStr"/>
      <c r="K258" s="374" t="n"/>
      <c r="L258" s="128" t="inlineStr"/>
      <c r="M258" s="59" t="inlineStr"/>
      <c r="N258" s="59" t="inlineStr"/>
      <c r="O258" s="354" t="inlineStr"/>
      <c r="P258" s="128" t="inlineStr"/>
      <c r="Q258" s="128" t="inlineStr"/>
      <c r="R258" s="128" t="inlineStr"/>
      <c r="S258" s="354" t="inlineStr"/>
      <c r="T258" s="23" t="inlineStr"/>
      <c r="U258" s="23" t="inlineStr"/>
      <c r="V258" s="56" t="n"/>
      <c r="W258" s="23" t="n"/>
      <c r="X258" s="23" t="n"/>
    </row>
    <row r="259" ht="22.2" customHeight="1" s="375">
      <c r="A259" s="3" t="n"/>
      <c r="E259" s="3" t="n"/>
      <c r="G259" s="334" t="inlineStr"/>
      <c r="H259" s="126" t="inlineStr"/>
      <c r="I259" s="149" t="inlineStr"/>
      <c r="J259" s="376" t="inlineStr"/>
      <c r="K259" s="374" t="n"/>
      <c r="L259" s="59" t="inlineStr"/>
      <c r="M259" s="59" t="inlineStr"/>
      <c r="N259" s="59" t="inlineStr"/>
      <c r="O259" s="354" t="inlineStr"/>
      <c r="P259" s="128" t="inlineStr"/>
      <c r="Q259" s="128" t="inlineStr"/>
      <c r="R259" s="128" t="inlineStr"/>
      <c r="S259" s="354" t="inlineStr"/>
      <c r="T259" t="inlineStr"/>
      <c r="U259" t="inlineStr"/>
    </row>
    <row r="260" ht="22.2" customHeight="1" s="375">
      <c r="A260" s="3" t="n"/>
      <c r="E260" s="3" t="n"/>
      <c r="G260" s="334" t="inlineStr"/>
      <c r="H260" s="334" t="inlineStr"/>
      <c r="I260" s="334" t="inlineStr"/>
      <c r="J260" s="334" t="inlineStr"/>
      <c r="K260" s="374" t="n"/>
      <c r="L260" s="334" t="inlineStr"/>
      <c r="M260" t="inlineStr"/>
      <c r="N260" s="334" t="inlineStr"/>
      <c r="O260" s="354" t="inlineStr"/>
      <c r="P260" s="334" t="inlineStr"/>
      <c r="Q260" s="334" t="inlineStr"/>
      <c r="R260" s="334" t="inlineStr"/>
      <c r="S260" s="354" t="inlineStr"/>
      <c r="T260" t="inlineStr"/>
      <c r="U260" t="inlineStr"/>
    </row>
    <row r="261" ht="22.2" customHeight="1" s="375">
      <c r="A261" s="3" t="n"/>
      <c r="E261" s="3" t="n"/>
      <c r="F261" s="3" t="n"/>
      <c r="G261" s="329" t="inlineStr"/>
      <c r="H261" s="328" t="inlineStr"/>
      <c r="I261" s="336" t="inlineStr"/>
      <c r="J261" s="336" t="inlineStr"/>
      <c r="K261" s="527" t="n"/>
      <c r="L261" s="336" t="inlineStr"/>
      <c r="M261" s="336" t="inlineStr"/>
      <c r="N261" s="336" t="inlineStr"/>
      <c r="O261" s="354" t="inlineStr"/>
      <c r="P261" s="336" t="inlineStr"/>
      <c r="Q261" s="336" t="inlineStr"/>
      <c r="R261" s="336" t="inlineStr"/>
      <c r="S261" s="354" t="inlineStr"/>
      <c r="T261" t="inlineStr"/>
      <c r="U261" t="inlineStr"/>
    </row>
    <row r="262" ht="22.2" customHeight="1" s="375">
      <c r="A262" s="3" t="n"/>
      <c r="E262" s="3" t="n"/>
      <c r="F262" s="3" t="n"/>
      <c r="G262" s="16" t="inlineStr">
        <is>
          <t>รวมขั่วโมงที่สอนแยก ภาระงาน/ เกินภาระงาน</t>
        </is>
      </c>
      <c r="H262" s="518" t="n"/>
      <c r="I262" s="518" t="n"/>
      <c r="J262" s="518" t="n"/>
      <c r="K262" s="432" t="n"/>
      <c r="L262" s="16">
        <f>SUM(L237:L261)</f>
        <v/>
      </c>
      <c r="M262" s="16">
        <f>SUM(M237:M261)</f>
        <v/>
      </c>
      <c r="N262" s="16" t="n"/>
      <c r="O262" s="16" t="n"/>
      <c r="P262" s="16">
        <f>SUM(P237:P261)</f>
        <v/>
      </c>
      <c r="Q262" s="16">
        <f>SUM(Q237:Q261)</f>
        <v/>
      </c>
      <c r="R262" s="349" t="n"/>
      <c r="S262" s="16" t="n"/>
    </row>
    <row r="263" ht="22.2" customHeight="1" s="375">
      <c r="A263" s="3" t="n"/>
      <c r="E263" s="3" t="n"/>
      <c r="F263" s="3" t="n"/>
      <c r="G263" s="16" t="inlineStr">
        <is>
          <t>รวมจำนวนชั่วโมงสอนคาบต่อสับดาห์</t>
        </is>
      </c>
      <c r="H263" s="518" t="n"/>
      <c r="I263" s="518" t="n"/>
      <c r="J263" s="518" t="n"/>
      <c r="K263" s="432" t="n"/>
      <c r="L263" s="16">
        <f>L262+M262</f>
        <v/>
      </c>
      <c r="M263" s="432" t="n"/>
      <c r="N263" s="348" t="n"/>
      <c r="O263" s="16" t="n"/>
      <c r="P263" s="16">
        <f>P262+Q262</f>
        <v/>
      </c>
      <c r="Q263" s="432" t="n"/>
      <c r="R263" s="329" t="n"/>
      <c r="S263" s="336" t="n"/>
    </row>
    <row r="264" ht="22.2" customHeight="1" s="375">
      <c r="A264" s="3" t="n"/>
      <c r="E264" s="3" t="n"/>
      <c r="F264" s="3" t="n"/>
      <c r="G264" s="16" t="inlineStr">
        <is>
          <t>จำนวนชั่วโมงสอนตามภาระงานสอน</t>
        </is>
      </c>
      <c r="H264" s="518" t="n"/>
      <c r="I264" s="518" t="n"/>
      <c r="J264" s="518" t="n"/>
      <c r="K264" s="432" t="n"/>
      <c r="L264" s="131" t="n">
        <v>18</v>
      </c>
      <c r="M264" s="432" t="n"/>
      <c r="N264" s="130" t="n"/>
      <c r="O264" s="131" t="n"/>
      <c r="P264" s="131" t="n">
        <v>0</v>
      </c>
      <c r="Q264" s="432" t="n"/>
      <c r="R264" s="322" t="n"/>
      <c r="S264" s="334" t="n"/>
    </row>
    <row r="265" ht="22.2" customHeight="1" s="375" thickBot="1">
      <c r="A265" s="3" t="n"/>
      <c r="E265" s="3" t="n"/>
      <c r="F265" s="14" t="n"/>
      <c r="G265" s="16" t="inlineStr">
        <is>
          <t>จำนวนชั่วโมงบิกเกินภาระงานสอน/ค่าสอน</t>
        </is>
      </c>
      <c r="H265" s="518" t="n"/>
      <c r="I265" s="518" t="n"/>
      <c r="J265" s="518" t="n"/>
      <c r="K265" s="432" t="n"/>
      <c r="L265" s="17" t="n">
        <v>0</v>
      </c>
      <c r="M265" s="17">
        <f>SUM(M237:M261)</f>
        <v/>
      </c>
      <c r="N265" s="17" t="n"/>
      <c r="O265" s="17">
        <f>SUM(O237:O261)</f>
        <v/>
      </c>
      <c r="P265" s="17" t="n">
        <v>0</v>
      </c>
      <c r="Q265" s="17">
        <f>SUM(Q237:Q261)</f>
        <v/>
      </c>
      <c r="R265" s="18" t="n"/>
      <c r="S265" s="17">
        <f>SUM(S237:S261)</f>
        <v/>
      </c>
    </row>
    <row r="266" ht="22.2" customHeight="1" s="375" thickTop="1">
      <c r="A266" s="337" t="inlineStr">
        <is>
          <t>รวมจำนวนหน่วยชั่วโมงที่ขอเบิกค่าสอน ….</t>
        </is>
      </c>
      <c r="B266" s="518" t="n"/>
      <c r="C266" s="518" t="n"/>
      <c r="D266" s="518" t="n"/>
      <c r="E266" s="518" t="n"/>
      <c r="F266" s="518" t="n"/>
      <c r="G266" s="518" t="n"/>
      <c r="H266" s="348">
        <f>M265+Q265</f>
        <v/>
      </c>
      <c r="I266" s="348" t="inlineStr">
        <is>
          <t>….ชั่วโมง</t>
        </is>
      </c>
      <c r="J266" s="348" t="n"/>
      <c r="K266" s="328" t="inlineStr">
        <is>
          <t>ยอดเงินรวม</t>
        </is>
      </c>
      <c r="L266" s="522" t="n"/>
      <c r="M266" s="522" t="n"/>
      <c r="N266" s="328" t="n"/>
      <c r="O266" s="328" t="n"/>
      <c r="P266" s="339">
        <f>S265+O265</f>
        <v/>
      </c>
      <c r="Q266" s="538" t="n"/>
      <c r="R266" s="20" t="n"/>
      <c r="S266" s="19" t="inlineStr">
        <is>
          <t>..บาท</t>
        </is>
      </c>
    </row>
    <row r="267" ht="22.2" customHeight="1" s="375">
      <c r="A267" s="154" t="inlineStr">
        <is>
          <t>ผู้ขอเบิก</t>
        </is>
      </c>
      <c r="B267" s="153" t="n"/>
      <c r="C267" s="153" t="n"/>
      <c r="D267" s="153" t="n"/>
      <c r="E267" s="153" t="n"/>
      <c r="F267" s="153" t="n"/>
      <c r="G267" s="135" t="n"/>
      <c r="H267" s="154" t="inlineStr">
        <is>
          <t>ผู้รับรอง</t>
        </is>
      </c>
      <c r="I267" s="153" t="n"/>
      <c r="J267" s="153" t="n"/>
      <c r="K267" s="153" t="n"/>
      <c r="L267" s="135" t="n"/>
      <c r="M267" s="154" t="inlineStr">
        <is>
          <t>ผู้ตรวจ</t>
        </is>
      </c>
      <c r="N267" s="153" t="n"/>
      <c r="O267" s="153" t="n"/>
      <c r="P267" s="153" t="n"/>
      <c r="Q267" s="153" t="n"/>
      <c r="R267" s="153" t="n"/>
      <c r="S267" s="135" t="n"/>
    </row>
    <row r="268" ht="22.2" customHeight="1" s="375">
      <c r="A268" s="334" t="inlineStr">
        <is>
          <t>ลงชื่อ……………………………………………</t>
        </is>
      </c>
      <c r="G268" s="374" t="n"/>
      <c r="H268" s="334" t="inlineStr">
        <is>
          <t>ลงชื่อ……………………………………………</t>
        </is>
      </c>
      <c r="L268" s="374" t="n"/>
      <c r="M268" s="334" t="inlineStr">
        <is>
          <t>ลงชื่อ……………………………………………</t>
        </is>
      </c>
      <c r="S268" s="374" t="n"/>
    </row>
    <row r="269" ht="22.2" customHeight="1" s="375">
      <c r="A269" s="11" t="inlineStr">
        <is>
          <t>(</t>
        </is>
      </c>
      <c r="B269" s="324">
        <f>B237</f>
        <v/>
      </c>
      <c r="G269" s="326" t="inlineStr">
        <is>
          <t>)</t>
        </is>
      </c>
      <c r="H269" s="324" t="inlineStr">
        <is>
          <t>(</t>
        </is>
      </c>
      <c r="I269" s="340">
        <f>I223</f>
        <v/>
      </c>
      <c r="L269" s="12" t="inlineStr">
        <is>
          <t>)</t>
        </is>
      </c>
      <c r="M269" s="53" t="inlineStr">
        <is>
          <t>(</t>
        </is>
      </c>
      <c r="N269" s="53" t="n"/>
      <c r="O269" s="324">
        <f>O39</f>
        <v/>
      </c>
      <c r="R269" s="25" t="n"/>
      <c r="S269" s="326" t="inlineStr">
        <is>
          <t>)</t>
        </is>
      </c>
    </row>
    <row r="270" ht="22.2" customHeight="1" s="375">
      <c r="A270" s="540" t="inlineStr">
        <is>
          <t xml:space="preserve">                         ตำแหน่ง  ครู</t>
        </is>
      </c>
      <c r="G270" s="374" t="n"/>
      <c r="H270" s="54" t="inlineStr">
        <is>
          <t>ตำแหน่ง หัวหน้าแผนก</t>
        </is>
      </c>
      <c r="L270" s="374" t="n"/>
      <c r="M270" s="54" t="inlineStr">
        <is>
          <t>ตำแหน่ง   ผู้ตรวจสอบ</t>
        </is>
      </c>
      <c r="S270" s="374" t="n"/>
    </row>
    <row r="271" ht="22.2" customHeight="1" s="375">
      <c r="A271" s="55" t="inlineStr">
        <is>
          <t>วันที่ 28 เดือน กันยายน  พ.ศ.2569</t>
        </is>
      </c>
      <c r="B271" s="522" t="n"/>
      <c r="C271" s="522" t="n"/>
      <c r="D271" s="522" t="n"/>
      <c r="E271" s="522" t="n"/>
      <c r="F271" s="522" t="n"/>
      <c r="G271" s="527" t="n"/>
      <c r="H271" s="54">
        <f>A41</f>
        <v/>
      </c>
      <c r="L271" s="374" t="n"/>
      <c r="M271" s="55">
        <f>A41</f>
        <v/>
      </c>
      <c r="N271" s="522" t="n"/>
      <c r="O271" s="522" t="n"/>
      <c r="P271" s="522" t="n"/>
      <c r="Q271" s="522" t="n"/>
      <c r="R271" s="522" t="n"/>
      <c r="S271" s="527" t="n"/>
    </row>
    <row r="272" ht="22.2" customHeight="1" s="375">
      <c r="A272" s="154" t="inlineStr">
        <is>
          <t>ผู้ตรวจ</t>
        </is>
      </c>
      <c r="B272" s="153" t="n"/>
      <c r="C272" s="153" t="n"/>
      <c r="D272" s="153" t="n"/>
      <c r="E272" s="153" t="n"/>
      <c r="F272" s="153" t="n"/>
      <c r="G272" s="153" t="n"/>
      <c r="H272" s="153" t="n"/>
      <c r="I272" s="135" t="n"/>
      <c r="J272" s="154" t="inlineStr">
        <is>
          <t>ผู้เห็นชอบ</t>
        </is>
      </c>
      <c r="K272" s="153" t="n"/>
      <c r="L272" s="153" t="n"/>
      <c r="M272" s="153" t="n"/>
      <c r="N272" s="153" t="n"/>
      <c r="O272" s="153" t="n"/>
      <c r="P272" s="153" t="n"/>
      <c r="Q272" s="153" t="n"/>
      <c r="R272" s="153" t="n"/>
      <c r="S272" s="135" t="n"/>
    </row>
    <row r="273" ht="22.2" customHeight="1" s="375">
      <c r="A273" s="334" t="inlineStr">
        <is>
          <t>ลงชื่อ……………………………………………</t>
        </is>
      </c>
      <c r="I273" s="374" t="n"/>
      <c r="J273" s="334" t="inlineStr">
        <is>
          <t>ลงชื่อ……………………………………………</t>
        </is>
      </c>
      <c r="S273" s="374" t="n"/>
    </row>
    <row r="274" ht="22.2" customHeight="1" s="375">
      <c r="A274" s="11" t="n"/>
      <c r="B274" s="324">
        <f>B44</f>
        <v/>
      </c>
      <c r="I274" s="326" t="n"/>
      <c r="J274" s="25" t="n"/>
      <c r="K274" s="25" t="n"/>
      <c r="L274" s="324">
        <f>L44</f>
        <v/>
      </c>
      <c r="R274" s="25" t="n"/>
      <c r="S274" s="12" t="n"/>
    </row>
    <row r="275" ht="22.2" customHeight="1" s="375">
      <c r="A275" s="54" t="inlineStr">
        <is>
          <t>ตำแหน่งครู  หัวหน้างานพัฒนาหลักสูตร ฯ</t>
        </is>
      </c>
      <c r="I275" s="374" t="n"/>
      <c r="J275" s="54" t="inlineStr">
        <is>
          <t>ตำแหน่ง  รองผู้อำนวยการฝ่ายวิชาการ</t>
        </is>
      </c>
      <c r="S275" s="374" t="n"/>
    </row>
    <row r="276" ht="22.2" customHeight="1" s="375">
      <c r="A276" s="336" t="inlineStr">
        <is>
          <t>วันที่.......เดือน..........................พ.ศ..............</t>
        </is>
      </c>
      <c r="B276" s="522" t="n"/>
      <c r="C276" s="522" t="n"/>
      <c r="D276" s="522" t="n"/>
      <c r="E276" s="522" t="n"/>
      <c r="F276" s="522" t="n"/>
      <c r="G276" s="522" t="n"/>
      <c r="H276" s="522" t="n"/>
      <c r="I276" s="527" t="n"/>
      <c r="J276" s="336" t="inlineStr">
        <is>
          <t>วันที่.......เดือน..........................พ.ศ..............</t>
        </is>
      </c>
      <c r="K276" s="522" t="n"/>
      <c r="L276" s="522" t="n"/>
      <c r="M276" s="522" t="n"/>
      <c r="N276" s="522" t="n"/>
      <c r="O276" s="522" t="n"/>
      <c r="P276" s="522" t="n"/>
      <c r="Q276" s="522" t="n"/>
      <c r="R276" s="522" t="n"/>
      <c r="S276" s="527" t="n"/>
    </row>
    <row r="277" ht="22.2" customHeight="1" s="375">
      <c r="A277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75">
      <c r="A278" s="365" t="inlineStr">
        <is>
          <t>แผนกวิชาช่างยนต์</t>
        </is>
      </c>
    </row>
    <row r="279" ht="22.2" customHeight="1" s="375">
      <c r="A279" s="366" t="inlineStr">
        <is>
          <t xml:space="preserve">    ระหว่างวันที่</t>
        </is>
      </c>
      <c r="D279" s="365">
        <f>D3</f>
        <v/>
      </c>
      <c r="E279" s="365" t="inlineStr">
        <is>
          <t xml:space="preserve">   เดือน  </t>
        </is>
      </c>
      <c r="F279" s="365">
        <f>F3</f>
        <v/>
      </c>
      <c r="H279" s="365">
        <f>H3</f>
        <v/>
      </c>
      <c r="I279" s="365" t="inlineStr">
        <is>
          <t xml:space="preserve">     ถึง วันที่</t>
        </is>
      </c>
      <c r="J279" s="365">
        <f>J3</f>
        <v/>
      </c>
      <c r="K279" s="365" t="inlineStr">
        <is>
          <t xml:space="preserve">   เดือน </t>
        </is>
      </c>
      <c r="L279" s="365">
        <f>L3</f>
        <v/>
      </c>
      <c r="N279" s="365">
        <f>N3</f>
        <v/>
      </c>
      <c r="P279" s="365" t="n"/>
      <c r="R279" s="365" t="n"/>
    </row>
    <row r="280" ht="25.5" customHeight="1" s="375">
      <c r="G280" s="51" t="inlineStr">
        <is>
          <t>ü</t>
        </is>
      </c>
      <c r="H280" s="351" t="inlineStr">
        <is>
          <t>ครู</t>
        </is>
      </c>
      <c r="I280" s="322" t="inlineStr">
        <is>
          <t>หน้าที่พิเศษ</t>
        </is>
      </c>
      <c r="J280" t="inlineStr">
        <is>
          <t>ผู้ช่วยงานกิจกรรมนักเรียนนักศึกษา, โครงการพิเศษและการบริการสังคม</t>
        </is>
      </c>
    </row>
    <row r="281" ht="22.2" customHeight="1" s="375">
      <c r="A281" s="24" t="inlineStr">
        <is>
          <t>ที่</t>
        </is>
      </c>
      <c r="B281" s="24" t="inlineStr">
        <is>
          <t>ชื่อ-สกุล</t>
        </is>
      </c>
      <c r="C281" s="153" t="n"/>
      <c r="D281" s="135" t="n"/>
      <c r="E281" s="15" t="inlineStr">
        <is>
          <t>ตำแหน่ง</t>
        </is>
      </c>
      <c r="F281" s="16" t="inlineStr">
        <is>
          <t>ระยะเวลาที่สอน</t>
        </is>
      </c>
      <c r="G281" s="432" t="n"/>
      <c r="H281" s="16" t="inlineStr">
        <is>
          <t>รหัสวิชา</t>
        </is>
      </c>
      <c r="I281" s="362" t="inlineStr">
        <is>
          <t>ชั้น,แผนก,ห้อง</t>
        </is>
      </c>
      <c r="J281" s="16" t="inlineStr">
        <is>
          <t>เวลาสอน</t>
        </is>
      </c>
      <c r="K281" s="135" t="n"/>
      <c r="L281" s="16" t="inlineStr">
        <is>
          <t>ปวช.(คาบ)</t>
        </is>
      </c>
      <c r="M281" s="432" t="n"/>
      <c r="N281" s="354" t="inlineStr">
        <is>
          <t>เงิน</t>
        </is>
      </c>
      <c r="O281" s="362" t="inlineStr">
        <is>
          <t>ยอดเงิน</t>
        </is>
      </c>
      <c r="P281" s="524" t="inlineStr">
        <is>
          <t>ปวส.(คาบ)</t>
        </is>
      </c>
      <c r="Q281" s="432" t="n"/>
      <c r="R281" s="354" t="inlineStr">
        <is>
          <t>เงิน</t>
        </is>
      </c>
      <c r="S281" s="362" t="inlineStr">
        <is>
          <t>ยอดเงิน</t>
        </is>
      </c>
    </row>
    <row r="282" ht="22.2" customHeight="1" s="375">
      <c r="A282" s="52" t="n"/>
      <c r="B282" s="8" t="n"/>
      <c r="C282" s="9" t="n"/>
      <c r="D282" s="13" t="n"/>
      <c r="E282" s="10" t="n"/>
      <c r="F282" s="336" t="inlineStr">
        <is>
          <t>ส.</t>
        </is>
      </c>
      <c r="G282" s="336" t="inlineStr">
        <is>
          <t>วดป.</t>
        </is>
      </c>
      <c r="H282" s="525" t="n"/>
      <c r="I282" s="336" t="n"/>
      <c r="J282" s="526" t="n"/>
      <c r="K282" s="527" t="n"/>
      <c r="L282" s="336" t="inlineStr">
        <is>
          <t>ใน</t>
        </is>
      </c>
      <c r="M282" s="336" t="inlineStr">
        <is>
          <t>นอก</t>
        </is>
      </c>
      <c r="N282" s="336" t="inlineStr">
        <is>
          <t>ต่อ ชม.</t>
        </is>
      </c>
      <c r="O282" s="336" t="inlineStr">
        <is>
          <t>(บาท)</t>
        </is>
      </c>
      <c r="P282" s="52" t="inlineStr">
        <is>
          <t>ใน</t>
        </is>
      </c>
      <c r="Q282" s="52" t="inlineStr">
        <is>
          <t>นอก</t>
        </is>
      </c>
      <c r="R282" s="336" t="inlineStr">
        <is>
          <t>ต่อ ชม.</t>
        </is>
      </c>
      <c r="S282" s="336" t="inlineStr">
        <is>
          <t>(บาท)</t>
        </is>
      </c>
    </row>
    <row r="283" ht="22.2" customHeight="1" s="375">
      <c r="A283" s="362" t="n">
        <v>7</v>
      </c>
      <c r="B283" s="528">
        <f>AB9</f>
        <v/>
      </c>
      <c r="C283" s="153" t="n"/>
      <c r="D283" s="135" t="n"/>
      <c r="E283" s="362" t="inlineStr">
        <is>
          <t>ครู</t>
        </is>
      </c>
      <c r="F283" s="5" t="n">
        <v>2</v>
      </c>
      <c r="G283" s="529" t="inlineStr">
        <is>
          <t>จันทร์</t>
        </is>
      </c>
      <c r="H283" s="542" t="inlineStr">
        <is>
          <t>หยุด</t>
        </is>
      </c>
      <c r="I283" s="543" t="inlineStr"/>
      <c r="J283" s="547" t="inlineStr"/>
      <c r="K283" s="135" t="n"/>
      <c r="L283" s="367" t="inlineStr"/>
      <c r="M283" s="381" t="inlineStr"/>
      <c r="N283" s="381" t="inlineStr"/>
      <c r="O283" s="354">
        <f>M283*N283</f>
        <v/>
      </c>
      <c r="P283" s="381" t="inlineStr"/>
      <c r="Q283" s="367" t="inlineStr"/>
      <c r="R283" s="381" t="inlineStr"/>
      <c r="S283" s="354">
        <f>Q283*R283</f>
        <v/>
      </c>
      <c r="T283" t="inlineStr"/>
      <c r="U283" t="inlineStr"/>
    </row>
    <row r="284" ht="22.2" customHeight="1" s="375">
      <c r="A284" s="3" t="n"/>
      <c r="B284" s="530" t="n"/>
      <c r="D284" s="374" t="n"/>
      <c r="E284" s="334" t="n"/>
      <c r="F284" s="322" t="n"/>
      <c r="G284" s="535" t="inlineStr">
        <is>
          <t>21 ก.ย.69</t>
        </is>
      </c>
      <c r="H284" s="543" t="inlineStr"/>
      <c r="I284" s="543" t="inlineStr"/>
      <c r="J284" s="544" t="inlineStr"/>
      <c r="K284" s="374" t="n"/>
      <c r="L284" s="334" t="inlineStr"/>
      <c r="M284" s="334" t="inlineStr"/>
      <c r="N284" s="334" t="inlineStr"/>
      <c r="O284" s="354">
        <f>M284*N284</f>
        <v/>
      </c>
      <c r="P284" s="334" t="inlineStr"/>
      <c r="Q284" s="334" t="inlineStr"/>
      <c r="R284" s="334" t="inlineStr"/>
      <c r="S284" s="354">
        <f>Q284*R284</f>
        <v/>
      </c>
      <c r="T284" t="inlineStr"/>
      <c r="U284" t="inlineStr"/>
    </row>
    <row r="285" ht="22.2" customHeight="1" s="375">
      <c r="A285" s="3" t="n"/>
      <c r="B285" s="313" t="n"/>
      <c r="D285" s="314" t="n"/>
      <c r="E285" s="314" t="n"/>
      <c r="F285" s="322" t="n"/>
      <c r="G285" s="321" t="inlineStr"/>
      <c r="H285" s="543" t="inlineStr"/>
      <c r="I285" s="543" t="inlineStr"/>
      <c r="J285" s="544" t="inlineStr"/>
      <c r="K285" s="374" t="n"/>
      <c r="L285" s="334" t="inlineStr"/>
      <c r="M285" s="334" t="inlineStr"/>
      <c r="N285" s="334" t="inlineStr"/>
      <c r="O285" s="354">
        <f>M285*N285</f>
        <v/>
      </c>
      <c r="P285" s="334" t="inlineStr"/>
      <c r="Q285" s="334" t="inlineStr"/>
      <c r="R285" s="334" t="inlineStr"/>
      <c r="S285" s="354">
        <f>Q285*R285</f>
        <v/>
      </c>
      <c r="T285" t="inlineStr"/>
      <c r="U285" t="inlineStr"/>
    </row>
    <row r="286" ht="22.2" customHeight="1" s="375">
      <c r="A286" s="3" t="n"/>
      <c r="B286" s="313" t="n"/>
      <c r="E286" s="3" t="n"/>
      <c r="F286" s="322" t="n"/>
      <c r="G286" s="321" t="inlineStr"/>
      <c r="H286" s="544" t="inlineStr"/>
      <c r="I286" s="544" t="inlineStr"/>
      <c r="J286" s="544" t="inlineStr"/>
      <c r="K286" s="374" t="n"/>
      <c r="L286" s="334" t="inlineStr"/>
      <c r="M286" s="334" t="inlineStr"/>
      <c r="N286" s="334" t="inlineStr"/>
      <c r="O286" s="354">
        <f>M286*N286</f>
        <v/>
      </c>
      <c r="P286" s="334" t="inlineStr"/>
      <c r="Q286" s="334" t="inlineStr"/>
      <c r="R286" s="334" t="inlineStr"/>
      <c r="S286" s="354">
        <f>Q286*R286</f>
        <v/>
      </c>
      <c r="T286" t="inlineStr"/>
      <c r="U286" t="inlineStr"/>
    </row>
    <row r="287" ht="22.2" customHeight="1" s="375">
      <c r="A287" s="3" t="n"/>
      <c r="E287" s="3" t="n"/>
      <c r="G287" s="344" t="inlineStr"/>
      <c r="H287" s="545" t="inlineStr"/>
      <c r="I287" s="545" t="inlineStr"/>
      <c r="J287" s="545" t="inlineStr"/>
      <c r="K287" s="527" t="n"/>
      <c r="L287" s="334" t="inlineStr"/>
      <c r="M287" s="334" t="inlineStr"/>
      <c r="N287" s="334" t="inlineStr"/>
      <c r="O287" s="354">
        <f>M287*N287</f>
        <v/>
      </c>
      <c r="P287" s="334" t="inlineStr"/>
      <c r="Q287" s="334" t="inlineStr"/>
      <c r="R287" s="334" t="inlineStr"/>
      <c r="S287" s="354">
        <f>Q287*R287</f>
        <v/>
      </c>
      <c r="T287" t="inlineStr"/>
      <c r="U287" t="inlineStr"/>
    </row>
    <row r="288" ht="22.2" customHeight="1" s="375">
      <c r="A288" s="3" t="n"/>
      <c r="E288" s="3" t="n"/>
      <c r="G288" s="533" t="inlineStr">
        <is>
          <t>อังคาร</t>
        </is>
      </c>
      <c r="H288" s="376" t="inlineStr">
        <is>
          <t>20101-2008</t>
        </is>
      </c>
      <c r="I288" s="376" t="inlineStr">
        <is>
          <t>ชย.2/4 (26)</t>
        </is>
      </c>
      <c r="J288" s="381" t="inlineStr">
        <is>
          <t>13:10 - 17:10</t>
        </is>
      </c>
      <c r="K288" s="135" t="n"/>
      <c r="L288" s="367" t="n">
        <v>4</v>
      </c>
      <c r="M288" s="381" t="inlineStr"/>
      <c r="N288" s="381" t="inlineStr"/>
      <c r="O288" s="354" t="inlineStr"/>
      <c r="P288" s="381" t="inlineStr"/>
      <c r="Q288" s="367" t="inlineStr"/>
      <c r="R288" s="381" t="inlineStr"/>
      <c r="S288" s="354" t="inlineStr"/>
      <c r="T288" t="inlineStr"/>
      <c r="U288" t="inlineStr"/>
    </row>
    <row r="289" ht="22.2" customHeight="1" s="375">
      <c r="A289" s="3" t="n"/>
      <c r="E289" s="3" t="n"/>
      <c r="G289" s="535" t="inlineStr">
        <is>
          <t>22 ก.ย.69</t>
        </is>
      </c>
      <c r="H289" s="376" t="inlineStr">
        <is>
          <t>20101-2013</t>
        </is>
      </c>
      <c r="I289" s="376" t="inlineStr">
        <is>
          <t>ชย.ทวิ 3/9 (26)</t>
        </is>
      </c>
      <c r="J289" s="334" t="inlineStr">
        <is>
          <t>18:10 - 21:10</t>
        </is>
      </c>
      <c r="K289" s="374" t="n"/>
      <c r="L289" s="334" t="n">
        <v>3</v>
      </c>
      <c r="M289" s="334" t="inlineStr"/>
      <c r="N289" s="334" t="inlineStr"/>
      <c r="O289" s="354" t="inlineStr"/>
      <c r="P289" s="334" t="inlineStr"/>
      <c r="Q289" s="334" t="inlineStr"/>
      <c r="R289" s="334" t="inlineStr"/>
      <c r="S289" s="354" t="inlineStr"/>
      <c r="T289" t="inlineStr"/>
      <c r="U289" t="inlineStr"/>
    </row>
    <row r="290" ht="22.2" customHeight="1" s="375">
      <c r="A290" s="3" t="n"/>
      <c r="B290" s="313" t="n"/>
      <c r="D290" s="314" t="n"/>
      <c r="E290" s="314" t="n"/>
      <c r="G290" s="334" t="inlineStr"/>
      <c r="H290" s="376" t="inlineStr"/>
      <c r="I290" s="376" t="inlineStr"/>
      <c r="J290" s="334" t="inlineStr"/>
      <c r="K290" s="374" t="n"/>
      <c r="L290" s="334" t="inlineStr"/>
      <c r="M290" s="334" t="inlineStr"/>
      <c r="N290" s="334" t="inlineStr"/>
      <c r="O290" s="354" t="inlineStr"/>
      <c r="P290" s="334" t="inlineStr"/>
      <c r="Q290" s="334" t="inlineStr"/>
      <c r="R290" s="334" t="inlineStr"/>
      <c r="S290" s="354" t="inlineStr"/>
      <c r="T290" t="inlineStr"/>
      <c r="U290" t="inlineStr"/>
    </row>
    <row r="291" ht="22.2" customHeight="1" s="375">
      <c r="A291" s="3" t="n"/>
      <c r="E291" s="3" t="n"/>
      <c r="G291" s="54" t="inlineStr"/>
      <c r="H291" s="334" t="inlineStr"/>
      <c r="I291" s="334" t="inlineStr"/>
      <c r="J291" s="334" t="inlineStr"/>
      <c r="K291" s="374" t="n"/>
      <c r="L291" s="334" t="inlineStr"/>
      <c r="M291" s="334" t="inlineStr"/>
      <c r="N291" s="334" t="inlineStr"/>
      <c r="O291" s="354" t="inlineStr"/>
      <c r="P291" s="334" t="inlineStr"/>
      <c r="Q291" s="334" t="inlineStr"/>
      <c r="R291" s="334" t="inlineStr"/>
      <c r="S291" s="354" t="inlineStr"/>
      <c r="T291" t="inlineStr"/>
      <c r="U291" t="inlineStr"/>
    </row>
    <row r="292" ht="22.2" customHeight="1" s="375">
      <c r="A292" s="3" t="n"/>
      <c r="D292" s="7" t="inlineStr">
        <is>
          <t> </t>
        </is>
      </c>
      <c r="E292" s="3" t="n"/>
      <c r="G292" s="55" t="inlineStr"/>
      <c r="H292" s="336" t="inlineStr"/>
      <c r="I292" s="336" t="inlineStr"/>
      <c r="J292" s="336" t="inlineStr"/>
      <c r="K292" s="527" t="n"/>
      <c r="L292" s="334" t="inlineStr"/>
      <c r="M292" s="334" t="inlineStr"/>
      <c r="N292" s="334" t="inlineStr"/>
      <c r="O292" s="354" t="inlineStr"/>
      <c r="P292" s="334" t="inlineStr"/>
      <c r="Q292" s="334" t="inlineStr"/>
      <c r="R292" s="334" t="inlineStr"/>
      <c r="S292" s="354" t="inlineStr"/>
      <c r="T292" t="inlineStr"/>
      <c r="U292" t="inlineStr"/>
    </row>
    <row r="293" ht="22.2" customHeight="1" s="375">
      <c r="A293" s="3" t="n"/>
      <c r="E293" s="3" t="n"/>
      <c r="G293" s="535" t="inlineStr">
        <is>
          <t>พุธ</t>
        </is>
      </c>
      <c r="H293" s="376" t="inlineStr">
        <is>
          <t>20101-2011</t>
        </is>
      </c>
      <c r="I293" s="376" t="inlineStr">
        <is>
          <t>ชย.2/8 (26)</t>
        </is>
      </c>
      <c r="J293" s="381" t="inlineStr">
        <is>
          <t>08:10 - 12:10</t>
        </is>
      </c>
      <c r="K293" s="135" t="n"/>
      <c r="L293" s="367" t="n">
        <v>4</v>
      </c>
      <c r="M293" s="381" t="inlineStr"/>
      <c r="N293" s="381" t="inlineStr"/>
      <c r="O293" s="354" t="inlineStr"/>
      <c r="P293" s="381" t="inlineStr"/>
      <c r="Q293" s="367" t="inlineStr"/>
      <c r="R293" s="381" t="inlineStr"/>
      <c r="S293" s="354" t="inlineStr"/>
      <c r="T293" s="23" t="inlineStr"/>
      <c r="U293" s="23" t="inlineStr"/>
      <c r="V293" s="56" t="n"/>
      <c r="W293" s="23" t="n"/>
      <c r="X293" s="23" t="n"/>
    </row>
    <row r="294" ht="22.2" customHeight="1" s="375">
      <c r="A294" s="3" t="n"/>
      <c r="B294" s="48" t="n"/>
      <c r="C294" s="58" t="n"/>
      <c r="D294" s="49" t="n"/>
      <c r="E294" s="49" t="n"/>
      <c r="G294" s="535" t="inlineStr">
        <is>
          <t>23 ก.ย.69</t>
        </is>
      </c>
      <c r="H294" s="376" t="inlineStr">
        <is>
          <t>20101-2011</t>
        </is>
      </c>
      <c r="I294" s="376" t="inlineStr">
        <is>
          <t>ชย.2/8 (26)</t>
        </is>
      </c>
      <c r="J294" s="334" t="inlineStr">
        <is>
          <t>13:10 - 16:10</t>
        </is>
      </c>
      <c r="K294" s="374" t="n"/>
      <c r="L294" s="334" t="n">
        <v>3</v>
      </c>
      <c r="M294" s="334" t="inlineStr"/>
      <c r="N294" s="334" t="inlineStr"/>
      <c r="O294" s="354" t="inlineStr"/>
      <c r="P294" s="334" t="inlineStr"/>
      <c r="Q294" s="334" t="inlineStr"/>
      <c r="R294" s="334" t="inlineStr"/>
      <c r="S294" s="354" t="inlineStr"/>
      <c r="T294" s="23" t="inlineStr"/>
      <c r="U294" s="23" t="inlineStr"/>
      <c r="V294" s="56" t="n"/>
      <c r="W294" s="23" t="n"/>
      <c r="X294" s="23" t="n"/>
    </row>
    <row r="295" ht="22.2" customHeight="1" s="375">
      <c r="A295" s="3" t="n"/>
      <c r="B295" s="48" t="n"/>
      <c r="C295" s="58" t="n"/>
      <c r="D295" s="49" t="n"/>
      <c r="E295" s="49" t="n"/>
      <c r="G295" s="334" t="inlineStr"/>
      <c r="H295" s="376" t="inlineStr">
        <is>
          <t>20101-2013</t>
        </is>
      </c>
      <c r="I295" s="376" t="inlineStr">
        <is>
          <t>ชย.ทวิ 3/9 (26)</t>
        </is>
      </c>
      <c r="J295" s="334" t="inlineStr">
        <is>
          <t>17:10 - 21:10</t>
        </is>
      </c>
      <c r="K295" s="374" t="n"/>
      <c r="L295" s="334" t="n">
        <v>4</v>
      </c>
      <c r="M295" s="334" t="inlineStr"/>
      <c r="N295" s="334" t="inlineStr"/>
      <c r="O295" s="354" t="inlineStr"/>
      <c r="P295" s="334" t="inlineStr"/>
      <c r="Q295" s="334" t="inlineStr"/>
      <c r="R295" s="334" t="inlineStr"/>
      <c r="S295" s="354" t="inlineStr"/>
      <c r="T295" t="inlineStr"/>
      <c r="U295" t="inlineStr"/>
    </row>
    <row r="296" ht="22.2" customHeight="1" s="375">
      <c r="A296" s="3" t="n"/>
      <c r="B296" s="48" t="n"/>
      <c r="C296" s="58" t="n"/>
      <c r="D296" s="49" t="n"/>
      <c r="E296" s="49" t="n"/>
      <c r="G296" s="321" t="inlineStr"/>
      <c r="H296" s="321" t="inlineStr"/>
      <c r="I296" s="334" t="inlineStr"/>
      <c r="J296" s="334" t="inlineStr"/>
      <c r="K296" s="374" t="n"/>
      <c r="L296" s="334" t="inlineStr"/>
      <c r="M296" s="334" t="inlineStr"/>
      <c r="N296" s="334" t="inlineStr"/>
      <c r="O296" s="354" t="inlineStr"/>
      <c r="P296" s="334" t="inlineStr"/>
      <c r="Q296" s="334" t="inlineStr"/>
      <c r="R296" s="334" t="inlineStr"/>
      <c r="S296" s="354" t="inlineStr"/>
      <c r="T296" t="inlineStr"/>
      <c r="U296" t="inlineStr"/>
    </row>
    <row r="297" ht="22.2" customHeight="1" s="375">
      <c r="A297" s="3" t="n"/>
      <c r="D297" s="314" t="n"/>
      <c r="E297" s="314" t="n"/>
      <c r="G297" s="327" t="inlineStr"/>
      <c r="H297" s="327" t="inlineStr"/>
      <c r="I297" s="336" t="inlineStr"/>
      <c r="J297" s="336" t="inlineStr"/>
      <c r="K297" s="527" t="n"/>
      <c r="L297" s="336" t="inlineStr"/>
      <c r="M297" s="336" t="inlineStr"/>
      <c r="N297" s="336" t="inlineStr"/>
      <c r="O297" s="354" t="inlineStr"/>
      <c r="P297" s="336" t="inlineStr"/>
      <c r="Q297" s="336" t="inlineStr"/>
      <c r="R297" s="336" t="inlineStr"/>
      <c r="S297" s="354" t="inlineStr"/>
      <c r="T297" t="inlineStr"/>
      <c r="U297" t="inlineStr"/>
    </row>
    <row r="298" ht="22.2" customHeight="1" s="375">
      <c r="A298" s="3" t="n"/>
      <c r="E298" s="3" t="n"/>
      <c r="G298" s="533" t="inlineStr">
        <is>
          <t>พฤหัส</t>
        </is>
      </c>
      <c r="H298" s="376" t="inlineStr">
        <is>
          <t>20101-2020</t>
        </is>
      </c>
      <c r="I298" s="376" t="inlineStr">
        <is>
          <t>ชย.3/3 (26)</t>
        </is>
      </c>
      <c r="J298" s="334" t="inlineStr">
        <is>
          <t>08:10 - 12:10</t>
        </is>
      </c>
      <c r="K298" s="374" t="n"/>
      <c r="L298" s="334" t="inlineStr"/>
      <c r="M298" s="334" t="n">
        <v>4</v>
      </c>
      <c r="N298" s="334" t="n">
        <v>200</v>
      </c>
      <c r="O298" s="354">
        <f>M298*N298</f>
        <v/>
      </c>
      <c r="P298" s="334" t="inlineStr"/>
      <c r="Q298" s="362" t="inlineStr"/>
      <c r="R298" s="362" t="inlineStr"/>
      <c r="S298" s="354" t="inlineStr"/>
      <c r="T298" t="inlineStr"/>
      <c r="U298" t="inlineStr"/>
    </row>
    <row r="299" ht="22.2" customHeight="1" s="375">
      <c r="A299" s="3" t="n"/>
      <c r="E299" s="3" t="n"/>
      <c r="G299" s="535" t="inlineStr">
        <is>
          <t>24 ก.ย.69</t>
        </is>
      </c>
      <c r="H299" s="376" t="inlineStr">
        <is>
          <t>20101-2020</t>
        </is>
      </c>
      <c r="I299" s="376" t="inlineStr">
        <is>
          <t>ชย.3/3 (26)</t>
        </is>
      </c>
      <c r="J299" s="334" t="inlineStr">
        <is>
          <t>15:10 - 21:10</t>
        </is>
      </c>
      <c r="K299" s="374" t="n"/>
      <c r="L299" s="334" t="inlineStr"/>
      <c r="M299" s="334" t="n">
        <v>6</v>
      </c>
      <c r="N299" s="334" t="n">
        <v>200</v>
      </c>
      <c r="O299" s="354">
        <f>M299*N299</f>
        <v/>
      </c>
      <c r="P299" s="334" t="inlineStr"/>
      <c r="Q299" s="334" t="inlineStr"/>
      <c r="R299" s="334" t="inlineStr"/>
      <c r="S299" s="354" t="inlineStr"/>
      <c r="T299" t="inlineStr"/>
      <c r="U299" t="inlineStr"/>
    </row>
    <row r="300" ht="22.2" customHeight="1" s="375">
      <c r="A300" s="3" t="n"/>
      <c r="B300" s="313" t="n"/>
      <c r="E300" s="3" t="n"/>
      <c r="G300" s="334" t="inlineStr"/>
      <c r="H300" s="376" t="inlineStr"/>
      <c r="I300" s="376" t="inlineStr"/>
      <c r="J300" s="334" t="inlineStr"/>
      <c r="K300" s="374" t="n"/>
      <c r="L300" s="376" t="inlineStr"/>
      <c r="M300" s="376" t="inlineStr"/>
      <c r="N300" s="376" t="inlineStr"/>
      <c r="O300" s="354" t="inlineStr"/>
      <c r="P300" s="376" t="inlineStr"/>
      <c r="Q300" s="376" t="inlineStr"/>
      <c r="R300" s="376" t="inlineStr"/>
      <c r="S300" s="354" t="inlineStr"/>
      <c r="T300" t="inlineStr"/>
      <c r="U300" t="inlineStr"/>
    </row>
    <row r="301" ht="22.2" customHeight="1" s="375">
      <c r="A301" s="3" t="n"/>
      <c r="E301" s="3" t="n"/>
      <c r="G301" s="334" t="inlineStr"/>
      <c r="H301" s="334" t="inlineStr"/>
      <c r="I301" s="323" t="inlineStr"/>
      <c r="J301" s="334" t="inlineStr"/>
      <c r="K301" s="374" t="n"/>
      <c r="L301" s="334" t="inlineStr"/>
      <c r="M301" s="334" t="inlineStr"/>
      <c r="N301" s="334" t="inlineStr"/>
      <c r="O301" s="354" t="inlineStr"/>
      <c r="P301" s="334" t="inlineStr"/>
      <c r="Q301" s="334" t="inlineStr"/>
      <c r="R301" s="334" t="inlineStr"/>
      <c r="S301" s="354" t="inlineStr"/>
      <c r="T301" t="inlineStr"/>
      <c r="U301" t="inlineStr"/>
    </row>
    <row r="302" ht="22.2" customHeight="1" s="375">
      <c r="A302" s="3" t="n"/>
      <c r="E302" s="3" t="n"/>
      <c r="G302" s="336" t="inlineStr"/>
      <c r="H302" s="328" t="inlineStr"/>
      <c r="I302" s="336" t="inlineStr"/>
      <c r="J302" s="336" t="inlineStr"/>
      <c r="K302" s="527" t="n"/>
      <c r="L302" s="336" t="inlineStr"/>
      <c r="M302" s="336" t="inlineStr"/>
      <c r="N302" s="336" t="inlineStr"/>
      <c r="O302" s="354" t="inlineStr"/>
      <c r="P302" s="336" t="inlineStr"/>
      <c r="Q302" s="336" t="inlineStr"/>
      <c r="R302" s="336" t="inlineStr"/>
      <c r="S302" s="354" t="inlineStr"/>
      <c r="T302" t="inlineStr"/>
      <c r="U302" t="inlineStr"/>
    </row>
    <row r="303" ht="22.2" customHeight="1" s="375">
      <c r="A303" s="3" t="n"/>
      <c r="E303" s="3" t="n"/>
      <c r="G303" s="533" t="inlineStr">
        <is>
          <t>ศุกร์</t>
        </is>
      </c>
      <c r="H303" s="376" t="inlineStr"/>
      <c r="I303" s="376" t="inlineStr"/>
      <c r="J303" s="381" t="inlineStr"/>
      <c r="K303" s="135" t="n"/>
      <c r="L303" s="334" t="inlineStr"/>
      <c r="M303" s="334" t="inlineStr"/>
      <c r="N303" s="334" t="inlineStr"/>
      <c r="O303" s="354" t="inlineStr"/>
      <c r="P303" s="381" t="inlineStr"/>
      <c r="Q303" s="367" t="inlineStr"/>
      <c r="R303" s="381" t="inlineStr"/>
      <c r="S303" s="354" t="inlineStr"/>
      <c r="T303" s="23" t="inlineStr"/>
      <c r="U303" s="23" t="inlineStr"/>
      <c r="V303" s="56" t="n"/>
      <c r="W303" s="23" t="n"/>
      <c r="X303" s="23" t="n"/>
    </row>
    <row r="304" ht="22.2" customHeight="1" s="375">
      <c r="A304" s="3" t="n"/>
      <c r="E304" s="3" t="n"/>
      <c r="G304" s="535" t="inlineStr">
        <is>
          <t>25 ก.ย.69</t>
        </is>
      </c>
      <c r="H304" s="376" t="inlineStr"/>
      <c r="I304" s="376" t="inlineStr"/>
      <c r="J304" s="334" t="inlineStr"/>
      <c r="K304" s="374" t="n"/>
      <c r="L304" s="334" t="inlineStr"/>
      <c r="M304" s="334" t="inlineStr"/>
      <c r="N304" s="334" t="inlineStr"/>
      <c r="O304" s="354" t="inlineStr"/>
      <c r="P304" s="334" t="inlineStr"/>
      <c r="Q304" s="334" t="inlineStr"/>
      <c r="R304" s="334" t="inlineStr"/>
      <c r="S304" s="354" t="inlineStr"/>
      <c r="T304" s="23" t="inlineStr"/>
      <c r="U304" s="23" t="inlineStr"/>
      <c r="V304" s="56" t="n"/>
      <c r="W304" s="23" t="n"/>
      <c r="X304" s="23" t="n"/>
    </row>
    <row r="305" ht="22.2" customHeight="1" s="375">
      <c r="A305" s="3" t="n"/>
      <c r="E305" s="3" t="n"/>
      <c r="G305" s="334" t="inlineStr"/>
      <c r="H305" s="376" t="inlineStr"/>
      <c r="I305" s="376" t="inlineStr"/>
      <c r="J305" s="334" t="inlineStr"/>
      <c r="K305" s="374" t="n"/>
      <c r="L305" s="334" t="inlineStr"/>
      <c r="M305" s="334" t="inlineStr"/>
      <c r="N305" s="334" t="inlineStr"/>
      <c r="O305" s="354" t="inlineStr"/>
      <c r="P305" s="334" t="inlineStr"/>
      <c r="Q305" s="334" t="inlineStr"/>
      <c r="R305" s="334" t="inlineStr"/>
      <c r="S305" s="354" t="inlineStr"/>
      <c r="T305" t="inlineStr"/>
      <c r="U305" t="inlineStr"/>
    </row>
    <row r="306" ht="22.2" customHeight="1" s="375">
      <c r="A306" s="3" t="n"/>
      <c r="E306" s="3" t="n"/>
      <c r="G306" s="334" t="inlineStr"/>
      <c r="H306" s="147" t="inlineStr"/>
      <c r="I306" s="3" t="inlineStr"/>
      <c r="J306" s="334" t="inlineStr"/>
      <c r="K306" s="374" t="n"/>
      <c r="L306" s="334" t="inlineStr"/>
      <c r="M306" s="334" t="inlineStr"/>
      <c r="N306" s="334" t="inlineStr"/>
      <c r="O306" s="354" t="inlineStr"/>
      <c r="P306" s="334" t="inlineStr"/>
      <c r="Q306" s="334" t="inlineStr"/>
      <c r="R306" s="334" t="inlineStr"/>
      <c r="S306" s="354" t="inlineStr"/>
      <c r="T306" t="inlineStr"/>
      <c r="U306" t="inlineStr"/>
    </row>
    <row r="307" ht="22.2" customHeight="1" s="375">
      <c r="A307" s="3" t="n"/>
      <c r="E307" s="3" t="n"/>
      <c r="F307" s="3" t="n"/>
      <c r="G307" s="329" t="inlineStr"/>
      <c r="H307" s="336" t="inlineStr"/>
      <c r="I307" s="329" t="inlineStr"/>
      <c r="J307" s="336" t="inlineStr"/>
      <c r="K307" s="527" t="n"/>
      <c r="L307" s="336" t="inlineStr"/>
      <c r="M307" s="336" t="inlineStr"/>
      <c r="N307" s="336" t="inlineStr"/>
      <c r="O307" s="354" t="inlineStr"/>
      <c r="P307" s="336" t="inlineStr"/>
      <c r="Q307" s="336" t="inlineStr"/>
      <c r="R307" s="336" t="inlineStr"/>
      <c r="S307" s="354" t="inlineStr"/>
      <c r="T307" t="inlineStr"/>
      <c r="U307" t="inlineStr"/>
    </row>
    <row r="308" ht="22.2" customHeight="1" s="375">
      <c r="A308" s="3" t="n"/>
      <c r="E308" s="3" t="n"/>
      <c r="F308" s="3" t="n"/>
      <c r="G308" s="16" t="inlineStr">
        <is>
          <t>รวมขั่วโมงที่สอนแยก ภาระงาน/ เกินภาระงาน</t>
        </is>
      </c>
      <c r="H308" s="518" t="n"/>
      <c r="I308" s="518" t="n"/>
      <c r="J308" s="518" t="n"/>
      <c r="K308" s="432" t="n"/>
      <c r="L308" s="16">
        <f>SUM(L283:L307)</f>
        <v/>
      </c>
      <c r="M308" s="16">
        <f>SUM(M283:M307)</f>
        <v/>
      </c>
      <c r="N308" s="16" t="n"/>
      <c r="O308" s="16" t="n"/>
      <c r="P308" s="16">
        <f>SUM(P283:P307)</f>
        <v/>
      </c>
      <c r="Q308" s="16">
        <f>SUM(Q283:Q307)</f>
        <v/>
      </c>
      <c r="R308" s="349" t="n"/>
      <c r="S308" s="16" t="n"/>
    </row>
    <row r="309" ht="22.2" customHeight="1" s="375">
      <c r="A309" s="3" t="n"/>
      <c r="E309" s="3" t="n"/>
      <c r="F309" s="3" t="n"/>
      <c r="G309" s="16" t="inlineStr">
        <is>
          <t>รวมจำนวนชั่วโมงสอนคาบต่อสับดาห์</t>
        </is>
      </c>
      <c r="H309" s="518" t="n"/>
      <c r="I309" s="518" t="n"/>
      <c r="J309" s="518" t="n"/>
      <c r="K309" s="432" t="n"/>
      <c r="L309" s="16">
        <f>L308+M308</f>
        <v/>
      </c>
      <c r="M309" s="432" t="n"/>
      <c r="N309" s="16" t="n"/>
      <c r="O309" s="348" t="n"/>
      <c r="P309" s="16">
        <f>P308+Q308</f>
        <v/>
      </c>
      <c r="Q309" s="432" t="n"/>
      <c r="R309" s="329" t="n"/>
      <c r="S309" s="336" t="n"/>
    </row>
    <row r="310" ht="22.2" customHeight="1" s="375">
      <c r="A310" s="3" t="n"/>
      <c r="E310" s="3" t="n"/>
      <c r="F310" s="3" t="n"/>
      <c r="G310" s="16" t="inlineStr">
        <is>
          <t>จำนวนชั่วโมงสอนตามภาระงานสอน</t>
        </is>
      </c>
      <c r="H310" s="518" t="n"/>
      <c r="I310" s="518" t="n"/>
      <c r="J310" s="518" t="n"/>
      <c r="K310" s="432" t="n"/>
      <c r="L310" s="16" t="n">
        <v>18</v>
      </c>
      <c r="M310" s="432" t="n"/>
      <c r="N310" s="348" t="n"/>
      <c r="O310" s="16" t="n"/>
      <c r="P310" s="16" t="n">
        <v>0</v>
      </c>
      <c r="Q310" s="432" t="n"/>
      <c r="R310" s="322" t="n"/>
      <c r="S310" s="334" t="n"/>
    </row>
    <row r="311" ht="22.2" customHeight="1" s="375" thickBot="1">
      <c r="A311" s="3" t="n"/>
      <c r="E311" s="3" t="n"/>
      <c r="F311" s="14" t="n"/>
      <c r="G311" s="16" t="inlineStr">
        <is>
          <t>จำนวนชั่วโมงบิกเกินภาระงานสอน/ค่าสอน</t>
        </is>
      </c>
      <c r="H311" s="518" t="n"/>
      <c r="I311" s="518" t="n"/>
      <c r="J311" s="518" t="n"/>
      <c r="K311" s="432" t="n"/>
      <c r="L311" s="17" t="n">
        <v>0</v>
      </c>
      <c r="M311" s="17">
        <f>SUM(M283:M307)</f>
        <v/>
      </c>
      <c r="N311" s="17" t="n"/>
      <c r="O311" s="17">
        <f>SUM(O283:O307)</f>
        <v/>
      </c>
      <c r="P311" s="17" t="n">
        <v>0</v>
      </c>
      <c r="Q311" s="17">
        <f>SUM(Q283:Q307)</f>
        <v/>
      </c>
      <c r="R311" s="18" t="n"/>
      <c r="S311" s="17">
        <f>SUM(S283:S307)</f>
        <v/>
      </c>
    </row>
    <row r="312" ht="22.2" customHeight="1" s="375" thickTop="1">
      <c r="A312" s="337" t="inlineStr">
        <is>
          <t>รวมจำนวนหน่วยชั่วโมงที่ขอเบิกค่าสอน ….</t>
        </is>
      </c>
      <c r="B312" s="518" t="n"/>
      <c r="C312" s="518" t="n"/>
      <c r="D312" s="518" t="n"/>
      <c r="E312" s="518" t="n"/>
      <c r="F312" s="518" t="n"/>
      <c r="G312" s="518" t="n"/>
      <c r="H312" s="348">
        <f>M311+Q311</f>
        <v/>
      </c>
      <c r="I312" s="348" t="inlineStr">
        <is>
          <t>….ชั่วโมง</t>
        </is>
      </c>
      <c r="J312" s="348" t="n"/>
      <c r="K312" s="328" t="inlineStr">
        <is>
          <t>ยอดเงินรวม</t>
        </is>
      </c>
      <c r="L312" s="522" t="n"/>
      <c r="M312" s="522" t="n"/>
      <c r="N312" s="328" t="n"/>
      <c r="O312" s="328" t="n"/>
      <c r="P312" s="339">
        <f>S311+O311</f>
        <v/>
      </c>
      <c r="Q312" s="538" t="n"/>
      <c r="R312" s="20" t="n"/>
      <c r="S312" s="19" t="inlineStr">
        <is>
          <t>..บาท</t>
        </is>
      </c>
    </row>
    <row r="313" ht="22.2" customHeight="1" s="375">
      <c r="A313" s="154" t="inlineStr">
        <is>
          <t>ผู้ขอเบิก</t>
        </is>
      </c>
      <c r="B313" s="153" t="n"/>
      <c r="C313" s="153" t="n"/>
      <c r="D313" s="153" t="n"/>
      <c r="E313" s="153" t="n"/>
      <c r="F313" s="153" t="n"/>
      <c r="G313" s="135" t="n"/>
      <c r="H313" s="154" t="inlineStr">
        <is>
          <t>ผู้รับรอง</t>
        </is>
      </c>
      <c r="I313" s="153" t="n"/>
      <c r="J313" s="153" t="n"/>
      <c r="K313" s="153" t="n"/>
      <c r="L313" s="135" t="n"/>
      <c r="M313" s="154" t="inlineStr">
        <is>
          <t>ผู้ตรวจ</t>
        </is>
      </c>
      <c r="N313" s="153" t="n"/>
      <c r="O313" s="153" t="n"/>
      <c r="P313" s="153" t="n"/>
      <c r="Q313" s="153" t="n"/>
      <c r="R313" s="153" t="n"/>
      <c r="S313" s="135" t="n"/>
    </row>
    <row r="314" ht="22.2" customHeight="1" s="375">
      <c r="A314" s="334" t="inlineStr">
        <is>
          <t>ลงชื่อ……………………………………………</t>
        </is>
      </c>
      <c r="G314" s="374" t="n"/>
      <c r="H314" s="334" t="inlineStr">
        <is>
          <t>ลงชื่อ……………………………………………</t>
        </is>
      </c>
      <c r="L314" s="374" t="n"/>
      <c r="M314" s="334" t="inlineStr">
        <is>
          <t>ลงชื่อ……………………………………………</t>
        </is>
      </c>
      <c r="S314" s="374" t="n"/>
    </row>
    <row r="315" ht="22.2" customHeight="1" s="375">
      <c r="A315" s="11" t="inlineStr">
        <is>
          <t>(</t>
        </is>
      </c>
      <c r="B315" s="324">
        <f>B283</f>
        <v/>
      </c>
      <c r="G315" s="326" t="inlineStr">
        <is>
          <t>)</t>
        </is>
      </c>
      <c r="H315" s="324" t="inlineStr">
        <is>
          <t>(</t>
        </is>
      </c>
      <c r="I315" s="340">
        <f>I269</f>
        <v/>
      </c>
      <c r="L315" s="12" t="inlineStr">
        <is>
          <t>)</t>
        </is>
      </c>
      <c r="M315" s="53" t="inlineStr">
        <is>
          <t>(</t>
        </is>
      </c>
      <c r="N315" s="53" t="n"/>
      <c r="O315" s="324">
        <f>O39</f>
        <v/>
      </c>
      <c r="R315" s="25" t="n"/>
      <c r="S315" s="326" t="inlineStr">
        <is>
          <t>)</t>
        </is>
      </c>
    </row>
    <row r="316" ht="22.2" customHeight="1" s="375">
      <c r="A316" s="540" t="inlineStr">
        <is>
          <t xml:space="preserve">                         ตำแหน่ง  ครู</t>
        </is>
      </c>
      <c r="G316" s="374" t="n"/>
      <c r="H316" s="54" t="inlineStr">
        <is>
          <t>ตำแหน่ง หัวหน้าแผนก</t>
        </is>
      </c>
      <c r="L316" s="374" t="n"/>
      <c r="M316" s="54" t="inlineStr">
        <is>
          <t>ตำแหน่ง   ผู้ตรวจสอบ</t>
        </is>
      </c>
      <c r="S316" s="374" t="n"/>
    </row>
    <row r="317" ht="22.2" customHeight="1" s="375">
      <c r="A317" s="55" t="inlineStr">
        <is>
          <t>วันที่ 28 เดือน กันยายน  พ.ศ.2569</t>
        </is>
      </c>
      <c r="B317" s="522" t="n"/>
      <c r="C317" s="522" t="n"/>
      <c r="D317" s="522" t="n"/>
      <c r="E317" s="522" t="n"/>
      <c r="F317" s="522" t="n"/>
      <c r="G317" s="527" t="n"/>
      <c r="H317" s="54">
        <f>A41</f>
        <v/>
      </c>
      <c r="L317" s="374" t="n"/>
      <c r="M317" s="55">
        <f>A41</f>
        <v/>
      </c>
      <c r="N317" s="522" t="n"/>
      <c r="O317" s="522" t="n"/>
      <c r="P317" s="522" t="n"/>
      <c r="Q317" s="522" t="n"/>
      <c r="R317" s="522" t="n"/>
      <c r="S317" s="527" t="n"/>
    </row>
    <row r="318" ht="22.2" customHeight="1" s="375">
      <c r="A318" s="154" t="inlineStr">
        <is>
          <t>ผู้ตรวจ</t>
        </is>
      </c>
      <c r="B318" s="153" t="n"/>
      <c r="C318" s="153" t="n"/>
      <c r="D318" s="153" t="n"/>
      <c r="E318" s="153" t="n"/>
      <c r="F318" s="153" t="n"/>
      <c r="G318" s="153" t="n"/>
      <c r="H318" s="153" t="n"/>
      <c r="I318" s="135" t="n"/>
      <c r="J318" s="154" t="inlineStr">
        <is>
          <t>ผู้เห็นชอบ</t>
        </is>
      </c>
      <c r="K318" s="153" t="n"/>
      <c r="L318" s="153" t="n"/>
      <c r="M318" s="153" t="n"/>
      <c r="N318" s="153" t="n"/>
      <c r="O318" s="153" t="n"/>
      <c r="P318" s="153" t="n"/>
      <c r="Q318" s="153" t="n"/>
      <c r="R318" s="153" t="n"/>
      <c r="S318" s="135" t="n"/>
    </row>
    <row r="319" ht="22.2" customHeight="1" s="375">
      <c r="A319" s="334" t="inlineStr">
        <is>
          <t>ลงชื่อ……………………………………………</t>
        </is>
      </c>
      <c r="I319" s="374" t="n"/>
      <c r="J319" s="334" t="inlineStr">
        <is>
          <t>ลงชื่อ……………………………………………</t>
        </is>
      </c>
      <c r="S319" s="374" t="n"/>
    </row>
    <row r="320" ht="22.2" customHeight="1" s="375">
      <c r="A320" s="11" t="n"/>
      <c r="B320" s="324">
        <f>B44</f>
        <v/>
      </c>
      <c r="I320" s="326" t="n"/>
      <c r="J320" s="25" t="n"/>
      <c r="K320" s="25" t="n"/>
      <c r="L320" s="324">
        <f>L44</f>
        <v/>
      </c>
      <c r="R320" s="25" t="n"/>
      <c r="S320" s="12" t="n"/>
    </row>
    <row r="321" ht="22.2" customHeight="1" s="375">
      <c r="A321" s="54" t="inlineStr">
        <is>
          <t>ตำแหน่งครู  หัวหน้างานพัฒนาหลักสูตร ฯ</t>
        </is>
      </c>
      <c r="I321" s="374" t="n"/>
      <c r="J321" s="54" t="inlineStr">
        <is>
          <t>ตำแหน่ง  รองผู้อำนวยการฝ่ายวิชาการ</t>
        </is>
      </c>
      <c r="S321" s="374" t="n"/>
    </row>
    <row r="322" ht="22.2" customHeight="1" s="375">
      <c r="A322" s="336" t="inlineStr">
        <is>
          <t>วันที่.......เดือน..........................พ.ศ..............</t>
        </is>
      </c>
      <c r="B322" s="522" t="n"/>
      <c r="C322" s="522" t="n"/>
      <c r="D322" s="522" t="n"/>
      <c r="E322" s="522" t="n"/>
      <c r="F322" s="522" t="n"/>
      <c r="G322" s="522" t="n"/>
      <c r="H322" s="522" t="n"/>
      <c r="I322" s="527" t="n"/>
      <c r="J322" s="336" t="inlineStr">
        <is>
          <t>วันที่.......เดือน..........................พ.ศ..............</t>
        </is>
      </c>
      <c r="K322" s="522" t="n"/>
      <c r="L322" s="522" t="n"/>
      <c r="M322" s="522" t="n"/>
      <c r="N322" s="522" t="n"/>
      <c r="O322" s="522" t="n"/>
      <c r="P322" s="522" t="n"/>
      <c r="Q322" s="522" t="n"/>
      <c r="R322" s="522" t="n"/>
      <c r="S322" s="527" t="n"/>
    </row>
    <row r="323" ht="22.2" customHeight="1" s="375">
      <c r="A323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75">
      <c r="A324" s="365" t="inlineStr">
        <is>
          <t>แผนกวิชาช่างยนต์</t>
        </is>
      </c>
    </row>
    <row r="325" ht="22.2" customHeight="1" s="375">
      <c r="A325" s="366" t="inlineStr">
        <is>
          <t xml:space="preserve">    ระหว่างวันที่</t>
        </is>
      </c>
      <c r="D325" s="365">
        <f>D3</f>
        <v/>
      </c>
      <c r="E325" s="365" t="inlineStr">
        <is>
          <t xml:space="preserve">   เดือน  </t>
        </is>
      </c>
      <c r="F325" s="365">
        <f>F3</f>
        <v/>
      </c>
      <c r="H325" s="365">
        <f>H3</f>
        <v/>
      </c>
      <c r="I325" s="365" t="inlineStr">
        <is>
          <t xml:space="preserve">     ถึง วันที่</t>
        </is>
      </c>
      <c r="J325" s="365">
        <f>J3</f>
        <v/>
      </c>
      <c r="K325" s="365" t="inlineStr">
        <is>
          <t xml:space="preserve">   เดือน </t>
        </is>
      </c>
      <c r="L325" s="365">
        <f>L3</f>
        <v/>
      </c>
      <c r="N325" s="365">
        <f>N3</f>
        <v/>
      </c>
      <c r="P325" s="365" t="n"/>
      <c r="R325" s="365" t="n"/>
    </row>
    <row r="326" ht="22.2" customHeight="1" s="375">
      <c r="G326" s="51" t="inlineStr">
        <is>
          <t>ü</t>
        </is>
      </c>
      <c r="H326" s="351" t="inlineStr">
        <is>
          <t>ครู</t>
        </is>
      </c>
      <c r="I326" s="322" t="inlineStr">
        <is>
          <t>หน้าที่พิเศษ</t>
        </is>
      </c>
      <c r="J326" s="380" t="inlineStr">
        <is>
          <t>ผู้ช่วยงานโครงการพิเศษและการบริการสังคม</t>
        </is>
      </c>
      <c r="K326" s="522" t="n"/>
      <c r="L326" s="522" t="n"/>
      <c r="M326" s="522" t="n"/>
    </row>
    <row r="327" ht="22.2" customHeight="1" s="375">
      <c r="A327" s="24" t="inlineStr">
        <is>
          <t>ที่</t>
        </is>
      </c>
      <c r="B327" s="24" t="inlineStr">
        <is>
          <t>ชื่อ-สกุล</t>
        </is>
      </c>
      <c r="C327" s="153" t="n"/>
      <c r="D327" s="135" t="n"/>
      <c r="E327" s="15" t="inlineStr">
        <is>
          <t>ตำแหน่ง</t>
        </is>
      </c>
      <c r="F327" s="16" t="inlineStr">
        <is>
          <t>ระยะเวลาที่สอน</t>
        </is>
      </c>
      <c r="G327" s="432" t="n"/>
      <c r="H327" s="16" t="inlineStr">
        <is>
          <t>รหัสวิชา</t>
        </is>
      </c>
      <c r="I327" s="362" t="inlineStr">
        <is>
          <t>ชั้น,แผนก,ห้อง</t>
        </is>
      </c>
      <c r="J327" s="16" t="inlineStr">
        <is>
          <t>เวลาสอน</t>
        </is>
      </c>
      <c r="K327" s="135" t="n"/>
      <c r="L327" s="16" t="inlineStr">
        <is>
          <t>ปวช.(คาบ)</t>
        </is>
      </c>
      <c r="M327" s="432" t="n"/>
      <c r="N327" s="354" t="inlineStr">
        <is>
          <t>เงิน</t>
        </is>
      </c>
      <c r="O327" s="362" t="inlineStr">
        <is>
          <t>ยอดเงิน</t>
        </is>
      </c>
      <c r="P327" s="524" t="inlineStr">
        <is>
          <t>ปวส.(คาบ)</t>
        </is>
      </c>
      <c r="Q327" s="432" t="n"/>
      <c r="R327" s="354" t="inlineStr">
        <is>
          <t>เงิน</t>
        </is>
      </c>
      <c r="S327" s="362" t="inlineStr">
        <is>
          <t>ยอดเงิน</t>
        </is>
      </c>
    </row>
    <row r="328" ht="22.2" customHeight="1" s="375">
      <c r="A328" s="52" t="n"/>
      <c r="B328" s="8" t="n"/>
      <c r="C328" s="9" t="n"/>
      <c r="D328" s="13" t="n"/>
      <c r="E328" s="10" t="n"/>
      <c r="F328" s="336" t="inlineStr">
        <is>
          <t>ส.</t>
        </is>
      </c>
      <c r="G328" s="336" t="inlineStr">
        <is>
          <t>วดป.</t>
        </is>
      </c>
      <c r="H328" s="525" t="n"/>
      <c r="I328" s="336" t="n"/>
      <c r="J328" s="526" t="n"/>
      <c r="K328" s="527" t="n"/>
      <c r="L328" s="336" t="inlineStr">
        <is>
          <t>ใน</t>
        </is>
      </c>
      <c r="M328" s="336" t="inlineStr">
        <is>
          <t>นอก</t>
        </is>
      </c>
      <c r="N328" s="336" t="inlineStr">
        <is>
          <t>ต่อ ชม.</t>
        </is>
      </c>
      <c r="O328" s="336" t="inlineStr">
        <is>
          <t>(บาท)</t>
        </is>
      </c>
      <c r="P328" s="52" t="inlineStr">
        <is>
          <t>ใน</t>
        </is>
      </c>
      <c r="Q328" s="52" t="inlineStr">
        <is>
          <t>นอก</t>
        </is>
      </c>
      <c r="R328" s="336" t="inlineStr">
        <is>
          <t>ต่อ ชม.</t>
        </is>
      </c>
      <c r="S328" s="336" t="inlineStr">
        <is>
          <t>(บาท)</t>
        </is>
      </c>
    </row>
    <row r="329" ht="22.2" customHeight="1" s="375">
      <c r="A329" s="362" t="n">
        <v>8</v>
      </c>
      <c r="B329" s="528">
        <f>AB10</f>
        <v/>
      </c>
      <c r="C329" s="153" t="n"/>
      <c r="D329" s="135" t="n"/>
      <c r="E329" s="362" t="inlineStr">
        <is>
          <t>ครู</t>
        </is>
      </c>
      <c r="F329" s="5" t="n">
        <v>2</v>
      </c>
      <c r="G329" s="529" t="inlineStr">
        <is>
          <t>จันทร์</t>
        </is>
      </c>
      <c r="H329" s="542" t="inlineStr">
        <is>
          <t>หยุด</t>
        </is>
      </c>
      <c r="I329" s="547" t="inlineStr"/>
      <c r="J329" s="547" t="inlineStr"/>
      <c r="K329" s="135" t="n"/>
      <c r="L329" s="381" t="inlineStr"/>
      <c r="M329" s="148" t="inlineStr"/>
      <c r="N329" s="150" t="inlineStr"/>
      <c r="O329" s="354">
        <f>M329*N329</f>
        <v/>
      </c>
      <c r="P329" s="134" t="inlineStr"/>
      <c r="Q329" s="134" t="inlineStr"/>
      <c r="R329" s="134" t="inlineStr"/>
      <c r="S329" s="354">
        <f>Q329*R329</f>
        <v/>
      </c>
      <c r="T329" t="inlineStr"/>
      <c r="U329" t="inlineStr"/>
    </row>
    <row r="330" ht="22.2" customHeight="1" s="375">
      <c r="A330" s="3" t="n"/>
      <c r="B330" s="530" t="n"/>
      <c r="D330" s="374" t="n"/>
      <c r="E330" s="334" t="n"/>
      <c r="F330" s="322" t="n"/>
      <c r="G330" s="535" t="inlineStr">
        <is>
          <t>21 ก.ย.69</t>
        </is>
      </c>
      <c r="H330" s="543" t="inlineStr"/>
      <c r="I330" s="543" t="inlineStr"/>
      <c r="J330" s="543" t="inlineStr"/>
      <c r="K330" s="374" t="n"/>
      <c r="L330" s="376" t="inlineStr"/>
      <c r="M330" s="334" t="inlineStr"/>
      <c r="N330" s="323" t="inlineStr"/>
      <c r="O330" s="354">
        <f>M330*N330</f>
        <v/>
      </c>
      <c r="P330" s="334" t="inlineStr"/>
      <c r="Q330" s="334" t="inlineStr"/>
      <c r="R330" s="334" t="inlineStr"/>
      <c r="S330" s="354">
        <f>Q330*R330</f>
        <v/>
      </c>
      <c r="T330" t="inlineStr"/>
      <c r="U330" t="inlineStr"/>
    </row>
    <row r="331" ht="22.2" customHeight="1" s="375">
      <c r="A331" s="3" t="n"/>
      <c r="B331" s="313" t="n"/>
      <c r="D331" s="314" t="n"/>
      <c r="E331" s="314" t="n"/>
      <c r="F331" s="322" t="n"/>
      <c r="G331" s="321" t="inlineStr"/>
      <c r="H331" s="544" t="inlineStr"/>
      <c r="I331" s="544" t="inlineStr"/>
      <c r="J331" s="544" t="inlineStr"/>
      <c r="K331" s="374" t="n"/>
      <c r="L331" s="334" t="inlineStr"/>
      <c r="M331" s="334" t="inlineStr"/>
      <c r="N331" s="334" t="inlineStr"/>
      <c r="O331" s="354">
        <f>M331*N331</f>
        <v/>
      </c>
      <c r="P331" s="334" t="inlineStr"/>
      <c r="Q331" s="334" t="inlineStr"/>
      <c r="R331" s="334" t="inlineStr"/>
      <c r="S331" s="354">
        <f>Q331*R331</f>
        <v/>
      </c>
      <c r="T331" t="inlineStr"/>
      <c r="U331" t="inlineStr"/>
    </row>
    <row r="332" ht="22.2" customHeight="1" s="375">
      <c r="A332" s="3" t="n"/>
      <c r="B332" s="313" t="n"/>
      <c r="E332" s="3" t="n"/>
      <c r="F332" s="322" t="n"/>
      <c r="G332" s="321" t="inlineStr"/>
      <c r="H332" s="544" t="inlineStr"/>
      <c r="I332" s="544" t="inlineStr"/>
      <c r="J332" s="544" t="inlineStr"/>
      <c r="K332" s="374" t="n"/>
      <c r="L332" s="334" t="inlineStr"/>
      <c r="M332" s="334" t="inlineStr"/>
      <c r="N332" s="334" t="inlineStr"/>
      <c r="O332" s="354">
        <f>M332*N332</f>
        <v/>
      </c>
      <c r="P332" s="334" t="inlineStr"/>
      <c r="Q332" s="334" t="inlineStr"/>
      <c r="R332" s="334" t="inlineStr"/>
      <c r="S332" s="354">
        <f>Q332*R332</f>
        <v/>
      </c>
      <c r="T332" t="inlineStr"/>
      <c r="U332" t="inlineStr"/>
    </row>
    <row r="333" ht="22.2" customHeight="1" s="375">
      <c r="A333" s="3" t="n"/>
      <c r="E333" s="3" t="n"/>
      <c r="G333" s="344" t="inlineStr"/>
      <c r="H333" s="545" t="inlineStr"/>
      <c r="I333" s="545" t="inlineStr"/>
      <c r="J333" s="545" t="inlineStr"/>
      <c r="K333" s="527" t="n"/>
      <c r="L333" s="336" t="inlineStr"/>
      <c r="M333" s="334" t="inlineStr"/>
      <c r="N333" s="334" t="inlineStr"/>
      <c r="O333" s="354">
        <f>M333*N333</f>
        <v/>
      </c>
      <c r="P333" s="334" t="inlineStr"/>
      <c r="Q333" s="334" t="inlineStr"/>
      <c r="R333" s="334" t="inlineStr"/>
      <c r="S333" s="354">
        <f>Q333*R333</f>
        <v/>
      </c>
      <c r="T333" t="inlineStr"/>
      <c r="U333" t="inlineStr"/>
    </row>
    <row r="334" ht="22.2" customHeight="1" s="375">
      <c r="A334" s="3" t="n"/>
      <c r="D334" s="7" t="inlineStr">
        <is>
          <t> </t>
        </is>
      </c>
      <c r="E334" s="3" t="n"/>
      <c r="G334" s="533" t="inlineStr">
        <is>
          <t>อังคาร</t>
        </is>
      </c>
      <c r="H334" s="376" t="inlineStr">
        <is>
          <t>20101-2001</t>
        </is>
      </c>
      <c r="I334" s="381" t="inlineStr">
        <is>
          <t>ชย.1/9 (26)</t>
        </is>
      </c>
      <c r="J334" s="381" t="inlineStr">
        <is>
          <t>08:10 - 12:10</t>
        </is>
      </c>
      <c r="K334" s="135" t="n"/>
      <c r="L334" s="367" t="n">
        <v>4</v>
      </c>
      <c r="M334" s="381" t="inlineStr"/>
      <c r="N334" s="381" t="inlineStr"/>
      <c r="O334" s="354" t="inlineStr"/>
      <c r="P334" s="381" t="inlineStr"/>
      <c r="Q334" s="367" t="inlineStr"/>
      <c r="R334" s="381" t="inlineStr"/>
      <c r="S334" s="354" t="inlineStr"/>
      <c r="T334" t="inlineStr"/>
      <c r="U334" t="inlineStr"/>
    </row>
    <row r="335" ht="22.2" customHeight="1" s="375">
      <c r="A335" s="3" t="n"/>
      <c r="E335" s="3" t="n"/>
      <c r="G335" s="535" t="inlineStr">
        <is>
          <t>22 ก.ย.69</t>
        </is>
      </c>
      <c r="H335" s="376" t="inlineStr">
        <is>
          <t>20101-2001</t>
        </is>
      </c>
      <c r="I335" s="376" t="inlineStr">
        <is>
          <t>ชย.1/9 (26)</t>
        </is>
      </c>
      <c r="J335" s="376" t="inlineStr">
        <is>
          <t>13:10 - 16:10</t>
        </is>
      </c>
      <c r="K335" s="374" t="n"/>
      <c r="L335" s="334" t="n">
        <v>3</v>
      </c>
      <c r="M335" s="334" t="inlineStr"/>
      <c r="N335" s="334" t="inlineStr"/>
      <c r="O335" s="354" t="inlineStr"/>
      <c r="P335" s="334" t="inlineStr"/>
      <c r="Q335" s="334" t="inlineStr"/>
      <c r="R335" s="334" t="inlineStr"/>
      <c r="S335" s="354" t="inlineStr"/>
      <c r="T335" t="inlineStr"/>
      <c r="U335" t="inlineStr"/>
    </row>
    <row r="336" ht="22.2" customHeight="1" s="375">
      <c r="A336" s="3" t="n"/>
      <c r="B336" s="321" t="n"/>
      <c r="C336" s="322" t="n"/>
      <c r="D336" s="322" t="n"/>
      <c r="E336" s="334" t="n"/>
      <c r="G336" s="334" t="inlineStr"/>
      <c r="H336" s="376" t="inlineStr"/>
      <c r="I336" s="376" t="inlineStr"/>
      <c r="J336" s="376" t="inlineStr"/>
      <c r="K336" s="374" t="n"/>
      <c r="L336" s="334" t="inlineStr"/>
      <c r="M336" s="334" t="inlineStr"/>
      <c r="N336" s="334" t="inlineStr"/>
      <c r="O336" s="354" t="inlineStr"/>
      <c r="P336" s="334" t="inlineStr"/>
      <c r="Q336" s="334" t="inlineStr"/>
      <c r="R336" s="334" t="inlineStr"/>
      <c r="S336" s="354" t="inlineStr"/>
      <c r="T336" t="inlineStr"/>
      <c r="U336" t="inlineStr"/>
    </row>
    <row r="337" ht="22.2" customHeight="1" s="375">
      <c r="A337" s="3" t="n"/>
      <c r="B337" s="313" t="n"/>
      <c r="D337" s="314" t="n"/>
      <c r="E337" s="314" t="n"/>
      <c r="G337" s="54" t="inlineStr"/>
      <c r="H337" s="322" t="inlineStr"/>
      <c r="I337" s="334" t="inlineStr"/>
      <c r="J337" s="334" t="inlineStr"/>
      <c r="K337" s="374" t="n"/>
      <c r="L337" s="334" t="inlineStr"/>
      <c r="M337" s="334" t="inlineStr"/>
      <c r="N337" s="334" t="inlineStr"/>
      <c r="O337" s="354" t="inlineStr"/>
      <c r="P337" s="334" t="inlineStr"/>
      <c r="Q337" s="334" t="inlineStr"/>
      <c r="R337" s="334" t="inlineStr"/>
      <c r="S337" s="354" t="inlineStr"/>
      <c r="T337" t="inlineStr"/>
      <c r="U337" t="inlineStr"/>
    </row>
    <row r="338" ht="22.2" customHeight="1" s="375">
      <c r="A338" s="3" t="n"/>
      <c r="D338" s="7" t="inlineStr">
        <is>
          <t> </t>
        </is>
      </c>
      <c r="E338" s="3" t="n"/>
      <c r="G338" s="55" t="inlineStr"/>
      <c r="H338" s="336" t="inlineStr"/>
      <c r="I338" s="336" t="inlineStr"/>
      <c r="J338" s="336" t="inlineStr"/>
      <c r="K338" s="527" t="n"/>
      <c r="L338" s="334" t="inlineStr"/>
      <c r="M338" s="336" t="inlineStr"/>
      <c r="N338" s="336" t="inlineStr"/>
      <c r="O338" s="354" t="inlineStr"/>
      <c r="P338" s="336" t="inlineStr"/>
      <c r="Q338" s="336" t="inlineStr"/>
      <c r="R338" s="336" t="inlineStr"/>
      <c r="S338" s="354" t="inlineStr"/>
      <c r="T338" t="inlineStr"/>
      <c r="U338" t="inlineStr"/>
    </row>
    <row r="339" ht="22.2" customHeight="1" s="375">
      <c r="A339" s="3" t="n"/>
      <c r="E339" s="3" t="n"/>
      <c r="G339" s="535" t="inlineStr">
        <is>
          <t>พุธ</t>
        </is>
      </c>
      <c r="H339" s="376" t="inlineStr">
        <is>
          <t>20101-2001</t>
        </is>
      </c>
      <c r="I339" s="381" t="inlineStr">
        <is>
          <t>ชย.1/7 (26)</t>
        </is>
      </c>
      <c r="J339" s="381" t="inlineStr">
        <is>
          <t>08:10 - 12:10</t>
        </is>
      </c>
      <c r="K339" s="135" t="n"/>
      <c r="L339" s="381" t="n">
        <v>4</v>
      </c>
      <c r="M339" s="150" t="inlineStr"/>
      <c r="N339" s="148" t="inlineStr"/>
      <c r="O339" s="354" t="inlineStr"/>
      <c r="P339" s="134" t="inlineStr"/>
      <c r="Q339" s="135" t="inlineStr"/>
      <c r="R339" s="135" t="inlineStr"/>
      <c r="S339" s="354" t="inlineStr"/>
      <c r="T339" s="6" t="inlineStr"/>
      <c r="U339" s="22" t="inlineStr"/>
      <c r="V339" s="57" t="n"/>
      <c r="W339" s="21" t="n"/>
      <c r="X339" s="21" t="n"/>
    </row>
    <row r="340" ht="22.2" customHeight="1" s="375">
      <c r="A340" s="3" t="n"/>
      <c r="B340" s="321" t="n"/>
      <c r="C340" s="322" t="n"/>
      <c r="D340" s="322" t="n"/>
      <c r="E340" s="334" t="n"/>
      <c r="G340" s="535" t="inlineStr">
        <is>
          <t>23 ก.ย.69</t>
        </is>
      </c>
      <c r="H340" s="376" t="inlineStr">
        <is>
          <t>20101-2001</t>
        </is>
      </c>
      <c r="I340" s="376" t="inlineStr">
        <is>
          <t>ชย.1/7 (26)</t>
        </is>
      </c>
      <c r="J340" s="376" t="inlineStr">
        <is>
          <t>13:10 - 16:10</t>
        </is>
      </c>
      <c r="K340" s="374" t="n"/>
      <c r="L340" s="334" t="n">
        <v>3</v>
      </c>
      <c r="M340" s="157" t="inlineStr"/>
      <c r="N340" s="149" t="inlineStr"/>
      <c r="O340" s="354" t="inlineStr"/>
      <c r="P340" s="251" t="inlineStr"/>
      <c r="Q340" s="251" t="inlineStr"/>
      <c r="R340" s="374" t="inlineStr"/>
      <c r="S340" s="354" t="inlineStr"/>
      <c r="T340" s="21" t="inlineStr"/>
      <c r="U340" s="22" t="inlineStr"/>
      <c r="V340" s="57" t="n"/>
      <c r="W340" s="21" t="n"/>
      <c r="X340" s="21" t="n"/>
    </row>
    <row r="341" ht="22.2" customHeight="1" s="375">
      <c r="A341" s="3" t="n"/>
      <c r="B341" s="313" t="n"/>
      <c r="D341" s="314" t="n"/>
      <c r="E341" s="314" t="n"/>
      <c r="G341" s="334" t="inlineStr"/>
      <c r="H341" s="334" t="inlineStr"/>
      <c r="I341" s="334" t="inlineStr"/>
      <c r="J341" s="334" t="inlineStr"/>
      <c r="K341" s="374" t="n"/>
      <c r="L341" s="334" t="inlineStr"/>
      <c r="M341" s="334" t="inlineStr"/>
      <c r="N341" s="334" t="inlineStr"/>
      <c r="O341" s="362" t="inlineStr"/>
      <c r="P341" s="334" t="inlineStr"/>
      <c r="Q341" s="334" t="inlineStr"/>
      <c r="R341" s="334" t="inlineStr"/>
      <c r="S341" s="354" t="inlineStr"/>
      <c r="T341" t="inlineStr"/>
      <c r="U341" t="inlineStr"/>
    </row>
    <row r="342" ht="22.2" customHeight="1" s="375">
      <c r="A342" s="3" t="n"/>
      <c r="E342" s="3" t="n"/>
      <c r="G342" s="321" t="inlineStr"/>
      <c r="H342" s="321" t="inlineStr"/>
      <c r="I342" s="334" t="inlineStr"/>
      <c r="J342" s="334" t="inlineStr"/>
      <c r="K342" s="374" t="n"/>
      <c r="L342" s="334" t="inlineStr"/>
      <c r="M342" s="334" t="inlineStr"/>
      <c r="N342" s="334" t="inlineStr"/>
      <c r="O342" s="362" t="inlineStr"/>
      <c r="P342" s="334" t="inlineStr"/>
      <c r="Q342" s="334" t="inlineStr"/>
      <c r="R342" s="334" t="inlineStr"/>
      <c r="S342" s="354" t="inlineStr"/>
      <c r="T342" t="inlineStr"/>
      <c r="U342" t="inlineStr"/>
    </row>
    <row r="343" ht="22.2" customHeight="1" s="375">
      <c r="A343" s="3" t="n"/>
      <c r="E343" s="3" t="n"/>
      <c r="G343" s="327" t="inlineStr"/>
      <c r="H343" s="327" t="inlineStr"/>
      <c r="I343" s="336" t="inlineStr"/>
      <c r="J343" s="336" t="inlineStr"/>
      <c r="K343" s="527" t="n"/>
      <c r="L343" s="336" t="inlineStr"/>
      <c r="M343" s="336" t="inlineStr"/>
      <c r="N343" s="336" t="inlineStr"/>
      <c r="O343" s="354" t="inlineStr"/>
      <c r="P343" s="336" t="inlineStr"/>
      <c r="Q343" s="336" t="inlineStr"/>
      <c r="R343" s="336" t="inlineStr"/>
      <c r="S343" s="354" t="inlineStr"/>
      <c r="T343" t="inlineStr"/>
      <c r="U343" t="inlineStr"/>
    </row>
    <row r="344" ht="22.2" customHeight="1" s="375">
      <c r="A344" s="3" t="n"/>
      <c r="E344" s="3" t="n"/>
      <c r="G344" s="533" t="inlineStr">
        <is>
          <t>พฤหัส</t>
        </is>
      </c>
      <c r="H344" s="376" t="inlineStr">
        <is>
          <t>20101-2001</t>
        </is>
      </c>
      <c r="I344" s="376" t="inlineStr">
        <is>
          <t>ชย.1/6 (26)</t>
        </is>
      </c>
      <c r="J344" s="381" t="inlineStr">
        <is>
          <t>08:10 - 12:10</t>
        </is>
      </c>
      <c r="K344" s="135" t="n"/>
      <c r="L344" s="381" t="n">
        <v>2</v>
      </c>
      <c r="M344" s="150" t="n">
        <v>2</v>
      </c>
      <c r="N344" s="148" t="n">
        <v>200</v>
      </c>
      <c r="O344" s="354">
        <f>M344*N344</f>
        <v/>
      </c>
      <c r="P344" s="334" t="inlineStr"/>
      <c r="Q344" s="362" t="inlineStr"/>
      <c r="R344" s="362" t="inlineStr"/>
      <c r="S344" s="354" t="inlineStr"/>
      <c r="T344" t="inlineStr"/>
      <c r="U344" t="inlineStr"/>
    </row>
    <row r="345" ht="22.2" customHeight="1" s="375">
      <c r="A345" s="3" t="n"/>
      <c r="E345" s="3" t="n"/>
      <c r="G345" s="533" t="inlineStr">
        <is>
          <t>24 ก.ย.69</t>
        </is>
      </c>
      <c r="H345" s="376" t="inlineStr">
        <is>
          <t>20000-2004</t>
        </is>
      </c>
      <c r="I345" s="376" t="inlineStr">
        <is>
          <t>ชย.2/1,ชย.2/2 (26)</t>
        </is>
      </c>
      <c r="J345" s="376" t="inlineStr">
        <is>
          <t>13:10 - 15:10</t>
        </is>
      </c>
      <c r="K345" s="374" t="n"/>
      <c r="L345" s="334" t="n">
        <v>2</v>
      </c>
      <c r="M345" s="157" t="inlineStr"/>
      <c r="N345" s="149" t="inlineStr"/>
      <c r="O345" s="354" t="inlineStr"/>
      <c r="P345" s="334" t="inlineStr"/>
      <c r="Q345" s="334" t="inlineStr"/>
      <c r="R345" s="334" t="inlineStr"/>
      <c r="S345" s="354" t="inlineStr"/>
      <c r="T345" t="inlineStr"/>
      <c r="U345" t="inlineStr"/>
    </row>
    <row r="346" ht="22.2" customHeight="1" s="375">
      <c r="A346" s="3" t="n"/>
      <c r="B346" s="313" t="n"/>
      <c r="E346" s="3" t="n"/>
      <c r="G346" s="334" t="inlineStr"/>
      <c r="H346" s="376" t="inlineStr">
        <is>
          <t>20101-2001</t>
        </is>
      </c>
      <c r="I346" s="376" t="inlineStr">
        <is>
          <t>ชย.1/6 (26)</t>
        </is>
      </c>
      <c r="J346" s="376" t="inlineStr">
        <is>
          <t>15:10 - 18:10</t>
        </is>
      </c>
      <c r="K346" s="374" t="n"/>
      <c r="L346" s="376" t="inlineStr"/>
      <c r="M346" s="376" t="n">
        <v>3</v>
      </c>
      <c r="N346" s="370" t="n">
        <v>200</v>
      </c>
      <c r="O346" s="354">
        <f>M346*N346</f>
        <v/>
      </c>
      <c r="P346" s="376" t="inlineStr"/>
      <c r="Q346" s="370" t="inlineStr"/>
      <c r="R346" s="376" t="inlineStr"/>
      <c r="S346" s="354" t="inlineStr"/>
      <c r="T346" t="inlineStr"/>
      <c r="U346" t="inlineStr"/>
    </row>
    <row r="347" ht="22.2" customHeight="1" s="375">
      <c r="A347" s="3" t="n"/>
      <c r="E347" s="3" t="n"/>
      <c r="G347" s="334" t="inlineStr"/>
      <c r="H347" s="63" t="inlineStr"/>
      <c r="I347" s="376" t="inlineStr"/>
      <c r="J347" s="376" t="inlineStr"/>
      <c r="K347" s="374" t="n"/>
      <c r="L347" s="376" t="inlineStr"/>
      <c r="M347" s="376" t="inlineStr"/>
      <c r="N347" s="370" t="inlineStr"/>
      <c r="O347" s="354" t="inlineStr"/>
      <c r="P347" s="376" t="inlineStr"/>
      <c r="Q347" s="370" t="inlineStr"/>
      <c r="R347" s="376" t="inlineStr"/>
      <c r="S347" s="354" t="inlineStr"/>
      <c r="T347" t="inlineStr"/>
      <c r="U347" t="inlineStr"/>
    </row>
    <row r="348" ht="22.2" customHeight="1" s="375">
      <c r="A348" s="3" t="n"/>
      <c r="E348" s="3" t="n"/>
      <c r="G348" s="336" t="inlineStr"/>
      <c r="H348" s="328" t="inlineStr"/>
      <c r="I348" s="336" t="inlineStr"/>
      <c r="J348" s="336" t="inlineStr"/>
      <c r="K348" s="527" t="n"/>
      <c r="L348" s="336" t="inlineStr"/>
      <c r="M348" s="336" t="inlineStr"/>
      <c r="N348" s="336" t="inlineStr"/>
      <c r="O348" s="354" t="inlineStr"/>
      <c r="P348" s="336" t="inlineStr"/>
      <c r="Q348" s="336" t="inlineStr"/>
      <c r="R348" s="336" t="inlineStr"/>
      <c r="S348" s="354" t="inlineStr"/>
      <c r="T348" t="inlineStr"/>
      <c r="U348" t="inlineStr"/>
    </row>
    <row r="349" ht="22.2" customHeight="1" s="375">
      <c r="A349" s="3" t="n"/>
      <c r="E349" s="3" t="n"/>
      <c r="G349" s="533" t="inlineStr">
        <is>
          <t>ศุกร์</t>
        </is>
      </c>
      <c r="H349" s="376" t="inlineStr">
        <is>
          <t>20101-2001</t>
        </is>
      </c>
      <c r="I349" s="376" t="inlineStr">
        <is>
          <t>ชย.1/10 (26)</t>
        </is>
      </c>
      <c r="J349" s="381" t="inlineStr">
        <is>
          <t>08:10 - 12:10</t>
        </is>
      </c>
      <c r="K349" s="135" t="n"/>
      <c r="L349" s="334" t="inlineStr"/>
      <c r="M349" s="334" t="n">
        <v>4</v>
      </c>
      <c r="N349" s="334" t="n">
        <v>200</v>
      </c>
      <c r="O349" s="354">
        <f>M349*N349</f>
        <v/>
      </c>
      <c r="P349" s="381" t="inlineStr"/>
      <c r="Q349" s="367" t="inlineStr"/>
      <c r="R349" s="381" t="inlineStr"/>
      <c r="S349" s="354" t="inlineStr"/>
      <c r="T349" t="inlineStr"/>
      <c r="U349" t="inlineStr"/>
    </row>
    <row r="350" ht="22.2" customHeight="1" s="375">
      <c r="A350" s="3" t="n"/>
      <c r="E350" s="3" t="n"/>
      <c r="G350" s="533" t="inlineStr">
        <is>
          <t>25 ก.ย.69</t>
        </is>
      </c>
      <c r="H350" s="376" t="inlineStr">
        <is>
          <t>20101-2001</t>
        </is>
      </c>
      <c r="I350" s="376" t="inlineStr">
        <is>
          <t>ชย.1/10 (26)</t>
        </is>
      </c>
      <c r="J350" s="376" t="inlineStr">
        <is>
          <t>13:10 - 16:10</t>
        </is>
      </c>
      <c r="K350" s="374" t="n"/>
      <c r="L350" s="334" t="inlineStr"/>
      <c r="M350" s="334" t="n">
        <v>3</v>
      </c>
      <c r="N350" s="334" t="n">
        <v>200</v>
      </c>
      <c r="O350" s="354">
        <f>M350*N350</f>
        <v/>
      </c>
      <c r="P350" s="334" t="inlineStr"/>
      <c r="Q350" s="334" t="inlineStr"/>
      <c r="R350" s="334" t="inlineStr"/>
      <c r="S350" s="354" t="inlineStr"/>
      <c r="T350" t="inlineStr"/>
      <c r="U350" t="inlineStr"/>
    </row>
    <row r="351" ht="22.2" customHeight="1" s="375">
      <c r="A351" s="3" t="n"/>
      <c r="E351" s="3" t="n"/>
      <c r="G351" s="334" t="inlineStr"/>
      <c r="H351" s="334" t="inlineStr"/>
      <c r="I351" s="334" t="inlineStr"/>
      <c r="J351" s="334" t="inlineStr"/>
      <c r="K351" s="374" t="n"/>
      <c r="L351" s="334" t="inlineStr"/>
      <c r="M351" s="334" t="inlineStr"/>
      <c r="N351" s="334" t="inlineStr"/>
      <c r="O351" s="354" t="inlineStr"/>
      <c r="P351" s="334" t="inlineStr"/>
      <c r="Q351" s="334" t="inlineStr"/>
      <c r="R351" s="334" t="inlineStr"/>
      <c r="S351" s="354" t="inlineStr"/>
      <c r="T351" t="inlineStr"/>
      <c r="U351" t="inlineStr"/>
    </row>
    <row r="352" ht="22.2" customHeight="1" s="375">
      <c r="A352" s="3" t="n"/>
      <c r="E352" s="3" t="n"/>
      <c r="G352" s="334" t="inlineStr"/>
      <c r="H352" s="322" t="inlineStr"/>
      <c r="I352" s="334" t="inlineStr"/>
      <c r="J352" s="334" t="inlineStr"/>
      <c r="K352" s="374" t="n"/>
      <c r="L352" s="334" t="inlineStr"/>
      <c r="M352" s="334" t="inlineStr"/>
      <c r="N352" s="334" t="inlineStr"/>
      <c r="O352" s="354" t="inlineStr"/>
      <c r="P352" s="334" t="inlineStr"/>
      <c r="Q352" s="334" t="inlineStr"/>
      <c r="R352" s="334" t="inlineStr"/>
      <c r="S352" s="354" t="inlineStr"/>
      <c r="T352" t="inlineStr"/>
      <c r="U352" t="inlineStr"/>
    </row>
    <row r="353" ht="22.2" customHeight="1" s="375">
      <c r="A353" s="3" t="n"/>
      <c r="E353" s="3" t="n"/>
      <c r="F353" s="3" t="n"/>
      <c r="G353" s="329" t="inlineStr"/>
      <c r="H353" s="328" t="inlineStr"/>
      <c r="I353" s="336" t="inlineStr"/>
      <c r="J353" s="336" t="inlineStr"/>
      <c r="K353" s="527" t="n"/>
      <c r="L353" s="336" t="inlineStr"/>
      <c r="M353" s="336" t="inlineStr"/>
      <c r="N353" s="336" t="inlineStr"/>
      <c r="O353" s="354" t="inlineStr"/>
      <c r="P353" s="336" t="inlineStr"/>
      <c r="Q353" s="336" t="inlineStr"/>
      <c r="R353" s="336" t="inlineStr"/>
      <c r="S353" s="354" t="inlineStr"/>
      <c r="T353" t="inlineStr"/>
      <c r="U353" t="inlineStr"/>
    </row>
    <row r="354" ht="22.2" customHeight="1" s="375">
      <c r="A354" s="3" t="n"/>
      <c r="E354" s="3" t="n"/>
      <c r="F354" s="3" t="n"/>
      <c r="G354" s="16" t="inlineStr">
        <is>
          <t>รวมขั่วโมงที่สอนแยก ภาระงาน/ เกินภาระงาน</t>
        </is>
      </c>
      <c r="H354" s="518" t="n"/>
      <c r="I354" s="518" t="n"/>
      <c r="J354" s="518" t="n"/>
      <c r="K354" s="432" t="n"/>
      <c r="L354" s="16">
        <f>SUM(L329:L353)</f>
        <v/>
      </c>
      <c r="M354" s="16">
        <f>SUM(M329:M353)</f>
        <v/>
      </c>
      <c r="N354" s="16" t="n"/>
      <c r="O354" s="16" t="n"/>
      <c r="P354" s="16">
        <f>SUM(P329:P353)</f>
        <v/>
      </c>
      <c r="Q354" s="16">
        <f>SUM(Q329:Q353)</f>
        <v/>
      </c>
      <c r="R354" s="349" t="n"/>
      <c r="S354" s="16" t="n"/>
    </row>
    <row r="355" ht="22.2" customHeight="1" s="375">
      <c r="A355" s="3" t="n"/>
      <c r="E355" s="3" t="n"/>
      <c r="F355" s="3" t="n"/>
      <c r="G355" s="16" t="inlineStr">
        <is>
          <t>รวมจำนวนชั่วโมงสอนคาบต่อสับดาห์</t>
        </is>
      </c>
      <c r="H355" s="518" t="n"/>
      <c r="I355" s="518" t="n"/>
      <c r="J355" s="518" t="n"/>
      <c r="K355" s="432" t="n"/>
      <c r="L355" s="16">
        <f>L354+M354</f>
        <v/>
      </c>
      <c r="M355" s="432" t="n"/>
      <c r="N355" s="348" t="n"/>
      <c r="O355" s="16" t="n"/>
      <c r="P355" s="16">
        <f>P354+Q354</f>
        <v/>
      </c>
      <c r="Q355" s="432" t="n"/>
      <c r="R355" s="329" t="n"/>
      <c r="S355" s="336" t="n"/>
    </row>
    <row r="356" ht="22.2" customHeight="1" s="375">
      <c r="A356" s="3" t="n"/>
      <c r="E356" s="3" t="n"/>
      <c r="F356" s="3" t="n"/>
      <c r="G356" s="16" t="inlineStr">
        <is>
          <t>จำนวนชั่วโมงสอนตามภาระงานสอน</t>
        </is>
      </c>
      <c r="H356" s="518" t="n"/>
      <c r="I356" s="518" t="n"/>
      <c r="J356" s="518" t="n"/>
      <c r="K356" s="432" t="n"/>
      <c r="L356" s="16" t="n">
        <v>18</v>
      </c>
      <c r="M356" s="432" t="n"/>
      <c r="N356" s="348" t="n"/>
      <c r="O356" s="16" t="n"/>
      <c r="P356" s="16" t="n">
        <v>0</v>
      </c>
      <c r="Q356" s="432" t="n"/>
      <c r="R356" s="322" t="n"/>
      <c r="S356" s="334" t="n"/>
    </row>
    <row r="357" ht="22.2" customHeight="1" s="375" thickBot="1">
      <c r="A357" s="3" t="n"/>
      <c r="E357" s="3" t="n"/>
      <c r="F357" s="14" t="n"/>
      <c r="G357" s="16" t="inlineStr">
        <is>
          <t>จำนวนชั่วโมงบิกเกินภาระงานสอน/ค่าสอน</t>
        </is>
      </c>
      <c r="H357" s="518" t="n"/>
      <c r="I357" s="518" t="n"/>
      <c r="J357" s="518" t="n"/>
      <c r="K357" s="432" t="n"/>
      <c r="L357" s="17" t="n">
        <v>0</v>
      </c>
      <c r="M357" s="17">
        <f>SUM(M329:M353)</f>
        <v/>
      </c>
      <c r="N357" s="17" t="n"/>
      <c r="O357" s="17">
        <f>SUM(O329:O353)</f>
        <v/>
      </c>
      <c r="P357" s="17" t="n">
        <v>0</v>
      </c>
      <c r="Q357" s="17">
        <f>SUM(Q329:Q353)</f>
        <v/>
      </c>
      <c r="R357" s="18" t="n"/>
      <c r="S357" s="17">
        <f>SUM(S329:S353)</f>
        <v/>
      </c>
    </row>
    <row r="358" ht="22.2" customHeight="1" s="375" thickTop="1">
      <c r="A358" s="337" t="inlineStr">
        <is>
          <t>รวมจำนวนหน่วยชั่วโมงที่ขอเบิกค่าสอน ….</t>
        </is>
      </c>
      <c r="B358" s="518" t="n"/>
      <c r="C358" s="518" t="n"/>
      <c r="D358" s="518" t="n"/>
      <c r="E358" s="518" t="n"/>
      <c r="F358" s="518" t="n"/>
      <c r="G358" s="518" t="n"/>
      <c r="H358" s="348">
        <f>M357+Q357</f>
        <v/>
      </c>
      <c r="I358" s="348" t="inlineStr">
        <is>
          <t>….ชั่วโมง</t>
        </is>
      </c>
      <c r="J358" s="348" t="n"/>
      <c r="K358" s="328" t="inlineStr">
        <is>
          <t>ยอดเงินรวม</t>
        </is>
      </c>
      <c r="L358" s="522" t="n"/>
      <c r="M358" s="522" t="n"/>
      <c r="N358" s="328" t="n"/>
      <c r="O358" s="328" t="n"/>
      <c r="P358" s="339">
        <f>S357+O357</f>
        <v/>
      </c>
      <c r="Q358" s="538" t="n"/>
      <c r="R358" s="20" t="n"/>
      <c r="S358" s="19" t="inlineStr">
        <is>
          <t>..บาท</t>
        </is>
      </c>
    </row>
    <row r="359" ht="22.2" customHeight="1" s="375">
      <c r="A359" s="154" t="inlineStr">
        <is>
          <t>ผู้ขอเบิก</t>
        </is>
      </c>
      <c r="B359" s="153" t="n"/>
      <c r="C359" s="153" t="n"/>
      <c r="D359" s="153" t="n"/>
      <c r="E359" s="153" t="n"/>
      <c r="F359" s="153" t="n"/>
      <c r="G359" s="135" t="n"/>
      <c r="H359" s="154" t="inlineStr">
        <is>
          <t>ผู้รับรอง</t>
        </is>
      </c>
      <c r="I359" s="153" t="n"/>
      <c r="J359" s="153" t="n"/>
      <c r="K359" s="153" t="n"/>
      <c r="L359" s="135" t="n"/>
      <c r="M359" s="154" t="inlineStr">
        <is>
          <t>ผู้ตรวจ</t>
        </is>
      </c>
      <c r="N359" s="153" t="n"/>
      <c r="O359" s="153" t="n"/>
      <c r="P359" s="153" t="n"/>
      <c r="Q359" s="153" t="n"/>
      <c r="R359" s="153" t="n"/>
      <c r="S359" s="135" t="n"/>
    </row>
    <row r="360" ht="22.2" customHeight="1" s="375">
      <c r="A360" s="334" t="inlineStr">
        <is>
          <t>ลงชื่อ……………………………………………</t>
        </is>
      </c>
      <c r="G360" s="374" t="n"/>
      <c r="H360" s="334" t="inlineStr">
        <is>
          <t>ลงชื่อ……………………………………………</t>
        </is>
      </c>
      <c r="L360" s="374" t="n"/>
      <c r="M360" s="334" t="inlineStr">
        <is>
          <t>ลงชื่อ……………………………………………</t>
        </is>
      </c>
      <c r="S360" s="374" t="n"/>
    </row>
    <row r="361" ht="22.2" customHeight="1" s="375">
      <c r="A361" s="11" t="inlineStr">
        <is>
          <t>(</t>
        </is>
      </c>
      <c r="B361" s="324">
        <f>B329</f>
        <v/>
      </c>
      <c r="G361" s="326" t="inlineStr">
        <is>
          <t>)</t>
        </is>
      </c>
      <c r="H361" s="324" t="inlineStr">
        <is>
          <t>(</t>
        </is>
      </c>
      <c r="I361" s="340">
        <f>I315</f>
        <v/>
      </c>
      <c r="L361" s="12" t="inlineStr">
        <is>
          <t>)</t>
        </is>
      </c>
      <c r="M361" s="53" t="inlineStr">
        <is>
          <t>(</t>
        </is>
      </c>
      <c r="N361" s="53" t="n"/>
      <c r="O361" s="324">
        <f>O39</f>
        <v/>
      </c>
      <c r="R361" s="25" t="n"/>
      <c r="S361" s="326" t="inlineStr">
        <is>
          <t>)</t>
        </is>
      </c>
    </row>
    <row r="362" ht="22.2" customHeight="1" s="375">
      <c r="A362" s="540" t="inlineStr">
        <is>
          <t xml:space="preserve">                         ตำแหน่ง  ครู</t>
        </is>
      </c>
      <c r="G362" s="374" t="n"/>
      <c r="H362" s="54" t="inlineStr">
        <is>
          <t>ตำแหน่ง หัวหน้าแผนก</t>
        </is>
      </c>
      <c r="L362" s="374" t="n"/>
      <c r="M362" s="54" t="inlineStr">
        <is>
          <t>ตำแหน่ง   ผู้ตรวจสอบ</t>
        </is>
      </c>
      <c r="S362" s="374" t="n"/>
    </row>
    <row r="363" ht="22.2" customHeight="1" s="375">
      <c r="A363" s="55" t="inlineStr">
        <is>
          <t>วันที่ 28 เดือน กันยายน  พ.ศ.2569</t>
        </is>
      </c>
      <c r="B363" s="522" t="n"/>
      <c r="C363" s="522" t="n"/>
      <c r="D363" s="522" t="n"/>
      <c r="E363" s="522" t="n"/>
      <c r="F363" s="522" t="n"/>
      <c r="G363" s="527" t="n"/>
      <c r="H363" s="54">
        <f>A41</f>
        <v/>
      </c>
      <c r="L363" s="374" t="n"/>
      <c r="M363" s="55">
        <f>A41</f>
        <v/>
      </c>
      <c r="N363" s="522" t="n"/>
      <c r="O363" s="522" t="n"/>
      <c r="P363" s="522" t="n"/>
      <c r="Q363" s="522" t="n"/>
      <c r="R363" s="522" t="n"/>
      <c r="S363" s="527" t="n"/>
    </row>
    <row r="364" ht="22.2" customHeight="1" s="375">
      <c r="A364" s="154" t="inlineStr">
        <is>
          <t>ผู้ตรวจ</t>
        </is>
      </c>
      <c r="B364" s="153" t="n"/>
      <c r="C364" s="153" t="n"/>
      <c r="D364" s="153" t="n"/>
      <c r="E364" s="153" t="n"/>
      <c r="F364" s="153" t="n"/>
      <c r="G364" s="153" t="n"/>
      <c r="H364" s="153" t="n"/>
      <c r="I364" s="135" t="n"/>
      <c r="J364" s="154" t="inlineStr">
        <is>
          <t>ผู้เห็นชอบ</t>
        </is>
      </c>
      <c r="K364" s="153" t="n"/>
      <c r="L364" s="153" t="n"/>
      <c r="M364" s="153" t="n"/>
      <c r="N364" s="153" t="n"/>
      <c r="O364" s="153" t="n"/>
      <c r="P364" s="153" t="n"/>
      <c r="Q364" s="153" t="n"/>
      <c r="R364" s="153" t="n"/>
      <c r="S364" s="135" t="n"/>
    </row>
    <row r="365" ht="22.2" customHeight="1" s="375">
      <c r="A365" s="334" t="inlineStr">
        <is>
          <t>ลงชื่อ……………………………………………</t>
        </is>
      </c>
      <c r="I365" s="374" t="n"/>
      <c r="J365" s="334" t="inlineStr">
        <is>
          <t>ลงชื่อ……………………………………………</t>
        </is>
      </c>
      <c r="S365" s="374" t="n"/>
    </row>
    <row r="366" ht="22.2" customHeight="1" s="375">
      <c r="A366" s="11" t="n"/>
      <c r="B366" s="324">
        <f>B44</f>
        <v/>
      </c>
      <c r="I366" s="326" t="n"/>
      <c r="J366" s="25" t="n"/>
      <c r="K366" s="25" t="n"/>
      <c r="L366" s="324">
        <f>L44</f>
        <v/>
      </c>
      <c r="R366" s="25" t="n"/>
      <c r="S366" s="12" t="n"/>
    </row>
    <row r="367" ht="22.2" customHeight="1" s="375">
      <c r="A367" s="54" t="inlineStr">
        <is>
          <t>ตำแหน่งครู  หัวหน้างานพัฒนาหลักสูตร ฯ</t>
        </is>
      </c>
      <c r="I367" s="374" t="n"/>
      <c r="J367" s="54" t="inlineStr">
        <is>
          <t>ตำแหน่ง  รองผู้อำนวยการฝ่ายวิชาการ</t>
        </is>
      </c>
      <c r="S367" s="374" t="n"/>
    </row>
    <row r="368" ht="22.2" customHeight="1" s="375">
      <c r="A368" s="336" t="inlineStr">
        <is>
          <t>วันที่.......เดือน..........................พ.ศ..............</t>
        </is>
      </c>
      <c r="B368" s="522" t="n"/>
      <c r="C368" s="522" t="n"/>
      <c r="D368" s="522" t="n"/>
      <c r="E368" s="522" t="n"/>
      <c r="F368" s="522" t="n"/>
      <c r="G368" s="522" t="n"/>
      <c r="H368" s="522" t="n"/>
      <c r="I368" s="527" t="n"/>
      <c r="J368" s="336" t="inlineStr">
        <is>
          <t>วันที่.......เดือน..........................พ.ศ..............</t>
        </is>
      </c>
      <c r="K368" s="522" t="n"/>
      <c r="L368" s="522" t="n"/>
      <c r="M368" s="522" t="n"/>
      <c r="N368" s="522" t="n"/>
      <c r="O368" s="522" t="n"/>
      <c r="P368" s="522" t="n"/>
      <c r="Q368" s="522" t="n"/>
      <c r="R368" s="522" t="n"/>
      <c r="S368" s="527" t="n"/>
    </row>
    <row r="369" ht="22.2" customHeight="1" s="375">
      <c r="A369" s="379" t="inlineStr">
        <is>
          <t>ใบเบิกจ่ายเงินค่าสอนพิเศษและค่าสอนเกินภาระงานสอนในสถานศึกษา</t>
        </is>
      </c>
      <c r="B369" s="153" t="n"/>
      <c r="C369" s="153" t="n"/>
      <c r="D369" s="153" t="n"/>
      <c r="E369" s="153" t="n"/>
      <c r="F369" s="153" t="n"/>
      <c r="G369" s="153" t="n"/>
      <c r="H369" s="153" t="n"/>
      <c r="I369" s="153" t="n"/>
      <c r="J369" s="153" t="n"/>
      <c r="K369" s="153" t="n"/>
      <c r="L369" s="153" t="n"/>
      <c r="M369" s="153" t="n"/>
      <c r="N369" s="153" t="n"/>
      <c r="O369" s="153" t="n"/>
      <c r="P369" s="153" t="n"/>
      <c r="Q369" s="153" t="n"/>
      <c r="R369" s="153" t="n"/>
      <c r="S369" s="153" t="n"/>
    </row>
    <row r="370" ht="22.2" customHeight="1" s="375">
      <c r="A370" s="365" t="inlineStr">
        <is>
          <t>แผนกวิชาช่างยนต์</t>
        </is>
      </c>
    </row>
    <row r="371" ht="22.2" customHeight="1" s="375">
      <c r="A371" s="366" t="inlineStr">
        <is>
          <t xml:space="preserve">    ระหว่างวันที่</t>
        </is>
      </c>
      <c r="D371" s="365">
        <f>D3</f>
        <v/>
      </c>
      <c r="E371" s="365" t="inlineStr">
        <is>
          <t xml:space="preserve">   เดือน  </t>
        </is>
      </c>
      <c r="F371" s="365">
        <f>F3</f>
        <v/>
      </c>
      <c r="H371" s="365">
        <f>H3</f>
        <v/>
      </c>
      <c r="I371" s="365" t="inlineStr">
        <is>
          <t xml:space="preserve">     ถึง วันที่</t>
        </is>
      </c>
      <c r="J371" s="365">
        <f>J3</f>
        <v/>
      </c>
      <c r="K371" s="365" t="inlineStr">
        <is>
          <t xml:space="preserve">   เดือน </t>
        </is>
      </c>
      <c r="L371" s="365">
        <f>L3</f>
        <v/>
      </c>
      <c r="N371" s="365">
        <f>N3</f>
        <v/>
      </c>
      <c r="P371" s="365" t="n"/>
      <c r="R371" s="365" t="n"/>
    </row>
    <row r="372" ht="22.2" customHeight="1" s="375">
      <c r="G372" s="51" t="inlineStr">
        <is>
          <t>ü</t>
        </is>
      </c>
      <c r="H372" s="351" t="inlineStr">
        <is>
          <t>ครู</t>
        </is>
      </c>
      <c r="I372" s="322" t="inlineStr">
        <is>
          <t>หน้าที่พิเศษ</t>
        </is>
      </c>
      <c r="J372" s="351" t="inlineStr">
        <is>
          <t>ผู้ช่วยงานพัสดุ, โครงการพิเศษและการบริการสังคม</t>
        </is>
      </c>
    </row>
    <row r="373" ht="22.2" customHeight="1" s="375">
      <c r="A373" s="24" t="inlineStr">
        <is>
          <t>ที่</t>
        </is>
      </c>
      <c r="B373" s="24" t="inlineStr">
        <is>
          <t>ชื่อ-สกุล</t>
        </is>
      </c>
      <c r="C373" s="153" t="n"/>
      <c r="D373" s="135" t="n"/>
      <c r="E373" s="15" t="inlineStr">
        <is>
          <t>ตำแหน่ง</t>
        </is>
      </c>
      <c r="F373" s="16" t="inlineStr">
        <is>
          <t>ระยะเวลาที่สอน</t>
        </is>
      </c>
      <c r="G373" s="432" t="n"/>
      <c r="H373" s="16" t="inlineStr">
        <is>
          <t>รหัสวิชา</t>
        </is>
      </c>
      <c r="I373" s="362" t="inlineStr">
        <is>
          <t>ชั้น,แผนก,ห้อง</t>
        </is>
      </c>
      <c r="J373" s="16" t="inlineStr">
        <is>
          <t>เวลาสอน</t>
        </is>
      </c>
      <c r="K373" s="135" t="n"/>
      <c r="L373" s="16" t="inlineStr">
        <is>
          <t>ปวช.(คาบ)</t>
        </is>
      </c>
      <c r="M373" s="432" t="n"/>
      <c r="N373" s="354" t="inlineStr">
        <is>
          <t>เงิน</t>
        </is>
      </c>
      <c r="O373" s="362" t="inlineStr">
        <is>
          <t>ยอดเงิน</t>
        </is>
      </c>
      <c r="P373" s="524" t="inlineStr">
        <is>
          <t>ปวส.(คาบ)</t>
        </is>
      </c>
      <c r="Q373" s="432" t="n"/>
      <c r="R373" s="354" t="inlineStr">
        <is>
          <t>เงิน</t>
        </is>
      </c>
      <c r="S373" s="362" t="inlineStr">
        <is>
          <t>ยอดเงิน</t>
        </is>
      </c>
    </row>
    <row r="374" ht="22.2" customHeight="1" s="375">
      <c r="A374" s="52" t="n"/>
      <c r="B374" s="8" t="n"/>
      <c r="C374" s="9" t="n"/>
      <c r="D374" s="13" t="n"/>
      <c r="E374" s="10" t="n"/>
      <c r="F374" s="336" t="inlineStr">
        <is>
          <t>ส.</t>
        </is>
      </c>
      <c r="G374" s="336" t="inlineStr">
        <is>
          <t>วดป.</t>
        </is>
      </c>
      <c r="H374" s="525" t="n"/>
      <c r="I374" s="137" t="n"/>
      <c r="J374" s="526" t="n"/>
      <c r="K374" s="527" t="n"/>
      <c r="L374" s="336" t="inlineStr">
        <is>
          <t>ใน</t>
        </is>
      </c>
      <c r="M374" s="336" t="inlineStr">
        <is>
          <t>นอก</t>
        </is>
      </c>
      <c r="N374" s="336" t="inlineStr">
        <is>
          <t>ต่อ ชม.</t>
        </is>
      </c>
      <c r="O374" s="336" t="inlineStr">
        <is>
          <t>(บาท)</t>
        </is>
      </c>
      <c r="P374" s="52" t="inlineStr">
        <is>
          <t>ใน</t>
        </is>
      </c>
      <c r="Q374" s="52" t="inlineStr">
        <is>
          <t>นอก</t>
        </is>
      </c>
      <c r="R374" s="336" t="inlineStr">
        <is>
          <t>ต่อ ชม.</t>
        </is>
      </c>
      <c r="S374" s="336" t="inlineStr">
        <is>
          <t>(บาท)</t>
        </is>
      </c>
    </row>
    <row r="375" ht="22.2" customHeight="1" s="375">
      <c r="A375" s="334" t="n">
        <v>9</v>
      </c>
      <c r="B375" s="530">
        <f>AB11</f>
        <v/>
      </c>
      <c r="D375" s="374" t="n"/>
      <c r="E375" s="334" t="inlineStr">
        <is>
          <t>ครู</t>
        </is>
      </c>
      <c r="F375" s="334" t="n">
        <v>2</v>
      </c>
      <c r="G375" s="529" t="inlineStr">
        <is>
          <t>จันทร์</t>
        </is>
      </c>
      <c r="H375" s="542" t="inlineStr">
        <is>
          <t>หยุด</t>
        </is>
      </c>
      <c r="I375" s="543" t="inlineStr"/>
      <c r="J375" s="547" t="inlineStr"/>
      <c r="K375" s="135" t="n"/>
      <c r="L375" s="367" t="inlineStr"/>
      <c r="M375" s="381" t="inlineStr"/>
      <c r="N375" s="381" t="inlineStr"/>
      <c r="O375" s="354">
        <f>M375*N375</f>
        <v/>
      </c>
      <c r="P375" s="381" t="inlineStr"/>
      <c r="Q375" s="367" t="inlineStr"/>
      <c r="R375" s="381" t="inlineStr"/>
      <c r="S375" s="354">
        <f>Q375*R375</f>
        <v/>
      </c>
      <c r="T375" t="inlineStr"/>
      <c r="U375" t="inlineStr"/>
    </row>
    <row r="376" ht="22.2" customHeight="1" s="375">
      <c r="A376" s="3" t="n"/>
      <c r="B376" s="530" t="n"/>
      <c r="D376" s="374" t="n"/>
      <c r="E376" s="334" t="n"/>
      <c r="F376" s="322" t="n"/>
      <c r="G376" s="535" t="inlineStr">
        <is>
          <t>21 ก.ย.69</t>
        </is>
      </c>
      <c r="H376" s="543" t="inlineStr"/>
      <c r="I376" s="543" t="inlineStr"/>
      <c r="J376" s="544" t="inlineStr"/>
      <c r="K376" s="374" t="n"/>
      <c r="L376" s="334" t="inlineStr"/>
      <c r="M376" s="334" t="inlineStr"/>
      <c r="N376" s="334" t="inlineStr"/>
      <c r="O376" s="354">
        <f>M376*N376</f>
        <v/>
      </c>
      <c r="P376" s="334" t="inlineStr"/>
      <c r="Q376" s="334" t="inlineStr"/>
      <c r="R376" s="334" t="inlineStr"/>
      <c r="S376" s="354">
        <f>Q376*R376</f>
        <v/>
      </c>
      <c r="T376" t="inlineStr"/>
      <c r="U376" t="inlineStr"/>
    </row>
    <row r="377" ht="22.2" customHeight="1" s="375">
      <c r="A377" s="3" t="n"/>
      <c r="B377" s="313" t="n"/>
      <c r="D377" s="314" t="n"/>
      <c r="E377" s="314" t="n"/>
      <c r="F377" s="322" t="n"/>
      <c r="G377" s="321" t="inlineStr"/>
      <c r="H377" s="543" t="inlineStr"/>
      <c r="I377" s="543" t="inlineStr"/>
      <c r="J377" s="544" t="inlineStr"/>
      <c r="K377" s="374" t="n"/>
      <c r="L377" s="334" t="inlineStr"/>
      <c r="M377" s="334" t="inlineStr"/>
      <c r="N377" s="334" t="inlineStr"/>
      <c r="O377" s="354">
        <f>M377*N377</f>
        <v/>
      </c>
      <c r="P377" s="334" t="inlineStr"/>
      <c r="Q377" s="334" t="inlineStr"/>
      <c r="R377" s="334" t="inlineStr"/>
      <c r="S377" s="354">
        <f>Q377*R377</f>
        <v/>
      </c>
      <c r="T377" t="inlineStr"/>
      <c r="U377" t="inlineStr"/>
    </row>
    <row r="378" ht="22.2" customHeight="1" s="375">
      <c r="A378" s="3" t="n"/>
      <c r="D378" s="314" t="n"/>
      <c r="E378" s="314" t="n"/>
      <c r="F378" s="322" t="n"/>
      <c r="G378" s="321" t="inlineStr"/>
      <c r="H378" s="544" t="inlineStr"/>
      <c r="I378" s="544" t="inlineStr"/>
      <c r="J378" s="544" t="inlineStr"/>
      <c r="K378" s="374" t="n"/>
      <c r="L378" s="334" t="inlineStr"/>
      <c r="M378" s="334" t="inlineStr"/>
      <c r="N378" s="334" t="inlineStr"/>
      <c r="O378" s="354">
        <f>M378*N378</f>
        <v/>
      </c>
      <c r="P378" s="334" t="inlineStr"/>
      <c r="Q378" s="334" t="inlineStr"/>
      <c r="R378" s="334" t="inlineStr"/>
      <c r="S378" s="354">
        <f>Q378*R378</f>
        <v/>
      </c>
      <c r="T378" t="inlineStr"/>
      <c r="U378" t="inlineStr"/>
    </row>
    <row r="379" ht="22.2" customHeight="1" s="375">
      <c r="A379" s="3" t="n"/>
      <c r="E379" s="3" t="n"/>
      <c r="G379" s="344" t="inlineStr"/>
      <c r="H379" s="545" t="inlineStr"/>
      <c r="I379" s="545" t="inlineStr"/>
      <c r="J379" s="545" t="inlineStr"/>
      <c r="K379" s="527" t="n"/>
      <c r="L379" s="334" t="inlineStr"/>
      <c r="M379" s="334" t="inlineStr"/>
      <c r="N379" s="334" t="inlineStr"/>
      <c r="O379" s="354">
        <f>M379*N379</f>
        <v/>
      </c>
      <c r="P379" s="334" t="inlineStr"/>
      <c r="Q379" s="334" t="inlineStr"/>
      <c r="R379" s="334" t="inlineStr"/>
      <c r="S379" s="354">
        <f>Q379*R379</f>
        <v/>
      </c>
      <c r="T379" t="inlineStr"/>
      <c r="U379" t="inlineStr"/>
    </row>
    <row r="380" ht="22.2" customHeight="1" s="375">
      <c r="A380" s="3" t="n"/>
      <c r="E380" s="3" t="n"/>
      <c r="G380" s="533" t="inlineStr">
        <is>
          <t>อังคาร</t>
        </is>
      </c>
      <c r="H380" s="376" t="inlineStr">
        <is>
          <t>20143-2018</t>
        </is>
      </c>
      <c r="I380" s="376" t="inlineStr">
        <is>
          <t>ชยฟ.3/1 (26)</t>
        </is>
      </c>
      <c r="J380" s="381" t="inlineStr">
        <is>
          <t>08:10 - 12:10</t>
        </is>
      </c>
      <c r="K380" s="135" t="n"/>
      <c r="L380" s="367" t="n">
        <v>4</v>
      </c>
      <c r="M380" s="381" t="inlineStr"/>
      <c r="N380" s="381" t="inlineStr"/>
      <c r="O380" s="354" t="inlineStr"/>
      <c r="P380" s="381" t="inlineStr"/>
      <c r="Q380" s="367" t="inlineStr"/>
      <c r="R380" s="381" t="inlineStr"/>
      <c r="S380" s="354" t="inlineStr"/>
      <c r="T380" t="inlineStr"/>
      <c r="U380" t="inlineStr"/>
    </row>
    <row r="381" ht="22.2" customHeight="1" s="375">
      <c r="A381" s="3" t="n"/>
      <c r="E381" s="3" t="n"/>
      <c r="G381" s="535" t="inlineStr">
        <is>
          <t>22 ก.ย.69</t>
        </is>
      </c>
      <c r="H381" s="376" t="inlineStr"/>
      <c r="I381" s="376" t="inlineStr"/>
      <c r="J381" s="334" t="inlineStr"/>
      <c r="K381" s="374" t="n"/>
      <c r="L381" s="334" t="inlineStr"/>
      <c r="M381" s="334" t="inlineStr"/>
      <c r="N381" s="334" t="inlineStr"/>
      <c r="O381" s="354" t="inlineStr"/>
      <c r="P381" s="334" t="inlineStr"/>
      <c r="Q381" s="334" t="inlineStr"/>
      <c r="R381" s="334" t="inlineStr"/>
      <c r="S381" s="354" t="inlineStr"/>
      <c r="T381" t="inlineStr"/>
      <c r="U381" t="inlineStr"/>
    </row>
    <row r="382" ht="22.2" customHeight="1" s="375">
      <c r="A382" s="3" t="n"/>
      <c r="B382" s="313" t="n"/>
      <c r="D382" s="314" t="n"/>
      <c r="E382" s="314" t="n"/>
      <c r="G382" s="334" t="inlineStr"/>
      <c r="H382" s="334" t="inlineStr"/>
      <c r="I382" s="334" t="inlineStr"/>
      <c r="J382" s="334" t="inlineStr"/>
      <c r="K382" s="374" t="n"/>
      <c r="L382" s="334" t="inlineStr"/>
      <c r="M382" s="334" t="inlineStr"/>
      <c r="N382" s="334" t="inlineStr"/>
      <c r="O382" s="354" t="inlineStr"/>
      <c r="P382" s="334" t="inlineStr"/>
      <c r="Q382" s="334" t="inlineStr"/>
      <c r="R382" s="334" t="inlineStr"/>
      <c r="S382" s="354" t="inlineStr"/>
      <c r="T382" t="inlineStr"/>
      <c r="U382" t="inlineStr"/>
    </row>
    <row r="383" ht="22.2" customHeight="1" s="375">
      <c r="A383" s="3" t="n"/>
      <c r="D383" s="314" t="n"/>
      <c r="E383" s="314" t="n"/>
      <c r="G383" s="334" t="inlineStr"/>
      <c r="H383" s="322" t="inlineStr"/>
      <c r="I383" s="334" t="inlineStr"/>
      <c r="J383" s="334" t="inlineStr"/>
      <c r="K383" s="374" t="n"/>
      <c r="L383" s="334" t="inlineStr"/>
      <c r="M383" s="334" t="inlineStr"/>
      <c r="N383" s="334" t="inlineStr"/>
      <c r="O383" s="354" t="inlineStr"/>
      <c r="P383" s="334" t="inlineStr"/>
      <c r="Q383" s="334" t="inlineStr"/>
      <c r="R383" s="334" t="inlineStr"/>
      <c r="S383" s="354" t="inlineStr"/>
      <c r="T383" t="inlineStr"/>
      <c r="U383" t="inlineStr"/>
    </row>
    <row r="384" ht="22.2" customHeight="1" s="375">
      <c r="A384" s="3" t="n"/>
      <c r="D384" s="314" t="inlineStr">
        <is>
          <t> </t>
        </is>
      </c>
      <c r="E384" s="314" t="n"/>
      <c r="G384" s="55" t="inlineStr"/>
      <c r="H384" s="336" t="inlineStr"/>
      <c r="I384" s="336" t="inlineStr"/>
      <c r="J384" s="336" t="inlineStr"/>
      <c r="K384" s="527" t="n"/>
      <c r="L384" s="334" t="inlineStr"/>
      <c r="M384" s="334" t="inlineStr"/>
      <c r="N384" s="334" t="inlineStr"/>
      <c r="O384" s="354" t="inlineStr"/>
      <c r="P384" s="334" t="inlineStr"/>
      <c r="Q384" s="334" t="inlineStr"/>
      <c r="R384" s="334" t="inlineStr"/>
      <c r="S384" s="349" t="inlineStr"/>
      <c r="T384" t="inlineStr"/>
      <c r="U384" t="inlineStr"/>
    </row>
    <row r="385" ht="22.2" customHeight="1" s="375">
      <c r="A385" s="3" t="n"/>
      <c r="B385" s="143" t="n"/>
      <c r="C385" s="144" t="n"/>
      <c r="D385" s="145" t="n"/>
      <c r="E385" s="146" t="n"/>
      <c r="G385" s="535" t="inlineStr">
        <is>
          <t>พุธ</t>
        </is>
      </c>
      <c r="H385" s="376" t="inlineStr">
        <is>
          <t>20101-2012</t>
        </is>
      </c>
      <c r="I385" s="376" t="inlineStr">
        <is>
          <t>ชย.2/2 (26)</t>
        </is>
      </c>
      <c r="J385" s="381" t="inlineStr">
        <is>
          <t>08:10 - 12:10</t>
        </is>
      </c>
      <c r="K385" s="135" t="n"/>
      <c r="L385" s="367" t="n">
        <v>4</v>
      </c>
      <c r="M385" s="381" t="inlineStr"/>
      <c r="N385" s="381" t="inlineStr"/>
      <c r="O385" s="354" t="inlineStr"/>
      <c r="P385" s="381" t="inlineStr"/>
      <c r="Q385" s="367" t="inlineStr"/>
      <c r="R385" s="381" t="inlineStr"/>
      <c r="S385" s="349" t="inlineStr"/>
      <c r="T385" s="6" t="inlineStr"/>
      <c r="U385" s="22" t="inlineStr"/>
      <c r="V385" s="57" t="n"/>
      <c r="W385" s="21" t="n"/>
      <c r="X385" s="21" t="n"/>
    </row>
    <row r="386" ht="22.2" customHeight="1" s="375">
      <c r="A386" s="3" t="n"/>
      <c r="B386" s="321" t="n"/>
      <c r="C386" s="322" t="n"/>
      <c r="D386" s="323" t="n"/>
      <c r="E386" s="334" t="n"/>
      <c r="G386" s="535" t="inlineStr">
        <is>
          <t>23 ก.ย.69</t>
        </is>
      </c>
      <c r="H386" s="376" t="inlineStr">
        <is>
          <t>20101-2012</t>
        </is>
      </c>
      <c r="I386" s="376" t="inlineStr">
        <is>
          <t>ชย.2/1 (26)</t>
        </is>
      </c>
      <c r="J386" s="334" t="inlineStr">
        <is>
          <t>13:10 - 17:10</t>
        </is>
      </c>
      <c r="K386" s="374" t="n"/>
      <c r="L386" s="334" t="n">
        <v>4</v>
      </c>
      <c r="M386" s="334" t="inlineStr"/>
      <c r="N386" s="334" t="inlineStr"/>
      <c r="O386" s="354" t="inlineStr"/>
      <c r="P386" s="334" t="inlineStr"/>
      <c r="Q386" s="334" t="inlineStr"/>
      <c r="R386" s="334" t="inlineStr"/>
      <c r="S386" s="349" t="inlineStr"/>
      <c r="T386" s="21" t="inlineStr"/>
      <c r="U386" s="22" t="inlineStr"/>
      <c r="V386" s="57" t="n"/>
      <c r="W386" s="21" t="n"/>
      <c r="X386" s="21" t="n"/>
    </row>
    <row r="387" ht="22.2" customHeight="1" s="375">
      <c r="A387" s="3" t="n"/>
      <c r="B387" s="313" t="n"/>
      <c r="D387" s="314" t="n"/>
      <c r="E387" s="314" t="n"/>
      <c r="G387" s="334" t="inlineStr"/>
      <c r="H387" s="376" t="inlineStr"/>
      <c r="I387" s="376" t="inlineStr"/>
      <c r="J387" s="334" t="inlineStr"/>
      <c r="K387" s="374" t="n"/>
      <c r="L387" s="334" t="inlineStr"/>
      <c r="M387" s="334" t="inlineStr"/>
      <c r="N387" s="334" t="inlineStr"/>
      <c r="O387" s="354" t="inlineStr"/>
      <c r="P387" s="334" t="inlineStr"/>
      <c r="Q387" s="334" t="inlineStr"/>
      <c r="R387" s="334" t="inlineStr"/>
      <c r="S387" s="354" t="inlineStr"/>
      <c r="T387" t="inlineStr"/>
      <c r="U387" t="inlineStr"/>
    </row>
    <row r="388" ht="22.2" customHeight="1" s="375">
      <c r="A388" s="3" t="n"/>
      <c r="D388" s="314" t="n"/>
      <c r="E388" s="314" t="n"/>
      <c r="G388" s="321" t="inlineStr"/>
      <c r="H388" s="321" t="inlineStr"/>
      <c r="I388" s="334" t="inlineStr"/>
      <c r="J388" s="334" t="inlineStr"/>
      <c r="K388" s="374" t="n"/>
      <c r="L388" s="334" t="inlineStr"/>
      <c r="M388" s="334" t="inlineStr"/>
      <c r="N388" s="334" t="inlineStr"/>
      <c r="O388" s="354" t="inlineStr"/>
      <c r="P388" s="334" t="inlineStr"/>
      <c r="Q388" s="334" t="inlineStr"/>
      <c r="R388" s="334" t="inlineStr"/>
      <c r="S388" s="354" t="inlineStr"/>
      <c r="T388" t="inlineStr"/>
      <c r="U388" t="inlineStr"/>
    </row>
    <row r="389" ht="22.2" customHeight="1" s="375">
      <c r="A389" s="3" t="n"/>
      <c r="E389" s="3" t="n"/>
      <c r="G389" s="327" t="inlineStr"/>
      <c r="H389" s="327" t="inlineStr"/>
      <c r="I389" s="336" t="inlineStr"/>
      <c r="J389" s="336" t="inlineStr"/>
      <c r="K389" s="527" t="n"/>
      <c r="L389" s="336" t="inlineStr"/>
      <c r="M389" s="336" t="inlineStr"/>
      <c r="N389" s="336" t="inlineStr"/>
      <c r="O389" s="354" t="inlineStr"/>
      <c r="P389" s="336" t="inlineStr"/>
      <c r="Q389" s="336" t="inlineStr"/>
      <c r="R389" s="336" t="inlineStr"/>
      <c r="S389" s="354" t="inlineStr"/>
      <c r="T389" t="inlineStr"/>
      <c r="U389" t="inlineStr"/>
    </row>
    <row r="390" ht="22.2" customHeight="1" s="375">
      <c r="A390" s="3" t="n"/>
      <c r="E390" s="3" t="n"/>
      <c r="G390" s="533" t="inlineStr">
        <is>
          <t>พฤหัส</t>
        </is>
      </c>
      <c r="H390" s="376" t="inlineStr">
        <is>
          <t>20101-2012</t>
        </is>
      </c>
      <c r="I390" s="376" t="inlineStr">
        <is>
          <t>ชย.2/4 (26)</t>
        </is>
      </c>
      <c r="J390" s="381" t="inlineStr">
        <is>
          <t>08:10 - 12:10</t>
        </is>
      </c>
      <c r="K390" s="135" t="n"/>
      <c r="L390" s="367" t="inlineStr"/>
      <c r="M390" s="381" t="n">
        <v>4</v>
      </c>
      <c r="N390" s="376" t="n">
        <v>200</v>
      </c>
      <c r="O390" s="354">
        <f>M390*N390</f>
        <v/>
      </c>
      <c r="P390" s="156" t="inlineStr"/>
      <c r="Q390" s="156" t="inlineStr"/>
      <c r="R390" s="156" t="inlineStr"/>
      <c r="S390" s="354" t="inlineStr"/>
      <c r="T390" s="23" t="inlineStr"/>
      <c r="U390" s="23" t="inlineStr"/>
      <c r="V390" s="56" t="n"/>
      <c r="W390" s="23" t="n"/>
      <c r="X390" s="23" t="n"/>
    </row>
    <row r="391" ht="22.2" customHeight="1" s="375">
      <c r="A391" s="3" t="n"/>
      <c r="E391" s="3" t="n"/>
      <c r="G391" s="533" t="inlineStr">
        <is>
          <t>24 ก.ย.69</t>
        </is>
      </c>
      <c r="H391" s="376" t="inlineStr">
        <is>
          <t>20000-2002</t>
        </is>
      </c>
      <c r="I391" s="376" t="inlineStr">
        <is>
          <t>ชย.1/10,ชย.1/9 (26)</t>
        </is>
      </c>
      <c r="J391" s="334" t="inlineStr">
        <is>
          <t>13:10 - 15:10</t>
        </is>
      </c>
      <c r="K391" s="374" t="n"/>
      <c r="L391" s="334" t="n">
        <v>2</v>
      </c>
      <c r="M391" s="334" t="inlineStr"/>
      <c r="N391" s="334" t="inlineStr"/>
      <c r="O391" s="354" t="inlineStr"/>
      <c r="P391" s="3" t="inlineStr"/>
      <c r="Q391" s="3" t="inlineStr"/>
      <c r="R391" s="3" t="inlineStr"/>
      <c r="S391" s="354" t="inlineStr"/>
      <c r="T391" s="23" t="inlineStr"/>
      <c r="U391" s="23" t="inlineStr"/>
      <c r="V391" s="56" t="n"/>
      <c r="W391" s="23" t="n"/>
      <c r="X391" s="23" t="n"/>
    </row>
    <row r="392" ht="22.2" customHeight="1" s="375">
      <c r="A392" s="3" t="n"/>
      <c r="B392" s="313" t="n"/>
      <c r="E392" s="3" t="n"/>
      <c r="G392" s="334" t="inlineStr"/>
      <c r="H392" s="376" t="inlineStr">
        <is>
          <t>20101-2012</t>
        </is>
      </c>
      <c r="I392" s="376" t="inlineStr">
        <is>
          <t>ชย.2/3 (26)</t>
        </is>
      </c>
      <c r="J392" s="334" t="inlineStr">
        <is>
          <t>15:10 - 19:10</t>
        </is>
      </c>
      <c r="K392" s="374" t="n"/>
      <c r="L392" s="334" t="inlineStr"/>
      <c r="M392" s="334" t="n">
        <v>4</v>
      </c>
      <c r="N392" s="334" t="n">
        <v>200</v>
      </c>
      <c r="O392" s="354">
        <f>M392*N392</f>
        <v/>
      </c>
      <c r="P392" s="376" t="inlineStr"/>
      <c r="Q392" s="376" t="inlineStr"/>
      <c r="R392" s="376" t="inlineStr"/>
      <c r="S392" s="354" t="inlineStr"/>
      <c r="T392" t="inlineStr"/>
      <c r="U392" t="inlineStr"/>
    </row>
    <row r="393" ht="22.2" customHeight="1" s="375">
      <c r="A393" s="3" t="n"/>
      <c r="E393" s="3" t="n"/>
      <c r="G393" s="334" t="inlineStr"/>
      <c r="H393" s="334" t="inlineStr"/>
      <c r="I393" s="334" t="inlineStr"/>
      <c r="J393" s="334" t="inlineStr"/>
      <c r="K393" s="374" t="n"/>
      <c r="L393" s="334" t="inlineStr"/>
      <c r="M393" s="334" t="inlineStr"/>
      <c r="N393" s="334" t="inlineStr"/>
      <c r="O393" s="354" t="inlineStr"/>
      <c r="P393" s="334" t="inlineStr"/>
      <c r="Q393" s="334" t="inlineStr"/>
      <c r="R393" s="334" t="inlineStr"/>
      <c r="S393" s="354" t="inlineStr"/>
      <c r="T393" t="inlineStr"/>
      <c r="U393" t="inlineStr"/>
    </row>
    <row r="394" ht="22.2" customHeight="1" s="375">
      <c r="A394" s="3" t="n"/>
      <c r="E394" s="3" t="n"/>
      <c r="G394" s="336" t="inlineStr"/>
      <c r="H394" s="328" t="inlineStr"/>
      <c r="I394" s="336" t="inlineStr"/>
      <c r="J394" s="336" t="inlineStr"/>
      <c r="K394" s="527" t="n"/>
      <c r="L394" s="336" t="inlineStr"/>
      <c r="M394" s="336" t="inlineStr"/>
      <c r="N394" s="336" t="inlineStr"/>
      <c r="O394" s="354" t="inlineStr"/>
      <c r="P394" s="336" t="inlineStr"/>
      <c r="Q394" s="336" t="inlineStr"/>
      <c r="R394" s="336" t="inlineStr"/>
      <c r="S394" s="354" t="inlineStr"/>
      <c r="T394" t="inlineStr"/>
      <c r="U394" t="inlineStr"/>
    </row>
    <row r="395" ht="22.2" customHeight="1" s="375">
      <c r="A395" s="3" t="n"/>
      <c r="E395" s="3" t="n"/>
      <c r="G395" s="533" t="inlineStr">
        <is>
          <t>ศุกร์</t>
        </is>
      </c>
      <c r="H395" s="376" t="inlineStr">
        <is>
          <t>20101-2012</t>
        </is>
      </c>
      <c r="I395" s="376" t="inlineStr">
        <is>
          <t>ชยฟ.3/1 (26)</t>
        </is>
      </c>
      <c r="J395" s="381" t="inlineStr">
        <is>
          <t>13:10 - 17:10</t>
        </is>
      </c>
      <c r="K395" s="135" t="n"/>
      <c r="L395" s="334" t="inlineStr"/>
      <c r="M395" s="381" t="n">
        <v>4</v>
      </c>
      <c r="N395" s="381" t="n">
        <v>200</v>
      </c>
      <c r="O395" s="354">
        <f>M395*N395</f>
        <v/>
      </c>
      <c r="P395" s="381" t="inlineStr"/>
      <c r="Q395" s="367" t="inlineStr"/>
      <c r="R395" s="381" t="inlineStr"/>
      <c r="S395" s="354" t="inlineStr"/>
      <c r="T395" t="inlineStr"/>
      <c r="U395" t="inlineStr"/>
    </row>
    <row r="396" ht="22.2" customHeight="1" s="375">
      <c r="A396" s="3" t="n"/>
      <c r="E396" s="3" t="n"/>
      <c r="G396" s="533" t="inlineStr">
        <is>
          <t>25 ก.ย.69</t>
        </is>
      </c>
      <c r="H396" s="376" t="inlineStr"/>
      <c r="I396" s="376" t="inlineStr"/>
      <c r="J396" s="334" t="inlineStr"/>
      <c r="K396" s="374" t="n"/>
      <c r="L396" s="334" t="inlineStr"/>
      <c r="M396" s="334" t="inlineStr"/>
      <c r="N396" s="334" t="inlineStr"/>
      <c r="O396" s="354" t="inlineStr"/>
      <c r="P396" s="334" t="inlineStr"/>
      <c r="Q396" s="334" t="inlineStr"/>
      <c r="R396" s="334" t="inlineStr"/>
      <c r="S396" s="354" t="inlineStr"/>
      <c r="T396" t="inlineStr"/>
      <c r="U396" t="inlineStr"/>
    </row>
    <row r="397" ht="22.2" customHeight="1" s="375">
      <c r="A397" s="3" t="n"/>
      <c r="E397" s="3" t="n"/>
      <c r="G397" s="334" t="inlineStr"/>
      <c r="H397" s="334" t="inlineStr"/>
      <c r="I397" s="334" t="inlineStr"/>
      <c r="J397" s="334" t="inlineStr"/>
      <c r="K397" s="374" t="n"/>
      <c r="L397" s="334" t="inlineStr"/>
      <c r="M397" s="334" t="inlineStr"/>
      <c r="N397" s="334" t="inlineStr"/>
      <c r="O397" s="354" t="inlineStr"/>
      <c r="P397" s="334" t="inlineStr"/>
      <c r="Q397" s="334" t="inlineStr"/>
      <c r="R397" s="334" t="inlineStr"/>
      <c r="S397" s="354" t="inlineStr"/>
      <c r="T397" t="inlineStr"/>
      <c r="U397" t="inlineStr"/>
    </row>
    <row r="398" ht="22.2" customHeight="1" s="375">
      <c r="A398" s="3" t="n"/>
      <c r="E398" s="3" t="n"/>
      <c r="F398" s="3" t="n"/>
      <c r="G398" s="323" t="inlineStr"/>
      <c r="H398" s="322" t="inlineStr"/>
      <c r="I398" s="334" t="inlineStr"/>
      <c r="J398" s="334" t="inlineStr"/>
      <c r="K398" s="374" t="n"/>
      <c r="L398" s="334" t="inlineStr"/>
      <c r="M398" s="334" t="inlineStr"/>
      <c r="N398" s="334" t="inlineStr"/>
      <c r="O398" s="354" t="inlineStr"/>
      <c r="P398" s="334" t="inlineStr"/>
      <c r="Q398" s="334" t="inlineStr"/>
      <c r="R398" s="334" t="inlineStr"/>
      <c r="S398" s="354" t="inlineStr"/>
      <c r="T398" t="inlineStr"/>
      <c r="U398" t="inlineStr"/>
    </row>
    <row r="399" ht="22.2" customHeight="1" s="375">
      <c r="A399" s="3" t="n"/>
      <c r="E399" s="3" t="n"/>
      <c r="F399" s="3" t="n"/>
      <c r="G399" s="329" t="inlineStr"/>
      <c r="H399" s="328" t="inlineStr"/>
      <c r="I399" s="336" t="inlineStr"/>
      <c r="J399" s="336" t="inlineStr"/>
      <c r="K399" s="527" t="n"/>
      <c r="L399" s="336" t="inlineStr"/>
      <c r="M399" s="336" t="inlineStr"/>
      <c r="N399" s="336" t="inlineStr"/>
      <c r="O399" s="354" t="inlineStr"/>
      <c r="P399" s="336" t="inlineStr"/>
      <c r="Q399" s="336" t="inlineStr"/>
      <c r="R399" s="336" t="inlineStr"/>
      <c r="S399" s="354" t="inlineStr"/>
      <c r="T399" t="inlineStr"/>
      <c r="U399" t="inlineStr"/>
    </row>
    <row r="400" ht="22.2" customHeight="1" s="375">
      <c r="A400" s="3" t="n"/>
      <c r="E400" s="3" t="n"/>
      <c r="F400" s="3" t="n"/>
      <c r="G400" s="16" t="inlineStr">
        <is>
          <t>รวมขั่วโมงที่สอนแยก ภาระงาน/ เกินภาระงาน</t>
        </is>
      </c>
      <c r="H400" s="518" t="n"/>
      <c r="I400" s="518" t="n"/>
      <c r="J400" s="518" t="n"/>
      <c r="K400" s="432" t="n"/>
      <c r="L400" s="16">
        <f>SUM(L375:L399)</f>
        <v/>
      </c>
      <c r="M400" s="16">
        <f>SUM(M375:M399)</f>
        <v/>
      </c>
      <c r="N400" s="16" t="n"/>
      <c r="O400" s="16" t="n"/>
      <c r="P400" s="16">
        <f>SUM(P375:P399)</f>
        <v/>
      </c>
      <c r="Q400" s="16">
        <f>SUM(Q375:Q399)</f>
        <v/>
      </c>
      <c r="R400" s="349" t="n"/>
      <c r="S400" s="16" t="n"/>
    </row>
    <row r="401" ht="22.2" customHeight="1" s="375">
      <c r="A401" s="3" t="n"/>
      <c r="E401" s="3" t="n"/>
      <c r="F401" s="3" t="n"/>
      <c r="G401" s="16" t="inlineStr">
        <is>
          <t>รวมจำนวนชั่วโมงสอนคาบต่อสับดาห์</t>
        </is>
      </c>
      <c r="H401" s="518" t="n"/>
      <c r="I401" s="518" t="n"/>
      <c r="J401" s="518" t="n"/>
      <c r="K401" s="432" t="n"/>
      <c r="L401" s="16">
        <f>L400+M400</f>
        <v/>
      </c>
      <c r="M401" s="432" t="n"/>
      <c r="N401" s="348" t="n"/>
      <c r="O401" s="16" t="n"/>
      <c r="P401" s="16">
        <f>P400+Q400</f>
        <v/>
      </c>
      <c r="Q401" s="432" t="n"/>
      <c r="R401" s="329" t="n"/>
      <c r="S401" s="336" t="n"/>
    </row>
    <row r="402" ht="22.2" customHeight="1" s="375">
      <c r="A402" s="3" t="n"/>
      <c r="E402" s="3" t="n"/>
      <c r="F402" s="3" t="n"/>
      <c r="G402" s="16" t="inlineStr">
        <is>
          <t>จำนวนชั่วโมงสอนตามภาระงานสอน</t>
        </is>
      </c>
      <c r="H402" s="518" t="n"/>
      <c r="I402" s="518" t="n"/>
      <c r="J402" s="518" t="n"/>
      <c r="K402" s="432" t="n"/>
      <c r="L402" s="131" t="n">
        <v>18</v>
      </c>
      <c r="M402" s="432" t="n"/>
      <c r="N402" s="16" t="n"/>
      <c r="O402" s="348" t="n"/>
      <c r="P402" s="131" t="n">
        <v>0</v>
      </c>
      <c r="Q402" s="432" t="n"/>
      <c r="R402" s="322" t="n"/>
      <c r="S402" s="334" t="n"/>
    </row>
    <row r="403" ht="22.2" customHeight="1" s="375" thickBot="1">
      <c r="A403" s="3" t="n"/>
      <c r="E403" s="3" t="n"/>
      <c r="F403" s="14" t="n"/>
      <c r="G403" s="16" t="inlineStr">
        <is>
          <t>จำนวนชั่วโมงบิกเกินภาระงานสอน/ค่าสอน</t>
        </is>
      </c>
      <c r="H403" s="518" t="n"/>
      <c r="I403" s="518" t="n"/>
      <c r="J403" s="518" t="n"/>
      <c r="K403" s="432" t="n"/>
      <c r="L403" s="17" t="n">
        <v>0</v>
      </c>
      <c r="M403" s="17">
        <f>SUM(M375:M399)</f>
        <v/>
      </c>
      <c r="N403" s="17" t="n"/>
      <c r="O403" s="17">
        <f>SUM(O375:O399)</f>
        <v/>
      </c>
      <c r="P403" s="17" t="n">
        <v>0</v>
      </c>
      <c r="Q403" s="17">
        <f>SUM(Q375:Q399)</f>
        <v/>
      </c>
      <c r="R403" s="18" t="n"/>
      <c r="S403" s="17">
        <f>SUM(S375:S399)</f>
        <v/>
      </c>
    </row>
    <row r="404" ht="22.2" customHeight="1" s="375" thickTop="1">
      <c r="A404" s="337" t="inlineStr">
        <is>
          <t>รวมจำนวนหน่วยชั่วโมงที่ขอเบิกค่าสอน ….</t>
        </is>
      </c>
      <c r="B404" s="518" t="n"/>
      <c r="C404" s="518" t="n"/>
      <c r="D404" s="518" t="n"/>
      <c r="E404" s="518" t="n"/>
      <c r="F404" s="518" t="n"/>
      <c r="G404" s="518" t="n"/>
      <c r="H404" s="348">
        <f>M403+Q403</f>
        <v/>
      </c>
      <c r="I404" s="348" t="inlineStr">
        <is>
          <t>….ชั่วโมง</t>
        </is>
      </c>
      <c r="J404" s="348" t="n"/>
      <c r="K404" s="328" t="inlineStr">
        <is>
          <t>ยอดเงินรวม</t>
        </is>
      </c>
      <c r="L404" s="522" t="n"/>
      <c r="M404" s="522" t="n"/>
      <c r="N404" s="328" t="n"/>
      <c r="O404" s="328" t="n"/>
      <c r="P404" s="339">
        <f>S403+O403</f>
        <v/>
      </c>
      <c r="Q404" s="538" t="n"/>
      <c r="R404" s="20" t="n"/>
      <c r="S404" s="19" t="inlineStr">
        <is>
          <t>..บาท</t>
        </is>
      </c>
    </row>
    <row r="405" ht="22.2" customHeight="1" s="375">
      <c r="A405" s="154" t="inlineStr">
        <is>
          <t>ผู้ขอเบิก</t>
        </is>
      </c>
      <c r="B405" s="153" t="n"/>
      <c r="C405" s="153" t="n"/>
      <c r="D405" s="153" t="n"/>
      <c r="E405" s="153" t="n"/>
      <c r="F405" s="153" t="n"/>
      <c r="G405" s="135" t="n"/>
      <c r="H405" s="154" t="inlineStr">
        <is>
          <t>ผู้รับรอง</t>
        </is>
      </c>
      <c r="I405" s="153" t="n"/>
      <c r="J405" s="153" t="n"/>
      <c r="K405" s="153" t="n"/>
      <c r="L405" s="135" t="n"/>
      <c r="M405" s="154" t="inlineStr">
        <is>
          <t>ผู้ตรวจ</t>
        </is>
      </c>
      <c r="N405" s="153" t="n"/>
      <c r="O405" s="153" t="n"/>
      <c r="P405" s="153" t="n"/>
      <c r="Q405" s="153" t="n"/>
      <c r="R405" s="153" t="n"/>
      <c r="S405" s="135" t="n"/>
    </row>
    <row r="406" ht="22.2" customHeight="1" s="375">
      <c r="A406" s="334" t="inlineStr">
        <is>
          <t>ลงชื่อ……………………………………………</t>
        </is>
      </c>
      <c r="G406" s="374" t="n"/>
      <c r="H406" s="334" t="inlineStr">
        <is>
          <t>ลงชื่อ……………………………………………</t>
        </is>
      </c>
      <c r="L406" s="374" t="n"/>
      <c r="M406" s="334" t="inlineStr">
        <is>
          <t>ลงชื่อ……………………………………………</t>
        </is>
      </c>
      <c r="S406" s="374" t="n"/>
    </row>
    <row r="407" ht="22.2" customHeight="1" s="375">
      <c r="A407" s="11" t="inlineStr">
        <is>
          <t>(</t>
        </is>
      </c>
      <c r="B407" s="324">
        <f>B375</f>
        <v/>
      </c>
      <c r="G407" s="326" t="inlineStr">
        <is>
          <t>)</t>
        </is>
      </c>
      <c r="H407" s="324" t="inlineStr">
        <is>
          <t>(</t>
        </is>
      </c>
      <c r="I407" s="340">
        <f>I361</f>
        <v/>
      </c>
      <c r="L407" s="12" t="inlineStr">
        <is>
          <t>)</t>
        </is>
      </c>
      <c r="M407" s="53" t="inlineStr">
        <is>
          <t>(</t>
        </is>
      </c>
      <c r="N407" s="53" t="n"/>
      <c r="O407" s="324">
        <f>O39</f>
        <v/>
      </c>
      <c r="R407" s="25" t="n"/>
      <c r="S407" s="326" t="inlineStr">
        <is>
          <t>)</t>
        </is>
      </c>
    </row>
    <row r="408" ht="22.2" customHeight="1" s="375">
      <c r="A408" s="540" t="inlineStr">
        <is>
          <t xml:space="preserve">                         ตำแหน่ง  ครู</t>
        </is>
      </c>
      <c r="G408" s="374" t="n"/>
      <c r="H408" s="54" t="inlineStr">
        <is>
          <t>ตำแหน่ง หัวหน้าแผนก</t>
        </is>
      </c>
      <c r="L408" s="374" t="n"/>
      <c r="M408" s="54" t="inlineStr">
        <is>
          <t>ตำแหน่ง   ผู้ตรวจสอบ</t>
        </is>
      </c>
      <c r="S408" s="374" t="n"/>
    </row>
    <row r="409" ht="22.2" customHeight="1" s="375">
      <c r="A409" s="55" t="inlineStr">
        <is>
          <t>วันที่ 28 เดือน กันยายน  พ.ศ.2569</t>
        </is>
      </c>
      <c r="B409" s="522" t="n"/>
      <c r="C409" s="522" t="n"/>
      <c r="D409" s="522" t="n"/>
      <c r="E409" s="522" t="n"/>
      <c r="F409" s="522" t="n"/>
      <c r="G409" s="527" t="n"/>
      <c r="H409" s="54">
        <f>A41</f>
        <v/>
      </c>
      <c r="L409" s="374" t="n"/>
      <c r="M409" s="55">
        <f>A41</f>
        <v/>
      </c>
      <c r="N409" s="522" t="n"/>
      <c r="O409" s="522" t="n"/>
      <c r="P409" s="522" t="n"/>
      <c r="Q409" s="522" t="n"/>
      <c r="R409" s="522" t="n"/>
      <c r="S409" s="527" t="n"/>
    </row>
    <row r="410" ht="22.2" customHeight="1" s="375">
      <c r="A410" s="154" t="inlineStr">
        <is>
          <t>ผู้ตรวจ</t>
        </is>
      </c>
      <c r="B410" s="153" t="n"/>
      <c r="C410" s="153" t="n"/>
      <c r="D410" s="153" t="n"/>
      <c r="E410" s="153" t="n"/>
      <c r="F410" s="153" t="n"/>
      <c r="G410" s="153" t="n"/>
      <c r="H410" s="153" t="n"/>
      <c r="I410" s="135" t="n"/>
      <c r="J410" s="154" t="inlineStr">
        <is>
          <t>ผู้เห็นชอบ</t>
        </is>
      </c>
      <c r="K410" s="153" t="n"/>
      <c r="L410" s="153" t="n"/>
      <c r="M410" s="153" t="n"/>
      <c r="N410" s="153" t="n"/>
      <c r="O410" s="153" t="n"/>
      <c r="P410" s="153" t="n"/>
      <c r="Q410" s="153" t="n"/>
      <c r="R410" s="153" t="n"/>
      <c r="S410" s="135" t="n"/>
    </row>
    <row r="411" ht="22.2" customHeight="1" s="375">
      <c r="A411" s="334" t="inlineStr">
        <is>
          <t>ลงชื่อ……………………………………………</t>
        </is>
      </c>
      <c r="I411" s="374" t="n"/>
      <c r="J411" s="334" t="inlineStr">
        <is>
          <t>ลงชื่อ……………………………………………</t>
        </is>
      </c>
      <c r="S411" s="374" t="n"/>
    </row>
    <row r="412" ht="22.2" customHeight="1" s="375">
      <c r="A412" s="11" t="n"/>
      <c r="B412" s="324">
        <f>B44</f>
        <v/>
      </c>
      <c r="I412" s="326" t="n"/>
      <c r="J412" s="25" t="n"/>
      <c r="K412" s="25" t="n"/>
      <c r="L412" s="324">
        <f>L44</f>
        <v/>
      </c>
      <c r="R412" s="25" t="n"/>
      <c r="S412" s="12" t="n"/>
    </row>
    <row r="413" ht="22.2" customHeight="1" s="375">
      <c r="A413" s="54" t="inlineStr">
        <is>
          <t>ตำแหน่งครู  หัวหน้างานพัฒนาหลักสูตร ฯ</t>
        </is>
      </c>
      <c r="I413" s="374" t="n"/>
      <c r="J413" s="54" t="inlineStr">
        <is>
          <t>ตำแหน่ง  รองผู้อำนวยการฝ่ายวิชาการ</t>
        </is>
      </c>
      <c r="S413" s="374" t="n"/>
    </row>
    <row r="414" ht="22.2" customHeight="1" s="375">
      <c r="A414" s="336" t="inlineStr">
        <is>
          <t>วันที่.......เดือน..........................พ.ศ..............</t>
        </is>
      </c>
      <c r="B414" s="522" t="n"/>
      <c r="C414" s="522" t="n"/>
      <c r="D414" s="522" t="n"/>
      <c r="E414" s="522" t="n"/>
      <c r="F414" s="522" t="n"/>
      <c r="G414" s="522" t="n"/>
      <c r="H414" s="522" t="n"/>
      <c r="I414" s="527" t="n"/>
      <c r="J414" s="336" t="inlineStr">
        <is>
          <t>วันที่.......เดือน..........................พ.ศ..............</t>
        </is>
      </c>
      <c r="K414" s="522" t="n"/>
      <c r="L414" s="522" t="n"/>
      <c r="M414" s="522" t="n"/>
      <c r="N414" s="522" t="n"/>
      <c r="O414" s="522" t="n"/>
      <c r="P414" s="522" t="n"/>
      <c r="Q414" s="522" t="n"/>
      <c r="R414" s="522" t="n"/>
      <c r="S414" s="527" t="n"/>
    </row>
    <row r="415" ht="22.2" customHeight="1" s="375">
      <c r="A415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75">
      <c r="A416" s="365" t="inlineStr">
        <is>
          <t>แผนกวิชาช่างยนต์</t>
        </is>
      </c>
    </row>
    <row r="417" ht="22.2" customHeight="1" s="375">
      <c r="A417" s="366" t="inlineStr">
        <is>
          <t xml:space="preserve">    ระหว่างวันที่</t>
        </is>
      </c>
      <c r="D417" s="365">
        <f>D3</f>
        <v/>
      </c>
      <c r="E417" s="365" t="inlineStr">
        <is>
          <t xml:space="preserve">   เดือน  </t>
        </is>
      </c>
      <c r="F417" s="365">
        <f>F3</f>
        <v/>
      </c>
      <c r="H417" s="365">
        <f>H3</f>
        <v/>
      </c>
      <c r="I417" s="365" t="inlineStr">
        <is>
          <t xml:space="preserve">     ถึง วันที่</t>
        </is>
      </c>
      <c r="J417" s="365">
        <f>J3</f>
        <v/>
      </c>
      <c r="K417" s="365" t="inlineStr">
        <is>
          <t xml:space="preserve">   เดือน </t>
        </is>
      </c>
      <c r="L417" s="365">
        <f>L3</f>
        <v/>
      </c>
      <c r="N417" s="365">
        <f>N3</f>
        <v/>
      </c>
      <c r="P417" s="365" t="n"/>
      <c r="R417" s="365" t="n"/>
    </row>
    <row r="418" ht="22.2" customHeight="1" s="375">
      <c r="G418" s="51" t="inlineStr">
        <is>
          <t>ü</t>
        </is>
      </c>
      <c r="H418" s="351" t="inlineStr">
        <is>
          <t>ครู</t>
        </is>
      </c>
      <c r="I418" s="322" t="inlineStr">
        <is>
          <t>หน้าที่พิเศษ</t>
        </is>
      </c>
      <c r="J418" t="inlineStr">
        <is>
          <t>ผู้ช่วยงานส่งเสริมการวิจัย นวัตกรรม และสิ่งประดิษฐ์, ปกครองและความปลอดภัยนักเรียน</t>
        </is>
      </c>
    </row>
    <row r="419" ht="22.2" customHeight="1" s="375">
      <c r="A419" s="24" t="inlineStr">
        <is>
          <t>ที่</t>
        </is>
      </c>
      <c r="B419" s="24" t="inlineStr">
        <is>
          <t>ชื่อ-สกุล</t>
        </is>
      </c>
      <c r="C419" s="153" t="n"/>
      <c r="D419" s="135" t="n"/>
      <c r="E419" s="15" t="inlineStr">
        <is>
          <t>ตำแหน่ง</t>
        </is>
      </c>
      <c r="F419" s="16" t="inlineStr">
        <is>
          <t>ระยะเวลาที่สอน</t>
        </is>
      </c>
      <c r="G419" s="432" t="n"/>
      <c r="H419" s="16" t="inlineStr">
        <is>
          <t>รหัสวิชา</t>
        </is>
      </c>
      <c r="I419" s="362" t="inlineStr">
        <is>
          <t>ชั้น,แผนก,ห้อง</t>
        </is>
      </c>
      <c r="J419" s="16" t="inlineStr">
        <is>
          <t>เวลาสอน</t>
        </is>
      </c>
      <c r="K419" s="135" t="n"/>
      <c r="L419" s="16" t="inlineStr">
        <is>
          <t>ปวช.(คาบ)</t>
        </is>
      </c>
      <c r="M419" s="432" t="n"/>
      <c r="N419" s="354" t="inlineStr">
        <is>
          <t>เงิน</t>
        </is>
      </c>
      <c r="O419" s="362" t="inlineStr">
        <is>
          <t>ยอดเงิน</t>
        </is>
      </c>
      <c r="P419" s="524" t="inlineStr">
        <is>
          <t>ปวส.(คาบ)</t>
        </is>
      </c>
      <c r="Q419" s="432" t="n"/>
      <c r="R419" s="354" t="inlineStr">
        <is>
          <t>เงิน</t>
        </is>
      </c>
      <c r="S419" s="362" t="inlineStr">
        <is>
          <t>ยอดเงิน</t>
        </is>
      </c>
    </row>
    <row r="420" ht="22.2" customHeight="1" s="375">
      <c r="A420" s="52" t="n"/>
      <c r="B420" s="8" t="n"/>
      <c r="C420" s="9" t="n"/>
      <c r="D420" s="13" t="n"/>
      <c r="E420" s="10" t="n"/>
      <c r="F420" s="336" t="inlineStr">
        <is>
          <t>ส.</t>
        </is>
      </c>
      <c r="G420" s="336" t="inlineStr">
        <is>
          <t>วดป.</t>
        </is>
      </c>
      <c r="H420" s="525" t="n"/>
      <c r="I420" s="336" t="n"/>
      <c r="J420" s="526" t="n"/>
      <c r="K420" s="527" t="n"/>
      <c r="L420" s="336" t="inlineStr">
        <is>
          <t>ใน</t>
        </is>
      </c>
      <c r="M420" s="336" t="inlineStr">
        <is>
          <t>นอก</t>
        </is>
      </c>
      <c r="N420" s="336" t="inlineStr">
        <is>
          <t>ต่อ ชม.</t>
        </is>
      </c>
      <c r="O420" s="336" t="inlineStr">
        <is>
          <t>(บาท)</t>
        </is>
      </c>
      <c r="P420" s="52" t="inlineStr">
        <is>
          <t>ใน</t>
        </is>
      </c>
      <c r="Q420" s="52" t="inlineStr">
        <is>
          <t>นอก</t>
        </is>
      </c>
      <c r="R420" s="336" t="inlineStr">
        <is>
          <t>ต่อ ชม.</t>
        </is>
      </c>
      <c r="S420" s="336" t="inlineStr">
        <is>
          <t>(บาท)</t>
        </is>
      </c>
    </row>
    <row r="421" ht="22.2" customHeight="1" s="375">
      <c r="A421" s="362" t="n">
        <v>10</v>
      </c>
      <c r="B421" s="528">
        <f>AB12</f>
        <v/>
      </c>
      <c r="C421" s="153" t="n"/>
      <c r="D421" s="135" t="n"/>
      <c r="E421" s="362" t="inlineStr">
        <is>
          <t>ครู</t>
        </is>
      </c>
      <c r="F421" s="5" t="n">
        <v>2</v>
      </c>
      <c r="G421" s="529" t="inlineStr">
        <is>
          <t>จันทร์</t>
        </is>
      </c>
      <c r="H421" s="542" t="inlineStr">
        <is>
          <t>หยุด</t>
        </is>
      </c>
      <c r="I421" s="543" t="inlineStr"/>
      <c r="J421" s="544" t="inlineStr"/>
      <c r="K421" s="374" t="n"/>
      <c r="L421" s="367" t="inlineStr"/>
      <c r="M421" s="381" t="inlineStr"/>
      <c r="N421" s="381" t="inlineStr"/>
      <c r="O421" s="354">
        <f>M421*N421</f>
        <v/>
      </c>
      <c r="P421" s="381" t="inlineStr"/>
      <c r="Q421" s="367" t="inlineStr"/>
      <c r="R421" s="381" t="inlineStr"/>
      <c r="S421" s="354">
        <f>Q421*R421</f>
        <v/>
      </c>
      <c r="T421" t="inlineStr"/>
      <c r="U421" t="inlineStr"/>
    </row>
    <row r="422" ht="22.2" customHeight="1" s="375">
      <c r="A422" s="3" t="n"/>
      <c r="B422" s="313" t="n"/>
      <c r="D422" s="314" t="n"/>
      <c r="E422" s="46" t="n"/>
      <c r="F422" s="322" t="n"/>
      <c r="G422" s="535" t="inlineStr">
        <is>
          <t>21 ก.ย.69</t>
        </is>
      </c>
      <c r="H422" s="543" t="inlineStr"/>
      <c r="I422" s="543" t="inlineStr"/>
      <c r="J422" s="544" t="inlineStr"/>
      <c r="K422" s="374" t="n"/>
      <c r="L422" s="334" t="inlineStr"/>
      <c r="M422" s="334" t="inlineStr"/>
      <c r="N422" s="334" t="inlineStr"/>
      <c r="O422" s="354">
        <f>M422*N422</f>
        <v/>
      </c>
      <c r="P422" s="334" t="inlineStr"/>
      <c r="Q422" s="334" t="inlineStr"/>
      <c r="R422" s="334" t="inlineStr"/>
      <c r="S422" s="354">
        <f>Q422*R422</f>
        <v/>
      </c>
      <c r="T422" t="inlineStr"/>
      <c r="U422" t="inlineStr"/>
    </row>
    <row r="423" ht="22.2" customHeight="1" s="375">
      <c r="A423" s="3" t="n"/>
      <c r="E423" s="3" t="n"/>
      <c r="F423" s="322" t="n"/>
      <c r="G423" s="321" t="inlineStr"/>
      <c r="H423" s="543" t="inlineStr"/>
      <c r="I423" s="543" t="inlineStr"/>
      <c r="J423" s="544" t="inlineStr"/>
      <c r="K423" s="374" t="n"/>
      <c r="L423" s="334" t="inlineStr"/>
      <c r="M423" s="334" t="inlineStr"/>
      <c r="N423" s="334" t="inlineStr"/>
      <c r="O423" s="354">
        <f>M423*N423</f>
        <v/>
      </c>
      <c r="P423" s="334" t="inlineStr"/>
      <c r="Q423" s="334" t="inlineStr"/>
      <c r="R423" s="334" t="inlineStr"/>
      <c r="S423" s="354">
        <f>Q423*R423</f>
        <v/>
      </c>
      <c r="T423" t="inlineStr"/>
      <c r="U423" t="inlineStr"/>
    </row>
    <row r="424" ht="22.2" customHeight="1" s="375">
      <c r="A424" s="3" t="n"/>
      <c r="D424" s="7" t="inlineStr">
        <is>
          <t> </t>
        </is>
      </c>
      <c r="E424" s="3" t="n"/>
      <c r="F424" s="322" t="n"/>
      <c r="G424" s="321" t="inlineStr"/>
      <c r="H424" s="544" t="inlineStr"/>
      <c r="I424" s="544" t="inlineStr"/>
      <c r="J424" s="544" t="inlineStr"/>
      <c r="K424" s="374" t="n"/>
      <c r="L424" s="334" t="inlineStr"/>
      <c r="M424" s="334" t="inlineStr"/>
      <c r="N424" s="334" t="inlineStr"/>
      <c r="O424" s="354">
        <f>M424*N424</f>
        <v/>
      </c>
      <c r="P424" s="334" t="inlineStr"/>
      <c r="Q424" s="334" t="inlineStr"/>
      <c r="R424" s="334" t="inlineStr"/>
      <c r="S424" s="354">
        <f>Q424*R424</f>
        <v/>
      </c>
      <c r="T424" t="inlineStr"/>
      <c r="U424" t="inlineStr"/>
    </row>
    <row r="425" ht="22.2" customHeight="1" s="375">
      <c r="A425" s="3" t="n"/>
      <c r="E425" s="3" t="n"/>
      <c r="G425" s="344" t="inlineStr"/>
      <c r="H425" s="545" t="inlineStr"/>
      <c r="I425" s="545" t="inlineStr"/>
      <c r="J425" s="545" t="inlineStr"/>
      <c r="K425" s="527" t="n"/>
      <c r="L425" s="334" t="inlineStr"/>
      <c r="M425" s="334" t="inlineStr"/>
      <c r="N425" s="334" t="inlineStr"/>
      <c r="O425" s="354">
        <f>M425*N425</f>
        <v/>
      </c>
      <c r="P425" s="334" t="inlineStr"/>
      <c r="Q425" s="334" t="inlineStr"/>
      <c r="R425" s="334" t="inlineStr"/>
      <c r="S425" s="354">
        <f>Q425*R425</f>
        <v/>
      </c>
      <c r="T425" t="inlineStr"/>
      <c r="U425" t="inlineStr"/>
    </row>
    <row r="426" ht="22.2" customHeight="1" s="375">
      <c r="A426" s="3" t="n"/>
      <c r="B426" s="321" t="n"/>
      <c r="C426" s="322" t="n"/>
      <c r="D426" s="322" t="n"/>
      <c r="E426" s="334" t="n"/>
      <c r="G426" s="533" t="inlineStr">
        <is>
          <t>อังคาร</t>
        </is>
      </c>
      <c r="H426" s="376" t="inlineStr">
        <is>
          <t>20101-2009</t>
        </is>
      </c>
      <c r="I426" s="376" t="inlineStr">
        <is>
          <t>ชย.2/4 (26)</t>
        </is>
      </c>
      <c r="J426" s="381" t="inlineStr">
        <is>
          <t>08:10 - 12:10</t>
        </is>
      </c>
      <c r="K426" s="135" t="n"/>
      <c r="L426" s="367" t="n">
        <v>4</v>
      </c>
      <c r="M426" s="381" t="inlineStr"/>
      <c r="N426" s="381" t="inlineStr"/>
      <c r="O426" s="354" t="inlineStr"/>
      <c r="P426" s="381" t="inlineStr"/>
      <c r="Q426" s="367" t="inlineStr"/>
      <c r="R426" s="381" t="inlineStr"/>
      <c r="S426" s="354" t="inlineStr"/>
      <c r="T426" t="inlineStr"/>
      <c r="U426" t="inlineStr"/>
    </row>
    <row r="427" ht="22.2" customHeight="1" s="375">
      <c r="A427" s="3" t="n"/>
      <c r="B427" s="313" t="n"/>
      <c r="D427" s="314" t="n"/>
      <c r="E427" s="314" t="n"/>
      <c r="G427" s="535" t="inlineStr">
        <is>
          <t>22 ก.ย.69</t>
        </is>
      </c>
      <c r="H427" s="376" t="inlineStr">
        <is>
          <t>20101-2009</t>
        </is>
      </c>
      <c r="I427" s="376" t="inlineStr">
        <is>
          <t>ชย.2/3 (26)</t>
        </is>
      </c>
      <c r="J427" s="334" t="inlineStr">
        <is>
          <t>13:10 - 17:10</t>
        </is>
      </c>
      <c r="K427" s="374" t="n"/>
      <c r="L427" s="334" t="n">
        <v>4</v>
      </c>
      <c r="M427" s="334" t="inlineStr"/>
      <c r="N427" s="334" t="inlineStr"/>
      <c r="O427" s="354" t="inlineStr"/>
      <c r="P427" s="334" t="inlineStr"/>
      <c r="Q427" s="334" t="inlineStr"/>
      <c r="R427" s="334" t="inlineStr"/>
      <c r="S427" s="354" t="inlineStr"/>
      <c r="T427" t="inlineStr"/>
      <c r="U427" t="inlineStr"/>
    </row>
    <row r="428" ht="22.2" customHeight="1" s="375">
      <c r="A428" s="3" t="n"/>
      <c r="B428" s="313" t="n"/>
      <c r="D428" s="314" t="n"/>
      <c r="E428" s="314" t="n"/>
      <c r="G428" s="334" t="inlineStr"/>
      <c r="H428" s="376" t="inlineStr"/>
      <c r="I428" s="376" t="inlineStr"/>
      <c r="J428" s="334" t="inlineStr"/>
      <c r="K428" s="374" t="n"/>
      <c r="L428" s="334" t="inlineStr"/>
      <c r="M428" s="334" t="inlineStr"/>
      <c r="N428" s="334" t="inlineStr"/>
      <c r="O428" s="354" t="inlineStr"/>
      <c r="P428" s="334" t="inlineStr"/>
      <c r="Q428" s="334" t="inlineStr"/>
      <c r="R428" s="334" t="inlineStr"/>
      <c r="S428" s="354" t="inlineStr"/>
      <c r="T428" t="inlineStr"/>
      <c r="U428" t="inlineStr"/>
    </row>
    <row r="429" ht="22.2" customHeight="1" s="375">
      <c r="A429" s="3" t="n"/>
      <c r="E429" s="3" t="n"/>
      <c r="G429" s="54" t="inlineStr"/>
      <c r="H429" s="322" t="inlineStr"/>
      <c r="I429" s="334" t="inlineStr"/>
      <c r="J429" s="334" t="inlineStr"/>
      <c r="K429" s="374" t="n"/>
      <c r="L429" s="334" t="inlineStr"/>
      <c r="M429" s="334" t="inlineStr"/>
      <c r="N429" s="334" t="inlineStr"/>
      <c r="O429" s="354" t="inlineStr"/>
      <c r="P429" s="334" t="inlineStr"/>
      <c r="Q429" s="334" t="inlineStr"/>
      <c r="R429" s="334" t="inlineStr"/>
      <c r="S429" s="354" t="inlineStr"/>
      <c r="T429" t="inlineStr"/>
      <c r="U429" t="inlineStr"/>
    </row>
    <row r="430" ht="22.2" customHeight="1" s="375">
      <c r="A430" s="3" t="n"/>
      <c r="D430" s="7" t="inlineStr">
        <is>
          <t> </t>
        </is>
      </c>
      <c r="E430" s="3" t="n"/>
      <c r="G430" s="55" t="inlineStr"/>
      <c r="H430" s="336" t="inlineStr"/>
      <c r="I430" s="336" t="inlineStr"/>
      <c r="J430" s="336" t="inlineStr"/>
      <c r="K430" s="527" t="n"/>
      <c r="L430" s="334" t="inlineStr"/>
      <c r="M430" s="334" t="inlineStr"/>
      <c r="N430" s="334" t="inlineStr"/>
      <c r="O430" s="354" t="inlineStr"/>
      <c r="P430" s="334" t="inlineStr"/>
      <c r="Q430" s="334" t="inlineStr"/>
      <c r="R430" s="334" t="inlineStr"/>
      <c r="S430" s="354" t="inlineStr"/>
      <c r="T430" t="inlineStr"/>
      <c r="U430" t="inlineStr"/>
    </row>
    <row r="431" ht="22.2" customHeight="1" s="375">
      <c r="A431" s="3" t="n"/>
      <c r="E431" s="3" t="n"/>
      <c r="G431" s="535" t="inlineStr">
        <is>
          <t>พุธ</t>
        </is>
      </c>
      <c r="H431" s="376" t="inlineStr">
        <is>
          <t>20100-1007</t>
        </is>
      </c>
      <c r="I431" s="376" t="inlineStr">
        <is>
          <t>ชย.2/1 (26)</t>
        </is>
      </c>
      <c r="J431" s="381" t="inlineStr">
        <is>
          <t>08:10 - 12:10</t>
        </is>
      </c>
      <c r="K431" s="135" t="n"/>
      <c r="L431" s="367" t="n">
        <v>4</v>
      </c>
      <c r="M431" s="381" t="inlineStr"/>
      <c r="N431" s="381" t="inlineStr"/>
      <c r="O431" s="354" t="inlineStr"/>
      <c r="P431" s="381" t="inlineStr"/>
      <c r="Q431" s="367" t="inlineStr"/>
      <c r="R431" s="381" t="inlineStr"/>
      <c r="S431" s="354" t="inlineStr"/>
      <c r="T431" t="inlineStr"/>
      <c r="U431" t="inlineStr"/>
    </row>
    <row r="432" ht="22.2" customHeight="1" s="375">
      <c r="A432" s="3" t="n"/>
      <c r="B432" s="321" t="n"/>
      <c r="C432" s="322" t="n"/>
      <c r="D432" s="322" t="n"/>
      <c r="E432" s="334" t="n"/>
      <c r="G432" s="535" t="inlineStr">
        <is>
          <t>23 ก.ย.69</t>
        </is>
      </c>
      <c r="H432" s="376" t="inlineStr">
        <is>
          <t>20100-1007</t>
        </is>
      </c>
      <c r="I432" s="376" t="inlineStr">
        <is>
          <t>ชย.2/2 (26)</t>
        </is>
      </c>
      <c r="J432" s="334" t="inlineStr">
        <is>
          <t>13:10 - 17:10</t>
        </is>
      </c>
      <c r="K432" s="374" t="n"/>
      <c r="L432" s="334" t="inlineStr"/>
      <c r="M432" s="334" t="n">
        <v>4</v>
      </c>
      <c r="N432" s="334" t="n">
        <v>200</v>
      </c>
      <c r="O432" s="354">
        <f>M432*N432</f>
        <v/>
      </c>
      <c r="P432" s="334" t="inlineStr"/>
      <c r="Q432" s="334" t="inlineStr"/>
      <c r="R432" s="334" t="inlineStr"/>
      <c r="S432" s="354" t="inlineStr"/>
      <c r="T432" t="inlineStr"/>
      <c r="U432" t="inlineStr"/>
    </row>
    <row r="433" ht="22.2" customHeight="1" s="375">
      <c r="A433" s="3" t="n"/>
      <c r="B433" s="313" t="n"/>
      <c r="D433" s="314" t="n"/>
      <c r="E433" s="314" t="n"/>
      <c r="G433" s="334" t="inlineStr"/>
      <c r="H433" s="376" t="inlineStr"/>
      <c r="I433" s="376" t="inlineStr"/>
      <c r="J433" s="334" t="inlineStr"/>
      <c r="K433" s="374" t="n"/>
      <c r="L433" s="334" t="inlineStr"/>
      <c r="M433" s="334" t="inlineStr"/>
      <c r="N433" s="334" t="inlineStr"/>
      <c r="O433" s="354" t="inlineStr"/>
      <c r="P433" s="334" t="inlineStr"/>
      <c r="Q433" s="334" t="inlineStr"/>
      <c r="R433" s="334" t="inlineStr"/>
      <c r="S433" s="354" t="inlineStr"/>
      <c r="T433" t="inlineStr"/>
      <c r="U433" t="inlineStr"/>
    </row>
    <row r="434" ht="22.2" customHeight="1" s="375">
      <c r="A434" s="3" t="n"/>
      <c r="E434" s="3" t="n"/>
      <c r="G434" s="321" t="inlineStr"/>
      <c r="H434" s="334" t="inlineStr"/>
      <c r="I434" s="334" t="inlineStr"/>
      <c r="J434" s="334" t="inlineStr"/>
      <c r="K434" s="374" t="n"/>
      <c r="L434" s="334" t="inlineStr"/>
      <c r="M434" s="334" t="inlineStr"/>
      <c r="N434" s="334" t="inlineStr"/>
      <c r="O434" s="354" t="inlineStr"/>
      <c r="P434" s="334" t="inlineStr"/>
      <c r="Q434" s="334" t="inlineStr"/>
      <c r="R434" s="334" t="inlineStr"/>
      <c r="S434" s="354" t="inlineStr"/>
      <c r="T434" t="inlineStr"/>
      <c r="U434" t="inlineStr"/>
    </row>
    <row r="435" ht="22.2" customHeight="1" s="375">
      <c r="A435" s="3" t="n"/>
      <c r="E435" s="3" t="n"/>
      <c r="G435" s="327" t="inlineStr"/>
      <c r="H435" s="336" t="inlineStr"/>
      <c r="I435" s="336" t="inlineStr"/>
      <c r="J435" s="336" t="inlineStr"/>
      <c r="K435" s="527" t="n"/>
      <c r="L435" s="336" t="inlineStr"/>
      <c r="M435" s="336" t="inlineStr"/>
      <c r="N435" s="336" t="inlineStr"/>
      <c r="O435" s="354" t="inlineStr"/>
      <c r="P435" s="336" t="inlineStr"/>
      <c r="Q435" s="336" t="inlineStr"/>
      <c r="R435" s="336" t="inlineStr"/>
      <c r="S435" s="354" t="inlineStr"/>
      <c r="T435" t="inlineStr"/>
      <c r="U435" t="inlineStr"/>
    </row>
    <row r="436" ht="22.2" customHeight="1" s="375">
      <c r="A436" s="3" t="n"/>
      <c r="E436" s="3" t="n"/>
      <c r="G436" s="533" t="inlineStr">
        <is>
          <t>พฤหัส</t>
        </is>
      </c>
      <c r="H436" s="376" t="inlineStr">
        <is>
          <t>20100-1007</t>
        </is>
      </c>
      <c r="I436" s="376" t="inlineStr">
        <is>
          <t>ชย.2/3 (26)</t>
        </is>
      </c>
      <c r="J436" s="381" t="inlineStr">
        <is>
          <t>08:10 - 12:10</t>
        </is>
      </c>
      <c r="K436" s="135" t="n"/>
      <c r="L436" s="334" t="inlineStr"/>
      <c r="M436" s="334" t="n">
        <v>4</v>
      </c>
      <c r="N436" s="334" t="n">
        <v>200</v>
      </c>
      <c r="O436" s="354">
        <f>M436*N436</f>
        <v/>
      </c>
      <c r="P436" s="334" t="inlineStr"/>
      <c r="Q436" s="362" t="inlineStr"/>
      <c r="R436" s="362" t="inlineStr"/>
      <c r="S436" s="354" t="inlineStr"/>
      <c r="T436" s="6" t="inlineStr"/>
      <c r="U436" s="22" t="inlineStr"/>
      <c r="V436" s="57" t="n"/>
      <c r="W436" s="21" t="n"/>
      <c r="X436" s="21" t="n"/>
    </row>
    <row r="437" ht="22.2" customHeight="1" s="375">
      <c r="A437" s="3" t="n"/>
      <c r="E437" s="3" t="n"/>
      <c r="G437" s="535" t="inlineStr">
        <is>
          <t>24 ก.ย.69</t>
        </is>
      </c>
      <c r="H437" s="376" t="inlineStr">
        <is>
          <t>20000-2002</t>
        </is>
      </c>
      <c r="I437" s="376" t="inlineStr">
        <is>
          <t>ชย.1/7,ชย.1/8 (26)</t>
        </is>
      </c>
      <c r="J437" s="334" t="inlineStr">
        <is>
          <t>13:10 - 15:10</t>
        </is>
      </c>
      <c r="K437" s="374" t="n"/>
      <c r="L437" s="334" t="n">
        <v>2</v>
      </c>
      <c r="M437" s="334" t="inlineStr"/>
      <c r="N437" s="334" t="inlineStr"/>
      <c r="O437" s="354" t="inlineStr"/>
      <c r="P437" s="334" t="inlineStr"/>
      <c r="Q437" s="334" t="inlineStr"/>
      <c r="R437" s="334" t="inlineStr"/>
      <c r="S437" s="354" t="inlineStr"/>
      <c r="T437" s="21" t="inlineStr"/>
      <c r="U437" s="22" t="inlineStr"/>
      <c r="V437" s="57" t="n"/>
      <c r="W437" s="21" t="n"/>
      <c r="X437" s="21" t="n"/>
    </row>
    <row r="438" ht="22.2" customHeight="1" s="375">
      <c r="A438" s="3" t="n"/>
      <c r="B438" s="313" t="n"/>
      <c r="E438" s="3" t="n"/>
      <c r="G438" s="334" t="inlineStr"/>
      <c r="H438" s="376" t="inlineStr"/>
      <c r="I438" s="376" t="inlineStr"/>
      <c r="J438" s="334" t="inlineStr"/>
      <c r="K438" s="374" t="n"/>
      <c r="L438" s="376" t="inlineStr"/>
      <c r="M438" s="376" t="inlineStr"/>
      <c r="N438" s="376" t="inlineStr"/>
      <c r="O438" s="354" t="inlineStr"/>
      <c r="P438" s="376" t="inlineStr"/>
      <c r="Q438" s="376" t="inlineStr"/>
      <c r="R438" s="376" t="inlineStr"/>
      <c r="S438" s="354" t="inlineStr"/>
      <c r="T438" t="inlineStr"/>
      <c r="U438" t="inlineStr"/>
    </row>
    <row r="439" ht="22.2" customHeight="1" s="375">
      <c r="A439" s="3" t="n"/>
      <c r="E439" s="3" t="n"/>
      <c r="G439" s="334" t="inlineStr"/>
      <c r="H439" s="334" t="inlineStr"/>
      <c r="I439" s="334" t="inlineStr"/>
      <c r="J439" s="334" t="inlineStr"/>
      <c r="K439" s="374" t="n"/>
      <c r="L439" s="334" t="inlineStr"/>
      <c r="M439" s="334" t="inlineStr"/>
      <c r="N439" s="334" t="inlineStr"/>
      <c r="O439" s="354" t="inlineStr"/>
      <c r="P439" s="334" t="inlineStr"/>
      <c r="Q439" s="334" t="inlineStr"/>
      <c r="R439" s="334" t="inlineStr"/>
      <c r="S439" s="354" t="inlineStr"/>
      <c r="T439" t="inlineStr"/>
      <c r="U439" t="inlineStr"/>
    </row>
    <row r="440" ht="22.2" customHeight="1" s="375">
      <c r="A440" s="3" t="n"/>
      <c r="E440" s="3" t="n"/>
      <c r="G440" s="336" t="inlineStr"/>
      <c r="H440" s="328" t="inlineStr"/>
      <c r="I440" s="336" t="inlineStr"/>
      <c r="J440" s="336" t="inlineStr"/>
      <c r="K440" s="527" t="n"/>
      <c r="L440" s="336" t="inlineStr"/>
      <c r="M440" s="336" t="inlineStr"/>
      <c r="N440" s="336" t="inlineStr"/>
      <c r="O440" s="354" t="inlineStr"/>
      <c r="P440" s="336" t="inlineStr"/>
      <c r="Q440" s="336" t="inlineStr"/>
      <c r="R440" s="336" t="inlineStr"/>
      <c r="S440" s="354" t="inlineStr"/>
      <c r="T440" t="inlineStr"/>
      <c r="U440" t="inlineStr"/>
    </row>
    <row r="441" ht="22.2" customHeight="1" s="375">
      <c r="A441" s="3" t="n"/>
      <c r="E441" s="3" t="n"/>
      <c r="G441" s="533" t="inlineStr">
        <is>
          <t>ศุกร์</t>
        </is>
      </c>
      <c r="H441" s="376" t="inlineStr">
        <is>
          <t>20101-2009</t>
        </is>
      </c>
      <c r="I441" s="376" t="inlineStr">
        <is>
          <t>ชยฟ.2/1 (26)</t>
        </is>
      </c>
      <c r="J441" s="381" t="inlineStr">
        <is>
          <t>08:10 - 12:10</t>
        </is>
      </c>
      <c r="K441" s="135" t="n"/>
      <c r="L441" s="334" t="inlineStr"/>
      <c r="M441" s="334" t="n">
        <v>4</v>
      </c>
      <c r="N441" s="334" t="n">
        <v>200</v>
      </c>
      <c r="O441" s="354">
        <f>M441*N441</f>
        <v/>
      </c>
      <c r="P441" s="381" t="inlineStr"/>
      <c r="Q441" s="367" t="inlineStr"/>
      <c r="R441" s="381" t="inlineStr"/>
      <c r="S441" s="354" t="inlineStr"/>
      <c r="T441" t="inlineStr"/>
      <c r="U441" t="inlineStr"/>
    </row>
    <row r="442" ht="22.2" customHeight="1" s="375">
      <c r="A442" s="3" t="n"/>
      <c r="E442" s="3" t="n"/>
      <c r="G442" s="535" t="inlineStr">
        <is>
          <t>25 ก.ย.69</t>
        </is>
      </c>
      <c r="H442" s="376" t="inlineStr"/>
      <c r="I442" s="376" t="inlineStr"/>
      <c r="J442" s="334" t="inlineStr"/>
      <c r="K442" s="374" t="n"/>
      <c r="L442" s="334" t="inlineStr"/>
      <c r="M442" s="334" t="inlineStr"/>
      <c r="N442" s="334" t="inlineStr"/>
      <c r="O442" s="354" t="inlineStr"/>
      <c r="P442" s="334" t="inlineStr"/>
      <c r="Q442" s="334" t="inlineStr"/>
      <c r="R442" s="334" t="inlineStr"/>
      <c r="S442" s="354" t="inlineStr"/>
      <c r="T442" t="inlineStr"/>
      <c r="U442" t="inlineStr"/>
    </row>
    <row r="443" ht="22.2" customHeight="1" s="375">
      <c r="A443" s="3" t="n"/>
      <c r="E443" s="3" t="n"/>
      <c r="G443" s="334" t="inlineStr"/>
      <c r="H443" s="334" t="inlineStr"/>
      <c r="I443" s="334" t="inlineStr"/>
      <c r="J443" s="334" t="inlineStr"/>
      <c r="K443" s="374" t="n"/>
      <c r="L443" s="334" t="inlineStr"/>
      <c r="M443" s="334" t="inlineStr"/>
      <c r="N443" s="334" t="inlineStr"/>
      <c r="O443" s="354" t="inlineStr"/>
      <c r="P443" s="334" t="inlineStr"/>
      <c r="Q443" s="334" t="inlineStr"/>
      <c r="R443" s="334" t="inlineStr"/>
      <c r="S443" s="354" t="inlineStr"/>
      <c r="T443" t="inlineStr"/>
      <c r="U443" t="inlineStr"/>
    </row>
    <row r="444" ht="22.2" customHeight="1" s="375">
      <c r="A444" s="3" t="n"/>
      <c r="E444" s="3" t="n"/>
      <c r="G444" s="334" t="inlineStr"/>
      <c r="H444" s="322" t="inlineStr"/>
      <c r="I444" s="334" t="inlineStr"/>
      <c r="J444" s="334" t="inlineStr"/>
      <c r="K444" s="374" t="n"/>
      <c r="L444" s="334" t="inlineStr"/>
      <c r="M444" s="334" t="inlineStr"/>
      <c r="N444" s="334" t="inlineStr"/>
      <c r="O444" s="354" t="inlineStr"/>
      <c r="P444" s="334" t="inlineStr"/>
      <c r="Q444" s="334" t="inlineStr"/>
      <c r="R444" s="334" t="inlineStr"/>
      <c r="S444" s="354" t="inlineStr"/>
      <c r="T444" t="inlineStr"/>
      <c r="U444" t="inlineStr"/>
    </row>
    <row r="445" ht="22.2" customHeight="1" s="375">
      <c r="A445" s="3" t="n"/>
      <c r="E445" s="3" t="n"/>
      <c r="F445" s="3" t="n"/>
      <c r="G445" s="329" t="inlineStr"/>
      <c r="H445" s="328" t="inlineStr"/>
      <c r="I445" s="336" t="inlineStr"/>
      <c r="J445" s="336" t="inlineStr"/>
      <c r="K445" s="527" t="n"/>
      <c r="L445" s="336" t="inlineStr"/>
      <c r="M445" s="336" t="inlineStr"/>
      <c r="N445" s="336" t="inlineStr"/>
      <c r="O445" s="354" t="inlineStr"/>
      <c r="P445" s="336" t="inlineStr"/>
      <c r="Q445" s="336" t="inlineStr"/>
      <c r="R445" s="336" t="inlineStr"/>
      <c r="S445" s="354" t="inlineStr"/>
      <c r="T445" t="inlineStr"/>
      <c r="U445" t="inlineStr"/>
    </row>
    <row r="446" ht="22.2" customHeight="1" s="375">
      <c r="A446" s="3" t="n"/>
      <c r="E446" s="3" t="n"/>
      <c r="F446" s="3" t="n"/>
      <c r="G446" s="16" t="inlineStr">
        <is>
          <t>รวมขั่วโมงที่สอนแยก ภาระงาน/ เกินภาระงาน</t>
        </is>
      </c>
      <c r="H446" s="518" t="n"/>
      <c r="I446" s="518" t="n"/>
      <c r="J446" s="518" t="n"/>
      <c r="K446" s="432" t="n"/>
      <c r="L446" s="16">
        <f>SUM(L421:L445)</f>
        <v/>
      </c>
      <c r="M446" s="16">
        <f>SUM(M421:M445)</f>
        <v/>
      </c>
      <c r="N446" s="16" t="n"/>
      <c r="O446" s="16" t="n"/>
      <c r="P446" s="16">
        <f>SUM(P421:P445)</f>
        <v/>
      </c>
      <c r="Q446" s="16">
        <f>SUM(Q421:Q445)</f>
        <v/>
      </c>
      <c r="R446" s="349" t="n"/>
      <c r="S446" s="16" t="n"/>
    </row>
    <row r="447" ht="22.2" customHeight="1" s="375">
      <c r="A447" s="3" t="n"/>
      <c r="E447" s="3" t="n"/>
      <c r="F447" s="3" t="n"/>
      <c r="G447" s="16" t="inlineStr">
        <is>
          <t>รวมจำนวนชั่วโมงสอนคาบต่อสับดาห์</t>
        </is>
      </c>
      <c r="H447" s="518" t="n"/>
      <c r="I447" s="518" t="n"/>
      <c r="J447" s="518" t="n"/>
      <c r="K447" s="432" t="n"/>
      <c r="L447" s="16">
        <f>L446+M446</f>
        <v/>
      </c>
      <c r="M447" s="432" t="n"/>
      <c r="N447" s="348" t="n"/>
      <c r="O447" s="16" t="n"/>
      <c r="P447" s="16">
        <f>P446+Q446</f>
        <v/>
      </c>
      <c r="Q447" s="432" t="n"/>
      <c r="R447" s="329" t="n"/>
      <c r="S447" s="336" t="n"/>
    </row>
    <row r="448" ht="22.2" customHeight="1" s="375">
      <c r="A448" s="3" t="n"/>
      <c r="E448" s="3" t="n"/>
      <c r="F448" s="3" t="n"/>
      <c r="G448" s="16" t="inlineStr">
        <is>
          <t>จำนวนชั่วโมงสอนตามภาระงานสอน</t>
        </is>
      </c>
      <c r="H448" s="518" t="n"/>
      <c r="I448" s="518" t="n"/>
      <c r="J448" s="518" t="n"/>
      <c r="K448" s="432" t="n"/>
      <c r="L448" s="541" t="n">
        <v>18</v>
      </c>
      <c r="M448" s="432" t="n"/>
      <c r="N448" s="129" t="n"/>
      <c r="O448" s="132" t="n"/>
      <c r="P448" s="131" t="n">
        <v>0</v>
      </c>
      <c r="Q448" s="432" t="n"/>
      <c r="R448" s="322" t="n"/>
      <c r="S448" s="334" t="n"/>
    </row>
    <row r="449" ht="22.2" customHeight="1" s="375" thickBot="1">
      <c r="A449" s="3" t="n"/>
      <c r="E449" s="3" t="n"/>
      <c r="F449" s="14" t="n"/>
      <c r="G449" s="16" t="inlineStr">
        <is>
          <t>จำนวนชั่วโมงบิกเกินภาระงานสอน/ค่าสอน</t>
        </is>
      </c>
      <c r="H449" s="518" t="n"/>
      <c r="I449" s="518" t="n"/>
      <c r="J449" s="518" t="n"/>
      <c r="K449" s="432" t="n"/>
      <c r="L449" s="17" t="n">
        <v>0</v>
      </c>
      <c r="M449" s="17">
        <f>SUM(M421:M445)</f>
        <v/>
      </c>
      <c r="N449" s="17" t="n"/>
      <c r="O449" s="17">
        <f>SUM(O421:O445)</f>
        <v/>
      </c>
      <c r="P449" s="17" t="n">
        <v>0</v>
      </c>
      <c r="Q449" s="17">
        <f>SUM(Q421:Q445)</f>
        <v/>
      </c>
      <c r="R449" s="18" t="n"/>
      <c r="S449" s="17">
        <f>SUM(S421:S445)</f>
        <v/>
      </c>
    </row>
    <row r="450" ht="22.2" customHeight="1" s="375" thickTop="1">
      <c r="A450" s="337" t="inlineStr">
        <is>
          <t>รวมจำนวนหน่วยชั่วโมงที่ขอเบิกค่าสอน ….</t>
        </is>
      </c>
      <c r="B450" s="518" t="n"/>
      <c r="C450" s="518" t="n"/>
      <c r="D450" s="518" t="n"/>
      <c r="E450" s="518" t="n"/>
      <c r="F450" s="518" t="n"/>
      <c r="G450" s="518" t="n"/>
      <c r="H450" s="348">
        <f>M449+Q449</f>
        <v/>
      </c>
      <c r="I450" s="348" t="inlineStr">
        <is>
          <t>….ชั่วโมง</t>
        </is>
      </c>
      <c r="J450" s="348" t="n"/>
      <c r="K450" s="328" t="inlineStr">
        <is>
          <t>ยอดเงินรวม</t>
        </is>
      </c>
      <c r="L450" s="522" t="n"/>
      <c r="M450" s="522" t="n"/>
      <c r="N450" s="328" t="n"/>
      <c r="O450" s="328" t="n"/>
      <c r="P450" s="339">
        <f>S449+O449</f>
        <v/>
      </c>
      <c r="Q450" s="538" t="n"/>
      <c r="R450" s="20" t="n"/>
      <c r="S450" s="19" t="inlineStr">
        <is>
          <t>..บาท</t>
        </is>
      </c>
    </row>
    <row r="451" ht="22.2" customHeight="1" s="375">
      <c r="A451" s="154" t="inlineStr">
        <is>
          <t>ผู้ขอเบิก</t>
        </is>
      </c>
      <c r="B451" s="153" t="n"/>
      <c r="C451" s="153" t="n"/>
      <c r="D451" s="153" t="n"/>
      <c r="E451" s="153" t="n"/>
      <c r="F451" s="153" t="n"/>
      <c r="G451" s="135" t="n"/>
      <c r="H451" s="154" t="inlineStr">
        <is>
          <t>ผู้รับรอง</t>
        </is>
      </c>
      <c r="I451" s="153" t="n"/>
      <c r="J451" s="153" t="n"/>
      <c r="K451" s="153" t="n"/>
      <c r="L451" s="135" t="n"/>
      <c r="M451" s="154" t="inlineStr">
        <is>
          <t>ผู้ตรวจ</t>
        </is>
      </c>
      <c r="N451" s="153" t="n"/>
      <c r="O451" s="153" t="n"/>
      <c r="P451" s="153" t="n"/>
      <c r="Q451" s="153" t="n"/>
      <c r="R451" s="153" t="n"/>
      <c r="S451" s="135" t="n"/>
    </row>
    <row r="452" ht="22.2" customHeight="1" s="375">
      <c r="A452" s="334" t="inlineStr">
        <is>
          <t>ลงชื่อ……………………………………………</t>
        </is>
      </c>
      <c r="G452" s="374" t="n"/>
      <c r="H452" s="334" t="inlineStr">
        <is>
          <t>ลงชื่อ……………………………………………</t>
        </is>
      </c>
      <c r="L452" s="374" t="n"/>
      <c r="M452" s="334" t="inlineStr">
        <is>
          <t>ลงชื่อ……………………………………………</t>
        </is>
      </c>
      <c r="S452" s="374" t="n"/>
    </row>
    <row r="453" ht="22.2" customHeight="1" s="375">
      <c r="A453" s="11" t="inlineStr">
        <is>
          <t>(</t>
        </is>
      </c>
      <c r="B453" s="324">
        <f>B421</f>
        <v/>
      </c>
      <c r="G453" s="326" t="inlineStr">
        <is>
          <t>)</t>
        </is>
      </c>
      <c r="H453" s="324" t="inlineStr">
        <is>
          <t>(</t>
        </is>
      </c>
      <c r="I453" s="340">
        <f>I407</f>
        <v/>
      </c>
      <c r="L453" s="12" t="inlineStr">
        <is>
          <t>)</t>
        </is>
      </c>
      <c r="M453" s="53" t="inlineStr">
        <is>
          <t>(</t>
        </is>
      </c>
      <c r="N453" s="53" t="n"/>
      <c r="O453" s="324">
        <f>O39</f>
        <v/>
      </c>
      <c r="R453" s="25" t="n"/>
      <c r="S453" s="326" t="inlineStr">
        <is>
          <t>)</t>
        </is>
      </c>
    </row>
    <row r="454" ht="22.2" customHeight="1" s="375">
      <c r="A454" s="540" t="inlineStr">
        <is>
          <t xml:space="preserve">                         ตำแหน่ง  ครู</t>
        </is>
      </c>
      <c r="G454" s="374" t="n"/>
      <c r="H454" s="54" t="inlineStr">
        <is>
          <t>ตำแหน่ง หัวหน้าแผนก</t>
        </is>
      </c>
      <c r="L454" s="374" t="n"/>
      <c r="M454" s="54" t="inlineStr">
        <is>
          <t>ตำแหน่ง   ผู้ตรวจสอบ</t>
        </is>
      </c>
      <c r="S454" s="374" t="n"/>
    </row>
    <row r="455" ht="22.2" customHeight="1" s="375">
      <c r="A455" s="55" t="inlineStr">
        <is>
          <t>วันที่ 28 เดือน กันยายน  พ.ศ.2569</t>
        </is>
      </c>
      <c r="B455" s="522" t="n"/>
      <c r="C455" s="522" t="n"/>
      <c r="D455" s="522" t="n"/>
      <c r="E455" s="522" t="n"/>
      <c r="F455" s="522" t="n"/>
      <c r="G455" s="527" t="n"/>
      <c r="H455" s="54">
        <f>A41</f>
        <v/>
      </c>
      <c r="L455" s="374" t="n"/>
      <c r="M455" s="55">
        <f>A41</f>
        <v/>
      </c>
      <c r="N455" s="522" t="n"/>
      <c r="O455" s="522" t="n"/>
      <c r="P455" s="522" t="n"/>
      <c r="Q455" s="522" t="n"/>
      <c r="R455" s="522" t="n"/>
      <c r="S455" s="527" t="n"/>
    </row>
    <row r="456" ht="22.2" customHeight="1" s="375">
      <c r="A456" s="154" t="inlineStr">
        <is>
          <t>ผู้ตรวจ</t>
        </is>
      </c>
      <c r="B456" s="153" t="n"/>
      <c r="C456" s="153" t="n"/>
      <c r="D456" s="153" t="n"/>
      <c r="E456" s="153" t="n"/>
      <c r="F456" s="153" t="n"/>
      <c r="G456" s="153" t="n"/>
      <c r="H456" s="153" t="n"/>
      <c r="I456" s="135" t="n"/>
      <c r="J456" s="154" t="inlineStr">
        <is>
          <t>ผู้เห็นชอบ</t>
        </is>
      </c>
      <c r="K456" s="153" t="n"/>
      <c r="L456" s="153" t="n"/>
      <c r="M456" s="153" t="n"/>
      <c r="N456" s="153" t="n"/>
      <c r="O456" s="153" t="n"/>
      <c r="P456" s="153" t="n"/>
      <c r="Q456" s="153" t="n"/>
      <c r="R456" s="153" t="n"/>
      <c r="S456" s="135" t="n"/>
    </row>
    <row r="457" ht="22.2" customHeight="1" s="375">
      <c r="A457" s="334" t="inlineStr">
        <is>
          <t>ลงชื่อ……………………………………………</t>
        </is>
      </c>
      <c r="I457" s="374" t="n"/>
      <c r="J457" s="334" t="inlineStr">
        <is>
          <t>ลงชื่อ……………………………………………</t>
        </is>
      </c>
      <c r="S457" s="374" t="n"/>
    </row>
    <row r="458" ht="22.2" customHeight="1" s="375">
      <c r="A458" s="11" t="n"/>
      <c r="B458" s="324">
        <f>B44</f>
        <v/>
      </c>
      <c r="I458" s="326" t="n"/>
      <c r="J458" s="25" t="n"/>
      <c r="K458" s="25" t="n"/>
      <c r="L458" s="324">
        <f>L44</f>
        <v/>
      </c>
      <c r="R458" s="25" t="n"/>
      <c r="S458" s="12" t="n"/>
    </row>
    <row r="459" ht="22.2" customHeight="1" s="375">
      <c r="A459" s="54" t="inlineStr">
        <is>
          <t>ตำแหน่งครู  หัวหน้างานพัฒนาหลักสูตร ฯ</t>
        </is>
      </c>
      <c r="I459" s="374" t="n"/>
      <c r="J459" s="54" t="inlineStr">
        <is>
          <t>ตำแหน่ง  รองผู้อำนวยการฝ่ายวิชาการ</t>
        </is>
      </c>
      <c r="S459" s="374" t="n"/>
    </row>
    <row r="460" ht="22.2" customHeight="1" s="375">
      <c r="A460" s="336" t="inlineStr">
        <is>
          <t>วันที่.......เดือน..........................พ.ศ..............</t>
        </is>
      </c>
      <c r="B460" s="522" t="n"/>
      <c r="C460" s="522" t="n"/>
      <c r="D460" s="522" t="n"/>
      <c r="E460" s="522" t="n"/>
      <c r="F460" s="522" t="n"/>
      <c r="G460" s="522" t="n"/>
      <c r="H460" s="522" t="n"/>
      <c r="I460" s="527" t="n"/>
      <c r="J460" s="336" t="inlineStr">
        <is>
          <t>วันที่.......เดือน..........................พ.ศ..............</t>
        </is>
      </c>
      <c r="K460" s="522" t="n"/>
      <c r="L460" s="522" t="n"/>
      <c r="M460" s="522" t="n"/>
      <c r="N460" s="522" t="n"/>
      <c r="O460" s="522" t="n"/>
      <c r="P460" s="522" t="n"/>
      <c r="Q460" s="522" t="n"/>
      <c r="R460" s="522" t="n"/>
      <c r="S460" s="527" t="n"/>
    </row>
    <row r="461" ht="22.2" customHeight="1" s="375">
      <c r="A461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75">
      <c r="A462" s="365" t="inlineStr">
        <is>
          <t>แผนกวิชาช่างยนต์</t>
        </is>
      </c>
    </row>
    <row r="463" ht="22.2" customHeight="1" s="375">
      <c r="A463" s="366" t="inlineStr">
        <is>
          <t xml:space="preserve">    ระหว่างวันที่</t>
        </is>
      </c>
      <c r="D463" s="365">
        <f>D3</f>
        <v/>
      </c>
      <c r="E463" s="365" t="inlineStr">
        <is>
          <t xml:space="preserve">   เดือน  </t>
        </is>
      </c>
      <c r="F463" s="365">
        <f>F3</f>
        <v/>
      </c>
      <c r="H463" s="365">
        <f>H3</f>
        <v/>
      </c>
      <c r="I463" s="365" t="inlineStr">
        <is>
          <t xml:space="preserve">     ถึง วันที่</t>
        </is>
      </c>
      <c r="J463" s="365">
        <f>J3</f>
        <v/>
      </c>
      <c r="K463" s="365" t="inlineStr">
        <is>
          <t xml:space="preserve">   เดือน </t>
        </is>
      </c>
      <c r="L463" s="365">
        <f>L3</f>
        <v/>
      </c>
      <c r="N463" s="365">
        <f>N3</f>
        <v/>
      </c>
      <c r="P463" s="365" t="n"/>
      <c r="R463" s="365" t="n"/>
    </row>
    <row r="464" ht="22.2" customHeight="1" s="375">
      <c r="G464" s="51" t="inlineStr">
        <is>
          <t>ü</t>
        </is>
      </c>
      <c r="H464" s="351" t="inlineStr">
        <is>
          <t>ครู</t>
        </is>
      </c>
      <c r="I464" s="322" t="inlineStr">
        <is>
          <t>หน้าที่พิเศษ</t>
        </is>
      </c>
      <c r="J464" s="351" t="inlineStr">
        <is>
          <t>ผู้ช่วยงานมาตราฐานและการประกันคุณภาพการศึกษา</t>
        </is>
      </c>
    </row>
    <row r="465" ht="22.2" customHeight="1" s="375">
      <c r="A465" s="24" t="inlineStr">
        <is>
          <t>ที่</t>
        </is>
      </c>
      <c r="B465" s="24" t="inlineStr">
        <is>
          <t>ชื่อ-สกุล</t>
        </is>
      </c>
      <c r="C465" s="153" t="n"/>
      <c r="D465" s="135" t="n"/>
      <c r="E465" s="15" t="inlineStr">
        <is>
          <t>ตำแหน่ง</t>
        </is>
      </c>
      <c r="F465" s="16" t="inlineStr">
        <is>
          <t>ระยะเวลาที่สอน</t>
        </is>
      </c>
      <c r="G465" s="432" t="n"/>
      <c r="H465" s="16" t="inlineStr">
        <is>
          <t>รหัสวิชา</t>
        </is>
      </c>
      <c r="I465" s="362" t="inlineStr">
        <is>
          <t>ชั้น,แผนก,ห้อง</t>
        </is>
      </c>
      <c r="J465" s="16" t="inlineStr">
        <is>
          <t>เวลาสอน</t>
        </is>
      </c>
      <c r="K465" s="135" t="n"/>
      <c r="L465" s="16" t="inlineStr">
        <is>
          <t>ปวช.(คาบ)</t>
        </is>
      </c>
      <c r="M465" s="432" t="n"/>
      <c r="N465" s="354" t="inlineStr">
        <is>
          <t>เงิน</t>
        </is>
      </c>
      <c r="O465" s="362" t="inlineStr">
        <is>
          <t>ยอดเงิน</t>
        </is>
      </c>
      <c r="P465" s="524" t="inlineStr">
        <is>
          <t>ปวส.(คาบ)</t>
        </is>
      </c>
      <c r="Q465" s="432" t="n"/>
      <c r="R465" s="354" t="inlineStr">
        <is>
          <t>เงิน</t>
        </is>
      </c>
      <c r="S465" s="362" t="inlineStr">
        <is>
          <t>ยอดเงิน</t>
        </is>
      </c>
    </row>
    <row r="466" ht="22.2" customHeight="1" s="375">
      <c r="A466" s="52" t="n"/>
      <c r="B466" s="8" t="n"/>
      <c r="C466" s="9" t="n"/>
      <c r="D466" s="13" t="n"/>
      <c r="E466" s="10" t="n"/>
      <c r="F466" s="336" t="inlineStr">
        <is>
          <t>ส.</t>
        </is>
      </c>
      <c r="G466" s="336" t="inlineStr">
        <is>
          <t>วดป.</t>
        </is>
      </c>
      <c r="H466" s="525" t="n"/>
      <c r="I466" s="336" t="n"/>
      <c r="J466" s="526" t="n"/>
      <c r="K466" s="527" t="n"/>
      <c r="L466" s="336" t="inlineStr">
        <is>
          <t>ใน</t>
        </is>
      </c>
      <c r="M466" s="336" t="inlineStr">
        <is>
          <t>นอก</t>
        </is>
      </c>
      <c r="N466" s="336" t="inlineStr">
        <is>
          <t>ต่อ ชม.</t>
        </is>
      </c>
      <c r="O466" s="336" t="inlineStr">
        <is>
          <t>(บาท)</t>
        </is>
      </c>
      <c r="P466" s="52" t="inlineStr">
        <is>
          <t>ใน</t>
        </is>
      </c>
      <c r="Q466" s="52" t="inlineStr">
        <is>
          <t>นอก</t>
        </is>
      </c>
      <c r="R466" s="336" t="inlineStr">
        <is>
          <t>ต่อ ชม.</t>
        </is>
      </c>
      <c r="S466" s="336" t="inlineStr">
        <is>
          <t>(บาท)</t>
        </is>
      </c>
    </row>
    <row r="467" ht="22.2" customHeight="1" s="375">
      <c r="A467" s="362" t="n">
        <v>11</v>
      </c>
      <c r="B467" s="528">
        <f>AB13</f>
        <v/>
      </c>
      <c r="C467" s="153" t="n"/>
      <c r="D467" s="135" t="n"/>
      <c r="E467" s="362" t="inlineStr">
        <is>
          <t>ครู</t>
        </is>
      </c>
      <c r="F467" s="5" t="n">
        <v>2</v>
      </c>
      <c r="G467" s="529" t="inlineStr">
        <is>
          <t>จันทร์</t>
        </is>
      </c>
      <c r="H467" s="542" t="inlineStr">
        <is>
          <t>หยุด</t>
        </is>
      </c>
      <c r="I467" s="543" t="inlineStr"/>
      <c r="J467" s="544" t="inlineStr"/>
      <c r="K467" s="374" t="n"/>
      <c r="L467" s="367" t="inlineStr"/>
      <c r="M467" s="381" t="inlineStr"/>
      <c r="N467" s="381" t="inlineStr"/>
      <c r="O467" s="354">
        <f>M467*N467</f>
        <v/>
      </c>
      <c r="P467" s="381" t="inlineStr"/>
      <c r="Q467" s="367" t="inlineStr"/>
      <c r="R467" s="381" t="inlineStr"/>
      <c r="S467" s="354">
        <f>Q467*R467</f>
        <v/>
      </c>
      <c r="T467" t="inlineStr"/>
      <c r="U467" t="inlineStr"/>
    </row>
    <row r="468" ht="22.2" customHeight="1" s="375">
      <c r="A468" s="3" t="n"/>
      <c r="B468" s="530" t="n"/>
      <c r="D468" s="374" t="n"/>
      <c r="E468" s="46" t="n"/>
      <c r="F468" s="322" t="n"/>
      <c r="G468" s="535" t="inlineStr">
        <is>
          <t>21 ก.ย.69</t>
        </is>
      </c>
      <c r="H468" s="543" t="inlineStr"/>
      <c r="I468" s="543" t="inlineStr"/>
      <c r="J468" s="544" t="inlineStr"/>
      <c r="K468" s="374" t="n"/>
      <c r="L468" s="334" t="inlineStr"/>
      <c r="M468" s="334" t="inlineStr"/>
      <c r="N468" s="334" t="inlineStr"/>
      <c r="O468" s="354">
        <f>M468*N468</f>
        <v/>
      </c>
      <c r="P468" s="334" t="inlineStr"/>
      <c r="Q468" s="334" t="inlineStr"/>
      <c r="R468" s="334" t="inlineStr"/>
      <c r="S468" s="354">
        <f>Q468*R468</f>
        <v/>
      </c>
      <c r="T468" t="inlineStr"/>
      <c r="U468" t="inlineStr"/>
    </row>
    <row r="469" ht="22.2" customHeight="1" s="375">
      <c r="A469" s="3" t="n"/>
      <c r="B469" s="313" t="n"/>
      <c r="D469" s="314" t="n"/>
      <c r="E469" s="314" t="n"/>
      <c r="F469" s="322" t="n"/>
      <c r="G469" s="321" t="inlineStr"/>
      <c r="H469" s="543" t="inlineStr"/>
      <c r="I469" s="543" t="inlineStr"/>
      <c r="J469" s="544" t="inlineStr"/>
      <c r="K469" s="374" t="n"/>
      <c r="L469" s="334" t="inlineStr"/>
      <c r="M469" s="334" t="inlineStr"/>
      <c r="N469" s="334" t="inlineStr"/>
      <c r="O469" s="354">
        <f>M469*N469</f>
        <v/>
      </c>
      <c r="P469" s="334" t="inlineStr"/>
      <c r="Q469" s="334" t="inlineStr"/>
      <c r="R469" s="334" t="inlineStr"/>
      <c r="S469" s="354">
        <f>Q469*R469</f>
        <v/>
      </c>
      <c r="T469" t="inlineStr"/>
      <c r="U469" t="inlineStr"/>
    </row>
    <row r="470" ht="22.2" customHeight="1" s="375">
      <c r="A470" s="3" t="n"/>
      <c r="B470" s="313" t="n"/>
      <c r="E470" s="3" t="n"/>
      <c r="F470" s="322" t="n"/>
      <c r="G470" s="321" t="inlineStr"/>
      <c r="H470" s="544" t="inlineStr"/>
      <c r="I470" s="544" t="inlineStr"/>
      <c r="J470" s="544" t="inlineStr"/>
      <c r="K470" s="374" t="n"/>
      <c r="L470" s="334" t="inlineStr"/>
      <c r="M470" s="334" t="inlineStr"/>
      <c r="N470" s="334" t="inlineStr"/>
      <c r="O470" s="354">
        <f>M470*N470</f>
        <v/>
      </c>
      <c r="P470" s="334" t="inlineStr"/>
      <c r="Q470" s="334" t="inlineStr"/>
      <c r="R470" s="334" t="inlineStr"/>
      <c r="S470" s="354">
        <f>Q470*R470</f>
        <v/>
      </c>
      <c r="T470" t="inlineStr"/>
      <c r="U470" t="inlineStr"/>
    </row>
    <row r="471" ht="22.2" customHeight="1" s="375">
      <c r="A471" s="3" t="n"/>
      <c r="E471" s="3" t="n"/>
      <c r="G471" s="344" t="inlineStr"/>
      <c r="H471" s="545" t="inlineStr"/>
      <c r="I471" s="545" t="inlineStr"/>
      <c r="J471" s="545" t="inlineStr"/>
      <c r="K471" s="527" t="n"/>
      <c r="L471" s="334" t="inlineStr"/>
      <c r="M471" s="334" t="inlineStr"/>
      <c r="N471" s="334" t="inlineStr"/>
      <c r="O471" s="354">
        <f>M471*N471</f>
        <v/>
      </c>
      <c r="P471" s="334" t="inlineStr"/>
      <c r="Q471" s="334" t="inlineStr"/>
      <c r="R471" s="334" t="inlineStr"/>
      <c r="S471" s="354">
        <f>Q471*R471</f>
        <v/>
      </c>
      <c r="T471" t="inlineStr"/>
      <c r="U471" t="inlineStr"/>
    </row>
    <row r="472" ht="22.2" customHeight="1" s="375">
      <c r="A472" s="3" t="n"/>
      <c r="D472" s="374" t="n"/>
      <c r="E472" s="251" t="n"/>
      <c r="G472" s="533" t="inlineStr">
        <is>
          <t>อังคาร</t>
        </is>
      </c>
      <c r="H472" s="376" t="inlineStr">
        <is>
          <t>20101-2016</t>
        </is>
      </c>
      <c r="I472" s="376" t="inlineStr">
        <is>
          <t>ชย.1/3,ชย.1/4 (26)</t>
        </is>
      </c>
      <c r="J472" s="334" t="inlineStr">
        <is>
          <t>08:10 - 10:10</t>
        </is>
      </c>
      <c r="K472" s="374" t="n"/>
      <c r="L472" s="367" t="n">
        <v>2</v>
      </c>
      <c r="M472" s="381" t="inlineStr"/>
      <c r="N472" s="381" t="inlineStr"/>
      <c r="O472" s="354" t="inlineStr"/>
      <c r="P472" s="381" t="inlineStr"/>
      <c r="Q472" s="367" t="inlineStr"/>
      <c r="R472" s="381" t="inlineStr"/>
      <c r="S472" s="354" t="inlineStr"/>
      <c r="T472" s="6" t="inlineStr"/>
      <c r="U472" s="22" t="inlineStr"/>
      <c r="V472" s="57" t="n"/>
      <c r="W472" s="21" t="n"/>
      <c r="X472" s="21" t="n"/>
    </row>
    <row r="473" ht="22.2" customHeight="1" s="375">
      <c r="A473" s="3" t="n"/>
      <c r="D473" s="314" t="n"/>
      <c r="E473" s="314" t="n"/>
      <c r="G473" s="535" t="inlineStr">
        <is>
          <t>22 ก.ย.69</t>
        </is>
      </c>
      <c r="H473" s="376" t="inlineStr">
        <is>
          <t>20101-2006</t>
        </is>
      </c>
      <c r="I473" s="376" t="inlineStr">
        <is>
          <t>ชย.1/3,ชย.1/4 (26)</t>
        </is>
      </c>
      <c r="J473" s="334" t="inlineStr">
        <is>
          <t>10:10 - 12:10</t>
        </is>
      </c>
      <c r="K473" s="374" t="n"/>
      <c r="L473" s="334" t="n">
        <v>2</v>
      </c>
      <c r="M473" s="334" t="inlineStr"/>
      <c r="N473" s="334" t="inlineStr"/>
      <c r="O473" s="354" t="inlineStr"/>
      <c r="P473" s="334" t="inlineStr"/>
      <c r="Q473" s="334" t="inlineStr"/>
      <c r="R473" s="334" t="inlineStr"/>
      <c r="S473" s="354" t="inlineStr"/>
      <c r="T473" s="21" t="inlineStr"/>
      <c r="U473" s="22" t="inlineStr"/>
      <c r="V473" s="57" t="n"/>
      <c r="W473" s="21" t="n"/>
      <c r="X473" s="21" t="n"/>
    </row>
    <row r="474" ht="22.2" customHeight="1" s="375">
      <c r="A474" s="3" t="n"/>
      <c r="B474" s="313" t="n"/>
      <c r="D474" s="314" t="n"/>
      <c r="E474" s="314" t="n"/>
      <c r="G474" s="334" t="inlineStr"/>
      <c r="H474" s="334" t="inlineStr">
        <is>
          <t>20101-2007</t>
        </is>
      </c>
      <c r="I474" s="334" t="inlineStr">
        <is>
          <t>ชย.1/7,ชย.1/8 (26)</t>
        </is>
      </c>
      <c r="J474" s="334" t="inlineStr">
        <is>
          <t>13:10 - 15:10</t>
        </is>
      </c>
      <c r="K474" s="374" t="n"/>
      <c r="L474" s="334" t="n">
        <v>2</v>
      </c>
      <c r="M474" s="334" t="inlineStr"/>
      <c r="N474" s="334" t="inlineStr"/>
      <c r="O474" s="354" t="inlineStr"/>
      <c r="P474" s="334" t="inlineStr"/>
      <c r="Q474" s="334" t="inlineStr"/>
      <c r="R474" s="334" t="inlineStr"/>
      <c r="S474" s="354" t="inlineStr"/>
      <c r="T474" t="inlineStr"/>
      <c r="U474" t="inlineStr"/>
    </row>
    <row r="475" ht="22.2" customHeight="1" s="375">
      <c r="A475" s="3" t="n"/>
      <c r="E475" s="3" t="n"/>
      <c r="G475" s="54" t="inlineStr"/>
      <c r="H475" s="322" t="inlineStr">
        <is>
          <t>20101-2007</t>
        </is>
      </c>
      <c r="I475" s="334" t="inlineStr">
        <is>
          <t>ชย.1/5,ชย.1/6 (26)</t>
        </is>
      </c>
      <c r="J475" s="334" t="inlineStr">
        <is>
          <t>15:10 - 17:10</t>
        </is>
      </c>
      <c r="K475" s="374" t="n"/>
      <c r="L475" s="334" t="n">
        <v>2</v>
      </c>
      <c r="M475" s="334" t="inlineStr"/>
      <c r="N475" s="334" t="inlineStr"/>
      <c r="O475" s="354" t="inlineStr"/>
      <c r="P475" s="334" t="inlineStr"/>
      <c r="Q475" s="334" t="inlineStr"/>
      <c r="R475" s="334" t="inlineStr"/>
      <c r="S475" s="354" t="inlineStr"/>
      <c r="T475" t="inlineStr"/>
      <c r="U475" t="inlineStr"/>
    </row>
    <row r="476" ht="22.2" customHeight="1" s="375">
      <c r="A476" s="3" t="n"/>
      <c r="D476" s="7" t="inlineStr">
        <is>
          <t> </t>
        </is>
      </c>
      <c r="E476" s="3" t="n"/>
      <c r="G476" s="55" t="inlineStr"/>
      <c r="H476" s="336" t="inlineStr"/>
      <c r="I476" s="336" t="inlineStr"/>
      <c r="J476" s="336" t="inlineStr"/>
      <c r="K476" s="527" t="n"/>
      <c r="L476" s="334" t="inlineStr"/>
      <c r="M476" s="334" t="inlineStr"/>
      <c r="N476" s="334" t="inlineStr"/>
      <c r="O476" s="354" t="inlineStr"/>
      <c r="P476" s="334" t="inlineStr"/>
      <c r="Q476" s="334" t="inlineStr"/>
      <c r="R476" s="334" t="inlineStr"/>
      <c r="S476" s="354" t="inlineStr"/>
      <c r="T476" t="inlineStr"/>
      <c r="U476" t="inlineStr"/>
    </row>
    <row r="477" ht="22.2" customHeight="1" s="375">
      <c r="A477" s="3" t="n"/>
      <c r="E477" s="3" t="n"/>
      <c r="G477" s="535" t="inlineStr">
        <is>
          <t>พุธ</t>
        </is>
      </c>
      <c r="H477" s="376" t="inlineStr">
        <is>
          <t>20143-2010</t>
        </is>
      </c>
      <c r="I477" s="376" t="inlineStr">
        <is>
          <t>ชยฟ.3/1 (26)</t>
        </is>
      </c>
      <c r="J477" s="381" t="inlineStr">
        <is>
          <t>08:10 - 10:10</t>
        </is>
      </c>
      <c r="K477" s="135" t="n"/>
      <c r="L477" s="367" t="n">
        <v>2</v>
      </c>
      <c r="M477" s="381" t="inlineStr"/>
      <c r="N477" s="381" t="inlineStr"/>
      <c r="O477" s="354" t="inlineStr"/>
      <c r="P477" s="381" t="inlineStr"/>
      <c r="Q477" s="367" t="inlineStr"/>
      <c r="R477" s="381" t="inlineStr"/>
      <c r="S477" s="354" t="inlineStr"/>
      <c r="T477" t="inlineStr"/>
      <c r="U477" t="inlineStr"/>
    </row>
    <row r="478" ht="22.2" customHeight="1" s="375">
      <c r="A478" s="3" t="n"/>
      <c r="B478" s="321" t="n"/>
      <c r="C478" s="322" t="n"/>
      <c r="D478" s="322" t="n"/>
      <c r="E478" s="334" t="n"/>
      <c r="G478" s="535" t="inlineStr">
        <is>
          <t>23 ก.ย.69</t>
        </is>
      </c>
      <c r="H478" s="376" t="inlineStr">
        <is>
          <t>20101-2006</t>
        </is>
      </c>
      <c r="I478" s="376" t="inlineStr">
        <is>
          <t>ชย.1/1,ชย.1/2 (26)</t>
        </is>
      </c>
      <c r="J478" s="334" t="inlineStr">
        <is>
          <t>10:10 - 12:10</t>
        </is>
      </c>
      <c r="K478" s="374" t="n"/>
      <c r="L478" s="334" t="n">
        <v>2</v>
      </c>
      <c r="M478" s="334" t="inlineStr"/>
      <c r="N478" s="334" t="inlineStr"/>
      <c r="O478" s="354" t="inlineStr"/>
      <c r="P478" s="334" t="inlineStr"/>
      <c r="Q478" s="334" t="inlineStr"/>
      <c r="R478" s="334" t="inlineStr"/>
      <c r="S478" s="354" t="inlineStr"/>
      <c r="T478" t="inlineStr"/>
      <c r="U478" t="inlineStr"/>
    </row>
    <row r="479" ht="22.2" customHeight="1" s="375">
      <c r="A479" s="3" t="n"/>
      <c r="B479" s="313" t="n"/>
      <c r="D479" s="314" t="n"/>
      <c r="E479" s="314" t="n"/>
      <c r="G479" s="334" t="inlineStr"/>
      <c r="H479" s="376" t="inlineStr">
        <is>
          <t>20101-2007</t>
        </is>
      </c>
      <c r="I479" s="376" t="inlineStr">
        <is>
          <t>ชย.1/10,ชย.1/9 (26)</t>
        </is>
      </c>
      <c r="J479" s="334" t="inlineStr">
        <is>
          <t>13:10 - 15:10</t>
        </is>
      </c>
      <c r="K479" s="374" t="n"/>
      <c r="L479" s="334" t="n">
        <v>2</v>
      </c>
      <c r="M479" s="334" t="inlineStr"/>
      <c r="N479" s="334" t="inlineStr"/>
      <c r="O479" s="354" t="inlineStr"/>
      <c r="P479" s="334" t="inlineStr"/>
      <c r="Q479" s="334" t="inlineStr"/>
      <c r="R479" s="334" t="inlineStr"/>
      <c r="S479" s="354" t="inlineStr"/>
      <c r="T479" t="inlineStr"/>
      <c r="U479" t="inlineStr"/>
    </row>
    <row r="480" ht="22.2" customHeight="1" s="375">
      <c r="A480" s="3" t="n"/>
      <c r="E480" s="3" t="n"/>
      <c r="G480" s="321" t="inlineStr"/>
      <c r="H480" s="334" t="inlineStr">
        <is>
          <t>20101-2015</t>
        </is>
      </c>
      <c r="I480" s="334" t="inlineStr">
        <is>
          <t>ชย.3/3 (26)</t>
        </is>
      </c>
      <c r="J480" s="334" t="inlineStr">
        <is>
          <t>17:10 - 21:10</t>
        </is>
      </c>
      <c r="K480" s="374" t="n"/>
      <c r="L480" s="334" t="inlineStr"/>
      <c r="M480" s="334" t="n">
        <v>4</v>
      </c>
      <c r="N480" s="334" t="n">
        <v>200</v>
      </c>
      <c r="O480" s="354">
        <f>M480*N480</f>
        <v/>
      </c>
      <c r="P480" s="334" t="inlineStr"/>
      <c r="Q480" s="334" t="inlineStr"/>
      <c r="R480" s="334" t="inlineStr"/>
      <c r="S480" s="354" t="inlineStr"/>
      <c r="T480" t="inlineStr"/>
      <c r="U480" t="inlineStr"/>
    </row>
    <row r="481" ht="22.2" customHeight="1" s="375">
      <c r="A481" s="3" t="n"/>
      <c r="E481" s="3" t="n"/>
      <c r="G481" s="327" t="inlineStr"/>
      <c r="H481" s="336" t="inlineStr"/>
      <c r="I481" s="336" t="inlineStr"/>
      <c r="J481" s="336" t="inlineStr"/>
      <c r="K481" s="527" t="n"/>
      <c r="L481" s="336" t="inlineStr"/>
      <c r="M481" s="336" t="inlineStr"/>
      <c r="N481" s="336" t="inlineStr"/>
      <c r="O481" s="354" t="inlineStr"/>
      <c r="P481" s="336" t="inlineStr"/>
      <c r="Q481" s="336" t="inlineStr"/>
      <c r="R481" s="336" t="inlineStr"/>
      <c r="S481" s="354" t="inlineStr"/>
      <c r="T481" t="inlineStr"/>
      <c r="U481" t="inlineStr"/>
    </row>
    <row r="482" ht="22.2" customHeight="1" s="375">
      <c r="A482" s="3" t="n"/>
      <c r="D482" s="374" t="n"/>
      <c r="E482" s="251" t="n"/>
      <c r="G482" s="533" t="inlineStr">
        <is>
          <t>พฤหัส</t>
        </is>
      </c>
      <c r="H482" s="376" t="inlineStr">
        <is>
          <t>20000-2002</t>
        </is>
      </c>
      <c r="I482" s="376" t="inlineStr">
        <is>
          <t>ชย.1/1,ชย.1/2 (26)</t>
        </is>
      </c>
      <c r="J482" s="376" t="inlineStr">
        <is>
          <t>13:10 - 15:10</t>
        </is>
      </c>
      <c r="K482" s="374" t="n"/>
      <c r="L482" s="334" t="n">
        <v>2</v>
      </c>
      <c r="M482" s="334" t="inlineStr"/>
      <c r="N482" s="334" t="inlineStr"/>
      <c r="O482" s="354" t="inlineStr"/>
      <c r="P482" s="155" t="inlineStr"/>
      <c r="Q482" s="156" t="inlineStr"/>
      <c r="R482" s="156" t="inlineStr"/>
      <c r="S482" s="354" t="inlineStr"/>
      <c r="T482" t="inlineStr"/>
      <c r="U482" t="inlineStr"/>
    </row>
    <row r="483" ht="22.2" customHeight="1" s="375">
      <c r="A483" s="3" t="n"/>
      <c r="D483" s="314" t="n"/>
      <c r="E483" s="314" t="n"/>
      <c r="G483" s="535" t="inlineStr">
        <is>
          <t>24 ก.ย.69</t>
        </is>
      </c>
      <c r="H483" s="376" t="inlineStr"/>
      <c r="I483" s="376" t="inlineStr"/>
      <c r="J483" s="376" t="inlineStr"/>
      <c r="K483" s="374" t="n"/>
      <c r="L483" s="376" t="inlineStr"/>
      <c r="M483" s="334" t="inlineStr"/>
      <c r="N483" s="334" t="inlineStr"/>
      <c r="O483" s="354" t="inlineStr"/>
      <c r="P483" s="334" t="inlineStr"/>
      <c r="Q483" s="334" t="inlineStr"/>
      <c r="R483" s="334" t="inlineStr"/>
      <c r="S483" s="354" t="inlineStr"/>
      <c r="T483" t="inlineStr"/>
      <c r="U483" t="inlineStr"/>
    </row>
    <row r="484" ht="22.2" customHeight="1" s="375">
      <c r="A484" s="3" t="n"/>
      <c r="B484" s="313" t="n"/>
      <c r="E484" s="3" t="n"/>
      <c r="G484" s="334" t="inlineStr"/>
      <c r="H484" s="376" t="inlineStr"/>
      <c r="I484" s="376" t="inlineStr"/>
      <c r="J484" s="334" t="inlineStr"/>
      <c r="K484" s="374" t="n"/>
      <c r="L484" s="376" t="inlineStr"/>
      <c r="M484" s="376" t="inlineStr"/>
      <c r="N484" s="376" t="inlineStr"/>
      <c r="O484" s="354" t="inlineStr"/>
      <c r="P484" s="3" t="inlineStr"/>
      <c r="Q484" s="3" t="inlineStr"/>
      <c r="R484" s="3" t="inlineStr"/>
      <c r="S484" s="354" t="inlineStr"/>
      <c r="T484" t="inlineStr"/>
      <c r="U484" t="inlineStr"/>
    </row>
    <row r="485" ht="22.2" customHeight="1" s="375">
      <c r="A485" s="3" t="n"/>
      <c r="E485" s="3" t="n"/>
      <c r="G485" s="334" t="inlineStr"/>
      <c r="H485" s="334" t="inlineStr"/>
      <c r="I485" s="334" t="inlineStr"/>
      <c r="J485" s="334" t="inlineStr"/>
      <c r="K485" s="374" t="n"/>
      <c r="L485" s="334" t="inlineStr"/>
      <c r="M485" s="334" t="inlineStr"/>
      <c r="N485" s="334" t="inlineStr"/>
      <c r="O485" s="354" t="inlineStr"/>
      <c r="P485" s="334" t="inlineStr"/>
      <c r="Q485" s="334" t="inlineStr"/>
      <c r="R485" s="334" t="inlineStr"/>
      <c r="S485" s="354" t="inlineStr"/>
      <c r="T485" t="inlineStr"/>
      <c r="U485" t="inlineStr"/>
    </row>
    <row r="486" ht="22.2" customHeight="1" s="375">
      <c r="A486" s="3" t="n"/>
      <c r="E486" s="3" t="n"/>
      <c r="G486" s="336" t="inlineStr"/>
      <c r="H486" s="328" t="inlineStr"/>
      <c r="I486" s="336" t="inlineStr"/>
      <c r="J486" s="336" t="inlineStr"/>
      <c r="K486" s="527" t="n"/>
      <c r="L486" s="336" t="inlineStr"/>
      <c r="M486" s="336" t="inlineStr"/>
      <c r="N486" s="336" t="inlineStr"/>
      <c r="O486" s="354" t="inlineStr"/>
      <c r="P486" s="336" t="inlineStr"/>
      <c r="Q486" s="336" t="inlineStr"/>
      <c r="R486" s="336" t="inlineStr"/>
      <c r="S486" s="354" t="inlineStr"/>
      <c r="T486" t="inlineStr"/>
      <c r="U486" t="inlineStr"/>
    </row>
    <row r="487" ht="22.2" customHeight="1" s="375">
      <c r="A487" s="3" t="n"/>
      <c r="E487" s="3" t="n"/>
      <c r="G487" s="533" t="inlineStr">
        <is>
          <t>ศุกร์</t>
        </is>
      </c>
      <c r="H487" s="376" t="inlineStr">
        <is>
          <t>20001-1005</t>
        </is>
      </c>
      <c r="I487" s="376" t="inlineStr">
        <is>
          <t>ชย.2/5,ชย.2/6 (26)</t>
        </is>
      </c>
      <c r="J487" s="381" t="inlineStr">
        <is>
          <t>08:10 - 12:10</t>
        </is>
      </c>
      <c r="K487" s="135" t="n"/>
      <c r="L487" s="334" t="inlineStr"/>
      <c r="M487" s="334" t="n">
        <v>4</v>
      </c>
      <c r="N487" s="334" t="n">
        <v>200</v>
      </c>
      <c r="O487" s="354">
        <f>M487*N487</f>
        <v/>
      </c>
      <c r="P487" s="381" t="inlineStr"/>
      <c r="Q487" s="367" t="inlineStr"/>
      <c r="R487" s="381" t="inlineStr"/>
      <c r="S487" s="354" t="inlineStr"/>
      <c r="T487" t="inlineStr"/>
      <c r="U487" t="inlineStr"/>
    </row>
    <row r="488" ht="22.2" customHeight="1" s="375">
      <c r="A488" s="3" t="n"/>
      <c r="E488" s="3" t="n"/>
      <c r="G488" s="535" t="inlineStr">
        <is>
          <t>25 ก.ย.69</t>
        </is>
      </c>
      <c r="H488" s="376" t="inlineStr">
        <is>
          <t>20001-1005</t>
        </is>
      </c>
      <c r="I488" s="376" t="inlineStr">
        <is>
          <t>ชย.2/7,ชย.2/8,ชย.ทวิ 2/9 (26)</t>
        </is>
      </c>
      <c r="J488" s="334" t="inlineStr">
        <is>
          <t>13:10 - 17:10</t>
        </is>
      </c>
      <c r="K488" s="374" t="n"/>
      <c r="L488" s="334" t="inlineStr"/>
      <c r="M488" s="334" t="n">
        <v>4</v>
      </c>
      <c r="N488" s="334" t="n">
        <v>200</v>
      </c>
      <c r="O488" s="354">
        <f>M488*N488</f>
        <v/>
      </c>
      <c r="P488" s="334" t="inlineStr"/>
      <c r="Q488" s="334" t="inlineStr"/>
      <c r="R488" s="334" t="inlineStr"/>
      <c r="S488" s="354" t="inlineStr"/>
      <c r="T488" t="inlineStr"/>
      <c r="U488" t="inlineStr"/>
    </row>
    <row r="489" ht="22.2" customHeight="1" s="375">
      <c r="A489" s="3" t="n"/>
      <c r="E489" s="3" t="n"/>
      <c r="G489" s="334" t="inlineStr"/>
      <c r="H489" s="334" t="inlineStr"/>
      <c r="I489" s="334" t="inlineStr"/>
      <c r="J489" s="334" t="inlineStr"/>
      <c r="K489" s="374" t="n"/>
      <c r="L489" s="334" t="inlineStr"/>
      <c r="M489" s="334" t="inlineStr"/>
      <c r="N489" s="334" t="inlineStr"/>
      <c r="O489" s="354" t="inlineStr"/>
      <c r="P489" s="334" t="inlineStr"/>
      <c r="Q489" s="334" t="inlineStr"/>
      <c r="R489" s="334" t="inlineStr"/>
      <c r="S489" s="354" t="inlineStr"/>
      <c r="T489" t="inlineStr"/>
      <c r="U489" t="inlineStr"/>
    </row>
    <row r="490" ht="22.2" customHeight="1" s="375">
      <c r="A490" s="3" t="n"/>
      <c r="E490" s="3" t="n"/>
      <c r="G490" s="334" t="inlineStr"/>
      <c r="H490" s="322" t="inlineStr"/>
      <c r="I490" s="334" t="inlineStr"/>
      <c r="J490" s="334" t="inlineStr"/>
      <c r="K490" s="374" t="n"/>
      <c r="L490" s="334" t="inlineStr"/>
      <c r="M490" s="334" t="inlineStr"/>
      <c r="N490" s="334" t="inlineStr"/>
      <c r="O490" s="354" t="inlineStr"/>
      <c r="P490" s="334" t="inlineStr"/>
      <c r="Q490" s="334" t="inlineStr"/>
      <c r="R490" s="334" t="inlineStr"/>
      <c r="S490" s="354" t="inlineStr"/>
      <c r="T490" t="inlineStr"/>
      <c r="U490" t="inlineStr"/>
    </row>
    <row r="491" ht="22.2" customHeight="1" s="375">
      <c r="A491" s="3" t="n"/>
      <c r="E491" s="3" t="n"/>
      <c r="F491" s="3" t="n"/>
      <c r="G491" s="329" t="inlineStr"/>
      <c r="H491" s="328" t="inlineStr"/>
      <c r="I491" s="336" t="inlineStr"/>
      <c r="J491" s="336" t="inlineStr"/>
      <c r="K491" s="527" t="n"/>
      <c r="L491" s="336" t="inlineStr"/>
      <c r="M491" s="336" t="inlineStr"/>
      <c r="N491" s="336" t="inlineStr"/>
      <c r="O491" s="354" t="inlineStr"/>
      <c r="P491" s="336" t="inlineStr"/>
      <c r="Q491" s="336" t="inlineStr"/>
      <c r="R491" s="336" t="inlineStr"/>
      <c r="S491" s="354" t="inlineStr"/>
      <c r="T491" t="inlineStr"/>
      <c r="U491" t="inlineStr"/>
    </row>
    <row r="492" ht="22.2" customHeight="1" s="375">
      <c r="A492" s="3" t="n"/>
      <c r="E492" s="3" t="n"/>
      <c r="F492" s="3" t="n"/>
      <c r="G492" s="16" t="inlineStr">
        <is>
          <t>รวมขั่วโมงที่สอนแยก ภาระงาน/ เกินภาระงาน</t>
        </is>
      </c>
      <c r="H492" s="518" t="n"/>
      <c r="I492" s="518" t="n"/>
      <c r="J492" s="518" t="n"/>
      <c r="K492" s="432" t="n"/>
      <c r="L492" s="16">
        <f>SUM(L467:L491)</f>
        <v/>
      </c>
      <c r="M492" s="16">
        <f>SUM(M467:M491)</f>
        <v/>
      </c>
      <c r="N492" s="16" t="n"/>
      <c r="O492" s="16" t="n"/>
      <c r="P492" s="16">
        <f>SUM(P467:P491)</f>
        <v/>
      </c>
      <c r="Q492" s="16">
        <f>SUM(Q467:Q491)</f>
        <v/>
      </c>
      <c r="R492" s="349" t="n"/>
      <c r="S492" s="16" t="n"/>
    </row>
    <row r="493" ht="22.2" customHeight="1" s="375">
      <c r="A493" s="3" t="n"/>
      <c r="E493" s="3" t="n"/>
      <c r="F493" s="3" t="n"/>
      <c r="G493" s="16" t="inlineStr">
        <is>
          <t>รวมจำนวนชั่วโมงสอนคาบต่อสับดาห์</t>
        </is>
      </c>
      <c r="H493" s="518" t="n"/>
      <c r="I493" s="518" t="n"/>
      <c r="J493" s="518" t="n"/>
      <c r="K493" s="432" t="n"/>
      <c r="L493" s="16">
        <f>L492+M492</f>
        <v/>
      </c>
      <c r="M493" s="432" t="n"/>
      <c r="N493" s="16" t="n"/>
      <c r="O493" s="348" t="n"/>
      <c r="P493" s="16">
        <f>P492+Q492</f>
        <v/>
      </c>
      <c r="Q493" s="432" t="n"/>
      <c r="R493" s="329" t="n"/>
      <c r="S493" s="336" t="n"/>
    </row>
    <row r="494" ht="22.2" customHeight="1" s="375">
      <c r="A494" s="3" t="n"/>
      <c r="E494" s="3" t="n"/>
      <c r="F494" s="3" t="n"/>
      <c r="G494" s="16" t="inlineStr">
        <is>
          <t>จำนวนชั่วโมงสอนตามภาระงานสอน</t>
        </is>
      </c>
      <c r="H494" s="518" t="n"/>
      <c r="I494" s="518" t="n"/>
      <c r="J494" s="518" t="n"/>
      <c r="K494" s="432" t="n"/>
      <c r="L494" s="131" t="n">
        <v>18</v>
      </c>
      <c r="M494" s="432" t="n"/>
      <c r="N494" s="130" t="n"/>
      <c r="O494" s="131" t="n"/>
      <c r="P494" s="131" t="n">
        <v>0</v>
      </c>
      <c r="Q494" s="432" t="n"/>
      <c r="R494" s="322" t="n"/>
      <c r="S494" s="334" t="n"/>
    </row>
    <row r="495" ht="22.2" customHeight="1" s="375" thickBot="1">
      <c r="A495" s="3" t="n"/>
      <c r="E495" s="3" t="n"/>
      <c r="F495" s="14" t="n"/>
      <c r="G495" s="16" t="inlineStr">
        <is>
          <t>จำนวนชั่วโมงบิกเกินภาระงานสอน/ค่าสอน</t>
        </is>
      </c>
      <c r="H495" s="518" t="n"/>
      <c r="I495" s="518" t="n"/>
      <c r="J495" s="518" t="n"/>
      <c r="K495" s="432" t="n"/>
      <c r="L495" s="17" t="n">
        <v>0</v>
      </c>
      <c r="M495" s="17">
        <f>SUM(M467:M491)</f>
        <v/>
      </c>
      <c r="N495" s="17" t="n"/>
      <c r="O495" s="17">
        <f>SUM(O467:O491)</f>
        <v/>
      </c>
      <c r="P495" s="17" t="n">
        <v>0</v>
      </c>
      <c r="Q495" s="17">
        <f>SUM(Q467:Q491)</f>
        <v/>
      </c>
      <c r="R495" s="18" t="n"/>
      <c r="S495" s="17">
        <f>SUM(S467:S491)</f>
        <v/>
      </c>
    </row>
    <row r="496" ht="22.2" customHeight="1" s="375" thickTop="1">
      <c r="A496" s="337" t="inlineStr">
        <is>
          <t>รวมจำนวนหน่วยชั่วโมงที่ขอเบิกค่าสอน ….</t>
        </is>
      </c>
      <c r="B496" s="518" t="n"/>
      <c r="C496" s="518" t="n"/>
      <c r="D496" s="518" t="n"/>
      <c r="E496" s="518" t="n"/>
      <c r="F496" s="518" t="n"/>
      <c r="G496" s="518" t="n"/>
      <c r="H496" s="348">
        <f>M495+Q495</f>
        <v/>
      </c>
      <c r="I496" s="348" t="inlineStr">
        <is>
          <t>….ชั่วโมง</t>
        </is>
      </c>
      <c r="J496" s="348" t="n"/>
      <c r="K496" s="328" t="inlineStr">
        <is>
          <t>ยอดเงินรวม</t>
        </is>
      </c>
      <c r="L496" s="522" t="n"/>
      <c r="M496" s="522" t="n"/>
      <c r="N496" s="328" t="n"/>
      <c r="O496" s="328" t="n"/>
      <c r="P496" s="339">
        <f>S495+O495</f>
        <v/>
      </c>
      <c r="Q496" s="538" t="n"/>
      <c r="R496" s="20" t="n"/>
      <c r="S496" s="19" t="inlineStr">
        <is>
          <t>..บาท</t>
        </is>
      </c>
    </row>
    <row r="497" ht="22.2" customHeight="1" s="375">
      <c r="A497" s="154" t="inlineStr">
        <is>
          <t>ผู้ขอเบิก</t>
        </is>
      </c>
      <c r="B497" s="153" t="n"/>
      <c r="C497" s="153" t="n"/>
      <c r="D497" s="153" t="n"/>
      <c r="E497" s="153" t="n"/>
      <c r="F497" s="153" t="n"/>
      <c r="G497" s="135" t="n"/>
      <c r="H497" s="154" t="inlineStr">
        <is>
          <t>ผู้รับรอง</t>
        </is>
      </c>
      <c r="I497" s="153" t="n"/>
      <c r="J497" s="153" t="n"/>
      <c r="K497" s="153" t="n"/>
      <c r="L497" s="135" t="n"/>
      <c r="M497" s="154" t="inlineStr">
        <is>
          <t>ผู้ตรวจ</t>
        </is>
      </c>
      <c r="N497" s="153" t="n"/>
      <c r="O497" s="153" t="n"/>
      <c r="P497" s="153" t="n"/>
      <c r="Q497" s="153" t="n"/>
      <c r="R497" s="153" t="n"/>
      <c r="S497" s="135" t="n"/>
    </row>
    <row r="498" ht="22.2" customHeight="1" s="375">
      <c r="A498" s="334" t="inlineStr">
        <is>
          <t>ลงชื่อ……………………………………………</t>
        </is>
      </c>
      <c r="G498" s="374" t="n"/>
      <c r="H498" s="334" t="inlineStr">
        <is>
          <t>ลงชื่อ……………………………………………</t>
        </is>
      </c>
      <c r="L498" s="374" t="n"/>
      <c r="M498" s="334" t="inlineStr">
        <is>
          <t>ลงชื่อ……………………………………………</t>
        </is>
      </c>
      <c r="S498" s="374" t="n"/>
    </row>
    <row r="499" ht="22.2" customHeight="1" s="375">
      <c r="A499" s="11" t="inlineStr">
        <is>
          <t>(</t>
        </is>
      </c>
      <c r="B499" s="324">
        <f>B467</f>
        <v/>
      </c>
      <c r="G499" s="326" t="inlineStr">
        <is>
          <t>)</t>
        </is>
      </c>
      <c r="H499" s="324" t="inlineStr">
        <is>
          <t>(</t>
        </is>
      </c>
      <c r="I499" s="340">
        <f>I453</f>
        <v/>
      </c>
      <c r="L499" s="12" t="inlineStr">
        <is>
          <t>)</t>
        </is>
      </c>
      <c r="M499" s="53" t="inlineStr">
        <is>
          <t>(</t>
        </is>
      </c>
      <c r="N499" s="53" t="n"/>
      <c r="O499" s="324">
        <f>O39</f>
        <v/>
      </c>
      <c r="R499" s="25" t="n"/>
      <c r="S499" s="326" t="inlineStr">
        <is>
          <t>)</t>
        </is>
      </c>
    </row>
    <row r="500" ht="22.2" customHeight="1" s="375">
      <c r="A500" s="540" t="inlineStr">
        <is>
          <t xml:space="preserve">                         ตำแหน่ง  ครู</t>
        </is>
      </c>
      <c r="G500" s="374" t="n"/>
      <c r="H500" s="54" t="inlineStr">
        <is>
          <t>ตำแหน่ง หัวหน้าแผนก</t>
        </is>
      </c>
      <c r="L500" s="374" t="n"/>
      <c r="M500" s="54" t="inlineStr">
        <is>
          <t>ตำแหน่ง   ผู้ตรวจสอบ</t>
        </is>
      </c>
      <c r="S500" s="374" t="n"/>
    </row>
    <row r="501" ht="22.2" customHeight="1" s="375">
      <c r="A501" s="55" t="inlineStr">
        <is>
          <t>วันที่ 28 เดือน กันยายน  พ.ศ.2569</t>
        </is>
      </c>
      <c r="B501" s="522" t="n"/>
      <c r="C501" s="522" t="n"/>
      <c r="D501" s="522" t="n"/>
      <c r="E501" s="522" t="n"/>
      <c r="F501" s="522" t="n"/>
      <c r="G501" s="527" t="n"/>
      <c r="H501" s="54">
        <f>A41</f>
        <v/>
      </c>
      <c r="L501" s="374" t="n"/>
      <c r="M501" s="55">
        <f>A41</f>
        <v/>
      </c>
      <c r="N501" s="522" t="n"/>
      <c r="O501" s="522" t="n"/>
      <c r="P501" s="522" t="n"/>
      <c r="Q501" s="522" t="n"/>
      <c r="R501" s="522" t="n"/>
      <c r="S501" s="527" t="n"/>
    </row>
    <row r="502" ht="22.2" customHeight="1" s="375">
      <c r="A502" s="154" t="inlineStr">
        <is>
          <t>ผู้ตรวจ</t>
        </is>
      </c>
      <c r="B502" s="153" t="n"/>
      <c r="C502" s="153" t="n"/>
      <c r="D502" s="153" t="n"/>
      <c r="E502" s="153" t="n"/>
      <c r="F502" s="153" t="n"/>
      <c r="G502" s="153" t="n"/>
      <c r="H502" s="153" t="n"/>
      <c r="I502" s="135" t="n"/>
      <c r="J502" s="154" t="inlineStr">
        <is>
          <t>ผู้เห็นชอบ</t>
        </is>
      </c>
      <c r="K502" s="153" t="n"/>
      <c r="L502" s="153" t="n"/>
      <c r="M502" s="153" t="n"/>
      <c r="N502" s="153" t="n"/>
      <c r="O502" s="153" t="n"/>
      <c r="P502" s="153" t="n"/>
      <c r="Q502" s="153" t="n"/>
      <c r="R502" s="153" t="n"/>
      <c r="S502" s="135" t="n"/>
    </row>
    <row r="503" ht="22.2" customHeight="1" s="375">
      <c r="A503" s="334" t="inlineStr">
        <is>
          <t>ลงชื่อ……………………………………………</t>
        </is>
      </c>
      <c r="I503" s="374" t="n"/>
      <c r="J503" s="334" t="inlineStr">
        <is>
          <t>ลงชื่อ……………………………………………</t>
        </is>
      </c>
      <c r="S503" s="374" t="n"/>
    </row>
    <row r="504" ht="22.2" customHeight="1" s="375">
      <c r="A504" s="11" t="n"/>
      <c r="B504" s="324">
        <f>B44</f>
        <v/>
      </c>
      <c r="I504" s="326" t="n"/>
      <c r="J504" s="25" t="n"/>
      <c r="K504" s="25" t="n"/>
      <c r="L504" s="324">
        <f>L44</f>
        <v/>
      </c>
      <c r="R504" s="25" t="n"/>
      <c r="S504" s="12" t="n"/>
    </row>
    <row r="505" ht="22.2" customHeight="1" s="375">
      <c r="A505" s="54" t="inlineStr">
        <is>
          <t>ตำแหน่งครู  หัวหน้างานพัฒนาหลักสูตร ฯ</t>
        </is>
      </c>
      <c r="I505" s="374" t="n"/>
      <c r="J505" s="54" t="inlineStr">
        <is>
          <t>ตำแหน่ง  รองผู้อำนวยการฝ่ายวิชาการ</t>
        </is>
      </c>
      <c r="S505" s="374" t="n"/>
    </row>
    <row r="506" ht="22.2" customHeight="1" s="375">
      <c r="A506" s="336" t="inlineStr">
        <is>
          <t>วันที่.......เดือน..........................พ.ศ..............</t>
        </is>
      </c>
      <c r="B506" s="522" t="n"/>
      <c r="C506" s="522" t="n"/>
      <c r="D506" s="522" t="n"/>
      <c r="E506" s="522" t="n"/>
      <c r="F506" s="522" t="n"/>
      <c r="G506" s="522" t="n"/>
      <c r="H506" s="522" t="n"/>
      <c r="I506" s="527" t="n"/>
      <c r="J506" s="336" t="inlineStr">
        <is>
          <t>วันที่.......เดือน..........................พ.ศ..............</t>
        </is>
      </c>
      <c r="K506" s="522" t="n"/>
      <c r="L506" s="522" t="n"/>
      <c r="M506" s="522" t="n"/>
      <c r="N506" s="522" t="n"/>
      <c r="O506" s="522" t="n"/>
      <c r="P506" s="522" t="n"/>
      <c r="Q506" s="522" t="n"/>
      <c r="R506" s="522" t="n"/>
      <c r="S506" s="527" t="n"/>
    </row>
    <row r="507" ht="22.2" customHeight="1" s="375">
      <c r="A507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75">
      <c r="A508" s="365" t="inlineStr">
        <is>
          <t>แผนกวิชาช่างยนต์</t>
        </is>
      </c>
    </row>
    <row r="509" ht="22.2" customHeight="1" s="375">
      <c r="A509" s="366" t="inlineStr">
        <is>
          <t xml:space="preserve">    ระหว่างวันที่</t>
        </is>
      </c>
      <c r="D509" s="365">
        <f>D3</f>
        <v/>
      </c>
      <c r="E509" s="365" t="inlineStr">
        <is>
          <t xml:space="preserve">   เดือน  </t>
        </is>
      </c>
      <c r="F509" s="365">
        <f>F3</f>
        <v/>
      </c>
      <c r="H509" s="365">
        <f>H3</f>
        <v/>
      </c>
      <c r="I509" s="365" t="inlineStr">
        <is>
          <t xml:space="preserve">     ถึง วันที่</t>
        </is>
      </c>
      <c r="J509" s="365">
        <f>J3</f>
        <v/>
      </c>
      <c r="K509" s="365" t="inlineStr">
        <is>
          <t xml:space="preserve">   เดือน </t>
        </is>
      </c>
      <c r="L509" s="365">
        <f>L3</f>
        <v/>
      </c>
      <c r="N509" s="365">
        <f>N3</f>
        <v/>
      </c>
      <c r="P509" s="365" t="n"/>
      <c r="R509" s="365" t="n"/>
    </row>
    <row r="510" ht="22.2" customHeight="1" s="375">
      <c r="G510" s="51" t="inlineStr">
        <is>
          <t>ü</t>
        </is>
      </c>
      <c r="H510" s="351" t="inlineStr">
        <is>
          <t>ครู</t>
        </is>
      </c>
      <c r="I510" s="322" t="inlineStr">
        <is>
          <t>หน้าที่พิเศษ</t>
        </is>
      </c>
      <c r="J510" s="351" t="inlineStr">
        <is>
          <t>รหัสวิชา</t>
        </is>
      </c>
    </row>
    <row r="511" ht="22.2" customHeight="1" s="375">
      <c r="A511" s="24" t="inlineStr">
        <is>
          <t>ที่</t>
        </is>
      </c>
      <c r="B511" s="24" t="inlineStr">
        <is>
          <t>ชื่อ-สกุล</t>
        </is>
      </c>
      <c r="C511" s="153" t="n"/>
      <c r="D511" s="135" t="n"/>
      <c r="E511" s="15" t="inlineStr">
        <is>
          <t>ตำแหน่ง</t>
        </is>
      </c>
      <c r="F511" s="16" t="inlineStr">
        <is>
          <t>ระยะเวลาที่สอน</t>
        </is>
      </c>
      <c r="G511" s="432" t="n"/>
      <c r="H511" s="16" t="inlineStr">
        <is>
          <t>รหัสวิชา</t>
        </is>
      </c>
      <c r="I511" s="362" t="inlineStr">
        <is>
          <t>ชั้น,แผนก,ห้อง</t>
        </is>
      </c>
      <c r="J511" s="16" t="inlineStr">
        <is>
          <t>เวลาสอน</t>
        </is>
      </c>
      <c r="K511" s="135" t="n"/>
      <c r="L511" s="16" t="inlineStr">
        <is>
          <t>ปวช.(คาบ)</t>
        </is>
      </c>
      <c r="M511" s="432" t="n"/>
      <c r="N511" s="354" t="inlineStr">
        <is>
          <t>เงิน</t>
        </is>
      </c>
      <c r="O511" s="362" t="inlineStr">
        <is>
          <t>ยอดเงิน</t>
        </is>
      </c>
      <c r="P511" s="524" t="inlineStr">
        <is>
          <t>ปวส.(คาบ)</t>
        </is>
      </c>
      <c r="Q511" s="432" t="n"/>
      <c r="R511" s="354" t="inlineStr">
        <is>
          <t>เงิน</t>
        </is>
      </c>
      <c r="S511" s="362" t="inlineStr">
        <is>
          <t>ยอดเงิน</t>
        </is>
      </c>
    </row>
    <row r="512" ht="22.2" customHeight="1" s="375">
      <c r="A512" s="52" t="n"/>
      <c r="B512" s="8" t="n"/>
      <c r="C512" s="9" t="n"/>
      <c r="D512" s="13" t="n"/>
      <c r="E512" s="10" t="n"/>
      <c r="F512" s="336" t="inlineStr">
        <is>
          <t>ส.</t>
        </is>
      </c>
      <c r="G512" s="336" t="inlineStr">
        <is>
          <t>วดป.</t>
        </is>
      </c>
      <c r="H512" s="525" t="n"/>
      <c r="I512" s="336" t="n"/>
      <c r="J512" s="526" t="n"/>
      <c r="K512" s="527" t="n"/>
      <c r="L512" s="336" t="inlineStr">
        <is>
          <t>ใน</t>
        </is>
      </c>
      <c r="M512" s="336" t="inlineStr">
        <is>
          <t>นอก</t>
        </is>
      </c>
      <c r="N512" s="336" t="inlineStr">
        <is>
          <t>ต่อ ชม.</t>
        </is>
      </c>
      <c r="O512" s="336" t="inlineStr">
        <is>
          <t>(บาท)</t>
        </is>
      </c>
      <c r="P512" s="52" t="inlineStr">
        <is>
          <t>ใน</t>
        </is>
      </c>
      <c r="Q512" s="52" t="inlineStr">
        <is>
          <t>นอก</t>
        </is>
      </c>
      <c r="R512" s="336" t="inlineStr">
        <is>
          <t>ต่อ ชม.</t>
        </is>
      </c>
      <c r="S512" s="336" t="inlineStr">
        <is>
          <t>(บาท)</t>
        </is>
      </c>
    </row>
    <row r="513" ht="22.2" customHeight="1" s="375">
      <c r="A513" s="362" t="n">
        <v>12</v>
      </c>
      <c r="B513" s="528">
        <f>AB14</f>
        <v/>
      </c>
      <c r="C513" s="153" t="n"/>
      <c r="D513" s="135" t="n"/>
      <c r="E513" s="362" t="inlineStr">
        <is>
          <t>ครู</t>
        </is>
      </c>
      <c r="F513" s="5" t="n">
        <v>2</v>
      </c>
      <c r="G513" s="529" t="inlineStr">
        <is>
          <t>จันทร์</t>
        </is>
      </c>
      <c r="H513" s="542" t="inlineStr">
        <is>
          <t>หยุด</t>
        </is>
      </c>
      <c r="I513" s="544" t="inlineStr"/>
      <c r="J513" s="547" t="inlineStr"/>
      <c r="K513" s="135" t="n"/>
      <c r="L513" s="367" t="inlineStr"/>
      <c r="M513" s="381" t="inlineStr"/>
      <c r="N513" s="381" t="inlineStr"/>
      <c r="O513" s="354">
        <f>M513*N513</f>
        <v/>
      </c>
      <c r="P513" s="381" t="inlineStr"/>
      <c r="Q513" s="367" t="inlineStr"/>
      <c r="R513" s="381" t="inlineStr"/>
      <c r="S513" s="354">
        <f>Q513*R513</f>
        <v/>
      </c>
      <c r="T513" t="inlineStr"/>
      <c r="U513" t="inlineStr"/>
    </row>
    <row r="514" ht="22.2" customHeight="1" s="375">
      <c r="A514" s="3" t="n"/>
      <c r="B514" s="530" t="n"/>
      <c r="D514" s="374" t="n"/>
      <c r="E514" s="46" t="n"/>
      <c r="F514" s="322" t="n"/>
      <c r="G514" s="535" t="inlineStr">
        <is>
          <t>21 ก.ย.69</t>
        </is>
      </c>
      <c r="H514" s="543" t="inlineStr"/>
      <c r="I514" s="544" t="inlineStr"/>
      <c r="J514" s="544" t="inlineStr"/>
      <c r="K514" s="374" t="n"/>
      <c r="L514" s="334" t="inlineStr"/>
      <c r="M514" s="334" t="inlineStr"/>
      <c r="N514" s="334" t="inlineStr"/>
      <c r="O514" s="354">
        <f>M514*N514</f>
        <v/>
      </c>
      <c r="P514" s="334" t="inlineStr"/>
      <c r="Q514" s="334" t="inlineStr"/>
      <c r="R514" s="334" t="inlineStr"/>
      <c r="S514" s="354">
        <f>Q514*R514</f>
        <v/>
      </c>
      <c r="T514" t="inlineStr"/>
      <c r="U514" t="inlineStr"/>
    </row>
    <row r="515" ht="22.2" customHeight="1" s="375">
      <c r="A515" s="3" t="n"/>
      <c r="B515" s="313" t="n"/>
      <c r="D515" s="314" t="n"/>
      <c r="E515" s="314" t="n"/>
      <c r="F515" s="322" t="n"/>
      <c r="G515" s="321" t="inlineStr"/>
      <c r="H515" s="543" t="inlineStr"/>
      <c r="I515" s="544" t="inlineStr"/>
      <c r="J515" s="544" t="inlineStr"/>
      <c r="K515" s="374" t="n"/>
      <c r="L515" s="334" t="inlineStr"/>
      <c r="M515" s="334" t="inlineStr"/>
      <c r="N515" s="334" t="inlineStr"/>
      <c r="O515" s="354">
        <f>M515*N515</f>
        <v/>
      </c>
      <c r="P515" s="334" t="inlineStr"/>
      <c r="Q515" s="334" t="inlineStr"/>
      <c r="R515" s="334" t="inlineStr"/>
      <c r="S515" s="354">
        <f>Q515*R515</f>
        <v/>
      </c>
      <c r="T515" t="inlineStr"/>
      <c r="U515" t="inlineStr"/>
    </row>
    <row r="516" ht="22.2" customHeight="1" s="375">
      <c r="A516" s="3" t="n"/>
      <c r="B516" s="313" t="n"/>
      <c r="E516" s="3" t="n"/>
      <c r="F516" s="322" t="n"/>
      <c r="G516" s="321" t="inlineStr"/>
      <c r="H516" s="544" t="inlineStr"/>
      <c r="I516" s="544" t="inlineStr"/>
      <c r="J516" s="544" t="inlineStr"/>
      <c r="K516" s="374" t="n"/>
      <c r="L516" s="334" t="inlineStr"/>
      <c r="M516" s="334" t="inlineStr"/>
      <c r="N516" s="334" t="inlineStr"/>
      <c r="O516" s="354">
        <f>M516*N516</f>
        <v/>
      </c>
      <c r="P516" s="334" t="inlineStr"/>
      <c r="Q516" s="334" t="inlineStr"/>
      <c r="R516" s="334" t="inlineStr"/>
      <c r="S516" s="354">
        <f>Q516*R516</f>
        <v/>
      </c>
      <c r="T516" t="inlineStr"/>
      <c r="U516" t="inlineStr"/>
    </row>
    <row r="517" ht="22.2" customHeight="1" s="375">
      <c r="A517" s="3" t="n"/>
      <c r="E517" s="3" t="n"/>
      <c r="G517" s="344" t="inlineStr"/>
      <c r="H517" s="545" t="inlineStr"/>
      <c r="I517" s="545" t="inlineStr"/>
      <c r="J517" s="545" t="inlineStr"/>
      <c r="K517" s="527" t="n"/>
      <c r="L517" s="334" t="inlineStr"/>
      <c r="M517" s="334" t="inlineStr"/>
      <c r="N517" s="334" t="inlineStr"/>
      <c r="O517" s="354">
        <f>M517*N517</f>
        <v/>
      </c>
      <c r="P517" s="334" t="inlineStr"/>
      <c r="Q517" s="334" t="inlineStr"/>
      <c r="R517" s="334" t="inlineStr"/>
      <c r="S517" s="354">
        <f>Q517*R517</f>
        <v/>
      </c>
      <c r="T517" t="inlineStr"/>
      <c r="U517" t="inlineStr"/>
    </row>
    <row r="518" ht="22.2" customHeight="1" s="375">
      <c r="A518" s="3" t="n"/>
      <c r="E518" s="3" t="n"/>
      <c r="G518" s="533" t="inlineStr">
        <is>
          <t>อังคาร</t>
        </is>
      </c>
      <c r="H518" s="376" t="inlineStr">
        <is>
          <t>20101-2013</t>
        </is>
      </c>
      <c r="I518" s="334" t="inlineStr">
        <is>
          <t>ชย.3/7 (26)</t>
        </is>
      </c>
      <c r="J518" s="381" t="inlineStr">
        <is>
          <t>08:10 - 12:10</t>
        </is>
      </c>
      <c r="K518" s="135" t="n"/>
      <c r="L518" s="367" t="n">
        <v>4</v>
      </c>
      <c r="M518" s="381" t="inlineStr"/>
      <c r="N518" s="381" t="inlineStr"/>
      <c r="O518" s="354" t="inlineStr"/>
      <c r="P518" s="381" t="inlineStr"/>
      <c r="Q518" s="367" t="inlineStr"/>
      <c r="R518" s="381" t="inlineStr"/>
      <c r="S518" s="354" t="inlineStr"/>
      <c r="T518" t="inlineStr"/>
      <c r="U518" t="inlineStr"/>
    </row>
    <row r="519" ht="22.2" customHeight="1" s="375">
      <c r="A519" s="3" t="n"/>
      <c r="E519" s="3" t="n"/>
      <c r="G519" s="535" t="inlineStr">
        <is>
          <t>22 ก.ย.69</t>
        </is>
      </c>
      <c r="H519" s="376" t="inlineStr">
        <is>
          <t>20101-2013</t>
        </is>
      </c>
      <c r="I519" s="334" t="inlineStr">
        <is>
          <t>ชย.3/7 (26)</t>
        </is>
      </c>
      <c r="J519" s="376" t="inlineStr">
        <is>
          <t>13:10 - 16:10</t>
        </is>
      </c>
      <c r="K519" s="374" t="n"/>
      <c r="L519" s="334" t="n">
        <v>3</v>
      </c>
      <c r="M519" s="334" t="inlineStr"/>
      <c r="N519" s="334" t="inlineStr"/>
      <c r="O519" s="354" t="inlineStr"/>
      <c r="P519" s="334" t="inlineStr"/>
      <c r="Q519" s="334" t="inlineStr"/>
      <c r="R519" s="334" t="inlineStr"/>
      <c r="S519" s="354" t="inlineStr"/>
      <c r="T519" t="inlineStr"/>
      <c r="U519" t="inlineStr"/>
    </row>
    <row r="520" ht="22.2" customHeight="1" s="375">
      <c r="A520" s="3" t="n"/>
      <c r="B520" s="313" t="n"/>
      <c r="D520" s="314" t="n"/>
      <c r="E520" s="314" t="n"/>
      <c r="G520" s="334" t="inlineStr"/>
      <c r="H520" s="376" t="inlineStr">
        <is>
          <t>20101-2020</t>
        </is>
      </c>
      <c r="I520" s="376" t="inlineStr">
        <is>
          <t>ชย.3/1,ชย.3/2 (26)</t>
        </is>
      </c>
      <c r="J520" s="334" t="inlineStr">
        <is>
          <t>17:10 - 21:10</t>
        </is>
      </c>
      <c r="K520" s="374" t="n"/>
      <c r="L520" s="334" t="n">
        <v>4</v>
      </c>
      <c r="M520" s="334" t="inlineStr"/>
      <c r="N520" s="334" t="inlineStr"/>
      <c r="O520" s="354" t="inlineStr"/>
      <c r="P520" s="334" t="inlineStr"/>
      <c r="Q520" s="334" t="inlineStr"/>
      <c r="R520" s="334" t="inlineStr"/>
      <c r="S520" s="354" t="inlineStr"/>
      <c r="T520" t="inlineStr"/>
      <c r="U520" t="inlineStr"/>
    </row>
    <row r="521" ht="22.2" customHeight="1" s="375">
      <c r="A521" s="3" t="n"/>
      <c r="E521" s="3" t="n"/>
      <c r="G521" s="54" t="inlineStr"/>
      <c r="H521" s="322" t="inlineStr"/>
      <c r="I521" s="334" t="inlineStr"/>
      <c r="J521" s="334" t="inlineStr"/>
      <c r="K521" s="374" t="n"/>
      <c r="L521" s="334" t="inlineStr"/>
      <c r="M521" s="334" t="inlineStr"/>
      <c r="N521" s="334" t="inlineStr"/>
      <c r="O521" s="354" t="inlineStr"/>
      <c r="P521" s="334" t="inlineStr"/>
      <c r="Q521" s="334" t="inlineStr"/>
      <c r="R521" s="334" t="inlineStr"/>
      <c r="S521" s="354" t="inlineStr"/>
      <c r="T521" t="inlineStr"/>
      <c r="U521" t="inlineStr"/>
    </row>
    <row r="522" ht="22.2" customHeight="1" s="375">
      <c r="A522" s="3" t="n"/>
      <c r="D522" s="7" t="inlineStr">
        <is>
          <t> </t>
        </is>
      </c>
      <c r="E522" s="3" t="n"/>
      <c r="G522" s="55" t="inlineStr"/>
      <c r="H522" s="336" t="inlineStr"/>
      <c r="I522" s="336" t="inlineStr"/>
      <c r="J522" s="336" t="inlineStr"/>
      <c r="K522" s="527" t="n"/>
      <c r="L522" s="334" t="inlineStr"/>
      <c r="M522" s="334" t="inlineStr"/>
      <c r="N522" s="334" t="inlineStr"/>
      <c r="O522" s="354" t="inlineStr"/>
      <c r="P522" s="334" t="inlineStr"/>
      <c r="Q522" s="334" t="inlineStr"/>
      <c r="R522" s="334" t="inlineStr"/>
      <c r="S522" s="354" t="inlineStr"/>
      <c r="T522" t="inlineStr"/>
      <c r="U522" t="inlineStr"/>
    </row>
    <row r="523" ht="22.2" customHeight="1" s="375">
      <c r="A523" s="3" t="n"/>
      <c r="E523" s="3" t="n"/>
      <c r="G523" s="535" t="inlineStr">
        <is>
          <t>พุธ</t>
        </is>
      </c>
      <c r="H523" s="376" t="inlineStr">
        <is>
          <t>20101-2002</t>
        </is>
      </c>
      <c r="I523" s="376" t="inlineStr">
        <is>
          <t>ชย.1/5 (26)</t>
        </is>
      </c>
      <c r="J523" s="381" t="inlineStr">
        <is>
          <t>08:10 - 12:10</t>
        </is>
      </c>
      <c r="K523" s="135" t="n"/>
      <c r="L523" s="367" t="n">
        <v>4</v>
      </c>
      <c r="M523" s="381" t="inlineStr"/>
      <c r="N523" s="381" t="inlineStr"/>
      <c r="O523" s="354" t="inlineStr"/>
      <c r="P523" s="381" t="inlineStr"/>
      <c r="Q523" s="367" t="inlineStr"/>
      <c r="R523" s="381" t="inlineStr"/>
      <c r="S523" s="354" t="inlineStr"/>
      <c r="T523" t="inlineStr"/>
      <c r="U523" t="inlineStr"/>
    </row>
    <row r="524" ht="22.2" customHeight="1" s="375">
      <c r="A524" s="3" t="n"/>
      <c r="B524" s="321" t="n"/>
      <c r="C524" s="322" t="n"/>
      <c r="D524" s="322" t="n"/>
      <c r="E524" s="334" t="n"/>
      <c r="G524" s="535" t="inlineStr">
        <is>
          <t>23 ก.ย.69</t>
        </is>
      </c>
      <c r="H524" s="376" t="inlineStr">
        <is>
          <t>20101-2002</t>
        </is>
      </c>
      <c r="I524" s="376" t="inlineStr">
        <is>
          <t>ชย.1/5 (26)</t>
        </is>
      </c>
      <c r="J524" s="334" t="inlineStr">
        <is>
          <t>13:10 - 16:10</t>
        </is>
      </c>
      <c r="K524" s="374" t="n"/>
      <c r="L524" s="334" t="n">
        <v>3</v>
      </c>
      <c r="M524" s="334" t="inlineStr"/>
      <c r="N524" s="334" t="inlineStr"/>
      <c r="O524" s="354" t="inlineStr"/>
      <c r="P524" s="334" t="inlineStr"/>
      <c r="Q524" s="334" t="inlineStr"/>
      <c r="R524" s="334" t="inlineStr"/>
      <c r="S524" s="354" t="inlineStr"/>
      <c r="T524" t="inlineStr"/>
      <c r="U524" t="inlineStr"/>
    </row>
    <row r="525" ht="22.2" customHeight="1" s="375">
      <c r="A525" s="3" t="n"/>
      <c r="B525" s="313" t="n"/>
      <c r="D525" s="314" t="n"/>
      <c r="E525" s="314" t="n"/>
      <c r="G525" s="334" t="inlineStr"/>
      <c r="H525" s="376" t="inlineStr">
        <is>
          <t>20101-2020</t>
        </is>
      </c>
      <c r="I525" s="376" t="inlineStr">
        <is>
          <t>ชย.3/1,ชย.3/2 (26)</t>
        </is>
      </c>
      <c r="J525" s="334" t="inlineStr">
        <is>
          <t>17:10 - 21:10</t>
        </is>
      </c>
      <c r="K525" s="374" t="n"/>
      <c r="L525" s="334" t="n">
        <v>3</v>
      </c>
      <c r="M525" s="334" t="n">
        <v>1</v>
      </c>
      <c r="N525" s="334" t="n">
        <v>200</v>
      </c>
      <c r="O525" s="354">
        <f>M525*N525</f>
        <v/>
      </c>
      <c r="P525" s="334" t="inlineStr"/>
      <c r="Q525" s="334" t="inlineStr"/>
      <c r="R525" s="334" t="inlineStr"/>
      <c r="S525" s="354" t="inlineStr"/>
      <c r="T525" t="inlineStr"/>
      <c r="U525" t="inlineStr"/>
    </row>
    <row r="526" ht="22.2" customHeight="1" s="375">
      <c r="A526" s="3" t="n"/>
      <c r="E526" s="3" t="n"/>
      <c r="G526" s="321" t="inlineStr"/>
      <c r="H526" s="321" t="inlineStr"/>
      <c r="I526" s="334" t="inlineStr"/>
      <c r="J526" s="334" t="inlineStr"/>
      <c r="K526" s="374" t="n"/>
      <c r="L526" s="334" t="inlineStr"/>
      <c r="M526" s="334" t="inlineStr"/>
      <c r="N526" s="334" t="inlineStr"/>
      <c r="O526" s="354" t="inlineStr"/>
      <c r="P526" s="334" t="inlineStr"/>
      <c r="Q526" s="334" t="inlineStr"/>
      <c r="R526" s="334" t="inlineStr"/>
      <c r="S526" s="354" t="inlineStr"/>
      <c r="T526" t="inlineStr"/>
      <c r="U526" t="inlineStr"/>
    </row>
    <row r="527" ht="22.2" customHeight="1" s="375">
      <c r="A527" s="3" t="n"/>
      <c r="E527" s="3" t="n"/>
      <c r="G527" s="327" t="inlineStr"/>
      <c r="H527" s="327" t="inlineStr"/>
      <c r="I527" s="336" t="inlineStr"/>
      <c r="J527" s="336" t="inlineStr"/>
      <c r="K527" s="527" t="n"/>
      <c r="L527" s="336" t="inlineStr"/>
      <c r="M527" s="336" t="inlineStr"/>
      <c r="N527" s="336" t="inlineStr"/>
      <c r="O527" s="354" t="inlineStr"/>
      <c r="P527" s="336" t="inlineStr"/>
      <c r="Q527" s="336" t="inlineStr"/>
      <c r="R527" s="336" t="inlineStr"/>
      <c r="S527" s="354" t="inlineStr"/>
      <c r="T527" t="inlineStr"/>
      <c r="U527" t="inlineStr"/>
    </row>
    <row r="528" ht="22.2" customHeight="1" s="375">
      <c r="A528" s="3" t="n"/>
      <c r="E528" s="3" t="n"/>
      <c r="G528" s="533" t="inlineStr">
        <is>
          <t>พฤหัส</t>
        </is>
      </c>
      <c r="H528" s="376" t="inlineStr">
        <is>
          <t>20101-2002</t>
        </is>
      </c>
      <c r="I528" s="376" t="inlineStr">
        <is>
          <t>ชย.1/8 (26)</t>
        </is>
      </c>
      <c r="J528" s="381" t="inlineStr">
        <is>
          <t>08:10 - 12:10</t>
        </is>
      </c>
      <c r="K528" s="135" t="n"/>
      <c r="L528" s="362" t="inlineStr"/>
      <c r="M528" s="334" t="n">
        <v>4</v>
      </c>
      <c r="N528" s="334" t="n">
        <v>200</v>
      </c>
      <c r="O528" s="354">
        <f>M528*N528</f>
        <v/>
      </c>
      <c r="P528" s="334" t="inlineStr"/>
      <c r="Q528" s="362" t="inlineStr"/>
      <c r="R528" s="362" t="inlineStr"/>
      <c r="S528" s="354" t="inlineStr"/>
      <c r="T528" t="inlineStr"/>
      <c r="U528" t="inlineStr"/>
    </row>
    <row r="529" ht="22.2" customHeight="1" s="375">
      <c r="A529" s="3" t="n"/>
      <c r="E529" s="3" t="n"/>
      <c r="G529" s="535" t="inlineStr">
        <is>
          <t>24 ก.ย.69</t>
        </is>
      </c>
      <c r="H529" s="376" t="inlineStr">
        <is>
          <t>20000-2005</t>
        </is>
      </c>
      <c r="I529" s="334" t="inlineStr">
        <is>
          <t>ชยฟ.3/1 (26)</t>
        </is>
      </c>
      <c r="J529" s="334" t="inlineStr">
        <is>
          <t>13:10 - 15:10</t>
        </is>
      </c>
      <c r="K529" s="374" t="n"/>
      <c r="L529" s="376" t="n">
        <v>2</v>
      </c>
      <c r="M529" s="334" t="inlineStr"/>
      <c r="N529" s="334" t="inlineStr"/>
      <c r="O529" s="354" t="inlineStr"/>
      <c r="P529" s="334" t="inlineStr"/>
      <c r="Q529" s="334" t="inlineStr"/>
      <c r="R529" s="334" t="inlineStr"/>
      <c r="S529" s="354" t="inlineStr"/>
      <c r="T529" t="inlineStr"/>
      <c r="U529" t="inlineStr"/>
    </row>
    <row r="530" ht="22.2" customHeight="1" s="375">
      <c r="A530" s="3" t="n"/>
      <c r="B530" s="313" t="n"/>
      <c r="E530" s="3" t="n"/>
      <c r="G530" s="334" t="inlineStr"/>
      <c r="H530" s="376" t="inlineStr">
        <is>
          <t>20101-2002</t>
        </is>
      </c>
      <c r="I530" s="376" t="inlineStr">
        <is>
          <t>ชย.1/8 (26)</t>
        </is>
      </c>
      <c r="J530" s="376" t="inlineStr">
        <is>
          <t>15:10 - 18:10</t>
        </is>
      </c>
      <c r="K530" s="374" t="n"/>
      <c r="L530" s="376" t="inlineStr"/>
      <c r="M530" s="376" t="n">
        <v>3</v>
      </c>
      <c r="N530" s="376" t="n">
        <v>200</v>
      </c>
      <c r="O530" s="354">
        <f>M530*N530</f>
        <v/>
      </c>
      <c r="P530" s="376" t="inlineStr"/>
      <c r="Q530" s="376" t="inlineStr"/>
      <c r="R530" s="376" t="inlineStr"/>
      <c r="S530" s="354" t="inlineStr"/>
      <c r="T530" t="inlineStr"/>
      <c r="U530" t="inlineStr"/>
    </row>
    <row r="531" ht="22.2" customHeight="1" s="375">
      <c r="A531" s="3" t="n"/>
      <c r="E531" s="3" t="n"/>
      <c r="G531" s="334" t="inlineStr"/>
      <c r="H531" s="334" t="inlineStr">
        <is>
          <t>20101-2020</t>
        </is>
      </c>
      <c r="I531" s="334" t="inlineStr">
        <is>
          <t>ชย.3/1,ชย.3/2 (26)</t>
        </is>
      </c>
      <c r="J531" s="334" t="inlineStr">
        <is>
          <t>18:10 - 21:10</t>
        </is>
      </c>
      <c r="K531" s="374" t="n"/>
      <c r="L531" s="334" t="inlineStr"/>
      <c r="M531" s="334" t="n">
        <v>3</v>
      </c>
      <c r="N531" s="334" t="n">
        <v>200</v>
      </c>
      <c r="O531" s="354">
        <f>M531*N531</f>
        <v/>
      </c>
      <c r="P531" s="334" t="inlineStr"/>
      <c r="Q531" s="334" t="inlineStr"/>
      <c r="R531" s="334" t="inlineStr"/>
      <c r="S531" s="354" t="inlineStr"/>
      <c r="T531" t="inlineStr"/>
      <c r="U531" t="inlineStr"/>
    </row>
    <row r="532" ht="22.2" customHeight="1" s="375">
      <c r="A532" s="3" t="n"/>
      <c r="E532" s="3" t="n"/>
      <c r="G532" s="336" t="inlineStr"/>
      <c r="H532" s="328" t="inlineStr"/>
      <c r="I532" s="336" t="inlineStr"/>
      <c r="J532" s="336" t="inlineStr"/>
      <c r="K532" s="527" t="n"/>
      <c r="L532" s="336" t="inlineStr"/>
      <c r="M532" s="336" t="inlineStr"/>
      <c r="N532" s="336" t="inlineStr"/>
      <c r="O532" s="354" t="inlineStr"/>
      <c r="P532" s="336" t="inlineStr"/>
      <c r="Q532" s="336" t="inlineStr"/>
      <c r="R532" s="336" t="inlineStr"/>
      <c r="S532" s="354" t="inlineStr"/>
      <c r="T532" t="inlineStr"/>
      <c r="U532" t="inlineStr"/>
    </row>
    <row r="533" ht="22.2" customHeight="1" s="375">
      <c r="A533" s="3" t="n"/>
      <c r="E533" s="3" t="n"/>
      <c r="G533" s="533" t="inlineStr">
        <is>
          <t>ศุกร์</t>
        </is>
      </c>
      <c r="H533" s="376" t="inlineStr">
        <is>
          <t>20101-2020</t>
        </is>
      </c>
      <c r="I533" s="376" t="inlineStr">
        <is>
          <t>ชย.3/1,ชย.3/2 (26)</t>
        </is>
      </c>
      <c r="J533" s="381" t="inlineStr">
        <is>
          <t>17:10 - 18:10</t>
        </is>
      </c>
      <c r="K533" s="135" t="n"/>
      <c r="L533" s="367" t="inlineStr"/>
      <c r="M533" s="381" t="n">
        <v>1</v>
      </c>
      <c r="N533" s="381" t="n">
        <v>200</v>
      </c>
      <c r="O533" s="354">
        <f>M533*N533</f>
        <v/>
      </c>
      <c r="P533" s="381" t="inlineStr"/>
      <c r="Q533" s="367" t="inlineStr"/>
      <c r="R533" s="381" t="inlineStr"/>
      <c r="S533" s="354" t="inlineStr"/>
      <c r="T533" t="inlineStr"/>
      <c r="U533" t="inlineStr"/>
    </row>
    <row r="534" ht="22.2" customHeight="1" s="375">
      <c r="A534" s="3" t="n"/>
      <c r="E534" s="3" t="n"/>
      <c r="G534" s="535" t="inlineStr">
        <is>
          <t>25 ก.ย.69</t>
        </is>
      </c>
      <c r="H534" s="376" t="inlineStr"/>
      <c r="I534" s="376" t="inlineStr"/>
      <c r="J534" s="376" t="inlineStr"/>
      <c r="K534" s="374" t="n"/>
      <c r="L534" s="334" t="inlineStr"/>
      <c r="M534" s="334" t="inlineStr"/>
      <c r="N534" s="334" t="inlineStr"/>
      <c r="O534" s="354" t="inlineStr"/>
      <c r="P534" s="334" t="inlineStr"/>
      <c r="Q534" s="334" t="inlineStr"/>
      <c r="R534" s="334" t="inlineStr"/>
      <c r="S534" s="354" t="inlineStr"/>
      <c r="T534" t="inlineStr"/>
      <c r="U534" t="inlineStr"/>
    </row>
    <row r="535" ht="22.2" customHeight="1" s="375">
      <c r="A535" s="3" t="n"/>
      <c r="E535" s="3" t="n"/>
      <c r="G535" s="334" t="inlineStr"/>
      <c r="H535" s="376" t="inlineStr"/>
      <c r="I535" s="376" t="inlineStr"/>
      <c r="J535" s="376" t="inlineStr"/>
      <c r="K535" s="374" t="n"/>
      <c r="L535" s="334" t="inlineStr"/>
      <c r="M535" s="334" t="inlineStr"/>
      <c r="N535" s="334" t="inlineStr"/>
      <c r="O535" s="354" t="inlineStr"/>
      <c r="P535" s="334" t="inlineStr"/>
      <c r="Q535" s="334" t="inlineStr"/>
      <c r="R535" s="334" t="inlineStr"/>
      <c r="S535" s="354" t="inlineStr"/>
      <c r="T535" t="inlineStr"/>
      <c r="U535" t="inlineStr"/>
    </row>
    <row r="536" ht="22.2" customHeight="1" s="375">
      <c r="A536" s="3" t="n"/>
      <c r="E536" s="3" t="n"/>
      <c r="G536" s="334" t="inlineStr"/>
      <c r="H536" s="322" t="inlineStr"/>
      <c r="I536" s="334" t="inlineStr"/>
      <c r="J536" s="334" t="inlineStr"/>
      <c r="K536" s="374" t="n"/>
      <c r="L536" s="334" t="inlineStr"/>
      <c r="M536" s="334" t="inlineStr"/>
      <c r="N536" s="334" t="inlineStr"/>
      <c r="O536" s="354" t="inlineStr"/>
      <c r="P536" s="334" t="inlineStr"/>
      <c r="Q536" s="334" t="inlineStr"/>
      <c r="R536" s="334" t="inlineStr"/>
      <c r="S536" s="354" t="inlineStr"/>
      <c r="T536" t="inlineStr"/>
      <c r="U536" t="inlineStr"/>
    </row>
    <row r="537" ht="22.2" customHeight="1" s="375">
      <c r="A537" s="3" t="n"/>
      <c r="E537" s="3" t="n"/>
      <c r="F537" s="3" t="n"/>
      <c r="G537" s="329" t="inlineStr"/>
      <c r="H537" s="328" t="inlineStr"/>
      <c r="I537" s="336" t="inlineStr"/>
      <c r="J537" s="336" t="inlineStr"/>
      <c r="K537" s="527" t="n"/>
      <c r="L537" s="336" t="inlineStr"/>
      <c r="M537" s="336" t="inlineStr"/>
      <c r="N537" s="336" t="inlineStr"/>
      <c r="O537" s="354" t="inlineStr"/>
      <c r="P537" s="336" t="inlineStr"/>
      <c r="Q537" s="336" t="inlineStr"/>
      <c r="R537" s="336" t="inlineStr"/>
      <c r="S537" s="354" t="inlineStr"/>
      <c r="T537" t="inlineStr"/>
      <c r="U537" t="inlineStr"/>
    </row>
    <row r="538" ht="22.2" customHeight="1" s="375">
      <c r="A538" s="3" t="n"/>
      <c r="E538" s="3" t="n"/>
      <c r="F538" s="3" t="n"/>
      <c r="G538" s="16" t="inlineStr">
        <is>
          <t>รวมขั่วโมงที่สอนแยก ภาระงาน/ เกินภาระงาน</t>
        </is>
      </c>
      <c r="H538" s="518" t="n"/>
      <c r="I538" s="518" t="n"/>
      <c r="J538" s="518" t="n"/>
      <c r="K538" s="432" t="n"/>
      <c r="L538" s="16">
        <f>SUM(L513:L537)</f>
        <v/>
      </c>
      <c r="M538" s="16">
        <f>SUM(M513:M537)</f>
        <v/>
      </c>
      <c r="N538" s="16" t="n"/>
      <c r="O538" s="16" t="n"/>
      <c r="P538" s="16">
        <f>SUM(P513:P537)</f>
        <v/>
      </c>
      <c r="Q538" s="16">
        <f>SUM(Q513:Q537)</f>
        <v/>
      </c>
      <c r="R538" s="349" t="n"/>
      <c r="S538" s="16" t="n"/>
    </row>
    <row r="539" ht="22.2" customHeight="1" s="375">
      <c r="A539" s="3" t="n"/>
      <c r="E539" s="3" t="n"/>
      <c r="F539" s="3" t="n"/>
      <c r="G539" s="16" t="inlineStr">
        <is>
          <t>รวมจำนวนชั่วโมงสอนคาบต่อสับดาห์</t>
        </is>
      </c>
      <c r="H539" s="518" t="n"/>
      <c r="I539" s="518" t="n"/>
      <c r="J539" s="518" t="n"/>
      <c r="K539" s="432" t="n"/>
      <c r="L539" s="16">
        <f>L538+M538</f>
        <v/>
      </c>
      <c r="M539" s="432" t="n"/>
      <c r="N539" s="16" t="n"/>
      <c r="O539" s="348" t="n"/>
      <c r="P539" s="16">
        <f>P538+Q538</f>
        <v/>
      </c>
      <c r="Q539" s="432" t="n"/>
      <c r="R539" s="329" t="n"/>
      <c r="S539" s="336" t="n"/>
    </row>
    <row r="540" ht="22.2" customHeight="1" s="375">
      <c r="A540" s="3" t="n"/>
      <c r="E540" s="3" t="n"/>
      <c r="F540" s="3" t="n"/>
      <c r="G540" s="16" t="inlineStr">
        <is>
          <t>จำนวนชั่วโมงสอนตามภาระงานสอน</t>
        </is>
      </c>
      <c r="H540" s="518" t="n"/>
      <c r="I540" s="518" t="n"/>
      <c r="J540" s="518" t="n"/>
      <c r="K540" s="432" t="n"/>
      <c r="L540" s="131" t="n">
        <v>18</v>
      </c>
      <c r="M540" s="432" t="n"/>
      <c r="N540" s="130" t="n"/>
      <c r="O540" s="131" t="n"/>
      <c r="P540" s="131" t="n">
        <v>0</v>
      </c>
      <c r="Q540" s="432" t="n"/>
      <c r="R540" s="322" t="n"/>
      <c r="S540" s="334" t="n"/>
    </row>
    <row r="541" ht="22.2" customHeight="1" s="375" thickBot="1">
      <c r="A541" s="3" t="n"/>
      <c r="E541" s="3" t="n"/>
      <c r="F541" s="14" t="n"/>
      <c r="G541" s="16" t="inlineStr">
        <is>
          <t>จำนวนชั่วโมงบิกเกินภาระงานสอน/ค่าสอน</t>
        </is>
      </c>
      <c r="H541" s="518" t="n"/>
      <c r="I541" s="518" t="n"/>
      <c r="J541" s="518" t="n"/>
      <c r="K541" s="432" t="n"/>
      <c r="L541" s="17" t="n">
        <v>0</v>
      </c>
      <c r="M541" s="17">
        <f>SUM(M513:M537)</f>
        <v/>
      </c>
      <c r="N541" s="17" t="n"/>
      <c r="O541" s="17">
        <f>SUM(O513:O537)</f>
        <v/>
      </c>
      <c r="P541" s="17" t="n">
        <v>0</v>
      </c>
      <c r="Q541" s="17">
        <f>SUM(Q513:Q537)</f>
        <v/>
      </c>
      <c r="R541" s="18" t="n"/>
      <c r="S541" s="17">
        <f>SUM(S513:S537)</f>
        <v/>
      </c>
    </row>
    <row r="542" ht="22.2" customHeight="1" s="375" thickTop="1">
      <c r="A542" s="337" t="inlineStr">
        <is>
          <t>รวมจำนวนหน่วยชั่วโมงที่ขอเบิกค่าสอน ….</t>
        </is>
      </c>
      <c r="B542" s="518" t="n"/>
      <c r="C542" s="518" t="n"/>
      <c r="D542" s="518" t="n"/>
      <c r="E542" s="518" t="n"/>
      <c r="F542" s="518" t="n"/>
      <c r="G542" s="518" t="n"/>
      <c r="H542" s="348">
        <f>M541+Q541</f>
        <v/>
      </c>
      <c r="I542" s="348" t="inlineStr">
        <is>
          <t>….ชั่วโมง</t>
        </is>
      </c>
      <c r="J542" s="348" t="n"/>
      <c r="K542" s="328" t="inlineStr">
        <is>
          <t>ยอดเงินรวม</t>
        </is>
      </c>
      <c r="L542" s="522" t="n"/>
      <c r="M542" s="522" t="n"/>
      <c r="N542" s="328" t="n"/>
      <c r="O542" s="328" t="n"/>
      <c r="P542" s="339">
        <f>S541+O541</f>
        <v/>
      </c>
      <c r="Q542" s="538" t="n"/>
      <c r="R542" s="20" t="n"/>
      <c r="S542" s="19" t="inlineStr">
        <is>
          <t>..บาท</t>
        </is>
      </c>
    </row>
    <row r="543" ht="22.2" customHeight="1" s="375">
      <c r="A543" s="154" t="inlineStr">
        <is>
          <t>ผู้ขอเบิก</t>
        </is>
      </c>
      <c r="B543" s="153" t="n"/>
      <c r="C543" s="153" t="n"/>
      <c r="D543" s="153" t="n"/>
      <c r="E543" s="153" t="n"/>
      <c r="F543" s="153" t="n"/>
      <c r="G543" s="135" t="n"/>
      <c r="H543" s="154" t="inlineStr">
        <is>
          <t>ผู้รับรอง</t>
        </is>
      </c>
      <c r="I543" s="153" t="n"/>
      <c r="J543" s="153" t="n"/>
      <c r="K543" s="153" t="n"/>
      <c r="L543" s="135" t="n"/>
      <c r="M543" s="154" t="inlineStr">
        <is>
          <t>ผู้ตรวจ</t>
        </is>
      </c>
      <c r="N543" s="153" t="n"/>
      <c r="O543" s="153" t="n"/>
      <c r="P543" s="153" t="n"/>
      <c r="Q543" s="153" t="n"/>
      <c r="R543" s="153" t="n"/>
      <c r="S543" s="135" t="n"/>
    </row>
    <row r="544" ht="22.2" customHeight="1" s="375">
      <c r="A544" s="334" t="inlineStr">
        <is>
          <t>ลงชื่อ……………………………………………</t>
        </is>
      </c>
      <c r="G544" s="374" t="n"/>
      <c r="H544" s="334" t="inlineStr">
        <is>
          <t>ลงชื่อ……………………………………………</t>
        </is>
      </c>
      <c r="L544" s="374" t="n"/>
      <c r="M544" s="334" t="inlineStr">
        <is>
          <t>ลงชื่อ……………………………………………</t>
        </is>
      </c>
      <c r="S544" s="374" t="n"/>
    </row>
    <row r="545" ht="22.2" customHeight="1" s="375">
      <c r="A545" s="11" t="inlineStr">
        <is>
          <t>(</t>
        </is>
      </c>
      <c r="B545" s="324">
        <f>B513</f>
        <v/>
      </c>
      <c r="G545" s="326" t="inlineStr">
        <is>
          <t>)</t>
        </is>
      </c>
      <c r="H545" s="324" t="inlineStr">
        <is>
          <t>(</t>
        </is>
      </c>
      <c r="I545" s="340">
        <f>I499</f>
        <v/>
      </c>
      <c r="L545" s="12" t="inlineStr">
        <is>
          <t>)</t>
        </is>
      </c>
      <c r="M545" s="53" t="inlineStr">
        <is>
          <t>(</t>
        </is>
      </c>
      <c r="N545" s="53" t="n"/>
      <c r="O545" s="324">
        <f>O39</f>
        <v/>
      </c>
      <c r="R545" s="25" t="n"/>
      <c r="S545" s="326" t="inlineStr">
        <is>
          <t>)</t>
        </is>
      </c>
    </row>
    <row r="546" ht="22.2" customHeight="1" s="375">
      <c r="A546" s="540" t="inlineStr">
        <is>
          <t xml:space="preserve">                         ตำแหน่ง  ครู</t>
        </is>
      </c>
      <c r="G546" s="374" t="n"/>
      <c r="H546" s="54" t="inlineStr">
        <is>
          <t>ตำแหน่ง หัวหน้าแผนก</t>
        </is>
      </c>
      <c r="L546" s="374" t="n"/>
      <c r="M546" s="54" t="inlineStr">
        <is>
          <t>ตำแหน่ง   ผู้ตรวจสอบ</t>
        </is>
      </c>
      <c r="S546" s="374" t="n"/>
    </row>
    <row r="547" ht="22.2" customHeight="1" s="375">
      <c r="A547" s="55" t="inlineStr">
        <is>
          <t>วันที่ 28 เดือน กันยายน  พ.ศ.2569</t>
        </is>
      </c>
      <c r="B547" s="522" t="n"/>
      <c r="C547" s="522" t="n"/>
      <c r="D547" s="522" t="n"/>
      <c r="E547" s="522" t="n"/>
      <c r="F547" s="522" t="n"/>
      <c r="G547" s="527" t="n"/>
      <c r="H547" s="54">
        <f>A87</f>
        <v/>
      </c>
      <c r="L547" s="374" t="n"/>
      <c r="M547" s="55">
        <f>A87</f>
        <v/>
      </c>
      <c r="N547" s="522" t="n"/>
      <c r="O547" s="522" t="n"/>
      <c r="P547" s="522" t="n"/>
      <c r="Q547" s="522" t="n"/>
      <c r="R547" s="522" t="n"/>
      <c r="S547" s="527" t="n"/>
    </row>
    <row r="548" ht="22.2" customHeight="1" s="375">
      <c r="A548" s="154" t="inlineStr">
        <is>
          <t>ผู้ตรวจ</t>
        </is>
      </c>
      <c r="B548" s="153" t="n"/>
      <c r="C548" s="153" t="n"/>
      <c r="D548" s="153" t="n"/>
      <c r="E548" s="153" t="n"/>
      <c r="F548" s="153" t="n"/>
      <c r="G548" s="153" t="n"/>
      <c r="H548" s="153" t="n"/>
      <c r="I548" s="135" t="n"/>
      <c r="J548" s="154" t="inlineStr">
        <is>
          <t>ผู้เห็นชอบ</t>
        </is>
      </c>
      <c r="K548" s="153" t="n"/>
      <c r="L548" s="153" t="n"/>
      <c r="M548" s="153" t="n"/>
      <c r="N548" s="153" t="n"/>
      <c r="O548" s="153" t="n"/>
      <c r="P548" s="153" t="n"/>
      <c r="Q548" s="153" t="n"/>
      <c r="R548" s="153" t="n"/>
      <c r="S548" s="135" t="n"/>
    </row>
    <row r="549" ht="22.2" customHeight="1" s="375">
      <c r="A549" s="334" t="inlineStr">
        <is>
          <t>ลงชื่อ……………………………………………</t>
        </is>
      </c>
      <c r="I549" s="374" t="n"/>
      <c r="J549" s="334" t="inlineStr">
        <is>
          <t>ลงชื่อ……………………………………………</t>
        </is>
      </c>
      <c r="S549" s="374" t="n"/>
    </row>
    <row r="550" ht="22.2" customHeight="1" s="375">
      <c r="A550" s="11" t="n"/>
      <c r="B550" s="324">
        <f>B44</f>
        <v/>
      </c>
      <c r="I550" s="326" t="n"/>
      <c r="J550" s="25" t="n"/>
      <c r="K550" s="25" t="n"/>
      <c r="L550" s="324">
        <f>L44</f>
        <v/>
      </c>
      <c r="R550" s="25" t="n"/>
      <c r="S550" s="12" t="n"/>
    </row>
    <row r="551" ht="22.2" customHeight="1" s="375">
      <c r="A551" s="54" t="inlineStr">
        <is>
          <t>ตำแหน่งครู  หัวหน้างานพัฒนาหลักสูตร ฯ</t>
        </is>
      </c>
      <c r="I551" s="374" t="n"/>
      <c r="J551" s="54" t="inlineStr">
        <is>
          <t>ตำแหน่ง  รองผู้อำนวยการฝ่ายวิชาการ</t>
        </is>
      </c>
      <c r="S551" s="374" t="n"/>
    </row>
    <row r="552" ht="22.2" customHeight="1" s="375">
      <c r="A552" s="336" t="inlineStr">
        <is>
          <t>วันที่.......เดือน..........................พ.ศ..............</t>
        </is>
      </c>
      <c r="B552" s="522" t="n"/>
      <c r="C552" s="522" t="n"/>
      <c r="D552" s="522" t="n"/>
      <c r="E552" s="522" t="n"/>
      <c r="F552" s="522" t="n"/>
      <c r="G552" s="522" t="n"/>
      <c r="H552" s="522" t="n"/>
      <c r="I552" s="527" t="n"/>
      <c r="J552" s="336" t="inlineStr">
        <is>
          <t>วันที่.......เดือน..........................พ.ศ..............</t>
        </is>
      </c>
      <c r="K552" s="522" t="n"/>
      <c r="L552" s="522" t="n"/>
      <c r="M552" s="522" t="n"/>
      <c r="N552" s="522" t="n"/>
      <c r="O552" s="522" t="n"/>
      <c r="P552" s="522" t="n"/>
      <c r="Q552" s="522" t="n"/>
      <c r="R552" s="522" t="n"/>
      <c r="S552" s="527" t="n"/>
    </row>
    <row r="553" ht="22.2" customHeight="1" s="375">
      <c r="A553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75">
      <c r="A554" s="365" t="inlineStr">
        <is>
          <t>แผนกวิชาช่างยนต์</t>
        </is>
      </c>
    </row>
    <row r="555" ht="22.2" customHeight="1" s="375">
      <c r="A555" s="366" t="inlineStr">
        <is>
          <t xml:space="preserve">    ระหว่างวันที่</t>
        </is>
      </c>
      <c r="D555" s="365">
        <f>D3</f>
        <v/>
      </c>
      <c r="E555" s="365" t="inlineStr">
        <is>
          <t xml:space="preserve">   เดือน  </t>
        </is>
      </c>
      <c r="F555" s="365">
        <f>F3</f>
        <v/>
      </c>
      <c r="H555" s="365">
        <f>H3</f>
        <v/>
      </c>
      <c r="I555" s="365" t="inlineStr">
        <is>
          <t xml:space="preserve">     ถึง วันที่</t>
        </is>
      </c>
      <c r="J555" s="365">
        <f>J3</f>
        <v/>
      </c>
      <c r="K555" s="365" t="inlineStr">
        <is>
          <t xml:space="preserve">   เดือน </t>
        </is>
      </c>
      <c r="L555" s="365">
        <f>L3</f>
        <v/>
      </c>
      <c r="N555" s="365">
        <f>N3</f>
        <v/>
      </c>
      <c r="P555" s="365" t="n"/>
      <c r="R555" s="365" t="n"/>
    </row>
    <row r="556" ht="22.2" customHeight="1" s="375">
      <c r="G556" s="51" t="inlineStr">
        <is>
          <t>ü</t>
        </is>
      </c>
      <c r="H556" s="328" t="inlineStr">
        <is>
          <t>พนักงานราชการ</t>
        </is>
      </c>
      <c r="I556" s="328" t="inlineStr">
        <is>
          <t>หน้าที่พิเศษ</t>
        </is>
      </c>
      <c r="J556" s="351" t="inlineStr">
        <is>
          <t>ผู้ช่วยงานบริหารและพัฒนาทรัพยากรบุคคล, พัสดุ, ปกครองและความปลอดภัยนักเรียน</t>
        </is>
      </c>
      <c r="K556" s="351" t="n"/>
      <c r="L556" s="351" t="n"/>
      <c r="M556" s="351" t="n"/>
      <c r="N556" s="351" t="n"/>
      <c r="O556" s="351" t="n"/>
      <c r="P556" s="351" t="n"/>
      <c r="Q556" s="351" t="n"/>
      <c r="R556" s="351" t="n"/>
      <c r="S556" s="351" t="n"/>
    </row>
    <row r="557" ht="22.2" customHeight="1" s="375">
      <c r="A557" s="24" t="inlineStr">
        <is>
          <t>ที่</t>
        </is>
      </c>
      <c r="B557" s="24" t="inlineStr">
        <is>
          <t>ชื่อ-สกุล</t>
        </is>
      </c>
      <c r="C557" s="153" t="n"/>
      <c r="D557" s="135" t="n"/>
      <c r="E557" s="15" t="inlineStr">
        <is>
          <t>ตำแหน่ง</t>
        </is>
      </c>
      <c r="F557" s="16" t="inlineStr">
        <is>
          <t>ระยะเวลาที่สอน</t>
        </is>
      </c>
      <c r="G557" s="432" t="n"/>
      <c r="H557" s="16" t="inlineStr">
        <is>
          <t>รหัสวิชา</t>
        </is>
      </c>
      <c r="I557" s="362" t="inlineStr">
        <is>
          <t>ชั้น,แผนก,ห้อง</t>
        </is>
      </c>
      <c r="J557" s="16" t="inlineStr">
        <is>
          <t>เวลาสอน</t>
        </is>
      </c>
      <c r="K557" s="135" t="n"/>
      <c r="L557" s="16" t="inlineStr">
        <is>
          <t>ปวช.(คาบ)</t>
        </is>
      </c>
      <c r="M557" s="432" t="n"/>
      <c r="N557" s="354" t="inlineStr">
        <is>
          <t>เงิน</t>
        </is>
      </c>
      <c r="O557" s="362" t="inlineStr">
        <is>
          <t>ยอดเงิน</t>
        </is>
      </c>
      <c r="P557" s="524" t="inlineStr">
        <is>
          <t>ปวส.(คาบ)</t>
        </is>
      </c>
      <c r="Q557" s="432" t="n"/>
      <c r="R557" s="354" t="inlineStr">
        <is>
          <t>เงิน</t>
        </is>
      </c>
      <c r="S557" s="362" t="inlineStr">
        <is>
          <t>ยอดเงิน</t>
        </is>
      </c>
    </row>
    <row r="558" ht="22.2" customHeight="1" s="375">
      <c r="A558" s="52" t="n"/>
      <c r="B558" s="8" t="n"/>
      <c r="C558" s="9" t="n"/>
      <c r="D558" s="13" t="n"/>
      <c r="E558" s="10" t="n"/>
      <c r="F558" s="336" t="inlineStr">
        <is>
          <t>ส.</t>
        </is>
      </c>
      <c r="G558" s="336" t="inlineStr">
        <is>
          <t>วดป.</t>
        </is>
      </c>
      <c r="H558" s="525" t="n"/>
      <c r="I558" s="336" t="n"/>
      <c r="J558" s="526" t="n"/>
      <c r="K558" s="527" t="n"/>
      <c r="L558" s="336" t="inlineStr">
        <is>
          <t>ใน</t>
        </is>
      </c>
      <c r="M558" s="336" t="inlineStr">
        <is>
          <t>นอก</t>
        </is>
      </c>
      <c r="N558" s="336" t="inlineStr">
        <is>
          <t>ต่อ ชม.</t>
        </is>
      </c>
      <c r="O558" s="336" t="inlineStr">
        <is>
          <t>(บาท)</t>
        </is>
      </c>
      <c r="P558" s="52" t="inlineStr">
        <is>
          <t>ใน</t>
        </is>
      </c>
      <c r="Q558" s="52" t="inlineStr">
        <is>
          <t>นอก</t>
        </is>
      </c>
      <c r="R558" s="336" t="inlineStr">
        <is>
          <t>ต่อ ชม.</t>
        </is>
      </c>
      <c r="S558" s="336" t="inlineStr">
        <is>
          <t>(บาท)</t>
        </is>
      </c>
    </row>
    <row r="559" ht="22.2" customHeight="1" s="375">
      <c r="A559" s="362" t="n">
        <v>13</v>
      </c>
      <c r="B559" s="528">
        <f>AB15</f>
        <v/>
      </c>
      <c r="C559" s="153" t="n"/>
      <c r="D559" s="135" t="n"/>
      <c r="E559" s="362" t="inlineStr">
        <is>
          <t>พนักงานราชการ</t>
        </is>
      </c>
      <c r="F559" s="5" t="n">
        <v>2</v>
      </c>
      <c r="G559" s="529" t="inlineStr">
        <is>
          <t>จันทร์</t>
        </is>
      </c>
      <c r="H559" s="542" t="inlineStr">
        <is>
          <t>หยุด</t>
        </is>
      </c>
      <c r="I559" s="543" t="inlineStr"/>
      <c r="J559" s="544" t="inlineStr"/>
      <c r="K559" s="374" t="n"/>
      <c r="L559" s="367" t="inlineStr"/>
      <c r="M559" s="381" t="inlineStr"/>
      <c r="N559" s="381" t="inlineStr"/>
      <c r="O559" s="354">
        <f>M559*N559</f>
        <v/>
      </c>
      <c r="P559" s="381" t="inlineStr"/>
      <c r="Q559" s="367" t="inlineStr"/>
      <c r="R559" s="381" t="inlineStr"/>
      <c r="S559" s="354">
        <f>Q559*R559</f>
        <v/>
      </c>
      <c r="T559" t="inlineStr"/>
      <c r="U559" t="inlineStr"/>
    </row>
    <row r="560" ht="22.2" customHeight="1" s="375">
      <c r="A560" s="3" t="n"/>
      <c r="B560" s="530" t="n"/>
      <c r="D560" s="374" t="n"/>
      <c r="E560" s="334" t="n"/>
      <c r="F560" s="322" t="n"/>
      <c r="G560" s="535" t="inlineStr">
        <is>
          <t>21 ก.ย.69</t>
        </is>
      </c>
      <c r="H560" s="543" t="inlineStr"/>
      <c r="I560" s="543" t="inlineStr"/>
      <c r="J560" s="544" t="inlineStr"/>
      <c r="K560" s="374" t="n"/>
      <c r="L560" s="334" t="inlineStr"/>
      <c r="M560" s="334" t="inlineStr"/>
      <c r="N560" s="334" t="inlineStr"/>
      <c r="O560" s="354">
        <f>M560*N560</f>
        <v/>
      </c>
      <c r="P560" s="334" t="inlineStr"/>
      <c r="Q560" s="334" t="inlineStr"/>
      <c r="R560" s="334" t="inlineStr"/>
      <c r="S560" s="354">
        <f>Q560*R560</f>
        <v/>
      </c>
      <c r="T560" s="351" t="inlineStr"/>
      <c r="U560" t="inlineStr"/>
    </row>
    <row r="561" ht="22.2" customHeight="1" s="375">
      <c r="A561" s="3" t="n"/>
      <c r="B561" s="313" t="n"/>
      <c r="D561" s="314" t="n"/>
      <c r="E561" s="314" t="n"/>
      <c r="F561" s="322" t="n"/>
      <c r="G561" s="321" t="inlineStr"/>
      <c r="H561" s="544" t="inlineStr"/>
      <c r="I561" s="543" t="inlineStr"/>
      <c r="J561" s="544" t="inlineStr"/>
      <c r="K561" s="374" t="n"/>
      <c r="L561" s="334" t="inlineStr"/>
      <c r="M561" s="334" t="inlineStr"/>
      <c r="N561" s="334" t="inlineStr"/>
      <c r="O561" s="354">
        <f>M561*N561</f>
        <v/>
      </c>
      <c r="P561" s="334" t="inlineStr"/>
      <c r="Q561" s="334" t="inlineStr"/>
      <c r="R561" s="334" t="inlineStr"/>
      <c r="S561" s="354">
        <f>Q561*R561</f>
        <v/>
      </c>
      <c r="T561" t="inlineStr"/>
      <c r="U561" t="inlineStr"/>
    </row>
    <row r="562" ht="22.2" customHeight="1" s="375">
      <c r="A562" s="3" t="n"/>
      <c r="B562" s="313" t="n"/>
      <c r="E562" s="3" t="n"/>
      <c r="F562" s="322" t="n"/>
      <c r="G562" s="321" t="inlineStr"/>
      <c r="H562" s="544" t="inlineStr"/>
      <c r="I562" s="544" t="inlineStr"/>
      <c r="J562" s="544" t="inlineStr"/>
      <c r="K562" s="374" t="n"/>
      <c r="L562" s="334" t="inlineStr"/>
      <c r="M562" s="334" t="inlineStr"/>
      <c r="N562" s="334" t="inlineStr"/>
      <c r="O562" s="354">
        <f>M562*N562</f>
        <v/>
      </c>
      <c r="P562" s="334" t="inlineStr"/>
      <c r="Q562" s="334" t="inlineStr"/>
      <c r="R562" s="334" t="inlineStr"/>
      <c r="S562" s="354">
        <f>Q562*R562</f>
        <v/>
      </c>
      <c r="T562" t="inlineStr"/>
      <c r="U562" t="inlineStr"/>
    </row>
    <row r="563" ht="22.2" customHeight="1" s="375">
      <c r="A563" s="3" t="n"/>
      <c r="E563" s="3" t="n"/>
      <c r="G563" s="344" t="inlineStr"/>
      <c r="H563" s="545" t="inlineStr"/>
      <c r="I563" s="545" t="inlineStr"/>
      <c r="J563" s="545" t="inlineStr"/>
      <c r="K563" s="527" t="n"/>
      <c r="L563" s="334" t="inlineStr"/>
      <c r="M563" s="334" t="inlineStr"/>
      <c r="N563" s="334" t="inlineStr"/>
      <c r="O563" s="354">
        <f>M563*N563</f>
        <v/>
      </c>
      <c r="P563" s="334" t="inlineStr"/>
      <c r="Q563" s="334" t="inlineStr"/>
      <c r="R563" s="334" t="inlineStr"/>
      <c r="S563" s="354">
        <f>Q563*R563</f>
        <v/>
      </c>
      <c r="T563" t="inlineStr"/>
      <c r="U563" t="inlineStr"/>
    </row>
    <row r="564" ht="22.2" customHeight="1" s="375">
      <c r="A564" s="3" t="n"/>
      <c r="E564" s="3" t="n"/>
      <c r="G564" s="533" t="inlineStr">
        <is>
          <t>อังคาร</t>
        </is>
      </c>
      <c r="H564" s="376" t="inlineStr">
        <is>
          <t>20101-2005</t>
        </is>
      </c>
      <c r="I564" s="376" t="inlineStr">
        <is>
          <t>ชย.2/8 (26)</t>
        </is>
      </c>
      <c r="J564" s="334" t="inlineStr">
        <is>
          <t>08:10 - 12:10</t>
        </is>
      </c>
      <c r="K564" s="374" t="n"/>
      <c r="L564" s="367" t="n">
        <v>4</v>
      </c>
      <c r="M564" s="381" t="inlineStr"/>
      <c r="N564" s="381" t="inlineStr"/>
      <c r="O564" s="354" t="inlineStr"/>
      <c r="P564" s="381" t="inlineStr"/>
      <c r="Q564" s="367" t="inlineStr"/>
      <c r="R564" s="381" t="inlineStr"/>
      <c r="S564" s="354" t="inlineStr"/>
      <c r="T564" s="23" t="inlineStr"/>
      <c r="U564" s="23" t="inlineStr"/>
      <c r="V564" s="56" t="n"/>
      <c r="W564" s="23" t="n"/>
      <c r="X564" s="23" t="n"/>
    </row>
    <row r="565" ht="22.2" customHeight="1" s="375">
      <c r="A565" s="3" t="n"/>
      <c r="E565" s="3" t="n"/>
      <c r="G565" s="535" t="inlineStr">
        <is>
          <t>22 ก.ย.69</t>
        </is>
      </c>
      <c r="H565" s="376" t="inlineStr">
        <is>
          <t>20101-2005</t>
        </is>
      </c>
      <c r="I565" s="376" t="inlineStr">
        <is>
          <t>ชย.2/8 (26)</t>
        </is>
      </c>
      <c r="J565" s="334" t="inlineStr">
        <is>
          <t>13:10 - 16:10</t>
        </is>
      </c>
      <c r="K565" s="374" t="n"/>
      <c r="L565" s="334" t="n">
        <v>3</v>
      </c>
      <c r="M565" s="334" t="inlineStr"/>
      <c r="N565" s="334" t="inlineStr"/>
      <c r="O565" s="354" t="inlineStr"/>
      <c r="P565" s="334" t="inlineStr"/>
      <c r="Q565" s="334" t="inlineStr"/>
      <c r="R565" s="334" t="inlineStr"/>
      <c r="S565" s="354" t="inlineStr"/>
      <c r="T565" s="23" t="inlineStr"/>
      <c r="U565" s="23" t="inlineStr"/>
      <c r="V565" s="56" t="n"/>
      <c r="W565" s="23" t="n"/>
      <c r="X565" s="23" t="n"/>
    </row>
    <row r="566" ht="22.2" customHeight="1" s="375">
      <c r="A566" s="3" t="n"/>
      <c r="B566" s="313" t="n"/>
      <c r="D566" s="314" t="n"/>
      <c r="E566" s="314" t="n"/>
      <c r="G566" s="334" t="inlineStr"/>
      <c r="H566" s="376" t="inlineStr"/>
      <c r="I566" s="376" t="inlineStr"/>
      <c r="J566" s="334" t="inlineStr"/>
      <c r="K566" s="374" t="n"/>
      <c r="L566" s="334" t="inlineStr"/>
      <c r="M566" s="334" t="inlineStr"/>
      <c r="N566" s="334" t="inlineStr"/>
      <c r="O566" s="354" t="inlineStr"/>
      <c r="P566" s="334" t="inlineStr"/>
      <c r="Q566" s="334" t="inlineStr"/>
      <c r="R566" s="334" t="inlineStr"/>
      <c r="S566" s="354" t="inlineStr"/>
      <c r="T566" t="inlineStr"/>
      <c r="U566" t="inlineStr"/>
    </row>
    <row r="567" ht="22.2" customHeight="1" s="375">
      <c r="A567" s="3" t="n"/>
      <c r="E567" s="3" t="n"/>
      <c r="G567" s="54" t="inlineStr"/>
      <c r="H567" s="334" t="inlineStr"/>
      <c r="I567" s="376" t="inlineStr"/>
      <c r="J567" s="334" t="inlineStr"/>
      <c r="K567" s="374" t="n"/>
      <c r="L567" s="334" t="inlineStr"/>
      <c r="M567" s="334" t="inlineStr"/>
      <c r="N567" s="334" t="inlineStr"/>
      <c r="O567" s="354" t="inlineStr"/>
      <c r="P567" s="334" t="inlineStr"/>
      <c r="Q567" s="334" t="inlineStr"/>
      <c r="R567" s="334" t="inlineStr"/>
      <c r="S567" s="354" t="inlineStr"/>
      <c r="T567" t="inlineStr"/>
      <c r="U567" t="inlineStr"/>
    </row>
    <row r="568" ht="22.2" customHeight="1" s="375">
      <c r="A568" s="3" t="n"/>
      <c r="D568" s="7" t="inlineStr">
        <is>
          <t> </t>
        </is>
      </c>
      <c r="E568" s="3" t="n"/>
      <c r="G568" s="55" t="inlineStr"/>
      <c r="H568" s="336" t="inlineStr"/>
      <c r="I568" s="336" t="inlineStr"/>
      <c r="J568" s="336" t="inlineStr"/>
      <c r="K568" s="527" t="n"/>
      <c r="L568" s="334" t="inlineStr"/>
      <c r="M568" s="334" t="inlineStr"/>
      <c r="N568" s="334" t="inlineStr"/>
      <c r="O568" s="354" t="inlineStr"/>
      <c r="P568" s="336" t="inlineStr"/>
      <c r="Q568" s="336" t="inlineStr"/>
      <c r="R568" s="336" t="inlineStr"/>
      <c r="S568" s="354" t="inlineStr"/>
      <c r="T568" t="inlineStr"/>
      <c r="U568" t="inlineStr"/>
    </row>
    <row r="569" ht="22.2" customHeight="1" s="375">
      <c r="A569" s="3" t="n"/>
      <c r="E569" s="3" t="n"/>
      <c r="G569" s="535" t="inlineStr">
        <is>
          <t>พุธ</t>
        </is>
      </c>
      <c r="H569" s="376" t="inlineStr">
        <is>
          <t>20101-2005</t>
        </is>
      </c>
      <c r="I569" s="376" t="inlineStr">
        <is>
          <t>ชย.2/5 (26)</t>
        </is>
      </c>
      <c r="J569" s="381" t="inlineStr">
        <is>
          <t>08:10 - 12:10</t>
        </is>
      </c>
      <c r="K569" s="135" t="n"/>
      <c r="L569" s="367" t="n">
        <v>2</v>
      </c>
      <c r="M569" s="381" t="n">
        <v>2</v>
      </c>
      <c r="N569" s="381" t="n">
        <v>200</v>
      </c>
      <c r="O569" s="354">
        <f>M569*N569</f>
        <v/>
      </c>
      <c r="P569" s="148" t="inlineStr"/>
      <c r="Q569" s="148" t="inlineStr"/>
      <c r="R569" s="149" t="inlineStr"/>
      <c r="S569" s="354" t="inlineStr"/>
      <c r="T569" s="6" t="inlineStr"/>
      <c r="U569" s="22" t="inlineStr"/>
      <c r="V569" s="57" t="n"/>
      <c r="W569" s="21" t="n"/>
      <c r="X569" s="21" t="n"/>
    </row>
    <row r="570" ht="22.2" customHeight="1" s="375">
      <c r="A570" s="3" t="n"/>
      <c r="B570" s="321" t="n"/>
      <c r="C570" s="322" t="n"/>
      <c r="D570" s="322" t="n"/>
      <c r="E570" s="334" t="n"/>
      <c r="G570" s="535" t="inlineStr">
        <is>
          <t>23 ก.ย.69</t>
        </is>
      </c>
      <c r="H570" s="376" t="inlineStr">
        <is>
          <t>20101-2005</t>
        </is>
      </c>
      <c r="I570" s="376" t="inlineStr">
        <is>
          <t>ชย.2/5 (26)</t>
        </is>
      </c>
      <c r="J570" s="334" t="inlineStr">
        <is>
          <t>13:10 - 16:10</t>
        </is>
      </c>
      <c r="K570" s="374" t="n"/>
      <c r="L570" s="334" t="inlineStr"/>
      <c r="M570" s="334" t="n">
        <v>3</v>
      </c>
      <c r="N570" s="334" t="n">
        <v>200</v>
      </c>
      <c r="O570" s="354">
        <f>M570*N570</f>
        <v/>
      </c>
      <c r="P570" s="334" t="inlineStr"/>
      <c r="Q570" s="334" t="inlineStr"/>
      <c r="R570" s="334" t="inlineStr"/>
      <c r="S570" s="354" t="inlineStr"/>
      <c r="T570" s="21" t="inlineStr"/>
      <c r="U570" s="22" t="inlineStr"/>
      <c r="V570" s="57" t="n"/>
      <c r="W570" s="21" t="n"/>
      <c r="X570" s="21" t="n"/>
    </row>
    <row r="571" ht="22.2" customHeight="1" s="375">
      <c r="A571" s="3" t="n"/>
      <c r="B571" s="313" t="n"/>
      <c r="D571" s="314" t="n"/>
      <c r="E571" s="314" t="n"/>
      <c r="G571" s="334" t="inlineStr"/>
      <c r="H571" s="376" t="inlineStr"/>
      <c r="I571" s="376" t="inlineStr"/>
      <c r="J571" s="334" t="inlineStr"/>
      <c r="K571" s="374" t="n"/>
      <c r="L571" s="334" t="inlineStr"/>
      <c r="M571" s="334" t="inlineStr"/>
      <c r="N571" s="334" t="inlineStr"/>
      <c r="O571" s="354" t="inlineStr"/>
      <c r="P571" s="334" t="inlineStr"/>
      <c r="Q571" s="334" t="inlineStr"/>
      <c r="R571" s="334" t="inlineStr"/>
      <c r="S571" s="354" t="inlineStr"/>
      <c r="T571" t="inlineStr"/>
      <c r="U571" t="inlineStr"/>
    </row>
    <row r="572" ht="22.2" customHeight="1" s="375">
      <c r="A572" s="3" t="n"/>
      <c r="E572" s="3" t="n"/>
      <c r="G572" s="321" t="inlineStr"/>
      <c r="H572" s="321" t="inlineStr"/>
      <c r="I572" s="334" t="inlineStr"/>
      <c r="J572" s="334" t="inlineStr"/>
      <c r="K572" s="374" t="n"/>
      <c r="L572" t="inlineStr"/>
      <c r="M572" s="334" t="inlineStr"/>
      <c r="N572" s="334" t="inlineStr"/>
      <c r="O572" s="354" t="inlineStr"/>
      <c r="P572" s="334" t="inlineStr"/>
      <c r="Q572" s="334" t="inlineStr"/>
      <c r="R572" s="334" t="inlineStr"/>
      <c r="S572" s="354" t="inlineStr"/>
      <c r="T572" t="inlineStr"/>
      <c r="U572" t="inlineStr"/>
    </row>
    <row r="573" ht="22.2" customHeight="1" s="375">
      <c r="A573" s="3" t="n"/>
      <c r="E573" s="3" t="n"/>
      <c r="G573" s="327" t="inlineStr"/>
      <c r="H573" s="327" t="inlineStr"/>
      <c r="I573" s="336" t="inlineStr"/>
      <c r="J573" s="336" t="inlineStr"/>
      <c r="K573" s="527" t="n"/>
      <c r="L573" s="336" t="inlineStr"/>
      <c r="M573" s="336" t="inlineStr"/>
      <c r="N573" s="336" t="inlineStr"/>
      <c r="O573" s="354" t="inlineStr"/>
      <c r="P573" s="336" t="inlineStr"/>
      <c r="Q573" s="336" t="inlineStr"/>
      <c r="R573" s="336" t="inlineStr"/>
      <c r="S573" s="354" t="inlineStr"/>
      <c r="T573" t="inlineStr"/>
      <c r="U573" t="inlineStr"/>
    </row>
    <row r="574" ht="22.2" customHeight="1" s="375">
      <c r="A574" s="3" t="n"/>
      <c r="E574" s="3" t="n"/>
      <c r="G574" s="533" t="inlineStr">
        <is>
          <t>พฤหัส</t>
        </is>
      </c>
      <c r="H574" s="376" t="inlineStr">
        <is>
          <t>20101-2005</t>
        </is>
      </c>
      <c r="I574" s="376" t="inlineStr">
        <is>
          <t>ชย.2/6 (26)</t>
        </is>
      </c>
      <c r="J574" s="381" t="inlineStr">
        <is>
          <t>08:10 - 12:10</t>
        </is>
      </c>
      <c r="K574" s="135" t="n"/>
      <c r="L574" s="367" t="inlineStr"/>
      <c r="M574" s="334" t="n">
        <v>4</v>
      </c>
      <c r="N574" s="334" t="n">
        <v>200</v>
      </c>
      <c r="O574" s="354">
        <f>M574*N574</f>
        <v/>
      </c>
      <c r="P574" s="24" t="inlineStr"/>
      <c r="Q574" s="24" t="inlineStr"/>
      <c r="R574" s="24" t="inlineStr"/>
      <c r="S574" s="354" t="inlineStr"/>
      <c r="T574" t="inlineStr"/>
      <c r="U574" t="inlineStr"/>
    </row>
    <row r="575" ht="22.2" customHeight="1" s="375">
      <c r="A575" s="3" t="n"/>
      <c r="E575" s="3" t="n"/>
      <c r="G575" s="535" t="inlineStr">
        <is>
          <t>24 ก.ย.69</t>
        </is>
      </c>
      <c r="H575" s="250" t="inlineStr">
        <is>
          <t>20101-2005</t>
        </is>
      </c>
      <c r="I575" s="376" t="inlineStr">
        <is>
          <t>ชย.2/6 (26)</t>
        </is>
      </c>
      <c r="J575" s="313" t="inlineStr">
        <is>
          <t>15:10 - 18:10</t>
        </is>
      </c>
      <c r="K575" s="314" t="n"/>
      <c r="L575" s="334" t="inlineStr"/>
      <c r="M575" s="334" t="n">
        <v>3</v>
      </c>
      <c r="N575" s="334" t="n">
        <v>200</v>
      </c>
      <c r="O575" s="354">
        <f>M575*N575</f>
        <v/>
      </c>
      <c r="P575" s="334" t="inlineStr"/>
      <c r="Q575" s="251" t="inlineStr"/>
      <c r="R575" s="251" t="inlineStr"/>
      <c r="S575" s="16" t="inlineStr"/>
      <c r="T575" t="inlineStr"/>
      <c r="U575" t="inlineStr"/>
    </row>
    <row r="576" ht="22.2" customHeight="1" s="375">
      <c r="A576" s="3" t="n"/>
      <c r="B576" s="313" t="n"/>
      <c r="E576" s="3" t="n"/>
      <c r="G576" s="334" t="inlineStr"/>
      <c r="H576" s="376" t="inlineStr"/>
      <c r="I576" s="376" t="inlineStr"/>
      <c r="J576" s="334" t="inlineStr"/>
      <c r="K576" s="374" t="n"/>
      <c r="L576" s="376" t="inlineStr"/>
      <c r="M576" s="376" t="inlineStr"/>
      <c r="N576" s="376" t="inlineStr"/>
      <c r="O576" s="354" t="inlineStr"/>
      <c r="P576" s="334" t="inlineStr"/>
      <c r="Q576" s="251" t="inlineStr"/>
      <c r="R576" s="251" t="inlineStr"/>
      <c r="S576" s="525" t="n"/>
      <c r="T576" t="inlineStr"/>
      <c r="U576" t="inlineStr"/>
    </row>
    <row r="577" ht="22.2" customHeight="1" s="375">
      <c r="A577" s="3" t="n"/>
      <c r="E577" s="3" t="n"/>
      <c r="G577" s="334" t="inlineStr"/>
      <c r="H577" s="376" t="inlineStr"/>
      <c r="I577" s="376" t="inlineStr"/>
      <c r="J577" s="334" t="inlineStr"/>
      <c r="K577" s="374" t="n"/>
      <c r="L577" s="334" t="inlineStr"/>
      <c r="M577" s="334" t="inlineStr"/>
      <c r="N577" s="334" t="inlineStr"/>
      <c r="O577" s="354" t="inlineStr"/>
      <c r="P577" s="334" t="inlineStr"/>
      <c r="Q577" s="334" t="inlineStr"/>
      <c r="R577" s="334" t="inlineStr"/>
      <c r="S577" s="354" t="inlineStr"/>
      <c r="T577" t="inlineStr"/>
      <c r="U577" t="inlineStr"/>
    </row>
    <row r="578" ht="22.2" customHeight="1" s="375">
      <c r="A578" s="3" t="n"/>
      <c r="E578" s="3" t="n"/>
      <c r="G578" s="336" t="inlineStr"/>
      <c r="H578" s="328" t="inlineStr"/>
      <c r="I578" s="336" t="inlineStr"/>
      <c r="J578" s="336" t="inlineStr"/>
      <c r="K578" s="527" t="n"/>
      <c r="L578" s="336" t="inlineStr"/>
      <c r="M578" s="336" t="inlineStr"/>
      <c r="N578" s="336" t="inlineStr"/>
      <c r="O578" s="354" t="inlineStr"/>
      <c r="P578" s="336" t="inlineStr"/>
      <c r="Q578" s="336" t="inlineStr"/>
      <c r="R578" s="336" t="inlineStr"/>
      <c r="S578" s="354" t="inlineStr"/>
      <c r="T578" t="inlineStr"/>
      <c r="U578" t="inlineStr"/>
    </row>
    <row r="579" ht="22.2" customHeight="1" s="375">
      <c r="A579" s="3" t="n"/>
      <c r="E579" s="3" t="n"/>
      <c r="G579" s="533" t="inlineStr">
        <is>
          <t>ศุกร์</t>
        </is>
      </c>
      <c r="H579" s="376" t="inlineStr"/>
      <c r="I579" s="376" t="inlineStr"/>
      <c r="J579" s="381" t="inlineStr"/>
      <c r="K579" s="135" t="n"/>
      <c r="L579" s="334" t="inlineStr"/>
      <c r="M579" s="381" t="inlineStr"/>
      <c r="N579" s="381" t="inlineStr"/>
      <c r="O579" s="354" t="inlineStr"/>
      <c r="P579" s="381" t="inlineStr"/>
      <c r="Q579" s="367" t="inlineStr"/>
      <c r="R579" s="381" t="inlineStr"/>
      <c r="S579" s="354" t="inlineStr"/>
      <c r="T579" t="inlineStr"/>
      <c r="U579" t="inlineStr"/>
    </row>
    <row r="580" ht="22.2" customHeight="1" s="375">
      <c r="A580" s="3" t="n"/>
      <c r="E580" s="3" t="n"/>
      <c r="G580" s="535" t="inlineStr">
        <is>
          <t>25 ก.ย.69</t>
        </is>
      </c>
      <c r="H580" s="376" t="inlineStr"/>
      <c r="I580" s="376" t="inlineStr"/>
      <c r="J580" s="334" t="inlineStr"/>
      <c r="K580" s="374" t="n"/>
      <c r="L580" s="334" t="inlineStr"/>
      <c r="M580" s="334" t="inlineStr"/>
      <c r="N580" s="334" t="inlineStr"/>
      <c r="O580" s="354" t="inlineStr"/>
      <c r="P580" s="334" t="inlineStr"/>
      <c r="Q580" s="334" t="inlineStr"/>
      <c r="R580" s="334" t="inlineStr"/>
      <c r="S580" s="354" t="inlineStr"/>
      <c r="T580" t="inlineStr"/>
      <c r="U580" t="inlineStr"/>
    </row>
    <row r="581" ht="22.2" customHeight="1" s="375">
      <c r="A581" s="3" t="n"/>
      <c r="E581" s="3" t="n"/>
      <c r="G581" s="334" t="inlineStr"/>
      <c r="H581" s="376" t="inlineStr"/>
      <c r="I581" s="376" t="inlineStr"/>
      <c r="J581" s="334" t="inlineStr"/>
      <c r="K581" s="374" t="n"/>
      <c r="L581" s="334" t="inlineStr"/>
      <c r="M581" s="334" t="inlineStr"/>
      <c r="N581" s="334" t="inlineStr"/>
      <c r="O581" s="354" t="inlineStr"/>
      <c r="P581" s="334" t="inlineStr"/>
      <c r="Q581" s="334" t="inlineStr"/>
      <c r="R581" s="334" t="inlineStr"/>
      <c r="S581" s="354" t="inlineStr"/>
      <c r="T581" t="inlineStr"/>
      <c r="U581" t="inlineStr"/>
    </row>
    <row r="582" ht="22.2" customHeight="1" s="375">
      <c r="A582" s="3" t="n"/>
      <c r="E582" s="3" t="n"/>
      <c r="G582" s="334" t="inlineStr"/>
      <c r="H582" s="322" t="inlineStr"/>
      <c r="I582" s="334" t="inlineStr"/>
      <c r="J582" s="334" t="inlineStr"/>
      <c r="K582" s="374" t="n"/>
      <c r="L582" s="334" t="inlineStr"/>
      <c r="M582" s="334" t="inlineStr"/>
      <c r="N582" s="334" t="inlineStr"/>
      <c r="O582" s="354" t="inlineStr"/>
      <c r="P582" s="334" t="inlineStr"/>
      <c r="Q582" s="334" t="inlineStr"/>
      <c r="R582" s="334" t="inlineStr"/>
      <c r="S582" s="354" t="inlineStr"/>
      <c r="T582" t="inlineStr"/>
      <c r="U582" t="inlineStr"/>
    </row>
    <row r="583" ht="22.2" customHeight="1" s="375">
      <c r="A583" s="3" t="n"/>
      <c r="E583" s="3" t="n"/>
      <c r="F583" s="3" t="n"/>
      <c r="G583" s="329" t="inlineStr"/>
      <c r="H583" s="328" t="inlineStr"/>
      <c r="I583" s="336" t="inlineStr"/>
      <c r="J583" s="336" t="inlineStr"/>
      <c r="K583" s="527" t="n"/>
      <c r="L583" s="336" t="inlineStr"/>
      <c r="M583" s="336" t="inlineStr"/>
      <c r="N583" s="336" t="inlineStr"/>
      <c r="O583" s="354" t="inlineStr"/>
      <c r="P583" s="336" t="inlineStr"/>
      <c r="Q583" s="336" t="inlineStr"/>
      <c r="R583" s="336" t="inlineStr"/>
      <c r="S583" s="354" t="inlineStr"/>
      <c r="T583" t="inlineStr"/>
      <c r="U583" t="inlineStr"/>
    </row>
    <row r="584" ht="22.2" customHeight="1" s="375">
      <c r="A584" s="3" t="n"/>
      <c r="E584" s="3" t="n"/>
      <c r="F584" s="3" t="n"/>
      <c r="G584" s="16" t="inlineStr">
        <is>
          <t>รวมขั่วโมงที่สอนแยก ภาระงาน/ เกินภาระงาน</t>
        </is>
      </c>
      <c r="H584" s="518" t="n"/>
      <c r="I584" s="518" t="n"/>
      <c r="J584" s="518" t="n"/>
      <c r="K584" s="432" t="n"/>
      <c r="L584" s="16">
        <f>SUM(L559:L583)</f>
        <v/>
      </c>
      <c r="M584" s="16">
        <f>SUM(M559:M583)</f>
        <v/>
      </c>
      <c r="N584" s="16" t="n"/>
      <c r="O584" s="16" t="n"/>
      <c r="P584" s="16">
        <f>SUM(P559:P583)</f>
        <v/>
      </c>
      <c r="Q584" s="16">
        <f>SUM(Q559:Q583)</f>
        <v/>
      </c>
      <c r="R584" s="349" t="n"/>
      <c r="S584" s="16" t="n"/>
      <c r="T584" s="23" t="n"/>
      <c r="U584" s="23" t="inlineStr">
        <is>
          <t>สอน ป.ตรี</t>
        </is>
      </c>
      <c r="V584" s="56" t="n"/>
      <c r="W584" s="23" t="n"/>
      <c r="X584" s="23" t="n"/>
    </row>
    <row r="585" ht="22.2" customHeight="1" s="375">
      <c r="A585" s="3" t="n"/>
      <c r="E585" s="3" t="n"/>
      <c r="F585" s="3" t="n"/>
      <c r="G585" s="16" t="inlineStr">
        <is>
          <t>รวมจำนวนชั่วโมงสอนคาบต่อสับดาห์</t>
        </is>
      </c>
      <c r="H585" s="518" t="n"/>
      <c r="I585" s="518" t="n"/>
      <c r="J585" s="518" t="n"/>
      <c r="K585" s="432" t="n"/>
      <c r="L585" s="16">
        <f>L584+M584</f>
        <v/>
      </c>
      <c r="M585" s="432" t="n"/>
      <c r="N585" s="348" t="n"/>
      <c r="O585" s="16" t="n"/>
      <c r="P585" s="16">
        <f>P584+Q584</f>
        <v/>
      </c>
      <c r="Q585" s="432" t="n"/>
      <c r="R585" s="329" t="n"/>
      <c r="S585" s="336" t="n"/>
      <c r="T585" s="23" t="n"/>
      <c r="U585" s="23" t="inlineStr">
        <is>
          <t>17.10-20.10</t>
        </is>
      </c>
      <c r="V585" s="56" t="n"/>
      <c r="W585" s="23" t="n"/>
      <c r="X585" s="23" t="n"/>
    </row>
    <row r="586" ht="22.2" customHeight="1" s="375">
      <c r="A586" s="3" t="n"/>
      <c r="E586" s="3" t="n"/>
      <c r="F586" s="3" t="n"/>
      <c r="G586" s="16" t="inlineStr">
        <is>
          <t>จำนวนชั่วโมงสอนตามภาระงานสอน</t>
        </is>
      </c>
      <c r="H586" s="518" t="n"/>
      <c r="I586" s="518" t="n"/>
      <c r="J586" s="518" t="n"/>
      <c r="K586" s="432" t="n"/>
      <c r="L586" s="16" t="n">
        <v>12</v>
      </c>
      <c r="M586" s="432" t="n"/>
      <c r="N586" s="348" t="n"/>
      <c r="O586" s="16" t="n"/>
      <c r="P586" s="16" t="n">
        <v>0</v>
      </c>
      <c r="Q586" s="432" t="n"/>
      <c r="R586" s="322" t="n"/>
      <c r="S586" s="334" t="n"/>
    </row>
    <row r="587" ht="22.2" customHeight="1" s="375" thickBot="1">
      <c r="A587" s="3" t="n"/>
      <c r="E587" s="3" t="n"/>
      <c r="F587" s="14" t="n"/>
      <c r="G587" s="16" t="inlineStr">
        <is>
          <t>จำนวนชั่วโมงบิกเกินภาระงานสอน/ค่าสอน</t>
        </is>
      </c>
      <c r="H587" s="518" t="n"/>
      <c r="I587" s="518" t="n"/>
      <c r="J587" s="518" t="n"/>
      <c r="K587" s="432" t="n"/>
      <c r="L587" s="17" t="n">
        <v>0</v>
      </c>
      <c r="M587" s="17">
        <f>SUM(M559:M583)</f>
        <v/>
      </c>
      <c r="N587" s="17" t="n"/>
      <c r="O587" s="17">
        <f>SUM(O559:O583)</f>
        <v/>
      </c>
      <c r="P587" s="17" t="n">
        <v>0</v>
      </c>
      <c r="Q587" s="17">
        <f>SUM(Q559:Q583)</f>
        <v/>
      </c>
      <c r="R587" s="18" t="n"/>
      <c r="S587" s="17">
        <f>SUM(S559:S583)</f>
        <v/>
      </c>
    </row>
    <row r="588" ht="22.2" customHeight="1" s="375" thickTop="1">
      <c r="A588" s="337" t="inlineStr">
        <is>
          <t>รวมจำนวนหน่วยชั่วโมงที่ขอเบิกค่าสอน ….</t>
        </is>
      </c>
      <c r="B588" s="518" t="n"/>
      <c r="C588" s="518" t="n"/>
      <c r="D588" s="518" t="n"/>
      <c r="E588" s="518" t="n"/>
      <c r="F588" s="518" t="n"/>
      <c r="G588" s="518" t="n"/>
      <c r="H588" s="348">
        <f>M587+Q587</f>
        <v/>
      </c>
      <c r="I588" s="348" t="inlineStr">
        <is>
          <t>….ชั่วโมง</t>
        </is>
      </c>
      <c r="J588" s="348" t="n"/>
      <c r="K588" s="328" t="inlineStr">
        <is>
          <t>ยอดเงินรวม</t>
        </is>
      </c>
      <c r="L588" s="522" t="n"/>
      <c r="M588" s="522" t="n"/>
      <c r="N588" s="328" t="n"/>
      <c r="O588" s="328" t="n"/>
      <c r="P588" s="339">
        <f>S587+O587</f>
        <v/>
      </c>
      <c r="Q588" s="538" t="n"/>
      <c r="R588" s="20" t="n"/>
      <c r="S588" s="19" t="inlineStr">
        <is>
          <t>..บาท</t>
        </is>
      </c>
    </row>
    <row r="589" ht="22.2" customHeight="1" s="375">
      <c r="A589" s="154" t="inlineStr">
        <is>
          <t>ผู้ขอเบิก</t>
        </is>
      </c>
      <c r="B589" s="153" t="n"/>
      <c r="C589" s="153" t="n"/>
      <c r="D589" s="153" t="n"/>
      <c r="E589" s="153" t="n"/>
      <c r="F589" s="153" t="n"/>
      <c r="G589" s="135" t="n"/>
      <c r="H589" s="154" t="inlineStr">
        <is>
          <t>ผู้รับรอง</t>
        </is>
      </c>
      <c r="I589" s="153" t="n"/>
      <c r="J589" s="153" t="n"/>
      <c r="K589" s="153" t="n"/>
      <c r="L589" s="135" t="n"/>
      <c r="M589" s="154" t="inlineStr">
        <is>
          <t>ผู้ตรวจ</t>
        </is>
      </c>
      <c r="N589" s="153" t="n"/>
      <c r="O589" s="153" t="n"/>
      <c r="P589" s="153" t="n"/>
      <c r="Q589" s="153" t="n"/>
      <c r="R589" s="153" t="n"/>
      <c r="S589" s="135" t="n"/>
    </row>
    <row r="590" ht="22.2" customHeight="1" s="375">
      <c r="A590" s="334" t="inlineStr">
        <is>
          <t>ลงชื่อ……………………………………………</t>
        </is>
      </c>
      <c r="G590" s="374" t="n"/>
      <c r="H590" s="334" t="inlineStr">
        <is>
          <t>ลงชื่อ……………………………………………</t>
        </is>
      </c>
      <c r="L590" s="374" t="n"/>
      <c r="M590" s="334" t="inlineStr">
        <is>
          <t>ลงชื่อ……………………………………………</t>
        </is>
      </c>
      <c r="S590" s="374" t="n"/>
    </row>
    <row r="591" ht="22.2" customHeight="1" s="375">
      <c r="A591" s="11" t="inlineStr">
        <is>
          <t>(</t>
        </is>
      </c>
      <c r="B591" s="324">
        <f>B559</f>
        <v/>
      </c>
      <c r="G591" s="326" t="inlineStr">
        <is>
          <t>)</t>
        </is>
      </c>
      <c r="H591" s="324" t="inlineStr">
        <is>
          <t>(</t>
        </is>
      </c>
      <c r="I591" s="340">
        <f>I545</f>
        <v/>
      </c>
      <c r="L591" s="12" t="inlineStr">
        <is>
          <t>)</t>
        </is>
      </c>
      <c r="M591" s="53" t="inlineStr">
        <is>
          <t>(</t>
        </is>
      </c>
      <c r="N591" s="53" t="n"/>
      <c r="O591" s="324">
        <f>O39</f>
        <v/>
      </c>
      <c r="R591" s="25" t="n"/>
      <c r="S591" s="326" t="inlineStr">
        <is>
          <t>)</t>
        </is>
      </c>
    </row>
    <row r="592" ht="22.2" customHeight="1" s="375">
      <c r="A592" s="540" t="inlineStr">
        <is>
          <t xml:space="preserve">                         ตำแหน่ง  ครู</t>
        </is>
      </c>
      <c r="G592" s="374" t="n"/>
      <c r="H592" s="54" t="inlineStr">
        <is>
          <t>ตำแหน่ง หัวหน้าแผนก</t>
        </is>
      </c>
      <c r="L592" s="374" t="n"/>
      <c r="M592" s="54" t="inlineStr">
        <is>
          <t>ตำแหน่ง   ผู้ตรวจสอบ</t>
        </is>
      </c>
      <c r="S592" s="374" t="n"/>
    </row>
    <row r="593" ht="22.2" customHeight="1" s="375">
      <c r="A593" s="55" t="inlineStr">
        <is>
          <t>วันที่ 28 เดือน กันยายน  พ.ศ.2569</t>
        </is>
      </c>
      <c r="B593" s="522" t="n"/>
      <c r="C593" s="522" t="n"/>
      <c r="D593" s="522" t="n"/>
      <c r="E593" s="522" t="n"/>
      <c r="F593" s="522" t="n"/>
      <c r="G593" s="527" t="n"/>
      <c r="H593" s="54">
        <f>A41</f>
        <v/>
      </c>
      <c r="L593" s="374" t="n"/>
      <c r="M593" s="55">
        <f>A41</f>
        <v/>
      </c>
      <c r="N593" s="522" t="n"/>
      <c r="O593" s="522" t="n"/>
      <c r="P593" s="522" t="n"/>
      <c r="Q593" s="522" t="n"/>
      <c r="R593" s="522" t="n"/>
      <c r="S593" s="527" t="n"/>
    </row>
    <row r="594" ht="22.2" customHeight="1" s="375">
      <c r="A594" s="154" t="inlineStr">
        <is>
          <t>ผู้ตรวจ</t>
        </is>
      </c>
      <c r="B594" s="153" t="n"/>
      <c r="C594" s="153" t="n"/>
      <c r="D594" s="153" t="n"/>
      <c r="E594" s="153" t="n"/>
      <c r="F594" s="153" t="n"/>
      <c r="G594" s="153" t="n"/>
      <c r="H594" s="153" t="n"/>
      <c r="I594" s="135" t="n"/>
      <c r="J594" s="154" t="inlineStr">
        <is>
          <t>ผู้เห็นชอบ</t>
        </is>
      </c>
      <c r="K594" s="153" t="n"/>
      <c r="L594" s="153" t="n"/>
      <c r="M594" s="153" t="n"/>
      <c r="N594" s="153" t="n"/>
      <c r="O594" s="153" t="n"/>
      <c r="P594" s="153" t="n"/>
      <c r="Q594" s="153" t="n"/>
      <c r="R594" s="153" t="n"/>
      <c r="S594" s="135" t="n"/>
    </row>
    <row r="595" ht="22.2" customHeight="1" s="375">
      <c r="A595" s="334" t="inlineStr">
        <is>
          <t>ลงชื่อ……………………………………………</t>
        </is>
      </c>
      <c r="I595" s="374" t="n"/>
      <c r="J595" s="334" t="inlineStr">
        <is>
          <t>ลงชื่อ……………………………………………</t>
        </is>
      </c>
      <c r="S595" s="374" t="n"/>
    </row>
    <row r="596" ht="22.2" customHeight="1" s="375">
      <c r="A596" s="11" t="n"/>
      <c r="B596" s="324">
        <f>B44</f>
        <v/>
      </c>
      <c r="I596" s="326" t="n"/>
      <c r="J596" s="25" t="n"/>
      <c r="K596" s="25" t="n"/>
      <c r="L596" s="324">
        <f>L44</f>
        <v/>
      </c>
      <c r="R596" s="25" t="n"/>
      <c r="S596" s="12" t="n"/>
    </row>
    <row r="597" ht="22.2" customHeight="1" s="375">
      <c r="A597" s="54" t="inlineStr">
        <is>
          <t>ตำแหน่งครู  หัวหน้างานพัฒนาหลักสูตร ฯ</t>
        </is>
      </c>
      <c r="I597" s="374" t="n"/>
      <c r="J597" s="54" t="inlineStr">
        <is>
          <t>ตำแหน่ง  รองผู้อำนวยการฝ่ายวิชาการ</t>
        </is>
      </c>
      <c r="S597" s="374" t="n"/>
    </row>
    <row r="598" ht="22.2" customHeight="1" s="375">
      <c r="A598" s="336" t="inlineStr">
        <is>
          <t>วันที่.......เดือน..........................พ.ศ..............</t>
        </is>
      </c>
      <c r="B598" s="522" t="n"/>
      <c r="C598" s="522" t="n"/>
      <c r="D598" s="522" t="n"/>
      <c r="E598" s="522" t="n"/>
      <c r="F598" s="522" t="n"/>
      <c r="G598" s="522" t="n"/>
      <c r="H598" s="522" t="n"/>
      <c r="I598" s="527" t="n"/>
      <c r="J598" s="336" t="inlineStr">
        <is>
          <t>วันที่.......เดือน..........................พ.ศ..............</t>
        </is>
      </c>
      <c r="K598" s="522" t="n"/>
      <c r="L598" s="522" t="n"/>
      <c r="M598" s="522" t="n"/>
      <c r="N598" s="522" t="n"/>
      <c r="O598" s="522" t="n"/>
      <c r="P598" s="522" t="n"/>
      <c r="Q598" s="522" t="n"/>
      <c r="R598" s="522" t="n"/>
      <c r="S598" s="527" t="n"/>
    </row>
    <row r="599" ht="22.2" customHeight="1" s="375"/>
    <row r="600" ht="22.2" customHeight="1" s="375"/>
    <row r="601" ht="22.2" customHeight="1" s="375"/>
    <row r="602" ht="22.2" customHeight="1" s="375"/>
    <row r="603" ht="22.2" customHeight="1" s="375"/>
    <row r="604" ht="22.2" customHeight="1" s="375"/>
    <row r="605" ht="22.2" customHeight="1" s="375"/>
    <row r="606" ht="22.2" customHeight="1" s="375"/>
    <row r="607" ht="22.2" customHeight="1" s="375"/>
    <row r="608" ht="22.2" customHeight="1" s="375"/>
    <row r="609" ht="22.2" customHeight="1" s="375"/>
    <row r="610" ht="22.2" customHeight="1" s="375"/>
    <row r="611" ht="22.2" customHeight="1" s="375"/>
    <row r="612" ht="22.2" customHeight="1" s="375"/>
    <row r="613" ht="22.2" customHeight="1" s="375"/>
    <row r="614" ht="22.2" customHeight="1" s="375"/>
    <row r="615" ht="22.2" customHeight="1" s="375"/>
    <row r="616" ht="22.2" customHeight="1" s="375"/>
    <row r="617" ht="22.2" customHeight="1" s="375"/>
    <row r="618" ht="22.2" customHeight="1" s="375"/>
    <row r="619" ht="22.2" customHeight="1" s="375"/>
    <row r="620" ht="22.2" customHeight="1" s="375"/>
    <row r="621" ht="22.2" customHeight="1" s="375"/>
    <row r="622" ht="22.2" customHeight="1" s="375"/>
    <row r="623" ht="22.2" customHeight="1" s="375"/>
    <row r="624" ht="22.2" customHeight="1" s="375"/>
    <row r="625" ht="22.2" customHeight="1" s="375"/>
    <row r="626" ht="22.2" customHeight="1" s="375"/>
    <row r="627" ht="22.2" customHeight="1" s="375"/>
    <row r="628" ht="22.2" customHeight="1" s="375"/>
    <row r="629" ht="22.2" customHeight="1" s="375"/>
    <row r="630" ht="22.2" customHeight="1" s="375"/>
    <row r="631" ht="22.2" customHeight="1" s="375"/>
    <row r="632" ht="22.2" customHeight="1" s="375"/>
    <row r="633" ht="22.2" customHeight="1" s="375" thickBot="1"/>
    <row r="634" ht="22.2" customHeight="1" s="375" thickTop="1"/>
    <row r="635" ht="22.2" customHeight="1" s="375"/>
    <row r="636" ht="22.2" customHeight="1" s="375"/>
    <row r="637" ht="22.2" customHeight="1" s="375"/>
    <row r="638" ht="22.2" customHeight="1" s="375"/>
    <row r="639" ht="22.2" customHeight="1" s="375"/>
    <row r="640" ht="22.2" customHeight="1" s="375"/>
    <row r="641" ht="22.2" customHeight="1" s="375"/>
    <row r="642" ht="22.2" customHeight="1" s="375"/>
    <row r="643" ht="22.2" customHeight="1" s="375"/>
    <row r="644" ht="22.2" customHeight="1" s="375"/>
    <row r="645" ht="22.2" customHeight="1" s="375"/>
    <row r="646" ht="22.2" customHeight="1" s="375"/>
    <row r="647" ht="22.2" customHeight="1" s="375"/>
    <row r="648" ht="22.2" customHeight="1" s="375"/>
    <row r="649" ht="22.2" customHeight="1" s="375"/>
    <row r="650" ht="22.2" customHeight="1" s="375"/>
    <row r="651" ht="22.2" customHeight="1" s="375"/>
    <row r="652" ht="22.2" customHeight="1" s="375"/>
    <row r="653" ht="22.2" customHeight="1" s="375"/>
    <row r="654" ht="22.2" customHeight="1" s="375"/>
    <row r="655" ht="22.2" customHeight="1" s="375"/>
    <row r="656" ht="22.2" customHeight="1" s="375"/>
    <row r="657" ht="22.2" customHeight="1" s="375"/>
    <row r="658" ht="22.2" customHeight="1" s="375"/>
    <row r="659" ht="22.2" customHeight="1" s="375"/>
    <row r="660" ht="22.2" customHeight="1" s="375"/>
    <row r="661" ht="22.2" customHeight="1" s="375"/>
    <row r="662" ht="22.2" customHeight="1" s="375"/>
    <row r="663" ht="22.2" customHeight="1" s="375"/>
    <row r="664" ht="22.2" customHeight="1" s="375"/>
    <row r="665" ht="22.2" customHeight="1" s="375"/>
    <row r="666" ht="22.2" customHeight="1" s="375"/>
    <row r="667" ht="22.2" customHeight="1" s="375"/>
    <row r="668" ht="22.2" customHeight="1" s="375"/>
    <row r="669" ht="22.2" customHeight="1" s="375"/>
    <row r="670" ht="22.2" customHeight="1" s="375"/>
    <row r="671" ht="22.2" customHeight="1" s="375"/>
    <row r="672" ht="22.2" customHeight="1" s="375"/>
    <row r="673" ht="22.2" customHeight="1" s="375"/>
    <row r="674" ht="22.2" customHeight="1" s="375"/>
    <row r="675" ht="22.2" customHeight="1" s="375"/>
    <row r="676" ht="22.2" customHeight="1" s="375"/>
    <row r="677" ht="22.2" customHeight="1" s="375"/>
    <row r="678" ht="22.2" customHeight="1" s="375"/>
    <row r="679" ht="22.2" customHeight="1" s="375" thickBot="1"/>
    <row r="680" ht="22.2" customHeight="1" s="375" thickTop="1"/>
    <row r="681" ht="22.2" customHeight="1" s="375"/>
    <row r="682" ht="22.2" customHeight="1" s="375"/>
    <row r="683" ht="22.2" customHeight="1" s="375"/>
    <row r="684" ht="22.2" customHeight="1" s="375"/>
    <row r="685" ht="22.2" customHeight="1" s="375"/>
    <row r="686" ht="22.2" customHeight="1" s="375"/>
    <row r="687" ht="22.2" customHeight="1" s="375"/>
    <row r="688" ht="22.2" customHeight="1" s="375"/>
    <row r="689" ht="22.2" customHeight="1" s="375"/>
    <row r="690" ht="22.2" customHeight="1" s="375"/>
    <row r="691" ht="22.2" customHeight="1" s="375"/>
    <row r="692" ht="22.2" customHeight="1" s="375"/>
    <row r="693" ht="22.2" customHeight="1" s="375"/>
    <row r="694" ht="22.2" customHeight="1" s="375"/>
    <row r="695" ht="22.2" customHeight="1" s="375"/>
    <row r="696" ht="22.2" customHeight="1" s="375"/>
    <row r="697" ht="22.2" customHeight="1" s="375"/>
    <row r="698" ht="22.2" customHeight="1" s="375"/>
    <row r="699" ht="22.2" customHeight="1" s="375"/>
    <row r="700" ht="22.2" customHeight="1" s="375"/>
    <row r="701" ht="22.2" customHeight="1" s="375"/>
    <row r="702" ht="22.2" customHeight="1" s="375"/>
    <row r="703" ht="22.2" customHeight="1" s="375"/>
    <row r="704" ht="22.2" customHeight="1" s="375"/>
    <row r="705" ht="22.2" customHeight="1" s="375"/>
    <row r="706" ht="22.2" customHeight="1" s="375"/>
    <row r="707" ht="22.2" customHeight="1" s="375"/>
    <row r="708" ht="22.2" customHeight="1" s="375"/>
    <row r="709" ht="22.2" customHeight="1" s="375"/>
    <row r="710" ht="22.2" customHeight="1" s="375"/>
    <row r="711" ht="22.2" customHeight="1" s="375"/>
    <row r="712" ht="22.2" customHeight="1" s="375"/>
    <row r="713" ht="22.2" customHeight="1" s="375"/>
    <row r="714" ht="22.2" customHeight="1" s="375"/>
    <row r="715" ht="22.2" customHeight="1" s="375"/>
    <row r="716" ht="22.2" customHeight="1" s="375"/>
    <row r="717" ht="22.2" customHeight="1" s="375"/>
    <row r="718" ht="22.2" customHeight="1" s="375"/>
    <row r="719" ht="22.2" customHeight="1" s="375"/>
    <row r="720" ht="22.2" customHeight="1" s="375"/>
    <row r="721" ht="22.2" customHeight="1" s="375"/>
    <row r="722" ht="22.2" customHeight="1" s="375"/>
    <row r="723" ht="22.2" customHeight="1" s="375"/>
    <row r="724" ht="22.2" customHeight="1" s="375"/>
    <row r="725" ht="22.2" customHeight="1" s="375" thickBot="1"/>
    <row r="726" ht="22.2" customHeight="1" s="375" thickTop="1"/>
    <row r="727" ht="22.2" customHeight="1" s="375"/>
    <row r="728" ht="22.2" customHeight="1" s="375"/>
    <row r="729" ht="22.2" customHeight="1" s="375"/>
    <row r="730" ht="22.2" customHeight="1" s="375"/>
    <row r="731" ht="22.2" customHeight="1" s="375"/>
    <row r="732" ht="22.2" customHeight="1" s="375"/>
    <row r="733" ht="22.2" customHeight="1" s="375"/>
    <row r="734" ht="22.2" customHeight="1" s="375"/>
    <row r="735" ht="22.2" customHeight="1" s="375"/>
    <row r="736" ht="22.2" customHeight="1" s="375"/>
    <row r="737" ht="22.2" customHeight="1" s="375"/>
    <row r="738" ht="22.2" customHeight="1" s="375"/>
    <row r="739" ht="22.2" customHeight="1" s="375"/>
    <row r="740" ht="22.2" customHeight="1" s="375"/>
    <row r="741" ht="22.2" customHeight="1" s="375"/>
    <row r="742" ht="22.2" customHeight="1" s="375"/>
    <row r="743" ht="22.2" customHeight="1" s="375"/>
    <row r="744" ht="22.2" customHeight="1" s="375"/>
    <row r="745" ht="22.2" customHeight="1" s="375"/>
    <row r="746" ht="22.2" customHeight="1" s="375"/>
    <row r="747" ht="22.2" customHeight="1" s="375"/>
    <row r="748" ht="22.2" customHeight="1" s="375"/>
    <row r="749" ht="22.2" customHeight="1" s="375"/>
    <row r="750" ht="22.2" customHeight="1" s="375"/>
    <row r="751" ht="22.2" customHeight="1" s="375"/>
    <row r="752" ht="22.2" customHeight="1" s="375"/>
    <row r="753" ht="22.2" customHeight="1" s="375"/>
    <row r="754" ht="22.2" customHeight="1" s="375"/>
    <row r="755" ht="22.2" customHeight="1" s="375"/>
    <row r="756" ht="22.2" customHeight="1" s="375"/>
    <row r="757" ht="22.2" customHeight="1" s="375"/>
    <row r="758" ht="22.2" customHeight="1" s="375"/>
    <row r="759" ht="22.2" customHeight="1" s="375"/>
    <row r="760" ht="22.2" customHeight="1" s="375"/>
    <row r="761" ht="22.2" customHeight="1" s="375"/>
    <row r="762" ht="22.2" customHeight="1" s="375"/>
    <row r="763" ht="22.2" customHeight="1" s="375"/>
    <row r="764" ht="22.2" customHeight="1" s="375"/>
    <row r="765" ht="22.2" customHeight="1" s="375"/>
    <row r="766" ht="22.2" customHeight="1" s="375"/>
    <row r="767" ht="22.2" customHeight="1" s="375"/>
    <row r="768" ht="22.2" customHeight="1" s="375"/>
    <row r="769" ht="22.2" customHeight="1" s="375"/>
    <row r="770" ht="22.2" customHeight="1" s="375"/>
    <row r="771" ht="22.2" customHeight="1" s="375" thickBot="1"/>
    <row r="772" ht="22.2" customHeight="1" s="375" thickTop="1"/>
    <row r="773" ht="22.2" customHeight="1" s="375"/>
    <row r="774" ht="22.2" customHeight="1" s="375"/>
    <row r="775" ht="22.2" customHeight="1" s="375"/>
    <row r="776" ht="22.2" customHeight="1" s="375"/>
    <row r="777" ht="22.2" customHeight="1" s="375"/>
    <row r="778" ht="22.2" customHeight="1" s="375"/>
    <row r="779" ht="22.2" customHeight="1" s="375"/>
    <row r="780" ht="22.2" customHeight="1" s="375"/>
    <row r="781" ht="22.2" customHeight="1" s="375"/>
    <row r="782" ht="22.2" customHeight="1" s="375"/>
    <row r="783" ht="22.2" customHeight="1" s="375"/>
    <row r="784" ht="22.2" customHeight="1" s="375"/>
    <row r="785" ht="22.2" customHeight="1" s="375"/>
    <row r="786" ht="22.2" customHeight="1" s="375"/>
    <row r="787" ht="22.2" customHeight="1" s="375"/>
    <row r="788" ht="22.2" customHeight="1" s="375"/>
    <row r="789" ht="22.2" customHeight="1" s="375"/>
    <row r="790" ht="22.2" customHeight="1" s="375"/>
    <row r="791" ht="22.2" customHeight="1" s="375"/>
    <row r="792" ht="22.2" customHeight="1" s="375"/>
    <row r="793" ht="22.2" customHeight="1" s="375"/>
    <row r="794" ht="22.2" customHeight="1" s="375"/>
    <row r="795" ht="22.2" customHeight="1" s="375"/>
    <row r="796" ht="22.2" customHeight="1" s="375"/>
    <row r="797" ht="22.2" customHeight="1" s="375"/>
    <row r="798" ht="22.2" customHeight="1" s="375"/>
    <row r="799" ht="22.2" customHeight="1" s="375"/>
    <row r="800" ht="22.2" customHeight="1" s="375"/>
    <row r="801" ht="22.2" customHeight="1" s="375"/>
    <row r="802" ht="22.2" customHeight="1" s="375"/>
    <row r="803" ht="22.2" customHeight="1" s="375"/>
    <row r="804" ht="22.2" customHeight="1" s="375"/>
    <row r="805" ht="22.2" customHeight="1" s="375"/>
    <row r="806" ht="22.2" customHeight="1" s="375"/>
    <row r="807" ht="22.2" customHeight="1" s="375"/>
    <row r="808" ht="22.2" customHeight="1" s="375"/>
    <row r="809" ht="22.2" customHeight="1" s="375"/>
    <row r="810" ht="22.2" customHeight="1" s="375"/>
    <row r="811" ht="22.2" customHeight="1" s="375"/>
    <row r="812" ht="22.2" customHeight="1" s="375"/>
    <row r="813" ht="22.2" customHeight="1" s="375"/>
    <row r="814" ht="22.2" customHeight="1" s="375"/>
    <row r="815" ht="22.2" customHeight="1" s="375"/>
    <row r="816" ht="22.2" customHeight="1" s="375"/>
    <row r="817" ht="22.2" customHeight="1" s="375" thickBot="1"/>
    <row r="818" ht="22.2" customHeight="1" s="375" thickTop="1"/>
    <row r="819" ht="22.2" customHeight="1" s="375"/>
    <row r="820" ht="22.2" customHeight="1" s="375"/>
    <row r="821" ht="22.2" customHeight="1" s="375"/>
    <row r="822" ht="22.2" customHeight="1" s="375"/>
    <row r="823" ht="22.2" customHeight="1" s="375"/>
    <row r="824" ht="22.2" customHeight="1" s="375"/>
    <row r="825" ht="22.2" customHeight="1" s="375"/>
    <row r="826" ht="22.2" customHeight="1" s="375"/>
    <row r="827" ht="22.2" customHeight="1" s="375"/>
    <row r="828" ht="22.2" customHeight="1" s="375"/>
    <row r="829" ht="22.2" customHeight="1" s="375"/>
    <row r="830" ht="22.2" customHeight="1" s="375"/>
    <row r="831" ht="22.2" customHeight="1" s="375"/>
    <row r="832" ht="22.2" customHeight="1" s="375"/>
    <row r="833" ht="22.2" customHeight="1" s="375"/>
    <row r="834" ht="22.2" customHeight="1" s="375"/>
    <row r="835" ht="22.2" customHeight="1" s="375"/>
    <row r="836" ht="22.2" customHeight="1" s="375"/>
    <row r="837" ht="22.2" customHeight="1" s="375"/>
    <row r="838" ht="22.2" customHeight="1" s="375"/>
    <row r="839" ht="22.2" customHeight="1" s="375"/>
    <row r="840" ht="22.2" customHeight="1" s="375"/>
    <row r="841" ht="22.2" customHeight="1" s="375"/>
    <row r="842" ht="22.2" customHeight="1" s="375"/>
    <row r="843" ht="22.2" customHeight="1" s="375"/>
    <row r="844" ht="22.2" customHeight="1" s="375"/>
    <row r="845" ht="22.2" customHeight="1" s="375"/>
    <row r="846" ht="22.2" customHeight="1" s="375"/>
    <row r="847" ht="22.2" customHeight="1" s="375"/>
    <row r="848" ht="22.2" customHeight="1" s="375"/>
    <row r="849" ht="22.2" customHeight="1" s="375"/>
    <row r="850" ht="22.2" customHeight="1" s="375"/>
    <row r="851" ht="22.2" customHeight="1" s="375"/>
    <row r="852" ht="22.2" customHeight="1" s="375"/>
    <row r="853" ht="22.2" customHeight="1" s="375"/>
    <row r="854" ht="22.2" customHeight="1" s="375"/>
    <row r="855" ht="22.2" customHeight="1" s="375"/>
    <row r="856" ht="22.2" customHeight="1" s="375"/>
    <row r="857" ht="22.2" customHeight="1" s="375"/>
    <row r="858" ht="22.2" customHeight="1" s="375"/>
    <row r="859" ht="22.2" customHeight="1" s="375"/>
    <row r="860" ht="22.2" customHeight="1" s="375"/>
    <row r="861" ht="22.2" customHeight="1" s="375"/>
    <row r="862" ht="22.2" customHeight="1" s="375"/>
    <row r="863" ht="22.2" customHeight="1" s="375" thickBot="1"/>
    <row r="864" ht="22.2" customHeight="1" s="375" thickTop="1"/>
    <row r="865" ht="22.2" customHeight="1" s="375"/>
    <row r="866" ht="22.2" customHeight="1" s="375"/>
    <row r="867" ht="22.2" customHeight="1" s="375"/>
    <row r="868" ht="22.2" customHeight="1" s="375"/>
    <row r="869" ht="22.2" customHeight="1" s="375"/>
    <row r="870" ht="22.2" customHeight="1" s="375"/>
    <row r="871" ht="22.2" customHeight="1" s="375"/>
    <row r="872" ht="22.2" customHeight="1" s="375"/>
    <row r="873" ht="22.2" customHeight="1" s="375"/>
    <row r="874" ht="22.2" customHeight="1" s="375"/>
    <row r="875" ht="22.2" customHeight="1" s="375"/>
    <row r="876" ht="22.2" customHeight="1" s="375"/>
    <row r="877" ht="22.2" customHeight="1" s="375"/>
    <row r="878" ht="22.2" customHeight="1" s="375"/>
    <row r="879" ht="22.2" customHeight="1" s="375"/>
    <row r="880" ht="22.2" customHeight="1" s="375"/>
    <row r="881" ht="22.2" customHeight="1" s="375"/>
    <row r="882" ht="22.2" customHeight="1" s="375"/>
    <row r="883" ht="22.2" customHeight="1" s="375"/>
    <row r="884" ht="22.2" customHeight="1" s="375"/>
    <row r="885" ht="22.2" customHeight="1" s="375"/>
    <row r="886" ht="22.2" customHeight="1" s="375"/>
    <row r="887" ht="22.2" customHeight="1" s="375"/>
    <row r="888" ht="22.2" customHeight="1" s="375"/>
    <row r="889" ht="22.2" customHeight="1" s="375"/>
    <row r="890" ht="22.2" customHeight="1" s="375"/>
    <row r="891" ht="22.2" customHeight="1" s="375"/>
    <row r="892" ht="22.2" customHeight="1" s="375"/>
    <row r="893" ht="22.2" customHeight="1" s="375"/>
    <row r="894" ht="22.2" customHeight="1" s="375"/>
    <row r="895" ht="22.2" customHeight="1" s="375"/>
    <row r="896" ht="22.2" customHeight="1" s="375"/>
    <row r="897" ht="22.2" customHeight="1" s="375"/>
    <row r="898" ht="22.2" customHeight="1" s="375"/>
    <row r="899" ht="22.2" customHeight="1" s="375"/>
    <row r="900" ht="22.2" customHeight="1" s="375"/>
    <row r="901" ht="22.2" customHeight="1" s="375"/>
    <row r="902" ht="22.2" customHeight="1" s="375"/>
    <row r="903" ht="22.2" customHeight="1" s="375"/>
    <row r="904" ht="22.2" customHeight="1" s="375"/>
    <row r="905" ht="22.2" customHeight="1" s="375"/>
    <row r="906" ht="22.2" customHeight="1" s="375"/>
    <row r="907" ht="22.2" customHeight="1" s="375"/>
    <row r="908" ht="22.2" customHeight="1" s="375"/>
    <row r="909" ht="22.2" customHeight="1" s="375" thickBot="1"/>
    <row r="910" ht="22.2" customHeight="1" s="375" thickTop="1"/>
    <row r="911" ht="22.2" customHeight="1" s="375"/>
    <row r="912" ht="22.2" customHeight="1" s="375"/>
    <row r="913" ht="22.2" customHeight="1" s="375"/>
    <row r="914" ht="22.2" customHeight="1" s="375"/>
    <row r="915" ht="22.2" customHeight="1" s="375"/>
    <row r="916" ht="22.2" customHeight="1" s="375"/>
    <row r="917" ht="22.2" customHeight="1" s="375"/>
    <row r="918" ht="22.2" customHeight="1" s="375"/>
    <row r="919" ht="22.2" customHeight="1" s="375"/>
    <row r="920" ht="22.2" customHeight="1" s="375"/>
    <row r="921" ht="22.2" customHeight="1" s="375"/>
    <row r="922" ht="22.2" customHeight="1" s="375"/>
    <row r="923" ht="22.2" customHeight="1" s="375"/>
    <row r="924" ht="22.2" customHeight="1" s="375"/>
    <row r="925" ht="22.2" customHeight="1" s="375"/>
    <row r="926" ht="22.2" customHeight="1" s="375"/>
    <row r="927" ht="22.2" customHeight="1" s="375"/>
    <row r="928" ht="22.2" customHeight="1" s="375"/>
    <row r="929" ht="22.2" customHeight="1" s="375"/>
    <row r="930" ht="22.2" customHeight="1" s="375"/>
    <row r="931" ht="22.2" customHeight="1" s="375"/>
    <row r="932" ht="22.2" customHeight="1" s="375"/>
    <row r="933" ht="22.2" customHeight="1" s="375"/>
    <row r="934" ht="22.2" customHeight="1" s="375"/>
    <row r="935" ht="22.2" customHeight="1" s="375"/>
    <row r="936" ht="22.2" customHeight="1" s="375"/>
    <row r="937" ht="22.2" customHeight="1" s="375"/>
    <row r="938" ht="22.2" customHeight="1" s="375"/>
    <row r="939" ht="22.2" customHeight="1" s="375"/>
    <row r="940" ht="22.2" customHeight="1" s="375"/>
    <row r="941" ht="22.2" customHeight="1" s="375"/>
    <row r="942" ht="22.2" customHeight="1" s="375"/>
    <row r="943" ht="22.2" customHeight="1" s="375"/>
    <row r="944" ht="22.2" customHeight="1" s="375"/>
    <row r="945" ht="22.2" customHeight="1" s="375"/>
    <row r="946" ht="22.2" customHeight="1" s="375"/>
    <row r="947" ht="22.2" customHeight="1" s="375"/>
    <row r="948" ht="22.2" customHeight="1" s="375"/>
    <row r="949" ht="22.2" customHeight="1" s="375"/>
    <row r="950" ht="22.2" customHeight="1" s="375"/>
    <row r="951" ht="22.2" customHeight="1" s="375"/>
    <row r="952" ht="22.2" customHeight="1" s="375"/>
    <row r="953" ht="22.2" customHeight="1" s="375"/>
    <row r="954" ht="22.2" customHeight="1" s="375"/>
    <row r="955" ht="22.2" customHeight="1" s="375" thickBot="1"/>
    <row r="956" ht="22.2" customHeight="1" s="375" thickTop="1"/>
    <row r="957" ht="22.2" customHeight="1" s="375"/>
    <row r="958" ht="22.2" customHeight="1" s="375"/>
    <row r="959" ht="22.2" customHeight="1" s="375"/>
    <row r="960" ht="22.2" customHeight="1" s="375"/>
    <row r="961" ht="22.2" customHeight="1" s="375"/>
    <row r="962" ht="22.2" customHeight="1" s="375"/>
    <row r="963" ht="22.2" customHeight="1" s="375"/>
    <row r="964" ht="22.2" customHeight="1" s="375"/>
    <row r="965" ht="22.2" customHeight="1" s="375"/>
    <row r="966" ht="22.2" customHeight="1" s="375"/>
    <row r="967" ht="22.2" customHeight="1" s="375"/>
    <row r="968" ht="22.2" customHeight="1" s="375"/>
    <row r="969" ht="22.2" customHeight="1" s="375"/>
    <row r="970" ht="22.2" customHeight="1" s="375"/>
    <row r="971" ht="22.2" customHeight="1" s="375"/>
    <row r="972" ht="22.2" customHeight="1" s="375"/>
    <row r="973" ht="22.2" customHeight="1" s="375"/>
    <row r="974" ht="22.2" customHeight="1" s="375"/>
    <row r="975" ht="22.2" customHeight="1" s="375"/>
    <row r="976" ht="22.2" customHeight="1" s="375"/>
    <row r="977" ht="22.2" customHeight="1" s="375"/>
    <row r="978" ht="22.2" customHeight="1" s="375"/>
    <row r="979" ht="22.2" customHeight="1" s="375"/>
    <row r="980" ht="22.2" customHeight="1" s="375"/>
    <row r="981" ht="22.2" customHeight="1" s="375"/>
    <row r="982" ht="22.2" customHeight="1" s="375"/>
    <row r="983" ht="22.2" customHeight="1" s="375"/>
    <row r="984" ht="22.2" customHeight="1" s="375"/>
    <row r="985" ht="22.2" customHeight="1" s="375"/>
    <row r="986" ht="22.2" customHeight="1" s="375"/>
    <row r="987" ht="22.2" customHeight="1" s="375"/>
    <row r="988" ht="22.2" customHeight="1" s="375"/>
    <row r="989" ht="22.2" customHeight="1" s="375"/>
    <row r="990" ht="22.2" customHeight="1" s="375"/>
    <row r="991" ht="22.2" customHeight="1" s="375"/>
    <row r="992" ht="22.2" customHeight="1" s="375"/>
    <row r="993" ht="22.2" customHeight="1" s="375"/>
    <row r="994" ht="22.2" customHeight="1" s="375"/>
    <row r="995" ht="22.2" customHeight="1" s="375"/>
    <row r="996" ht="22.2" customHeight="1" s="375"/>
    <row r="997" ht="22.2" customHeight="1" s="375"/>
    <row r="998" ht="22.2" customHeight="1" s="375"/>
    <row r="999" ht="22.2" customHeight="1" s="375"/>
    <row r="1000" ht="22.2" customHeight="1" s="375"/>
    <row r="1001" ht="22.2" customHeight="1" s="375" thickBot="1"/>
    <row r="1002" ht="22.2" customHeight="1" s="375" thickTop="1"/>
    <row r="1003" ht="22.2" customHeight="1" s="375"/>
    <row r="1004" ht="22.2" customHeight="1" s="375"/>
    <row r="1005" ht="22.2" customHeight="1" s="375"/>
    <row r="1006" ht="22.2" customHeight="1" s="375"/>
    <row r="1007" ht="22.2" customHeight="1" s="375"/>
    <row r="1008" ht="22.2" customHeight="1" s="375"/>
    <row r="1009" ht="22.2" customHeight="1" s="375"/>
    <row r="1010" ht="22.2" customHeight="1" s="375"/>
    <row r="1011" ht="22.2" customHeight="1" s="375"/>
    <row r="1012" ht="22.2" customHeight="1" s="375"/>
    <row r="1013" ht="22.2" customHeight="1" s="375"/>
    <row r="1014" ht="22.2" customHeight="1" s="375"/>
    <row r="1015" ht="22.2" customHeight="1" s="375"/>
    <row r="1016" ht="22.2" customHeight="1" s="375"/>
    <row r="1017" ht="22.2" customHeight="1" s="375"/>
    <row r="1018" ht="22.2" customHeight="1" s="375"/>
    <row r="1019" ht="22.2" customHeight="1" s="375"/>
    <row r="1020" ht="22.2" customHeight="1" s="375"/>
    <row r="1021" ht="22.2" customHeight="1" s="375"/>
    <row r="1022" ht="22.2" customHeight="1" s="375"/>
    <row r="1023" ht="22.2" customHeight="1" s="375"/>
    <row r="1024" ht="22.2" customHeight="1" s="375"/>
    <row r="1025" ht="22.2" customHeight="1" s="375"/>
    <row r="1026" ht="22.2" customHeight="1" s="375"/>
    <row r="1027" ht="22.2" customHeight="1" s="375"/>
    <row r="1028" ht="22.2" customHeight="1" s="375"/>
    <row r="1029" ht="22.2" customHeight="1" s="375"/>
    <row r="1030" ht="22.2" customHeight="1" s="375"/>
    <row r="1031" ht="22.2" customHeight="1" s="375"/>
    <row r="1032" ht="22.2" customHeight="1" s="375"/>
    <row r="1033" ht="22.2" customHeight="1" s="375"/>
    <row r="1034" ht="22.2" customHeight="1" s="375"/>
    <row r="1035" ht="22.2" customHeight="1" s="375"/>
    <row r="1036" ht="22.2" customHeight="1" s="375"/>
    <row r="1037" ht="22.2" customHeight="1" s="375"/>
    <row r="1038" ht="22.2" customHeight="1" s="375"/>
    <row r="1039" ht="22.2" customHeight="1" s="375"/>
    <row r="1040" ht="22.2" customHeight="1" s="375"/>
    <row r="1041" ht="22.2" customHeight="1" s="375"/>
    <row r="1042" ht="22.2" customHeight="1" s="375"/>
    <row r="1043" ht="22.2" customHeight="1" s="375"/>
    <row r="1044" ht="22.2" customHeight="1" s="375"/>
    <row r="1045" ht="22.2" customHeight="1" s="375"/>
    <row r="1046" ht="22.2" customHeight="1" s="375"/>
    <row r="1047" ht="22.2" customHeight="1" s="375" thickBot="1"/>
    <row r="1048" ht="22.2" customHeight="1" s="375" thickTop="1"/>
    <row r="1049" ht="22.2" customHeight="1" s="375"/>
    <row r="1050" ht="22.2" customHeight="1" s="375"/>
    <row r="1051" ht="22.2" customHeight="1" s="375"/>
    <row r="1052" ht="22.2" customHeight="1" s="375"/>
    <row r="1053" ht="22.2" customHeight="1" s="375"/>
    <row r="1054" ht="22.2" customHeight="1" s="375"/>
    <row r="1055" ht="22.2" customHeight="1" s="375"/>
    <row r="1056" ht="22.2" customHeight="1" s="375"/>
    <row r="1057" ht="22.2" customHeight="1" s="375"/>
    <row r="1058" ht="22.2" customHeight="1" s="375"/>
    <row r="1059" ht="22.2" customHeight="1" s="375"/>
    <row r="1060" ht="22.2" customHeight="1" s="375"/>
    <row r="1061" ht="22.2" customHeight="1" s="375"/>
    <row r="1062" ht="22.2" customHeight="1" s="375"/>
    <row r="1063" ht="22.2" customHeight="1" s="375"/>
    <row r="1064" ht="22.2" customHeight="1" s="375"/>
    <row r="1065" ht="22.2" customHeight="1" s="375"/>
    <row r="1066" ht="22.2" customHeight="1" s="375"/>
    <row r="1067" ht="22.2" customHeight="1" s="375"/>
    <row r="1068" ht="22.2" customHeight="1" s="375"/>
    <row r="1069" ht="22.2" customHeight="1" s="375"/>
    <row r="1070" ht="22.2" customHeight="1" s="375"/>
    <row r="1071" ht="22.2" customHeight="1" s="375"/>
    <row r="1072" ht="22.2" customHeight="1" s="375"/>
    <row r="1073" ht="22.2" customHeight="1" s="375"/>
    <row r="1074" ht="22.2" customHeight="1" s="375"/>
    <row r="1075" ht="22.2" customHeight="1" s="375"/>
    <row r="1076" ht="22.2" customHeight="1" s="375"/>
    <row r="1077" ht="22.2" customHeight="1" s="375"/>
    <row r="1078" ht="22.2" customHeight="1" s="375"/>
    <row r="1079" ht="22.2" customHeight="1" s="375"/>
    <row r="1080" ht="22.2" customHeight="1" s="375"/>
    <row r="1081" ht="22.2" customHeight="1" s="375"/>
    <row r="1082" ht="22.2" customHeight="1" s="375"/>
    <row r="1083" ht="22.2" customHeight="1" s="375"/>
    <row r="1084" ht="22.2" customHeight="1" s="375"/>
    <row r="1085" ht="22.2" customHeight="1" s="375"/>
    <row r="1086" ht="22.2" customHeight="1" s="375"/>
    <row r="1087" ht="22.2" customHeight="1" s="375"/>
    <row r="1088" ht="22.2" customHeight="1" s="375"/>
    <row r="1089" ht="22.2" customHeight="1" s="375"/>
    <row r="1090" ht="22.2" customHeight="1" s="375"/>
    <row r="1091" ht="22.2" customHeight="1" s="375"/>
    <row r="1092" ht="22.2" customHeight="1" s="375"/>
    <row r="1093" ht="22.2" customHeight="1" s="375" thickBot="1"/>
    <row r="1094" ht="22.2" customHeight="1" s="375" thickTop="1"/>
    <row r="1095" ht="22.2" customHeight="1" s="375"/>
    <row r="1096" ht="22.2" customHeight="1" s="375"/>
    <row r="1097" ht="22.2" customHeight="1" s="375"/>
    <row r="1098" ht="22.2" customHeight="1" s="375"/>
    <row r="1099" ht="22.2" customHeight="1" s="375"/>
    <row r="1100" ht="22.2" customHeight="1" s="375"/>
    <row r="1101" ht="22.2" customHeight="1" s="375"/>
    <row r="1102" ht="22.2" customHeight="1" s="375"/>
    <row r="1103" ht="22.2" customHeight="1" s="375"/>
    <row r="1104" ht="22.2" customHeight="1" s="375"/>
    <row r="1105" ht="22.2" customHeight="1" s="375"/>
    <row r="1106" ht="22.2" customHeight="1" s="375"/>
    <row r="1107" ht="22.2" customHeight="1" s="375"/>
    <row r="1108" ht="22.2" customHeight="1" s="375"/>
    <row r="1109" ht="22.2" customHeight="1" s="375"/>
    <row r="1110" ht="22.2" customHeight="1" s="375"/>
    <row r="1111" ht="22.2" customHeight="1" s="375"/>
    <row r="1112" ht="22.2" customHeight="1" s="375"/>
    <row r="1113" ht="22.2" customHeight="1" s="375"/>
    <row r="1114" ht="22.2" customHeight="1" s="375"/>
    <row r="1115" ht="22.2" customHeight="1" s="375"/>
    <row r="1116" ht="22.2" customHeight="1" s="375"/>
    <row r="1117" ht="22.2" customHeight="1" s="375"/>
    <row r="1118" ht="22.2" customHeight="1" s="375"/>
    <row r="1119" ht="22.2" customHeight="1" s="375"/>
    <row r="1120" ht="22.2" customHeight="1" s="375"/>
    <row r="1121" ht="22.2" customHeight="1" s="375"/>
    <row r="1122" ht="22.2" customHeight="1" s="375"/>
    <row r="1123" ht="22.2" customHeight="1" s="375"/>
    <row r="1124" ht="22.2" customHeight="1" s="375"/>
    <row r="1125" ht="22.2" customHeight="1" s="375"/>
    <row r="1126" ht="22.2" customHeight="1" s="375"/>
    <row r="1127" ht="22.2" customHeight="1" s="375"/>
    <row r="1128" ht="22.2" customHeight="1" s="375"/>
    <row r="1129" ht="22.2" customHeight="1" s="375"/>
    <row r="1130" ht="22.2" customHeight="1" s="375"/>
    <row r="1131" ht="22.2" customHeight="1" s="375"/>
    <row r="1132" ht="22.2" customHeight="1" s="375"/>
    <row r="1133" ht="22.2" customHeight="1" s="375"/>
    <row r="1134" ht="22.2" customHeight="1" s="375"/>
    <row r="1135" ht="22.2" customHeight="1" s="375"/>
    <row r="1136" ht="22.2" customHeight="1" s="375"/>
    <row r="1137" ht="22.2" customHeight="1" s="375"/>
    <row r="1138" ht="22.2" customHeight="1" s="375"/>
    <row r="1139" ht="22.2" customHeight="1" s="375" thickBot="1"/>
    <row r="1140" ht="22.2" customHeight="1" s="375" thickTop="1"/>
    <row r="1141" ht="22.2" customHeight="1" s="375"/>
    <row r="1142" ht="22.2" customHeight="1" s="375"/>
    <row r="1143" ht="22.2" customHeight="1" s="375"/>
    <row r="1144" ht="22.2" customHeight="1" s="375"/>
    <row r="1145" ht="22.2" customHeight="1" s="375"/>
    <row r="1146" ht="22.2" customHeight="1" s="375"/>
    <row r="1147" ht="22.2" customHeight="1" s="375"/>
    <row r="1148" ht="22.2" customHeight="1" s="375"/>
    <row r="1149" ht="22.2" customHeight="1" s="375"/>
    <row r="1150" ht="22.2" customHeight="1" s="375"/>
    <row r="1151" ht="22.2" customHeight="1" s="375"/>
    <row r="1152" ht="22.2" customHeight="1" s="375"/>
    <row r="1153" ht="22.2" customHeight="1" s="375"/>
    <row r="1154" ht="22.2" customHeight="1" s="375"/>
    <row r="1155" ht="22.2" customHeight="1" s="375"/>
    <row r="1156" ht="22.2" customHeight="1" s="375"/>
    <row r="1157" ht="22.2" customHeight="1" s="375"/>
    <row r="1158" ht="22.2" customHeight="1" s="375"/>
    <row r="1159" ht="22.2" customHeight="1" s="375"/>
    <row r="1160" ht="22.2" customHeight="1" s="375"/>
    <row r="1161" ht="22.2" customHeight="1" s="375"/>
    <row r="1162" ht="22.2" customHeight="1" s="375"/>
    <row r="1163" ht="22.2" customHeight="1" s="375"/>
    <row r="1164" ht="22.2" customHeight="1" s="375"/>
    <row r="1165" ht="22.2" customHeight="1" s="375"/>
    <row r="1166" ht="22.2" customHeight="1" s="375"/>
    <row r="1167" ht="22.2" customHeight="1" s="375"/>
    <row r="1168" ht="22.2" customHeight="1" s="375"/>
    <row r="1169" ht="22.2" customHeight="1" s="375"/>
    <row r="1170" ht="22.2" customHeight="1" s="375"/>
    <row r="1171" ht="22.2" customHeight="1" s="375"/>
    <row r="1172" ht="22.2" customHeight="1" s="375"/>
    <row r="1173" ht="22.2" customHeight="1" s="375"/>
    <row r="1174" ht="22.2" customHeight="1" s="375"/>
    <row r="1175" ht="22.2" customHeight="1" s="375"/>
    <row r="1176" ht="22.2" customHeight="1" s="375"/>
    <row r="1177" ht="22.2" customHeight="1" s="375"/>
    <row r="1178" ht="22.2" customHeight="1" s="375"/>
    <row r="1179" ht="22.2" customHeight="1" s="375"/>
    <row r="1180" ht="22.2" customHeight="1" s="375"/>
    <row r="1181" ht="22.2" customHeight="1" s="375"/>
    <row r="1182" ht="22.2" customHeight="1" s="375"/>
    <row r="1183" ht="22.2" customHeight="1" s="375"/>
    <row r="1184" ht="22.2" customHeight="1" s="375"/>
    <row r="1185" ht="22.2" customHeight="1" s="375" thickBot="1"/>
    <row r="1186" ht="22.2" customHeight="1" s="375" thickTop="1"/>
    <row r="1187" ht="22.2" customHeight="1" s="375"/>
    <row r="1188" ht="22.2" customHeight="1" s="375"/>
    <row r="1189" ht="22.2" customHeight="1" s="375"/>
    <row r="1190" ht="22.2" customHeight="1" s="375"/>
    <row r="1191" ht="22.2" customHeight="1" s="375"/>
    <row r="1192" ht="22.2" customHeight="1" s="375"/>
    <row r="1193" ht="22.2" customHeight="1" s="375"/>
    <row r="1194" ht="22.2" customHeight="1" s="375"/>
    <row r="1195" ht="22.2" customHeight="1" s="375"/>
    <row r="1196" ht="22.2" customHeight="1" s="375"/>
    <row r="1197" ht="22.2" customHeight="1" s="375"/>
    <row r="1198" ht="22.2" customHeight="1" s="375"/>
    <row r="1199" ht="22.2" customHeight="1" s="375"/>
    <row r="1200" ht="22.2" customHeight="1" s="375"/>
    <row r="1201" ht="22.2" customHeight="1" s="375"/>
    <row r="1202" ht="22.2" customHeight="1" s="375"/>
    <row r="1203" ht="22.2" customHeight="1" s="375"/>
    <row r="1204" ht="22.2" customHeight="1" s="375"/>
    <row r="1205" ht="22.2" customHeight="1" s="375"/>
    <row r="1206" ht="22.2" customHeight="1" s="375"/>
    <row r="1207" ht="22.2" customHeight="1" s="375"/>
    <row r="1208" ht="22.2" customHeight="1" s="375"/>
    <row r="1209" ht="22.2" customHeight="1" s="375"/>
    <row r="1210" ht="22.2" customHeight="1" s="375"/>
    <row r="1211" ht="22.2" customHeight="1" s="375"/>
    <row r="1212" ht="22.2" customHeight="1" s="375"/>
    <row r="1213" ht="22.2" customHeight="1" s="375"/>
    <row r="1214" ht="22.2" customHeight="1" s="375"/>
    <row r="1215" ht="22.2" customHeight="1" s="375"/>
    <row r="1216" ht="22.2" customHeight="1" s="375"/>
    <row r="1217" ht="22.2" customHeight="1" s="375"/>
    <row r="1218" ht="22.2" customHeight="1" s="375"/>
    <row r="1219" ht="22.2" customHeight="1" s="375"/>
    <row r="1220" ht="22.2" customHeight="1" s="375"/>
    <row r="1221" ht="22.2" customHeight="1" s="375"/>
    <row r="1222" ht="22.2" customHeight="1" s="375"/>
    <row r="1223" ht="22.2" customHeight="1" s="375"/>
    <row r="1224" ht="22.2" customHeight="1" s="375"/>
    <row r="1225" ht="22.2" customHeight="1" s="375"/>
    <row r="1226" ht="22.2" customHeight="1" s="375"/>
    <row r="1227" ht="22.2" customHeight="1" s="375"/>
    <row r="1228" ht="22.2" customHeight="1" s="375"/>
    <row r="1229" ht="22.2" customHeight="1" s="375"/>
    <row r="1230" ht="22.2" customHeight="1" s="375"/>
    <row r="1231" ht="22.2" customHeight="1" s="375" thickBot="1"/>
    <row r="1232" ht="22.2" customHeight="1" s="375" thickTop="1"/>
    <row r="1233" ht="22.2" customHeight="1" s="375"/>
    <row r="1234" ht="22.2" customHeight="1" s="375"/>
    <row r="1235" ht="22.2" customHeight="1" s="375"/>
    <row r="1236" ht="22.2" customHeight="1" s="375"/>
    <row r="1237" ht="22.2" customHeight="1" s="375"/>
    <row r="1238" ht="22.2" customHeight="1" s="375"/>
    <row r="1239" ht="22.2" customHeight="1" s="375"/>
    <row r="1240" ht="22.2" customHeight="1" s="375"/>
    <row r="1241" ht="22.2" customHeight="1" s="375"/>
    <row r="1242" ht="22.2" customHeight="1" s="375"/>
    <row r="1243" ht="22.2" customHeight="1" s="375"/>
    <row r="1244" ht="22.2" customHeight="1" s="375"/>
    <row r="1245" ht="22.2" customHeight="1" s="375"/>
    <row r="1246" ht="22.2" customHeight="1" s="375"/>
    <row r="1247" ht="22.2" customHeight="1" s="375"/>
    <row r="1248" ht="22.2" customHeight="1" s="375"/>
    <row r="1249" ht="22.2" customHeight="1" s="375"/>
    <row r="1250" ht="22.2" customHeight="1" s="375"/>
    <row r="1251" ht="22.2" customHeight="1" s="375"/>
    <row r="1252" ht="22.2" customHeight="1" s="375"/>
    <row r="1253" ht="22.2" customHeight="1" s="375"/>
    <row r="1254" ht="22.2" customHeight="1" s="375"/>
    <row r="1255" ht="22.2" customHeight="1" s="375"/>
    <row r="1256" ht="22.2" customHeight="1" s="375"/>
    <row r="1257" ht="22.2" customHeight="1" s="375"/>
    <row r="1258" ht="22.2" customHeight="1" s="375"/>
    <row r="1259" ht="22.2" customHeight="1" s="375"/>
    <row r="1260" ht="22.2" customHeight="1" s="375"/>
    <row r="1261" ht="22.2" customHeight="1" s="375"/>
    <row r="1262" ht="22.2" customHeight="1" s="375"/>
    <row r="1263" ht="22.2" customHeight="1" s="375"/>
    <row r="1264" ht="22.2" customHeight="1" s="375"/>
    <row r="1265" ht="22.2" customHeight="1" s="375"/>
    <row r="1266" ht="22.2" customHeight="1" s="375"/>
    <row r="1267" ht="22.2" customHeight="1" s="375"/>
    <row r="1268" ht="22.2" customHeight="1" s="375"/>
    <row r="1269" ht="22.2" customHeight="1" s="375"/>
    <row r="1270" ht="22.2" customHeight="1" s="375"/>
    <row r="1271" ht="22.2" customHeight="1" s="375"/>
    <row r="1272" ht="22.2" customHeight="1" s="375"/>
    <row r="1273" ht="22.2" customHeight="1" s="375"/>
    <row r="1274" ht="22.2" customHeight="1" s="375"/>
    <row r="1275" ht="22.2" customHeight="1" s="375"/>
    <row r="1276" ht="22.2" customHeight="1" s="375"/>
    <row r="1277" ht="22.2" customHeight="1" s="375" thickBot="1"/>
    <row r="1278" ht="22.2" customHeight="1" s="375" thickTop="1"/>
    <row r="1279" ht="22.2" customHeight="1" s="375"/>
    <row r="1280" ht="22.2" customHeight="1" s="375"/>
    <row r="1281" ht="22.2" customHeight="1" s="375"/>
    <row r="1282" ht="22.2" customHeight="1" s="375"/>
    <row r="1283" ht="22.2" customHeight="1" s="375"/>
    <row r="1284" ht="22.2" customHeight="1" s="375"/>
    <row r="1285" ht="22.2" customHeight="1" s="375"/>
    <row r="1286" ht="22.2" customHeight="1" s="375"/>
    <row r="1287" ht="22.2" customHeight="1" s="375"/>
    <row r="1288" ht="22.2" customHeight="1" s="375"/>
  </sheetData>
  <mergeCells count="1120">
    <mergeCell ref="H451:L451"/>
    <mergeCell ref="P496:Q496"/>
    <mergeCell ref="M221:S221"/>
    <mergeCell ref="AH27:AJ27"/>
    <mergeCell ref="J288:K288"/>
    <mergeCell ref="J207:K207"/>
    <mergeCell ref="L263:M263"/>
    <mergeCell ref="J5:K6"/>
    <mergeCell ref="AH22:AJ22"/>
    <mergeCell ref="H593:L593"/>
    <mergeCell ref="O269:Q269"/>
    <mergeCell ref="G492:K492"/>
    <mergeCell ref="J347:K347"/>
    <mergeCell ref="J349:K349"/>
    <mergeCell ref="P511:Q511"/>
    <mergeCell ref="L412:Q412"/>
    <mergeCell ref="J518:K518"/>
    <mergeCell ref="P542:Q542"/>
    <mergeCell ref="A83:G83"/>
    <mergeCell ref="J344:K344"/>
    <mergeCell ref="J520:K520"/>
    <mergeCell ref="J464:S464"/>
    <mergeCell ref="A186:S186"/>
    <mergeCell ref="J375:K375"/>
    <mergeCell ref="G539:K539"/>
    <mergeCell ref="P141:Q141"/>
    <mergeCell ref="J246:K246"/>
    <mergeCell ref="J459:S459"/>
    <mergeCell ref="I453:K453"/>
    <mergeCell ref="P143:Q143"/>
    <mergeCell ref="J248:K248"/>
    <mergeCell ref="A45:I45"/>
    <mergeCell ref="M313:S313"/>
    <mergeCell ref="J180:S180"/>
    <mergeCell ref="J292:K292"/>
    <mergeCell ref="J286:K286"/>
    <mergeCell ref="J302:K302"/>
    <mergeCell ref="A275:I275"/>
    <mergeCell ref="B550:H550"/>
    <mergeCell ref="J287:K287"/>
    <mergeCell ref="I499:K499"/>
    <mergeCell ref="J14:K14"/>
    <mergeCell ref="AH9:AJ9"/>
    <mergeCell ref="AE8:AG8"/>
    <mergeCell ref="I223:K223"/>
    <mergeCell ref="J13:K13"/>
    <mergeCell ref="A450:G450"/>
    <mergeCell ref="AE10:AG10"/>
    <mergeCell ref="AH11:AJ11"/>
    <mergeCell ref="J15:K15"/>
    <mergeCell ref="G494:K494"/>
    <mergeCell ref="H129:L129"/>
    <mergeCell ref="A589:G589"/>
    <mergeCell ref="J51:K52"/>
    <mergeCell ref="G34:K34"/>
    <mergeCell ref="A501:G501"/>
    <mergeCell ref="A279:C279"/>
    <mergeCell ref="F509:G509"/>
    <mergeCell ref="P264:Q264"/>
    <mergeCell ref="A592:G592"/>
    <mergeCell ref="B315:F315"/>
    <mergeCell ref="AE21:AG21"/>
    <mergeCell ref="J244:K244"/>
    <mergeCell ref="AE23:AG23"/>
    <mergeCell ref="J28:K28"/>
    <mergeCell ref="O591:Q591"/>
    <mergeCell ref="L3:M3"/>
    <mergeCell ref="J272:S272"/>
    <mergeCell ref="L5:M5"/>
    <mergeCell ref="B281:D281"/>
    <mergeCell ref="K358:M358"/>
    <mergeCell ref="J384:K384"/>
    <mergeCell ref="M129:S129"/>
    <mergeCell ref="A87:G87"/>
    <mergeCell ref="P125:Q125"/>
    <mergeCell ref="J255:K255"/>
    <mergeCell ref="G217:K217"/>
    <mergeCell ref="J511:K512"/>
    <mergeCell ref="J110:K110"/>
    <mergeCell ref="H501:L501"/>
    <mergeCell ref="L356:M356"/>
    <mergeCell ref="H38:L38"/>
    <mergeCell ref="A542:G542"/>
    <mergeCell ref="Z27:AA27"/>
    <mergeCell ref="G400:K400"/>
    <mergeCell ref="H40:L40"/>
    <mergeCell ref="A544:G544"/>
    <mergeCell ref="J99:K99"/>
    <mergeCell ref="G402:K402"/>
    <mergeCell ref="J397:K397"/>
    <mergeCell ref="A414:I414"/>
    <mergeCell ref="Z22:AA22"/>
    <mergeCell ref="AE6:AG6"/>
    <mergeCell ref="J101:K101"/>
    <mergeCell ref="J100:K100"/>
    <mergeCell ref="G32:K32"/>
    <mergeCell ref="M37:S37"/>
    <mergeCell ref="H97:H98"/>
    <mergeCell ref="O407:Q407"/>
    <mergeCell ref="J29:K29"/>
    <mergeCell ref="P51:Q51"/>
    <mergeCell ref="A588:G588"/>
    <mergeCell ref="AE17:AG17"/>
    <mergeCell ref="M38:S38"/>
    <mergeCell ref="J329:K329"/>
    <mergeCell ref="AE19:AG19"/>
    <mergeCell ref="J481:K481"/>
    <mergeCell ref="J552:S552"/>
    <mergeCell ref="J24:K24"/>
    <mergeCell ref="AH30:AJ30"/>
    <mergeCell ref="J26:K26"/>
    <mergeCell ref="L126:M126"/>
    <mergeCell ref="A43:I43"/>
    <mergeCell ref="J482:K482"/>
    <mergeCell ref="I591:K591"/>
    <mergeCell ref="J350:K350"/>
    <mergeCell ref="J386:K386"/>
    <mergeCell ref="J352:K352"/>
    <mergeCell ref="I407:K407"/>
    <mergeCell ref="B419:D419"/>
    <mergeCell ref="M451:S451"/>
    <mergeCell ref="P263:Q263"/>
    <mergeCell ref="J70:K70"/>
    <mergeCell ref="J235:K236"/>
    <mergeCell ref="J63:K63"/>
    <mergeCell ref="AB49:AD49"/>
    <mergeCell ref="J422:K422"/>
    <mergeCell ref="J424:K424"/>
    <mergeCell ref="AB50:AD50"/>
    <mergeCell ref="O499:Q499"/>
    <mergeCell ref="Z9:AA9"/>
    <mergeCell ref="H362:L362"/>
    <mergeCell ref="Z11:AA11"/>
    <mergeCell ref="J421:K421"/>
    <mergeCell ref="J579:K579"/>
    <mergeCell ref="B223:F223"/>
    <mergeCell ref="J152:K152"/>
    <mergeCell ref="A135:I135"/>
    <mergeCell ref="J147:K147"/>
    <mergeCell ref="O131:Q131"/>
    <mergeCell ref="H409:L409"/>
    <mergeCell ref="H235:H236"/>
    <mergeCell ref="J468:K468"/>
    <mergeCell ref="P373:Q373"/>
    <mergeCell ref="A417:C417"/>
    <mergeCell ref="P33:Q33"/>
    <mergeCell ref="L511:M511"/>
    <mergeCell ref="J163:K163"/>
    <mergeCell ref="J294:K294"/>
    <mergeCell ref="J365:S365"/>
    <mergeCell ref="A364:I364"/>
    <mergeCell ref="J165:K165"/>
    <mergeCell ref="J382:K382"/>
    <mergeCell ref="AB2:AD2"/>
    <mergeCell ref="J77:K77"/>
    <mergeCell ref="J348:K348"/>
    <mergeCell ref="L264:M264"/>
    <mergeCell ref="A181:I181"/>
    <mergeCell ref="L141:M141"/>
    <mergeCell ref="J522:K522"/>
    <mergeCell ref="A505:I505"/>
    <mergeCell ref="J524:K524"/>
    <mergeCell ref="M409:S409"/>
    <mergeCell ref="J61:K61"/>
    <mergeCell ref="H175:L175"/>
    <mergeCell ref="L125:M125"/>
    <mergeCell ref="A38:G38"/>
    <mergeCell ref="J519:K519"/>
    <mergeCell ref="AB48:AD48"/>
    <mergeCell ref="P404:Q404"/>
    <mergeCell ref="H176:L176"/>
    <mergeCell ref="Z7:AA7"/>
    <mergeCell ref="A40:G40"/>
    <mergeCell ref="G538:K538"/>
    <mergeCell ref="H178:L178"/>
    <mergeCell ref="L310:M310"/>
    <mergeCell ref="J237:K237"/>
    <mergeCell ref="G540:K540"/>
    <mergeCell ref="Z8:AA8"/>
    <mergeCell ref="J535:K535"/>
    <mergeCell ref="Z2:AA2"/>
    <mergeCell ref="F141:G141"/>
    <mergeCell ref="J239:K239"/>
    <mergeCell ref="J537:K537"/>
    <mergeCell ref="J118:K118"/>
    <mergeCell ref="M175:S175"/>
    <mergeCell ref="J563:K563"/>
    <mergeCell ref="J167:K167"/>
    <mergeCell ref="H133:L133"/>
    <mergeCell ref="M176:S176"/>
    <mergeCell ref="J162:K162"/>
    <mergeCell ref="L51:M51"/>
    <mergeCell ref="H547:L547"/>
    <mergeCell ref="AH13:AJ13"/>
    <mergeCell ref="J164:K164"/>
    <mergeCell ref="P171:Q171"/>
    <mergeCell ref="J372:S372"/>
    <mergeCell ref="J487:K487"/>
    <mergeCell ref="AH8:AJ8"/>
    <mergeCell ref="AB16:AD16"/>
    <mergeCell ref="J410:S410"/>
    <mergeCell ref="AH10:AJ10"/>
    <mergeCell ref="AB9:AD9"/>
    <mergeCell ref="J146:K146"/>
    <mergeCell ref="G449:K449"/>
    <mergeCell ref="J488:K488"/>
    <mergeCell ref="A503:I503"/>
    <mergeCell ref="AB11:AD11"/>
    <mergeCell ref="J515:K515"/>
    <mergeCell ref="J92:S92"/>
    <mergeCell ref="I545:K545"/>
    <mergeCell ref="B557:D557"/>
    <mergeCell ref="J331:K331"/>
    <mergeCell ref="AH28:AJ28"/>
    <mergeCell ref="P401:Q401"/>
    <mergeCell ref="P97:Q97"/>
    <mergeCell ref="J208:K208"/>
    <mergeCell ref="G79:K79"/>
    <mergeCell ref="J373:K374"/>
    <mergeCell ref="M547:S547"/>
    <mergeCell ref="AH21:AJ21"/>
    <mergeCell ref="J89:S89"/>
    <mergeCell ref="J201:K201"/>
    <mergeCell ref="AH23:AJ23"/>
    <mergeCell ref="O39:Q39"/>
    <mergeCell ref="A179:G179"/>
    <mergeCell ref="L596:Q596"/>
    <mergeCell ref="J203:K203"/>
    <mergeCell ref="K174:M174"/>
    <mergeCell ref="A89:I89"/>
    <mergeCell ref="J259:K259"/>
    <mergeCell ref="H500:L500"/>
    <mergeCell ref="B458:H458"/>
    <mergeCell ref="J261:K261"/>
    <mergeCell ref="J559:K559"/>
    <mergeCell ref="F5:G5"/>
    <mergeCell ref="J254:K254"/>
    <mergeCell ref="M270:S270"/>
    <mergeCell ref="J561:K561"/>
    <mergeCell ref="P126:Q126"/>
    <mergeCell ref="J256:K256"/>
    <mergeCell ref="A229:I229"/>
    <mergeCell ref="A409:G409"/>
    <mergeCell ref="J502:S502"/>
    <mergeCell ref="M497:S497"/>
    <mergeCell ref="H373:H374"/>
    <mergeCell ref="A404:G404"/>
    <mergeCell ref="J281:K282"/>
    <mergeCell ref="J432:K432"/>
    <mergeCell ref="B191:D191"/>
    <mergeCell ref="J503:S503"/>
    <mergeCell ref="H271:L271"/>
    <mergeCell ref="AH6:AJ6"/>
    <mergeCell ref="L373:M373"/>
    <mergeCell ref="L33:M33"/>
    <mergeCell ref="A130:G130"/>
    <mergeCell ref="B192:D192"/>
    <mergeCell ref="J486:K486"/>
    <mergeCell ref="A132:G132"/>
    <mergeCell ref="P493:Q493"/>
    <mergeCell ref="J300:K300"/>
    <mergeCell ref="H268:L268"/>
    <mergeCell ref="AH24:AJ24"/>
    <mergeCell ref="AH17:AJ17"/>
    <mergeCell ref="AH19:AJ19"/>
    <mergeCell ref="J199:K199"/>
    <mergeCell ref="F95:G95"/>
    <mergeCell ref="A176:G176"/>
    <mergeCell ref="F97:G97"/>
    <mergeCell ref="A178:G178"/>
    <mergeCell ref="J346:K346"/>
    <mergeCell ref="J340:K340"/>
    <mergeCell ref="J252:K252"/>
    <mergeCell ref="M268:S268"/>
    <mergeCell ref="J341:K341"/>
    <mergeCell ref="J377:K377"/>
    <mergeCell ref="N49:O49"/>
    <mergeCell ref="A185:S185"/>
    <mergeCell ref="J59:K59"/>
    <mergeCell ref="F143:G143"/>
    <mergeCell ref="A42:I42"/>
    <mergeCell ref="A411:I411"/>
    <mergeCell ref="J97:K98"/>
    <mergeCell ref="J184:S184"/>
    <mergeCell ref="A128:G128"/>
    <mergeCell ref="P309:Q309"/>
    <mergeCell ref="G584:K584"/>
    <mergeCell ref="A129:G129"/>
    <mergeCell ref="J439:K439"/>
    <mergeCell ref="K542:M542"/>
    <mergeCell ref="J510:S510"/>
    <mergeCell ref="H224:L224"/>
    <mergeCell ref="J291:K291"/>
    <mergeCell ref="J293:K293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P233:Q233"/>
    <mergeCell ref="AE7:AG7"/>
    <mergeCell ref="J469:K469"/>
    <mergeCell ref="J12:K12"/>
    <mergeCell ref="P235:Q235"/>
    <mergeCell ref="B85:F85"/>
    <mergeCell ref="J227:S227"/>
    <mergeCell ref="AE2:AG2"/>
    <mergeCell ref="J339:K339"/>
    <mergeCell ref="L401:M401"/>
    <mergeCell ref="B283:D283"/>
    <mergeCell ref="A500:G500"/>
    <mergeCell ref="J65:K65"/>
    <mergeCell ref="J480:K480"/>
    <mergeCell ref="J551:S551"/>
    <mergeCell ref="J399:K399"/>
    <mergeCell ref="J392:K392"/>
    <mergeCell ref="J25:K25"/>
    <mergeCell ref="N187:O187"/>
    <mergeCell ref="J394:K394"/>
    <mergeCell ref="P279:Q279"/>
    <mergeCell ref="Z6:AA6"/>
    <mergeCell ref="G81:K81"/>
    <mergeCell ref="J112:K112"/>
    <mergeCell ref="J383:K383"/>
    <mergeCell ref="J376:K376"/>
    <mergeCell ref="J419:K420"/>
    <mergeCell ref="J534:K534"/>
    <mergeCell ref="B329:D329"/>
    <mergeCell ref="J597:S597"/>
    <mergeCell ref="J107:K107"/>
    <mergeCell ref="J378:K378"/>
    <mergeCell ref="L172:M172"/>
    <mergeCell ref="L171:M171"/>
    <mergeCell ref="B330:D330"/>
    <mergeCell ref="A461:S461"/>
    <mergeCell ref="H37:L37"/>
    <mergeCell ref="A268:G268"/>
    <mergeCell ref="J438:K438"/>
    <mergeCell ref="B177:F177"/>
    <mergeCell ref="H406:L406"/>
    <mergeCell ref="J319:S319"/>
    <mergeCell ref="Z19:AA19"/>
    <mergeCell ref="AE3:AG3"/>
    <mergeCell ref="J8:K8"/>
    <mergeCell ref="G311:K311"/>
    <mergeCell ref="J10:K10"/>
    <mergeCell ref="A456:I456"/>
    <mergeCell ref="A93:S93"/>
    <mergeCell ref="H546:L546"/>
    <mergeCell ref="A371:C371"/>
    <mergeCell ref="A316:G316"/>
    <mergeCell ref="AE16:AG16"/>
    <mergeCell ref="AB15:AD15"/>
    <mergeCell ref="J478:K478"/>
    <mergeCell ref="J549:S549"/>
    <mergeCell ref="J21:K21"/>
    <mergeCell ref="AE18:AG18"/>
    <mergeCell ref="I361:K361"/>
    <mergeCell ref="J23:K23"/>
    <mergeCell ref="M406:S406"/>
    <mergeCell ref="A313:G313"/>
    <mergeCell ref="J479:K479"/>
    <mergeCell ref="J91:S91"/>
    <mergeCell ref="L448:M448"/>
    <mergeCell ref="A3:C3"/>
    <mergeCell ref="A323:S323"/>
    <mergeCell ref="K450:M450"/>
    <mergeCell ref="A91:I91"/>
    <mergeCell ref="M546:S546"/>
    <mergeCell ref="A180:I180"/>
    <mergeCell ref="AB28:AD28"/>
    <mergeCell ref="J103:K103"/>
    <mergeCell ref="P417:Q417"/>
    <mergeCell ref="AB30:AD30"/>
    <mergeCell ref="AB29:AD29"/>
    <mergeCell ref="A2:S2"/>
    <mergeCell ref="J321:S321"/>
    <mergeCell ref="J436:K436"/>
    <mergeCell ref="J429:K429"/>
    <mergeCell ref="L494:M494"/>
    <mergeCell ref="J431:K431"/>
    <mergeCell ref="L44:Q44"/>
    <mergeCell ref="L493:M493"/>
    <mergeCell ref="F325:G325"/>
    <mergeCell ref="L309:M309"/>
    <mergeCell ref="H359:L359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J121:K121"/>
    <mergeCell ref="J115:K115"/>
    <mergeCell ref="Z28:AA28"/>
    <mergeCell ref="A138:I138"/>
    <mergeCell ref="M498:S498"/>
    <mergeCell ref="J571:K571"/>
    <mergeCell ref="J150:K150"/>
    <mergeCell ref="Z30:AA30"/>
    <mergeCell ref="N95:O95"/>
    <mergeCell ref="J573:K573"/>
    <mergeCell ref="J116:K116"/>
    <mergeCell ref="A231:S231"/>
    <mergeCell ref="J477:K477"/>
    <mergeCell ref="L235:M235"/>
    <mergeCell ref="M87:S87"/>
    <mergeCell ref="J284:K284"/>
    <mergeCell ref="J364:S364"/>
    <mergeCell ref="M359:S359"/>
    <mergeCell ref="B237:D237"/>
    <mergeCell ref="AB26:AD26"/>
    <mergeCell ref="J76:K76"/>
    <mergeCell ref="N325:O325"/>
    <mergeCell ref="H454:L454"/>
    <mergeCell ref="AB27:AD27"/>
    <mergeCell ref="G219:K219"/>
    <mergeCell ref="J521:K521"/>
    <mergeCell ref="M224:S224"/>
    <mergeCell ref="L279:M279"/>
    <mergeCell ref="P80:Q80"/>
    <mergeCell ref="J514:K514"/>
    <mergeCell ref="J516:K516"/>
    <mergeCell ref="A1:S1"/>
    <mergeCell ref="J460:S460"/>
    <mergeCell ref="A506:I506"/>
    <mergeCell ref="A37:G37"/>
    <mergeCell ref="G448:K448"/>
    <mergeCell ref="A406:G406"/>
    <mergeCell ref="J58:K58"/>
    <mergeCell ref="J574:K574"/>
    <mergeCell ref="J457:S457"/>
    <mergeCell ref="J567:K567"/>
    <mergeCell ref="J569:K569"/>
    <mergeCell ref="M454:S454"/>
    <mergeCell ref="J440:K440"/>
    <mergeCell ref="F465:G465"/>
    <mergeCell ref="A546:G546"/>
    <mergeCell ref="A509:C509"/>
    <mergeCell ref="A276:I276"/>
    <mergeCell ref="B361:F361"/>
    <mergeCell ref="J159:K159"/>
    <mergeCell ref="B235:D235"/>
    <mergeCell ref="A553:S553"/>
    <mergeCell ref="J153:K153"/>
    <mergeCell ref="J290:K290"/>
    <mergeCell ref="J582:K582"/>
    <mergeCell ref="A273:I273"/>
    <mergeCell ref="L217:M217"/>
    <mergeCell ref="A451:G451"/>
    <mergeCell ref="B376:D376"/>
    <mergeCell ref="J285:K285"/>
    <mergeCell ref="A141:C141"/>
    <mergeCell ref="P49:Q49"/>
    <mergeCell ref="K588:M588"/>
    <mergeCell ref="AH7:AJ7"/>
    <mergeCell ref="M222:S222"/>
    <mergeCell ref="J301:K301"/>
    <mergeCell ref="B136:H136"/>
    <mergeCell ref="H267:L267"/>
    <mergeCell ref="A502:I502"/>
    <mergeCell ref="N463:O463"/>
    <mergeCell ref="F49:G49"/>
    <mergeCell ref="H592:L592"/>
    <mergeCell ref="A140:S140"/>
    <mergeCell ref="P95:Q95"/>
    <mergeCell ref="A359:G359"/>
    <mergeCell ref="L182:Q182"/>
    <mergeCell ref="J525:K525"/>
    <mergeCell ref="T104:X104"/>
    <mergeCell ref="J456:S456"/>
    <mergeCell ref="H497:L497"/>
    <mergeCell ref="J380:K380"/>
    <mergeCell ref="B453:F453"/>
    <mergeCell ref="J251:K251"/>
    <mergeCell ref="B182:H182"/>
    <mergeCell ref="J595:S595"/>
    <mergeCell ref="M267:S267"/>
    <mergeCell ref="H143:H144"/>
    <mergeCell ref="J253:K253"/>
    <mergeCell ref="M592:S592"/>
    <mergeCell ref="H41:L41"/>
    <mergeCell ref="G126:K126"/>
    <mergeCell ref="N233:O233"/>
    <mergeCell ref="J598:S598"/>
    <mergeCell ref="A225:G225"/>
    <mergeCell ref="J393:K393"/>
    <mergeCell ref="J188:O188"/>
    <mergeCell ref="AH3:AJ3"/>
    <mergeCell ref="J395:K395"/>
    <mergeCell ref="AH5:AJ5"/>
    <mergeCell ref="G173:K173"/>
    <mergeCell ref="A454:G454"/>
    <mergeCell ref="G170:K170"/>
    <mergeCell ref="P187:Q187"/>
    <mergeCell ref="P494:Q494"/>
    <mergeCell ref="AE13:AG13"/>
    <mergeCell ref="G172:K172"/>
    <mergeCell ref="A455:G455"/>
    <mergeCell ref="J27:K27"/>
    <mergeCell ref="A184:I184"/>
    <mergeCell ref="P189:Q189"/>
    <mergeCell ref="AH16:AJ16"/>
    <mergeCell ref="AE15:AG15"/>
    <mergeCell ref="L90:Q90"/>
    <mergeCell ref="J20:K20"/>
    <mergeCell ref="J196:K196"/>
    <mergeCell ref="P218:Q218"/>
    <mergeCell ref="B269:F269"/>
    <mergeCell ref="J22:K22"/>
    <mergeCell ref="L80:M80"/>
    <mergeCell ref="A175:G175"/>
    <mergeCell ref="J137:S137"/>
    <mergeCell ref="J338:K338"/>
    <mergeCell ref="J138:S138"/>
    <mergeCell ref="AE28:AG28"/>
    <mergeCell ref="L320:Q320"/>
    <mergeCell ref="B596:H596"/>
    <mergeCell ref="AE30:AG30"/>
    <mergeCell ref="B284:D284"/>
    <mergeCell ref="A221:G221"/>
    <mergeCell ref="J66:K66"/>
    <mergeCell ref="H360:L360"/>
    <mergeCell ref="J389:K389"/>
    <mergeCell ref="H465:H466"/>
    <mergeCell ref="G265:K265"/>
    <mergeCell ref="J122:K122"/>
    <mergeCell ref="A410:I410"/>
    <mergeCell ref="A324:S324"/>
    <mergeCell ref="I177:K177"/>
    <mergeCell ref="A48:S48"/>
    <mergeCell ref="J148:K148"/>
    <mergeCell ref="J104:K104"/>
    <mergeCell ref="J105:K105"/>
    <mergeCell ref="M360:S360"/>
    <mergeCell ref="A267:G267"/>
    <mergeCell ref="L49:M49"/>
    <mergeCell ref="H405:L405"/>
    <mergeCell ref="F187:G187"/>
    <mergeCell ref="J143:K144"/>
    <mergeCell ref="K404:M404"/>
    <mergeCell ref="B53:D53"/>
    <mergeCell ref="J430:K430"/>
    <mergeCell ref="J46:S46"/>
    <mergeCell ref="J9:K9"/>
    <mergeCell ref="A593:G593"/>
    <mergeCell ref="J161:K161"/>
    <mergeCell ref="P356:Q356"/>
    <mergeCell ref="AE24:AG24"/>
    <mergeCell ref="A94:S94"/>
    <mergeCell ref="AE26:AG26"/>
    <mergeCell ref="J31:K31"/>
    <mergeCell ref="A319:I319"/>
    <mergeCell ref="A497:G497"/>
    <mergeCell ref="K36:M36"/>
    <mergeCell ref="J62:K62"/>
    <mergeCell ref="J64:K64"/>
    <mergeCell ref="M316:S316"/>
    <mergeCell ref="B591:F591"/>
    <mergeCell ref="B8:D8"/>
    <mergeCell ref="M405:S405"/>
    <mergeCell ref="J276:S276"/>
    <mergeCell ref="J57:K57"/>
    <mergeCell ref="J391:K391"/>
    <mergeCell ref="J189:K190"/>
    <mergeCell ref="T114:X114"/>
    <mergeCell ref="B99:D99"/>
    <mergeCell ref="P586:Q586"/>
    <mergeCell ref="G264:K264"/>
    <mergeCell ref="Z3:AA3"/>
    <mergeCell ref="G78:K78"/>
    <mergeCell ref="A36:G36"/>
    <mergeCell ref="B5:D5"/>
    <mergeCell ref="P402:Q402"/>
    <mergeCell ref="Z5:AA5"/>
    <mergeCell ref="G80:K80"/>
    <mergeCell ref="J75:K75"/>
    <mergeCell ref="A363:G363"/>
    <mergeCell ref="A92:I92"/>
    <mergeCell ref="J531:K531"/>
    <mergeCell ref="J444:K444"/>
    <mergeCell ref="J533:K533"/>
    <mergeCell ref="A548:I548"/>
    <mergeCell ref="B145:D145"/>
    <mergeCell ref="J322:S322"/>
    <mergeCell ref="Z16:AA16"/>
    <mergeCell ref="I39:K39"/>
    <mergeCell ref="G308:K308"/>
    <mergeCell ref="A266:G266"/>
    <mergeCell ref="B499:F499"/>
    <mergeCell ref="P325:Q325"/>
    <mergeCell ref="Z18:AA18"/>
    <mergeCell ref="B51:D51"/>
    <mergeCell ref="J4:N4"/>
    <mergeCell ref="H189:H190"/>
    <mergeCell ref="G310:K310"/>
    <mergeCell ref="Z17:AA17"/>
    <mergeCell ref="P327:Q327"/>
    <mergeCell ref="L228:Q228"/>
    <mergeCell ref="H87:L87"/>
    <mergeCell ref="N279:O279"/>
    <mergeCell ref="H543:L543"/>
    <mergeCell ref="L218:M218"/>
    <mergeCell ref="AB12:AD12"/>
    <mergeCell ref="J475:K475"/>
    <mergeCell ref="F51:G51"/>
    <mergeCell ref="AB13:AD13"/>
    <mergeCell ref="J55:K55"/>
    <mergeCell ref="A232:S232"/>
    <mergeCell ref="AB7:AD7"/>
    <mergeCell ref="J476:K476"/>
    <mergeCell ref="J88:S88"/>
    <mergeCell ref="A459:I459"/>
    <mergeCell ref="L458:Q458"/>
    <mergeCell ref="P371:Q371"/>
    <mergeCell ref="B97:D97"/>
    <mergeCell ref="L417:M417"/>
    <mergeCell ref="AH18:AJ18"/>
    <mergeCell ref="A88:I88"/>
    <mergeCell ref="J204:K204"/>
    <mergeCell ref="J198:K198"/>
    <mergeCell ref="J548:S548"/>
    <mergeCell ref="M543:S543"/>
    <mergeCell ref="AB25:AD25"/>
    <mergeCell ref="J529:K529"/>
    <mergeCell ref="J327:K328"/>
    <mergeCell ref="O177:Q177"/>
    <mergeCell ref="J68:K68"/>
    <mergeCell ref="B143:D143"/>
    <mergeCell ref="I315:K315"/>
    <mergeCell ref="H281:H282"/>
    <mergeCell ref="J257:K257"/>
    <mergeCell ref="P419:Q419"/>
    <mergeCell ref="A230:I230"/>
    <mergeCell ref="H498:L498"/>
    <mergeCell ref="J242:K242"/>
    <mergeCell ref="Z13:AA13"/>
    <mergeCell ref="J428:K428"/>
    <mergeCell ref="B44:H44"/>
    <mergeCell ref="Z15:AA15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36:Q36"/>
    <mergeCell ref="P465:Q465"/>
    <mergeCell ref="L550:Q550"/>
    <mergeCell ref="J570:K570"/>
    <mergeCell ref="B189:D189"/>
    <mergeCell ref="L366:Q366"/>
    <mergeCell ref="AB3:AD3"/>
    <mergeCell ref="A547:G547"/>
    <mergeCell ref="AB5:AD5"/>
    <mergeCell ref="J169:K169"/>
    <mergeCell ref="T19:X19"/>
    <mergeCell ref="A457:I457"/>
    <mergeCell ref="AH20:AJ20"/>
    <mergeCell ref="J200:K200"/>
    <mergeCell ref="J50:P50"/>
    <mergeCell ref="J202:K202"/>
    <mergeCell ref="A554:S554"/>
    <mergeCell ref="AH15:AJ15"/>
    <mergeCell ref="J195:K195"/>
    <mergeCell ref="A597:I597"/>
    <mergeCell ref="P509:Q509"/>
    <mergeCell ref="J197:K197"/>
    <mergeCell ref="B560:D560"/>
    <mergeCell ref="P82:Q82"/>
    <mergeCell ref="AB18:AD18"/>
    <mergeCell ref="G216:K216"/>
    <mergeCell ref="A174:G174"/>
    <mergeCell ref="J342:K342"/>
    <mergeCell ref="P540:Q540"/>
    <mergeCell ref="G218:K218"/>
    <mergeCell ref="G541:K541"/>
    <mergeCell ref="J213:K213"/>
    <mergeCell ref="M133:S133"/>
    <mergeCell ref="H179:L179"/>
    <mergeCell ref="J215:K215"/>
    <mergeCell ref="L95:M95"/>
    <mergeCell ref="J337:K337"/>
    <mergeCell ref="J513:K513"/>
    <mergeCell ref="L402:M402"/>
    <mergeCell ref="O315:Q315"/>
    <mergeCell ref="L97:M97"/>
    <mergeCell ref="F233:G233"/>
    <mergeCell ref="J210:K210"/>
    <mergeCell ref="F235:G235"/>
    <mergeCell ref="P217:Q217"/>
    <mergeCell ref="J564:K564"/>
    <mergeCell ref="J566:K566"/>
    <mergeCell ref="J109:K109"/>
    <mergeCell ref="H327:H328"/>
    <mergeCell ref="A549:I549"/>
    <mergeCell ref="A543:G543"/>
    <mergeCell ref="L325:M325"/>
    <mergeCell ref="H225:L225"/>
    <mergeCell ref="A233:C233"/>
    <mergeCell ref="L327:M327"/>
    <mergeCell ref="F463:G463"/>
    <mergeCell ref="M179:S179"/>
    <mergeCell ref="P447:Q447"/>
    <mergeCell ref="G125:K125"/>
    <mergeCell ref="J437:K437"/>
    <mergeCell ref="H222:L222"/>
    <mergeCell ref="G127:K127"/>
    <mergeCell ref="O85:Q85"/>
    <mergeCell ref="J193:K193"/>
    <mergeCell ref="A370:S370"/>
    <mergeCell ref="J226:S226"/>
    <mergeCell ref="J305:K305"/>
    <mergeCell ref="J307:K307"/>
    <mergeCell ref="AH4:AJ4"/>
    <mergeCell ref="P79:Q79"/>
    <mergeCell ref="M225:S225"/>
    <mergeCell ref="L371:M371"/>
    <mergeCell ref="L274:Q274"/>
    <mergeCell ref="J465:K466"/>
    <mergeCell ref="J335:K335"/>
    <mergeCell ref="B375:D375"/>
    <mergeCell ref="AH26:AJ26"/>
    <mergeCell ref="P220:Q220"/>
    <mergeCell ref="J368:S368"/>
    <mergeCell ref="J206:K206"/>
    <mergeCell ref="A496:G496"/>
    <mergeCell ref="G354:K354"/>
    <mergeCell ref="P555:Q555"/>
    <mergeCell ref="H419:H420"/>
    <mergeCell ref="A498:G498"/>
    <mergeCell ref="G356:K356"/>
    <mergeCell ref="P557:Q557"/>
    <mergeCell ref="J351:K351"/>
    <mergeCell ref="A368:I368"/>
    <mergeCell ref="M271:S271"/>
    <mergeCell ref="J353:K353"/>
    <mergeCell ref="L419:M419"/>
    <mergeCell ref="F555:G555"/>
    <mergeCell ref="F557:G557"/>
    <mergeCell ref="A365:I365"/>
    <mergeCell ref="H314:L314"/>
    <mergeCell ref="H51:H52"/>
    <mergeCell ref="J379:K379"/>
    <mergeCell ref="A82:G82"/>
    <mergeCell ref="J74:K74"/>
    <mergeCell ref="J250:K250"/>
    <mergeCell ref="J594:S594"/>
    <mergeCell ref="A462:S462"/>
    <mergeCell ref="G586:K586"/>
    <mergeCell ref="B327:D327"/>
    <mergeCell ref="Z20:AA20"/>
    <mergeCell ref="S575:S576"/>
    <mergeCell ref="N555:O555"/>
    <mergeCell ref="M317:S317"/>
    <mergeCell ref="J303:K303"/>
    <mergeCell ref="A224:G224"/>
    <mergeCell ref="H544:L544"/>
    <mergeCell ref="J557:K558"/>
    <mergeCell ref="B467:D467"/>
    <mergeCell ref="J123:K123"/>
    <mergeCell ref="J304:K304"/>
    <mergeCell ref="A321:I321"/>
    <mergeCell ref="M314:S314"/>
    <mergeCell ref="J423:K423"/>
    <mergeCell ref="J306:K306"/>
    <mergeCell ref="J18:K18"/>
    <mergeCell ref="AE12:AG12"/>
    <mergeCell ref="J474:K474"/>
    <mergeCell ref="J17:K17"/>
    <mergeCell ref="AE14:AG14"/>
    <mergeCell ref="J19:K19"/>
    <mergeCell ref="L233:M233"/>
    <mergeCell ref="L540:M540"/>
    <mergeCell ref="O453:Q453"/>
    <mergeCell ref="M544:S544"/>
    <mergeCell ref="H316:L316"/>
    <mergeCell ref="H557:H558"/>
    <mergeCell ref="F373:G373"/>
    <mergeCell ref="P355:Q355"/>
    <mergeCell ref="G33:K33"/>
    <mergeCell ref="AE25:AG25"/>
    <mergeCell ref="AB24:AD24"/>
    <mergeCell ref="G35:K35"/>
    <mergeCell ref="J243:K243"/>
    <mergeCell ref="A46:I46"/>
    <mergeCell ref="L463:M463"/>
    <mergeCell ref="H363:L363"/>
    <mergeCell ref="G262:K262"/>
    <mergeCell ref="A220:G220"/>
    <mergeCell ref="L465:M465"/>
    <mergeCell ref="J117:K117"/>
    <mergeCell ref="J388:K388"/>
    <mergeCell ref="A222:G222"/>
    <mergeCell ref="P585:Q585"/>
    <mergeCell ref="J119:K119"/>
    <mergeCell ref="P281:Q281"/>
    <mergeCell ref="J390:K390"/>
    <mergeCell ref="G263:K263"/>
    <mergeCell ref="J427:K427"/>
    <mergeCell ref="P312:Q312"/>
    <mergeCell ref="H84:L84"/>
    <mergeCell ref="J114:K114"/>
    <mergeCell ref="J385:K385"/>
    <mergeCell ref="L447:M447"/>
    <mergeCell ref="Z4:AA4"/>
    <mergeCell ref="F279:G279"/>
    <mergeCell ref="J572:K572"/>
    <mergeCell ref="H86:L86"/>
    <mergeCell ref="J145:K145"/>
    <mergeCell ref="F281:G281"/>
    <mergeCell ref="J443:K443"/>
    <mergeCell ref="A47:S47"/>
    <mergeCell ref="J111:K111"/>
    <mergeCell ref="J445:K445"/>
    <mergeCell ref="Z26:AA26"/>
    <mergeCell ref="L509:M509"/>
    <mergeCell ref="AE5:AG5"/>
    <mergeCell ref="P358:Q358"/>
    <mergeCell ref="J158:K158"/>
    <mergeCell ref="J45:S45"/>
    <mergeCell ref="M84:S84"/>
    <mergeCell ref="J489:K489"/>
    <mergeCell ref="J160:K160"/>
    <mergeCell ref="M86:S86"/>
    <mergeCell ref="L555:M555"/>
    <mergeCell ref="H455:L455"/>
    <mergeCell ref="J491:K491"/>
    <mergeCell ref="AB22:AD22"/>
    <mergeCell ref="J72:K72"/>
    <mergeCell ref="L557:M557"/>
    <mergeCell ref="J484:K484"/>
    <mergeCell ref="A416:S416"/>
    <mergeCell ref="J30:K30"/>
    <mergeCell ref="I269:K269"/>
    <mergeCell ref="A314:G314"/>
    <mergeCell ref="H452:L452"/>
    <mergeCell ref="G171:K171"/>
    <mergeCell ref="J517:K517"/>
    <mergeCell ref="J54:K54"/>
    <mergeCell ref="G357:K357"/>
    <mergeCell ref="J212:K212"/>
    <mergeCell ref="B7:D7"/>
    <mergeCell ref="J56:K56"/>
    <mergeCell ref="J214:K214"/>
    <mergeCell ref="B465:D465"/>
    <mergeCell ref="B421:D421"/>
    <mergeCell ref="A139:S139"/>
    <mergeCell ref="P310:Q310"/>
    <mergeCell ref="J414:S414"/>
    <mergeCell ref="M455:S455"/>
    <mergeCell ref="J441:K441"/>
    <mergeCell ref="A362:G362"/>
    <mergeCell ref="J530:K530"/>
    <mergeCell ref="G401:K401"/>
    <mergeCell ref="J532:K532"/>
    <mergeCell ref="G403:K403"/>
    <mergeCell ref="O361:Q361"/>
    <mergeCell ref="P539:Q539"/>
    <mergeCell ref="M452:S452"/>
    <mergeCell ref="A49:C49"/>
    <mergeCell ref="A369:S369"/>
    <mergeCell ref="J154:K154"/>
    <mergeCell ref="J583:K583"/>
    <mergeCell ref="J120:K120"/>
    <mergeCell ref="A137:I137"/>
    <mergeCell ref="L136:Q136"/>
    <mergeCell ref="J156:K156"/>
    <mergeCell ref="J43:S43"/>
    <mergeCell ref="J155:K155"/>
    <mergeCell ref="J426:K426"/>
    <mergeCell ref="J578:K578"/>
    <mergeCell ref="J157:K157"/>
    <mergeCell ref="J151:K151"/>
    <mergeCell ref="AH2:AJ2"/>
    <mergeCell ref="G447:K447"/>
    <mergeCell ref="K128:M128"/>
    <mergeCell ref="J296:K296"/>
    <mergeCell ref="J367:S367"/>
    <mergeCell ref="J298:K298"/>
    <mergeCell ref="T83:Z83"/>
    <mergeCell ref="B513:D513"/>
    <mergeCell ref="J297:K297"/>
    <mergeCell ref="AB4:AD4"/>
    <mergeCell ref="A367:I367"/>
    <mergeCell ref="A183:I183"/>
    <mergeCell ref="J299:K299"/>
    <mergeCell ref="F371:G371"/>
    <mergeCell ref="L355:M355"/>
    <mergeCell ref="J326:M326"/>
    <mergeCell ref="B514:D514"/>
    <mergeCell ref="J381:K381"/>
    <mergeCell ref="H590:L590"/>
    <mergeCell ref="A358:G358"/>
    <mergeCell ref="J526:K526"/>
    <mergeCell ref="A360:G360"/>
    <mergeCell ref="J528:K528"/>
    <mergeCell ref="A84:G84"/>
    <mergeCell ref="A277:S277"/>
    <mergeCell ref="A86:G86"/>
    <mergeCell ref="J523:K523"/>
    <mergeCell ref="L281:M281"/>
    <mergeCell ref="L585:M585"/>
    <mergeCell ref="F417:G417"/>
    <mergeCell ref="M593:S593"/>
    <mergeCell ref="A278:S278"/>
    <mergeCell ref="J247:K247"/>
    <mergeCell ref="I131:K131"/>
    <mergeCell ref="F419:G419"/>
    <mergeCell ref="J249:K249"/>
    <mergeCell ref="J241:K241"/>
    <mergeCell ref="A598:I598"/>
    <mergeCell ref="N371:O371"/>
    <mergeCell ref="A507:S507"/>
    <mergeCell ref="J183:S183"/>
    <mergeCell ref="J289:K289"/>
    <mergeCell ref="H130:L130"/>
    <mergeCell ref="N3:O3"/>
    <mergeCell ref="J166:K166"/>
    <mergeCell ref="H132:L132"/>
    <mergeCell ref="B90:H90"/>
    <mergeCell ref="M363:S363"/>
    <mergeCell ref="T9:X9"/>
    <mergeCell ref="J191:K191"/>
    <mergeCell ref="A452:G452"/>
    <mergeCell ref="N417:O417"/>
    <mergeCell ref="G493:K493"/>
    <mergeCell ref="L79:M79"/>
    <mergeCell ref="G309:K309"/>
    <mergeCell ref="AH12:AJ12"/>
    <mergeCell ref="J192:K192"/>
    <mergeCell ref="G495:K495"/>
    <mergeCell ref="AH14:AJ14"/>
    <mergeCell ref="J194:K194"/>
    <mergeCell ref="F511:G511"/>
    <mergeCell ref="B559:D559"/>
    <mergeCell ref="J333:K333"/>
    <mergeCell ref="AE29:AG29"/>
    <mergeCell ref="A322:I322"/>
    <mergeCell ref="J135:S135"/>
    <mergeCell ref="J245:K245"/>
    <mergeCell ref="M130:S130"/>
    <mergeCell ref="J334:K334"/>
    <mergeCell ref="AH25:AJ25"/>
    <mergeCell ref="M132:S132"/>
    <mergeCell ref="B407:F407"/>
    <mergeCell ref="J205:K205"/>
    <mergeCell ref="J336:K336"/>
    <mergeCell ref="P588:Q588"/>
    <mergeCell ref="M590:S590"/>
    <mergeCell ref="V5:X5"/>
    <mergeCell ref="J275:S275"/>
    <mergeCell ref="A187:C187"/>
    <mergeCell ref="A551:I551"/>
    <mergeCell ref="P128:Q128"/>
    <mergeCell ref="J258:K258"/>
    <mergeCell ref="J565:K565"/>
    <mergeCell ref="B39:F39"/>
    <mergeCell ref="J181:S181"/>
    <mergeCell ref="J260:K260"/>
    <mergeCell ref="B511:D511"/>
    <mergeCell ref="J506:S506"/>
    <mergeCell ref="G585:K585"/>
    <mergeCell ref="K266:M266"/>
    <mergeCell ref="J434:K434"/>
    <mergeCell ref="J505:S505"/>
    <mergeCell ref="N141:O141"/>
    <mergeCell ref="H270:L270"/>
    <mergeCell ref="A590:G590"/>
    <mergeCell ref="A318:I318"/>
    <mergeCell ref="AE27:AG27"/>
    <mergeCell ref="J7:K7"/>
    <mergeCell ref="J330:K330"/>
    <mergeCell ref="AE20:AG20"/>
    <mergeCell ref="J332:K332"/>
    <mergeCell ref="AE22:AG22"/>
    <mergeCell ref="A415:S415"/>
    <mergeCell ref="B131:F131"/>
    <mergeCell ref="J60:K60"/>
    <mergeCell ref="J273:S273"/>
    <mergeCell ref="J234:O234"/>
    <mergeCell ref="J53:K53"/>
    <mergeCell ref="J387:K387"/>
    <mergeCell ref="J343:K343"/>
    <mergeCell ref="J345:K345"/>
    <mergeCell ref="H317:L317"/>
    <mergeCell ref="N509:O509"/>
    <mergeCell ref="A325:C325"/>
    <mergeCell ref="J71:K71"/>
    <mergeCell ref="J73:K73"/>
    <mergeCell ref="A413:I413"/>
    <mergeCell ref="J102:K102"/>
    <mergeCell ref="J425:K425"/>
    <mergeCell ref="J318:S318"/>
    <mergeCell ref="Z12:AA12"/>
    <mergeCell ref="B228:H228"/>
    <mergeCell ref="P172:Q172"/>
    <mergeCell ref="Z14:AA14"/>
    <mergeCell ref="A555:C555"/>
    <mergeCell ref="A133:G133"/>
    <mergeCell ref="J295:K295"/>
    <mergeCell ref="M40:S40"/>
    <mergeCell ref="O223:Q223"/>
    <mergeCell ref="G446:K446"/>
    <mergeCell ref="B373:D373"/>
    <mergeCell ref="AE9:AG9"/>
    <mergeCell ref="AB8:AD8"/>
    <mergeCell ref="J471:K471"/>
    <mergeCell ref="A460:I460"/>
    <mergeCell ref="AB10:AD10"/>
    <mergeCell ref="AE11:AG11"/>
    <mergeCell ref="J473:K473"/>
    <mergeCell ref="J16:K16"/>
    <mergeCell ref="J229:S229"/>
    <mergeCell ref="J168:K168"/>
    <mergeCell ref="J472:K472"/>
    <mergeCell ref="AE4:AG4"/>
    <mergeCell ref="L143:M143"/>
    <mergeCell ref="B545:F545"/>
    <mergeCell ref="B274:H274"/>
    <mergeCell ref="H313:L313"/>
    <mergeCell ref="J67:K67"/>
    <mergeCell ref="J413:S413"/>
    <mergeCell ref="J69:K69"/>
    <mergeCell ref="AB21:AD21"/>
    <mergeCell ref="G355:K355"/>
    <mergeCell ref="P266:Q266"/>
    <mergeCell ref="AB23:AD23"/>
    <mergeCell ref="J396:K396"/>
    <mergeCell ref="J527:K527"/>
    <mergeCell ref="J485:K485"/>
    <mergeCell ref="B320:H320"/>
    <mergeCell ref="K496:M496"/>
    <mergeCell ref="J398:K398"/>
    <mergeCell ref="A41:G41"/>
    <mergeCell ref="AB51:AD51"/>
    <mergeCell ref="A226:I226"/>
    <mergeCell ref="Z10:AA10"/>
    <mergeCell ref="L586:M586"/>
    <mergeCell ref="J238:K238"/>
    <mergeCell ref="J240:K240"/>
    <mergeCell ref="H83:L83"/>
    <mergeCell ref="K82:M82"/>
    <mergeCell ref="B366:H366"/>
    <mergeCell ref="H408:L408"/>
    <mergeCell ref="J108:K108"/>
    <mergeCell ref="Z21:AA21"/>
    <mergeCell ref="J442:K442"/>
    <mergeCell ref="A271:G271"/>
    <mergeCell ref="Z29:AA29"/>
    <mergeCell ref="M362:S362"/>
    <mergeCell ref="Z23:AA23"/>
    <mergeCell ref="M178:S178"/>
    <mergeCell ref="AB6:AD6"/>
    <mergeCell ref="B54:D54"/>
    <mergeCell ref="Z24:AA24"/>
    <mergeCell ref="J470:K470"/>
    <mergeCell ref="B468:D468"/>
    <mergeCell ref="O545:Q545"/>
    <mergeCell ref="J42:S42"/>
    <mergeCell ref="P174:Q174"/>
    <mergeCell ref="K312:M312"/>
    <mergeCell ref="AB17:AD17"/>
    <mergeCell ref="J411:S411"/>
    <mergeCell ref="M83:S83"/>
    <mergeCell ref="J490:K490"/>
    <mergeCell ref="AB19:AD19"/>
    <mergeCell ref="A594:I594"/>
    <mergeCell ref="M408:S408"/>
    <mergeCell ref="B412:H412"/>
    <mergeCell ref="B100:D100"/>
    <mergeCell ref="A317:G317"/>
    <mergeCell ref="AB20:AD20"/>
    <mergeCell ref="J483:K483"/>
    <mergeCell ref="AB14:AD14"/>
    <mergeCell ref="L539:M539"/>
    <mergeCell ref="A595:I595"/>
    <mergeCell ref="I85:K85"/>
    <mergeCell ref="A463:C463"/>
    <mergeCell ref="AH29:AJ29"/>
    <mergeCell ref="A312:G312"/>
    <mergeCell ref="J209:K209"/>
    <mergeCell ref="J211:K211"/>
    <mergeCell ref="J536:K536"/>
    <mergeCell ref="H589:L589"/>
    <mergeCell ref="J560:K560"/>
    <mergeCell ref="P3:Q3"/>
    <mergeCell ref="J106:K106"/>
    <mergeCell ref="J562:K562"/>
    <mergeCell ref="A552:I552"/>
    <mergeCell ref="P5:Q5"/>
    <mergeCell ref="J433:K433"/>
    <mergeCell ref="H221:L221"/>
    <mergeCell ref="J435:K435"/>
    <mergeCell ref="J134:S134"/>
    <mergeCell ref="L504:Q504"/>
    <mergeCell ref="F3:G3"/>
    <mergeCell ref="K220:M220"/>
    <mergeCell ref="P450:Q450"/>
    <mergeCell ref="J580:K580"/>
    <mergeCell ref="M500:S500"/>
    <mergeCell ref="A134:I134"/>
    <mergeCell ref="B504:H504"/>
    <mergeCell ref="M589:S589"/>
    <mergeCell ref="J283:K283"/>
    <mergeCell ref="J581:K581"/>
    <mergeCell ref="M501:S501"/>
    <mergeCell ref="L34:M34"/>
    <mergeCell ref="J577:K577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2" horizontalDpi="360" verticalDpi="360"/>
  <rowBreaks count="27" manualBreakCount="27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6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  <brk id="1242" min="0" max="34" man="1"/>
  </rowBreaks>
  <colBreaks count="1" manualBreakCount="1">
    <brk id="19" min="0" max="1199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98"/>
  <sheetViews>
    <sheetView view="pageBreakPreview" zoomScaleNormal="115" zoomScaleSheetLayoutView="100" workbookViewId="0">
      <selection activeCell="F7" sqref="F7"/>
    </sheetView>
  </sheetViews>
  <sheetFormatPr baseColWidth="8" defaultColWidth="9.109375" defaultRowHeight="18"/>
  <cols>
    <col width="3.33203125" customWidth="1" style="7" min="1" max="1"/>
    <col width="5" customWidth="1" style="7" min="2" max="2"/>
    <col width="3.6640625" customWidth="1" style="7" min="3" max="3"/>
    <col width="12.44140625" customWidth="1" style="7" min="4" max="4"/>
    <col width="6.5546875" customWidth="1" style="7" min="5" max="5"/>
    <col width="3.44140625" customWidth="1" style="7" min="6" max="6"/>
    <col width="11.88671875" customWidth="1" style="7" min="7" max="7"/>
    <col width="10.44140625" customWidth="1" style="7" min="8" max="8"/>
    <col width="16.109375" customWidth="1" style="322" min="9" max="9"/>
    <col width="4.44140625" customWidth="1" style="7" min="10" max="10"/>
    <col width="6.5546875" customWidth="1" style="7" min="11" max="11"/>
    <col width="6.6640625" customWidth="1" style="7" min="12" max="13"/>
    <col width="8.6640625" customWidth="1" style="7" min="14" max="14"/>
    <col width="9.5546875" customWidth="1" style="7" min="15" max="15"/>
    <col width="6.6640625" customWidth="1" style="7" min="16" max="17"/>
    <col width="8.6640625" customWidth="1" style="7" min="18" max="18"/>
    <col width="9.6640625" customWidth="1" style="7" min="19" max="19"/>
    <col width="8.6640625" customWidth="1" style="7" min="20" max="20"/>
    <col width="3" customWidth="1" style="7" min="21" max="21"/>
    <col width="8.6640625" customWidth="1" style="7" min="22" max="22"/>
    <col width="3" customWidth="1" style="7" min="23" max="23"/>
    <col width="8.6640625" customWidth="1" style="7" min="24" max="24"/>
    <col width="3" customWidth="1" style="7" min="25" max="25"/>
    <col width="8.6640625" customWidth="1" style="7" min="26" max="26"/>
    <col width="3" customWidth="1" style="7" min="27" max="27"/>
    <col width="9.109375" customWidth="1" style="7" min="28" max="16384"/>
  </cols>
  <sheetData>
    <row r="1" ht="22.2" customHeight="1" s="375">
      <c r="A1" s="365" t="inlineStr">
        <is>
          <t>ใบเบิกจ่ายเงินค่าสอนพิเศษและค่าสอนเกินภาระงานสอนในสถานศึกษา</t>
        </is>
      </c>
      <c r="Z1" s="382" t="n"/>
      <c r="AA1" s="382" t="n"/>
    </row>
    <row r="2" ht="22.2" customHeight="1" s="375">
      <c r="A2" s="365" t="inlineStr">
        <is>
          <t>แผนกวิชาช่างยนต์</t>
        </is>
      </c>
      <c r="Y2" s="374" t="n"/>
      <c r="Z2" s="412" t="inlineStr">
        <is>
          <t>ลำดับ</t>
        </is>
      </c>
      <c r="AA2" s="432" t="n"/>
      <c r="AB2" s="409" t="inlineStr">
        <is>
          <t>รายชื่อ</t>
        </is>
      </c>
      <c r="AC2" s="518" t="n"/>
      <c r="AD2" s="518" t="n"/>
      <c r="AE2" s="412" t="inlineStr">
        <is>
          <t>รวม ชม./ ส.</t>
        </is>
      </c>
      <c r="AF2" s="518" t="n"/>
      <c r="AG2" s="432" t="n"/>
      <c r="AH2" s="412" t="inlineStr">
        <is>
          <t>รวม ค่าสอน / สัปดาห์</t>
        </is>
      </c>
      <c r="AI2" s="518" t="n"/>
      <c r="AJ2" s="432" t="n"/>
    </row>
    <row r="3" ht="22.2" customHeight="1" s="375">
      <c r="A3" s="366" t="inlineStr">
        <is>
          <t xml:space="preserve">    ระหว่างวันที่</t>
        </is>
      </c>
      <c r="D3" s="365" t="n">
        <v>28</v>
      </c>
      <c r="E3" s="365" t="inlineStr">
        <is>
          <t xml:space="preserve">   เดือน  </t>
        </is>
      </c>
      <c r="F3" s="365" t="inlineStr">
        <is>
          <t>กันยายน</t>
        </is>
      </c>
      <c r="H3" s="365" t="inlineStr">
        <is>
          <t>พ.ศ. 2569</t>
        </is>
      </c>
      <c r="I3" s="365" t="inlineStr">
        <is>
          <t xml:space="preserve">     ถึง วันที่</t>
        </is>
      </c>
      <c r="J3" s="365" t="n">
        <v>2</v>
      </c>
      <c r="K3" s="365" t="inlineStr">
        <is>
          <t xml:space="preserve">   เดือน </t>
        </is>
      </c>
      <c r="L3" s="365" t="inlineStr">
        <is>
          <t>ตุลาคม</t>
        </is>
      </c>
      <c r="N3" s="365" t="inlineStr">
        <is>
          <t>พ.ศ. 2569</t>
        </is>
      </c>
      <c r="P3" s="365" t="n"/>
      <c r="R3" s="365" t="n"/>
      <c r="Y3" s="374" t="n"/>
      <c r="Z3" s="519" t="n">
        <v>1</v>
      </c>
      <c r="AA3" s="135" t="n"/>
      <c r="AB3" s="520" t="inlineStr">
        <is>
          <t>นายชำนาญ แก้วจงประสิทธิ์</t>
        </is>
      </c>
      <c r="AD3" s="374" t="n"/>
      <c r="AE3" s="362" t="n">
        <v>12</v>
      </c>
      <c r="AF3" s="153" t="n"/>
      <c r="AG3" s="135" t="n"/>
      <c r="AH3" s="521" t="n">
        <v>2400</v>
      </c>
      <c r="AI3" s="153" t="n"/>
      <c r="AJ3" s="135" t="n"/>
    </row>
    <row r="4" ht="22.2" customHeight="1" s="375">
      <c r="G4" s="51" t="inlineStr">
        <is>
          <t>ü</t>
        </is>
      </c>
      <c r="H4" s="351" t="inlineStr">
        <is>
          <t>ครู</t>
        </is>
      </c>
      <c r="I4" s="322" t="inlineStr">
        <is>
          <t>หน้าที่พิเศษ</t>
        </is>
      </c>
      <c r="J4" s="380" t="inlineStr">
        <is>
          <t>หัวหน้าแผนกวิชาช่างยนต์</t>
        </is>
      </c>
      <c r="K4" s="522" t="n"/>
      <c r="L4" s="522" t="n"/>
      <c r="M4" s="522" t="n"/>
      <c r="N4" s="522" t="n"/>
      <c r="Y4" s="374" t="n"/>
      <c r="Z4" s="523" t="n">
        <v>2</v>
      </c>
      <c r="AA4" s="374" t="n"/>
      <c r="AB4" s="390" t="inlineStr">
        <is>
          <t>นายวัชรัศนิ์ ไชยศาสตร์</t>
        </is>
      </c>
      <c r="AE4" s="334" t="n">
        <v>12</v>
      </c>
      <c r="AG4" s="374" t="n"/>
      <c r="AH4" s="333" t="n">
        <v>2400</v>
      </c>
      <c r="AJ4" s="374" t="n"/>
    </row>
    <row r="5" ht="22.2" customHeight="1" s="375">
      <c r="A5" s="24" t="inlineStr">
        <is>
          <t>ที่</t>
        </is>
      </c>
      <c r="B5" s="24" t="inlineStr">
        <is>
          <t>ชื่อ-สกุล</t>
        </is>
      </c>
      <c r="C5" s="153" t="n"/>
      <c r="D5" s="135" t="n"/>
      <c r="E5" s="15" t="inlineStr">
        <is>
          <t>ตำแหน่ง</t>
        </is>
      </c>
      <c r="F5" s="16" t="inlineStr">
        <is>
          <t>ระยะเวลาที่สอน</t>
        </is>
      </c>
      <c r="G5" s="432" t="n"/>
      <c r="H5" s="16" t="inlineStr">
        <is>
          <t>รหัสวิชา</t>
        </is>
      </c>
      <c r="I5" s="362" t="inlineStr">
        <is>
          <t>ชั้น,แผนก,ห้อง</t>
        </is>
      </c>
      <c r="J5" s="16" t="inlineStr">
        <is>
          <t>เวลาสอน</t>
        </is>
      </c>
      <c r="K5" s="135" t="n"/>
      <c r="L5" s="16" t="inlineStr">
        <is>
          <t>ปวช.(คาบ)</t>
        </is>
      </c>
      <c r="M5" s="432" t="n"/>
      <c r="N5" s="354" t="inlineStr">
        <is>
          <t>เงิน</t>
        </is>
      </c>
      <c r="O5" s="362" t="inlineStr">
        <is>
          <t>ยอดเงิน</t>
        </is>
      </c>
      <c r="P5" s="524" t="inlineStr">
        <is>
          <t>ปวส.(คาบ)</t>
        </is>
      </c>
      <c r="Q5" s="432" t="n"/>
      <c r="R5" s="354" t="inlineStr">
        <is>
          <t>เงิน</t>
        </is>
      </c>
      <c r="S5" s="362" t="inlineStr">
        <is>
          <t>ยอดเงิน</t>
        </is>
      </c>
      <c r="V5" s="390" t="n"/>
      <c r="Y5" s="374" t="n"/>
      <c r="Z5" s="523" t="n">
        <v>3</v>
      </c>
      <c r="AA5" s="374" t="n"/>
      <c r="AB5" s="390" t="inlineStr">
        <is>
          <t>นายไพรัช น้อยแสง</t>
        </is>
      </c>
      <c r="AE5" s="334" t="n">
        <v>12</v>
      </c>
      <c r="AG5" s="374" t="n"/>
      <c r="AH5" s="333" t="n">
        <v>2400</v>
      </c>
      <c r="AJ5" s="374" t="n"/>
    </row>
    <row r="6" ht="22.2" customHeight="1" s="375">
      <c r="A6" s="52" t="n"/>
      <c r="B6" s="8" t="n"/>
      <c r="C6" s="9" t="n"/>
      <c r="D6" s="13" t="n"/>
      <c r="E6" s="10" t="n"/>
      <c r="F6" s="336" t="inlineStr">
        <is>
          <t>ส.</t>
        </is>
      </c>
      <c r="G6" s="336" t="inlineStr">
        <is>
          <t>วดป.</t>
        </is>
      </c>
      <c r="H6" s="525" t="n"/>
      <c r="I6" s="336" t="n"/>
      <c r="J6" s="526" t="n"/>
      <c r="K6" s="527" t="n"/>
      <c r="L6" s="336" t="inlineStr">
        <is>
          <t>ใน</t>
        </is>
      </c>
      <c r="M6" s="336" t="inlineStr">
        <is>
          <t>นอก</t>
        </is>
      </c>
      <c r="N6" s="336" t="inlineStr">
        <is>
          <t>ต่อ ชม.</t>
        </is>
      </c>
      <c r="O6" s="336" t="inlineStr">
        <is>
          <t>(บาท)</t>
        </is>
      </c>
      <c r="P6" s="52" t="inlineStr">
        <is>
          <t>ใน</t>
        </is>
      </c>
      <c r="Q6" s="52" t="inlineStr">
        <is>
          <t>นอก</t>
        </is>
      </c>
      <c r="R6" s="336" t="inlineStr">
        <is>
          <t>ต่อ ชม.</t>
        </is>
      </c>
      <c r="S6" s="336" t="inlineStr">
        <is>
          <t>(บาท)</t>
        </is>
      </c>
      <c r="Y6" s="374" t="n"/>
      <c r="Z6" s="523" t="n">
        <v>4</v>
      </c>
      <c r="AA6" s="374" t="n"/>
      <c r="AB6" s="392" t="inlineStr">
        <is>
          <t>นายจักรกฤษณ์ ปัญญา</t>
        </is>
      </c>
      <c r="AD6" s="374" t="n"/>
      <c r="AE6" s="334" t="n">
        <v>12</v>
      </c>
      <c r="AG6" s="374" t="n"/>
      <c r="AH6" s="333" t="n">
        <v>2400</v>
      </c>
      <c r="AJ6" s="374" t="n"/>
    </row>
    <row r="7" ht="22.2" customHeight="1" s="375">
      <c r="A7" s="362" t="n">
        <v>1</v>
      </c>
      <c r="B7" s="528">
        <f>AB3</f>
        <v/>
      </c>
      <c r="C7" s="153" t="n"/>
      <c r="D7" s="135" t="n"/>
      <c r="E7" s="362" t="inlineStr">
        <is>
          <t>ครู</t>
        </is>
      </c>
      <c r="F7" s="5" t="n">
        <v>3</v>
      </c>
      <c r="G7" s="529" t="inlineStr">
        <is>
          <t>จันทร์</t>
        </is>
      </c>
      <c r="H7" s="376" t="inlineStr">
        <is>
          <t>20101-2018</t>
        </is>
      </c>
      <c r="I7" s="376" t="inlineStr">
        <is>
          <t>ชย.3/3 (26)</t>
        </is>
      </c>
      <c r="J7" s="334" t="inlineStr">
        <is>
          <t>17:10 - 21:10</t>
        </is>
      </c>
      <c r="K7" s="374" t="n"/>
      <c r="L7" s="367" t="n">
        <v>4</v>
      </c>
      <c r="M7" s="367" t="inlineStr"/>
      <c r="N7" s="381" t="inlineStr"/>
      <c r="O7" s="354" t="inlineStr"/>
      <c r="P7" s="381" t="inlineStr"/>
      <c r="Q7" s="367" t="inlineStr"/>
      <c r="R7" s="381" t="inlineStr"/>
      <c r="S7" s="354" t="inlineStr"/>
      <c r="T7" t="inlineStr"/>
      <c r="U7" t="inlineStr"/>
      <c r="Y7" s="314" t="n"/>
      <c r="Z7" s="523" t="n">
        <v>5</v>
      </c>
      <c r="AA7" s="374" t="n"/>
      <c r="AB7" s="392" t="inlineStr">
        <is>
          <t>นายพลกฤต น้อยเกิด</t>
        </is>
      </c>
      <c r="AD7" s="374" t="n"/>
      <c r="AE7" s="334" t="n">
        <v>12</v>
      </c>
      <c r="AG7" s="374" t="n"/>
      <c r="AH7" s="333" t="n">
        <v>2400</v>
      </c>
      <c r="AJ7" s="374" t="n"/>
    </row>
    <row r="8" ht="22.2" customHeight="1" s="375">
      <c r="A8" s="3" t="n"/>
      <c r="B8" s="530" t="n"/>
      <c r="D8" s="374" t="n"/>
      <c r="E8" s="334" t="n"/>
      <c r="F8" s="322" t="n"/>
      <c r="G8" s="531" t="inlineStr">
        <is>
          <t>28 ก.ย.69</t>
        </is>
      </c>
      <c r="H8" s="376" t="inlineStr"/>
      <c r="I8" s="376" t="inlineStr"/>
      <c r="J8" s="334" t="inlineStr"/>
      <c r="K8" s="374" t="n"/>
      <c r="L8" s="334" t="inlineStr"/>
      <c r="M8" s="334" t="inlineStr"/>
      <c r="N8" s="334" t="inlineStr"/>
      <c r="O8" s="354" t="inlineStr"/>
      <c r="P8" s="334" t="inlineStr"/>
      <c r="Q8" s="334" t="inlineStr"/>
      <c r="R8" s="334" t="inlineStr"/>
      <c r="S8" s="354" t="inlineStr"/>
      <c r="T8" t="inlineStr"/>
      <c r="U8" t="inlineStr"/>
      <c r="Z8" s="523" t="n">
        <v>6</v>
      </c>
      <c r="AA8" s="374" t="n"/>
      <c r="AB8" s="532" t="inlineStr">
        <is>
          <t>นายพงษ์พัฒน์ พิมพ์ปรุ</t>
        </is>
      </c>
      <c r="AD8" s="374" t="n"/>
      <c r="AE8" s="334" t="n">
        <v>12</v>
      </c>
      <c r="AG8" s="374" t="n"/>
      <c r="AH8" s="333" t="n">
        <v>2400</v>
      </c>
      <c r="AJ8" s="374" t="n"/>
    </row>
    <row r="9" ht="22.2" customHeight="1" s="375">
      <c r="A9" s="3" t="n"/>
      <c r="B9" s="313" t="n"/>
      <c r="D9" s="314" t="n"/>
      <c r="E9" s="314" t="n"/>
      <c r="F9" s="322" t="n"/>
      <c r="G9" s="321" t="inlineStr"/>
      <c r="H9" s="376" t="inlineStr"/>
      <c r="I9" s="376" t="inlineStr"/>
      <c r="J9" s="334" t="inlineStr"/>
      <c r="K9" s="374" t="n"/>
      <c r="L9" s="334" t="inlineStr"/>
      <c r="M9" s="334" t="inlineStr"/>
      <c r="N9" s="334" t="inlineStr"/>
      <c r="O9" s="354" t="inlineStr"/>
      <c r="P9" s="334" t="inlineStr"/>
      <c r="Q9" s="334" t="inlineStr"/>
      <c r="R9" s="334" t="inlineStr"/>
      <c r="S9" s="354" t="inlineStr"/>
      <c r="T9" s="383" t="inlineStr"/>
      <c r="Y9" s="62" t="n"/>
      <c r="Z9" s="523" t="n">
        <v>7</v>
      </c>
      <c r="AA9" s="374" t="n"/>
      <c r="AB9" s="532" t="inlineStr">
        <is>
          <t>นายพงศ์ศิริ ธรรมาวุฒิ</t>
        </is>
      </c>
      <c r="AD9" s="374" t="n"/>
      <c r="AE9" s="334" t="n">
        <v>12</v>
      </c>
      <c r="AG9" s="374" t="n"/>
      <c r="AH9" s="333" t="n">
        <v>2400</v>
      </c>
      <c r="AJ9" s="374" t="n"/>
    </row>
    <row r="10" ht="22.2" customHeight="1" s="375">
      <c r="A10" s="3" t="n"/>
      <c r="B10" s="313" t="n"/>
      <c r="E10" s="3" t="n"/>
      <c r="F10" s="322" t="n"/>
      <c r="G10" s="321" t="inlineStr"/>
      <c r="H10" s="334" t="inlineStr"/>
      <c r="I10" s="334" t="inlineStr"/>
      <c r="J10" s="334" t="inlineStr"/>
      <c r="K10" s="374" t="n"/>
      <c r="L10" s="334" t="inlineStr"/>
      <c r="M10" s="334" t="inlineStr"/>
      <c r="N10" s="334" t="inlineStr"/>
      <c r="O10" s="354" t="inlineStr"/>
      <c r="P10" s="334" t="inlineStr"/>
      <c r="Q10" s="334" t="inlineStr"/>
      <c r="R10" s="334" t="inlineStr"/>
      <c r="S10" s="354" t="inlineStr"/>
      <c r="T10" s="23" t="inlineStr"/>
      <c r="U10" s="23" t="inlineStr"/>
      <c r="V10" s="56" t="n"/>
      <c r="W10" s="23" t="n"/>
      <c r="X10" s="23" t="n"/>
      <c r="Y10" s="63" t="n"/>
      <c r="Z10" s="523" t="n">
        <v>8</v>
      </c>
      <c r="AA10" s="374" t="n"/>
      <c r="AB10" s="520" t="inlineStr">
        <is>
          <t>นายศุภเดช เมืองเงิน</t>
        </is>
      </c>
      <c r="AD10" s="374" t="n"/>
      <c r="AE10" s="334" t="n">
        <v>12</v>
      </c>
      <c r="AG10" s="374" t="n"/>
      <c r="AH10" s="333" t="n">
        <v>2400</v>
      </c>
      <c r="AJ10" s="374" t="n"/>
    </row>
    <row r="11" ht="22.2" customHeight="1" s="375">
      <c r="A11" s="3" t="n"/>
      <c r="D11" s="61" t="n"/>
      <c r="E11" s="3" t="n"/>
      <c r="G11" s="344" t="inlineStr"/>
      <c r="H11" s="336" t="inlineStr"/>
      <c r="I11" s="336" t="inlineStr"/>
      <c r="J11" s="336" t="inlineStr"/>
      <c r="K11" s="527" t="n"/>
      <c r="L11" s="334" t="inlineStr"/>
      <c r="M11" s="334" t="inlineStr"/>
      <c r="N11" s="334" t="inlineStr"/>
      <c r="O11" s="354" t="inlineStr"/>
      <c r="P11" s="334" t="inlineStr"/>
      <c r="Q11" s="334" t="inlineStr"/>
      <c r="R11" s="334" t="inlineStr"/>
      <c r="S11" s="354" t="inlineStr"/>
      <c r="T11" t="inlineStr"/>
      <c r="U11" t="inlineStr"/>
      <c r="W11" s="63" t="n"/>
      <c r="X11" s="63" t="n"/>
      <c r="Y11" s="351" t="n"/>
      <c r="Z11" s="523" t="n">
        <v>9</v>
      </c>
      <c r="AA11" s="374" t="n"/>
      <c r="AB11" s="532" t="inlineStr">
        <is>
          <t>นายณัฐพงศ์ จันทร์แดง</t>
        </is>
      </c>
      <c r="AD11" s="374" t="n"/>
      <c r="AE11" s="334" t="n">
        <v>12</v>
      </c>
      <c r="AG11" s="374" t="n"/>
      <c r="AH11" s="333" t="n">
        <v>2400</v>
      </c>
      <c r="AJ11" s="374" t="n"/>
    </row>
    <row r="12" ht="22.2" customHeight="1" s="375">
      <c r="A12" s="3" t="n"/>
      <c r="E12" s="3" t="n"/>
      <c r="G12" s="533" t="inlineStr">
        <is>
          <t>อังคาร</t>
        </is>
      </c>
      <c r="H12" s="376" t="inlineStr">
        <is>
          <t>20101-2010</t>
        </is>
      </c>
      <c r="I12" s="376" t="inlineStr">
        <is>
          <t>ชย.2/7 (26)</t>
        </is>
      </c>
      <c r="J12" s="381" t="inlineStr">
        <is>
          <t>08:10 - 12:10</t>
        </is>
      </c>
      <c r="K12" s="135" t="n"/>
      <c r="L12" s="381" t="n">
        <v>4</v>
      </c>
      <c r="M12" s="381" t="inlineStr"/>
      <c r="N12" s="381" t="inlineStr"/>
      <c r="O12" s="354" t="inlineStr"/>
      <c r="P12" s="381" t="inlineStr"/>
      <c r="Q12" s="367" t="inlineStr"/>
      <c r="R12" s="381" t="inlineStr"/>
      <c r="S12" s="354" t="inlineStr"/>
      <c r="T12" t="inlineStr"/>
      <c r="U12" t="inlineStr"/>
      <c r="W12" s="62" t="n"/>
      <c r="X12" s="62" t="n"/>
      <c r="Y12" s="62" t="n"/>
      <c r="Z12" s="523" t="n">
        <v>10</v>
      </c>
      <c r="AA12" s="374" t="n"/>
      <c r="AB12" s="390" t="inlineStr">
        <is>
          <t>นายมนตรี ทิมสุข</t>
        </is>
      </c>
      <c r="AE12" s="333" t="n">
        <v>12</v>
      </c>
      <c r="AG12" s="374" t="n"/>
      <c r="AH12" s="333" t="n">
        <v>2400</v>
      </c>
      <c r="AJ12" s="374" t="n"/>
    </row>
    <row r="13" ht="22.2" customHeight="1" s="375">
      <c r="A13" s="3" t="n"/>
      <c r="E13" s="3" t="n"/>
      <c r="G13" s="531" t="inlineStr">
        <is>
          <t>29 ก.ย.69</t>
        </is>
      </c>
      <c r="H13" s="376" t="inlineStr">
        <is>
          <t>20101-2010</t>
        </is>
      </c>
      <c r="I13" s="376" t="inlineStr">
        <is>
          <t>ชย.2/7 (26)</t>
        </is>
      </c>
      <c r="J13" s="334" t="inlineStr">
        <is>
          <t>13:10 - 16:10</t>
        </is>
      </c>
      <c r="K13" s="374" t="n"/>
      <c r="L13" s="334" t="n">
        <v>3</v>
      </c>
      <c r="M13" s="334" t="inlineStr"/>
      <c r="N13" s="334" t="inlineStr"/>
      <c r="O13" s="354" t="inlineStr"/>
      <c r="P13" s="334" t="inlineStr"/>
      <c r="Q13" s="334" t="inlineStr"/>
      <c r="R13" s="334" t="inlineStr"/>
      <c r="S13" s="354" t="inlineStr"/>
      <c r="T13" t="inlineStr"/>
      <c r="U13" t="inlineStr"/>
      <c r="W13" s="62" t="n"/>
      <c r="X13" s="62" t="n"/>
      <c r="Y13" s="62" t="n"/>
      <c r="Z13" s="523" t="n">
        <v>11</v>
      </c>
      <c r="AA13" s="374" t="n"/>
      <c r="AB13" s="390" t="inlineStr">
        <is>
          <t>นางสาวจิราพร พิมเสน</t>
        </is>
      </c>
      <c r="AE13" s="333" t="n">
        <v>12</v>
      </c>
      <c r="AG13" s="374" t="n"/>
      <c r="AH13" s="333" t="n">
        <v>2400</v>
      </c>
      <c r="AJ13" s="374" t="n"/>
    </row>
    <row r="14" ht="22.2" customHeight="1" s="375">
      <c r="A14" s="3" t="n"/>
      <c r="B14" s="313" t="n"/>
      <c r="D14" s="314" t="n"/>
      <c r="E14" s="314" t="n"/>
      <c r="G14" s="334" t="inlineStr"/>
      <c r="H14" s="376" t="inlineStr">
        <is>
          <t>20101-2018</t>
        </is>
      </c>
      <c r="I14" s="376" t="inlineStr">
        <is>
          <t>ชย.3/3 (26)</t>
        </is>
      </c>
      <c r="J14" s="334" t="inlineStr">
        <is>
          <t>17:10 - 20:10</t>
        </is>
      </c>
      <c r="K14" s="374" t="n"/>
      <c r="L14" s="334" t="n">
        <v>3</v>
      </c>
      <c r="M14" s="334" t="inlineStr"/>
      <c r="N14" s="334" t="inlineStr"/>
      <c r="O14" s="354" t="inlineStr"/>
      <c r="P14" s="334" t="inlineStr"/>
      <c r="Q14" s="334" t="inlineStr"/>
      <c r="R14" s="334" t="inlineStr"/>
      <c r="S14" s="354" t="inlineStr"/>
      <c r="T14" t="inlineStr"/>
      <c r="U14" t="inlineStr"/>
      <c r="Y14" s="62" t="n"/>
      <c r="Z14" s="523" t="n">
        <v>12</v>
      </c>
      <c r="AA14" s="374" t="n"/>
      <c r="AB14" s="534" t="inlineStr">
        <is>
          <t>นายสมชาย อุประ</t>
        </is>
      </c>
      <c r="AD14" s="374" t="n"/>
      <c r="AE14" s="333" t="n">
        <v>12</v>
      </c>
      <c r="AG14" s="374" t="n"/>
      <c r="AH14" s="333" t="n">
        <v>2400</v>
      </c>
      <c r="AJ14" s="374" t="n"/>
    </row>
    <row r="15" ht="22.2" customHeight="1" s="375">
      <c r="A15" s="3" t="n"/>
      <c r="E15" s="3" t="n"/>
      <c r="G15" s="54" t="inlineStr"/>
      <c r="H15" s="322" t="inlineStr"/>
      <c r="I15" s="334" t="inlineStr"/>
      <c r="J15" s="334" t="inlineStr"/>
      <c r="K15" s="374" t="n"/>
      <c r="L15" s="334" t="inlineStr"/>
      <c r="M15" s="334" t="inlineStr"/>
      <c r="N15" s="334" t="inlineStr"/>
      <c r="O15" s="354" t="inlineStr"/>
      <c r="P15" s="334" t="inlineStr"/>
      <c r="Q15" s="334" t="inlineStr"/>
      <c r="R15" s="334" t="inlineStr"/>
      <c r="S15" s="354" t="inlineStr"/>
      <c r="T15" t="inlineStr"/>
      <c r="U15" t="inlineStr"/>
      <c r="W15" s="62" t="n"/>
      <c r="X15" s="62" t="n"/>
      <c r="Y15" s="62" t="n"/>
      <c r="Z15" s="523" t="n">
        <v>13</v>
      </c>
      <c r="AA15" s="374" t="n"/>
      <c r="AB15" s="534" t="inlineStr">
        <is>
          <t>นายสถาปนิก คุ้มสะอาด</t>
        </is>
      </c>
      <c r="AD15" s="374" t="n"/>
      <c r="AE15" s="333" t="n">
        <v>12</v>
      </c>
      <c r="AG15" s="374" t="n"/>
      <c r="AH15" s="333" t="n">
        <v>2400</v>
      </c>
      <c r="AJ15" s="374" t="n"/>
    </row>
    <row r="16" ht="22.2" customHeight="1" s="375">
      <c r="A16" s="3" t="n"/>
      <c r="D16" s="7" t="inlineStr">
        <is>
          <t> </t>
        </is>
      </c>
      <c r="E16" s="3" t="n"/>
      <c r="G16" s="55" t="inlineStr"/>
      <c r="H16" s="336" t="inlineStr"/>
      <c r="I16" s="336" t="inlineStr"/>
      <c r="J16" s="336" t="inlineStr"/>
      <c r="K16" s="527" t="n"/>
      <c r="L16" s="334" t="inlineStr"/>
      <c r="M16" s="334" t="inlineStr"/>
      <c r="N16" s="334" t="inlineStr"/>
      <c r="O16" s="354" t="inlineStr"/>
      <c r="P16" s="334" t="inlineStr"/>
      <c r="Q16" s="334" t="inlineStr"/>
      <c r="R16" s="334" t="inlineStr"/>
      <c r="S16" s="354" t="inlineStr"/>
      <c r="T16" t="inlineStr"/>
      <c r="U16" t="inlineStr"/>
      <c r="Y16" s="62" t="n"/>
      <c r="Z16" s="523" t="n"/>
      <c r="AA16" s="374" t="n"/>
      <c r="AB16" s="532" t="n"/>
      <c r="AD16" s="374" t="n"/>
      <c r="AE16" s="333" t="n"/>
      <c r="AG16" s="374" t="n"/>
      <c r="AH16" s="333" t="n"/>
      <c r="AJ16" s="374" t="n"/>
    </row>
    <row r="17" ht="22.2" customHeight="1" s="375">
      <c r="A17" s="3" t="n"/>
      <c r="E17" s="3" t="n"/>
      <c r="G17" s="535" t="inlineStr">
        <is>
          <t>พุธ</t>
        </is>
      </c>
      <c r="H17" s="376" t="inlineStr">
        <is>
          <t>20101-2010</t>
        </is>
      </c>
      <c r="I17" s="376" t="inlineStr">
        <is>
          <t>ชย.2/6 (26)</t>
        </is>
      </c>
      <c r="J17" s="381" t="inlineStr">
        <is>
          <t>08:10 - 12:10</t>
        </is>
      </c>
      <c r="K17" s="135" t="n"/>
      <c r="L17" s="367" t="n">
        <v>2</v>
      </c>
      <c r="M17" s="381" t="n">
        <v>2</v>
      </c>
      <c r="N17" s="381" t="n">
        <v>200</v>
      </c>
      <c r="O17" s="354">
        <f>M17*N17</f>
        <v/>
      </c>
      <c r="P17" s="381" t="inlineStr"/>
      <c r="Q17" s="367" t="inlineStr"/>
      <c r="R17" s="381" t="inlineStr"/>
      <c r="S17" s="354" t="inlineStr"/>
      <c r="T17" t="inlineStr"/>
      <c r="U17" t="inlineStr"/>
      <c r="Y17" s="62" t="n"/>
      <c r="Z17" s="523" t="n"/>
      <c r="AA17" s="374" t="n"/>
      <c r="AB17" s="532" t="n"/>
      <c r="AD17" s="374" t="n"/>
      <c r="AE17" s="333" t="n"/>
      <c r="AG17" s="374" t="n"/>
      <c r="AH17" s="333" t="n"/>
      <c r="AJ17" s="374" t="n"/>
    </row>
    <row r="18" ht="22.2" customHeight="1" s="375">
      <c r="A18" s="3" t="n"/>
      <c r="B18" s="321" t="n"/>
      <c r="C18" s="322" t="n"/>
      <c r="D18" s="322" t="n"/>
      <c r="E18" s="334" t="n"/>
      <c r="G18" s="531" t="inlineStr">
        <is>
          <t>30 ก.ย.69</t>
        </is>
      </c>
      <c r="H18" s="376" t="inlineStr">
        <is>
          <t>20101-2010</t>
        </is>
      </c>
      <c r="I18" s="376" t="inlineStr">
        <is>
          <t>ชย.2/6 (26)</t>
        </is>
      </c>
      <c r="J18" s="334" t="inlineStr">
        <is>
          <t>13:10 - 16:10</t>
        </is>
      </c>
      <c r="K18" s="374" t="n"/>
      <c r="L18" s="334" t="inlineStr"/>
      <c r="M18" s="334" t="n">
        <v>3</v>
      </c>
      <c r="N18" s="334" t="n">
        <v>200</v>
      </c>
      <c r="O18" s="354">
        <f>M18*N18</f>
        <v/>
      </c>
      <c r="P18" s="334" t="inlineStr"/>
      <c r="Q18" s="334" t="inlineStr"/>
      <c r="R18" s="334" t="inlineStr"/>
      <c r="S18" s="354" t="inlineStr"/>
      <c r="T18" t="inlineStr"/>
      <c r="U18" t="inlineStr"/>
      <c r="W18" s="62" t="n"/>
      <c r="X18" s="62" t="n"/>
      <c r="Z18" s="523" t="n"/>
      <c r="AA18" s="374" t="n"/>
      <c r="AB18" s="520" t="n"/>
      <c r="AD18" s="374" t="n"/>
      <c r="AE18" s="333" t="n"/>
      <c r="AG18" s="374" t="n"/>
      <c r="AH18" s="333" t="n"/>
      <c r="AJ18" s="374" t="n"/>
    </row>
    <row r="19" ht="22.2" customHeight="1" s="375">
      <c r="A19" s="3" t="n"/>
      <c r="B19" s="313" t="n"/>
      <c r="D19" s="314" t="n"/>
      <c r="E19" s="314" t="n"/>
      <c r="G19" s="334" t="inlineStr"/>
      <c r="H19" s="376" t="inlineStr"/>
      <c r="I19" s="376" t="inlineStr"/>
      <c r="J19" s="334" t="inlineStr"/>
      <c r="K19" s="374" t="n"/>
      <c r="L19" s="334" t="inlineStr"/>
      <c r="M19" s="334" t="inlineStr"/>
      <c r="N19" s="334" t="inlineStr"/>
      <c r="O19" s="354" t="inlineStr"/>
      <c r="P19" s="334" t="inlineStr"/>
      <c r="Q19" s="334" t="inlineStr"/>
      <c r="R19" s="334" t="inlineStr"/>
      <c r="S19" s="354" t="inlineStr"/>
      <c r="T19" s="383" t="inlineStr"/>
      <c r="Z19" s="523" t="n"/>
      <c r="AA19" s="374" t="n"/>
      <c r="AB19" s="520" t="n"/>
      <c r="AD19" s="374" t="n"/>
      <c r="AE19" s="333" t="n"/>
      <c r="AG19" s="374" t="n"/>
      <c r="AH19" s="333" t="n"/>
      <c r="AJ19" s="374" t="n"/>
    </row>
    <row r="20" ht="22.2" customHeight="1" s="375">
      <c r="A20" s="3" t="n"/>
      <c r="E20" s="3" t="n"/>
      <c r="G20" s="321" t="inlineStr"/>
      <c r="H20" s="321" t="inlineStr"/>
      <c r="I20" s="376" t="inlineStr"/>
      <c r="J20" s="334" t="inlineStr"/>
      <c r="K20" s="374" t="n"/>
      <c r="L20" s="334" t="inlineStr"/>
      <c r="M20" s="334" t="inlineStr"/>
      <c r="N20" s="334" t="inlineStr"/>
      <c r="O20" s="354" t="inlineStr"/>
      <c r="P20" s="334" t="inlineStr"/>
      <c r="Q20" s="334" t="inlineStr"/>
      <c r="R20" s="334" t="inlineStr"/>
      <c r="S20" s="354" t="inlineStr"/>
      <c r="T20" s="23" t="inlineStr"/>
      <c r="U20" s="23" t="inlineStr"/>
      <c r="V20" s="56" t="n"/>
      <c r="W20" s="23" t="n"/>
      <c r="X20" s="23" t="n"/>
      <c r="Y20" s="322" t="n"/>
      <c r="Z20" s="523" t="n"/>
      <c r="AA20" s="374" t="n"/>
      <c r="AB20" s="520" t="n"/>
      <c r="AD20" s="374" t="n"/>
      <c r="AE20" s="333" t="n"/>
      <c r="AG20" s="374" t="n"/>
      <c r="AH20" s="333" t="n"/>
      <c r="AJ20" s="374" t="n"/>
    </row>
    <row r="21" ht="22.2" customHeight="1" s="375">
      <c r="A21" s="3" t="n"/>
      <c r="E21" s="3" t="n"/>
      <c r="G21" s="327" t="inlineStr"/>
      <c r="H21" s="327" t="inlineStr"/>
      <c r="I21" s="336" t="inlineStr"/>
      <c r="J21" s="336" t="inlineStr"/>
      <c r="K21" s="527" t="n"/>
      <c r="L21" s="336" t="inlineStr"/>
      <c r="M21" s="336" t="inlineStr"/>
      <c r="N21" s="336" t="inlineStr"/>
      <c r="O21" s="354" t="inlineStr"/>
      <c r="P21" s="336" t="inlineStr"/>
      <c r="Q21" s="336" t="inlineStr"/>
      <c r="R21" s="336" t="inlineStr"/>
      <c r="S21" s="354" t="inlineStr"/>
      <c r="T21" t="inlineStr"/>
      <c r="U21" t="inlineStr"/>
      <c r="Y21" s="322" t="n"/>
      <c r="Z21" s="523" t="n"/>
      <c r="AA21" s="374" t="n"/>
      <c r="AB21" s="532" t="n"/>
      <c r="AD21" s="374" t="n"/>
      <c r="AE21" s="333" t="n"/>
      <c r="AG21" s="374" t="n"/>
      <c r="AH21" s="333" t="n"/>
      <c r="AJ21" s="374" t="n"/>
    </row>
    <row r="22" ht="22.2" customHeight="1" s="375">
      <c r="A22" s="3" t="n"/>
      <c r="E22" s="3" t="n"/>
      <c r="G22" s="533" t="inlineStr">
        <is>
          <t>พฤหัส</t>
        </is>
      </c>
      <c r="H22" s="376" t="inlineStr">
        <is>
          <t>20101-2010</t>
        </is>
      </c>
      <c r="I22" s="376" t="inlineStr">
        <is>
          <t>ชย.2/5 (26)</t>
        </is>
      </c>
      <c r="J22" s="381" t="inlineStr">
        <is>
          <t>08:10 - 12:10</t>
        </is>
      </c>
      <c r="K22" s="135" t="n"/>
      <c r="L22" s="334" t="inlineStr"/>
      <c r="M22" s="334" t="n">
        <v>4</v>
      </c>
      <c r="N22" s="334" t="n">
        <v>200</v>
      </c>
      <c r="O22" s="354">
        <f>M22*N22</f>
        <v/>
      </c>
      <c r="P22" s="381" t="inlineStr"/>
      <c r="Q22" s="367" t="inlineStr"/>
      <c r="R22" s="381" t="inlineStr"/>
      <c r="S22" s="354" t="inlineStr"/>
      <c r="T22" t="inlineStr"/>
      <c r="U22" t="inlineStr"/>
      <c r="Y22" s="322" t="n"/>
      <c r="Z22" s="523" t="n"/>
      <c r="AA22" s="374" t="n"/>
      <c r="AB22" s="532" t="n"/>
      <c r="AD22" s="374" t="n"/>
      <c r="AE22" s="333" t="n"/>
      <c r="AG22" s="374" t="n"/>
      <c r="AH22" s="333" t="n"/>
      <c r="AJ22" s="374" t="n"/>
    </row>
    <row r="23" ht="22.2" customHeight="1" s="375">
      <c r="A23" s="3" t="n"/>
      <c r="E23" s="3" t="n"/>
      <c r="G23" s="531" t="inlineStr">
        <is>
          <t>1 ต.ค.69</t>
        </is>
      </c>
      <c r="H23" s="376" t="inlineStr">
        <is>
          <t>20101-2010</t>
        </is>
      </c>
      <c r="I23" s="376" t="inlineStr">
        <is>
          <t>ชย.2/5 (26)</t>
        </is>
      </c>
      <c r="J23" s="334" t="inlineStr">
        <is>
          <t>15:10 - 18:10</t>
        </is>
      </c>
      <c r="K23" s="374" t="n"/>
      <c r="L23" s="334" t="inlineStr"/>
      <c r="M23" s="334" t="n">
        <v>3</v>
      </c>
      <c r="N23" s="334" t="n">
        <v>200</v>
      </c>
      <c r="O23" s="354">
        <f>M23*N23</f>
        <v/>
      </c>
      <c r="P23" s="334" t="inlineStr"/>
      <c r="Q23" s="334" t="inlineStr"/>
      <c r="R23" s="334" t="inlineStr"/>
      <c r="S23" s="354" t="inlineStr"/>
      <c r="T23" t="inlineStr"/>
      <c r="U23" s="322" t="inlineStr"/>
      <c r="V23" s="322" t="n"/>
      <c r="W23" s="322" t="n"/>
      <c r="X23" s="322" t="n"/>
      <c r="Y23" s="322" t="n"/>
      <c r="Z23" s="523" t="n"/>
      <c r="AA23" s="374" t="n"/>
      <c r="AB23" s="532" t="n"/>
      <c r="AD23" s="374" t="n"/>
      <c r="AE23" s="333" t="n"/>
      <c r="AG23" s="374" t="n"/>
      <c r="AH23" s="333" t="n"/>
      <c r="AJ23" s="374" t="n"/>
    </row>
    <row r="24" ht="22.2" customHeight="1" s="375">
      <c r="A24" s="3" t="n"/>
      <c r="B24" s="313" t="n"/>
      <c r="E24" s="3" t="n"/>
      <c r="G24" s="334" t="inlineStr"/>
      <c r="H24" s="376" t="inlineStr"/>
      <c r="I24" s="376" t="inlineStr"/>
      <c r="J24" s="334" t="inlineStr"/>
      <c r="K24" s="374" t="n"/>
      <c r="L24" s="376" t="inlineStr"/>
      <c r="M24" s="376" t="inlineStr"/>
      <c r="N24" s="376" t="inlineStr"/>
      <c r="O24" s="354" t="inlineStr"/>
      <c r="P24" s="334" t="inlineStr"/>
      <c r="Q24" s="334" t="inlineStr"/>
      <c r="R24" s="334" t="inlineStr"/>
      <c r="S24" s="354" t="inlineStr"/>
      <c r="T24" t="inlineStr"/>
      <c r="U24" t="inlineStr"/>
      <c r="Y24" s="322" t="n"/>
      <c r="Z24" s="523" t="n"/>
      <c r="AA24" s="374" t="n"/>
      <c r="AB24" s="532" t="n"/>
      <c r="AD24" s="374" t="n"/>
      <c r="AE24" s="333" t="n"/>
      <c r="AG24" s="374" t="n"/>
      <c r="AH24" s="333" t="n"/>
      <c r="AJ24" s="374" t="n"/>
    </row>
    <row r="25" ht="22.2" customHeight="1" s="375">
      <c r="A25" s="3" t="n"/>
      <c r="E25" s="3" t="n"/>
      <c r="G25" s="334" t="inlineStr"/>
      <c r="H25" s="376" t="inlineStr"/>
      <c r="I25" s="376" t="inlineStr"/>
      <c r="J25" s="334" t="inlineStr"/>
      <c r="K25" s="374" t="n"/>
      <c r="L25" s="334" t="inlineStr"/>
      <c r="M25" s="334" t="inlineStr"/>
      <c r="N25" s="334" t="inlineStr"/>
      <c r="O25" s="354" t="inlineStr"/>
      <c r="P25" s="334" t="inlineStr"/>
      <c r="Q25" s="334" t="inlineStr"/>
      <c r="R25" s="334" t="inlineStr"/>
      <c r="S25" s="354" t="inlineStr"/>
      <c r="T25" t="inlineStr"/>
      <c r="U25" t="inlineStr"/>
      <c r="Y25" s="322" t="n"/>
      <c r="Z25" s="523" t="n"/>
      <c r="AA25" s="374" t="n"/>
      <c r="AB25" s="532" t="n"/>
      <c r="AD25" s="374" t="n"/>
      <c r="AE25" s="333" t="n"/>
      <c r="AG25" s="374" t="n"/>
      <c r="AH25" s="333" t="n"/>
      <c r="AJ25" s="374" t="n"/>
    </row>
    <row r="26" ht="22.2" customHeight="1" s="375">
      <c r="A26" s="3" t="n"/>
      <c r="E26" s="3" t="n"/>
      <c r="G26" s="336" t="inlineStr"/>
      <c r="H26" s="328" t="inlineStr"/>
      <c r="I26" s="336" t="inlineStr"/>
      <c r="J26" s="336" t="inlineStr"/>
      <c r="K26" s="527" t="n"/>
      <c r="L26" s="336" t="inlineStr"/>
      <c r="M26" s="336" t="inlineStr"/>
      <c r="N26" s="336" t="inlineStr"/>
      <c r="O26" s="354" t="inlineStr"/>
      <c r="P26" s="336" t="inlineStr"/>
      <c r="Q26" s="336" t="inlineStr"/>
      <c r="R26" s="336" t="inlineStr"/>
      <c r="S26" s="354" t="inlineStr"/>
      <c r="T26" t="inlineStr"/>
      <c r="U26" t="inlineStr"/>
      <c r="Y26" s="322" t="n"/>
      <c r="Z26" s="523" t="n"/>
      <c r="AA26" s="374" t="n"/>
      <c r="AB26" s="536" t="n"/>
      <c r="AD26" s="374" t="n"/>
      <c r="AE26" s="333" t="n"/>
      <c r="AG26" s="374" t="n"/>
      <c r="AH26" s="333" t="n"/>
      <c r="AJ26" s="374" t="n"/>
    </row>
    <row r="27" ht="22.2" customHeight="1" s="375">
      <c r="A27" s="3" t="n"/>
      <c r="E27" s="3" t="n"/>
      <c r="G27" s="533" t="inlineStr">
        <is>
          <t>ศุกร์</t>
        </is>
      </c>
      <c r="H27" s="376" t="inlineStr"/>
      <c r="I27" s="376" t="inlineStr"/>
      <c r="J27" s="381" t="inlineStr"/>
      <c r="K27" s="135" t="n"/>
      <c r="L27" s="334" t="inlineStr"/>
      <c r="M27" s="381" t="inlineStr"/>
      <c r="N27" s="381" t="inlineStr"/>
      <c r="O27" s="354" t="inlineStr"/>
      <c r="P27" s="381" t="inlineStr"/>
      <c r="Q27" s="367" t="inlineStr"/>
      <c r="R27" s="381" t="inlineStr"/>
      <c r="S27" s="354" t="inlineStr"/>
      <c r="T27" t="inlineStr"/>
      <c r="U27" t="inlineStr"/>
      <c r="W27" s="322" t="n"/>
      <c r="X27" s="322" t="n"/>
      <c r="Y27" s="322" t="n"/>
      <c r="Z27" s="334" t="n"/>
      <c r="AA27" s="374" t="n"/>
      <c r="AB27" s="532" t="n"/>
      <c r="AD27" s="374" t="n"/>
      <c r="AE27" s="333" t="n"/>
      <c r="AG27" s="374" t="n"/>
      <c r="AH27" s="333" t="n"/>
      <c r="AJ27" s="374" t="n"/>
    </row>
    <row r="28" ht="22.2" customHeight="1" s="375">
      <c r="A28" s="3" t="n"/>
      <c r="E28" s="3" t="n"/>
      <c r="G28" s="531" t="inlineStr">
        <is>
          <t>2 ต.ค.69</t>
        </is>
      </c>
      <c r="H28" s="376" t="inlineStr"/>
      <c r="I28" s="376" t="inlineStr"/>
      <c r="J28" s="334" t="inlineStr"/>
      <c r="K28" s="374" t="n"/>
      <c r="L28" s="334" t="inlineStr"/>
      <c r="M28" s="334" t="inlineStr"/>
      <c r="N28" s="334" t="inlineStr"/>
      <c r="O28" s="354" t="inlineStr"/>
      <c r="P28" s="334" t="inlineStr"/>
      <c r="Q28" s="334" t="inlineStr"/>
      <c r="R28" s="334" t="inlineStr"/>
      <c r="S28" s="354" t="inlineStr"/>
      <c r="T28" s="322" t="inlineStr"/>
      <c r="U28" s="322" t="inlineStr"/>
      <c r="V28" s="322" t="n"/>
      <c r="W28" s="322" t="n"/>
      <c r="X28" s="322" t="n"/>
      <c r="Y28" s="323" t="n"/>
      <c r="Z28" s="334" t="n"/>
      <c r="AA28" s="374" t="n"/>
      <c r="AB28" s="532" t="n"/>
      <c r="AD28" s="374" t="n"/>
      <c r="AE28" s="333" t="n"/>
      <c r="AG28" s="374" t="n"/>
      <c r="AH28" s="333" t="n"/>
      <c r="AJ28" s="374" t="n"/>
    </row>
    <row r="29" ht="22.2" customHeight="1" s="375">
      <c r="A29" s="3" t="n"/>
      <c r="E29" s="3" t="n"/>
      <c r="G29" s="334" t="inlineStr"/>
      <c r="H29" s="334" t="inlineStr"/>
      <c r="I29" s="334" t="inlineStr"/>
      <c r="J29" s="334" t="inlineStr"/>
      <c r="K29" s="374" t="n"/>
      <c r="L29" s="334" t="inlineStr"/>
      <c r="M29" s="334" t="inlineStr"/>
      <c r="N29" s="334" t="inlineStr"/>
      <c r="O29" s="354" t="inlineStr"/>
      <c r="P29" s="334" t="inlineStr"/>
      <c r="Q29" s="334" t="inlineStr"/>
      <c r="R29" s="334" t="inlineStr"/>
      <c r="S29" s="354" t="inlineStr"/>
      <c r="T29" s="6" t="inlineStr"/>
      <c r="U29" s="22" t="inlineStr"/>
      <c r="V29" s="57" t="n"/>
      <c r="W29" s="21" t="n"/>
      <c r="X29" s="21" t="n"/>
      <c r="Y29" s="314" t="n"/>
      <c r="Z29" s="334" t="n"/>
      <c r="AA29" s="374" t="n"/>
      <c r="AB29" s="390" t="n"/>
      <c r="AE29" s="333" t="n"/>
      <c r="AG29" s="374" t="n"/>
      <c r="AH29" s="333" t="n"/>
      <c r="AJ29" s="374" t="n"/>
    </row>
    <row r="30" ht="22.2" customHeight="1" s="375">
      <c r="A30" s="3" t="n"/>
      <c r="E30" s="3" t="n"/>
      <c r="G30" s="334" t="inlineStr"/>
      <c r="H30" s="334" t="inlineStr"/>
      <c r="I30" s="334" t="inlineStr"/>
      <c r="J30" s="334" t="inlineStr"/>
      <c r="K30" s="374" t="n"/>
      <c r="L30" s="334" t="inlineStr"/>
      <c r="M30" s="334" t="inlineStr"/>
      <c r="N30" s="334" t="inlineStr"/>
      <c r="O30" s="354" t="inlineStr"/>
      <c r="P30" s="334" t="inlineStr"/>
      <c r="Q30" s="334" t="inlineStr"/>
      <c r="R30" s="334" t="inlineStr"/>
      <c r="S30" s="354" t="inlineStr"/>
      <c r="T30" s="21" t="inlineStr"/>
      <c r="U30" s="22" t="inlineStr"/>
      <c r="V30" s="57" t="n"/>
      <c r="W30" s="21" t="n"/>
      <c r="X30" s="21" t="n"/>
      <c r="Y30" s="314" t="n"/>
      <c r="Z30" s="336" t="n"/>
      <c r="AA30" s="527" t="n"/>
      <c r="AB30" s="537" t="n"/>
      <c r="AC30" s="522" t="n"/>
      <c r="AD30" s="527" t="n"/>
      <c r="AE30" s="333" t="n"/>
      <c r="AG30" s="374" t="n"/>
      <c r="AH30" s="335" t="n"/>
      <c r="AI30" s="522" t="n"/>
      <c r="AJ30" s="527" t="n"/>
    </row>
    <row r="31" ht="22.2" customHeight="1" s="375">
      <c r="A31" s="3" t="n"/>
      <c r="E31" s="3" t="n"/>
      <c r="F31" s="3" t="n"/>
      <c r="G31" s="329" t="inlineStr"/>
      <c r="H31" s="328" t="inlineStr"/>
      <c r="I31" s="336" t="inlineStr"/>
      <c r="J31" s="336" t="inlineStr"/>
      <c r="K31" s="527" t="n"/>
      <c r="L31" s="336" t="inlineStr"/>
      <c r="M31" s="336" t="inlineStr"/>
      <c r="N31" s="336" t="inlineStr"/>
      <c r="O31" s="354" t="inlineStr"/>
      <c r="P31" s="336" t="inlineStr"/>
      <c r="Q31" s="336" t="inlineStr"/>
      <c r="R31" s="336" t="inlineStr"/>
      <c r="S31" s="354" t="inlineStr"/>
      <c r="T31" t="inlineStr"/>
      <c r="U31" t="inlineStr"/>
      <c r="AE31" s="153" t="n"/>
      <c r="AF31" s="153" t="n"/>
      <c r="AG31" s="153" t="n"/>
    </row>
    <row r="32" ht="22.2" customHeight="1" s="375">
      <c r="A32" s="3" t="n"/>
      <c r="E32" s="3" t="n"/>
      <c r="F32" s="3" t="n"/>
      <c r="G32" s="16" t="inlineStr">
        <is>
          <t>รวมขั่วโมงที่สอนแยก ภาระงาน/ เกินภาระงาน</t>
        </is>
      </c>
      <c r="H32" s="518" t="n"/>
      <c r="I32" s="518" t="n"/>
      <c r="J32" s="518" t="n"/>
      <c r="K32" s="432" t="n"/>
      <c r="L32" s="16">
        <f>SUM(L7:L31)</f>
        <v/>
      </c>
      <c r="M32" s="16">
        <f>SUM(M7:M31)</f>
        <v/>
      </c>
      <c r="N32" s="16" t="n"/>
      <c r="O32" s="16" t="n"/>
      <c r="P32" s="16">
        <f>SUM(P7:P31)</f>
        <v/>
      </c>
      <c r="Q32" s="16">
        <f>SUM(Q7:Q31)</f>
        <v/>
      </c>
      <c r="R32" s="349" t="n"/>
      <c r="S32" s="16" t="n"/>
    </row>
    <row r="33" ht="22.2" customHeight="1" s="375">
      <c r="A33" s="3" t="n"/>
      <c r="E33" s="3" t="n"/>
      <c r="F33" s="3" t="n"/>
      <c r="G33" s="16" t="inlineStr">
        <is>
          <t>รวมจำนวนชั่วโมงสอนคาบต่อสับดาห์</t>
        </is>
      </c>
      <c r="H33" s="518" t="n"/>
      <c r="I33" s="518" t="n"/>
      <c r="J33" s="518" t="n"/>
      <c r="K33" s="432" t="n"/>
      <c r="L33" s="16">
        <f>L32+M32</f>
        <v/>
      </c>
      <c r="M33" s="432" t="n"/>
      <c r="N33" s="16" t="n"/>
      <c r="O33" s="348" t="n"/>
      <c r="P33" s="16">
        <f>P32+Q32</f>
        <v/>
      </c>
      <c r="Q33" s="432" t="n"/>
      <c r="R33" s="329" t="n"/>
      <c r="S33" s="336" t="n"/>
    </row>
    <row r="34" ht="22.2" customHeight="1" s="375">
      <c r="A34" s="3" t="n"/>
      <c r="E34" s="3" t="n"/>
      <c r="F34" s="3" t="n"/>
      <c r="G34" s="16" t="inlineStr">
        <is>
          <t>จำนวนชั่วโมงสอนตามภาระงานสอน</t>
        </is>
      </c>
      <c r="H34" s="518" t="n"/>
      <c r="I34" s="518" t="n"/>
      <c r="J34" s="518" t="n"/>
      <c r="K34" s="432" t="n"/>
      <c r="L34" s="131" t="n">
        <v>12</v>
      </c>
      <c r="M34" s="432" t="n"/>
      <c r="N34" s="131" t="n"/>
      <c r="O34" s="130" t="n"/>
      <c r="P34" s="131" t="n">
        <v>0</v>
      </c>
      <c r="Q34" s="432" t="n"/>
      <c r="R34" s="322" t="n"/>
      <c r="S34" s="334" t="n"/>
    </row>
    <row r="35" ht="22.2" customHeight="1" s="375" thickBot="1">
      <c r="A35" s="3" t="n"/>
      <c r="E35" s="3" t="n"/>
      <c r="F35" s="14" t="n"/>
      <c r="G35" s="16" t="inlineStr">
        <is>
          <t>จำนวนชั่วโมงบิกเกินภาระงานสอน/ค่าสอน</t>
        </is>
      </c>
      <c r="H35" s="518" t="n"/>
      <c r="I35" s="518" t="n"/>
      <c r="J35" s="518" t="n"/>
      <c r="K35" s="432" t="n"/>
      <c r="L35" s="17" t="n">
        <v>0</v>
      </c>
      <c r="M35" s="17">
        <f>SUM(M7:M31)</f>
        <v/>
      </c>
      <c r="N35" s="17" t="n"/>
      <c r="O35" s="17">
        <f>SUM(O7:O31)</f>
        <v/>
      </c>
      <c r="P35" s="17" t="n">
        <v>0</v>
      </c>
      <c r="Q35" s="17">
        <f>SUM(Q7:Q31)</f>
        <v/>
      </c>
      <c r="R35" s="18" t="n"/>
      <c r="S35" s="17">
        <f>SUM(S7:S31)</f>
        <v/>
      </c>
    </row>
    <row r="36" ht="22.2" customHeight="1" s="375" thickTop="1">
      <c r="A36" s="337" t="inlineStr">
        <is>
          <t>รวมจำนวนหน่วยชั่วโมงที่ขอเบิกค่าสอน ….</t>
        </is>
      </c>
      <c r="B36" s="518" t="n"/>
      <c r="C36" s="518" t="n"/>
      <c r="D36" s="518" t="n"/>
      <c r="E36" s="518" t="n"/>
      <c r="F36" s="518" t="n"/>
      <c r="G36" s="518" t="n"/>
      <c r="H36" s="348">
        <f>M35+Q35</f>
        <v/>
      </c>
      <c r="I36" s="348" t="inlineStr">
        <is>
          <t>….ชั่วโมง</t>
        </is>
      </c>
      <c r="J36" s="348" t="n"/>
      <c r="K36" s="328" t="inlineStr">
        <is>
          <t>ยอดเงินรวม</t>
        </is>
      </c>
      <c r="L36" s="522" t="n"/>
      <c r="M36" s="522" t="n"/>
      <c r="N36" s="328" t="n"/>
      <c r="O36" s="328" t="n"/>
      <c r="P36" s="339">
        <f>S35+O35</f>
        <v/>
      </c>
      <c r="Q36" s="538" t="n"/>
      <c r="R36" s="20" t="n"/>
      <c r="S36" s="19" t="inlineStr">
        <is>
          <t>..บาท</t>
        </is>
      </c>
    </row>
    <row r="37" ht="22.2" customHeight="1" s="375">
      <c r="A37" s="154" t="inlineStr">
        <is>
          <t>ผู้ขอเบิก</t>
        </is>
      </c>
      <c r="B37" s="153" t="n"/>
      <c r="C37" s="153" t="n"/>
      <c r="D37" s="153" t="n"/>
      <c r="E37" s="153" t="n"/>
      <c r="F37" s="153" t="n"/>
      <c r="G37" s="135" t="n"/>
      <c r="H37" s="154" t="inlineStr">
        <is>
          <t>ผู้รับรอง</t>
        </is>
      </c>
      <c r="I37" s="153" t="n"/>
      <c r="J37" s="153" t="n"/>
      <c r="K37" s="153" t="n"/>
      <c r="L37" s="135" t="n"/>
      <c r="M37" s="154" t="inlineStr">
        <is>
          <t>ผู้ตรวจ</t>
        </is>
      </c>
      <c r="N37" s="153" t="n"/>
      <c r="O37" s="153" t="n"/>
      <c r="P37" s="153" t="n"/>
      <c r="Q37" s="153" t="n"/>
      <c r="R37" s="153" t="n"/>
      <c r="S37" s="135" t="n"/>
    </row>
    <row r="38" ht="22.2" customHeight="1" s="375">
      <c r="A38" s="334" t="inlineStr">
        <is>
          <t>ลงชื่อ……………………………………………</t>
        </is>
      </c>
      <c r="G38" s="374" t="n"/>
      <c r="H38" s="334" t="inlineStr">
        <is>
          <t>ลงชื่อ……………………………………………</t>
        </is>
      </c>
      <c r="L38" s="374" t="n"/>
      <c r="M38" s="334" t="inlineStr">
        <is>
          <t>ลงชื่อ……………………………………………</t>
        </is>
      </c>
      <c r="S38" s="374" t="n"/>
    </row>
    <row r="39" ht="22.2" customHeight="1" s="375">
      <c r="A39" s="11" t="inlineStr">
        <is>
          <t>(</t>
        </is>
      </c>
      <c r="B39" s="324">
        <f>B7</f>
        <v/>
      </c>
      <c r="G39" s="326" t="inlineStr">
        <is>
          <t>)</t>
        </is>
      </c>
      <c r="H39" s="324" t="inlineStr">
        <is>
          <t>(</t>
        </is>
      </c>
      <c r="I39" s="340" t="inlineStr">
        <is>
          <t xml:space="preserve">  นายชำนาญ แก้วจงประสิทธิ์</t>
        </is>
      </c>
      <c r="L39" s="12" t="inlineStr">
        <is>
          <t>)</t>
        </is>
      </c>
      <c r="M39" s="53" t="inlineStr">
        <is>
          <t>(</t>
        </is>
      </c>
      <c r="N39" s="53" t="n"/>
      <c r="O39" s="324" t="inlineStr">
        <is>
          <t>นายทศวรรษ  คำสม</t>
        </is>
      </c>
      <c r="R39" s="25" t="n"/>
      <c r="S39" s="326" t="inlineStr">
        <is>
          <t>)</t>
        </is>
      </c>
    </row>
    <row r="40" ht="22.2" customHeight="1" s="375">
      <c r="A40" s="54" t="inlineStr">
        <is>
          <t>ตำแหน่ง  ครู</t>
        </is>
      </c>
      <c r="G40" s="374" t="n"/>
      <c r="H40" s="54" t="inlineStr">
        <is>
          <t>ตำแหน่ง หัวหน้าแผนก</t>
        </is>
      </c>
      <c r="L40" s="374" t="n"/>
      <c r="M40" s="54" t="inlineStr">
        <is>
          <t>ตำแหน่ง   ผู้ตรวจสอบ</t>
        </is>
      </c>
      <c r="S40" s="374" t="n"/>
    </row>
    <row r="41" ht="22.2" customHeight="1" s="375">
      <c r="A41" s="55" t="inlineStr">
        <is>
          <t>วันที่ 5 เดือน ตุลาคม  พ.ศ.2569</t>
        </is>
      </c>
      <c r="B41" s="522" t="n"/>
      <c r="C41" s="522" t="n"/>
      <c r="D41" s="522" t="n"/>
      <c r="E41" s="522" t="n"/>
      <c r="F41" s="522" t="n"/>
      <c r="G41" s="527" t="n"/>
      <c r="H41" s="54">
        <f>A41</f>
        <v/>
      </c>
      <c r="L41" s="374" t="n"/>
      <c r="M41" s="55">
        <f>A41</f>
        <v/>
      </c>
      <c r="N41" s="522" t="n"/>
      <c r="O41" s="522" t="n"/>
      <c r="P41" s="522" t="n"/>
      <c r="Q41" s="522" t="n"/>
      <c r="R41" s="522" t="n"/>
      <c r="S41" s="527" t="n"/>
    </row>
    <row r="42" ht="22.2" customHeight="1" s="375">
      <c r="A42" s="154" t="inlineStr">
        <is>
          <t>ผู้ตรวจ</t>
        </is>
      </c>
      <c r="B42" s="153" t="n"/>
      <c r="C42" s="153" t="n"/>
      <c r="D42" s="153" t="n"/>
      <c r="E42" s="153" t="n"/>
      <c r="F42" s="153" t="n"/>
      <c r="G42" s="153" t="n"/>
      <c r="H42" s="153" t="n"/>
      <c r="I42" s="135" t="n"/>
      <c r="J42" s="154" t="inlineStr">
        <is>
          <t>ผู้เห็นชอบ</t>
        </is>
      </c>
      <c r="K42" s="153" t="n"/>
      <c r="L42" s="153" t="n"/>
      <c r="M42" s="153" t="n"/>
      <c r="N42" s="153" t="n"/>
      <c r="O42" s="153" t="n"/>
      <c r="P42" s="153" t="n"/>
      <c r="Q42" s="153" t="n"/>
      <c r="R42" s="153" t="n"/>
      <c r="S42" s="135" t="n"/>
    </row>
    <row r="43" ht="22.2" customHeight="1" s="375">
      <c r="A43" s="334" t="inlineStr">
        <is>
          <t>ลงชื่อ……………………………………………</t>
        </is>
      </c>
      <c r="I43" s="374" t="n"/>
      <c r="J43" s="334" t="inlineStr">
        <is>
          <t>ลงชื่อ……………………………………………</t>
        </is>
      </c>
      <c r="S43" s="374" t="n"/>
    </row>
    <row r="44" ht="22.2" customHeight="1" s="375">
      <c r="A44" s="11" t="n"/>
      <c r="B44" s="324" t="inlineStr">
        <is>
          <t xml:space="preserve">                     (นายศิวรักษ์ บุญประเสริฐ)</t>
        </is>
      </c>
      <c r="I44" s="326" t="n"/>
      <c r="J44" s="25" t="n"/>
      <c r="K44" s="25" t="n"/>
      <c r="L44" s="324" t="inlineStr">
        <is>
          <t xml:space="preserve">            (นายฉัตรชัย งาหอม)</t>
        </is>
      </c>
      <c r="R44" s="25" t="n"/>
      <c r="S44" s="12" t="n"/>
    </row>
    <row r="45" ht="22.2" customHeight="1" s="375">
      <c r="A45" s="54" t="inlineStr">
        <is>
          <t>ตำแหน่งครู  หัวหน้างานพัฒนาหลักสูตร ฯ</t>
        </is>
      </c>
      <c r="I45" s="374" t="n"/>
      <c r="J45" s="54" t="inlineStr">
        <is>
          <t>ตำแหน่ง  รองผู้อำนวยการฝ่ายวิชาการ</t>
        </is>
      </c>
      <c r="S45" s="374" t="n"/>
    </row>
    <row r="46" ht="22.2" customHeight="1" s="375">
      <c r="A46" s="336" t="inlineStr">
        <is>
          <t>วันที่.......เดือน..........................พ.ศ..............</t>
        </is>
      </c>
      <c r="B46" s="522" t="n"/>
      <c r="C46" s="522" t="n"/>
      <c r="D46" s="522" t="n"/>
      <c r="E46" s="522" t="n"/>
      <c r="F46" s="522" t="n"/>
      <c r="G46" s="522" t="n"/>
      <c r="H46" s="522" t="n"/>
      <c r="I46" s="527" t="n"/>
      <c r="J46" s="336" t="inlineStr">
        <is>
          <t>วันที่.......เดือน..........................พ.ศ..............</t>
        </is>
      </c>
      <c r="K46" s="522" t="n"/>
      <c r="L46" s="522" t="n"/>
      <c r="M46" s="522" t="n"/>
      <c r="N46" s="522" t="n"/>
      <c r="O46" s="522" t="n"/>
      <c r="P46" s="522" t="n"/>
      <c r="Q46" s="522" t="n"/>
      <c r="R46" s="522" t="n"/>
      <c r="S46" s="527" t="n"/>
    </row>
    <row r="47" ht="22.2" customHeight="1" s="375">
      <c r="A47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48" ht="22.2" customHeight="1" s="375">
      <c r="A48" s="365" t="inlineStr">
        <is>
          <t>แผนกวิชาช่างยนต์</t>
        </is>
      </c>
      <c r="AB48" s="389" t="n"/>
    </row>
    <row r="49" ht="22.2" customHeight="1" s="375">
      <c r="A49" s="366" t="inlineStr">
        <is>
          <t xml:space="preserve">    ระหว่างวันที่</t>
        </is>
      </c>
      <c r="D49" s="365">
        <f>D3</f>
        <v/>
      </c>
      <c r="E49" s="365" t="inlineStr">
        <is>
          <t xml:space="preserve">   เดือน  </t>
        </is>
      </c>
      <c r="F49" s="365">
        <f>F3</f>
        <v/>
      </c>
      <c r="H49" s="365">
        <f>H3</f>
        <v/>
      </c>
      <c r="I49" s="365" t="inlineStr">
        <is>
          <t xml:space="preserve">     ถึง วันที่</t>
        </is>
      </c>
      <c r="J49" s="365">
        <f>J3</f>
        <v/>
      </c>
      <c r="K49" s="365" t="inlineStr">
        <is>
          <t xml:space="preserve">   เดือน </t>
        </is>
      </c>
      <c r="L49" s="365">
        <f>L3</f>
        <v/>
      </c>
      <c r="N49" s="365">
        <f>N3</f>
        <v/>
      </c>
      <c r="P49" s="365" t="n"/>
      <c r="R49" s="365" t="n"/>
      <c r="AB49" s="389" t="n"/>
    </row>
    <row r="50" ht="22.2" customHeight="1" s="375">
      <c r="G50" s="51" t="inlineStr">
        <is>
          <t>ü</t>
        </is>
      </c>
      <c r="H50" s="351" t="inlineStr">
        <is>
          <t>ครู</t>
        </is>
      </c>
      <c r="I50" s="322" t="inlineStr">
        <is>
          <t>หน้าที่พิเศษ</t>
        </is>
      </c>
      <c r="J50" s="382" t="inlineStr">
        <is>
          <t>หัวงานทวิภาคี</t>
        </is>
      </c>
      <c r="K50" s="522" t="n"/>
      <c r="L50" s="522" t="n"/>
      <c r="M50" s="522" t="n"/>
      <c r="N50" s="522" t="n"/>
      <c r="O50" s="522" t="n"/>
      <c r="P50" s="522" t="n"/>
      <c r="AB50" s="388" t="n"/>
    </row>
    <row r="51" ht="22.2" customHeight="1" s="375">
      <c r="A51" s="24" t="inlineStr">
        <is>
          <t>ที่</t>
        </is>
      </c>
      <c r="B51" s="24" t="inlineStr">
        <is>
          <t>ชื่อ-สกุล</t>
        </is>
      </c>
      <c r="C51" s="153" t="n"/>
      <c r="D51" s="135" t="n"/>
      <c r="E51" s="15" t="inlineStr">
        <is>
          <t>ตำแหน่ง</t>
        </is>
      </c>
      <c r="F51" s="16" t="inlineStr">
        <is>
          <t>ระยะเวลาที่สอน</t>
        </is>
      </c>
      <c r="G51" s="432" t="n"/>
      <c r="H51" s="16" t="inlineStr">
        <is>
          <t>รหัสวิชา</t>
        </is>
      </c>
      <c r="I51" s="362" t="inlineStr">
        <is>
          <t>ชั้น,แผนก,ห้อง</t>
        </is>
      </c>
      <c r="J51" s="16" t="inlineStr">
        <is>
          <t>เวลาสอน</t>
        </is>
      </c>
      <c r="K51" s="135" t="n"/>
      <c r="L51" s="16" t="inlineStr">
        <is>
          <t>ปวช.(คาบ)</t>
        </is>
      </c>
      <c r="M51" s="432" t="n"/>
      <c r="N51" s="362" t="inlineStr">
        <is>
          <t>เงิน</t>
        </is>
      </c>
      <c r="O51" s="362" t="inlineStr">
        <is>
          <t>ยอดเงิน</t>
        </is>
      </c>
      <c r="P51" s="524" t="inlineStr">
        <is>
          <t>ปวส.(คาบ)</t>
        </is>
      </c>
      <c r="Q51" s="432" t="n"/>
      <c r="R51" s="354" t="inlineStr">
        <is>
          <t>เงิน</t>
        </is>
      </c>
      <c r="S51" s="362" t="inlineStr">
        <is>
          <t>ยอดเงิน</t>
        </is>
      </c>
      <c r="AB51" s="389" t="n"/>
    </row>
    <row r="52" ht="22.2" customHeight="1" s="375">
      <c r="A52" s="52" t="n"/>
      <c r="B52" s="8" t="n"/>
      <c r="C52" s="9" t="n"/>
      <c r="D52" s="13" t="n"/>
      <c r="E52" s="10" t="n"/>
      <c r="F52" s="336" t="inlineStr">
        <is>
          <t>ส.</t>
        </is>
      </c>
      <c r="G52" s="336" t="inlineStr">
        <is>
          <t>วดป.</t>
        </is>
      </c>
      <c r="H52" s="525" t="n"/>
      <c r="I52" s="336" t="n"/>
      <c r="J52" s="526" t="n"/>
      <c r="K52" s="527" t="n"/>
      <c r="L52" s="336" t="inlineStr">
        <is>
          <t>ใน</t>
        </is>
      </c>
      <c r="M52" s="336" t="inlineStr">
        <is>
          <t>นอก</t>
        </is>
      </c>
      <c r="N52" s="336" t="inlineStr">
        <is>
          <t>ต่อ ชม.</t>
        </is>
      </c>
      <c r="O52" s="336" t="inlineStr">
        <is>
          <t>(บาท)</t>
        </is>
      </c>
      <c r="P52" s="52" t="inlineStr">
        <is>
          <t>ใน</t>
        </is>
      </c>
      <c r="Q52" s="52" t="inlineStr">
        <is>
          <t>นอก</t>
        </is>
      </c>
      <c r="R52" s="336" t="inlineStr">
        <is>
          <t>ต่อ ชม.</t>
        </is>
      </c>
      <c r="S52" s="336" t="inlineStr">
        <is>
          <t>(บาท)</t>
        </is>
      </c>
    </row>
    <row r="53" ht="22.2" customHeight="1" s="375">
      <c r="A53" s="362" t="n">
        <v>2</v>
      </c>
      <c r="B53" s="528">
        <f>AB4</f>
        <v/>
      </c>
      <c r="C53" s="153" t="n"/>
      <c r="D53" s="135" t="n"/>
      <c r="E53" s="362" t="inlineStr">
        <is>
          <t>ครู</t>
        </is>
      </c>
      <c r="F53" s="5" t="n">
        <v>3</v>
      </c>
      <c r="G53" s="529" t="inlineStr">
        <is>
          <t>จันทร์</t>
        </is>
      </c>
      <c r="H53" s="381" t="inlineStr">
        <is>
          <t>20100-1006</t>
        </is>
      </c>
      <c r="I53" s="376" t="inlineStr">
        <is>
          <t>ชย.1/6 (26)</t>
        </is>
      </c>
      <c r="J53" s="381" t="inlineStr">
        <is>
          <t>08:10 - 12:10</t>
        </is>
      </c>
      <c r="K53" s="135" t="n"/>
      <c r="L53" s="367" t="n">
        <v>4</v>
      </c>
      <c r="M53" s="381" t="inlineStr"/>
      <c r="N53" s="381" t="inlineStr"/>
      <c r="O53" s="354" t="inlineStr"/>
      <c r="P53" s="381" t="inlineStr"/>
      <c r="Q53" s="367" t="inlineStr"/>
      <c r="R53" s="381" t="inlineStr"/>
      <c r="S53" s="354" t="inlineStr"/>
      <c r="T53" t="inlineStr"/>
      <c r="U53" t="inlineStr"/>
    </row>
    <row r="54" ht="22.2" customHeight="1" s="375">
      <c r="A54" s="3" t="n"/>
      <c r="B54" s="530" t="n"/>
      <c r="D54" s="374" t="n"/>
      <c r="E54" s="334" t="n"/>
      <c r="F54" s="322" t="n"/>
      <c r="G54" s="535" t="inlineStr">
        <is>
          <t>28 ก.ย.69</t>
        </is>
      </c>
      <c r="H54" s="376" t="inlineStr">
        <is>
          <t>20101-2008</t>
        </is>
      </c>
      <c r="I54" s="376" t="inlineStr">
        <is>
          <t>ชย.2/2 (26)</t>
        </is>
      </c>
      <c r="J54" s="334" t="inlineStr">
        <is>
          <t>13:10 - 17:10</t>
        </is>
      </c>
      <c r="K54" s="374" t="n"/>
      <c r="L54" s="323" t="n">
        <v>4</v>
      </c>
      <c r="M54" s="334" t="inlineStr"/>
      <c r="N54" s="334" t="inlineStr"/>
      <c r="O54" s="354" t="inlineStr"/>
      <c r="P54" s="334" t="inlineStr"/>
      <c r="Q54" s="334" t="inlineStr"/>
      <c r="R54" s="376" t="inlineStr"/>
      <c r="S54" s="354" t="inlineStr"/>
      <c r="T54" t="inlineStr"/>
      <c r="U54" t="inlineStr"/>
    </row>
    <row r="55" ht="22.2" customHeight="1" s="375">
      <c r="A55" s="3" t="n"/>
      <c r="B55" s="313" t="n"/>
      <c r="D55" s="314" t="n"/>
      <c r="E55" s="314" t="n"/>
      <c r="F55" s="322" t="n"/>
      <c r="G55" s="321" t="inlineStr"/>
      <c r="H55" s="334" t="inlineStr"/>
      <c r="I55" s="376" t="inlineStr"/>
      <c r="J55" s="376" t="inlineStr"/>
      <c r="K55" s="374" t="n"/>
      <c r="L55" s="334" t="inlineStr"/>
      <c r="M55" s="334" t="inlineStr"/>
      <c r="N55" s="334" t="inlineStr"/>
      <c r="O55" s="354" t="inlineStr"/>
      <c r="P55" s="334" t="inlineStr"/>
      <c r="Q55" s="334" t="inlineStr"/>
      <c r="R55" s="334" t="inlineStr"/>
      <c r="S55" s="354" t="inlineStr"/>
      <c r="T55" t="inlineStr"/>
      <c r="U55" t="inlineStr"/>
    </row>
    <row r="56" ht="22.2" customHeight="1" s="375">
      <c r="A56" s="3" t="n"/>
      <c r="B56" s="313" t="n"/>
      <c r="E56" s="3" t="n"/>
      <c r="F56" s="322" t="n"/>
      <c r="G56" s="321" t="inlineStr"/>
      <c r="H56" s="1" t="inlineStr"/>
      <c r="I56" s="1" t="inlineStr"/>
      <c r="J56" s="334" t="inlineStr"/>
      <c r="K56" s="374" t="n"/>
      <c r="L56" s="334" t="inlineStr"/>
      <c r="M56" s="334" t="inlineStr"/>
      <c r="N56" s="334" t="inlineStr"/>
      <c r="O56" s="354" t="inlineStr"/>
      <c r="P56" s="334" t="inlineStr"/>
      <c r="Q56" s="334" t="inlineStr"/>
      <c r="R56" s="334" t="inlineStr"/>
      <c r="S56" s="354" t="inlineStr"/>
      <c r="T56" t="inlineStr"/>
      <c r="U56" t="inlineStr"/>
      <c r="Y56" s="62" t="n"/>
      <c r="Z56" s="62" t="n"/>
      <c r="AA56" s="62" t="n"/>
      <c r="AB56" s="62" t="n"/>
    </row>
    <row r="57" ht="22.2" customHeight="1" s="375">
      <c r="A57" s="3" t="n"/>
      <c r="E57" s="3" t="n"/>
      <c r="G57" s="344" t="inlineStr"/>
      <c r="H57" s="336" t="inlineStr"/>
      <c r="I57" s="336" t="inlineStr"/>
      <c r="J57" s="336" t="inlineStr"/>
      <c r="K57" s="527" t="n"/>
      <c r="L57" s="334" t="inlineStr"/>
      <c r="M57" s="334" t="inlineStr"/>
      <c r="N57" s="334" t="inlineStr"/>
      <c r="O57" s="354" t="inlineStr"/>
      <c r="P57" s="334" t="inlineStr"/>
      <c r="Q57" s="334" t="inlineStr"/>
      <c r="R57" s="334" t="inlineStr"/>
      <c r="S57" s="354" t="inlineStr"/>
      <c r="T57" t="inlineStr"/>
      <c r="U57" t="inlineStr"/>
      <c r="Y57" s="63" t="n"/>
      <c r="Z57" s="63" t="n"/>
      <c r="AA57" s="63" t="n"/>
      <c r="AB57" s="63" t="n"/>
    </row>
    <row r="58" ht="22.2" customHeight="1" s="375">
      <c r="A58" s="3" t="n"/>
      <c r="E58" s="3" t="n"/>
      <c r="G58" s="533" t="inlineStr">
        <is>
          <t>อังคาร</t>
        </is>
      </c>
      <c r="H58" s="381" t="inlineStr">
        <is>
          <t>20100-1006</t>
        </is>
      </c>
      <c r="I58" s="376" t="inlineStr">
        <is>
          <t>ชย.1/8 (26)</t>
        </is>
      </c>
      <c r="J58" s="381" t="inlineStr">
        <is>
          <t>08:10 - 12:10</t>
        </is>
      </c>
      <c r="K58" s="135" t="n"/>
      <c r="L58" s="367" t="n">
        <v>4</v>
      </c>
      <c r="M58" s="381" t="inlineStr"/>
      <c r="N58" s="381" t="inlineStr"/>
      <c r="O58" s="354" t="inlineStr"/>
      <c r="P58" s="381" t="inlineStr"/>
      <c r="Q58" s="367" t="inlineStr"/>
      <c r="R58" s="381" t="inlineStr"/>
      <c r="S58" s="354" t="inlineStr"/>
      <c r="T58" t="inlineStr"/>
      <c r="U58" t="inlineStr"/>
      <c r="W58" s="63" t="n"/>
      <c r="X58" s="63" t="n"/>
      <c r="Y58" s="351" t="n"/>
      <c r="Z58" s="63" t="n"/>
      <c r="AA58" s="351" t="n"/>
      <c r="AB58" s="63" t="n"/>
    </row>
    <row r="59" ht="22.2" customHeight="1" s="375">
      <c r="A59" s="3" t="n"/>
      <c r="E59" s="3" t="n"/>
      <c r="G59" s="535" t="inlineStr">
        <is>
          <t>29 ก.ย.69</t>
        </is>
      </c>
      <c r="H59" s="376" t="inlineStr"/>
      <c r="I59" s="376" t="inlineStr"/>
      <c r="J59" s="334" t="inlineStr"/>
      <c r="K59" s="374" t="n"/>
      <c r="L59" s="334" t="inlineStr"/>
      <c r="M59" s="334" t="inlineStr"/>
      <c r="N59" s="334" t="inlineStr"/>
      <c r="O59" s="354" t="inlineStr"/>
      <c r="P59" s="334" t="inlineStr"/>
      <c r="Q59" s="334" t="inlineStr"/>
      <c r="R59" s="376" t="inlineStr"/>
      <c r="S59" s="354" t="inlineStr"/>
      <c r="T59" t="inlineStr"/>
      <c r="U59" t="inlineStr"/>
      <c r="W59" s="62" t="n"/>
      <c r="X59" s="62" t="n"/>
      <c r="Y59" s="62" t="n"/>
      <c r="Z59" s="63" t="n"/>
      <c r="AA59" s="64" t="n"/>
      <c r="AB59" s="63" t="n"/>
    </row>
    <row r="60" ht="22.2" customHeight="1" s="375">
      <c r="A60" s="3" t="n"/>
      <c r="B60" s="313" t="n"/>
      <c r="D60" s="314" t="n"/>
      <c r="E60" s="314" t="n"/>
      <c r="G60" s="334" t="inlineStr"/>
      <c r="H60" s="376" t="inlineStr"/>
      <c r="I60" s="376" t="inlineStr"/>
      <c r="J60" s="334" t="inlineStr"/>
      <c r="K60" s="374" t="n"/>
      <c r="L60" s="334" t="inlineStr"/>
      <c r="M60" s="334" t="inlineStr"/>
      <c r="N60" s="334" t="inlineStr"/>
      <c r="O60" s="354" t="inlineStr"/>
      <c r="P60" s="334" t="inlineStr"/>
      <c r="Q60" s="334" t="inlineStr"/>
      <c r="R60" s="334" t="inlineStr"/>
      <c r="S60" s="354" t="inlineStr"/>
      <c r="T60" t="inlineStr"/>
      <c r="U60" t="inlineStr"/>
      <c r="W60" s="62" t="n"/>
      <c r="X60" s="62" t="n"/>
      <c r="Y60" s="62" t="n"/>
      <c r="Z60" s="63" t="n"/>
      <c r="AA60" s="64" t="n"/>
      <c r="AB60" s="63" t="n"/>
    </row>
    <row r="61" ht="22.2" customHeight="1" s="375">
      <c r="A61" s="3" t="n"/>
      <c r="E61" s="3" t="n"/>
      <c r="G61" s="54" t="inlineStr"/>
      <c r="H61" s="322" t="inlineStr"/>
      <c r="I61" s="334" t="inlineStr"/>
      <c r="J61" s="334" t="inlineStr"/>
      <c r="K61" s="374" t="n"/>
      <c r="L61" s="334" t="inlineStr"/>
      <c r="M61" s="334" t="inlineStr"/>
      <c r="N61" s="334" t="inlineStr"/>
      <c r="O61" s="354" t="inlineStr"/>
      <c r="P61" s="334" t="inlineStr"/>
      <c r="Q61" s="334" t="inlineStr"/>
      <c r="R61" s="334" t="inlineStr"/>
      <c r="S61" s="354" t="inlineStr"/>
      <c r="T61" s="6" t="inlineStr"/>
      <c r="U61" s="22" t="inlineStr"/>
      <c r="V61" s="57" t="n"/>
      <c r="W61" s="21" t="n"/>
      <c r="X61" s="21" t="n"/>
      <c r="Y61" s="62" t="n"/>
      <c r="Z61" s="63" t="n"/>
      <c r="AA61" s="64" t="n"/>
      <c r="AB61" s="63" t="n"/>
    </row>
    <row r="62" ht="22.2" customHeight="1" s="375">
      <c r="A62" s="3" t="n"/>
      <c r="D62" s="7" t="inlineStr">
        <is>
          <t> </t>
        </is>
      </c>
      <c r="E62" s="3" t="n"/>
      <c r="G62" s="55" t="inlineStr"/>
      <c r="H62" s="327" t="inlineStr"/>
      <c r="I62" s="336" t="inlineStr"/>
      <c r="J62" s="336" t="inlineStr"/>
      <c r="K62" s="527" t="n"/>
      <c r="L62" s="334" t="inlineStr"/>
      <c r="M62" s="334" t="inlineStr"/>
      <c r="N62" s="334" t="inlineStr"/>
      <c r="O62" s="354" t="inlineStr"/>
      <c r="P62" s="334" t="inlineStr"/>
      <c r="Q62" s="334" t="inlineStr"/>
      <c r="R62" s="334" t="inlineStr"/>
      <c r="S62" s="354" t="inlineStr"/>
      <c r="T62" s="21" t="inlineStr"/>
      <c r="U62" s="22" t="inlineStr"/>
      <c r="V62" s="57" t="n"/>
      <c r="W62" s="21" t="n"/>
      <c r="X62" s="21" t="n"/>
      <c r="Y62" s="62" t="n"/>
      <c r="Z62" s="62" t="n"/>
      <c r="AA62" s="62" t="n"/>
      <c r="AB62" s="62" t="n"/>
    </row>
    <row r="63" ht="22.2" customHeight="1" s="375">
      <c r="A63" s="3" t="n"/>
      <c r="D63" s="374" t="n"/>
      <c r="E63" s="251" t="n"/>
      <c r="G63" s="539" t="inlineStr">
        <is>
          <t>พุธ</t>
        </is>
      </c>
      <c r="H63" s="381" t="inlineStr">
        <is>
          <t>20101-2011</t>
        </is>
      </c>
      <c r="I63" s="376" t="inlineStr">
        <is>
          <t>ชย.2/7 (26)</t>
        </is>
      </c>
      <c r="J63" s="381" t="inlineStr">
        <is>
          <t>08:10 - 12:10</t>
        </is>
      </c>
      <c r="K63" s="135" t="n"/>
      <c r="L63" s="381" t="n">
        <v>4</v>
      </c>
      <c r="M63" s="381" t="inlineStr"/>
      <c r="N63" s="381" t="inlineStr"/>
      <c r="O63" s="354" t="inlineStr"/>
      <c r="P63" s="381" t="inlineStr"/>
      <c r="Q63" s="381" t="inlineStr"/>
      <c r="R63" s="381" t="inlineStr"/>
      <c r="S63" s="354" t="inlineStr"/>
      <c r="T63" t="inlineStr"/>
      <c r="U63" t="inlineStr"/>
      <c r="Y63" s="62" t="n"/>
      <c r="Z63" s="62" t="n"/>
      <c r="AA63" s="62" t="n"/>
      <c r="AB63" s="62" t="n"/>
    </row>
    <row r="64" ht="22.2" customHeight="1" s="375">
      <c r="A64" s="3" t="n"/>
      <c r="B64" s="321" t="n"/>
      <c r="C64" s="322" t="n"/>
      <c r="D64" s="322" t="n"/>
      <c r="E64" s="334" t="n"/>
      <c r="G64" s="533" t="inlineStr">
        <is>
          <t>30 ก.ย.69</t>
        </is>
      </c>
      <c r="H64" s="376" t="inlineStr">
        <is>
          <t>20101-2011</t>
        </is>
      </c>
      <c r="I64" s="376" t="inlineStr">
        <is>
          <t>ชย.2/7 (26)</t>
        </is>
      </c>
      <c r="J64" s="334" t="inlineStr">
        <is>
          <t>13:10 - 16:10</t>
        </is>
      </c>
      <c r="K64" s="374" t="n"/>
      <c r="L64" s="334" t="inlineStr"/>
      <c r="M64" s="334" t="n">
        <v>3</v>
      </c>
      <c r="N64" s="334" t="n">
        <v>200</v>
      </c>
      <c r="O64" s="354">
        <f>M64*N64</f>
        <v/>
      </c>
      <c r="P64" s="334" t="inlineStr"/>
      <c r="Q64" s="334" t="inlineStr"/>
      <c r="R64" s="334" t="inlineStr"/>
      <c r="S64" s="354" t="inlineStr"/>
      <c r="T64" t="inlineStr"/>
      <c r="U64" t="inlineStr"/>
      <c r="Y64" s="62" t="n"/>
      <c r="Z64" s="62" t="n"/>
      <c r="AA64" s="62" t="n"/>
      <c r="AB64" s="62" t="n"/>
    </row>
    <row r="65" ht="22.2" customHeight="1" s="375">
      <c r="A65" s="3" t="n"/>
      <c r="B65" s="313" t="n"/>
      <c r="D65" s="314" t="n"/>
      <c r="E65" s="314" t="n"/>
      <c r="G65" s="334" t="inlineStr"/>
      <c r="H65" s="376" t="inlineStr"/>
      <c r="I65" s="376" t="inlineStr"/>
      <c r="J65" s="334" t="inlineStr"/>
      <c r="K65" s="374" t="n"/>
      <c r="L65" s="334" t="inlineStr"/>
      <c r="M65" s="334" t="inlineStr"/>
      <c r="N65" s="334" t="inlineStr"/>
      <c r="O65" s="354" t="inlineStr"/>
      <c r="P65" s="334" t="inlineStr"/>
      <c r="Q65" s="334" t="inlineStr"/>
      <c r="R65" s="334" t="inlineStr"/>
      <c r="S65" s="354" t="inlineStr"/>
      <c r="T65" t="inlineStr"/>
      <c r="U65" t="inlineStr"/>
      <c r="W65" s="62" t="n"/>
      <c r="X65" s="62" t="n"/>
    </row>
    <row r="66" ht="22.2" customHeight="1" s="375">
      <c r="A66" s="3" t="n"/>
      <c r="E66" s="3" t="n"/>
      <c r="G66" s="321" t="inlineStr"/>
      <c r="H66" s="334" t="inlineStr"/>
      <c r="I66" s="376" t="inlineStr"/>
      <c r="J66" s="334" t="inlineStr"/>
      <c r="K66" s="374" t="n"/>
      <c r="L66" s="334" t="inlineStr"/>
      <c r="M66" s="334" t="inlineStr"/>
      <c r="N66" s="334" t="inlineStr"/>
      <c r="O66" s="354" t="inlineStr"/>
      <c r="P66" s="334" t="inlineStr"/>
      <c r="Q66" s="334" t="inlineStr"/>
      <c r="R66" s="334" t="inlineStr"/>
      <c r="S66" s="354" t="inlineStr"/>
      <c r="T66" t="inlineStr"/>
      <c r="U66" t="inlineStr"/>
      <c r="Z66" s="322" t="n"/>
      <c r="AA66" s="322" t="n"/>
      <c r="AB66" s="322" t="n"/>
    </row>
    <row r="67" ht="22.2" customHeight="1" s="375">
      <c r="A67" s="3" t="n"/>
      <c r="E67" s="3" t="n"/>
      <c r="G67" s="327" t="inlineStr"/>
      <c r="H67" s="336" t="inlineStr"/>
      <c r="I67" s="336" t="inlineStr"/>
      <c r="J67" s="336" t="inlineStr"/>
      <c r="K67" s="527" t="n"/>
      <c r="L67" s="336" t="inlineStr"/>
      <c r="M67" s="336" t="inlineStr"/>
      <c r="N67" s="336" t="inlineStr"/>
      <c r="O67" s="354" t="inlineStr"/>
      <c r="P67" s="336" t="inlineStr"/>
      <c r="Q67" s="336" t="inlineStr"/>
      <c r="R67" s="336" t="inlineStr"/>
      <c r="S67" s="354" t="inlineStr"/>
      <c r="T67" t="inlineStr"/>
      <c r="U67" t="inlineStr"/>
      <c r="Y67" s="322" t="n"/>
      <c r="Z67" s="322" t="n"/>
      <c r="AA67" s="322" t="n"/>
      <c r="AB67" s="322" t="n"/>
    </row>
    <row r="68" ht="22.2" customHeight="1" s="375">
      <c r="A68" s="3" t="n"/>
      <c r="E68" s="3" t="n"/>
      <c r="G68" s="533" t="inlineStr">
        <is>
          <t>พฤหัส</t>
        </is>
      </c>
      <c r="H68" s="381" t="inlineStr">
        <is>
          <t>20000-2008</t>
        </is>
      </c>
      <c r="I68" s="376" t="inlineStr">
        <is>
          <t>ชย.ทวิ 3/9 (26)</t>
        </is>
      </c>
      <c r="J68" s="381" t="inlineStr">
        <is>
          <t>13:10 - 15:10</t>
        </is>
      </c>
      <c r="K68" s="135" t="n"/>
      <c r="L68" s="334" t="n">
        <v>2</v>
      </c>
      <c r="M68" s="334" t="inlineStr"/>
      <c r="N68" s="334" t="inlineStr"/>
      <c r="O68" s="354" t="inlineStr"/>
      <c r="P68" s="334" t="inlineStr"/>
      <c r="Q68" s="362" t="inlineStr"/>
      <c r="R68" s="362" t="inlineStr"/>
      <c r="S68" s="354" t="inlineStr"/>
      <c r="T68" t="inlineStr"/>
      <c r="U68" t="inlineStr"/>
      <c r="Y68" s="322" t="n"/>
      <c r="Z68" s="322" t="n"/>
      <c r="AA68" s="322" t="n"/>
      <c r="AB68" s="322" t="n"/>
    </row>
    <row r="69" ht="22.2" customHeight="1" s="375">
      <c r="A69" s="3" t="n"/>
      <c r="E69" s="3" t="n"/>
      <c r="G69" s="535" t="inlineStr">
        <is>
          <t>1 ต.ค.69</t>
        </is>
      </c>
      <c r="H69" s="376" t="inlineStr">
        <is>
          <t>20101-2050</t>
        </is>
      </c>
      <c r="I69" s="376" t="inlineStr">
        <is>
          <t>ชย.ทวิ 3/9 (26)</t>
        </is>
      </c>
      <c r="J69" s="376" t="inlineStr">
        <is>
          <t>19:10 - 21:10</t>
        </is>
      </c>
      <c r="K69" s="374" t="n"/>
      <c r="L69" s="323" t="inlineStr"/>
      <c r="M69" s="334" t="n">
        <v>2</v>
      </c>
      <c r="N69" s="334" t="n">
        <v>200</v>
      </c>
      <c r="O69" s="354">
        <f>M69*N69</f>
        <v/>
      </c>
      <c r="P69" s="376" t="inlineStr"/>
      <c r="Q69" s="334" t="inlineStr"/>
      <c r="R69" s="334" t="inlineStr"/>
      <c r="S69" s="354" t="inlineStr"/>
      <c r="T69" t="inlineStr"/>
      <c r="U69" s="322" t="inlineStr"/>
      <c r="V69" s="322" t="n"/>
      <c r="X69" s="322" t="n"/>
      <c r="Y69" s="322" t="n"/>
      <c r="Z69" s="322" t="n"/>
    </row>
    <row r="70" ht="22.2" customHeight="1" s="375">
      <c r="A70" s="3" t="n"/>
      <c r="B70" s="313" t="n"/>
      <c r="E70" s="3" t="n"/>
      <c r="G70" s="334" t="inlineStr"/>
      <c r="H70" s="376" t="inlineStr"/>
      <c r="I70" s="376" t="inlineStr"/>
      <c r="J70" s="334" t="inlineStr"/>
      <c r="K70" s="374" t="n"/>
      <c r="L70" s="376" t="inlineStr"/>
      <c r="M70" s="376" t="inlineStr"/>
      <c r="N70" s="376" t="inlineStr"/>
      <c r="O70" s="354" t="inlineStr"/>
      <c r="P70" t="inlineStr"/>
      <c r="Q70" s="376" t="inlineStr"/>
      <c r="R70" s="376" t="inlineStr"/>
      <c r="S70" s="354" t="inlineStr"/>
      <c r="T70" t="inlineStr"/>
      <c r="U70" s="322" t="inlineStr"/>
      <c r="V70" s="322" t="n"/>
      <c r="W70" s="322" t="n"/>
      <c r="X70" s="322" t="n"/>
      <c r="Y70" s="322" t="n"/>
      <c r="Z70" s="322" t="n"/>
    </row>
    <row r="71" ht="22.2" customHeight="1" s="375">
      <c r="A71" s="3" t="n"/>
      <c r="E71" s="3" t="n"/>
      <c r="G71" s="334" t="inlineStr"/>
      <c r="H71" s="334" t="inlineStr"/>
      <c r="I71" s="376" t="inlineStr"/>
      <c r="J71" s="376" t="inlineStr"/>
      <c r="K71" s="374" t="n"/>
      <c r="L71" s="334" t="inlineStr"/>
      <c r="M71" s="334" t="inlineStr"/>
      <c r="N71" s="334" t="inlineStr"/>
      <c r="O71" s="354" t="inlineStr"/>
      <c r="P71" s="376" t="inlineStr"/>
      <c r="Q71" s="334" t="inlineStr"/>
      <c r="R71" s="334" t="inlineStr"/>
      <c r="S71" s="354" t="inlineStr"/>
      <c r="T71" t="inlineStr"/>
      <c r="U71" s="322" t="inlineStr"/>
      <c r="V71" s="322" t="n"/>
      <c r="W71" s="322" t="n"/>
      <c r="X71" s="322" t="n"/>
      <c r="Y71" s="322" t="n"/>
      <c r="Z71" s="322" t="n"/>
    </row>
    <row r="72" ht="22.2" customHeight="1" s="375">
      <c r="A72" s="3" t="n"/>
      <c r="E72" s="3" t="n"/>
      <c r="G72" s="336" t="inlineStr"/>
      <c r="H72" s="336" t="inlineStr"/>
      <c r="I72" s="136" t="inlineStr"/>
      <c r="J72" s="336" t="inlineStr"/>
      <c r="K72" s="527" t="n"/>
      <c r="L72" s="336" t="inlineStr"/>
      <c r="M72" s="336" t="inlineStr"/>
      <c r="N72" s="336" t="inlineStr"/>
      <c r="O72" s="354" t="inlineStr"/>
      <c r="P72" s="334" t="inlineStr"/>
      <c r="Q72" s="336" t="inlineStr"/>
      <c r="R72" s="336" t="inlineStr"/>
      <c r="S72" s="354" t="inlineStr"/>
      <c r="T72" s="322" t="inlineStr"/>
      <c r="U72" s="322" t="inlineStr"/>
      <c r="V72" s="322" t="n"/>
      <c r="W72" s="322" t="n"/>
      <c r="X72" s="322" t="n"/>
      <c r="Y72" s="322" t="n"/>
    </row>
    <row r="73" ht="22.2" customHeight="1" s="375">
      <c r="A73" s="3" t="n"/>
      <c r="B73" s="143" t="n"/>
      <c r="C73" s="144" t="n"/>
      <c r="D73" s="145" t="n"/>
      <c r="E73" s="146" t="n"/>
      <c r="F73" s="145" t="n"/>
      <c r="G73" s="533" t="inlineStr">
        <is>
          <t>ศุกร์</t>
        </is>
      </c>
      <c r="H73" s="381" t="inlineStr">
        <is>
          <t>20101-2017</t>
        </is>
      </c>
      <c r="I73" s="381" t="inlineStr">
        <is>
          <t>ชย.ทวิ 3/9 (26)</t>
        </is>
      </c>
      <c r="J73" s="381" t="inlineStr">
        <is>
          <t>17:10 - 21:10</t>
        </is>
      </c>
      <c r="K73" s="135" t="n"/>
      <c r="L73" s="334" t="inlineStr"/>
      <c r="M73" s="334" t="n">
        <v>4</v>
      </c>
      <c r="N73" s="334" t="n">
        <v>200</v>
      </c>
      <c r="O73" s="354">
        <f>M73*N73</f>
        <v/>
      </c>
      <c r="P73" s="362" t="inlineStr"/>
      <c r="Q73" s="367" t="inlineStr"/>
      <c r="R73" s="381" t="inlineStr"/>
      <c r="S73" s="354" t="inlineStr"/>
      <c r="T73" s="322" t="inlineStr"/>
      <c r="U73" s="322" t="inlineStr"/>
      <c r="V73" s="322" t="n"/>
      <c r="W73" s="322" t="n"/>
      <c r="X73" s="322" t="n"/>
      <c r="Y73" s="322" t="n"/>
    </row>
    <row r="74" ht="22.2" customHeight="1" s="375">
      <c r="A74" s="3" t="n"/>
      <c r="D74" s="314" t="n"/>
      <c r="E74" s="3" t="n"/>
      <c r="G74" s="535" t="inlineStr">
        <is>
          <t>2 ต.ค.69</t>
        </is>
      </c>
      <c r="H74" s="376" t="inlineStr"/>
      <c r="I74" s="376" t="inlineStr"/>
      <c r="J74" s="376" t="inlineStr"/>
      <c r="K74" s="374" t="n"/>
      <c r="L74" s="334" t="inlineStr"/>
      <c r="M74" s="334" t="inlineStr"/>
      <c r="N74" s="334" t="inlineStr"/>
      <c r="O74" s="354" t="inlineStr"/>
      <c r="P74" s="334" t="inlineStr"/>
      <c r="Q74" s="334" t="inlineStr"/>
      <c r="R74" s="334" t="inlineStr"/>
      <c r="S74" s="354" t="inlineStr"/>
      <c r="T74" t="inlineStr"/>
      <c r="U74" t="inlineStr"/>
      <c r="W74" s="322" t="n"/>
      <c r="X74" s="322" t="n"/>
      <c r="Y74" s="322" t="n"/>
    </row>
    <row r="75" ht="22.2" customHeight="1" s="375">
      <c r="A75" s="3" t="n"/>
      <c r="B75" s="143" t="n"/>
      <c r="C75" s="144" t="n"/>
      <c r="D75" s="145" t="n"/>
      <c r="E75" s="146" t="n"/>
      <c r="F75" s="145" t="n"/>
      <c r="G75" s="334" t="inlineStr"/>
      <c r="H75" s="376" t="inlineStr"/>
      <c r="I75" s="376" t="inlineStr"/>
      <c r="J75" s="376" t="inlineStr"/>
      <c r="K75" s="374" t="n"/>
      <c r="L75" s="334" t="inlineStr"/>
      <c r="M75" s="334" t="inlineStr"/>
      <c r="N75" s="334" t="inlineStr"/>
      <c r="O75" s="354" t="inlineStr"/>
      <c r="P75" s="334" t="inlineStr"/>
      <c r="Q75" s="334" t="inlineStr"/>
      <c r="R75" s="334" t="inlineStr"/>
      <c r="S75" s="354" t="inlineStr"/>
      <c r="T75" s="322" t="inlineStr"/>
      <c r="U75" s="322" t="inlineStr"/>
      <c r="V75" s="322" t="n"/>
      <c r="W75" s="322" t="n"/>
      <c r="X75" s="322" t="n"/>
      <c r="Y75" s="322" t="n"/>
    </row>
    <row r="76" ht="22.2" customHeight="1" s="375">
      <c r="A76" s="3" t="n"/>
      <c r="E76" s="3" t="n"/>
      <c r="G76" s="334" t="inlineStr"/>
      <c r="H76" s="334" t="inlineStr"/>
      <c r="I76" s="376" t="inlineStr"/>
      <c r="J76" s="376" t="inlineStr"/>
      <c r="K76" s="374" t="n"/>
      <c r="L76" s="334" t="inlineStr"/>
      <c r="M76" s="334" t="inlineStr"/>
      <c r="N76" s="334" t="inlineStr"/>
      <c r="O76" s="354" t="inlineStr"/>
      <c r="P76" s="334" t="inlineStr"/>
      <c r="Q76" s="334" t="inlineStr"/>
      <c r="R76" s="334" t="inlineStr"/>
      <c r="S76" s="354" t="inlineStr"/>
      <c r="T76" s="383" t="inlineStr"/>
    </row>
    <row r="77" ht="22.2" customHeight="1" s="375">
      <c r="A77" s="3" t="n"/>
      <c r="E77" s="3" t="n"/>
      <c r="F77" s="3" t="n"/>
      <c r="G77" s="329" t="inlineStr"/>
      <c r="H77" s="334" t="inlineStr"/>
      <c r="I77" s="376" t="inlineStr"/>
      <c r="J77" s="334" t="inlineStr"/>
      <c r="K77" s="374" t="n"/>
      <c r="L77" s="336" t="inlineStr"/>
      <c r="M77" s="336" t="inlineStr"/>
      <c r="N77" s="336" t="inlineStr"/>
      <c r="O77" s="354" t="inlineStr"/>
      <c r="P77" s="334" t="inlineStr"/>
      <c r="Q77" s="336" t="inlineStr"/>
      <c r="R77" s="336" t="inlineStr"/>
      <c r="S77" s="354" t="inlineStr"/>
      <c r="T77" s="23" t="inlineStr"/>
      <c r="U77" s="23" t="inlineStr"/>
      <c r="V77" s="56" t="n"/>
      <c r="W77" s="23" t="n"/>
      <c r="X77" s="23" t="n"/>
    </row>
    <row r="78" ht="22.2" customHeight="1" s="375">
      <c r="A78" s="3" t="n"/>
      <c r="E78" s="3" t="n"/>
      <c r="F78" s="3" t="n"/>
      <c r="G78" s="16" t="inlineStr">
        <is>
          <t>รวมขั่วโมงที่สอนแยก ภาระงาน/ เกินภาระงาน</t>
        </is>
      </c>
      <c r="H78" s="518" t="n"/>
      <c r="I78" s="518" t="n"/>
      <c r="J78" s="518" t="n"/>
      <c r="K78" s="432" t="n"/>
      <c r="L78" s="16">
        <f>SUM(L53:L77)</f>
        <v/>
      </c>
      <c r="M78" s="16">
        <f>SUM(M53:M77)</f>
        <v/>
      </c>
      <c r="N78" s="16" t="n"/>
      <c r="O78" s="16" t="n"/>
      <c r="P78" s="16">
        <f>SUM(P53:P77)</f>
        <v/>
      </c>
      <c r="Q78" s="16">
        <f>SUM(Q53:Q77)</f>
        <v/>
      </c>
      <c r="R78" s="349" t="n"/>
      <c r="S78" s="16" t="n"/>
    </row>
    <row r="79" ht="22.2" customHeight="1" s="375">
      <c r="A79" s="3" t="n"/>
      <c r="E79" s="3" t="n"/>
      <c r="F79" s="3" t="n"/>
      <c r="G79" s="16" t="inlineStr">
        <is>
          <t>รวมจำนวนชั่วโมงสอนคาบต่อสับดาห์</t>
        </is>
      </c>
      <c r="H79" s="518" t="n"/>
      <c r="I79" s="518" t="n"/>
      <c r="J79" s="518" t="n"/>
      <c r="K79" s="432" t="n"/>
      <c r="L79" s="16">
        <f>L78+M78</f>
        <v/>
      </c>
      <c r="M79" s="432" t="n"/>
      <c r="N79" s="16" t="n"/>
      <c r="O79" s="348" t="n"/>
      <c r="P79" s="16">
        <f>P78+Q78</f>
        <v/>
      </c>
      <c r="Q79" s="432" t="n"/>
      <c r="R79" s="329" t="n"/>
      <c r="S79" s="336" t="n"/>
    </row>
    <row r="80" ht="22.2" customHeight="1" s="375">
      <c r="A80" s="3" t="n"/>
      <c r="E80" s="3" t="n"/>
      <c r="F80" s="3" t="n"/>
      <c r="G80" s="16" t="inlineStr">
        <is>
          <t>จำนวนชั่วโมงสอนตามภาระงานสอน</t>
        </is>
      </c>
      <c r="H80" s="518" t="n"/>
      <c r="I80" s="518" t="n"/>
      <c r="J80" s="518" t="n"/>
      <c r="K80" s="432" t="n"/>
      <c r="L80" s="16" t="n">
        <v>12</v>
      </c>
      <c r="M80" s="432" t="n"/>
      <c r="N80" s="348" t="n"/>
      <c r="O80" s="16" t="n"/>
      <c r="P80" s="16" t="n">
        <v>0</v>
      </c>
      <c r="Q80" s="432" t="n"/>
      <c r="R80" s="322" t="n"/>
      <c r="S80" s="334" t="n"/>
    </row>
    <row r="81" ht="22.2" customHeight="1" s="375" thickBot="1">
      <c r="A81" s="3" t="n"/>
      <c r="E81" s="3" t="n"/>
      <c r="F81" s="14" t="n"/>
      <c r="G81" s="16" t="inlineStr">
        <is>
          <t>จำนวนชั่วโมงบิกเกินภาระงานสอน/ค่าสอน</t>
        </is>
      </c>
      <c r="H81" s="518" t="n"/>
      <c r="I81" s="518" t="n"/>
      <c r="J81" s="518" t="n"/>
      <c r="K81" s="432" t="n"/>
      <c r="L81" s="17" t="n">
        <v>0</v>
      </c>
      <c r="M81" s="17">
        <f>SUM(M53:M77)</f>
        <v/>
      </c>
      <c r="N81" s="17" t="n"/>
      <c r="O81" s="17">
        <f>SUM(O53:O77)</f>
        <v/>
      </c>
      <c r="P81" s="17" t="n">
        <v>0</v>
      </c>
      <c r="Q81" s="17">
        <f>SUM(Q53:Q77)</f>
        <v/>
      </c>
      <c r="R81" s="18" t="n"/>
      <c r="S81" s="17">
        <f>SUM(S53:S77)</f>
        <v/>
      </c>
    </row>
    <row r="82" ht="22.2" customHeight="1" s="375" thickTop="1">
      <c r="A82" s="337" t="inlineStr">
        <is>
          <t>รวมจำนวนหน่วยชั่วโมงที่ขอเบิกค่าสอน ….</t>
        </is>
      </c>
      <c r="B82" s="518" t="n"/>
      <c r="C82" s="518" t="n"/>
      <c r="D82" s="518" t="n"/>
      <c r="E82" s="518" t="n"/>
      <c r="F82" s="518" t="n"/>
      <c r="G82" s="518" t="n"/>
      <c r="H82" s="348">
        <f>M81+Q81</f>
        <v/>
      </c>
      <c r="I82" s="348" t="inlineStr">
        <is>
          <t>….ชั่วโมง</t>
        </is>
      </c>
      <c r="J82" s="348" t="n"/>
      <c r="K82" s="328" t="inlineStr">
        <is>
          <t>ยอดเงินรวม</t>
        </is>
      </c>
      <c r="L82" s="522" t="n"/>
      <c r="M82" s="522" t="n"/>
      <c r="N82" s="328" t="n"/>
      <c r="O82" s="328" t="n"/>
      <c r="P82" s="339">
        <f>S81+O81</f>
        <v/>
      </c>
      <c r="Q82" s="538" t="n"/>
      <c r="R82" s="20" t="n"/>
      <c r="S82" s="19" t="inlineStr">
        <is>
          <t>..บาท</t>
        </is>
      </c>
    </row>
    <row r="83" ht="22.2" customHeight="1" s="375">
      <c r="A83" s="154" t="inlineStr">
        <is>
          <t>ผู้ขอเบิก</t>
        </is>
      </c>
      <c r="B83" s="153" t="n"/>
      <c r="C83" s="153" t="n"/>
      <c r="D83" s="153" t="n"/>
      <c r="E83" s="153" t="n"/>
      <c r="F83" s="153" t="n"/>
      <c r="G83" s="135" t="n"/>
      <c r="H83" s="154" t="inlineStr">
        <is>
          <t>ผู้รับรอง</t>
        </is>
      </c>
      <c r="I83" s="153" t="n"/>
      <c r="J83" s="153" t="n"/>
      <c r="K83" s="153" t="n"/>
      <c r="L83" s="135" t="n"/>
      <c r="M83" s="154" t="inlineStr">
        <is>
          <t>ผู้ตรวจ</t>
        </is>
      </c>
      <c r="N83" s="153" t="n"/>
      <c r="O83" s="153" t="n"/>
      <c r="P83" s="153" t="n"/>
      <c r="Q83" s="153" t="n"/>
      <c r="R83" s="153" t="n"/>
      <c r="S83" s="135" t="n"/>
      <c r="T83" s="387" t="n"/>
    </row>
    <row r="84" ht="22.2" customHeight="1" s="375">
      <c r="A84" s="334" t="inlineStr">
        <is>
          <t>ลงชื่อ……………………………………………</t>
        </is>
      </c>
      <c r="G84" s="374" t="n"/>
      <c r="H84" s="334" t="inlineStr">
        <is>
          <t>ลงชื่อ……………………………………………</t>
        </is>
      </c>
      <c r="L84" s="374" t="n"/>
      <c r="M84" s="334" t="inlineStr">
        <is>
          <t>ลงชื่อ……………………………………………</t>
        </is>
      </c>
      <c r="S84" s="374" t="n"/>
    </row>
    <row r="85" ht="22.2" customHeight="1" s="375">
      <c r="A85" s="11" t="inlineStr">
        <is>
          <t>(</t>
        </is>
      </c>
      <c r="B85" s="324">
        <f>B53</f>
        <v/>
      </c>
      <c r="G85" s="326" t="inlineStr">
        <is>
          <t>)</t>
        </is>
      </c>
      <c r="H85" s="324" t="inlineStr">
        <is>
          <t>(</t>
        </is>
      </c>
      <c r="I85" s="340">
        <f>I39</f>
        <v/>
      </c>
      <c r="L85" s="12" t="inlineStr">
        <is>
          <t>)</t>
        </is>
      </c>
      <c r="M85" s="53" t="inlineStr">
        <is>
          <t>(</t>
        </is>
      </c>
      <c r="N85" s="53" t="n"/>
      <c r="O85" s="324">
        <f>O39</f>
        <v/>
      </c>
      <c r="R85" s="25" t="n"/>
      <c r="S85" s="326" t="inlineStr">
        <is>
          <t>)</t>
        </is>
      </c>
    </row>
    <row r="86" ht="22.2" customHeight="1" s="375">
      <c r="A86" s="540" t="inlineStr">
        <is>
          <t xml:space="preserve">                         ตำแหน่ง  ครู</t>
        </is>
      </c>
      <c r="G86" s="374" t="n"/>
      <c r="H86" s="54" t="inlineStr">
        <is>
          <t>ตำแหน่ง หัวหน้าแผนก</t>
        </is>
      </c>
      <c r="L86" s="374" t="n"/>
      <c r="M86" s="54" t="inlineStr">
        <is>
          <t>ตำแหน่ง   ผู้ตรวจสอบ</t>
        </is>
      </c>
      <c r="S86" s="374" t="n"/>
    </row>
    <row r="87" ht="22.2" customHeight="1" s="375">
      <c r="A87" s="55" t="inlineStr">
        <is>
          <t>วันที่ 5 เดือน ตุลาคม  พ.ศ.2569</t>
        </is>
      </c>
      <c r="B87" s="522" t="n"/>
      <c r="C87" s="522" t="n"/>
      <c r="D87" s="522" t="n"/>
      <c r="E87" s="522" t="n"/>
      <c r="F87" s="522" t="n"/>
      <c r="G87" s="527" t="n"/>
      <c r="H87" s="54">
        <f>A41</f>
        <v/>
      </c>
      <c r="L87" s="374" t="n"/>
      <c r="M87" s="55">
        <f>A41</f>
        <v/>
      </c>
      <c r="N87" s="522" t="n"/>
      <c r="O87" s="522" t="n"/>
      <c r="P87" s="522" t="n"/>
      <c r="Q87" s="522" t="n"/>
      <c r="R87" s="522" t="n"/>
      <c r="S87" s="527" t="n"/>
    </row>
    <row r="88" ht="22.2" customHeight="1" s="375">
      <c r="A88" s="154" t="inlineStr">
        <is>
          <t>ผู้ตรวจ</t>
        </is>
      </c>
      <c r="B88" s="153" t="n"/>
      <c r="C88" s="153" t="n"/>
      <c r="D88" s="153" t="n"/>
      <c r="E88" s="153" t="n"/>
      <c r="F88" s="153" t="n"/>
      <c r="G88" s="153" t="n"/>
      <c r="H88" s="153" t="n"/>
      <c r="I88" s="135" t="n"/>
      <c r="J88" s="154" t="inlineStr">
        <is>
          <t>ผู้เห็นชอบ</t>
        </is>
      </c>
      <c r="K88" s="153" t="n"/>
      <c r="L88" s="153" t="n"/>
      <c r="M88" s="153" t="n"/>
      <c r="N88" s="153" t="n"/>
      <c r="O88" s="153" t="n"/>
      <c r="P88" s="153" t="n"/>
      <c r="Q88" s="153" t="n"/>
      <c r="R88" s="153" t="n"/>
      <c r="S88" s="135" t="n"/>
    </row>
    <row r="89" ht="22.2" customHeight="1" s="375">
      <c r="A89" s="334" t="inlineStr">
        <is>
          <t>ลงชื่อ……………………………………………</t>
        </is>
      </c>
      <c r="I89" s="374" t="n"/>
      <c r="J89" s="334" t="inlineStr">
        <is>
          <t>ลงชื่อ……………………………………………</t>
        </is>
      </c>
      <c r="S89" s="374" t="n"/>
    </row>
    <row r="90" ht="22.2" customHeight="1" s="375">
      <c r="A90" s="11" t="n"/>
      <c r="B90" s="324">
        <f>B44</f>
        <v/>
      </c>
      <c r="I90" s="326" t="n"/>
      <c r="J90" s="25" t="n"/>
      <c r="K90" s="25" t="n"/>
      <c r="L90" s="324">
        <f>L44</f>
        <v/>
      </c>
      <c r="R90" s="25" t="n"/>
      <c r="S90" s="12" t="n"/>
    </row>
    <row r="91" ht="22.2" customHeight="1" s="375">
      <c r="A91" s="54" t="inlineStr">
        <is>
          <t>ตำแหน่งครู  หัวหน้างานพัฒนาหลักสูตร ฯ</t>
        </is>
      </c>
      <c r="I91" s="374" t="n"/>
      <c r="J91" s="54" t="inlineStr">
        <is>
          <t>ตำแหน่ง  รองผู้อำนวยการฝ่ายวิชาการ</t>
        </is>
      </c>
      <c r="S91" s="374" t="n"/>
    </row>
    <row r="92" ht="22.2" customHeight="1" s="375">
      <c r="A92" s="336" t="inlineStr">
        <is>
          <t>วันที่.......เดือน..........................พ.ศ..............</t>
        </is>
      </c>
      <c r="B92" s="522" t="n"/>
      <c r="C92" s="522" t="n"/>
      <c r="D92" s="522" t="n"/>
      <c r="E92" s="522" t="n"/>
      <c r="F92" s="522" t="n"/>
      <c r="G92" s="522" t="n"/>
      <c r="H92" s="522" t="n"/>
      <c r="I92" s="527" t="n"/>
      <c r="J92" s="336" t="inlineStr">
        <is>
          <t>วันที่.......เดือน..........................พ.ศ..............</t>
        </is>
      </c>
      <c r="K92" s="522" t="n"/>
      <c r="L92" s="522" t="n"/>
      <c r="M92" s="522" t="n"/>
      <c r="N92" s="522" t="n"/>
      <c r="O92" s="522" t="n"/>
      <c r="P92" s="522" t="n"/>
      <c r="Q92" s="522" t="n"/>
      <c r="R92" s="522" t="n"/>
      <c r="S92" s="527" t="n"/>
    </row>
    <row r="93" ht="22.2" customHeight="1" s="375">
      <c r="A93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75">
      <c r="A94" s="365" t="inlineStr">
        <is>
          <t>แผนกวิชาช่างยนต์</t>
        </is>
      </c>
    </row>
    <row r="95" ht="22.2" customHeight="1" s="375">
      <c r="A95" s="366" t="inlineStr">
        <is>
          <t xml:space="preserve">    ระหว่างวันที่</t>
        </is>
      </c>
      <c r="D95" s="365">
        <f>D3</f>
        <v/>
      </c>
      <c r="E95" s="365" t="inlineStr">
        <is>
          <t xml:space="preserve">   เดือน  </t>
        </is>
      </c>
      <c r="F95" s="365">
        <f>F3</f>
        <v/>
      </c>
      <c r="H95" s="365">
        <f>H3</f>
        <v/>
      </c>
      <c r="I95" s="365" t="inlineStr">
        <is>
          <t xml:space="preserve">     ถึง วันที่</t>
        </is>
      </c>
      <c r="J95" s="365">
        <f>J3</f>
        <v/>
      </c>
      <c r="K95" s="365" t="inlineStr">
        <is>
          <t xml:space="preserve">   เดือน </t>
        </is>
      </c>
      <c r="L95" s="365">
        <f>L3</f>
        <v/>
      </c>
      <c r="N95" s="365">
        <f>N3</f>
        <v/>
      </c>
      <c r="P95" s="365" t="n"/>
      <c r="R95" s="365" t="n"/>
    </row>
    <row r="96" ht="22.2" customHeight="1" s="375">
      <c r="G96" s="51" t="inlineStr">
        <is>
          <t>ü</t>
        </is>
      </c>
      <c r="H96" s="351" t="inlineStr">
        <is>
          <t>ครู</t>
        </is>
      </c>
      <c r="I96" s="322" t="inlineStr">
        <is>
          <t>หน้าที่พิเศษ</t>
        </is>
      </c>
      <c r="J96" s="7" t="inlineStr">
        <is>
          <t>ผู้ช่วยงานกิจกรรมนักเรียนนักศึกษา, โครงการพิเศษและการบริการสังคม,</t>
        </is>
      </c>
    </row>
    <row r="97" ht="22.2" customHeight="1" s="375">
      <c r="A97" s="24" t="inlineStr">
        <is>
          <t>ที่</t>
        </is>
      </c>
      <c r="B97" s="24" t="inlineStr">
        <is>
          <t>ชื่อ-สกุล</t>
        </is>
      </c>
      <c r="C97" s="153" t="n"/>
      <c r="D97" s="135" t="n"/>
      <c r="E97" s="15" t="inlineStr">
        <is>
          <t>ตำแหน่ง</t>
        </is>
      </c>
      <c r="F97" s="16" t="inlineStr">
        <is>
          <t>ระยะเวลาที่สอน</t>
        </is>
      </c>
      <c r="G97" s="432" t="n"/>
      <c r="H97" s="16" t="inlineStr">
        <is>
          <t>รหัสวิชา</t>
        </is>
      </c>
      <c r="I97" s="362" t="inlineStr">
        <is>
          <t>ชั้น,แผนก,ห้อง</t>
        </is>
      </c>
      <c r="J97" s="16" t="inlineStr">
        <is>
          <t>เวลาสอน</t>
        </is>
      </c>
      <c r="K97" s="135" t="n"/>
      <c r="L97" s="16" t="inlineStr">
        <is>
          <t>ปวช.(คาบ)</t>
        </is>
      </c>
      <c r="M97" s="432" t="n"/>
      <c r="N97" s="354" t="inlineStr">
        <is>
          <t>เงิน</t>
        </is>
      </c>
      <c r="O97" s="362" t="inlineStr">
        <is>
          <t>ยอดเงิน</t>
        </is>
      </c>
      <c r="P97" s="524" t="inlineStr">
        <is>
          <t>ปวส.(คาบ)</t>
        </is>
      </c>
      <c r="Q97" s="432" t="n"/>
      <c r="R97" s="354" t="inlineStr">
        <is>
          <t>เงิน</t>
        </is>
      </c>
      <c r="S97" s="362" t="inlineStr">
        <is>
          <t>ยอดเงิน</t>
        </is>
      </c>
    </row>
    <row r="98" ht="22.2" customHeight="1" s="375">
      <c r="A98" s="52" t="n"/>
      <c r="B98" s="8" t="n"/>
      <c r="C98" s="9" t="n"/>
      <c r="D98" s="13" t="n"/>
      <c r="E98" s="10" t="n"/>
      <c r="F98" s="336" t="inlineStr">
        <is>
          <t>ส.</t>
        </is>
      </c>
      <c r="G98" s="336" t="inlineStr">
        <is>
          <t>วดป.</t>
        </is>
      </c>
      <c r="H98" s="525" t="n"/>
      <c r="I98" s="336" t="n"/>
      <c r="J98" s="526" t="n"/>
      <c r="K98" s="527" t="n"/>
      <c r="L98" s="336" t="inlineStr">
        <is>
          <t>ใน</t>
        </is>
      </c>
      <c r="M98" s="336" t="inlineStr">
        <is>
          <t>นอก</t>
        </is>
      </c>
      <c r="N98" s="336" t="inlineStr">
        <is>
          <t>ต่อ ชม.</t>
        </is>
      </c>
      <c r="O98" s="336" t="inlineStr">
        <is>
          <t>(บาท)</t>
        </is>
      </c>
      <c r="P98" s="52" t="inlineStr">
        <is>
          <t>ใน</t>
        </is>
      </c>
      <c r="Q98" s="52" t="inlineStr">
        <is>
          <t>นอก</t>
        </is>
      </c>
      <c r="R98" s="336" t="inlineStr">
        <is>
          <t>ต่อ ชม.</t>
        </is>
      </c>
      <c r="S98" s="336" t="inlineStr">
        <is>
          <t>(บาท)</t>
        </is>
      </c>
    </row>
    <row r="99" ht="22.2" customHeight="1" s="375">
      <c r="A99" s="362" t="n">
        <v>3</v>
      </c>
      <c r="B99" s="528">
        <f>AB5</f>
        <v/>
      </c>
      <c r="C99" s="153" t="n"/>
      <c r="D99" s="135" t="n"/>
      <c r="E99" s="362" t="inlineStr">
        <is>
          <t>ครู</t>
        </is>
      </c>
      <c r="F99" s="5" t="n">
        <v>3</v>
      </c>
      <c r="G99" s="529" t="inlineStr">
        <is>
          <t>จันทร์</t>
        </is>
      </c>
      <c r="H99" s="381" t="inlineStr">
        <is>
          <t>20101-2008</t>
        </is>
      </c>
      <c r="I99" s="376" t="inlineStr">
        <is>
          <t>ชย.2/1 (26)</t>
        </is>
      </c>
      <c r="J99" s="381" t="inlineStr">
        <is>
          <t>08:10 - 12:10</t>
        </is>
      </c>
      <c r="K99" s="135" t="n"/>
      <c r="L99" s="367" t="n">
        <v>4</v>
      </c>
      <c r="M99" s="381" t="inlineStr"/>
      <c r="N99" s="381" t="inlineStr"/>
      <c r="O99" s="354" t="inlineStr"/>
      <c r="P99" s="381" t="inlineStr"/>
      <c r="Q99" s="367" t="inlineStr"/>
      <c r="R99" s="381" t="inlineStr"/>
      <c r="S99" s="354" t="inlineStr"/>
      <c r="T99" t="inlineStr"/>
      <c r="U99" t="inlineStr"/>
    </row>
    <row r="100" ht="22.2" customHeight="1" s="375">
      <c r="A100" s="3" t="n"/>
      <c r="B100" s="530" t="n"/>
      <c r="D100" s="374" t="n"/>
      <c r="E100" s="334" t="n"/>
      <c r="F100" s="322" t="n"/>
      <c r="G100" s="535" t="inlineStr">
        <is>
          <t>28 ก.ย.69</t>
        </is>
      </c>
      <c r="H100" s="376" t="inlineStr">
        <is>
          <t>20100-1005</t>
        </is>
      </c>
      <c r="I100" s="376" t="inlineStr">
        <is>
          <t>ชย.1/2 (26)</t>
        </is>
      </c>
      <c r="J100" s="376" t="inlineStr">
        <is>
          <t>13:10 - 17:10</t>
        </is>
      </c>
      <c r="K100" s="374" t="n"/>
      <c r="L100" s="334" t="n">
        <v>4</v>
      </c>
      <c r="M100" s="334" t="inlineStr"/>
      <c r="N100" s="334" t="inlineStr"/>
      <c r="O100" s="354" t="inlineStr"/>
      <c r="P100" s="334" t="inlineStr"/>
      <c r="Q100" s="334" t="inlineStr"/>
      <c r="R100" s="334" t="inlineStr"/>
      <c r="S100" s="354" t="inlineStr"/>
      <c r="T100" t="inlineStr"/>
      <c r="U100" t="inlineStr"/>
    </row>
    <row r="101" ht="22.2" customHeight="1" s="375">
      <c r="A101" s="3" t="n"/>
      <c r="B101" s="313" t="n"/>
      <c r="D101" s="47" t="n"/>
      <c r="E101" s="314" t="n"/>
      <c r="F101" s="322" t="n"/>
      <c r="G101" s="325" t="inlineStr"/>
      <c r="H101" s="376" t="inlineStr"/>
      <c r="I101" s="376" t="inlineStr"/>
      <c r="J101" s="376" t="inlineStr"/>
      <c r="K101" s="374" t="n"/>
      <c r="L101" s="334" t="inlineStr"/>
      <c r="M101" s="334" t="inlineStr"/>
      <c r="N101" s="334" t="inlineStr"/>
      <c r="O101" s="354" t="inlineStr"/>
      <c r="P101" s="334" t="inlineStr"/>
      <c r="Q101" s="334" t="inlineStr"/>
      <c r="R101" s="334" t="inlineStr"/>
      <c r="S101" s="354" t="inlineStr"/>
      <c r="T101" t="inlineStr"/>
      <c r="U101" t="inlineStr"/>
    </row>
    <row r="102" ht="22.2" customHeight="1" s="375">
      <c r="A102" s="3" t="n"/>
      <c r="B102" s="313" t="n"/>
      <c r="D102" s="61" t="n"/>
      <c r="E102" s="3" t="n"/>
      <c r="F102" s="322" t="n"/>
      <c r="G102" s="325" t="inlineStr"/>
      <c r="H102" s="334" t="inlineStr"/>
      <c r="I102" s="1" t="inlineStr"/>
      <c r="J102" s="1" t="inlineStr"/>
      <c r="K102" s="374" t="n"/>
      <c r="L102" s="334" t="inlineStr"/>
      <c r="M102" s="334" t="inlineStr"/>
      <c r="N102" s="334" t="inlineStr"/>
      <c r="O102" s="354" t="inlineStr"/>
      <c r="P102" s="334" t="inlineStr"/>
      <c r="Q102" s="334" t="inlineStr"/>
      <c r="R102" s="334" t="inlineStr"/>
      <c r="S102" s="354" t="inlineStr"/>
      <c r="T102" t="inlineStr"/>
      <c r="U102" t="inlineStr"/>
    </row>
    <row r="103" ht="22.2" customHeight="1" s="375">
      <c r="A103" s="3" t="n"/>
      <c r="E103" s="3" t="n"/>
      <c r="G103" s="55" t="inlineStr"/>
      <c r="H103" s="336" t="inlineStr"/>
      <c r="I103" s="336" t="inlineStr"/>
      <c r="J103" s="336" t="inlineStr"/>
      <c r="K103" s="527" t="n"/>
      <c r="L103" s="334" t="inlineStr"/>
      <c r="M103" s="334" t="inlineStr"/>
      <c r="N103" s="334" t="inlineStr"/>
      <c r="O103" s="354" t="inlineStr"/>
      <c r="P103" s="334" t="inlineStr"/>
      <c r="Q103" s="334" t="inlineStr"/>
      <c r="R103" s="334" t="inlineStr"/>
      <c r="S103" s="354" t="inlineStr"/>
      <c r="T103" t="inlineStr"/>
      <c r="U103" t="inlineStr"/>
    </row>
    <row r="104" ht="22.2" customHeight="1" s="375">
      <c r="A104" s="3" t="n"/>
      <c r="E104" s="3" t="n"/>
      <c r="G104" s="533" t="inlineStr">
        <is>
          <t>อังคาร</t>
        </is>
      </c>
      <c r="H104" s="381" t="inlineStr">
        <is>
          <t>20101-2008</t>
        </is>
      </c>
      <c r="I104" s="376" t="inlineStr">
        <is>
          <t>ชย.2/3 (26)</t>
        </is>
      </c>
      <c r="J104" s="381" t="inlineStr">
        <is>
          <t>08:10 - 12:10</t>
        </is>
      </c>
      <c r="K104" s="135" t="n"/>
      <c r="L104" s="176" t="n">
        <v>4</v>
      </c>
      <c r="M104" s="381" t="inlineStr"/>
      <c r="N104" s="381" t="inlineStr"/>
      <c r="O104" s="354" t="inlineStr"/>
      <c r="P104" s="381" t="inlineStr"/>
      <c r="Q104" s="367" t="inlineStr"/>
      <c r="R104" s="381" t="inlineStr"/>
      <c r="S104" s="354" t="inlineStr"/>
      <c r="T104" s="383" t="inlineStr"/>
    </row>
    <row r="105" ht="22.2" customHeight="1" s="375">
      <c r="A105" s="3" t="n"/>
      <c r="E105" s="3" t="n"/>
      <c r="G105" s="535" t="inlineStr">
        <is>
          <t>29 ก.ย.69</t>
        </is>
      </c>
      <c r="H105" s="376" t="inlineStr">
        <is>
          <t>20100-1005</t>
        </is>
      </c>
      <c r="I105" s="376" t="inlineStr">
        <is>
          <t>ชย.1/1 (26)</t>
        </is>
      </c>
      <c r="J105" s="376" t="inlineStr">
        <is>
          <t>13:10 - 17:10</t>
        </is>
      </c>
      <c r="K105" s="374" t="n"/>
      <c r="L105" s="334" t="n">
        <v>4</v>
      </c>
      <c r="M105" s="334" t="inlineStr"/>
      <c r="N105" s="334" t="inlineStr"/>
      <c r="O105" s="354" t="inlineStr"/>
      <c r="P105" s="334" t="inlineStr"/>
      <c r="Q105" s="334" t="inlineStr"/>
      <c r="R105" s="376" t="inlineStr"/>
      <c r="S105" s="354" t="inlineStr"/>
      <c r="T105" s="23" t="inlineStr"/>
      <c r="U105" s="23" t="inlineStr"/>
      <c r="V105" s="56" t="n"/>
      <c r="W105" s="23" t="n"/>
      <c r="X105" s="23" t="n"/>
    </row>
    <row r="106" ht="22.2" customHeight="1" s="375">
      <c r="A106" s="3" t="n"/>
      <c r="B106" s="313" t="n"/>
      <c r="D106" s="314" t="n"/>
      <c r="E106" s="314" t="n"/>
      <c r="G106" s="334" t="inlineStr"/>
      <c r="H106" s="376" t="inlineStr"/>
      <c r="I106" s="376" t="inlineStr"/>
      <c r="J106" s="376" t="inlineStr"/>
      <c r="K106" s="374" t="n"/>
      <c r="L106" s="334" t="inlineStr"/>
      <c r="M106" s="334" t="inlineStr"/>
      <c r="N106" s="334" t="inlineStr"/>
      <c r="O106" s="354" t="inlineStr"/>
      <c r="P106" s="334" t="inlineStr"/>
      <c r="Q106" s="334" t="inlineStr"/>
      <c r="R106" s="376" t="inlineStr"/>
      <c r="S106" s="354" t="inlineStr"/>
      <c r="T106" t="inlineStr"/>
      <c r="U106" t="inlineStr"/>
    </row>
    <row r="107" ht="22.2" customHeight="1" s="375">
      <c r="A107" s="3" t="n"/>
      <c r="B107" s="313" t="n"/>
      <c r="D107" s="314" t="n"/>
      <c r="E107" s="314" t="n"/>
      <c r="G107" s="54" t="inlineStr"/>
      <c r="H107" s="334" t="inlineStr"/>
      <c r="I107" s="334" t="inlineStr"/>
      <c r="J107" s="334" t="inlineStr"/>
      <c r="K107" s="374" t="n"/>
      <c r="L107" s="334" t="inlineStr"/>
      <c r="M107" s="334" t="inlineStr"/>
      <c r="N107" s="334" t="inlineStr"/>
      <c r="O107" s="354" t="inlineStr"/>
      <c r="P107" s="334" t="inlineStr"/>
      <c r="Q107" s="334" t="inlineStr"/>
      <c r="R107" s="334" t="inlineStr"/>
      <c r="S107" s="354" t="inlineStr"/>
      <c r="T107" t="inlineStr"/>
      <c r="U107" t="inlineStr"/>
    </row>
    <row r="108" ht="22.2" customHeight="1" s="375">
      <c r="A108" s="3" t="n"/>
      <c r="B108" s="313" t="n"/>
      <c r="E108" s="3" t="n"/>
      <c r="G108" s="55" t="inlineStr"/>
      <c r="H108" s="336" t="inlineStr"/>
      <c r="I108" s="336" t="inlineStr"/>
      <c r="J108" s="336" t="inlineStr"/>
      <c r="K108" s="527" t="n"/>
      <c r="L108" s="334" t="inlineStr"/>
      <c r="M108" s="334" t="inlineStr"/>
      <c r="N108" s="334" t="inlineStr"/>
      <c r="O108" s="354" t="inlineStr"/>
      <c r="P108" s="334" t="inlineStr"/>
      <c r="Q108" s="334" t="inlineStr"/>
      <c r="R108" s="334" t="inlineStr"/>
      <c r="S108" s="354" t="inlineStr"/>
      <c r="T108" t="inlineStr"/>
      <c r="U108" t="inlineStr"/>
    </row>
    <row r="109" ht="22.2" customHeight="1" s="375">
      <c r="A109" s="3" t="n"/>
      <c r="E109" s="3" t="n"/>
      <c r="G109" s="535" t="inlineStr">
        <is>
          <t>พุธ</t>
        </is>
      </c>
      <c r="H109" s="381" t="inlineStr">
        <is>
          <t>20100-1005</t>
        </is>
      </c>
      <c r="I109" s="376" t="inlineStr">
        <is>
          <t>ชย.1/4 (26)</t>
        </is>
      </c>
      <c r="J109" s="381" t="inlineStr">
        <is>
          <t>08:10 - 12:10</t>
        </is>
      </c>
      <c r="K109" s="135" t="n"/>
      <c r="L109" s="367" t="n">
        <v>3</v>
      </c>
      <c r="M109" s="381" t="n">
        <v>1</v>
      </c>
      <c r="N109" s="381" t="n">
        <v>200</v>
      </c>
      <c r="O109" s="354">
        <f>M109*N109</f>
        <v/>
      </c>
      <c r="P109" s="381" t="inlineStr"/>
      <c r="Q109" s="367" t="inlineStr"/>
      <c r="R109" s="381" t="inlineStr"/>
      <c r="S109" s="354" t="inlineStr"/>
      <c r="T109" t="inlineStr"/>
      <c r="U109" t="inlineStr"/>
    </row>
    <row r="110" ht="22.2" customHeight="1" s="375">
      <c r="A110" s="3" t="n"/>
      <c r="E110" s="3" t="n"/>
      <c r="G110" s="535" t="inlineStr">
        <is>
          <t>30 ก.ย.69</t>
        </is>
      </c>
      <c r="H110" s="376" t="inlineStr">
        <is>
          <t>20143-2015</t>
        </is>
      </c>
      <c r="I110" s="376" t="inlineStr">
        <is>
          <t>ชยฟ.3/1 (26)</t>
        </is>
      </c>
      <c r="J110" s="334" t="inlineStr">
        <is>
          <t>13:10 - 17:10</t>
        </is>
      </c>
      <c r="K110" s="374" t="n"/>
      <c r="L110" s="334" t="inlineStr"/>
      <c r="M110" s="334" t="n">
        <v>4</v>
      </c>
      <c r="N110" s="334" t="n">
        <v>200</v>
      </c>
      <c r="O110" s="354">
        <f>M110*N110</f>
        <v/>
      </c>
      <c r="P110" s="334" t="inlineStr"/>
      <c r="Q110" s="334" t="inlineStr"/>
      <c r="R110" s="334" t="inlineStr"/>
      <c r="S110" s="354" t="inlineStr"/>
      <c r="T110" t="inlineStr"/>
      <c r="U110" t="inlineStr"/>
    </row>
    <row r="111" ht="22.2" customHeight="1" s="375">
      <c r="A111" s="3" t="n"/>
      <c r="E111" s="3" t="n"/>
      <c r="G111" s="334" t="inlineStr"/>
      <c r="H111" s="376" t="inlineStr"/>
      <c r="I111" s="376" t="inlineStr"/>
      <c r="J111" s="376" t="inlineStr"/>
      <c r="K111" s="374" t="n"/>
      <c r="L111" s="334" t="inlineStr"/>
      <c r="M111" s="334" t="inlineStr"/>
      <c r="N111" s="334" t="inlineStr"/>
      <c r="O111" s="354" t="inlineStr"/>
      <c r="P111" s="334" t="inlineStr"/>
      <c r="Q111" s="334" t="inlineStr"/>
      <c r="R111" s="334" t="inlineStr"/>
      <c r="S111" s="354" t="inlineStr"/>
      <c r="T111" t="inlineStr"/>
      <c r="U111" t="inlineStr"/>
    </row>
    <row r="112" ht="22.2" customHeight="1" s="375">
      <c r="A112" s="3" t="n"/>
      <c r="B112" s="313" t="n"/>
      <c r="D112" s="314" t="n"/>
      <c r="E112" s="314" t="n"/>
      <c r="G112" s="321" t="inlineStr"/>
      <c r="H112" s="334" t="inlineStr"/>
      <c r="I112" s="376" t="inlineStr"/>
      <c r="J112" s="334" t="inlineStr"/>
      <c r="K112" s="374" t="n"/>
      <c r="L112" s="334" t="inlineStr"/>
      <c r="M112" s="334" t="inlineStr"/>
      <c r="N112" s="334" t="inlineStr"/>
      <c r="O112" s="354" t="inlineStr"/>
      <c r="P112" s="334" t="inlineStr"/>
      <c r="Q112" s="334" t="inlineStr"/>
      <c r="R112" s="334" t="inlineStr"/>
      <c r="S112" s="354" t="inlineStr"/>
      <c r="T112" t="inlineStr"/>
      <c r="U112" t="inlineStr"/>
    </row>
    <row r="113" ht="22.2" customHeight="1" s="375">
      <c r="A113" s="3" t="n"/>
      <c r="E113" s="3" t="n"/>
      <c r="G113" s="327" t="inlineStr"/>
      <c r="H113" s="336" t="inlineStr"/>
      <c r="I113" s="336" t="inlineStr"/>
      <c r="J113" s="336" t="inlineStr"/>
      <c r="K113" s="527" t="n"/>
      <c r="L113" s="336" t="inlineStr"/>
      <c r="M113" s="336" t="inlineStr"/>
      <c r="N113" s="336" t="inlineStr"/>
      <c r="O113" s="354" t="inlineStr"/>
      <c r="P113" s="336" t="inlineStr"/>
      <c r="Q113" s="336" t="inlineStr"/>
      <c r="R113" s="336" t="inlineStr"/>
      <c r="S113" s="354" t="inlineStr"/>
      <c r="T113" t="inlineStr"/>
      <c r="U113" t="inlineStr"/>
    </row>
    <row r="114" ht="22.2" customHeight="1" s="375">
      <c r="A114" s="3" t="n"/>
      <c r="D114" s="7" t="inlineStr">
        <is>
          <t> </t>
        </is>
      </c>
      <c r="E114" s="3" t="n"/>
      <c r="G114" s="533" t="inlineStr">
        <is>
          <t>พฤหัส</t>
        </is>
      </c>
      <c r="H114" s="381" t="inlineStr">
        <is>
          <t>20101-2003</t>
        </is>
      </c>
      <c r="I114" s="376" t="inlineStr">
        <is>
          <t>ชย.1/4 (26)</t>
        </is>
      </c>
      <c r="J114" s="381" t="inlineStr">
        <is>
          <t>08:10 - 12:10</t>
        </is>
      </c>
      <c r="K114" s="135" t="n"/>
      <c r="L114" s="334" t="inlineStr"/>
      <c r="M114" s="334" t="n">
        <v>4</v>
      </c>
      <c r="N114" s="334" t="n">
        <v>200</v>
      </c>
      <c r="O114" s="354">
        <f>M114*N114</f>
        <v/>
      </c>
      <c r="P114" s="334" t="inlineStr"/>
      <c r="Q114" s="362" t="inlineStr"/>
      <c r="R114" s="362" t="inlineStr"/>
      <c r="S114" s="354" t="inlineStr"/>
      <c r="T114" s="383" t="inlineStr"/>
    </row>
    <row r="115" ht="22.2" customHeight="1" s="375">
      <c r="A115" s="3" t="n"/>
      <c r="E115" s="3" t="n"/>
      <c r="G115" s="535" t="inlineStr">
        <is>
          <t>1 ต.ค.69</t>
        </is>
      </c>
      <c r="H115" s="376" t="inlineStr">
        <is>
          <t>20000-2004</t>
        </is>
      </c>
      <c r="I115" s="376" t="inlineStr">
        <is>
          <t>ชย.2/7,ชย.2/8,ชย.ทวิ 2/9 (26)</t>
        </is>
      </c>
      <c r="J115" s="376" t="inlineStr">
        <is>
          <t>13:10 - 15:10</t>
        </is>
      </c>
      <c r="K115" s="374" t="n"/>
      <c r="L115" s="323" t="n">
        <v>2</v>
      </c>
      <c r="M115" s="334" t="inlineStr"/>
      <c r="N115" s="334" t="inlineStr"/>
      <c r="O115" s="354" t="inlineStr"/>
      <c r="P115" s="334" t="inlineStr"/>
      <c r="Q115" s="334" t="inlineStr"/>
      <c r="R115" s="334" t="inlineStr"/>
      <c r="S115" s="354" t="inlineStr"/>
      <c r="T115" s="23" t="inlineStr"/>
      <c r="U115" s="23" t="inlineStr"/>
      <c r="V115" s="56" t="n"/>
      <c r="W115" s="23" t="n"/>
      <c r="X115" s="23" t="n"/>
    </row>
    <row r="116" ht="22.2" customHeight="1" s="375">
      <c r="A116" s="3" t="n"/>
      <c r="B116" s="313" t="n"/>
      <c r="E116" s="3" t="n"/>
      <c r="G116" s="334" t="inlineStr"/>
      <c r="H116" s="376" t="inlineStr">
        <is>
          <t>20101-2003</t>
        </is>
      </c>
      <c r="I116" s="376" t="inlineStr">
        <is>
          <t>ชย.1/4 (26)</t>
        </is>
      </c>
      <c r="J116" s="376" t="inlineStr">
        <is>
          <t>15:10 - 18:10</t>
        </is>
      </c>
      <c r="K116" s="374" t="n"/>
      <c r="L116" s="376" t="inlineStr"/>
      <c r="M116" s="376" t="n">
        <v>3</v>
      </c>
      <c r="N116" s="376" t="n">
        <v>200</v>
      </c>
      <c r="O116" s="354">
        <f>M116*N116</f>
        <v/>
      </c>
      <c r="P116" s="376" t="inlineStr"/>
      <c r="Q116" s="376" t="inlineStr"/>
      <c r="R116" s="376" t="inlineStr"/>
      <c r="S116" s="354" t="inlineStr"/>
      <c r="T116" t="inlineStr"/>
      <c r="U116" t="inlineStr"/>
    </row>
    <row r="117" ht="22.2" customHeight="1" s="375">
      <c r="A117" s="3" t="n"/>
      <c r="E117" s="3" t="n"/>
      <c r="G117" s="334" t="inlineStr"/>
      <c r="H117" s="334" t="inlineStr"/>
      <c r="I117" s="334" t="inlineStr"/>
      <c r="J117" s="334" t="inlineStr"/>
      <c r="K117" s="374" t="n"/>
      <c r="L117" s="334" t="inlineStr"/>
      <c r="M117" s="334" t="inlineStr"/>
      <c r="N117" s="334" t="inlineStr"/>
      <c r="O117" s="354" t="inlineStr"/>
      <c r="P117" s="334" t="inlineStr"/>
      <c r="Q117" s="334" t="inlineStr"/>
      <c r="R117" s="334" t="inlineStr"/>
      <c r="S117" s="354" t="inlineStr"/>
      <c r="T117" t="inlineStr"/>
      <c r="U117" t="inlineStr"/>
    </row>
    <row r="118" ht="22.2" customHeight="1" s="375">
      <c r="A118" s="3" t="n"/>
      <c r="E118" s="3" t="n"/>
      <c r="G118" s="336" t="inlineStr"/>
      <c r="H118" s="328" t="inlineStr"/>
      <c r="I118" s="336" t="inlineStr"/>
      <c r="J118" s="336" t="inlineStr"/>
      <c r="K118" s="527" t="n"/>
      <c r="L118" s="336" t="inlineStr"/>
      <c r="M118" s="336" t="inlineStr"/>
      <c r="N118" s="336" t="inlineStr"/>
      <c r="O118" s="354" t="inlineStr"/>
      <c r="P118" s="336" t="inlineStr"/>
      <c r="Q118" s="336" t="inlineStr"/>
      <c r="R118" s="336" t="inlineStr"/>
      <c r="S118" s="354" t="inlineStr"/>
      <c r="T118" t="inlineStr"/>
      <c r="U118" t="inlineStr"/>
    </row>
    <row r="119" ht="22.2" customHeight="1" s="375">
      <c r="A119" s="3" t="n"/>
      <c r="E119" s="3" t="n"/>
      <c r="G119" s="533" t="inlineStr">
        <is>
          <t>ศุกร์</t>
        </is>
      </c>
      <c r="H119" s="381" t="inlineStr"/>
      <c r="I119" s="376" t="inlineStr"/>
      <c r="J119" s="376" t="inlineStr"/>
      <c r="K119" s="374" t="n"/>
      <c r="L119" s="381" t="inlineStr"/>
      <c r="M119" s="362" t="inlineStr"/>
      <c r="N119" s="362" t="inlineStr"/>
      <c r="O119" s="354" t="inlineStr"/>
      <c r="P119" s="381" t="inlineStr"/>
      <c r="Q119" s="381" t="inlineStr"/>
      <c r="R119" s="381" t="inlineStr"/>
      <c r="S119" s="354" t="inlineStr"/>
      <c r="T119" t="inlineStr"/>
      <c r="U119" t="inlineStr"/>
    </row>
    <row r="120" ht="22.2" customHeight="1" s="375">
      <c r="A120" s="3" t="n"/>
      <c r="E120" s="3" t="n"/>
      <c r="G120" s="535" t="inlineStr">
        <is>
          <t>2 ต.ค.69</t>
        </is>
      </c>
      <c r="H120" s="376" t="inlineStr"/>
      <c r="I120" s="376" t="inlineStr"/>
      <c r="J120" s="376" t="inlineStr"/>
      <c r="K120" s="374" t="n"/>
      <c r="L120" s="334" t="inlineStr"/>
      <c r="M120" s="334" t="inlineStr"/>
      <c r="N120" s="334" t="inlineStr"/>
      <c r="O120" s="354" t="inlineStr"/>
      <c r="P120" s="334" t="inlineStr"/>
      <c r="Q120" s="334" t="inlineStr"/>
      <c r="R120" s="334" t="inlineStr"/>
      <c r="S120" s="354" t="inlineStr"/>
      <c r="T120" t="inlineStr"/>
      <c r="U120" t="inlineStr"/>
    </row>
    <row r="121" ht="22.2" customHeight="1" s="375">
      <c r="A121" s="3" t="n"/>
      <c r="E121" s="3" t="n"/>
      <c r="G121" s="334" t="inlineStr"/>
      <c r="H121" s="376" t="inlineStr"/>
      <c r="I121" s="376" t="inlineStr"/>
      <c r="J121" s="376" t="inlineStr"/>
      <c r="K121" s="374" t="n"/>
      <c r="L121" s="334" t="inlineStr"/>
      <c r="M121" s="334" t="inlineStr"/>
      <c r="N121" s="334" t="inlineStr"/>
      <c r="O121" s="354" t="inlineStr"/>
      <c r="P121" s="334" t="inlineStr"/>
      <c r="Q121" s="334" t="inlineStr"/>
      <c r="R121" s="334" t="inlineStr"/>
      <c r="S121" s="354" t="inlineStr"/>
      <c r="T121" t="inlineStr"/>
      <c r="U121" t="inlineStr"/>
    </row>
    <row r="122" ht="22.2" customHeight="1" s="375">
      <c r="A122" s="3" t="n"/>
      <c r="E122" s="3" t="n"/>
      <c r="G122" s="334" t="inlineStr"/>
      <c r="H122" s="334" t="inlineStr"/>
      <c r="I122" s="334" t="inlineStr"/>
      <c r="J122" s="323" t="inlineStr"/>
      <c r="K122" s="374" t="n"/>
      <c r="L122" s="334" t="inlineStr"/>
      <c r="M122" s="334" t="inlineStr"/>
      <c r="N122" s="334" t="inlineStr"/>
      <c r="O122" s="354" t="inlineStr"/>
      <c r="P122" s="334" t="inlineStr"/>
      <c r="Q122" s="334" t="inlineStr"/>
      <c r="R122" s="334" t="inlineStr"/>
      <c r="S122" s="354" t="inlineStr"/>
      <c r="T122" t="inlineStr"/>
      <c r="U122" t="inlineStr"/>
    </row>
    <row r="123" ht="22.2" customHeight="1" s="375">
      <c r="A123" s="3" t="n"/>
      <c r="E123" s="3" t="n"/>
      <c r="F123" s="3" t="n"/>
      <c r="G123" s="329" t="inlineStr"/>
      <c r="H123" s="336" t="inlineStr"/>
      <c r="I123" s="336" t="inlineStr"/>
      <c r="J123" s="336" t="inlineStr"/>
      <c r="K123" s="527" t="n"/>
      <c r="L123" s="336" t="inlineStr"/>
      <c r="M123" s="336" t="inlineStr"/>
      <c r="N123" s="336" t="inlineStr"/>
      <c r="O123" s="354" t="inlineStr"/>
      <c r="P123" s="336" t="inlineStr"/>
      <c r="Q123" s="336" t="inlineStr"/>
      <c r="R123" s="336" t="inlineStr"/>
      <c r="S123" s="354" t="inlineStr"/>
      <c r="T123" t="inlineStr"/>
      <c r="U123" t="inlineStr"/>
    </row>
    <row r="124" ht="22.2" customHeight="1" s="375">
      <c r="A124" s="3" t="n"/>
      <c r="E124" s="3" t="n"/>
      <c r="F124" s="3" t="n"/>
      <c r="G124" s="16" t="inlineStr">
        <is>
          <t>รวมขั่วโมงที่สอนแยก ภาระงาน/ เกินภาระงาน</t>
        </is>
      </c>
      <c r="H124" s="518" t="n"/>
      <c r="I124" s="518" t="n"/>
      <c r="J124" s="518" t="n"/>
      <c r="K124" s="432" t="n"/>
      <c r="L124" s="16">
        <f>SUM(L99:L123)</f>
        <v/>
      </c>
      <c r="M124" s="16">
        <f>SUM(M99:M123)</f>
        <v/>
      </c>
      <c r="N124" s="16" t="n"/>
      <c r="O124" s="16" t="n"/>
      <c r="P124" s="16">
        <f>SUM(P99:P123)</f>
        <v/>
      </c>
      <c r="Q124" s="16">
        <f>SUM(Q99:Q123)</f>
        <v/>
      </c>
      <c r="R124" s="349" t="n"/>
      <c r="S124" s="16" t="n"/>
    </row>
    <row r="125" ht="22.2" customHeight="1" s="375">
      <c r="A125" s="3" t="n"/>
      <c r="E125" s="3" t="n"/>
      <c r="F125" s="3" t="n"/>
      <c r="G125" s="16" t="inlineStr">
        <is>
          <t>รวมจำนวนชั่วโมงสอนคาบต่อสับดาห์</t>
        </is>
      </c>
      <c r="H125" s="518" t="n"/>
      <c r="I125" s="518" t="n"/>
      <c r="J125" s="518" t="n"/>
      <c r="K125" s="432" t="n"/>
      <c r="L125" s="16">
        <f>L124+M124</f>
        <v/>
      </c>
      <c r="M125" s="432" t="n"/>
      <c r="N125" s="348" t="n"/>
      <c r="O125" s="16" t="n"/>
      <c r="P125" s="16">
        <f>P124+Q124</f>
        <v/>
      </c>
      <c r="Q125" s="432" t="n"/>
      <c r="R125" s="329" t="n"/>
      <c r="S125" s="336" t="n"/>
    </row>
    <row r="126" ht="22.2" customHeight="1" s="375">
      <c r="A126" s="3" t="n"/>
      <c r="E126" s="3" t="n"/>
      <c r="F126" s="3" t="n"/>
      <c r="G126" s="16" t="inlineStr">
        <is>
          <t>จำนวนชั่วโมงสอนตามภาระงานสอน</t>
        </is>
      </c>
      <c r="H126" s="518" t="n"/>
      <c r="I126" s="518" t="n"/>
      <c r="J126" s="518" t="n"/>
      <c r="K126" s="432" t="n"/>
      <c r="L126" s="16" t="n">
        <v>18</v>
      </c>
      <c r="M126" s="432" t="n"/>
      <c r="N126" s="16" t="n"/>
      <c r="O126" s="348" t="n"/>
      <c r="P126" s="131" t="n">
        <v>0</v>
      </c>
      <c r="Q126" s="432" t="n"/>
      <c r="R126" s="322" t="n"/>
      <c r="S126" s="334" t="n"/>
    </row>
    <row r="127" ht="22.2" customHeight="1" s="375" thickBot="1">
      <c r="A127" s="3" t="n"/>
      <c r="E127" s="3" t="n"/>
      <c r="F127" s="14" t="n"/>
      <c r="G127" s="16" t="inlineStr">
        <is>
          <t>จำนวนชั่วโมงบิกเกินภาระงานสอน/ค่าสอน</t>
        </is>
      </c>
      <c r="H127" s="518" t="n"/>
      <c r="I127" s="518" t="n"/>
      <c r="J127" s="518" t="n"/>
      <c r="K127" s="432" t="n"/>
      <c r="L127" s="17" t="n">
        <v>0</v>
      </c>
      <c r="M127" s="17">
        <f>SUM(M99:M123)</f>
        <v/>
      </c>
      <c r="N127" s="17" t="n"/>
      <c r="O127" s="17">
        <f>SUM(O99:O123)</f>
        <v/>
      </c>
      <c r="P127" s="17" t="n">
        <v>0</v>
      </c>
      <c r="Q127" s="17">
        <f>SUM(Q99:Q123)</f>
        <v/>
      </c>
      <c r="R127" s="18" t="n"/>
      <c r="S127" s="17">
        <f>SUM(S99:S123)</f>
        <v/>
      </c>
    </row>
    <row r="128" ht="22.2" customHeight="1" s="375" thickTop="1">
      <c r="A128" s="337" t="inlineStr">
        <is>
          <t>รวมจำนวนหน่วยชั่วโมงที่ขอเบิกค่าสอน ….</t>
        </is>
      </c>
      <c r="B128" s="518" t="n"/>
      <c r="C128" s="518" t="n"/>
      <c r="D128" s="518" t="n"/>
      <c r="E128" s="518" t="n"/>
      <c r="F128" s="518" t="n"/>
      <c r="G128" s="518" t="n"/>
      <c r="H128" s="348">
        <f>M127+Q127</f>
        <v/>
      </c>
      <c r="I128" s="348" t="inlineStr">
        <is>
          <t>….ชั่วโมง</t>
        </is>
      </c>
      <c r="J128" s="348" t="n"/>
      <c r="K128" s="328" t="inlineStr">
        <is>
          <t>ยอดเงินรวม</t>
        </is>
      </c>
      <c r="L128" s="522" t="n"/>
      <c r="M128" s="522" t="n"/>
      <c r="N128" s="328" t="n"/>
      <c r="O128" s="328" t="n"/>
      <c r="P128" s="339">
        <f>S127+O127</f>
        <v/>
      </c>
      <c r="Q128" s="538" t="n"/>
      <c r="R128" s="20" t="n"/>
      <c r="S128" s="19" t="inlineStr">
        <is>
          <t>..บาท</t>
        </is>
      </c>
    </row>
    <row r="129" ht="22.2" customHeight="1" s="375">
      <c r="A129" s="154" t="inlineStr">
        <is>
          <t>ผู้ขอเบิก</t>
        </is>
      </c>
      <c r="B129" s="153" t="n"/>
      <c r="C129" s="153" t="n"/>
      <c r="D129" s="153" t="n"/>
      <c r="E129" s="153" t="n"/>
      <c r="F129" s="153" t="n"/>
      <c r="G129" s="135" t="n"/>
      <c r="H129" s="154" t="inlineStr">
        <is>
          <t>ผู้รับรอง</t>
        </is>
      </c>
      <c r="I129" s="153" t="n"/>
      <c r="J129" s="153" t="n"/>
      <c r="K129" s="153" t="n"/>
      <c r="L129" s="135" t="n"/>
      <c r="M129" s="154" t="inlineStr">
        <is>
          <t>ผู้ตรวจ</t>
        </is>
      </c>
      <c r="N129" s="153" t="n"/>
      <c r="O129" s="153" t="n"/>
      <c r="P129" s="153" t="n"/>
      <c r="Q129" s="153" t="n"/>
      <c r="R129" s="153" t="n"/>
      <c r="S129" s="135" t="n"/>
    </row>
    <row r="130" ht="22.2" customHeight="1" s="375">
      <c r="A130" s="334" t="inlineStr">
        <is>
          <t>ลงชื่อ……………………………………………</t>
        </is>
      </c>
      <c r="G130" s="374" t="n"/>
      <c r="H130" s="334" t="inlineStr">
        <is>
          <t>ลงชื่อ……………………………………………</t>
        </is>
      </c>
      <c r="L130" s="374" t="n"/>
      <c r="M130" s="334" t="inlineStr">
        <is>
          <t>ลงชื่อ……………………………………………</t>
        </is>
      </c>
      <c r="S130" s="374" t="n"/>
    </row>
    <row r="131" ht="22.2" customHeight="1" s="375">
      <c r="A131" s="11" t="inlineStr">
        <is>
          <t>(</t>
        </is>
      </c>
      <c r="B131" s="324">
        <f>B99</f>
        <v/>
      </c>
      <c r="G131" s="326" t="inlineStr">
        <is>
          <t>)</t>
        </is>
      </c>
      <c r="H131" s="324" t="inlineStr">
        <is>
          <t>(</t>
        </is>
      </c>
      <c r="I131" s="340">
        <f>I85</f>
        <v/>
      </c>
      <c r="L131" s="12" t="inlineStr">
        <is>
          <t>)</t>
        </is>
      </c>
      <c r="M131" s="53" t="inlineStr">
        <is>
          <t>(</t>
        </is>
      </c>
      <c r="N131" s="53" t="n"/>
      <c r="O131" s="324">
        <f>O39</f>
        <v/>
      </c>
      <c r="R131" s="25" t="n"/>
      <c r="S131" s="326" t="inlineStr">
        <is>
          <t>)</t>
        </is>
      </c>
    </row>
    <row r="132" ht="22.2" customHeight="1" s="375">
      <c r="A132" s="540" t="inlineStr">
        <is>
          <t xml:space="preserve">                         ตำแหน่ง  ครู</t>
        </is>
      </c>
      <c r="G132" s="374" t="n"/>
      <c r="H132" s="54" t="inlineStr">
        <is>
          <t>ตำแหน่ง หัวหน้าแผนก</t>
        </is>
      </c>
      <c r="L132" s="374" t="n"/>
      <c r="M132" s="54" t="inlineStr">
        <is>
          <t>ตำแหน่ง   ผู้ตรวจสอบ</t>
        </is>
      </c>
      <c r="S132" s="374" t="n"/>
    </row>
    <row r="133" ht="22.2" customHeight="1" s="375">
      <c r="A133" s="55" t="inlineStr">
        <is>
          <t>วันที่ 5 เดือน ตุลาคม  พ.ศ.2569</t>
        </is>
      </c>
      <c r="B133" s="522" t="n"/>
      <c r="C133" s="522" t="n"/>
      <c r="D133" s="522" t="n"/>
      <c r="E133" s="522" t="n"/>
      <c r="F133" s="522" t="n"/>
      <c r="G133" s="527" t="n"/>
      <c r="H133" s="54">
        <f>A41</f>
        <v/>
      </c>
      <c r="L133" s="374" t="n"/>
      <c r="M133" s="55">
        <f>A41</f>
        <v/>
      </c>
      <c r="N133" s="522" t="n"/>
      <c r="O133" s="522" t="n"/>
      <c r="P133" s="522" t="n"/>
      <c r="Q133" s="522" t="n"/>
      <c r="R133" s="522" t="n"/>
      <c r="S133" s="527" t="n"/>
    </row>
    <row r="134" ht="22.2" customHeight="1" s="375">
      <c r="A134" s="154" t="inlineStr">
        <is>
          <t>ผู้ตรวจ</t>
        </is>
      </c>
      <c r="B134" s="153" t="n"/>
      <c r="C134" s="153" t="n"/>
      <c r="D134" s="153" t="n"/>
      <c r="E134" s="153" t="n"/>
      <c r="F134" s="153" t="n"/>
      <c r="G134" s="153" t="n"/>
      <c r="H134" s="153" t="n"/>
      <c r="I134" s="135" t="n"/>
      <c r="J134" s="154" t="inlineStr">
        <is>
          <t>ผู้เห็นชอบ</t>
        </is>
      </c>
      <c r="K134" s="153" t="n"/>
      <c r="L134" s="153" t="n"/>
      <c r="M134" s="153" t="n"/>
      <c r="N134" s="153" t="n"/>
      <c r="O134" s="153" t="n"/>
      <c r="P134" s="153" t="n"/>
      <c r="Q134" s="153" t="n"/>
      <c r="R134" s="153" t="n"/>
      <c r="S134" s="135" t="n"/>
    </row>
    <row r="135" ht="22.2" customHeight="1" s="375">
      <c r="A135" s="334" t="inlineStr">
        <is>
          <t>ลงชื่อ……………………………………………</t>
        </is>
      </c>
      <c r="I135" s="374" t="n"/>
      <c r="J135" s="334" t="inlineStr">
        <is>
          <t>ลงชื่อ……………………………………………</t>
        </is>
      </c>
      <c r="S135" s="374" t="n"/>
    </row>
    <row r="136" ht="22.2" customHeight="1" s="375">
      <c r="A136" s="11" t="n"/>
      <c r="B136" s="324">
        <f>B44</f>
        <v/>
      </c>
      <c r="I136" s="326" t="n"/>
      <c r="J136" s="25" t="n"/>
      <c r="K136" s="25" t="n"/>
      <c r="L136" s="324">
        <f>L44</f>
        <v/>
      </c>
      <c r="R136" s="25" t="n"/>
      <c r="S136" s="12" t="n"/>
    </row>
    <row r="137" ht="22.2" customHeight="1" s="375">
      <c r="A137" s="54" t="inlineStr">
        <is>
          <t>ตำแหน่งครู  หัวหน้างานพัฒนาหลักสูตร ฯ</t>
        </is>
      </c>
      <c r="I137" s="374" t="n"/>
      <c r="J137" s="54" t="inlineStr">
        <is>
          <t>ตำแหน่ง  รองผู้อำนวยการฝ่ายวิชาการ</t>
        </is>
      </c>
      <c r="S137" s="374" t="n"/>
    </row>
    <row r="138" ht="22.2" customHeight="1" s="375">
      <c r="A138" s="336" t="inlineStr">
        <is>
          <t>วันที่.......เดือน..........................พ.ศ..............</t>
        </is>
      </c>
      <c r="B138" s="522" t="n"/>
      <c r="C138" s="522" t="n"/>
      <c r="D138" s="522" t="n"/>
      <c r="E138" s="522" t="n"/>
      <c r="F138" s="522" t="n"/>
      <c r="G138" s="522" t="n"/>
      <c r="H138" s="522" t="n"/>
      <c r="I138" s="527" t="n"/>
      <c r="J138" s="336" t="inlineStr">
        <is>
          <t>วันที่.......เดือน..........................พ.ศ..............</t>
        </is>
      </c>
      <c r="K138" s="522" t="n"/>
      <c r="L138" s="522" t="n"/>
      <c r="M138" s="522" t="n"/>
      <c r="N138" s="522" t="n"/>
      <c r="O138" s="522" t="n"/>
      <c r="P138" s="522" t="n"/>
      <c r="Q138" s="522" t="n"/>
      <c r="R138" s="522" t="n"/>
      <c r="S138" s="527" t="n"/>
    </row>
    <row r="139" ht="22.2" customHeight="1" s="375">
      <c r="A139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75">
      <c r="A140" s="365" t="inlineStr">
        <is>
          <t>แผนกวิชาช่างยนต์</t>
        </is>
      </c>
    </row>
    <row r="141" ht="22.2" customHeight="1" s="375">
      <c r="A141" s="366" t="inlineStr">
        <is>
          <t xml:space="preserve">    ระหว่างวันที่</t>
        </is>
      </c>
      <c r="D141" s="365">
        <f>D3</f>
        <v/>
      </c>
      <c r="E141" s="365" t="inlineStr">
        <is>
          <t xml:space="preserve">   เดือน  </t>
        </is>
      </c>
      <c r="F141" s="365">
        <f>F3</f>
        <v/>
      </c>
      <c r="H141" s="365">
        <f>H3</f>
        <v/>
      </c>
      <c r="I141" s="365" t="inlineStr">
        <is>
          <t xml:space="preserve">     ถึง วันที่</t>
        </is>
      </c>
      <c r="J141" s="365">
        <f>J3</f>
        <v/>
      </c>
      <c r="K141" s="365" t="inlineStr">
        <is>
          <t xml:space="preserve">   เดือน </t>
        </is>
      </c>
      <c r="L141" s="365">
        <f>L3</f>
        <v/>
      </c>
      <c r="N141" s="365">
        <f>N3</f>
        <v/>
      </c>
      <c r="P141" s="365" t="n"/>
      <c r="R141" s="365" t="n"/>
    </row>
    <row r="142" ht="22.2" customHeight="1" s="375">
      <c r="G142" s="51" t="inlineStr">
        <is>
          <t>ü</t>
        </is>
      </c>
      <c r="H142" s="351" t="inlineStr">
        <is>
          <t>ครู</t>
        </is>
      </c>
      <c r="I142" s="322" t="inlineStr">
        <is>
          <t>หน้าที่พิเศษ</t>
        </is>
      </c>
      <c r="J142" t="inlineStr">
        <is>
          <t>รหัสวิชา</t>
        </is>
      </c>
    </row>
    <row r="143" ht="22.2" customHeight="1" s="375">
      <c r="A143" s="24" t="inlineStr">
        <is>
          <t>ที่</t>
        </is>
      </c>
      <c r="B143" s="24" t="inlineStr">
        <is>
          <t>ชื่อ-สกุล</t>
        </is>
      </c>
      <c r="C143" s="153" t="n"/>
      <c r="D143" s="135" t="n"/>
      <c r="E143" s="15" t="inlineStr">
        <is>
          <t>ตำแหน่ง</t>
        </is>
      </c>
      <c r="F143" s="16" t="inlineStr">
        <is>
          <t>ระยะเวลาที่สอน</t>
        </is>
      </c>
      <c r="G143" s="432" t="n"/>
      <c r="H143" s="16" t="inlineStr">
        <is>
          <t>รหัสวิชา</t>
        </is>
      </c>
      <c r="I143" s="362" t="inlineStr">
        <is>
          <t>ชั้น,แผนก,ห้อง</t>
        </is>
      </c>
      <c r="J143" s="16" t="inlineStr">
        <is>
          <t>เวลาสอน</t>
        </is>
      </c>
      <c r="K143" s="135" t="n"/>
      <c r="L143" s="16" t="inlineStr">
        <is>
          <t>ปวช.(คาบ)</t>
        </is>
      </c>
      <c r="M143" s="432" t="n"/>
      <c r="N143" s="354" t="inlineStr">
        <is>
          <t>เงิน</t>
        </is>
      </c>
      <c r="O143" s="362" t="inlineStr">
        <is>
          <t>ยอดเงิน</t>
        </is>
      </c>
      <c r="P143" s="524" t="inlineStr">
        <is>
          <t>ปวส.(คาบ)</t>
        </is>
      </c>
      <c r="Q143" s="432" t="n"/>
      <c r="R143" s="354" t="inlineStr">
        <is>
          <t>เงิน</t>
        </is>
      </c>
      <c r="S143" s="362" t="inlineStr">
        <is>
          <t>ยอดเงิน</t>
        </is>
      </c>
    </row>
    <row r="144" ht="22.2" customHeight="1" s="375">
      <c r="A144" s="52" t="n"/>
      <c r="B144" s="8" t="n"/>
      <c r="C144" s="9" t="n"/>
      <c r="D144" s="13" t="n"/>
      <c r="E144" s="10" t="n"/>
      <c r="F144" s="336" t="inlineStr">
        <is>
          <t>ส.</t>
        </is>
      </c>
      <c r="G144" s="336" t="inlineStr">
        <is>
          <t>วดป.</t>
        </is>
      </c>
      <c r="H144" s="525" t="n"/>
      <c r="I144" s="336" t="n"/>
      <c r="J144" s="526" t="n"/>
      <c r="K144" s="527" t="n"/>
      <c r="L144" s="336" t="inlineStr">
        <is>
          <t>ใน</t>
        </is>
      </c>
      <c r="M144" s="336" t="inlineStr">
        <is>
          <t>นอก</t>
        </is>
      </c>
      <c r="N144" s="336" t="inlineStr">
        <is>
          <t>ต่อ ชม.</t>
        </is>
      </c>
      <c r="O144" s="336" t="inlineStr">
        <is>
          <t>(บาท)</t>
        </is>
      </c>
      <c r="P144" s="52" t="inlineStr">
        <is>
          <t>ใน</t>
        </is>
      </c>
      <c r="Q144" s="52" t="inlineStr">
        <is>
          <t>นอก</t>
        </is>
      </c>
      <c r="R144" s="336" t="inlineStr">
        <is>
          <t>ต่อ ชม.</t>
        </is>
      </c>
      <c r="S144" s="336" t="inlineStr">
        <is>
          <t>(บาท)</t>
        </is>
      </c>
    </row>
    <row r="145" ht="22.2" customHeight="1" s="375">
      <c r="A145" s="362" t="n">
        <v>4</v>
      </c>
      <c r="B145" s="528">
        <f>AB6</f>
        <v/>
      </c>
      <c r="C145" s="153" t="n"/>
      <c r="D145" s="135" t="n"/>
      <c r="E145" s="362" t="inlineStr">
        <is>
          <t>ครู</t>
        </is>
      </c>
      <c r="F145" s="5" t="n">
        <v>3</v>
      </c>
      <c r="G145" s="529" t="inlineStr">
        <is>
          <t>จันทร์</t>
        </is>
      </c>
      <c r="H145" s="381" t="inlineStr"/>
      <c r="I145" s="334" t="inlineStr"/>
      <c r="J145" s="381" t="inlineStr"/>
      <c r="K145" s="135" t="n"/>
      <c r="L145" s="367" t="inlineStr"/>
      <c r="M145" s="381" t="inlineStr"/>
      <c r="N145" s="381" t="inlineStr"/>
      <c r="O145" s="354" t="inlineStr"/>
      <c r="P145" s="367" t="inlineStr"/>
      <c r="Q145" s="381" t="inlineStr"/>
      <c r="R145" s="381" t="inlineStr"/>
      <c r="S145" s="354" t="inlineStr"/>
      <c r="T145" t="inlineStr"/>
      <c r="U145" t="inlineStr"/>
    </row>
    <row r="146" ht="22.2" customHeight="1" s="375">
      <c r="A146" s="3" t="n"/>
      <c r="E146" s="334" t="n"/>
      <c r="F146" s="322" t="n"/>
      <c r="G146" s="535" t="inlineStr">
        <is>
          <t>28 ก.ย.69</t>
        </is>
      </c>
      <c r="H146" s="376" t="inlineStr"/>
      <c r="I146" s="334" t="inlineStr"/>
      <c r="J146" s="334" t="inlineStr"/>
      <c r="K146" s="374" t="n"/>
      <c r="L146" s="334" t="inlineStr"/>
      <c r="M146" s="334" t="inlineStr"/>
      <c r="N146" s="334" t="inlineStr"/>
      <c r="O146" s="354" t="inlineStr"/>
      <c r="P146" s="334" t="inlineStr"/>
      <c r="Q146" s="334" t="inlineStr"/>
      <c r="R146" s="334" t="inlineStr"/>
      <c r="S146" s="354" t="inlineStr"/>
      <c r="T146" t="inlineStr"/>
      <c r="U146" t="inlineStr"/>
    </row>
    <row r="147" ht="22.2" customHeight="1" s="375">
      <c r="A147" s="3" t="n"/>
      <c r="B147" s="313" t="n"/>
      <c r="D147" s="314" t="n"/>
      <c r="E147" s="314" t="n"/>
      <c r="F147" s="322" t="n"/>
      <c r="G147" s="321" t="inlineStr"/>
      <c r="H147" s="376" t="inlineStr"/>
      <c r="I147" s="334" t="inlineStr"/>
      <c r="J147" s="334" t="inlineStr"/>
      <c r="K147" s="374" t="n"/>
      <c r="L147" s="334" t="inlineStr"/>
      <c r="M147" s="334" t="inlineStr"/>
      <c r="N147" s="334" t="inlineStr"/>
      <c r="O147" s="354" t="inlineStr"/>
      <c r="P147" s="334" t="inlineStr"/>
      <c r="Q147" s="334" t="inlineStr"/>
      <c r="R147" s="334" t="inlineStr"/>
      <c r="S147" s="354" t="inlineStr"/>
      <c r="T147" t="inlineStr"/>
      <c r="U147" t="inlineStr"/>
    </row>
    <row r="148" ht="22.2" customHeight="1" s="375">
      <c r="A148" s="3" t="n"/>
      <c r="B148" s="313" t="n"/>
      <c r="E148" s="3" t="n"/>
      <c r="F148" s="322" t="n"/>
      <c r="G148" s="321" t="inlineStr"/>
      <c r="H148" s="334" t="inlineStr"/>
      <c r="I148" s="334" t="inlineStr"/>
      <c r="J148" s="334" t="inlineStr"/>
      <c r="K148" s="374" t="n"/>
      <c r="L148" s="334" t="inlineStr"/>
      <c r="M148" s="334" t="inlineStr"/>
      <c r="N148" s="334" t="inlineStr"/>
      <c r="O148" s="354" t="inlineStr"/>
      <c r="P148" s="334" t="inlineStr"/>
      <c r="Q148" s="334" t="inlineStr"/>
      <c r="R148" s="334" t="inlineStr"/>
      <c r="S148" s="354" t="inlineStr"/>
      <c r="T148" t="inlineStr"/>
      <c r="U148" t="inlineStr"/>
    </row>
    <row r="149" ht="22.2" customHeight="1" s="375">
      <c r="A149" s="3" t="n"/>
      <c r="E149" s="3" t="n"/>
      <c r="G149" s="344" t="inlineStr"/>
      <c r="H149" s="336" t="inlineStr"/>
      <c r="I149" s="336" t="inlineStr"/>
      <c r="J149" s="336" t="inlineStr"/>
      <c r="K149" s="527" t="n"/>
      <c r="L149" s="334" t="inlineStr"/>
      <c r="M149" s="334" t="inlineStr"/>
      <c r="N149" s="334" t="inlineStr"/>
      <c r="O149" s="354" t="inlineStr"/>
      <c r="P149" s="334" t="inlineStr"/>
      <c r="Q149" s="334" t="inlineStr"/>
      <c r="R149" s="334" t="inlineStr"/>
      <c r="S149" s="354" t="inlineStr"/>
      <c r="T149" t="inlineStr"/>
      <c r="U149" t="inlineStr"/>
    </row>
    <row r="150" ht="22.2" customHeight="1" s="375">
      <c r="A150" s="3" t="n"/>
      <c r="E150" s="3" t="n"/>
      <c r="G150" s="533" t="inlineStr">
        <is>
          <t>อังคาร</t>
        </is>
      </c>
      <c r="H150" s="376" t="inlineStr">
        <is>
          <t>20101-2002</t>
        </is>
      </c>
      <c r="I150" s="376" t="inlineStr">
        <is>
          <t>ชย.1/10 (26)</t>
        </is>
      </c>
      <c r="J150" s="381" t="inlineStr">
        <is>
          <t>08:10 - 12:10</t>
        </is>
      </c>
      <c r="K150" s="135" t="n"/>
      <c r="L150" s="367" t="n">
        <v>4</v>
      </c>
      <c r="M150" s="381" t="inlineStr"/>
      <c r="N150" s="381" t="inlineStr"/>
      <c r="O150" s="354" t="inlineStr"/>
      <c r="P150" s="367" t="inlineStr"/>
      <c r="Q150" s="381" t="inlineStr"/>
      <c r="R150" s="381" t="inlineStr"/>
      <c r="S150" s="354" t="inlineStr"/>
      <c r="T150" s="6" t="inlineStr"/>
      <c r="U150" s="22" t="inlineStr"/>
      <c r="V150" s="57" t="n"/>
      <c r="W150" s="21" t="n"/>
      <c r="X150" s="21" t="n"/>
    </row>
    <row r="151" ht="22.2" customHeight="1" s="375">
      <c r="A151" s="3" t="n"/>
      <c r="E151" s="3" t="n"/>
      <c r="G151" s="535" t="inlineStr">
        <is>
          <t>29 ก.ย.69</t>
        </is>
      </c>
      <c r="H151" s="376" t="inlineStr">
        <is>
          <t>20101-2002</t>
        </is>
      </c>
      <c r="I151" s="376" t="inlineStr">
        <is>
          <t>ชย.1/10 (26)</t>
        </is>
      </c>
      <c r="J151" s="334" t="inlineStr">
        <is>
          <t>13:10 - 16:10</t>
        </is>
      </c>
      <c r="K151" s="374" t="n"/>
      <c r="L151" s="334" t="n">
        <v>3</v>
      </c>
      <c r="M151" s="334" t="inlineStr"/>
      <c r="N151" s="334" t="inlineStr"/>
      <c r="O151" s="354" t="inlineStr"/>
      <c r="P151" s="334" t="inlineStr"/>
      <c r="Q151" s="334" t="inlineStr"/>
      <c r="R151" s="334" t="inlineStr"/>
      <c r="S151" s="354" t="inlineStr"/>
      <c r="T151" s="21" t="inlineStr"/>
      <c r="U151" s="22" t="inlineStr"/>
      <c r="V151" s="57" t="n"/>
      <c r="W151" s="21" t="n"/>
      <c r="X151" s="21" t="n"/>
    </row>
    <row r="152" ht="22.2" customHeight="1" s="375">
      <c r="A152" s="3" t="n"/>
      <c r="B152" s="313" t="n"/>
      <c r="D152" s="314" t="n"/>
      <c r="E152" s="314" t="n"/>
      <c r="G152" s="334" t="inlineStr"/>
      <c r="H152" s="376" t="inlineStr"/>
      <c r="I152" s="376" t="inlineStr"/>
      <c r="J152" s="376" t="inlineStr"/>
      <c r="K152" s="374" t="n"/>
      <c r="L152" s="334" t="inlineStr"/>
      <c r="M152" s="334" t="inlineStr"/>
      <c r="N152" s="334" t="inlineStr"/>
      <c r="O152" s="354" t="inlineStr"/>
      <c r="P152" s="334" t="inlineStr"/>
      <c r="Q152" s="334" t="inlineStr"/>
      <c r="R152" s="334" t="inlineStr"/>
      <c r="S152" s="354" t="inlineStr"/>
      <c r="T152" t="inlineStr"/>
      <c r="U152" t="inlineStr"/>
    </row>
    <row r="153" ht="22.2" customHeight="1" s="375">
      <c r="A153" s="3" t="n"/>
      <c r="E153" s="3" t="n"/>
      <c r="G153" s="54" t="inlineStr"/>
      <c r="H153" s="334" t="inlineStr"/>
      <c r="I153" s="334" t="inlineStr"/>
      <c r="J153" s="334" t="inlineStr"/>
      <c r="K153" s="374" t="n"/>
      <c r="L153" s="334" t="inlineStr"/>
      <c r="M153" s="334" t="inlineStr"/>
      <c r="N153" s="334" t="inlineStr"/>
      <c r="O153" s="354" t="inlineStr"/>
      <c r="P153" s="334" t="inlineStr"/>
      <c r="Q153" s="334" t="inlineStr"/>
      <c r="R153" s="334" t="inlineStr"/>
      <c r="S153" s="354" t="inlineStr"/>
      <c r="T153" t="inlineStr"/>
      <c r="U153" t="inlineStr"/>
    </row>
    <row r="154" ht="22.2" customHeight="1" s="375">
      <c r="A154" s="3" t="n"/>
      <c r="D154" s="7" t="inlineStr">
        <is>
          <t> </t>
        </is>
      </c>
      <c r="E154" s="3" t="n"/>
      <c r="G154" s="55" t="inlineStr"/>
      <c r="H154" s="336" t="inlineStr"/>
      <c r="I154" s="336" t="inlineStr"/>
      <c r="J154" s="336" t="inlineStr"/>
      <c r="K154" s="527" t="n"/>
      <c r="L154" s="334" t="inlineStr"/>
      <c r="M154" s="334" t="inlineStr"/>
      <c r="N154" s="334" t="inlineStr"/>
      <c r="O154" s="354" t="inlineStr"/>
      <c r="P154" s="334" t="inlineStr"/>
      <c r="Q154" s="334" t="inlineStr"/>
      <c r="R154" s="334" t="inlineStr"/>
      <c r="S154" s="354" t="inlineStr"/>
      <c r="T154" t="inlineStr"/>
      <c r="U154" t="inlineStr"/>
    </row>
    <row r="155" ht="22.2" customHeight="1" s="375">
      <c r="A155" s="3" t="n"/>
      <c r="E155" s="3" t="n"/>
      <c r="G155" s="535" t="inlineStr">
        <is>
          <t>พุธ</t>
        </is>
      </c>
      <c r="H155" s="376" t="inlineStr">
        <is>
          <t>20101-2002</t>
        </is>
      </c>
      <c r="I155" s="376" t="inlineStr">
        <is>
          <t>ชย.1/6 (26)</t>
        </is>
      </c>
      <c r="J155" s="381" t="inlineStr">
        <is>
          <t>08:10 - 12:10</t>
        </is>
      </c>
      <c r="K155" s="135" t="n"/>
      <c r="L155" s="367" t="n">
        <v>4</v>
      </c>
      <c r="M155" s="381" t="inlineStr"/>
      <c r="N155" s="381" t="inlineStr"/>
      <c r="O155" s="354" t="inlineStr"/>
      <c r="P155" s="367" t="inlineStr"/>
      <c r="Q155" s="381" t="inlineStr"/>
      <c r="R155" s="381" t="inlineStr"/>
      <c r="S155" s="354" t="inlineStr"/>
      <c r="T155" t="inlineStr"/>
      <c r="U155" t="inlineStr"/>
    </row>
    <row r="156" ht="22.2" customHeight="1" s="375">
      <c r="A156" s="3" t="n"/>
      <c r="E156" s="3" t="n"/>
      <c r="G156" s="535" t="inlineStr">
        <is>
          <t>30 ก.ย.69</t>
        </is>
      </c>
      <c r="H156" s="376" t="inlineStr">
        <is>
          <t>20101-2002</t>
        </is>
      </c>
      <c r="I156" s="376" t="inlineStr">
        <is>
          <t>ชย.1/6 (26)</t>
        </is>
      </c>
      <c r="J156" s="334" t="inlineStr">
        <is>
          <t>13:10 - 16:10</t>
        </is>
      </c>
      <c r="K156" s="374" t="n"/>
      <c r="L156" s="334" t="n">
        <v>3</v>
      </c>
      <c r="M156" s="334" t="inlineStr"/>
      <c r="N156" s="334" t="inlineStr"/>
      <c r="O156" s="354" t="inlineStr"/>
      <c r="P156" s="334" t="inlineStr"/>
      <c r="Q156" s="334" t="inlineStr"/>
      <c r="R156" s="334" t="inlineStr"/>
      <c r="S156" s="354" t="inlineStr"/>
      <c r="T156" t="inlineStr"/>
      <c r="U156" t="inlineStr"/>
    </row>
    <row r="157" ht="22.2" customHeight="1" s="375">
      <c r="A157" s="3" t="n"/>
      <c r="B157" s="313" t="n"/>
      <c r="D157" s="314" t="n"/>
      <c r="E157" s="314" t="n"/>
      <c r="G157" s="334" t="inlineStr"/>
      <c r="H157" s="376" t="inlineStr"/>
      <c r="I157" s="334" t="inlineStr"/>
      <c r="J157" s="334" t="inlineStr"/>
      <c r="K157" s="374" t="n"/>
      <c r="L157" s="334" t="inlineStr"/>
      <c r="M157" s="334" t="inlineStr"/>
      <c r="N157" s="334" t="inlineStr"/>
      <c r="O157" s="354" t="inlineStr"/>
      <c r="P157" s="334" t="inlineStr"/>
      <c r="Q157" s="334" t="inlineStr"/>
      <c r="R157" s="334" t="inlineStr"/>
      <c r="S157" s="354" t="inlineStr"/>
      <c r="T157" t="inlineStr"/>
      <c r="U157" t="inlineStr"/>
    </row>
    <row r="158" ht="22.2" customHeight="1" s="375">
      <c r="A158" s="3" t="n"/>
      <c r="E158" s="3" t="n"/>
      <c r="G158" s="321" t="inlineStr"/>
      <c r="H158" s="334" t="inlineStr"/>
      <c r="I158" s="334" t="inlineStr"/>
      <c r="J158" s="334" t="inlineStr"/>
      <c r="K158" s="374" t="n"/>
      <c r="L158" s="334" t="inlineStr"/>
      <c r="M158" s="334" t="inlineStr"/>
      <c r="N158" s="334" t="inlineStr"/>
      <c r="O158" s="354" t="inlineStr"/>
      <c r="P158" s="334" t="inlineStr"/>
      <c r="Q158" s="334" t="inlineStr"/>
      <c r="R158" s="334" t="inlineStr"/>
      <c r="S158" s="354" t="inlineStr"/>
      <c r="T158" t="inlineStr"/>
      <c r="U158" t="inlineStr"/>
    </row>
    <row r="159" ht="22.2" customHeight="1" s="375">
      <c r="A159" s="3" t="n"/>
      <c r="E159" s="3" t="n"/>
      <c r="G159" s="327" t="inlineStr"/>
      <c r="H159" s="336" t="inlineStr"/>
      <c r="I159" s="336" t="inlineStr"/>
      <c r="J159" s="336" t="inlineStr"/>
      <c r="K159" s="527" t="n"/>
      <c r="L159" s="336" t="inlineStr"/>
      <c r="M159" s="336" t="inlineStr"/>
      <c r="N159" s="336" t="inlineStr"/>
      <c r="O159" s="354" t="inlineStr"/>
      <c r="P159" s="336" t="inlineStr"/>
      <c r="Q159" s="336" t="inlineStr"/>
      <c r="R159" s="336" t="inlineStr"/>
      <c r="S159" s="16" t="inlineStr"/>
      <c r="T159" t="inlineStr"/>
      <c r="U159" t="inlineStr"/>
    </row>
    <row r="160" ht="22.2" customHeight="1" s="375">
      <c r="A160" s="3" t="n"/>
      <c r="E160" s="3" t="n"/>
      <c r="G160" s="533" t="inlineStr">
        <is>
          <t>พฤหัส</t>
        </is>
      </c>
      <c r="H160" s="376" t="inlineStr">
        <is>
          <t>20101-2002</t>
        </is>
      </c>
      <c r="I160" s="334" t="inlineStr">
        <is>
          <t>ชย.1/7 (26)</t>
        </is>
      </c>
      <c r="J160" s="381" t="inlineStr">
        <is>
          <t>08:10 - 12:10</t>
        </is>
      </c>
      <c r="K160" s="135" t="n"/>
      <c r="L160" s="334" t="n">
        <v>2</v>
      </c>
      <c r="M160" s="148" t="n">
        <v>2</v>
      </c>
      <c r="N160" s="148" t="n">
        <v>200</v>
      </c>
      <c r="O160" s="354">
        <f>M160*N160</f>
        <v/>
      </c>
      <c r="P160" s="334" t="inlineStr"/>
      <c r="Q160" s="148" t="inlineStr"/>
      <c r="R160" s="148" t="inlineStr"/>
      <c r="S160" s="16" t="inlineStr"/>
      <c r="T160" t="inlineStr"/>
      <c r="U160" t="inlineStr"/>
    </row>
    <row r="161" ht="22.2" customHeight="1" s="375">
      <c r="A161" s="3" t="n"/>
      <c r="E161" s="3" t="n"/>
      <c r="G161" s="535" t="inlineStr">
        <is>
          <t>1 ต.ค.69</t>
        </is>
      </c>
      <c r="H161" s="376" t="inlineStr">
        <is>
          <t>20101-2002</t>
        </is>
      </c>
      <c r="I161" s="334" t="inlineStr">
        <is>
          <t>ชย.1/7 (26)</t>
        </is>
      </c>
      <c r="J161" s="334" t="inlineStr">
        <is>
          <t>15:10 - 18:10</t>
        </is>
      </c>
      <c r="K161" s="374" t="n"/>
      <c r="L161" s="334" t="inlineStr"/>
      <c r="M161" s="251" t="n">
        <v>3</v>
      </c>
      <c r="N161" s="251" t="n">
        <v>200</v>
      </c>
      <c r="O161" s="354">
        <f>M161*N161</f>
        <v/>
      </c>
      <c r="P161" s="334" t="inlineStr"/>
      <c r="Q161" s="251" t="inlineStr"/>
      <c r="R161" s="149" t="inlineStr"/>
      <c r="S161" s="16" t="inlineStr"/>
      <c r="T161" t="inlineStr"/>
      <c r="U161" t="inlineStr"/>
    </row>
    <row r="162" ht="22.2" customHeight="1" s="375">
      <c r="A162" s="3" t="n"/>
      <c r="B162" s="313" t="n"/>
      <c r="E162" s="3" t="n"/>
      <c r="G162" s="334" t="inlineStr"/>
      <c r="H162" s="376" t="inlineStr"/>
      <c r="I162" s="334" t="inlineStr"/>
      <c r="J162" s="334" t="inlineStr"/>
      <c r="K162" s="374" t="n"/>
      <c r="L162" s="376" t="inlineStr"/>
      <c r="M162" s="251" t="inlineStr"/>
      <c r="N162" s="251" t="inlineStr"/>
      <c r="O162" s="354" t="inlineStr"/>
      <c r="P162" s="376" t="inlineStr"/>
      <c r="Q162" s="251" t="inlineStr"/>
      <c r="R162" s="149" t="inlineStr"/>
      <c r="S162" s="16" t="inlineStr"/>
      <c r="T162" t="inlineStr"/>
      <c r="U162" t="inlineStr"/>
    </row>
    <row r="163" ht="22.2" customHeight="1" s="375">
      <c r="A163" s="3" t="n"/>
      <c r="E163" s="3" t="n"/>
      <c r="G163" s="334" t="inlineStr"/>
      <c r="H163" s="334" t="inlineStr"/>
      <c r="I163" s="334" t="inlineStr"/>
      <c r="J163" s="334" t="inlineStr"/>
      <c r="K163" s="374" t="n"/>
      <c r="L163" s="334" t="inlineStr"/>
      <c r="M163" s="334" t="inlineStr"/>
      <c r="N163" s="334" t="inlineStr"/>
      <c r="O163" s="354" t="inlineStr"/>
      <c r="P163" s="334" t="inlineStr"/>
      <c r="Q163" s="334" t="inlineStr"/>
      <c r="R163" s="334" t="inlineStr"/>
      <c r="S163" s="354" t="inlineStr"/>
      <c r="T163" t="inlineStr"/>
      <c r="U163" t="inlineStr"/>
    </row>
    <row r="164" ht="22.2" customHeight="1" s="375">
      <c r="A164" s="3" t="n"/>
      <c r="E164" s="3" t="n"/>
      <c r="G164" s="336" t="inlineStr"/>
      <c r="H164" s="328" t="inlineStr"/>
      <c r="I164" s="336" t="inlineStr"/>
      <c r="J164" s="336" t="inlineStr"/>
      <c r="K164" s="527" t="n"/>
      <c r="L164" s="336" t="inlineStr"/>
      <c r="M164" s="336" t="inlineStr"/>
      <c r="N164" s="336" t="inlineStr"/>
      <c r="O164" s="354" t="inlineStr"/>
      <c r="P164" s="336" t="inlineStr"/>
      <c r="Q164" s="336" t="inlineStr"/>
      <c r="R164" s="336" t="inlineStr"/>
      <c r="S164" s="354" t="inlineStr"/>
      <c r="T164" t="inlineStr"/>
      <c r="U164" t="inlineStr"/>
    </row>
    <row r="165" ht="22.2" customHeight="1" s="375">
      <c r="A165" s="3" t="n"/>
      <c r="D165" s="374" t="n"/>
      <c r="E165" s="251" t="n"/>
      <c r="G165" s="533" t="inlineStr">
        <is>
          <t>ศุกร์</t>
        </is>
      </c>
      <c r="H165" s="376" t="inlineStr">
        <is>
          <t>20101-2002</t>
        </is>
      </c>
      <c r="I165" s="376" t="inlineStr">
        <is>
          <t>ชย.1/9 (26)</t>
        </is>
      </c>
      <c r="J165" s="381" t="inlineStr">
        <is>
          <t>08:10 - 12:10</t>
        </is>
      </c>
      <c r="K165" s="135" t="n"/>
      <c r="L165" s="334" t="inlineStr"/>
      <c r="M165" s="24" t="n">
        <v>4</v>
      </c>
      <c r="N165" s="360" t="n">
        <v>200</v>
      </c>
      <c r="O165" s="354">
        <f>M165*N165</f>
        <v/>
      </c>
      <c r="P165" s="367" t="inlineStr"/>
      <c r="Q165" s="362" t="inlineStr"/>
      <c r="R165" s="354" t="inlineStr"/>
      <c r="S165" s="16" t="inlineStr"/>
      <c r="T165" t="inlineStr"/>
      <c r="U165" t="inlineStr"/>
    </row>
    <row r="166" ht="22.2" customHeight="1" s="375">
      <c r="A166" s="3" t="n"/>
      <c r="D166" s="314" t="n"/>
      <c r="E166" s="3" t="n"/>
      <c r="G166" s="535" t="inlineStr">
        <is>
          <t>2 ต.ค.69</t>
        </is>
      </c>
      <c r="H166" s="376" t="inlineStr">
        <is>
          <t>20101-2002</t>
        </is>
      </c>
      <c r="I166" s="376" t="inlineStr">
        <is>
          <t>ชย.1/9 (26)</t>
        </is>
      </c>
      <c r="J166" s="334" t="inlineStr">
        <is>
          <t>13:10 - 16:10</t>
        </is>
      </c>
      <c r="K166" s="374" t="n"/>
      <c r="L166" s="334" t="inlineStr"/>
      <c r="M166" s="251" t="n">
        <v>3</v>
      </c>
      <c r="N166" s="374" t="n">
        <v>200</v>
      </c>
      <c r="O166" s="354">
        <f>M166*N166</f>
        <v/>
      </c>
      <c r="P166" s="334" t="inlineStr"/>
      <c r="Q166" s="251" t="inlineStr"/>
      <c r="R166" s="251" t="inlineStr"/>
      <c r="S166" s="16" t="inlineStr"/>
      <c r="T166" t="inlineStr"/>
      <c r="U166" t="inlineStr"/>
    </row>
    <row r="167" ht="22.2" customHeight="1" s="375">
      <c r="A167" s="3" t="n"/>
      <c r="E167" s="3" t="n"/>
      <c r="G167" s="334" t="inlineStr"/>
      <c r="H167" s="376" t="inlineStr"/>
      <c r="I167" s="334" t="inlineStr"/>
      <c r="J167" s="334" t="inlineStr"/>
      <c r="K167" s="374" t="n"/>
      <c r="L167" s="334" t="inlineStr"/>
      <c r="M167" s="334" t="inlineStr"/>
      <c r="N167" s="334" t="inlineStr"/>
      <c r="O167" s="354" t="inlineStr"/>
      <c r="P167" s="334" t="inlineStr"/>
      <c r="Q167" s="334" t="inlineStr"/>
      <c r="R167" s="334" t="inlineStr"/>
      <c r="S167" s="354" t="inlineStr"/>
      <c r="T167" t="inlineStr"/>
      <c r="U167" t="inlineStr"/>
    </row>
    <row r="168" ht="22.2" customHeight="1" s="375">
      <c r="A168" s="3" t="n"/>
      <c r="E168" s="3" t="n"/>
      <c r="G168" s="334" t="inlineStr"/>
      <c r="H168" s="334" t="inlineStr"/>
      <c r="I168" s="334" t="inlineStr"/>
      <c r="J168" s="334" t="inlineStr"/>
      <c r="K168" s="374" t="n"/>
      <c r="L168" s="334" t="inlineStr"/>
      <c r="M168" s="334" t="inlineStr"/>
      <c r="N168" s="334" t="inlineStr"/>
      <c r="O168" s="354" t="inlineStr"/>
      <c r="P168" s="334" t="inlineStr"/>
      <c r="Q168" s="334" t="inlineStr"/>
      <c r="R168" s="334" t="inlineStr"/>
      <c r="S168" s="354" t="inlineStr"/>
      <c r="T168" t="inlineStr"/>
      <c r="U168" t="inlineStr"/>
    </row>
    <row r="169" ht="22.2" customHeight="1" s="375">
      <c r="A169" s="3" t="n"/>
      <c r="E169" s="3" t="n"/>
      <c r="F169" s="3" t="n"/>
      <c r="G169" s="329" t="inlineStr"/>
      <c r="H169" s="328" t="inlineStr"/>
      <c r="I169" s="336" t="inlineStr"/>
      <c r="J169" s="336" t="inlineStr"/>
      <c r="K169" s="527" t="n"/>
      <c r="L169" s="336" t="inlineStr"/>
      <c r="M169" s="336" t="inlineStr"/>
      <c r="N169" s="336" t="inlineStr"/>
      <c r="O169" s="354" t="inlineStr"/>
      <c r="P169" s="336" t="inlineStr"/>
      <c r="Q169" s="336" t="inlineStr"/>
      <c r="R169" s="336" t="inlineStr"/>
      <c r="S169" s="354" t="inlineStr"/>
      <c r="T169" t="inlineStr"/>
      <c r="U169" t="inlineStr"/>
    </row>
    <row r="170" ht="22.2" customHeight="1" s="375">
      <c r="A170" s="3" t="n"/>
      <c r="E170" s="3" t="n"/>
      <c r="F170" s="3" t="n"/>
      <c r="G170" s="16" t="inlineStr">
        <is>
          <t>รวมขั่วโมงที่สอนแยก ภาระงาน/ เกินภาระงาน</t>
        </is>
      </c>
      <c r="H170" s="518" t="n"/>
      <c r="I170" s="518" t="n"/>
      <c r="J170" s="518" t="n"/>
      <c r="K170" s="432" t="n"/>
      <c r="L170" s="16">
        <f>SUM(L145:L169)</f>
        <v/>
      </c>
      <c r="M170" s="16">
        <f>SUM(M145:M169)</f>
        <v/>
      </c>
      <c r="N170" s="16" t="n"/>
      <c r="O170" s="16" t="n"/>
      <c r="P170" s="16">
        <f>SUM(P145:P169)</f>
        <v/>
      </c>
      <c r="Q170" s="16">
        <f>SUM(Q145:Q169)</f>
        <v/>
      </c>
      <c r="R170" s="349" t="n"/>
      <c r="S170" s="16" t="n"/>
      <c r="T170" s="23" t="n"/>
      <c r="U170" s="23" t="inlineStr">
        <is>
          <t>สอน ป.ตรี</t>
        </is>
      </c>
      <c r="V170" s="56" t="n"/>
      <c r="W170" s="23" t="n"/>
      <c r="X170" s="23" t="n"/>
    </row>
    <row r="171" ht="22.2" customHeight="1" s="375">
      <c r="A171" s="3" t="n"/>
      <c r="E171" s="3" t="n"/>
      <c r="F171" s="3" t="n"/>
      <c r="G171" s="16" t="inlineStr">
        <is>
          <t>รวมจำนวนชั่วโมงสอนคาบต่อสับดาห์</t>
        </is>
      </c>
      <c r="H171" s="518" t="n"/>
      <c r="I171" s="518" t="n"/>
      <c r="J171" s="518" t="n"/>
      <c r="K171" s="432" t="n"/>
      <c r="L171" s="16">
        <f>L170+M170</f>
        <v/>
      </c>
      <c r="M171" s="432" t="n"/>
      <c r="N171" s="16" t="n"/>
      <c r="O171" s="348" t="n"/>
      <c r="P171" s="16">
        <f>P170+Q170</f>
        <v/>
      </c>
      <c r="Q171" s="432" t="n"/>
      <c r="R171" s="329" t="n"/>
      <c r="S171" s="336" t="n"/>
      <c r="T171" s="23" t="n"/>
      <c r="U171" s="23" t="inlineStr">
        <is>
          <t>17.10-20.10</t>
        </is>
      </c>
      <c r="V171" s="56" t="n"/>
      <c r="W171" s="23" t="n"/>
      <c r="X171" s="23" t="n"/>
    </row>
    <row r="172" ht="22.2" customHeight="1" s="375">
      <c r="A172" s="3" t="n"/>
      <c r="E172" s="3" t="n"/>
      <c r="F172" s="3" t="n"/>
      <c r="G172" s="16" t="inlineStr">
        <is>
          <t>จำนวนชั่วโมงสอนตามภาระงานสอน</t>
        </is>
      </c>
      <c r="H172" s="518" t="n"/>
      <c r="I172" s="518" t="n"/>
      <c r="J172" s="518" t="n"/>
      <c r="K172" s="432" t="n"/>
      <c r="L172" s="541" t="n">
        <v>12</v>
      </c>
      <c r="M172" s="432" t="n"/>
      <c r="N172" s="129" t="n"/>
      <c r="O172" s="132" t="n"/>
      <c r="P172" s="541" t="n">
        <v>0</v>
      </c>
      <c r="Q172" s="432" t="n"/>
      <c r="R172" s="322" t="n"/>
      <c r="S172" s="334" t="n"/>
    </row>
    <row r="173" ht="22.2" customHeight="1" s="375" thickBot="1">
      <c r="A173" s="3" t="n"/>
      <c r="E173" s="3" t="n"/>
      <c r="F173" s="14" t="n"/>
      <c r="G173" s="16" t="inlineStr">
        <is>
          <t>จำนวนชั่วโมงบิกเกินภาระงานสอน/ค่าสอน</t>
        </is>
      </c>
      <c r="H173" s="518" t="n"/>
      <c r="I173" s="518" t="n"/>
      <c r="J173" s="518" t="n"/>
      <c r="K173" s="432" t="n"/>
      <c r="L173" s="17" t="n">
        <v>0</v>
      </c>
      <c r="M173" s="17">
        <f>SUM(M145:M169)</f>
        <v/>
      </c>
      <c r="N173" s="17" t="n"/>
      <c r="O173" s="17">
        <f>SUM(O145:O169)</f>
        <v/>
      </c>
      <c r="P173" s="17" t="n">
        <v>0</v>
      </c>
      <c r="Q173" s="17">
        <f>SUM(Q145:Q169)</f>
        <v/>
      </c>
      <c r="R173" s="18" t="n"/>
      <c r="S173" s="17">
        <f>SUM(S145:S169)</f>
        <v/>
      </c>
    </row>
    <row r="174" ht="22.2" customHeight="1" s="375" thickTop="1">
      <c r="A174" s="337" t="inlineStr">
        <is>
          <t>รวมจำนวนหน่วยชั่วโมงที่ขอเบิกค่าสอน ….</t>
        </is>
      </c>
      <c r="B174" s="518" t="n"/>
      <c r="C174" s="518" t="n"/>
      <c r="D174" s="518" t="n"/>
      <c r="E174" s="518" t="n"/>
      <c r="F174" s="518" t="n"/>
      <c r="G174" s="518" t="n"/>
      <c r="H174" s="348">
        <f>M173+Q173</f>
        <v/>
      </c>
      <c r="I174" s="348" t="inlineStr">
        <is>
          <t>….ชั่วโมง</t>
        </is>
      </c>
      <c r="J174" s="348" t="n"/>
      <c r="K174" s="328" t="inlineStr">
        <is>
          <t>ยอดเงินรวม</t>
        </is>
      </c>
      <c r="L174" s="522" t="n"/>
      <c r="M174" s="522" t="n"/>
      <c r="N174" s="328" t="n"/>
      <c r="O174" s="328" t="n"/>
      <c r="P174" s="339">
        <f>S173+O173</f>
        <v/>
      </c>
      <c r="Q174" s="538" t="n"/>
      <c r="R174" s="20" t="n"/>
      <c r="S174" s="19" t="inlineStr">
        <is>
          <t>..บาท</t>
        </is>
      </c>
    </row>
    <row r="175" ht="22.2" customHeight="1" s="375">
      <c r="A175" s="154" t="inlineStr">
        <is>
          <t>ผู้ขอเบิก</t>
        </is>
      </c>
      <c r="B175" s="153" t="n"/>
      <c r="C175" s="153" t="n"/>
      <c r="D175" s="153" t="n"/>
      <c r="E175" s="153" t="n"/>
      <c r="F175" s="153" t="n"/>
      <c r="G175" s="135" t="n"/>
      <c r="H175" s="154" t="inlineStr">
        <is>
          <t>ผู้รับรอง</t>
        </is>
      </c>
      <c r="I175" s="153" t="n"/>
      <c r="J175" s="153" t="n"/>
      <c r="K175" s="153" t="n"/>
      <c r="L175" s="135" t="n"/>
      <c r="M175" s="154" t="inlineStr">
        <is>
          <t>ผู้ตรวจ</t>
        </is>
      </c>
      <c r="N175" s="153" t="n"/>
      <c r="O175" s="153" t="n"/>
      <c r="P175" s="153" t="n"/>
      <c r="Q175" s="153" t="n"/>
      <c r="R175" s="153" t="n"/>
      <c r="S175" s="135" t="n"/>
    </row>
    <row r="176" ht="22.2" customHeight="1" s="375">
      <c r="A176" s="334" t="inlineStr">
        <is>
          <t>ลงชื่อ……………………………………………</t>
        </is>
      </c>
      <c r="G176" s="374" t="n"/>
      <c r="H176" s="334" t="inlineStr">
        <is>
          <t>ลงชื่อ……………………………………………</t>
        </is>
      </c>
      <c r="L176" s="374" t="n"/>
      <c r="M176" s="334" t="inlineStr">
        <is>
          <t>ลงชื่อ……………………………………………</t>
        </is>
      </c>
      <c r="S176" s="374" t="n"/>
    </row>
    <row r="177" ht="22.2" customHeight="1" s="375">
      <c r="A177" s="11" t="inlineStr">
        <is>
          <t>(</t>
        </is>
      </c>
      <c r="B177" s="324">
        <f>B145</f>
        <v/>
      </c>
      <c r="G177" s="326" t="inlineStr">
        <is>
          <t>)</t>
        </is>
      </c>
      <c r="H177" s="324" t="inlineStr">
        <is>
          <t>(</t>
        </is>
      </c>
      <c r="I177" s="340">
        <f>I131</f>
        <v/>
      </c>
      <c r="L177" s="12" t="inlineStr">
        <is>
          <t>)</t>
        </is>
      </c>
      <c r="M177" s="53" t="inlineStr">
        <is>
          <t>(</t>
        </is>
      </c>
      <c r="N177" s="53" t="n"/>
      <c r="O177" s="324">
        <f>O39</f>
        <v/>
      </c>
      <c r="R177" s="25" t="n"/>
      <c r="S177" s="326" t="inlineStr">
        <is>
          <t>)</t>
        </is>
      </c>
    </row>
    <row r="178" ht="22.2" customHeight="1" s="375">
      <c r="A178" s="540" t="inlineStr">
        <is>
          <t xml:space="preserve">                        ตำแหน่ง  ครู</t>
        </is>
      </c>
      <c r="G178" s="374" t="n"/>
      <c r="H178" s="54" t="inlineStr">
        <is>
          <t>ตำแหน่ง หัวหน้าแผนก</t>
        </is>
      </c>
      <c r="L178" s="374" t="n"/>
      <c r="M178" s="54" t="inlineStr">
        <is>
          <t>ตำแหน่ง   ผู้ตรวจสอบ</t>
        </is>
      </c>
      <c r="S178" s="374" t="n"/>
    </row>
    <row r="179" ht="22.2" customHeight="1" s="375">
      <c r="A179" s="55" t="inlineStr">
        <is>
          <t>วันที่ 5 เดือน ตุลาคม  พ.ศ.2569</t>
        </is>
      </c>
      <c r="B179" s="522" t="n"/>
      <c r="C179" s="522" t="n"/>
      <c r="D179" s="522" t="n"/>
      <c r="E179" s="522" t="n"/>
      <c r="F179" s="522" t="n"/>
      <c r="G179" s="527" t="n"/>
      <c r="H179" s="54">
        <f>A41</f>
        <v/>
      </c>
      <c r="L179" s="374" t="n"/>
      <c r="M179" s="55">
        <f>A41</f>
        <v/>
      </c>
      <c r="N179" s="522" t="n"/>
      <c r="O179" s="522" t="n"/>
      <c r="P179" s="522" t="n"/>
      <c r="Q179" s="522" t="n"/>
      <c r="R179" s="522" t="n"/>
      <c r="S179" s="527" t="n"/>
    </row>
    <row r="180" ht="22.2" customHeight="1" s="375">
      <c r="A180" s="154" t="inlineStr">
        <is>
          <t>ผู้ตรวจ</t>
        </is>
      </c>
      <c r="B180" s="153" t="n"/>
      <c r="C180" s="153" t="n"/>
      <c r="D180" s="153" t="n"/>
      <c r="E180" s="153" t="n"/>
      <c r="F180" s="153" t="n"/>
      <c r="G180" s="153" t="n"/>
      <c r="H180" s="153" t="n"/>
      <c r="I180" s="135" t="n"/>
      <c r="J180" s="154" t="inlineStr">
        <is>
          <t>ผู้เห็นชอบ</t>
        </is>
      </c>
      <c r="K180" s="153" t="n"/>
      <c r="L180" s="153" t="n"/>
      <c r="M180" s="153" t="n"/>
      <c r="N180" s="153" t="n"/>
      <c r="O180" s="153" t="n"/>
      <c r="P180" s="153" t="n"/>
      <c r="Q180" s="153" t="n"/>
      <c r="R180" s="153" t="n"/>
      <c r="S180" s="135" t="n"/>
    </row>
    <row r="181" ht="22.2" customHeight="1" s="375">
      <c r="A181" s="334" t="inlineStr">
        <is>
          <t>ลงชื่อ……………………………………………</t>
        </is>
      </c>
      <c r="I181" s="374" t="n"/>
      <c r="J181" s="334" t="inlineStr">
        <is>
          <t>ลงชื่อ……………………………………………</t>
        </is>
      </c>
      <c r="S181" s="374" t="n"/>
    </row>
    <row r="182" ht="22.2" customHeight="1" s="375">
      <c r="A182" s="11" t="n"/>
      <c r="B182" s="324">
        <f>B44</f>
        <v/>
      </c>
      <c r="I182" s="326" t="n"/>
      <c r="J182" s="25" t="n"/>
      <c r="K182" s="25" t="n"/>
      <c r="L182" s="324">
        <f>L44</f>
        <v/>
      </c>
      <c r="R182" s="25" t="n"/>
      <c r="S182" s="12" t="n"/>
    </row>
    <row r="183" ht="22.2" customHeight="1" s="375">
      <c r="A183" s="54" t="inlineStr">
        <is>
          <t>ตำแหน่งครู  หัวหน้างานพัฒนาหลักสูตร ฯ</t>
        </is>
      </c>
      <c r="I183" s="374" t="n"/>
      <c r="J183" s="54" t="inlineStr">
        <is>
          <t>ตำแหน่ง  รองผู้อำนวยการฝ่ายวิชาการ</t>
        </is>
      </c>
      <c r="S183" s="374" t="n"/>
    </row>
    <row r="184" ht="22.2" customHeight="1" s="375">
      <c r="A184" s="336" t="inlineStr">
        <is>
          <t>วันที่.......เดือน..........................พ.ศ..............</t>
        </is>
      </c>
      <c r="B184" s="522" t="n"/>
      <c r="C184" s="522" t="n"/>
      <c r="D184" s="522" t="n"/>
      <c r="E184" s="522" t="n"/>
      <c r="F184" s="522" t="n"/>
      <c r="G184" s="522" t="n"/>
      <c r="H184" s="522" t="n"/>
      <c r="I184" s="527" t="n"/>
      <c r="J184" s="336" t="inlineStr">
        <is>
          <t>วันที่.......เดือน..........................พ.ศ..............</t>
        </is>
      </c>
      <c r="K184" s="522" t="n"/>
      <c r="L184" s="522" t="n"/>
      <c r="M184" s="522" t="n"/>
      <c r="N184" s="522" t="n"/>
      <c r="O184" s="522" t="n"/>
      <c r="P184" s="522" t="n"/>
      <c r="Q184" s="522" t="n"/>
      <c r="R184" s="522" t="n"/>
      <c r="S184" s="527" t="n"/>
    </row>
    <row r="185" ht="22.2" customHeight="1" s="375">
      <c r="A185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75">
      <c r="A186" s="365" t="inlineStr">
        <is>
          <t>แผนกวิชาช่างยนต์</t>
        </is>
      </c>
    </row>
    <row r="187" ht="22.2" customHeight="1" s="375">
      <c r="A187" s="366" t="inlineStr">
        <is>
          <t xml:space="preserve">    ระหว่างวันที่</t>
        </is>
      </c>
      <c r="D187" s="365">
        <f>D3</f>
        <v/>
      </c>
      <c r="E187" s="365" t="inlineStr">
        <is>
          <t xml:space="preserve">   เดือน  </t>
        </is>
      </c>
      <c r="F187" s="365">
        <f>F3</f>
        <v/>
      </c>
      <c r="H187" s="365">
        <f>H3</f>
        <v/>
      </c>
      <c r="I187" s="365" t="inlineStr">
        <is>
          <t xml:space="preserve">     ถึง วันที่</t>
        </is>
      </c>
      <c r="J187" s="365">
        <f>J3</f>
        <v/>
      </c>
      <c r="K187" s="365" t="inlineStr">
        <is>
          <t xml:space="preserve">   เดือน </t>
        </is>
      </c>
      <c r="L187" s="365">
        <f>L3</f>
        <v/>
      </c>
      <c r="N187" s="365">
        <f>N3</f>
        <v/>
      </c>
      <c r="P187" s="365" t="n"/>
      <c r="R187" s="365" t="n"/>
    </row>
    <row r="188" ht="22.2" customHeight="1" s="375">
      <c r="G188" s="51" t="inlineStr">
        <is>
          <t>ü</t>
        </is>
      </c>
      <c r="H188" s="351" t="inlineStr">
        <is>
          <t>ครู</t>
        </is>
      </c>
      <c r="I188" s="322" t="inlineStr">
        <is>
          <t>หน้าที่พิเศษ</t>
        </is>
      </c>
      <c r="J188" s="382" t="inlineStr">
        <is>
          <t>ผู้ช่วยงานบริหารและพัฒนาทรัพยากรบุคคล, สวัสดิการนักเรียนนักศึกษา,</t>
        </is>
      </c>
      <c r="K188" s="522" t="n"/>
      <c r="L188" s="522" t="n"/>
      <c r="M188" s="522" t="n"/>
      <c r="N188" s="522" t="n"/>
      <c r="O188" s="522" t="n"/>
    </row>
    <row r="189" ht="22.2" customHeight="1" s="375">
      <c r="A189" s="24" t="inlineStr">
        <is>
          <t>ที่</t>
        </is>
      </c>
      <c r="B189" s="24" t="inlineStr">
        <is>
          <t>ชื่อ-สกุล</t>
        </is>
      </c>
      <c r="C189" s="153" t="n"/>
      <c r="D189" s="135" t="n"/>
      <c r="E189" s="15" t="inlineStr">
        <is>
          <t>ตำแหน่ง</t>
        </is>
      </c>
      <c r="F189" s="16" t="inlineStr">
        <is>
          <t>ระยะเวลาที่สอน</t>
        </is>
      </c>
      <c r="G189" s="432" t="n"/>
      <c r="H189" s="16" t="inlineStr">
        <is>
          <t>รหัสวิชา</t>
        </is>
      </c>
      <c r="I189" s="362" t="inlineStr">
        <is>
          <t>ชั้น,แผนก,ห้อง</t>
        </is>
      </c>
      <c r="J189" s="16" t="inlineStr">
        <is>
          <t>เวลาสอน</t>
        </is>
      </c>
      <c r="K189" s="135" t="n"/>
      <c r="L189" s="16" t="inlineStr">
        <is>
          <t>ปวช.(คาบ)</t>
        </is>
      </c>
      <c r="M189" s="432" t="n"/>
      <c r="N189" s="354" t="inlineStr">
        <is>
          <t>เงิน</t>
        </is>
      </c>
      <c r="O189" s="362" t="inlineStr">
        <is>
          <t>ยอดเงิน</t>
        </is>
      </c>
      <c r="P189" s="524" t="inlineStr">
        <is>
          <t>ปวส.(คาบ)</t>
        </is>
      </c>
      <c r="Q189" s="432" t="n"/>
      <c r="R189" s="354" t="inlineStr">
        <is>
          <t>เงิน</t>
        </is>
      </c>
      <c r="S189" s="362" t="inlineStr">
        <is>
          <t>ยอดเงิน</t>
        </is>
      </c>
    </row>
    <row r="190" ht="22.2" customHeight="1" s="375">
      <c r="A190" s="52" t="n"/>
      <c r="B190" s="8" t="n"/>
      <c r="C190" s="9" t="n"/>
      <c r="D190" s="13" t="n"/>
      <c r="E190" s="10" t="n"/>
      <c r="F190" s="336" t="inlineStr">
        <is>
          <t>ส.</t>
        </is>
      </c>
      <c r="G190" s="336" t="inlineStr">
        <is>
          <t>วดป.</t>
        </is>
      </c>
      <c r="H190" s="525" t="n"/>
      <c r="I190" s="336" t="n"/>
      <c r="J190" s="526" t="n"/>
      <c r="K190" s="527" t="n"/>
      <c r="L190" s="336" t="inlineStr">
        <is>
          <t>ใน</t>
        </is>
      </c>
      <c r="M190" s="336" t="inlineStr">
        <is>
          <t>นอก</t>
        </is>
      </c>
      <c r="N190" s="336" t="inlineStr">
        <is>
          <t>ต่อ ชม.</t>
        </is>
      </c>
      <c r="O190" s="336" t="inlineStr">
        <is>
          <t>(บาท)</t>
        </is>
      </c>
      <c r="P190" s="52" t="inlineStr">
        <is>
          <t>ใน</t>
        </is>
      </c>
      <c r="Q190" s="52" t="inlineStr">
        <is>
          <t>นอก</t>
        </is>
      </c>
      <c r="R190" s="336" t="inlineStr">
        <is>
          <t>ต่อ ชม.</t>
        </is>
      </c>
      <c r="S190" s="336" t="inlineStr">
        <is>
          <t>(บาท)</t>
        </is>
      </c>
    </row>
    <row r="191" ht="22.2" customHeight="1" s="375">
      <c r="A191" s="362" t="n">
        <v>5</v>
      </c>
      <c r="B191" s="528">
        <f>AB7</f>
        <v/>
      </c>
      <c r="C191" s="153" t="n"/>
      <c r="D191" s="135" t="n"/>
      <c r="E191" s="362" t="inlineStr">
        <is>
          <t>ครู</t>
        </is>
      </c>
      <c r="F191" s="5" t="n">
        <v>3</v>
      </c>
      <c r="G191" s="529" t="inlineStr">
        <is>
          <t>จันทร์</t>
        </is>
      </c>
      <c r="H191" s="376" t="inlineStr">
        <is>
          <t>20101-2029</t>
        </is>
      </c>
      <c r="I191" s="376" t="inlineStr">
        <is>
          <t>ชย.3/7 (26)</t>
        </is>
      </c>
      <c r="J191" s="381" t="inlineStr">
        <is>
          <t>08:10 - 12:10</t>
        </is>
      </c>
      <c r="K191" s="135" t="n"/>
      <c r="L191" s="367" t="n">
        <v>4</v>
      </c>
      <c r="M191" s="381" t="inlineStr"/>
      <c r="N191" s="381" t="inlineStr"/>
      <c r="O191" s="354" t="inlineStr"/>
      <c r="P191" s="381" t="inlineStr"/>
      <c r="Q191" s="367" t="inlineStr"/>
      <c r="R191" s="381" t="inlineStr"/>
      <c r="S191" s="354" t="inlineStr"/>
      <c r="T191" t="inlineStr"/>
      <c r="U191" t="inlineStr"/>
    </row>
    <row r="192" ht="22.2" customHeight="1" s="375">
      <c r="A192" s="3" t="n"/>
      <c r="B192" s="530" t="n"/>
      <c r="D192" s="374" t="n"/>
      <c r="E192" s="334" t="n"/>
      <c r="F192" s="322" t="n"/>
      <c r="G192" s="535" t="inlineStr">
        <is>
          <t>28 ก.ย.69</t>
        </is>
      </c>
      <c r="H192" s="376" t="inlineStr">
        <is>
          <t>20101-2029</t>
        </is>
      </c>
      <c r="I192" s="376" t="inlineStr">
        <is>
          <t>ชย.3/7 (26)</t>
        </is>
      </c>
      <c r="J192" s="334" t="inlineStr">
        <is>
          <t>13:10 - 16:10</t>
        </is>
      </c>
      <c r="K192" s="374" t="n"/>
      <c r="L192" s="334" t="n">
        <v>3</v>
      </c>
      <c r="M192" s="334" t="inlineStr"/>
      <c r="N192" s="334" t="inlineStr"/>
      <c r="O192" s="354" t="inlineStr"/>
      <c r="P192" s="334" t="inlineStr"/>
      <c r="Q192" s="334" t="inlineStr"/>
      <c r="R192" s="334" t="inlineStr"/>
      <c r="S192" s="354" t="inlineStr"/>
      <c r="T192" t="inlineStr"/>
      <c r="U192" t="inlineStr"/>
    </row>
    <row r="193" ht="22.2" customHeight="1" s="375">
      <c r="A193" s="3" t="n"/>
      <c r="B193" s="313" t="n"/>
      <c r="D193" s="314" t="n"/>
      <c r="E193" s="314" t="n"/>
      <c r="F193" s="322" t="n"/>
      <c r="G193" s="321" t="inlineStr"/>
      <c r="H193" s="376" t="inlineStr"/>
      <c r="I193" s="376" t="inlineStr"/>
      <c r="J193" s="334" t="inlineStr"/>
      <c r="K193" s="374" t="n"/>
      <c r="L193" s="334" t="inlineStr"/>
      <c r="M193" s="334" t="inlineStr"/>
      <c r="N193" s="334" t="inlineStr"/>
      <c r="O193" s="354" t="inlineStr"/>
      <c r="P193" s="334" t="inlineStr"/>
      <c r="Q193" s="334" t="inlineStr"/>
      <c r="R193" s="334" t="inlineStr"/>
      <c r="S193" s="354" t="inlineStr"/>
      <c r="T193" t="inlineStr"/>
      <c r="U193" t="inlineStr"/>
    </row>
    <row r="194" ht="22.2" customHeight="1" s="375">
      <c r="A194" s="3" t="n"/>
      <c r="B194" s="313" t="n"/>
      <c r="E194" s="3" t="n"/>
      <c r="F194" s="322" t="n"/>
      <c r="G194" s="321" t="inlineStr"/>
      <c r="H194" s="334" t="inlineStr"/>
      <c r="I194" s="334" t="inlineStr"/>
      <c r="J194" s="334" t="inlineStr"/>
      <c r="K194" s="374" t="n"/>
      <c r="L194" s="334" t="inlineStr"/>
      <c r="M194" s="334" t="inlineStr"/>
      <c r="N194" s="334" t="inlineStr"/>
      <c r="O194" s="354" t="inlineStr"/>
      <c r="P194" s="334" t="inlineStr"/>
      <c r="Q194" s="334" t="inlineStr"/>
      <c r="R194" s="334" t="inlineStr"/>
      <c r="S194" s="354" t="inlineStr"/>
      <c r="T194" t="inlineStr"/>
      <c r="U194" t="inlineStr"/>
    </row>
    <row r="195" ht="22.2" customHeight="1" s="375">
      <c r="A195" s="3" t="n"/>
      <c r="E195" s="3" t="n"/>
      <c r="G195" s="344" t="inlineStr"/>
      <c r="H195" s="336" t="inlineStr"/>
      <c r="I195" s="336" t="inlineStr"/>
      <c r="J195" s="336" t="inlineStr"/>
      <c r="K195" s="527" t="n"/>
      <c r="L195" s="334" t="inlineStr"/>
      <c r="M195" s="334" t="inlineStr"/>
      <c r="N195" s="334" t="inlineStr"/>
      <c r="O195" s="354" t="inlineStr"/>
      <c r="P195" s="334" t="inlineStr"/>
      <c r="Q195" s="334" t="inlineStr"/>
      <c r="R195" s="334" t="inlineStr"/>
      <c r="S195" s="354" t="inlineStr"/>
      <c r="T195" t="inlineStr"/>
      <c r="U195" t="inlineStr"/>
    </row>
    <row r="196" ht="22.2" customHeight="1" s="375">
      <c r="A196" s="3" t="n"/>
      <c r="B196" s="143" t="n"/>
      <c r="C196" s="144" t="n"/>
      <c r="D196" s="145" t="n"/>
      <c r="E196" s="146" t="n"/>
      <c r="F196" s="145" t="n"/>
      <c r="G196" s="533" t="inlineStr">
        <is>
          <t>อังคาร</t>
        </is>
      </c>
      <c r="H196" s="381" t="inlineStr">
        <is>
          <t>20101-2029</t>
        </is>
      </c>
      <c r="I196" s="376" t="inlineStr">
        <is>
          <t>ชย.3/5 (26)</t>
        </is>
      </c>
      <c r="J196" s="381" t="inlineStr">
        <is>
          <t>08:10 - 12:10</t>
        </is>
      </c>
      <c r="K196" s="135" t="n"/>
      <c r="L196" s="367" t="n">
        <v>4</v>
      </c>
      <c r="M196" s="381" t="inlineStr"/>
      <c r="N196" s="381" t="inlineStr"/>
      <c r="O196" s="354" t="inlineStr"/>
      <c r="P196" s="381" t="inlineStr"/>
      <c r="Q196" s="367" t="inlineStr"/>
      <c r="R196" s="381" t="inlineStr"/>
      <c r="S196" s="354" t="inlineStr"/>
      <c r="T196" t="inlineStr"/>
      <c r="U196" t="inlineStr"/>
    </row>
    <row r="197" ht="22.2" customHeight="1" s="375">
      <c r="A197" s="3" t="n"/>
      <c r="D197" s="314" t="n"/>
      <c r="E197" s="3" t="n"/>
      <c r="G197" s="535" t="inlineStr">
        <is>
          <t>29 ก.ย.69</t>
        </is>
      </c>
      <c r="H197" s="376" t="inlineStr">
        <is>
          <t>20101-2029</t>
        </is>
      </c>
      <c r="I197" s="376" t="inlineStr">
        <is>
          <t>ชย.3/5 (26)</t>
        </is>
      </c>
      <c r="J197" s="334" t="inlineStr">
        <is>
          <t>13:10 - 16:10</t>
        </is>
      </c>
      <c r="K197" s="374" t="n"/>
      <c r="L197" s="334" t="n">
        <v>3</v>
      </c>
      <c r="M197" s="334" t="inlineStr"/>
      <c r="N197" s="334" t="inlineStr"/>
      <c r="O197" s="354" t="inlineStr"/>
      <c r="P197" s="334" t="inlineStr"/>
      <c r="Q197" s="334" t="inlineStr"/>
      <c r="R197" s="334" t="inlineStr"/>
      <c r="S197" s="354" t="inlineStr"/>
      <c r="T197" t="inlineStr"/>
      <c r="U197" t="inlineStr"/>
    </row>
    <row r="198" ht="22.2" customHeight="1" s="375">
      <c r="A198" s="3" t="n"/>
      <c r="B198" s="313" t="n"/>
      <c r="D198" s="314" t="n"/>
      <c r="E198" s="314" t="n"/>
      <c r="G198" s="334" t="inlineStr"/>
      <c r="H198" s="376" t="inlineStr"/>
      <c r="I198" s="376" t="inlineStr"/>
      <c r="J198" s="334" t="inlineStr"/>
      <c r="K198" s="374" t="n"/>
      <c r="L198" s="334" t="inlineStr"/>
      <c r="M198" s="334" t="inlineStr"/>
      <c r="N198" s="334" t="inlineStr"/>
      <c r="O198" s="354" t="inlineStr"/>
      <c r="P198" s="334" t="inlineStr"/>
      <c r="Q198" s="334" t="inlineStr"/>
      <c r="R198" s="334" t="inlineStr"/>
      <c r="S198" s="354" t="inlineStr"/>
      <c r="T198" t="inlineStr"/>
      <c r="U198" t="inlineStr"/>
    </row>
    <row r="199" ht="22.2" customHeight="1" s="375">
      <c r="A199" s="3" t="n"/>
      <c r="E199" s="3" t="n"/>
      <c r="G199" s="54" t="inlineStr"/>
      <c r="H199" s="334" t="inlineStr"/>
      <c r="I199" s="334" t="inlineStr"/>
      <c r="J199" s="334" t="inlineStr"/>
      <c r="K199" s="374" t="n"/>
      <c r="L199" s="334" t="inlineStr"/>
      <c r="M199" s="334" t="inlineStr"/>
      <c r="N199" s="334" t="inlineStr"/>
      <c r="O199" s="354" t="inlineStr"/>
      <c r="P199" s="334" t="inlineStr"/>
      <c r="Q199" s="334" t="inlineStr"/>
      <c r="R199" s="334" t="inlineStr"/>
      <c r="S199" s="354" t="inlineStr"/>
      <c r="T199" t="inlineStr"/>
      <c r="U199" t="inlineStr"/>
    </row>
    <row r="200" ht="22.2" customHeight="1" s="375">
      <c r="A200" s="3" t="n"/>
      <c r="D200" s="7" t="inlineStr">
        <is>
          <t> </t>
        </is>
      </c>
      <c r="E200" s="3" t="n"/>
      <c r="G200" s="55" t="inlineStr"/>
      <c r="H200" s="336" t="inlineStr"/>
      <c r="I200" s="336" t="inlineStr"/>
      <c r="J200" s="336" t="inlineStr"/>
      <c r="K200" s="527" t="n"/>
      <c r="L200" s="334" t="inlineStr"/>
      <c r="M200" s="334" t="inlineStr"/>
      <c r="N200" s="334" t="inlineStr"/>
      <c r="O200" s="354" t="inlineStr"/>
      <c r="P200" s="334" t="inlineStr"/>
      <c r="Q200" s="334" t="inlineStr"/>
      <c r="R200" s="334" t="inlineStr"/>
      <c r="S200" s="354" t="inlineStr"/>
      <c r="T200" t="inlineStr"/>
      <c r="U200" t="inlineStr"/>
    </row>
    <row r="201" ht="22.2" customHeight="1" s="375">
      <c r="A201" s="3" t="n"/>
      <c r="E201" s="3" t="n"/>
      <c r="G201" s="535" t="inlineStr">
        <is>
          <t>พุธ</t>
        </is>
      </c>
      <c r="H201" s="376" t="inlineStr">
        <is>
          <t>20101-2029</t>
        </is>
      </c>
      <c r="I201" s="376" t="inlineStr">
        <is>
          <t>ชย.3/8 (26)</t>
        </is>
      </c>
      <c r="J201" s="381" t="inlineStr">
        <is>
          <t>08:10 - 12:10</t>
        </is>
      </c>
      <c r="K201" s="135" t="n"/>
      <c r="L201" s="367" t="n">
        <v>4</v>
      </c>
      <c r="M201" s="381" t="inlineStr"/>
      <c r="N201" s="381" t="inlineStr"/>
      <c r="O201" s="354" t="inlineStr"/>
      <c r="P201" s="381" t="inlineStr"/>
      <c r="Q201" s="367" t="inlineStr"/>
      <c r="R201" s="381" t="inlineStr"/>
      <c r="S201" s="354" t="inlineStr"/>
      <c r="T201" s="23" t="inlineStr"/>
      <c r="U201" s="23" t="inlineStr"/>
      <c r="V201" s="56" t="n"/>
      <c r="W201" s="23" t="n"/>
      <c r="X201" s="23" t="n"/>
    </row>
    <row r="202" ht="22.2" customHeight="1" s="375">
      <c r="A202" s="3" t="n"/>
      <c r="B202" s="321" t="n"/>
      <c r="C202" s="322" t="n"/>
      <c r="D202" s="322" t="n"/>
      <c r="E202" s="334" t="n"/>
      <c r="G202" s="535" t="inlineStr">
        <is>
          <t>30 ก.ย.69</t>
        </is>
      </c>
      <c r="H202" s="376" t="inlineStr">
        <is>
          <t>20101-2029</t>
        </is>
      </c>
      <c r="I202" s="376" t="inlineStr">
        <is>
          <t>ชย.3/8 (26)</t>
        </is>
      </c>
      <c r="J202" s="334" t="inlineStr">
        <is>
          <t>13:10 - 16:10</t>
        </is>
      </c>
      <c r="K202" s="374" t="n"/>
      <c r="L202" s="334" t="inlineStr"/>
      <c r="M202" s="334" t="n">
        <v>3</v>
      </c>
      <c r="N202" s="334" t="n">
        <v>200</v>
      </c>
      <c r="O202" s="354">
        <f>M202*N202</f>
        <v/>
      </c>
      <c r="P202" s="334" t="inlineStr"/>
      <c r="Q202" s="334" t="inlineStr"/>
      <c r="R202" s="334" t="inlineStr"/>
      <c r="S202" s="354" t="inlineStr"/>
      <c r="T202" s="23" t="inlineStr"/>
      <c r="U202" s="23" t="inlineStr"/>
      <c r="V202" s="56" t="n"/>
      <c r="W202" s="23" t="n"/>
      <c r="X202" s="23" t="n"/>
    </row>
    <row r="203" ht="22.2" customHeight="1" s="375">
      <c r="A203" s="3" t="n"/>
      <c r="B203" s="313" t="n"/>
      <c r="D203" s="314" t="n"/>
      <c r="E203" s="314" t="n"/>
      <c r="G203" s="334" t="inlineStr"/>
      <c r="H203" s="376" t="inlineStr"/>
      <c r="I203" s="376" t="inlineStr"/>
      <c r="J203" s="334" t="inlineStr"/>
      <c r="K203" s="374" t="n"/>
      <c r="L203" s="334" t="inlineStr"/>
      <c r="M203" s="334" t="inlineStr"/>
      <c r="N203" s="334" t="inlineStr"/>
      <c r="O203" s="354" t="inlineStr"/>
      <c r="P203" s="334" t="inlineStr"/>
      <c r="Q203" s="334" t="inlineStr"/>
      <c r="R203" s="334" t="inlineStr"/>
      <c r="S203" s="354" t="inlineStr"/>
      <c r="T203" t="inlineStr"/>
      <c r="U203" t="inlineStr"/>
    </row>
    <row r="204" ht="22.2" customHeight="1" s="375">
      <c r="A204" s="3" t="n"/>
      <c r="E204" s="3" t="n"/>
      <c r="G204" s="321" t="inlineStr"/>
      <c r="H204" s="321" t="inlineStr"/>
      <c r="I204" s="334" t="inlineStr"/>
      <c r="J204" s="334" t="inlineStr"/>
      <c r="K204" s="374" t="n"/>
      <c r="L204" s="334" t="inlineStr"/>
      <c r="M204" s="334" t="inlineStr"/>
      <c r="N204" s="334" t="inlineStr"/>
      <c r="O204" s="354" t="inlineStr"/>
      <c r="P204" s="334" t="inlineStr"/>
      <c r="Q204" s="334" t="inlineStr"/>
      <c r="R204" s="334" t="inlineStr"/>
      <c r="S204" s="354" t="inlineStr"/>
      <c r="T204" t="inlineStr"/>
      <c r="U204" t="inlineStr"/>
    </row>
    <row r="205" ht="22.2" customHeight="1" s="375">
      <c r="A205" s="3" t="n"/>
      <c r="E205" s="3" t="n"/>
      <c r="G205" s="327" t="inlineStr"/>
      <c r="H205" s="327" t="inlineStr"/>
      <c r="I205" s="336" t="inlineStr"/>
      <c r="J205" s="336" t="inlineStr"/>
      <c r="K205" s="527" t="n"/>
      <c r="L205" s="336" t="inlineStr"/>
      <c r="M205" s="336" t="inlineStr"/>
      <c r="N205" s="336" t="inlineStr"/>
      <c r="O205" s="354" t="inlineStr"/>
      <c r="P205" s="336" t="inlineStr"/>
      <c r="Q205" s="336" t="inlineStr"/>
      <c r="R205" s="336" t="inlineStr"/>
      <c r="S205" s="354" t="inlineStr"/>
      <c r="T205" t="inlineStr"/>
      <c r="U205" t="inlineStr"/>
    </row>
    <row r="206" ht="22.2" customHeight="1" s="375">
      <c r="A206" s="3" t="n"/>
      <c r="E206" s="3" t="n"/>
      <c r="G206" s="533" t="inlineStr">
        <is>
          <t>พฤหัส</t>
        </is>
      </c>
      <c r="H206" s="376" t="inlineStr">
        <is>
          <t>20101-2016</t>
        </is>
      </c>
      <c r="I206" s="376" t="inlineStr">
        <is>
          <t>ชย.1/1,ชย.1/2 (26)</t>
        </is>
      </c>
      <c r="J206" s="381" t="inlineStr">
        <is>
          <t>08:10 - 10:10</t>
        </is>
      </c>
      <c r="K206" s="135" t="n"/>
      <c r="L206" s="334" t="inlineStr"/>
      <c r="M206" s="334" t="n">
        <v>2</v>
      </c>
      <c r="N206" s="334" t="n">
        <v>200</v>
      </c>
      <c r="O206" s="354">
        <f>M206*N206</f>
        <v/>
      </c>
      <c r="P206" s="334" t="inlineStr"/>
      <c r="Q206" s="367" t="inlineStr"/>
      <c r="R206" s="381" t="inlineStr"/>
      <c r="S206" s="354" t="inlineStr"/>
      <c r="T206" t="inlineStr"/>
      <c r="U206" t="inlineStr"/>
    </row>
    <row r="207" ht="22.2" customHeight="1" s="375">
      <c r="A207" s="3" t="n"/>
      <c r="E207" s="3" t="n"/>
      <c r="G207" s="535" t="inlineStr">
        <is>
          <t>1 ต.ค.69</t>
        </is>
      </c>
      <c r="H207" s="334" t="inlineStr">
        <is>
          <t>20000-2007</t>
        </is>
      </c>
      <c r="I207" s="376" t="inlineStr">
        <is>
          <t>ชย.3/1,ชย.3/2,ชย.3/3 (26)</t>
        </is>
      </c>
      <c r="J207" s="334" t="inlineStr">
        <is>
          <t>13:10 - 15:10</t>
        </is>
      </c>
      <c r="K207" s="374" t="n"/>
      <c r="L207" s="334" t="n">
        <v>2</v>
      </c>
      <c r="M207" s="334" t="inlineStr"/>
      <c r="N207" s="334" t="inlineStr"/>
      <c r="O207" s="354" t="inlineStr"/>
      <c r="P207" s="334" t="inlineStr"/>
      <c r="Q207" s="334" t="inlineStr"/>
      <c r="R207" s="334" t="inlineStr"/>
      <c r="S207" s="354" t="inlineStr"/>
      <c r="T207" t="inlineStr"/>
      <c r="U207" t="inlineStr"/>
    </row>
    <row r="208" ht="22.2" customHeight="1" s="375">
      <c r="A208" s="3" t="n"/>
      <c r="E208" s="3" t="n"/>
      <c r="G208" s="334" t="inlineStr"/>
      <c r="H208" s="376" t="inlineStr"/>
      <c r="I208" s="376" t="inlineStr"/>
      <c r="J208" s="376" t="inlineStr"/>
      <c r="K208" s="374" t="n"/>
      <c r="L208" s="376" t="inlineStr"/>
      <c r="M208" s="376" t="inlineStr"/>
      <c r="N208" s="376" t="inlineStr"/>
      <c r="O208" s="354" t="inlineStr"/>
      <c r="P208" s="376" t="inlineStr"/>
      <c r="Q208" s="376" t="inlineStr"/>
      <c r="R208" s="376" t="inlineStr"/>
      <c r="S208" s="354" t="inlineStr"/>
      <c r="T208" t="inlineStr"/>
      <c r="U208" t="inlineStr"/>
    </row>
    <row r="209" ht="22.2" customHeight="1" s="375">
      <c r="A209" s="3" t="n"/>
      <c r="E209" s="3" t="n"/>
      <c r="G209" s="334" t="inlineStr"/>
      <c r="H209" s="334" t="inlineStr"/>
      <c r="I209" s="334" t="inlineStr"/>
      <c r="J209" s="334" t="inlineStr"/>
      <c r="K209" s="374" t="n"/>
      <c r="L209" s="334" t="inlineStr"/>
      <c r="M209" s="334" t="inlineStr"/>
      <c r="N209" s="334" t="inlineStr"/>
      <c r="O209" s="354" t="inlineStr"/>
      <c r="P209" s="334" t="inlineStr"/>
      <c r="Q209" s="334" t="inlineStr"/>
      <c r="R209" s="334" t="inlineStr"/>
      <c r="S209" s="354" t="inlineStr"/>
      <c r="T209" t="inlineStr"/>
      <c r="U209" t="inlineStr"/>
    </row>
    <row r="210" ht="22.2" customHeight="1" s="375">
      <c r="A210" s="3" t="n"/>
      <c r="E210" s="3" t="n"/>
      <c r="G210" s="336" t="inlineStr"/>
      <c r="H210" s="328" t="inlineStr"/>
      <c r="I210" s="336" t="inlineStr"/>
      <c r="J210" s="336" t="inlineStr"/>
      <c r="K210" s="527" t="n"/>
      <c r="L210" s="336" t="inlineStr"/>
      <c r="M210" s="336" t="inlineStr"/>
      <c r="N210" s="336" t="inlineStr"/>
      <c r="O210" s="354" t="inlineStr"/>
      <c r="P210" s="336" t="inlineStr"/>
      <c r="Q210" s="336" t="inlineStr"/>
      <c r="R210" s="336" t="inlineStr"/>
      <c r="S210" s="354" t="inlineStr"/>
      <c r="T210" t="inlineStr"/>
      <c r="U210" t="inlineStr"/>
    </row>
    <row r="211" ht="22.2" customHeight="1" s="375">
      <c r="A211" s="3" t="n"/>
      <c r="E211" s="3" t="n"/>
      <c r="G211" s="533" t="inlineStr">
        <is>
          <t>ศุกร์</t>
        </is>
      </c>
      <c r="H211" s="376" t="inlineStr">
        <is>
          <t>20101-2018</t>
        </is>
      </c>
      <c r="I211" s="376" t="inlineStr">
        <is>
          <t>ชย.3/1,ชย.3/2 (26)</t>
        </is>
      </c>
      <c r="J211" s="381" t="inlineStr">
        <is>
          <t>18:10 - 21:10</t>
        </is>
      </c>
      <c r="K211" s="135" t="n"/>
      <c r="L211" s="334" t="inlineStr"/>
      <c r="M211" s="334" t="n">
        <v>3</v>
      </c>
      <c r="N211" s="334" t="n">
        <v>200</v>
      </c>
      <c r="O211" s="354">
        <f>M211*N211</f>
        <v/>
      </c>
      <c r="P211" s="381" t="inlineStr"/>
      <c r="Q211" s="367" t="inlineStr"/>
      <c r="R211" s="381" t="inlineStr"/>
      <c r="S211" s="354" t="inlineStr"/>
      <c r="T211" t="inlineStr"/>
      <c r="U211" t="inlineStr"/>
    </row>
    <row r="212" ht="22.2" customHeight="1" s="375">
      <c r="A212" s="3" t="n"/>
      <c r="B212" s="143" t="n"/>
      <c r="C212" s="144" t="n"/>
      <c r="D212" s="145" t="n"/>
      <c r="E212" s="146" t="n"/>
      <c r="F212" s="145" t="n"/>
      <c r="G212" s="535" t="inlineStr">
        <is>
          <t>2 ต.ค.69</t>
        </is>
      </c>
      <c r="H212" s="376" t="inlineStr"/>
      <c r="I212" s="376" t="inlineStr"/>
      <c r="J212" s="334" t="inlineStr"/>
      <c r="K212" s="374" t="n"/>
      <c r="L212" s="334" t="inlineStr"/>
      <c r="M212" s="334" t="inlineStr"/>
      <c r="N212" s="334" t="inlineStr"/>
      <c r="O212" s="354" t="inlineStr"/>
      <c r="P212" s="334" t="inlineStr"/>
      <c r="Q212" s="334" t="inlineStr"/>
      <c r="R212" s="334" t="inlineStr"/>
      <c r="S212" s="354" t="inlineStr"/>
      <c r="T212" t="inlineStr"/>
      <c r="U212" t="inlineStr"/>
    </row>
    <row r="213" ht="22.2" customHeight="1" s="375">
      <c r="A213" s="3" t="n"/>
      <c r="E213" s="3" t="n"/>
      <c r="G213" s="334" t="inlineStr"/>
      <c r="H213" s="376" t="inlineStr"/>
      <c r="I213" s="376" t="inlineStr"/>
      <c r="J213" s="334" t="inlineStr"/>
      <c r="K213" s="374" t="n"/>
      <c r="L213" s="334" t="inlineStr"/>
      <c r="M213" s="334" t="inlineStr"/>
      <c r="N213" s="334" t="inlineStr"/>
      <c r="O213" s="354" t="inlineStr"/>
      <c r="P213" s="334" t="inlineStr"/>
      <c r="Q213" s="334" t="inlineStr"/>
      <c r="R213" s="334" t="inlineStr"/>
      <c r="S213" s="354" t="inlineStr"/>
      <c r="T213" t="inlineStr"/>
      <c r="U213" t="inlineStr"/>
    </row>
    <row r="214" ht="22.2" customHeight="1" s="375">
      <c r="A214" s="3" t="n"/>
      <c r="E214" s="3" t="n"/>
      <c r="G214" s="334" t="inlineStr"/>
      <c r="H214" s="334" t="inlineStr"/>
      <c r="I214" s="334" t="inlineStr"/>
      <c r="J214" s="334" t="inlineStr"/>
      <c r="K214" s="374" t="n"/>
      <c r="L214" s="334" t="inlineStr"/>
      <c r="M214" s="334" t="inlineStr"/>
      <c r="N214" s="334" t="inlineStr"/>
      <c r="O214" s="354" t="inlineStr"/>
      <c r="P214" s="334" t="inlineStr"/>
      <c r="Q214" s="334" t="inlineStr"/>
      <c r="R214" s="334" t="inlineStr"/>
      <c r="S214" s="354" t="inlineStr"/>
      <c r="T214" t="inlineStr"/>
      <c r="U214" t="inlineStr"/>
    </row>
    <row r="215" ht="22.2" customHeight="1" s="375">
      <c r="A215" s="3" t="n"/>
      <c r="E215" s="3" t="n"/>
      <c r="F215" s="3" t="n"/>
      <c r="G215" s="329" t="inlineStr"/>
      <c r="H215" s="328" t="inlineStr"/>
      <c r="I215" s="336" t="inlineStr"/>
      <c r="J215" s="336" t="inlineStr"/>
      <c r="K215" s="527" t="n"/>
      <c r="L215" s="336" t="inlineStr"/>
      <c r="M215" s="336" t="inlineStr"/>
      <c r="N215" s="336" t="inlineStr"/>
      <c r="O215" s="354" t="inlineStr"/>
      <c r="P215" s="336" t="inlineStr"/>
      <c r="Q215" s="336" t="inlineStr"/>
      <c r="R215" s="336" t="inlineStr"/>
      <c r="S215" s="354" t="inlineStr"/>
      <c r="T215" t="inlineStr"/>
      <c r="U215" t="inlineStr"/>
    </row>
    <row r="216" ht="22.2" customHeight="1" s="375">
      <c r="A216" s="3" t="n"/>
      <c r="E216" s="3" t="n"/>
      <c r="F216" s="3" t="n"/>
      <c r="G216" s="16" t="inlineStr">
        <is>
          <t>รวมขั่วโมงที่สอนแยก ภาระงาน/ เกินภาระงาน</t>
        </is>
      </c>
      <c r="H216" s="518" t="n"/>
      <c r="I216" s="518" t="n"/>
      <c r="J216" s="518" t="n"/>
      <c r="K216" s="432" t="n"/>
      <c r="L216" s="16">
        <f>SUM(L191:L215)</f>
        <v/>
      </c>
      <c r="M216" s="16">
        <f>SUM(M191:M215)</f>
        <v/>
      </c>
      <c r="N216" s="16" t="n"/>
      <c r="O216" s="16" t="n"/>
      <c r="P216" s="16">
        <f>SUM(P191:P215)</f>
        <v/>
      </c>
      <c r="Q216" s="16">
        <f>SUM(Q191:Q215)</f>
        <v/>
      </c>
      <c r="R216" s="349" t="n"/>
      <c r="S216" s="16" t="n"/>
    </row>
    <row r="217" ht="22.2" customHeight="1" s="375">
      <c r="A217" s="3" t="n"/>
      <c r="E217" s="3" t="n"/>
      <c r="F217" s="3" t="n"/>
      <c r="G217" s="16" t="inlineStr">
        <is>
          <t>รวมจำนวนชั่วโมงสอนคาบต่อสับดาห์</t>
        </is>
      </c>
      <c r="H217" s="518" t="n"/>
      <c r="I217" s="518" t="n"/>
      <c r="J217" s="518" t="n"/>
      <c r="K217" s="432" t="n"/>
      <c r="L217" s="16">
        <f>L216+M216</f>
        <v/>
      </c>
      <c r="M217" s="432" t="n"/>
      <c r="N217" s="16" t="n"/>
      <c r="O217" s="348" t="n"/>
      <c r="P217" s="16">
        <f>P216+Q216</f>
        <v/>
      </c>
      <c r="Q217" s="432" t="n"/>
      <c r="R217" s="329" t="n"/>
      <c r="S217" s="336" t="n"/>
    </row>
    <row r="218" ht="22.2" customHeight="1" s="375">
      <c r="A218" s="3" t="n"/>
      <c r="E218" s="3" t="n"/>
      <c r="F218" s="3" t="n"/>
      <c r="G218" s="16" t="inlineStr">
        <is>
          <t>จำนวนชั่วโมงสอนตามภาระงานสอน</t>
        </is>
      </c>
      <c r="H218" s="518" t="n"/>
      <c r="I218" s="518" t="n"/>
      <c r="J218" s="518" t="n"/>
      <c r="K218" s="432" t="n"/>
      <c r="L218" s="16" t="n">
        <v>18</v>
      </c>
      <c r="M218" s="432" t="n"/>
      <c r="N218" s="348" t="n"/>
      <c r="O218" s="16" t="n"/>
      <c r="P218" s="16" t="n">
        <v>0</v>
      </c>
      <c r="Q218" s="432" t="n"/>
      <c r="R218" s="322" t="n"/>
      <c r="S218" s="334" t="n"/>
    </row>
    <row r="219" ht="22.2" customHeight="1" s="375" thickBot="1">
      <c r="A219" s="3" t="n"/>
      <c r="E219" s="3" t="n"/>
      <c r="F219" s="14" t="n"/>
      <c r="G219" s="16" t="inlineStr">
        <is>
          <t>จำนวนชั่วโมงบิกเกินภาระงานสอน/ค่าสอน</t>
        </is>
      </c>
      <c r="H219" s="518" t="n"/>
      <c r="I219" s="518" t="n"/>
      <c r="J219" s="518" t="n"/>
      <c r="K219" s="432" t="n"/>
      <c r="L219" s="17" t="n">
        <v>0</v>
      </c>
      <c r="M219" s="17">
        <f>SUM(M191:M215)</f>
        <v/>
      </c>
      <c r="N219" s="17" t="n"/>
      <c r="O219" s="17">
        <f>SUM(O191:O215)</f>
        <v/>
      </c>
      <c r="P219" s="17" t="n">
        <v>0</v>
      </c>
      <c r="Q219" s="17">
        <f>SUM(Q191:Q215)</f>
        <v/>
      </c>
      <c r="R219" s="18" t="n"/>
      <c r="S219" s="17">
        <f>SUM(S191:S215)</f>
        <v/>
      </c>
    </row>
    <row r="220" ht="22.2" customHeight="1" s="375" thickTop="1">
      <c r="A220" s="337" t="inlineStr">
        <is>
          <t>รวมจำนวนหน่วยชั่วโมงที่ขอเบิกค่าสอน ….</t>
        </is>
      </c>
      <c r="B220" s="518" t="n"/>
      <c r="C220" s="518" t="n"/>
      <c r="D220" s="518" t="n"/>
      <c r="E220" s="518" t="n"/>
      <c r="F220" s="518" t="n"/>
      <c r="G220" s="518" t="n"/>
      <c r="H220" s="348">
        <f>M219+Q219</f>
        <v/>
      </c>
      <c r="I220" s="348" t="inlineStr">
        <is>
          <t>….ชั่วโมง</t>
        </is>
      </c>
      <c r="J220" s="348" t="n"/>
      <c r="K220" s="328" t="inlineStr">
        <is>
          <t>ยอดเงินรวม</t>
        </is>
      </c>
      <c r="L220" s="522" t="n"/>
      <c r="M220" s="522" t="n"/>
      <c r="N220" s="328" t="n"/>
      <c r="O220" s="328" t="n"/>
      <c r="P220" s="339">
        <f>S219+O219</f>
        <v/>
      </c>
      <c r="Q220" s="538" t="n"/>
      <c r="R220" s="20" t="n"/>
      <c r="S220" s="19" t="inlineStr">
        <is>
          <t>..บาท</t>
        </is>
      </c>
    </row>
    <row r="221" ht="22.2" customHeight="1" s="375">
      <c r="A221" s="154" t="inlineStr">
        <is>
          <t>ผู้ขอเบิก</t>
        </is>
      </c>
      <c r="B221" s="153" t="n"/>
      <c r="C221" s="153" t="n"/>
      <c r="D221" s="153" t="n"/>
      <c r="E221" s="153" t="n"/>
      <c r="F221" s="153" t="n"/>
      <c r="G221" s="135" t="n"/>
      <c r="H221" s="154" t="inlineStr">
        <is>
          <t>ผู้รับรอง</t>
        </is>
      </c>
      <c r="I221" s="153" t="n"/>
      <c r="J221" s="153" t="n"/>
      <c r="K221" s="153" t="n"/>
      <c r="L221" s="135" t="n"/>
      <c r="M221" s="154" t="inlineStr">
        <is>
          <t>ผู้ตรวจ</t>
        </is>
      </c>
      <c r="N221" s="153" t="n"/>
      <c r="O221" s="153" t="n"/>
      <c r="P221" s="153" t="n"/>
      <c r="Q221" s="153" t="n"/>
      <c r="R221" s="153" t="n"/>
      <c r="S221" s="135" t="n"/>
    </row>
    <row r="222" ht="22.2" customHeight="1" s="375">
      <c r="A222" s="334" t="inlineStr">
        <is>
          <t>ลงชื่อ……………………………………………</t>
        </is>
      </c>
      <c r="G222" s="374" t="n"/>
      <c r="H222" s="334" t="inlineStr">
        <is>
          <t>ลงชื่อ……………………………………………</t>
        </is>
      </c>
      <c r="L222" s="374" t="n"/>
      <c r="M222" s="334" t="inlineStr">
        <is>
          <t>ลงชื่อ……………………………………………</t>
        </is>
      </c>
      <c r="S222" s="374" t="n"/>
    </row>
    <row r="223" ht="22.2" customHeight="1" s="375">
      <c r="A223" s="11" t="inlineStr">
        <is>
          <t>(</t>
        </is>
      </c>
      <c r="B223" s="324">
        <f>B191</f>
        <v/>
      </c>
      <c r="G223" s="326" t="inlineStr">
        <is>
          <t>)</t>
        </is>
      </c>
      <c r="H223" s="324" t="inlineStr">
        <is>
          <t>(</t>
        </is>
      </c>
      <c r="I223" s="340">
        <f>I177</f>
        <v/>
      </c>
      <c r="L223" s="12" t="inlineStr">
        <is>
          <t>)</t>
        </is>
      </c>
      <c r="M223" s="53" t="inlineStr">
        <is>
          <t>(</t>
        </is>
      </c>
      <c r="N223" s="53" t="n"/>
      <c r="O223" s="324">
        <f>O39</f>
        <v/>
      </c>
      <c r="R223" s="25" t="n"/>
      <c r="S223" s="326" t="inlineStr">
        <is>
          <t>)</t>
        </is>
      </c>
    </row>
    <row r="224" ht="22.2" customHeight="1" s="375">
      <c r="A224" s="540" t="inlineStr">
        <is>
          <t xml:space="preserve">                         ตำแหน่ง  ครู</t>
        </is>
      </c>
      <c r="G224" s="374" t="n"/>
      <c r="H224" s="54" t="inlineStr">
        <is>
          <t>ตำแหน่ง หัวหน้าแผนก</t>
        </is>
      </c>
      <c r="L224" s="374" t="n"/>
      <c r="M224" s="54" t="inlineStr">
        <is>
          <t>ตำแหน่ง   ผู้ตรวจสอบ</t>
        </is>
      </c>
      <c r="S224" s="374" t="n"/>
    </row>
    <row r="225" ht="22.2" customHeight="1" s="375">
      <c r="A225" s="55" t="inlineStr">
        <is>
          <t>วันที่ 5 เดือน ตุลาคม  พ.ศ.2569</t>
        </is>
      </c>
      <c r="B225" s="522" t="n"/>
      <c r="C225" s="522" t="n"/>
      <c r="D225" s="522" t="n"/>
      <c r="E225" s="522" t="n"/>
      <c r="F225" s="522" t="n"/>
      <c r="G225" s="527" t="n"/>
      <c r="H225" s="54">
        <f>A41</f>
        <v/>
      </c>
      <c r="L225" s="374" t="n"/>
      <c r="M225" s="55">
        <f>A41</f>
        <v/>
      </c>
      <c r="N225" s="522" t="n"/>
      <c r="O225" s="522" t="n"/>
      <c r="P225" s="522" t="n"/>
      <c r="Q225" s="522" t="n"/>
      <c r="R225" s="522" t="n"/>
      <c r="S225" s="527" t="n"/>
    </row>
    <row r="226" ht="22.2" customHeight="1" s="375">
      <c r="A226" s="154" t="inlineStr">
        <is>
          <t>ผู้ตรวจ</t>
        </is>
      </c>
      <c r="B226" s="153" t="n"/>
      <c r="C226" s="153" t="n"/>
      <c r="D226" s="153" t="n"/>
      <c r="E226" s="153" t="n"/>
      <c r="F226" s="153" t="n"/>
      <c r="G226" s="153" t="n"/>
      <c r="H226" s="153" t="n"/>
      <c r="I226" s="135" t="n"/>
      <c r="J226" s="154" t="inlineStr">
        <is>
          <t>ผู้เห็นชอบ</t>
        </is>
      </c>
      <c r="K226" s="153" t="n"/>
      <c r="L226" s="153" t="n"/>
      <c r="M226" s="153" t="n"/>
      <c r="N226" s="153" t="n"/>
      <c r="O226" s="153" t="n"/>
      <c r="P226" s="153" t="n"/>
      <c r="Q226" s="153" t="n"/>
      <c r="R226" s="153" t="n"/>
      <c r="S226" s="135" t="n"/>
    </row>
    <row r="227" ht="22.2" customHeight="1" s="375">
      <c r="A227" s="334" t="inlineStr">
        <is>
          <t>ลงชื่อ……………………………………………</t>
        </is>
      </c>
      <c r="I227" s="374" t="n"/>
      <c r="J227" s="334" t="inlineStr">
        <is>
          <t>ลงชื่อ……………………………………………</t>
        </is>
      </c>
      <c r="S227" s="374" t="n"/>
    </row>
    <row r="228" ht="22.2" customHeight="1" s="375">
      <c r="A228" s="11" t="n"/>
      <c r="B228" s="324">
        <f>B44</f>
        <v/>
      </c>
      <c r="I228" s="326" t="n"/>
      <c r="J228" s="25" t="n"/>
      <c r="K228" s="25" t="n"/>
      <c r="L228" s="324">
        <f>L44</f>
        <v/>
      </c>
      <c r="R228" s="25" t="n"/>
      <c r="S228" s="12" t="n"/>
    </row>
    <row r="229" ht="22.2" customHeight="1" s="375">
      <c r="A229" s="54" t="inlineStr">
        <is>
          <t>ตำแหน่งครู  หัวหน้างานพัฒนาหลักสูตร ฯ</t>
        </is>
      </c>
      <c r="I229" s="374" t="n"/>
      <c r="J229" s="54" t="inlineStr">
        <is>
          <t>ตำแหน่ง  รองผู้อำนวยการฝ่ายวิชาการ</t>
        </is>
      </c>
      <c r="S229" s="374" t="n"/>
    </row>
    <row r="230" ht="22.2" customHeight="1" s="375">
      <c r="A230" s="336" t="inlineStr">
        <is>
          <t>วันที่.......เดือน..........................พ.ศ..............</t>
        </is>
      </c>
      <c r="B230" s="522" t="n"/>
      <c r="C230" s="522" t="n"/>
      <c r="D230" s="522" t="n"/>
      <c r="E230" s="522" t="n"/>
      <c r="F230" s="522" t="n"/>
      <c r="G230" s="522" t="n"/>
      <c r="H230" s="522" t="n"/>
      <c r="I230" s="527" t="n"/>
      <c r="J230" s="336" t="inlineStr">
        <is>
          <t>วันที่.......เดือน..........................พ.ศ..............</t>
        </is>
      </c>
      <c r="K230" s="522" t="n"/>
      <c r="L230" s="522" t="n"/>
      <c r="M230" s="522" t="n"/>
      <c r="N230" s="522" t="n"/>
      <c r="O230" s="522" t="n"/>
      <c r="P230" s="522" t="n"/>
      <c r="Q230" s="522" t="n"/>
      <c r="R230" s="522" t="n"/>
      <c r="S230" s="527" t="n"/>
    </row>
    <row r="231" ht="22.2" customHeight="1" s="375">
      <c r="A231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75">
      <c r="A232" s="365" t="inlineStr">
        <is>
          <t>แผนกวิชาช่างยนต์</t>
        </is>
      </c>
    </row>
    <row r="233" ht="22.2" customHeight="1" s="375">
      <c r="A233" s="366" t="inlineStr">
        <is>
          <t xml:space="preserve">    ระหว่างวันที่</t>
        </is>
      </c>
      <c r="D233" s="365">
        <f>D3</f>
        <v/>
      </c>
      <c r="E233" s="365" t="inlineStr">
        <is>
          <t xml:space="preserve">   เดือน  </t>
        </is>
      </c>
      <c r="F233" s="365">
        <f>F3</f>
        <v/>
      </c>
      <c r="H233" s="365">
        <f>H3</f>
        <v/>
      </c>
      <c r="I233" s="365" t="inlineStr">
        <is>
          <t xml:space="preserve">     ถึง วันที่</t>
        </is>
      </c>
      <c r="J233" s="365">
        <f>J3</f>
        <v/>
      </c>
      <c r="K233" s="365" t="inlineStr">
        <is>
          <t xml:space="preserve">   เดือน </t>
        </is>
      </c>
      <c r="L233" s="365">
        <f>L3</f>
        <v/>
      </c>
      <c r="N233" s="365">
        <f>N3</f>
        <v/>
      </c>
      <c r="P233" s="365" t="n"/>
      <c r="R233" s="365" t="n"/>
    </row>
    <row r="234" ht="22.2" customHeight="1" s="375">
      <c r="G234" s="51" t="inlineStr">
        <is>
          <t>ü</t>
        </is>
      </c>
      <c r="H234" s="351" t="inlineStr">
        <is>
          <t>ครู</t>
        </is>
      </c>
      <c r="I234" s="322" t="inlineStr">
        <is>
          <t>หน้าที่พิเศษ</t>
        </is>
      </c>
      <c r="J234" s="382" t="inlineStr">
        <is>
          <t>ผู้ช่วยงานการเงิน, อาคารสถานที่, โครงการพิเศษและการบริการสังคม</t>
        </is>
      </c>
      <c r="K234" s="522" t="n"/>
      <c r="L234" s="522" t="n"/>
      <c r="M234" s="522" t="n"/>
      <c r="N234" s="522" t="n"/>
      <c r="O234" s="522" t="n"/>
    </row>
    <row r="235" ht="22.2" customHeight="1" s="375">
      <c r="A235" s="24" t="inlineStr">
        <is>
          <t>ที่</t>
        </is>
      </c>
      <c r="B235" s="24" t="inlineStr">
        <is>
          <t>ชื่อ-สกุล</t>
        </is>
      </c>
      <c r="C235" s="153" t="n"/>
      <c r="D235" s="135" t="n"/>
      <c r="E235" s="15" t="inlineStr">
        <is>
          <t>ตำแหน่ง</t>
        </is>
      </c>
      <c r="F235" s="16" t="inlineStr">
        <is>
          <t>ระยะเวลาที่สอน</t>
        </is>
      </c>
      <c r="G235" s="432" t="n"/>
      <c r="H235" s="16" t="inlineStr">
        <is>
          <t>รหัสวิชา</t>
        </is>
      </c>
      <c r="I235" s="362" t="inlineStr">
        <is>
          <t>ชั้น,แผนก,ห้อง</t>
        </is>
      </c>
      <c r="J235" s="16" t="inlineStr">
        <is>
          <t>เวลาสอน</t>
        </is>
      </c>
      <c r="K235" s="135" t="n"/>
      <c r="L235" s="16" t="inlineStr">
        <is>
          <t>ปวช.(คาบ)</t>
        </is>
      </c>
      <c r="M235" s="432" t="n"/>
      <c r="N235" s="354" t="inlineStr">
        <is>
          <t>เงิน</t>
        </is>
      </c>
      <c r="O235" s="362" t="inlineStr">
        <is>
          <t>ยอดเงิน</t>
        </is>
      </c>
      <c r="P235" s="524" t="inlineStr">
        <is>
          <t>ปวส.(คาบ)</t>
        </is>
      </c>
      <c r="Q235" s="432" t="n"/>
      <c r="R235" s="354" t="inlineStr">
        <is>
          <t>เงิน</t>
        </is>
      </c>
      <c r="S235" s="362" t="inlineStr">
        <is>
          <t>ยอดเงิน</t>
        </is>
      </c>
    </row>
    <row r="236" ht="22.2" customHeight="1" s="375">
      <c r="A236" s="52" t="n"/>
      <c r="B236" s="8" t="n"/>
      <c r="C236" s="9" t="n"/>
      <c r="D236" s="13" t="n"/>
      <c r="E236" s="10" t="n"/>
      <c r="F236" s="336" t="inlineStr">
        <is>
          <t>ส.</t>
        </is>
      </c>
      <c r="G236" s="336" t="inlineStr">
        <is>
          <t>วดป.</t>
        </is>
      </c>
      <c r="H236" s="525" t="n"/>
      <c r="I236" s="336" t="n"/>
      <c r="J236" s="526" t="n"/>
      <c r="K236" s="527" t="n"/>
      <c r="L236" s="336" t="inlineStr">
        <is>
          <t>ใน</t>
        </is>
      </c>
      <c r="M236" s="336" t="inlineStr">
        <is>
          <t>นอก</t>
        </is>
      </c>
      <c r="N236" s="336" t="inlineStr">
        <is>
          <t>ต่อ ชม.</t>
        </is>
      </c>
      <c r="O236" s="336" t="inlineStr">
        <is>
          <t>(บาท)</t>
        </is>
      </c>
      <c r="P236" s="52" t="inlineStr">
        <is>
          <t>ใน</t>
        </is>
      </c>
      <c r="Q236" s="52" t="inlineStr">
        <is>
          <t>นอก</t>
        </is>
      </c>
      <c r="R236" s="336" t="inlineStr">
        <is>
          <t>ต่อ ชม.</t>
        </is>
      </c>
      <c r="S236" s="336" t="inlineStr">
        <is>
          <t>(บาท)</t>
        </is>
      </c>
    </row>
    <row r="237" ht="22.2" customHeight="1" s="375">
      <c r="A237" s="362" t="n">
        <v>6</v>
      </c>
      <c r="B237" s="528">
        <f>AB8</f>
        <v/>
      </c>
      <c r="C237" s="153" t="n"/>
      <c r="D237" s="135" t="n"/>
      <c r="E237" s="362" t="inlineStr">
        <is>
          <t>ครู</t>
        </is>
      </c>
      <c r="F237" s="5" t="n">
        <v>3</v>
      </c>
      <c r="G237" s="539" t="inlineStr">
        <is>
          <t>จันทร์</t>
        </is>
      </c>
      <c r="H237" s="126" t="inlineStr">
        <is>
          <t>20143-2011</t>
        </is>
      </c>
      <c r="I237" s="128" t="inlineStr">
        <is>
          <t>ชย.3/5 (26)</t>
        </is>
      </c>
      <c r="J237" s="381" t="inlineStr">
        <is>
          <t>08:10 - 12:10</t>
        </is>
      </c>
      <c r="K237" s="135" t="n"/>
      <c r="L237" s="367" t="n">
        <v>4</v>
      </c>
      <c r="M237" s="381" t="inlineStr"/>
      <c r="N237" s="381" t="inlineStr"/>
      <c r="O237" s="354" t="inlineStr"/>
      <c r="P237" s="381" t="inlineStr"/>
      <c r="Q237" s="367" t="inlineStr"/>
      <c r="R237" s="381" t="inlineStr"/>
      <c r="S237" s="354" t="inlineStr"/>
      <c r="T237" t="inlineStr"/>
      <c r="U237" t="inlineStr"/>
    </row>
    <row r="238" ht="22.2" customHeight="1" s="375">
      <c r="A238" s="3" t="n"/>
      <c r="B238" s="313" t="n"/>
      <c r="D238" s="314" t="n"/>
      <c r="E238" s="314" t="n"/>
      <c r="F238" s="322" t="n"/>
      <c r="G238" s="533" t="inlineStr">
        <is>
          <t>28 ก.ย.69</t>
        </is>
      </c>
      <c r="H238" s="126" t="inlineStr">
        <is>
          <t>20143-2011</t>
        </is>
      </c>
      <c r="I238" s="128" t="inlineStr">
        <is>
          <t>ชย.3/5 (26)</t>
        </is>
      </c>
      <c r="J238" s="376" t="inlineStr">
        <is>
          <t>13:10 - 16:10</t>
        </is>
      </c>
      <c r="K238" s="374" t="n"/>
      <c r="L238" s="334" t="n">
        <v>3</v>
      </c>
      <c r="M238" s="334" t="inlineStr"/>
      <c r="N238" s="334" t="inlineStr"/>
      <c r="O238" s="354" t="inlineStr"/>
      <c r="P238" s="334" t="inlineStr"/>
      <c r="Q238" s="334" t="inlineStr"/>
      <c r="R238" s="334" t="inlineStr"/>
      <c r="S238" s="354" t="inlineStr"/>
      <c r="T238" t="inlineStr"/>
      <c r="U238" t="inlineStr"/>
    </row>
    <row r="239" ht="22.2" customHeight="1" s="375">
      <c r="A239" s="3" t="n"/>
      <c r="B239" s="313" t="n"/>
      <c r="D239" s="314" t="n"/>
      <c r="E239" s="314" t="n"/>
      <c r="F239" s="322" t="n"/>
      <c r="G239" s="334" t="inlineStr"/>
      <c r="H239" s="126" t="inlineStr"/>
      <c r="I239" s="149" t="inlineStr"/>
      <c r="J239" s="376" t="inlineStr"/>
      <c r="K239" s="374" t="n"/>
      <c r="L239" s="334" t="inlineStr"/>
      <c r="M239" s="334" t="inlineStr"/>
      <c r="N239" s="334" t="inlineStr"/>
      <c r="O239" s="354" t="inlineStr"/>
      <c r="P239" s="334" t="inlineStr"/>
      <c r="Q239" s="334" t="inlineStr"/>
      <c r="R239" s="334" t="inlineStr"/>
      <c r="S239" s="354" t="inlineStr"/>
      <c r="T239" t="inlineStr"/>
      <c r="U239" t="inlineStr"/>
    </row>
    <row r="240" ht="22.2" customHeight="1" s="375">
      <c r="A240" s="3" t="n"/>
      <c r="B240" s="313" t="n"/>
      <c r="E240" s="3" t="n"/>
      <c r="F240" s="322" t="n"/>
      <c r="G240" s="321" t="inlineStr"/>
      <c r="H240" s="334" t="inlineStr"/>
      <c r="I240" s="334" t="inlineStr"/>
      <c r="J240" s="334" t="inlineStr"/>
      <c r="K240" s="374" t="n"/>
      <c r="L240" s="334" t="inlineStr"/>
      <c r="M240" s="334" t="inlineStr"/>
      <c r="N240" s="334" t="inlineStr"/>
      <c r="O240" s="354" t="inlineStr"/>
      <c r="P240" s="334" t="inlineStr"/>
      <c r="Q240" s="334" t="inlineStr"/>
      <c r="R240" s="334" t="inlineStr"/>
      <c r="S240" s="354" t="inlineStr"/>
      <c r="T240" t="inlineStr"/>
      <c r="U240" t="inlineStr"/>
    </row>
    <row r="241" ht="22.2" customHeight="1" s="375">
      <c r="A241" s="3" t="n"/>
      <c r="E241" s="3" t="n"/>
      <c r="G241" s="344" t="inlineStr"/>
      <c r="H241" s="336" t="inlineStr"/>
      <c r="I241" s="336" t="inlineStr"/>
      <c r="J241" s="336" t="inlineStr"/>
      <c r="K241" s="527" t="n"/>
      <c r="L241" s="334" t="inlineStr"/>
      <c r="M241" s="334" t="inlineStr"/>
      <c r="N241" s="334" t="inlineStr"/>
      <c r="O241" s="354" t="inlineStr"/>
      <c r="P241" s="334" t="inlineStr"/>
      <c r="Q241" s="334" t="inlineStr"/>
      <c r="R241" s="334" t="inlineStr"/>
      <c r="S241" s="354" t="inlineStr"/>
      <c r="T241" t="inlineStr"/>
      <c r="U241" t="inlineStr"/>
    </row>
    <row r="242" ht="22.2" customHeight="1" s="375">
      <c r="A242" s="3" t="n"/>
      <c r="E242" s="3" t="n"/>
      <c r="G242" s="539" t="inlineStr">
        <is>
          <t>อังคาร</t>
        </is>
      </c>
      <c r="H242" s="126" t="inlineStr">
        <is>
          <t>20143-2004</t>
        </is>
      </c>
      <c r="I242" s="149" t="inlineStr">
        <is>
          <t>ชยฟ.1/1 (26)</t>
        </is>
      </c>
      <c r="J242" s="334" t="inlineStr">
        <is>
          <t>08:10 - 12:10</t>
        </is>
      </c>
      <c r="K242" s="374" t="n"/>
      <c r="L242" s="367" t="n">
        <v>4</v>
      </c>
      <c r="M242" s="381" t="inlineStr"/>
      <c r="N242" s="381" t="inlineStr"/>
      <c r="O242" s="354" t="inlineStr"/>
      <c r="P242" s="381" t="inlineStr"/>
      <c r="Q242" s="367" t="inlineStr"/>
      <c r="R242" s="381" t="inlineStr"/>
      <c r="S242" s="354" t="inlineStr"/>
      <c r="T242" s="6" t="inlineStr"/>
      <c r="U242" s="22" t="inlineStr"/>
      <c r="V242" s="57" t="n"/>
      <c r="W242" s="21" t="n"/>
      <c r="X242" s="21" t="n"/>
    </row>
    <row r="243" ht="22.2" customHeight="1" s="375">
      <c r="A243" s="3" t="n"/>
      <c r="E243" s="3" t="n"/>
      <c r="G243" s="533" t="inlineStr">
        <is>
          <t>29 ก.ย.69</t>
        </is>
      </c>
      <c r="H243" s="126" t="inlineStr">
        <is>
          <t>20143-2008</t>
        </is>
      </c>
      <c r="I243" s="149" t="inlineStr">
        <is>
          <t>ชยฟ.3/1 (26)</t>
        </is>
      </c>
      <c r="J243" s="376" t="inlineStr">
        <is>
          <t>13:10 - 17:10</t>
        </is>
      </c>
      <c r="K243" s="374" t="n"/>
      <c r="L243" s="334" t="n">
        <v>4</v>
      </c>
      <c r="M243" s="334" t="inlineStr"/>
      <c r="N243" s="334" t="inlineStr"/>
      <c r="O243" s="354" t="inlineStr"/>
      <c r="P243" s="334" t="inlineStr"/>
      <c r="Q243" s="334" t="inlineStr"/>
      <c r="R243" s="334" t="inlineStr"/>
      <c r="S243" s="354" t="inlineStr"/>
      <c r="T243" s="21" t="inlineStr"/>
      <c r="U243" s="22" t="inlineStr"/>
      <c r="V243" s="57" t="n"/>
      <c r="W243" s="21" t="n"/>
      <c r="X243" s="21" t="n"/>
    </row>
    <row r="244" ht="22.2" customHeight="1" s="375">
      <c r="A244" s="3" t="n"/>
      <c r="B244" s="313" t="n"/>
      <c r="D244" s="314" t="n"/>
      <c r="E244" s="314" t="n"/>
      <c r="G244" s="334" t="inlineStr"/>
      <c r="H244" s="126" t="inlineStr"/>
      <c r="I244" s="149" t="inlineStr"/>
      <c r="J244" s="334" t="inlineStr"/>
      <c r="K244" s="374" t="n"/>
      <c r="L244" s="334" t="inlineStr"/>
      <c r="M244" s="334" t="inlineStr"/>
      <c r="N244" s="334" t="inlineStr"/>
      <c r="O244" s="354" t="inlineStr"/>
      <c r="P244" s="334" t="inlineStr"/>
      <c r="Q244" s="334" t="inlineStr"/>
      <c r="R244" s="334" t="inlineStr"/>
      <c r="S244" s="354" t="inlineStr"/>
      <c r="T244" t="inlineStr"/>
      <c r="U244" t="inlineStr"/>
    </row>
    <row r="245" ht="22.2" customHeight="1" s="375">
      <c r="A245" s="3" t="n"/>
      <c r="E245" s="3" t="n"/>
      <c r="G245" s="54" t="inlineStr"/>
      <c r="H245" s="334" t="inlineStr"/>
      <c r="I245" s="323" t="inlineStr"/>
      <c r="J245" s="323" t="inlineStr"/>
      <c r="K245" s="374" t="n"/>
      <c r="L245" s="334" t="inlineStr"/>
      <c r="M245" s="334" t="inlineStr"/>
      <c r="N245" s="334" t="inlineStr"/>
      <c r="O245" s="354" t="inlineStr"/>
      <c r="P245" s="334" t="inlineStr"/>
      <c r="Q245" s="334" t="inlineStr"/>
      <c r="R245" s="334" t="inlineStr"/>
      <c r="S245" s="354" t="inlineStr"/>
      <c r="T245" t="inlineStr"/>
      <c r="U245" t="inlineStr"/>
    </row>
    <row r="246" ht="22.2" customHeight="1" s="375">
      <c r="A246" s="3" t="n"/>
      <c r="D246" s="7" t="inlineStr">
        <is>
          <t> </t>
        </is>
      </c>
      <c r="E246" s="3" t="n"/>
      <c r="G246" s="55" t="inlineStr"/>
      <c r="H246" s="336" t="inlineStr"/>
      <c r="I246" s="336" t="inlineStr"/>
      <c r="J246" s="336" t="inlineStr"/>
      <c r="K246" s="527" t="n"/>
      <c r="L246" s="334" t="inlineStr"/>
      <c r="M246" s="334" t="inlineStr"/>
      <c r="N246" s="334" t="inlineStr"/>
      <c r="O246" s="354" t="inlineStr"/>
      <c r="P246" s="334" t="inlineStr"/>
      <c r="Q246" s="334" t="inlineStr"/>
      <c r="R246" s="334" t="inlineStr"/>
      <c r="S246" s="354" t="inlineStr"/>
      <c r="T246" t="inlineStr"/>
      <c r="U246" t="inlineStr"/>
    </row>
    <row r="247" ht="22.2" customHeight="1" s="375">
      <c r="A247" s="3" t="n"/>
      <c r="E247" s="3" t="n"/>
      <c r="G247" s="539" t="inlineStr">
        <is>
          <t>พุธ</t>
        </is>
      </c>
      <c r="H247" s="126" t="inlineStr">
        <is>
          <t>20143-2011</t>
        </is>
      </c>
      <c r="I247" s="128" t="inlineStr">
        <is>
          <t>ชย.3/7 (26)</t>
        </is>
      </c>
      <c r="J247" s="381" t="inlineStr">
        <is>
          <t>08:10 - 12:10</t>
        </is>
      </c>
      <c r="K247" s="135" t="n"/>
      <c r="L247" s="367" t="n">
        <v>3</v>
      </c>
      <c r="M247" s="381" t="n">
        <v>1</v>
      </c>
      <c r="N247" s="381" t="n">
        <v>200</v>
      </c>
      <c r="O247" s="354">
        <f>M247*N247</f>
        <v/>
      </c>
      <c r="P247" s="381" t="inlineStr"/>
      <c r="Q247" s="367" t="inlineStr"/>
      <c r="R247" s="381" t="inlineStr"/>
      <c r="S247" s="354" t="inlineStr"/>
      <c r="T247" t="inlineStr"/>
      <c r="U247" t="inlineStr"/>
    </row>
    <row r="248" ht="22.2" customHeight="1" s="375">
      <c r="A248" s="3" t="n"/>
      <c r="B248" s="321" t="n"/>
      <c r="C248" s="322" t="n"/>
      <c r="D248" s="322" t="n"/>
      <c r="E248" s="334" t="n"/>
      <c r="G248" s="533" t="inlineStr">
        <is>
          <t>30 ก.ย.69</t>
        </is>
      </c>
      <c r="H248" s="126" t="inlineStr">
        <is>
          <t>20143-2011</t>
        </is>
      </c>
      <c r="I248" s="128" t="inlineStr">
        <is>
          <t>ชย.3/7 (26)</t>
        </is>
      </c>
      <c r="J248" s="376" t="inlineStr">
        <is>
          <t>13:10 - 16:10</t>
        </is>
      </c>
      <c r="K248" s="374" t="n"/>
      <c r="L248" s="334" t="inlineStr"/>
      <c r="M248" s="334" t="n">
        <v>3</v>
      </c>
      <c r="N248" s="334" t="n">
        <v>200</v>
      </c>
      <c r="O248" s="354">
        <f>M248*N248</f>
        <v/>
      </c>
      <c r="P248" s="334" t="inlineStr"/>
      <c r="Q248" s="334" t="inlineStr"/>
      <c r="R248" s="334" t="inlineStr"/>
      <c r="S248" s="354" t="inlineStr"/>
      <c r="T248" t="inlineStr"/>
      <c r="U248" t="inlineStr"/>
    </row>
    <row r="249" ht="22.2" customHeight="1" s="375">
      <c r="A249" s="3" t="n"/>
      <c r="B249" s="313" t="n"/>
      <c r="D249" s="314" t="n"/>
      <c r="E249" s="314" t="n"/>
      <c r="G249" s="334" t="inlineStr"/>
      <c r="H249" s="126" t="inlineStr"/>
      <c r="I249" s="376" t="inlineStr"/>
      <c r="J249" s="334" t="inlineStr"/>
      <c r="K249" s="374" t="n"/>
      <c r="L249" s="334" t="inlineStr"/>
      <c r="M249" s="334" t="inlineStr"/>
      <c r="N249" s="334" t="inlineStr"/>
      <c r="O249" s="354" t="inlineStr"/>
      <c r="P249" s="334" t="inlineStr"/>
      <c r="Q249" s="334" t="inlineStr"/>
      <c r="R249" s="334" t="inlineStr"/>
      <c r="S249" s="354" t="inlineStr"/>
      <c r="T249" t="inlineStr"/>
      <c r="U249" t="inlineStr"/>
    </row>
    <row r="250" ht="22.2" customHeight="1" s="375">
      <c r="A250" s="3" t="n"/>
      <c r="E250" s="3" t="n"/>
      <c r="G250" s="321" t="inlineStr"/>
      <c r="H250" s="334" t="inlineStr"/>
      <c r="I250" s="376" t="inlineStr"/>
      <c r="J250" s="323" t="inlineStr"/>
      <c r="K250" s="374" t="n"/>
      <c r="L250" s="334" t="inlineStr"/>
      <c r="M250" s="334" t="inlineStr"/>
      <c r="N250" s="334" t="inlineStr"/>
      <c r="O250" s="354" t="inlineStr"/>
      <c r="P250" s="334" t="inlineStr"/>
      <c r="Q250" s="334" t="inlineStr"/>
      <c r="R250" s="334" t="inlineStr"/>
      <c r="S250" s="354" t="inlineStr"/>
      <c r="T250" t="inlineStr"/>
      <c r="U250" t="inlineStr"/>
    </row>
    <row r="251" ht="22.2" customHeight="1" s="375">
      <c r="A251" s="3" t="n"/>
      <c r="E251" s="3" t="n"/>
      <c r="G251" s="327" t="inlineStr"/>
      <c r="H251" s="336" t="inlineStr"/>
      <c r="I251" s="336" t="inlineStr"/>
      <c r="J251" s="336" t="inlineStr"/>
      <c r="K251" s="527" t="n"/>
      <c r="L251" s="336" t="inlineStr"/>
      <c r="M251" s="336" t="inlineStr"/>
      <c r="N251" s="336" t="inlineStr"/>
      <c r="O251" s="354" t="inlineStr"/>
      <c r="P251" s="336" t="inlineStr"/>
      <c r="Q251" s="336" t="inlineStr"/>
      <c r="R251" s="336" t="inlineStr"/>
      <c r="S251" s="354" t="inlineStr"/>
      <c r="T251" t="inlineStr"/>
      <c r="U251" t="inlineStr"/>
    </row>
    <row r="252" ht="22.2" customHeight="1" s="375">
      <c r="A252" s="3" t="n"/>
      <c r="E252" s="3" t="n"/>
      <c r="G252" s="533" t="inlineStr">
        <is>
          <t>พฤหัส</t>
        </is>
      </c>
      <c r="H252" s="126" t="inlineStr">
        <is>
          <t>20100-1007</t>
        </is>
      </c>
      <c r="I252" s="128" t="inlineStr">
        <is>
          <t>ชยฟ.2/1 (26)</t>
        </is>
      </c>
      <c r="J252" s="381" t="inlineStr">
        <is>
          <t>08:10 - 12:10</t>
        </is>
      </c>
      <c r="K252" s="135" t="n"/>
      <c r="L252" s="334" t="inlineStr"/>
      <c r="M252" s="334" t="n">
        <v>4</v>
      </c>
      <c r="N252" s="334" t="n">
        <v>200</v>
      </c>
      <c r="O252" s="354">
        <f>M252*N252</f>
        <v/>
      </c>
      <c r="P252" s="334" t="inlineStr"/>
      <c r="Q252" s="362" t="inlineStr"/>
      <c r="R252" s="362" t="inlineStr"/>
      <c r="S252" s="354" t="inlineStr"/>
      <c r="T252" t="inlineStr"/>
      <c r="U252" t="inlineStr"/>
    </row>
    <row r="253" ht="22.2" customHeight="1" s="375">
      <c r="A253" s="3" t="n"/>
      <c r="E253" s="3" t="n"/>
      <c r="G253" s="535" t="inlineStr">
        <is>
          <t>1 ต.ค.69</t>
        </is>
      </c>
      <c r="H253" s="376" t="inlineStr">
        <is>
          <t>20000-2004</t>
        </is>
      </c>
      <c r="I253" s="128" t="inlineStr">
        <is>
          <t>ชย.2/5,ชย.2/6,ชยฟ.2/1 (26)</t>
        </is>
      </c>
      <c r="J253" s="376" t="inlineStr">
        <is>
          <t>13:10 - 15:10</t>
        </is>
      </c>
      <c r="K253" s="374" t="n"/>
      <c r="L253" s="334" t="n">
        <v>2</v>
      </c>
      <c r="M253" s="334" t="inlineStr"/>
      <c r="N253" s="334" t="inlineStr"/>
      <c r="O253" s="354" t="inlineStr"/>
      <c r="P253" s="334" t="inlineStr"/>
      <c r="Q253" s="334" t="inlineStr"/>
      <c r="R253" s="334" t="inlineStr"/>
      <c r="S253" s="354" t="inlineStr"/>
      <c r="T253" t="inlineStr"/>
      <c r="U253" t="inlineStr"/>
    </row>
    <row r="254" ht="22.2" customHeight="1" s="375">
      <c r="A254" s="3" t="n"/>
      <c r="B254" s="313" t="n"/>
      <c r="E254" s="3" t="n"/>
      <c r="G254" s="334" t="inlineStr"/>
      <c r="H254" s="126" t="inlineStr">
        <is>
          <t>20100-1007</t>
        </is>
      </c>
      <c r="I254" s="128" t="inlineStr">
        <is>
          <t>ชย.2/4 (26)</t>
        </is>
      </c>
      <c r="J254" s="376" t="inlineStr">
        <is>
          <t>15:10 - 19:10</t>
        </is>
      </c>
      <c r="K254" s="374" t="n"/>
      <c r="L254" s="376" t="inlineStr"/>
      <c r="M254" s="376" t="n">
        <v>4</v>
      </c>
      <c r="N254" s="376" t="n">
        <v>200</v>
      </c>
      <c r="O254" s="354">
        <f>M254*N254</f>
        <v/>
      </c>
      <c r="P254" s="376" t="inlineStr"/>
      <c r="Q254" s="376" t="inlineStr"/>
      <c r="R254" s="376" t="inlineStr"/>
      <c r="S254" s="354" t="inlineStr"/>
      <c r="T254" t="inlineStr"/>
      <c r="U254" t="inlineStr"/>
    </row>
    <row r="255" ht="22.2" customHeight="1" s="375">
      <c r="A255" s="3" t="n"/>
      <c r="E255" s="3" t="n"/>
      <c r="G255" s="334" t="inlineStr"/>
      <c r="H255" s="334" t="inlineStr"/>
      <c r="I255" s="334" t="inlineStr"/>
      <c r="J255" s="334" t="inlineStr"/>
      <c r="K255" s="374" t="n"/>
      <c r="L255" s="334" t="inlineStr"/>
      <c r="M255" s="334" t="inlineStr"/>
      <c r="N255" s="334" t="inlineStr"/>
      <c r="O255" s="354" t="inlineStr"/>
      <c r="P255" s="334" t="inlineStr"/>
      <c r="Q255" s="334" t="inlineStr"/>
      <c r="R255" s="334" t="inlineStr"/>
      <c r="S255" s="354" t="inlineStr"/>
      <c r="T255" t="inlineStr"/>
      <c r="U255" t="inlineStr"/>
    </row>
    <row r="256" ht="22.2" customHeight="1" s="375">
      <c r="A256" s="3" t="n"/>
      <c r="E256" s="3" t="n"/>
      <c r="G256" s="336" t="inlineStr"/>
      <c r="H256" s="336" t="inlineStr"/>
      <c r="I256" s="336" t="inlineStr"/>
      <c r="J256" s="336" t="inlineStr"/>
      <c r="K256" s="527" t="n"/>
      <c r="L256" s="336" t="inlineStr"/>
      <c r="M256" s="336" t="inlineStr"/>
      <c r="N256" s="336" t="inlineStr"/>
      <c r="O256" s="354" t="inlineStr"/>
      <c r="P256" s="336" t="inlineStr"/>
      <c r="Q256" s="336" t="inlineStr"/>
      <c r="R256" s="336" t="inlineStr"/>
      <c r="S256" s="354" t="inlineStr"/>
      <c r="T256" t="inlineStr"/>
      <c r="U256" t="inlineStr"/>
    </row>
    <row r="257" ht="22.2" customHeight="1" s="375">
      <c r="A257" s="3" t="n"/>
      <c r="D257" s="374" t="n"/>
      <c r="E257" s="251" t="n"/>
      <c r="G257" s="533" t="inlineStr">
        <is>
          <t>ศุกร์</t>
        </is>
      </c>
      <c r="H257" s="126" t="inlineStr"/>
      <c r="I257" s="149" t="inlineStr"/>
      <c r="J257" s="381" t="inlineStr"/>
      <c r="K257" s="135" t="n"/>
      <c r="L257" s="127" t="inlineStr"/>
      <c r="M257" s="60" t="inlineStr"/>
      <c r="N257" s="60" t="inlineStr"/>
      <c r="O257" s="354" t="inlineStr"/>
      <c r="P257" s="125" t="inlineStr"/>
      <c r="Q257" s="127" t="inlineStr"/>
      <c r="R257" s="125" t="inlineStr"/>
      <c r="S257" s="354" t="inlineStr"/>
      <c r="T257" s="23" t="inlineStr"/>
      <c r="U257" s="23" t="inlineStr"/>
      <c r="V257" s="56" t="n"/>
      <c r="W257" s="23" t="n"/>
      <c r="X257" s="23" t="n"/>
    </row>
    <row r="258" ht="22.2" customHeight="1" s="375">
      <c r="A258" s="3" t="n"/>
      <c r="E258" s="3" t="n"/>
      <c r="G258" s="535" t="inlineStr">
        <is>
          <t>2 ต.ค.69</t>
        </is>
      </c>
      <c r="H258" s="126" t="inlineStr"/>
      <c r="I258" s="149" t="inlineStr"/>
      <c r="J258" s="376" t="inlineStr"/>
      <c r="K258" s="374" t="n"/>
      <c r="L258" s="128" t="inlineStr"/>
      <c r="M258" s="59" t="inlineStr"/>
      <c r="N258" s="59" t="inlineStr"/>
      <c r="O258" s="354" t="inlineStr"/>
      <c r="P258" s="128" t="inlineStr"/>
      <c r="Q258" s="128" t="inlineStr"/>
      <c r="R258" s="128" t="inlineStr"/>
      <c r="S258" s="354" t="inlineStr"/>
      <c r="T258" s="23" t="inlineStr"/>
      <c r="U258" s="23" t="inlineStr"/>
      <c r="V258" s="56" t="n"/>
      <c r="W258" s="23" t="n"/>
      <c r="X258" s="23" t="n"/>
    </row>
    <row r="259" ht="22.2" customHeight="1" s="375">
      <c r="A259" s="3" t="n"/>
      <c r="E259" s="3" t="n"/>
      <c r="G259" s="334" t="inlineStr"/>
      <c r="H259" s="126" t="inlineStr"/>
      <c r="I259" s="149" t="inlineStr"/>
      <c r="J259" s="376" t="inlineStr"/>
      <c r="K259" s="374" t="n"/>
      <c r="L259" s="59" t="inlineStr"/>
      <c r="M259" s="59" t="inlineStr"/>
      <c r="N259" s="59" t="inlineStr"/>
      <c r="O259" s="354" t="inlineStr"/>
      <c r="P259" s="128" t="inlineStr"/>
      <c r="Q259" s="128" t="inlineStr"/>
      <c r="R259" s="128" t="inlineStr"/>
      <c r="S259" s="354" t="inlineStr"/>
      <c r="T259" t="inlineStr"/>
      <c r="U259" t="inlineStr"/>
    </row>
    <row r="260" ht="22.2" customHeight="1" s="375">
      <c r="A260" s="3" t="n"/>
      <c r="E260" s="3" t="n"/>
      <c r="G260" s="334" t="inlineStr"/>
      <c r="H260" s="334" t="inlineStr"/>
      <c r="I260" s="334" t="inlineStr"/>
      <c r="J260" s="334" t="inlineStr"/>
      <c r="K260" s="374" t="n"/>
      <c r="L260" s="334" t="inlineStr"/>
      <c r="M260" t="inlineStr"/>
      <c r="N260" s="334" t="inlineStr"/>
      <c r="O260" s="354" t="inlineStr"/>
      <c r="P260" s="334" t="inlineStr"/>
      <c r="Q260" s="334" t="inlineStr"/>
      <c r="R260" s="334" t="inlineStr"/>
      <c r="S260" s="354" t="inlineStr"/>
      <c r="T260" t="inlineStr"/>
      <c r="U260" t="inlineStr"/>
    </row>
    <row r="261" ht="22.2" customHeight="1" s="375">
      <c r="A261" s="3" t="n"/>
      <c r="E261" s="3" t="n"/>
      <c r="F261" s="3" t="n"/>
      <c r="G261" s="329" t="inlineStr"/>
      <c r="H261" s="328" t="inlineStr"/>
      <c r="I261" s="336" t="inlineStr"/>
      <c r="J261" s="336" t="inlineStr"/>
      <c r="K261" s="527" t="n"/>
      <c r="L261" s="336" t="inlineStr"/>
      <c r="M261" s="336" t="inlineStr"/>
      <c r="N261" s="336" t="inlineStr"/>
      <c r="O261" s="354" t="inlineStr"/>
      <c r="P261" s="336" t="inlineStr"/>
      <c r="Q261" s="336" t="inlineStr"/>
      <c r="R261" s="336" t="inlineStr"/>
      <c r="S261" s="354" t="inlineStr"/>
      <c r="T261" t="inlineStr"/>
      <c r="U261" t="inlineStr"/>
    </row>
    <row r="262" ht="22.2" customHeight="1" s="375">
      <c r="A262" s="3" t="n"/>
      <c r="E262" s="3" t="n"/>
      <c r="F262" s="3" t="n"/>
      <c r="G262" s="16" t="inlineStr">
        <is>
          <t>รวมขั่วโมงที่สอนแยก ภาระงาน/ เกินภาระงาน</t>
        </is>
      </c>
      <c r="H262" s="518" t="n"/>
      <c r="I262" s="518" t="n"/>
      <c r="J262" s="518" t="n"/>
      <c r="K262" s="432" t="n"/>
      <c r="L262" s="16">
        <f>SUM(L237:L261)</f>
        <v/>
      </c>
      <c r="M262" s="16">
        <f>SUM(M237:M261)</f>
        <v/>
      </c>
      <c r="N262" s="16" t="n"/>
      <c r="O262" s="16" t="n"/>
      <c r="P262" s="16">
        <f>SUM(P237:P261)</f>
        <v/>
      </c>
      <c r="Q262" s="16">
        <f>SUM(Q237:Q261)</f>
        <v/>
      </c>
      <c r="R262" s="349" t="n"/>
      <c r="S262" s="16" t="n"/>
    </row>
    <row r="263" ht="22.2" customHeight="1" s="375">
      <c r="A263" s="3" t="n"/>
      <c r="E263" s="3" t="n"/>
      <c r="F263" s="3" t="n"/>
      <c r="G263" s="16" t="inlineStr">
        <is>
          <t>รวมจำนวนชั่วโมงสอนคาบต่อสับดาห์</t>
        </is>
      </c>
      <c r="H263" s="518" t="n"/>
      <c r="I263" s="518" t="n"/>
      <c r="J263" s="518" t="n"/>
      <c r="K263" s="432" t="n"/>
      <c r="L263" s="16">
        <f>L262+M262</f>
        <v/>
      </c>
      <c r="M263" s="432" t="n"/>
      <c r="N263" s="348" t="n"/>
      <c r="O263" s="16" t="n"/>
      <c r="P263" s="16">
        <f>P262+Q262</f>
        <v/>
      </c>
      <c r="Q263" s="432" t="n"/>
      <c r="R263" s="329" t="n"/>
      <c r="S263" s="336" t="n"/>
    </row>
    <row r="264" ht="22.2" customHeight="1" s="375">
      <c r="A264" s="3" t="n"/>
      <c r="E264" s="3" t="n"/>
      <c r="F264" s="3" t="n"/>
      <c r="G264" s="16" t="inlineStr">
        <is>
          <t>จำนวนชั่วโมงสอนตามภาระงานสอน</t>
        </is>
      </c>
      <c r="H264" s="518" t="n"/>
      <c r="I264" s="518" t="n"/>
      <c r="J264" s="518" t="n"/>
      <c r="K264" s="432" t="n"/>
      <c r="L264" s="131" t="n">
        <v>18</v>
      </c>
      <c r="M264" s="432" t="n"/>
      <c r="N264" s="130" t="n"/>
      <c r="O264" s="131" t="n"/>
      <c r="P264" s="131" t="n">
        <v>0</v>
      </c>
      <c r="Q264" s="432" t="n"/>
      <c r="R264" s="322" t="n"/>
      <c r="S264" s="334" t="n"/>
    </row>
    <row r="265" ht="22.2" customHeight="1" s="375" thickBot="1">
      <c r="A265" s="3" t="n"/>
      <c r="E265" s="3" t="n"/>
      <c r="F265" s="14" t="n"/>
      <c r="G265" s="16" t="inlineStr">
        <is>
          <t>จำนวนชั่วโมงบิกเกินภาระงานสอน/ค่าสอน</t>
        </is>
      </c>
      <c r="H265" s="518" t="n"/>
      <c r="I265" s="518" t="n"/>
      <c r="J265" s="518" t="n"/>
      <c r="K265" s="432" t="n"/>
      <c r="L265" s="17" t="n">
        <v>0</v>
      </c>
      <c r="M265" s="17">
        <f>SUM(M237:M261)</f>
        <v/>
      </c>
      <c r="N265" s="17" t="n"/>
      <c r="O265" s="17">
        <f>SUM(O237:O261)</f>
        <v/>
      </c>
      <c r="P265" s="17" t="n">
        <v>0</v>
      </c>
      <c r="Q265" s="17">
        <f>SUM(Q237:Q261)</f>
        <v/>
      </c>
      <c r="R265" s="18" t="n"/>
      <c r="S265" s="17">
        <f>SUM(S237:S261)</f>
        <v/>
      </c>
    </row>
    <row r="266" ht="22.2" customHeight="1" s="375" thickTop="1">
      <c r="A266" s="337" t="inlineStr">
        <is>
          <t>รวมจำนวนหน่วยชั่วโมงที่ขอเบิกค่าสอน ….</t>
        </is>
      </c>
      <c r="B266" s="518" t="n"/>
      <c r="C266" s="518" t="n"/>
      <c r="D266" s="518" t="n"/>
      <c r="E266" s="518" t="n"/>
      <c r="F266" s="518" t="n"/>
      <c r="G266" s="518" t="n"/>
      <c r="H266" s="348">
        <f>M265+Q265</f>
        <v/>
      </c>
      <c r="I266" s="348" t="inlineStr">
        <is>
          <t>….ชั่วโมง</t>
        </is>
      </c>
      <c r="J266" s="348" t="n"/>
      <c r="K266" s="328" t="inlineStr">
        <is>
          <t>ยอดเงินรวม</t>
        </is>
      </c>
      <c r="L266" s="522" t="n"/>
      <c r="M266" s="522" t="n"/>
      <c r="N266" s="328" t="n"/>
      <c r="O266" s="328" t="n"/>
      <c r="P266" s="339">
        <f>S265+O265</f>
        <v/>
      </c>
      <c r="Q266" s="538" t="n"/>
      <c r="R266" s="20" t="n"/>
      <c r="S266" s="19" t="inlineStr">
        <is>
          <t>..บาท</t>
        </is>
      </c>
    </row>
    <row r="267" ht="22.2" customHeight="1" s="375">
      <c r="A267" s="154" t="inlineStr">
        <is>
          <t>ผู้ขอเบิก</t>
        </is>
      </c>
      <c r="B267" s="153" t="n"/>
      <c r="C267" s="153" t="n"/>
      <c r="D267" s="153" t="n"/>
      <c r="E267" s="153" t="n"/>
      <c r="F267" s="153" t="n"/>
      <c r="G267" s="135" t="n"/>
      <c r="H267" s="154" t="inlineStr">
        <is>
          <t>ผู้รับรอง</t>
        </is>
      </c>
      <c r="I267" s="153" t="n"/>
      <c r="J267" s="153" t="n"/>
      <c r="K267" s="153" t="n"/>
      <c r="L267" s="135" t="n"/>
      <c r="M267" s="154" t="inlineStr">
        <is>
          <t>ผู้ตรวจ</t>
        </is>
      </c>
      <c r="N267" s="153" t="n"/>
      <c r="O267" s="153" t="n"/>
      <c r="P267" s="153" t="n"/>
      <c r="Q267" s="153" t="n"/>
      <c r="R267" s="153" t="n"/>
      <c r="S267" s="135" t="n"/>
    </row>
    <row r="268" ht="22.2" customHeight="1" s="375">
      <c r="A268" s="334" t="inlineStr">
        <is>
          <t>ลงชื่อ……………………………………………</t>
        </is>
      </c>
      <c r="G268" s="374" t="n"/>
      <c r="H268" s="334" t="inlineStr">
        <is>
          <t>ลงชื่อ……………………………………………</t>
        </is>
      </c>
      <c r="L268" s="374" t="n"/>
      <c r="M268" s="334" t="inlineStr">
        <is>
          <t>ลงชื่อ……………………………………………</t>
        </is>
      </c>
      <c r="S268" s="374" t="n"/>
    </row>
    <row r="269" ht="22.2" customHeight="1" s="375">
      <c r="A269" s="11" t="inlineStr">
        <is>
          <t>(</t>
        </is>
      </c>
      <c r="B269" s="324">
        <f>B237</f>
        <v/>
      </c>
      <c r="G269" s="326" t="inlineStr">
        <is>
          <t>)</t>
        </is>
      </c>
      <c r="H269" s="324" t="inlineStr">
        <is>
          <t>(</t>
        </is>
      </c>
      <c r="I269" s="340">
        <f>I223</f>
        <v/>
      </c>
      <c r="L269" s="12" t="inlineStr">
        <is>
          <t>)</t>
        </is>
      </c>
      <c r="M269" s="53" t="inlineStr">
        <is>
          <t>(</t>
        </is>
      </c>
      <c r="N269" s="53" t="n"/>
      <c r="O269" s="324">
        <f>O39</f>
        <v/>
      </c>
      <c r="R269" s="25" t="n"/>
      <c r="S269" s="326" t="inlineStr">
        <is>
          <t>)</t>
        </is>
      </c>
    </row>
    <row r="270" ht="22.2" customHeight="1" s="375">
      <c r="A270" s="540" t="inlineStr">
        <is>
          <t xml:space="preserve">                         ตำแหน่ง  ครู</t>
        </is>
      </c>
      <c r="G270" s="374" t="n"/>
      <c r="H270" s="54" t="inlineStr">
        <is>
          <t>ตำแหน่ง หัวหน้าแผนก</t>
        </is>
      </c>
      <c r="L270" s="374" t="n"/>
      <c r="M270" s="54" t="inlineStr">
        <is>
          <t>ตำแหน่ง   ผู้ตรวจสอบ</t>
        </is>
      </c>
      <c r="S270" s="374" t="n"/>
    </row>
    <row r="271" ht="22.2" customHeight="1" s="375">
      <c r="A271" s="55" t="inlineStr">
        <is>
          <t>วันที่ 5 เดือน ตุลาคม  พ.ศ.2569</t>
        </is>
      </c>
      <c r="B271" s="522" t="n"/>
      <c r="C271" s="522" t="n"/>
      <c r="D271" s="522" t="n"/>
      <c r="E271" s="522" t="n"/>
      <c r="F271" s="522" t="n"/>
      <c r="G271" s="527" t="n"/>
      <c r="H271" s="54">
        <f>A41</f>
        <v/>
      </c>
      <c r="L271" s="374" t="n"/>
      <c r="M271" s="55">
        <f>A41</f>
        <v/>
      </c>
      <c r="N271" s="522" t="n"/>
      <c r="O271" s="522" t="n"/>
      <c r="P271" s="522" t="n"/>
      <c r="Q271" s="522" t="n"/>
      <c r="R271" s="522" t="n"/>
      <c r="S271" s="527" t="n"/>
    </row>
    <row r="272" ht="22.2" customHeight="1" s="375">
      <c r="A272" s="154" t="inlineStr">
        <is>
          <t>ผู้ตรวจ</t>
        </is>
      </c>
      <c r="B272" s="153" t="n"/>
      <c r="C272" s="153" t="n"/>
      <c r="D272" s="153" t="n"/>
      <c r="E272" s="153" t="n"/>
      <c r="F272" s="153" t="n"/>
      <c r="G272" s="153" t="n"/>
      <c r="H272" s="153" t="n"/>
      <c r="I272" s="135" t="n"/>
      <c r="J272" s="154" t="inlineStr">
        <is>
          <t>ผู้เห็นชอบ</t>
        </is>
      </c>
      <c r="K272" s="153" t="n"/>
      <c r="L272" s="153" t="n"/>
      <c r="M272" s="153" t="n"/>
      <c r="N272" s="153" t="n"/>
      <c r="O272" s="153" t="n"/>
      <c r="P272" s="153" t="n"/>
      <c r="Q272" s="153" t="n"/>
      <c r="R272" s="153" t="n"/>
      <c r="S272" s="135" t="n"/>
    </row>
    <row r="273" ht="22.2" customHeight="1" s="375">
      <c r="A273" s="334" t="inlineStr">
        <is>
          <t>ลงชื่อ……………………………………………</t>
        </is>
      </c>
      <c r="I273" s="374" t="n"/>
      <c r="J273" s="334" t="inlineStr">
        <is>
          <t>ลงชื่อ……………………………………………</t>
        </is>
      </c>
      <c r="S273" s="374" t="n"/>
    </row>
    <row r="274" ht="22.2" customHeight="1" s="375">
      <c r="A274" s="11" t="n"/>
      <c r="B274" s="324">
        <f>B44</f>
        <v/>
      </c>
      <c r="I274" s="326" t="n"/>
      <c r="J274" s="25" t="n"/>
      <c r="K274" s="25" t="n"/>
      <c r="L274" s="324">
        <f>L44</f>
        <v/>
      </c>
      <c r="R274" s="25" t="n"/>
      <c r="S274" s="12" t="n"/>
    </row>
    <row r="275" ht="22.2" customHeight="1" s="375">
      <c r="A275" s="54" t="inlineStr">
        <is>
          <t>ตำแหน่งครู  หัวหน้างานพัฒนาหลักสูตร ฯ</t>
        </is>
      </c>
      <c r="I275" s="374" t="n"/>
      <c r="J275" s="54" t="inlineStr">
        <is>
          <t>ตำแหน่ง  รองผู้อำนวยการฝ่ายวิชาการ</t>
        </is>
      </c>
      <c r="S275" s="374" t="n"/>
    </row>
    <row r="276" ht="22.2" customHeight="1" s="375">
      <c r="A276" s="336" t="inlineStr">
        <is>
          <t>วันที่.......เดือน..........................พ.ศ..............</t>
        </is>
      </c>
      <c r="B276" s="522" t="n"/>
      <c r="C276" s="522" t="n"/>
      <c r="D276" s="522" t="n"/>
      <c r="E276" s="522" t="n"/>
      <c r="F276" s="522" t="n"/>
      <c r="G276" s="522" t="n"/>
      <c r="H276" s="522" t="n"/>
      <c r="I276" s="527" t="n"/>
      <c r="J276" s="336" t="inlineStr">
        <is>
          <t>วันที่.......เดือน..........................พ.ศ..............</t>
        </is>
      </c>
      <c r="K276" s="522" t="n"/>
      <c r="L276" s="522" t="n"/>
      <c r="M276" s="522" t="n"/>
      <c r="N276" s="522" t="n"/>
      <c r="O276" s="522" t="n"/>
      <c r="P276" s="522" t="n"/>
      <c r="Q276" s="522" t="n"/>
      <c r="R276" s="522" t="n"/>
      <c r="S276" s="527" t="n"/>
    </row>
    <row r="277" ht="22.2" customHeight="1" s="375">
      <c r="A277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75">
      <c r="A278" s="365" t="inlineStr">
        <is>
          <t>แผนกวิชาช่างยนต์</t>
        </is>
      </c>
    </row>
    <row r="279" ht="22.2" customHeight="1" s="375">
      <c r="A279" s="366" t="inlineStr">
        <is>
          <t xml:space="preserve">    ระหว่างวันที่</t>
        </is>
      </c>
      <c r="D279" s="365">
        <f>D3</f>
        <v/>
      </c>
      <c r="E279" s="365" t="inlineStr">
        <is>
          <t xml:space="preserve">   เดือน  </t>
        </is>
      </c>
      <c r="F279" s="365">
        <f>F3</f>
        <v/>
      </c>
      <c r="H279" s="365">
        <f>H3</f>
        <v/>
      </c>
      <c r="I279" s="365" t="inlineStr">
        <is>
          <t xml:space="preserve">     ถึง วันที่</t>
        </is>
      </c>
      <c r="J279" s="365">
        <f>J3</f>
        <v/>
      </c>
      <c r="K279" s="365" t="inlineStr">
        <is>
          <t xml:space="preserve">   เดือน </t>
        </is>
      </c>
      <c r="L279" s="365">
        <f>L3</f>
        <v/>
      </c>
      <c r="N279" s="365">
        <f>N3</f>
        <v/>
      </c>
      <c r="P279" s="365" t="n"/>
      <c r="R279" s="365" t="n"/>
    </row>
    <row r="280" ht="25.5" customHeight="1" s="375">
      <c r="G280" s="51" t="inlineStr">
        <is>
          <t>ü</t>
        </is>
      </c>
      <c r="H280" s="351" t="inlineStr">
        <is>
          <t>ครู</t>
        </is>
      </c>
      <c r="I280" s="322" t="inlineStr">
        <is>
          <t>หน้าที่พิเศษ</t>
        </is>
      </c>
      <c r="J280" t="inlineStr">
        <is>
          <t>ผู้ช่วยงานกิจกรรมนักเรียนนักศึกษา, โครงการพิเศษและการบริการสังคม</t>
        </is>
      </c>
    </row>
    <row r="281" ht="22.2" customHeight="1" s="375">
      <c r="A281" s="24" t="inlineStr">
        <is>
          <t>ที่</t>
        </is>
      </c>
      <c r="B281" s="24" t="inlineStr">
        <is>
          <t>ชื่อ-สกุล</t>
        </is>
      </c>
      <c r="C281" s="153" t="n"/>
      <c r="D281" s="135" t="n"/>
      <c r="E281" s="15" t="inlineStr">
        <is>
          <t>ตำแหน่ง</t>
        </is>
      </c>
      <c r="F281" s="16" t="inlineStr">
        <is>
          <t>ระยะเวลาที่สอน</t>
        </is>
      </c>
      <c r="G281" s="432" t="n"/>
      <c r="H281" s="16" t="inlineStr">
        <is>
          <t>รหัสวิชา</t>
        </is>
      </c>
      <c r="I281" s="362" t="inlineStr">
        <is>
          <t>ชั้น,แผนก,ห้อง</t>
        </is>
      </c>
      <c r="J281" s="16" t="inlineStr">
        <is>
          <t>เวลาสอน</t>
        </is>
      </c>
      <c r="K281" s="135" t="n"/>
      <c r="L281" s="16" t="inlineStr">
        <is>
          <t>ปวช.(คาบ)</t>
        </is>
      </c>
      <c r="M281" s="432" t="n"/>
      <c r="N281" s="354" t="inlineStr">
        <is>
          <t>เงิน</t>
        </is>
      </c>
      <c r="O281" s="362" t="inlineStr">
        <is>
          <t>ยอดเงิน</t>
        </is>
      </c>
      <c r="P281" s="524" t="inlineStr">
        <is>
          <t>ปวส.(คาบ)</t>
        </is>
      </c>
      <c r="Q281" s="432" t="n"/>
      <c r="R281" s="354" t="inlineStr">
        <is>
          <t>เงิน</t>
        </is>
      </c>
      <c r="S281" s="362" t="inlineStr">
        <is>
          <t>ยอดเงิน</t>
        </is>
      </c>
    </row>
    <row r="282" ht="22.2" customHeight="1" s="375">
      <c r="A282" s="52" t="n"/>
      <c r="B282" s="8" t="n"/>
      <c r="C282" s="9" t="n"/>
      <c r="D282" s="13" t="n"/>
      <c r="E282" s="10" t="n"/>
      <c r="F282" s="336" t="inlineStr">
        <is>
          <t>ส.</t>
        </is>
      </c>
      <c r="G282" s="336" t="inlineStr">
        <is>
          <t>วดป.</t>
        </is>
      </c>
      <c r="H282" s="525" t="n"/>
      <c r="I282" s="336" t="n"/>
      <c r="J282" s="526" t="n"/>
      <c r="K282" s="527" t="n"/>
      <c r="L282" s="336" t="inlineStr">
        <is>
          <t>ใน</t>
        </is>
      </c>
      <c r="M282" s="336" t="inlineStr">
        <is>
          <t>นอก</t>
        </is>
      </c>
      <c r="N282" s="336" t="inlineStr">
        <is>
          <t>ต่อ ชม.</t>
        </is>
      </c>
      <c r="O282" s="336" t="inlineStr">
        <is>
          <t>(บาท)</t>
        </is>
      </c>
      <c r="P282" s="52" t="inlineStr">
        <is>
          <t>ใน</t>
        </is>
      </c>
      <c r="Q282" s="52" t="inlineStr">
        <is>
          <t>นอก</t>
        </is>
      </c>
      <c r="R282" s="336" t="inlineStr">
        <is>
          <t>ต่อ ชม.</t>
        </is>
      </c>
      <c r="S282" s="336" t="inlineStr">
        <is>
          <t>(บาท)</t>
        </is>
      </c>
    </row>
    <row r="283" ht="22.2" customHeight="1" s="375">
      <c r="A283" s="362" t="n">
        <v>7</v>
      </c>
      <c r="B283" s="528">
        <f>AB9</f>
        <v/>
      </c>
      <c r="C283" s="153" t="n"/>
      <c r="D283" s="135" t="n"/>
      <c r="E283" s="362" t="inlineStr">
        <is>
          <t>ครู</t>
        </is>
      </c>
      <c r="F283" s="5" t="n">
        <v>3</v>
      </c>
      <c r="G283" s="529" t="inlineStr">
        <is>
          <t>จันทร์</t>
        </is>
      </c>
      <c r="H283" s="376" t="inlineStr">
        <is>
          <t>20101-2011</t>
        </is>
      </c>
      <c r="I283" s="376" t="inlineStr">
        <is>
          <t>ชย.2/5 (26)</t>
        </is>
      </c>
      <c r="J283" s="381" t="inlineStr">
        <is>
          <t>08:10 - 12:10</t>
        </is>
      </c>
      <c r="K283" s="135" t="n"/>
      <c r="L283" s="367" t="n">
        <v>4</v>
      </c>
      <c r="M283" s="381" t="inlineStr"/>
      <c r="N283" s="381" t="inlineStr"/>
      <c r="O283" s="354" t="inlineStr"/>
      <c r="P283" s="381" t="inlineStr"/>
      <c r="Q283" s="367" t="inlineStr"/>
      <c r="R283" s="381" t="inlineStr"/>
      <c r="S283" s="354" t="inlineStr"/>
      <c r="T283" t="inlineStr"/>
      <c r="U283" t="inlineStr"/>
    </row>
    <row r="284" ht="22.2" customHeight="1" s="375">
      <c r="A284" s="3" t="n"/>
      <c r="B284" s="530" t="n"/>
      <c r="D284" s="374" t="n"/>
      <c r="E284" s="334" t="n"/>
      <c r="F284" s="322" t="n"/>
      <c r="G284" s="535" t="inlineStr">
        <is>
          <t>28 ก.ย.69</t>
        </is>
      </c>
      <c r="H284" s="376" t="inlineStr">
        <is>
          <t>20101-2011</t>
        </is>
      </c>
      <c r="I284" s="376" t="inlineStr">
        <is>
          <t>ชย.2/5 (26)</t>
        </is>
      </c>
      <c r="J284" s="334" t="inlineStr">
        <is>
          <t>13:10 - 16:10</t>
        </is>
      </c>
      <c r="K284" s="374" t="n"/>
      <c r="L284" s="334" t="n">
        <v>3</v>
      </c>
      <c r="M284" s="334" t="inlineStr"/>
      <c r="N284" s="334" t="inlineStr"/>
      <c r="O284" s="354" t="inlineStr"/>
      <c r="P284" s="334" t="inlineStr"/>
      <c r="Q284" s="334" t="inlineStr"/>
      <c r="R284" s="334" t="inlineStr"/>
      <c r="S284" s="354" t="inlineStr"/>
      <c r="T284" t="inlineStr"/>
      <c r="U284" t="inlineStr"/>
    </row>
    <row r="285" ht="22.2" customHeight="1" s="375">
      <c r="A285" s="3" t="n"/>
      <c r="B285" s="313" t="n"/>
      <c r="D285" s="314" t="n"/>
      <c r="E285" s="314" t="n"/>
      <c r="F285" s="322" t="n"/>
      <c r="G285" s="321" t="inlineStr"/>
      <c r="H285" s="376" t="inlineStr"/>
      <c r="I285" s="376" t="inlineStr"/>
      <c r="J285" s="334" t="inlineStr"/>
      <c r="K285" s="374" t="n"/>
      <c r="L285" s="334" t="inlineStr"/>
      <c r="M285" s="334" t="inlineStr"/>
      <c r="N285" s="334" t="inlineStr"/>
      <c r="O285" s="354" t="inlineStr"/>
      <c r="P285" s="334" t="inlineStr"/>
      <c r="Q285" s="334" t="inlineStr"/>
      <c r="R285" s="334" t="inlineStr"/>
      <c r="S285" s="354" t="inlineStr"/>
      <c r="T285" t="inlineStr"/>
      <c r="U285" t="inlineStr"/>
    </row>
    <row r="286" ht="22.2" customHeight="1" s="375">
      <c r="A286" s="3" t="n"/>
      <c r="B286" s="313" t="n"/>
      <c r="E286" s="3" t="n"/>
      <c r="F286" s="322" t="n"/>
      <c r="G286" s="321" t="inlineStr"/>
      <c r="H286" s="334" t="inlineStr"/>
      <c r="I286" s="334" t="inlineStr"/>
      <c r="J286" s="334" t="inlineStr"/>
      <c r="K286" s="374" t="n"/>
      <c r="L286" s="334" t="inlineStr"/>
      <c r="M286" s="334" t="inlineStr"/>
      <c r="N286" s="334" t="inlineStr"/>
      <c r="O286" s="354" t="inlineStr"/>
      <c r="P286" s="334" t="inlineStr"/>
      <c r="Q286" s="334" t="inlineStr"/>
      <c r="R286" s="334" t="inlineStr"/>
      <c r="S286" s="354" t="inlineStr"/>
      <c r="T286" t="inlineStr"/>
      <c r="U286" t="inlineStr"/>
    </row>
    <row r="287" ht="22.2" customHeight="1" s="375">
      <c r="A287" s="3" t="n"/>
      <c r="E287" s="3" t="n"/>
      <c r="G287" s="344" t="inlineStr"/>
      <c r="H287" s="336" t="inlineStr"/>
      <c r="I287" s="336" t="inlineStr"/>
      <c r="J287" s="336" t="inlineStr"/>
      <c r="K287" s="527" t="n"/>
      <c r="L287" s="334" t="inlineStr"/>
      <c r="M287" s="334" t="inlineStr"/>
      <c r="N287" s="334" t="inlineStr"/>
      <c r="O287" s="354" t="inlineStr"/>
      <c r="P287" s="334" t="inlineStr"/>
      <c r="Q287" s="334" t="inlineStr"/>
      <c r="R287" s="334" t="inlineStr"/>
      <c r="S287" s="354" t="inlineStr"/>
      <c r="T287" t="inlineStr"/>
      <c r="U287" t="inlineStr"/>
    </row>
    <row r="288" ht="22.2" customHeight="1" s="375">
      <c r="A288" s="3" t="n"/>
      <c r="E288" s="3" t="n"/>
      <c r="G288" s="533" t="inlineStr">
        <is>
          <t>อังคาร</t>
        </is>
      </c>
      <c r="H288" s="376" t="inlineStr">
        <is>
          <t>20101-2008</t>
        </is>
      </c>
      <c r="I288" s="376" t="inlineStr">
        <is>
          <t>ชย.2/4 (26)</t>
        </is>
      </c>
      <c r="J288" s="381" t="inlineStr">
        <is>
          <t>13:10 - 17:10</t>
        </is>
      </c>
      <c r="K288" s="135" t="n"/>
      <c r="L288" s="367" t="n">
        <v>4</v>
      </c>
      <c r="M288" s="381" t="inlineStr"/>
      <c r="N288" s="381" t="inlineStr"/>
      <c r="O288" s="354" t="inlineStr"/>
      <c r="P288" s="381" t="inlineStr"/>
      <c r="Q288" s="367" t="inlineStr"/>
      <c r="R288" s="381" t="inlineStr"/>
      <c r="S288" s="354" t="inlineStr"/>
      <c r="T288" t="inlineStr"/>
      <c r="U288" t="inlineStr"/>
    </row>
    <row r="289" ht="22.2" customHeight="1" s="375">
      <c r="A289" s="3" t="n"/>
      <c r="E289" s="3" t="n"/>
      <c r="G289" s="535" t="inlineStr">
        <is>
          <t>29 ก.ย.69</t>
        </is>
      </c>
      <c r="H289" s="376" t="inlineStr">
        <is>
          <t>20101-2013</t>
        </is>
      </c>
      <c r="I289" s="376" t="inlineStr">
        <is>
          <t>ชย.ทวิ 3/9 (26)</t>
        </is>
      </c>
      <c r="J289" s="334" t="inlineStr">
        <is>
          <t>18:10 - 21:10</t>
        </is>
      </c>
      <c r="K289" s="374" t="n"/>
      <c r="L289" s="334" t="n">
        <v>3</v>
      </c>
      <c r="M289" s="334" t="inlineStr"/>
      <c r="N289" s="334" t="inlineStr"/>
      <c r="O289" s="354" t="inlineStr"/>
      <c r="P289" s="334" t="inlineStr"/>
      <c r="Q289" s="334" t="inlineStr"/>
      <c r="R289" s="334" t="inlineStr"/>
      <c r="S289" s="354" t="inlineStr"/>
      <c r="T289" t="inlineStr"/>
      <c r="U289" t="inlineStr"/>
    </row>
    <row r="290" ht="22.2" customHeight="1" s="375">
      <c r="A290" s="3" t="n"/>
      <c r="B290" s="313" t="n"/>
      <c r="D290" s="314" t="n"/>
      <c r="E290" s="314" t="n"/>
      <c r="G290" s="334" t="inlineStr"/>
      <c r="H290" s="376" t="inlineStr"/>
      <c r="I290" s="376" t="inlineStr"/>
      <c r="J290" s="334" t="inlineStr"/>
      <c r="K290" s="374" t="n"/>
      <c r="L290" s="334" t="inlineStr"/>
      <c r="M290" s="334" t="inlineStr"/>
      <c r="N290" s="334" t="inlineStr"/>
      <c r="O290" s="354" t="inlineStr"/>
      <c r="P290" s="334" t="inlineStr"/>
      <c r="Q290" s="334" t="inlineStr"/>
      <c r="R290" s="334" t="inlineStr"/>
      <c r="S290" s="354" t="inlineStr"/>
      <c r="T290" t="inlineStr"/>
      <c r="U290" t="inlineStr"/>
    </row>
    <row r="291" ht="22.2" customHeight="1" s="375">
      <c r="A291" s="3" t="n"/>
      <c r="E291" s="3" t="n"/>
      <c r="G291" s="54" t="inlineStr"/>
      <c r="H291" s="334" t="inlineStr"/>
      <c r="I291" s="334" t="inlineStr"/>
      <c r="J291" s="334" t="inlineStr"/>
      <c r="K291" s="374" t="n"/>
      <c r="L291" s="334" t="inlineStr"/>
      <c r="M291" s="334" t="inlineStr"/>
      <c r="N291" s="334" t="inlineStr"/>
      <c r="O291" s="354" t="inlineStr"/>
      <c r="P291" s="334" t="inlineStr"/>
      <c r="Q291" s="334" t="inlineStr"/>
      <c r="R291" s="334" t="inlineStr"/>
      <c r="S291" s="354" t="inlineStr"/>
      <c r="T291" t="inlineStr"/>
      <c r="U291" t="inlineStr"/>
    </row>
    <row r="292" ht="22.2" customHeight="1" s="375">
      <c r="A292" s="3" t="n"/>
      <c r="D292" s="7" t="inlineStr">
        <is>
          <t> </t>
        </is>
      </c>
      <c r="E292" s="3" t="n"/>
      <c r="G292" s="55" t="inlineStr"/>
      <c r="H292" s="336" t="inlineStr"/>
      <c r="I292" s="336" t="inlineStr"/>
      <c r="J292" s="336" t="inlineStr"/>
      <c r="K292" s="527" t="n"/>
      <c r="L292" s="334" t="inlineStr"/>
      <c r="M292" s="334" t="inlineStr"/>
      <c r="N292" s="334" t="inlineStr"/>
      <c r="O292" s="354" t="inlineStr"/>
      <c r="P292" s="334" t="inlineStr"/>
      <c r="Q292" s="334" t="inlineStr"/>
      <c r="R292" s="334" t="inlineStr"/>
      <c r="S292" s="354" t="inlineStr"/>
      <c r="T292" t="inlineStr"/>
      <c r="U292" t="inlineStr"/>
    </row>
    <row r="293" ht="22.2" customHeight="1" s="375">
      <c r="A293" s="3" t="n"/>
      <c r="E293" s="3" t="n"/>
      <c r="G293" s="535" t="inlineStr">
        <is>
          <t>พุธ</t>
        </is>
      </c>
      <c r="H293" s="376" t="inlineStr">
        <is>
          <t>20101-2011</t>
        </is>
      </c>
      <c r="I293" s="376" t="inlineStr">
        <is>
          <t>ชย.2/8 (26)</t>
        </is>
      </c>
      <c r="J293" s="381" t="inlineStr">
        <is>
          <t>08:10 - 12:10</t>
        </is>
      </c>
      <c r="K293" s="135" t="n"/>
      <c r="L293" s="367" t="n">
        <v>4</v>
      </c>
      <c r="M293" s="381" t="inlineStr"/>
      <c r="N293" s="381" t="inlineStr"/>
      <c r="O293" s="354" t="inlineStr"/>
      <c r="P293" s="381" t="inlineStr"/>
      <c r="Q293" s="367" t="inlineStr"/>
      <c r="R293" s="381" t="inlineStr"/>
      <c r="S293" s="354" t="inlineStr"/>
      <c r="T293" s="23" t="inlineStr"/>
      <c r="U293" s="23" t="inlineStr"/>
      <c r="V293" s="56" t="n"/>
      <c r="W293" s="23" t="n"/>
      <c r="X293" s="23" t="n"/>
    </row>
    <row r="294" ht="22.2" customHeight="1" s="375">
      <c r="A294" s="3" t="n"/>
      <c r="B294" s="48" t="n"/>
      <c r="C294" s="58" t="n"/>
      <c r="D294" s="49" t="n"/>
      <c r="E294" s="49" t="n"/>
      <c r="G294" s="535" t="inlineStr">
        <is>
          <t>30 ก.ย.69</t>
        </is>
      </c>
      <c r="H294" s="376" t="inlineStr">
        <is>
          <t>20101-2011</t>
        </is>
      </c>
      <c r="I294" s="376" t="inlineStr">
        <is>
          <t>ชย.2/8 (26)</t>
        </is>
      </c>
      <c r="J294" s="334" t="inlineStr">
        <is>
          <t>13:10 - 16:10</t>
        </is>
      </c>
      <c r="K294" s="374" t="n"/>
      <c r="L294" s="334" t="n">
        <v>3</v>
      </c>
      <c r="M294" s="334" t="inlineStr"/>
      <c r="N294" s="334" t="inlineStr"/>
      <c r="O294" s="354" t="inlineStr"/>
      <c r="P294" s="334" t="inlineStr"/>
      <c r="Q294" s="334" t="inlineStr"/>
      <c r="R294" s="334" t="inlineStr"/>
      <c r="S294" s="354" t="inlineStr"/>
      <c r="T294" s="23" t="inlineStr"/>
      <c r="U294" s="23" t="inlineStr"/>
      <c r="V294" s="56" t="n"/>
      <c r="W294" s="23" t="n"/>
      <c r="X294" s="23" t="n"/>
    </row>
    <row r="295" ht="22.2" customHeight="1" s="375">
      <c r="A295" s="3" t="n"/>
      <c r="B295" s="48" t="n"/>
      <c r="C295" s="58" t="n"/>
      <c r="D295" s="49" t="n"/>
      <c r="E295" s="49" t="n"/>
      <c r="G295" s="334" t="inlineStr"/>
      <c r="H295" s="376" t="inlineStr">
        <is>
          <t>20101-2013</t>
        </is>
      </c>
      <c r="I295" s="376" t="inlineStr">
        <is>
          <t>ชย.ทวิ 3/9 (26)</t>
        </is>
      </c>
      <c r="J295" s="334" t="inlineStr">
        <is>
          <t>17:10 - 21:10</t>
        </is>
      </c>
      <c r="K295" s="374" t="n"/>
      <c r="L295" s="334" t="n">
        <v>4</v>
      </c>
      <c r="M295" s="334" t="inlineStr"/>
      <c r="N295" s="334" t="inlineStr"/>
      <c r="O295" s="354" t="inlineStr"/>
      <c r="P295" s="334" t="inlineStr"/>
      <c r="Q295" s="334" t="inlineStr"/>
      <c r="R295" s="334" t="inlineStr"/>
      <c r="S295" s="354" t="inlineStr"/>
      <c r="T295" t="inlineStr"/>
      <c r="U295" t="inlineStr"/>
    </row>
    <row r="296" ht="22.2" customHeight="1" s="375">
      <c r="A296" s="3" t="n"/>
      <c r="B296" s="48" t="n"/>
      <c r="C296" s="58" t="n"/>
      <c r="D296" s="49" t="n"/>
      <c r="E296" s="49" t="n"/>
      <c r="G296" s="321" t="inlineStr"/>
      <c r="H296" s="321" t="inlineStr"/>
      <c r="I296" s="334" t="inlineStr"/>
      <c r="J296" s="334" t="inlineStr"/>
      <c r="K296" s="374" t="n"/>
      <c r="L296" s="334" t="inlineStr"/>
      <c r="M296" s="334" t="inlineStr"/>
      <c r="N296" s="334" t="inlineStr"/>
      <c r="O296" s="354" t="inlineStr"/>
      <c r="P296" s="334" t="inlineStr"/>
      <c r="Q296" s="334" t="inlineStr"/>
      <c r="R296" s="334" t="inlineStr"/>
      <c r="S296" s="354" t="inlineStr"/>
      <c r="T296" t="inlineStr"/>
      <c r="U296" t="inlineStr"/>
    </row>
    <row r="297" ht="22.2" customHeight="1" s="375">
      <c r="A297" s="3" t="n"/>
      <c r="D297" s="314" t="n"/>
      <c r="E297" s="314" t="n"/>
      <c r="G297" s="327" t="inlineStr"/>
      <c r="H297" s="327" t="inlineStr"/>
      <c r="I297" s="336" t="inlineStr"/>
      <c r="J297" s="336" t="inlineStr"/>
      <c r="K297" s="527" t="n"/>
      <c r="L297" s="336" t="inlineStr"/>
      <c r="M297" s="336" t="inlineStr"/>
      <c r="N297" s="336" t="inlineStr"/>
      <c r="O297" s="354" t="inlineStr"/>
      <c r="P297" s="336" t="inlineStr"/>
      <c r="Q297" s="336" t="inlineStr"/>
      <c r="R297" s="336" t="inlineStr"/>
      <c r="S297" s="354" t="inlineStr"/>
      <c r="T297" t="inlineStr"/>
      <c r="U297" t="inlineStr"/>
    </row>
    <row r="298" ht="22.2" customHeight="1" s="375">
      <c r="A298" s="3" t="n"/>
      <c r="E298" s="3" t="n"/>
      <c r="G298" s="533" t="inlineStr">
        <is>
          <t>พฤหัส</t>
        </is>
      </c>
      <c r="H298" s="376" t="inlineStr">
        <is>
          <t>20101-2020</t>
        </is>
      </c>
      <c r="I298" s="376" t="inlineStr">
        <is>
          <t>ชย.3/3 (26)</t>
        </is>
      </c>
      <c r="J298" s="334" t="inlineStr">
        <is>
          <t>08:10 - 12:10</t>
        </is>
      </c>
      <c r="K298" s="374" t="n"/>
      <c r="L298" s="334" t="inlineStr"/>
      <c r="M298" s="334" t="n">
        <v>4</v>
      </c>
      <c r="N298" s="334" t="n">
        <v>200</v>
      </c>
      <c r="O298" s="354">
        <f>M298*N298</f>
        <v/>
      </c>
      <c r="P298" s="334" t="inlineStr"/>
      <c r="Q298" s="362" t="inlineStr"/>
      <c r="R298" s="362" t="inlineStr"/>
      <c r="S298" s="354" t="inlineStr"/>
      <c r="T298" t="inlineStr"/>
      <c r="U298" t="inlineStr"/>
    </row>
    <row r="299" ht="22.2" customHeight="1" s="375">
      <c r="A299" s="3" t="n"/>
      <c r="E299" s="3" t="n"/>
      <c r="G299" s="535" t="inlineStr">
        <is>
          <t>1 ต.ค.69</t>
        </is>
      </c>
      <c r="H299" s="376" t="inlineStr">
        <is>
          <t>20101-2020</t>
        </is>
      </c>
      <c r="I299" s="376" t="inlineStr">
        <is>
          <t>ชย.3/3 (26)</t>
        </is>
      </c>
      <c r="J299" s="334" t="inlineStr">
        <is>
          <t>15:10 - 21:10</t>
        </is>
      </c>
      <c r="K299" s="374" t="n"/>
      <c r="L299" s="334" t="inlineStr"/>
      <c r="M299" s="334" t="n">
        <v>6</v>
      </c>
      <c r="N299" s="334" t="n">
        <v>200</v>
      </c>
      <c r="O299" s="354">
        <f>M299*N299</f>
        <v/>
      </c>
      <c r="P299" s="334" t="inlineStr"/>
      <c r="Q299" s="334" t="inlineStr"/>
      <c r="R299" s="334" t="inlineStr"/>
      <c r="S299" s="354" t="inlineStr"/>
      <c r="T299" t="inlineStr"/>
      <c r="U299" t="inlineStr"/>
    </row>
    <row r="300" ht="22.2" customHeight="1" s="375">
      <c r="A300" s="3" t="n"/>
      <c r="B300" s="313" t="n"/>
      <c r="E300" s="3" t="n"/>
      <c r="G300" s="334" t="inlineStr"/>
      <c r="H300" s="376" t="inlineStr"/>
      <c r="I300" s="376" t="inlineStr"/>
      <c r="J300" s="334" t="inlineStr"/>
      <c r="K300" s="374" t="n"/>
      <c r="L300" s="376" t="inlineStr"/>
      <c r="M300" s="376" t="inlineStr"/>
      <c r="N300" s="376" t="inlineStr"/>
      <c r="O300" s="354" t="inlineStr"/>
      <c r="P300" s="376" t="inlineStr"/>
      <c r="Q300" s="376" t="inlineStr"/>
      <c r="R300" s="376" t="inlineStr"/>
      <c r="S300" s="354" t="inlineStr"/>
      <c r="T300" t="inlineStr"/>
      <c r="U300" t="inlineStr"/>
    </row>
    <row r="301" ht="22.2" customHeight="1" s="375">
      <c r="A301" s="3" t="n"/>
      <c r="E301" s="3" t="n"/>
      <c r="G301" s="334" t="inlineStr"/>
      <c r="H301" s="334" t="inlineStr"/>
      <c r="I301" s="323" t="inlineStr"/>
      <c r="J301" s="334" t="inlineStr"/>
      <c r="K301" s="374" t="n"/>
      <c r="L301" s="334" t="inlineStr"/>
      <c r="M301" s="334" t="inlineStr"/>
      <c r="N301" s="334" t="inlineStr"/>
      <c r="O301" s="354" t="inlineStr"/>
      <c r="P301" s="334" t="inlineStr"/>
      <c r="Q301" s="334" t="inlineStr"/>
      <c r="R301" s="334" t="inlineStr"/>
      <c r="S301" s="354" t="inlineStr"/>
      <c r="T301" t="inlineStr"/>
      <c r="U301" t="inlineStr"/>
    </row>
    <row r="302" ht="22.2" customHeight="1" s="375">
      <c r="A302" s="3" t="n"/>
      <c r="E302" s="3" t="n"/>
      <c r="G302" s="336" t="inlineStr"/>
      <c r="H302" s="328" t="inlineStr"/>
      <c r="I302" s="336" t="inlineStr"/>
      <c r="J302" s="336" t="inlineStr"/>
      <c r="K302" s="527" t="n"/>
      <c r="L302" s="336" t="inlineStr"/>
      <c r="M302" s="336" t="inlineStr"/>
      <c r="N302" s="336" t="inlineStr"/>
      <c r="O302" s="354" t="inlineStr"/>
      <c r="P302" s="336" t="inlineStr"/>
      <c r="Q302" s="336" t="inlineStr"/>
      <c r="R302" s="336" t="inlineStr"/>
      <c r="S302" s="354" t="inlineStr"/>
      <c r="T302" t="inlineStr"/>
      <c r="U302" t="inlineStr"/>
    </row>
    <row r="303" ht="22.2" customHeight="1" s="375">
      <c r="A303" s="3" t="n"/>
      <c r="E303" s="3" t="n"/>
      <c r="G303" s="533" t="inlineStr">
        <is>
          <t>ศุกร์</t>
        </is>
      </c>
      <c r="H303" s="376" t="inlineStr"/>
      <c r="I303" s="376" t="inlineStr"/>
      <c r="J303" s="381" t="inlineStr"/>
      <c r="K303" s="135" t="n"/>
      <c r="L303" s="334" t="inlineStr"/>
      <c r="M303" s="334" t="inlineStr"/>
      <c r="N303" s="334" t="inlineStr"/>
      <c r="O303" s="354" t="inlineStr"/>
      <c r="P303" s="381" t="inlineStr"/>
      <c r="Q303" s="367" t="inlineStr"/>
      <c r="R303" s="381" t="inlineStr"/>
      <c r="S303" s="354" t="inlineStr"/>
      <c r="T303" s="23" t="inlineStr"/>
      <c r="U303" s="23" t="inlineStr"/>
      <c r="V303" s="56" t="n"/>
      <c r="W303" s="23" t="n"/>
      <c r="X303" s="23" t="n"/>
    </row>
    <row r="304" ht="22.2" customHeight="1" s="375">
      <c r="A304" s="3" t="n"/>
      <c r="E304" s="3" t="n"/>
      <c r="G304" s="535" t="inlineStr">
        <is>
          <t>2 ต.ค.69</t>
        </is>
      </c>
      <c r="H304" s="376" t="inlineStr"/>
      <c r="I304" s="376" t="inlineStr"/>
      <c r="J304" s="334" t="inlineStr"/>
      <c r="K304" s="374" t="n"/>
      <c r="L304" s="334" t="inlineStr"/>
      <c r="M304" s="334" t="inlineStr"/>
      <c r="N304" s="334" t="inlineStr"/>
      <c r="O304" s="354" t="inlineStr"/>
      <c r="P304" s="334" t="inlineStr"/>
      <c r="Q304" s="334" t="inlineStr"/>
      <c r="R304" s="334" t="inlineStr"/>
      <c r="S304" s="354" t="inlineStr"/>
      <c r="T304" s="23" t="inlineStr"/>
      <c r="U304" s="23" t="inlineStr"/>
      <c r="V304" s="56" t="n"/>
      <c r="W304" s="23" t="n"/>
      <c r="X304" s="23" t="n"/>
    </row>
    <row r="305" ht="22.2" customHeight="1" s="375">
      <c r="A305" s="3" t="n"/>
      <c r="E305" s="3" t="n"/>
      <c r="G305" s="334" t="inlineStr"/>
      <c r="H305" s="376" t="inlineStr"/>
      <c r="I305" s="376" t="inlineStr"/>
      <c r="J305" s="334" t="inlineStr"/>
      <c r="K305" s="374" t="n"/>
      <c r="L305" s="334" t="inlineStr"/>
      <c r="M305" s="334" t="inlineStr"/>
      <c r="N305" s="334" t="inlineStr"/>
      <c r="O305" s="354" t="inlineStr"/>
      <c r="P305" s="334" t="inlineStr"/>
      <c r="Q305" s="334" t="inlineStr"/>
      <c r="R305" s="334" t="inlineStr"/>
      <c r="S305" s="354" t="inlineStr"/>
      <c r="T305" t="inlineStr"/>
      <c r="U305" t="inlineStr"/>
    </row>
    <row r="306" ht="22.2" customHeight="1" s="375">
      <c r="A306" s="3" t="n"/>
      <c r="E306" s="3" t="n"/>
      <c r="G306" s="334" t="inlineStr"/>
      <c r="H306" s="147" t="inlineStr"/>
      <c r="I306" s="3" t="inlineStr"/>
      <c r="J306" s="334" t="inlineStr"/>
      <c r="K306" s="374" t="n"/>
      <c r="L306" s="334" t="inlineStr"/>
      <c r="M306" s="334" t="inlineStr"/>
      <c r="N306" s="334" t="inlineStr"/>
      <c r="O306" s="354" t="inlineStr"/>
      <c r="P306" s="334" t="inlineStr"/>
      <c r="Q306" s="334" t="inlineStr"/>
      <c r="R306" s="334" t="inlineStr"/>
      <c r="S306" s="354" t="inlineStr"/>
      <c r="T306" t="inlineStr"/>
      <c r="U306" t="inlineStr"/>
    </row>
    <row r="307" ht="22.2" customHeight="1" s="375">
      <c r="A307" s="3" t="n"/>
      <c r="E307" s="3" t="n"/>
      <c r="F307" s="3" t="n"/>
      <c r="G307" s="329" t="inlineStr"/>
      <c r="H307" s="336" t="inlineStr"/>
      <c r="I307" s="329" t="inlineStr"/>
      <c r="J307" s="336" t="inlineStr"/>
      <c r="K307" s="527" t="n"/>
      <c r="L307" s="336" t="inlineStr"/>
      <c r="M307" s="336" t="inlineStr"/>
      <c r="N307" s="336" t="inlineStr"/>
      <c r="O307" s="354" t="inlineStr"/>
      <c r="P307" s="336" t="inlineStr"/>
      <c r="Q307" s="336" t="inlineStr"/>
      <c r="R307" s="336" t="inlineStr"/>
      <c r="S307" s="354" t="inlineStr"/>
      <c r="T307" t="inlineStr"/>
      <c r="U307" t="inlineStr"/>
    </row>
    <row r="308" ht="22.2" customHeight="1" s="375">
      <c r="A308" s="3" t="n"/>
      <c r="E308" s="3" t="n"/>
      <c r="F308" s="3" t="n"/>
      <c r="G308" s="16" t="inlineStr">
        <is>
          <t>รวมขั่วโมงที่สอนแยก ภาระงาน/ เกินภาระงาน</t>
        </is>
      </c>
      <c r="H308" s="518" t="n"/>
      <c r="I308" s="518" t="n"/>
      <c r="J308" s="518" t="n"/>
      <c r="K308" s="432" t="n"/>
      <c r="L308" s="16">
        <f>SUM(L283:L307)</f>
        <v/>
      </c>
      <c r="M308" s="16">
        <f>SUM(M283:M307)</f>
        <v/>
      </c>
      <c r="N308" s="16" t="n"/>
      <c r="O308" s="16" t="n"/>
      <c r="P308" s="16">
        <f>SUM(P283:P307)</f>
        <v/>
      </c>
      <c r="Q308" s="16">
        <f>SUM(Q283:Q307)</f>
        <v/>
      </c>
      <c r="R308" s="349" t="n"/>
      <c r="S308" s="16" t="n"/>
    </row>
    <row r="309" ht="22.2" customHeight="1" s="375">
      <c r="A309" s="3" t="n"/>
      <c r="E309" s="3" t="n"/>
      <c r="F309" s="3" t="n"/>
      <c r="G309" s="16" t="inlineStr">
        <is>
          <t>รวมจำนวนชั่วโมงสอนคาบต่อสับดาห์</t>
        </is>
      </c>
      <c r="H309" s="518" t="n"/>
      <c r="I309" s="518" t="n"/>
      <c r="J309" s="518" t="n"/>
      <c r="K309" s="432" t="n"/>
      <c r="L309" s="16">
        <f>L308+M308</f>
        <v/>
      </c>
      <c r="M309" s="432" t="n"/>
      <c r="N309" s="16" t="n"/>
      <c r="O309" s="348" t="n"/>
      <c r="P309" s="16">
        <f>P308+Q308</f>
        <v/>
      </c>
      <c r="Q309" s="432" t="n"/>
      <c r="R309" s="329" t="n"/>
      <c r="S309" s="336" t="n"/>
    </row>
    <row r="310" ht="22.2" customHeight="1" s="375">
      <c r="A310" s="3" t="n"/>
      <c r="E310" s="3" t="n"/>
      <c r="F310" s="3" t="n"/>
      <c r="G310" s="16" t="inlineStr">
        <is>
          <t>จำนวนชั่วโมงสอนตามภาระงานสอน</t>
        </is>
      </c>
      <c r="H310" s="518" t="n"/>
      <c r="I310" s="518" t="n"/>
      <c r="J310" s="518" t="n"/>
      <c r="K310" s="432" t="n"/>
      <c r="L310" s="16" t="n">
        <v>18</v>
      </c>
      <c r="M310" s="432" t="n"/>
      <c r="N310" s="348" t="n"/>
      <c r="O310" s="16" t="n"/>
      <c r="P310" s="16" t="n">
        <v>0</v>
      </c>
      <c r="Q310" s="432" t="n"/>
      <c r="R310" s="322" t="n"/>
      <c r="S310" s="334" t="n"/>
    </row>
    <row r="311" ht="22.2" customHeight="1" s="375" thickBot="1">
      <c r="A311" s="3" t="n"/>
      <c r="E311" s="3" t="n"/>
      <c r="F311" s="14" t="n"/>
      <c r="G311" s="16" t="inlineStr">
        <is>
          <t>จำนวนชั่วโมงบิกเกินภาระงานสอน/ค่าสอน</t>
        </is>
      </c>
      <c r="H311" s="518" t="n"/>
      <c r="I311" s="518" t="n"/>
      <c r="J311" s="518" t="n"/>
      <c r="K311" s="432" t="n"/>
      <c r="L311" s="17" t="n">
        <v>0</v>
      </c>
      <c r="M311" s="17">
        <f>SUM(M283:M307)</f>
        <v/>
      </c>
      <c r="N311" s="17" t="n"/>
      <c r="O311" s="17">
        <f>SUM(O283:O307)</f>
        <v/>
      </c>
      <c r="P311" s="17" t="n">
        <v>0</v>
      </c>
      <c r="Q311" s="17">
        <f>SUM(Q283:Q307)</f>
        <v/>
      </c>
      <c r="R311" s="18" t="n"/>
      <c r="S311" s="17">
        <f>SUM(S283:S307)</f>
        <v/>
      </c>
    </row>
    <row r="312" ht="22.2" customHeight="1" s="375" thickTop="1">
      <c r="A312" s="337" t="inlineStr">
        <is>
          <t>รวมจำนวนหน่วยชั่วโมงที่ขอเบิกค่าสอน ….</t>
        </is>
      </c>
      <c r="B312" s="518" t="n"/>
      <c r="C312" s="518" t="n"/>
      <c r="D312" s="518" t="n"/>
      <c r="E312" s="518" t="n"/>
      <c r="F312" s="518" t="n"/>
      <c r="G312" s="518" t="n"/>
      <c r="H312" s="348">
        <f>M311+Q311</f>
        <v/>
      </c>
      <c r="I312" s="348" t="inlineStr">
        <is>
          <t>….ชั่วโมง</t>
        </is>
      </c>
      <c r="J312" s="348" t="n"/>
      <c r="K312" s="328" t="inlineStr">
        <is>
          <t>ยอดเงินรวม</t>
        </is>
      </c>
      <c r="L312" s="522" t="n"/>
      <c r="M312" s="522" t="n"/>
      <c r="N312" s="328" t="n"/>
      <c r="O312" s="328" t="n"/>
      <c r="P312" s="339">
        <f>S311+O311</f>
        <v/>
      </c>
      <c r="Q312" s="538" t="n"/>
      <c r="R312" s="20" t="n"/>
      <c r="S312" s="19" t="inlineStr">
        <is>
          <t>..บาท</t>
        </is>
      </c>
    </row>
    <row r="313" ht="22.2" customHeight="1" s="375">
      <c r="A313" s="154" t="inlineStr">
        <is>
          <t>ผู้ขอเบิก</t>
        </is>
      </c>
      <c r="B313" s="153" t="n"/>
      <c r="C313" s="153" t="n"/>
      <c r="D313" s="153" t="n"/>
      <c r="E313" s="153" t="n"/>
      <c r="F313" s="153" t="n"/>
      <c r="G313" s="135" t="n"/>
      <c r="H313" s="154" t="inlineStr">
        <is>
          <t>ผู้รับรอง</t>
        </is>
      </c>
      <c r="I313" s="153" t="n"/>
      <c r="J313" s="153" t="n"/>
      <c r="K313" s="153" t="n"/>
      <c r="L313" s="135" t="n"/>
      <c r="M313" s="154" t="inlineStr">
        <is>
          <t>ผู้ตรวจ</t>
        </is>
      </c>
      <c r="N313" s="153" t="n"/>
      <c r="O313" s="153" t="n"/>
      <c r="P313" s="153" t="n"/>
      <c r="Q313" s="153" t="n"/>
      <c r="R313" s="153" t="n"/>
      <c r="S313" s="135" t="n"/>
    </row>
    <row r="314" ht="22.2" customHeight="1" s="375">
      <c r="A314" s="334" t="inlineStr">
        <is>
          <t>ลงชื่อ……………………………………………</t>
        </is>
      </c>
      <c r="G314" s="374" t="n"/>
      <c r="H314" s="334" t="inlineStr">
        <is>
          <t>ลงชื่อ……………………………………………</t>
        </is>
      </c>
      <c r="L314" s="374" t="n"/>
      <c r="M314" s="334" t="inlineStr">
        <is>
          <t>ลงชื่อ……………………………………………</t>
        </is>
      </c>
      <c r="S314" s="374" t="n"/>
    </row>
    <row r="315" ht="22.2" customHeight="1" s="375">
      <c r="A315" s="11" t="inlineStr">
        <is>
          <t>(</t>
        </is>
      </c>
      <c r="B315" s="324">
        <f>B283</f>
        <v/>
      </c>
      <c r="G315" s="326" t="inlineStr">
        <is>
          <t>)</t>
        </is>
      </c>
      <c r="H315" s="324" t="inlineStr">
        <is>
          <t>(</t>
        </is>
      </c>
      <c r="I315" s="340">
        <f>I269</f>
        <v/>
      </c>
      <c r="L315" s="12" t="inlineStr">
        <is>
          <t>)</t>
        </is>
      </c>
      <c r="M315" s="53" t="inlineStr">
        <is>
          <t>(</t>
        </is>
      </c>
      <c r="N315" s="53" t="n"/>
      <c r="O315" s="324">
        <f>O39</f>
        <v/>
      </c>
      <c r="R315" s="25" t="n"/>
      <c r="S315" s="326" t="inlineStr">
        <is>
          <t>)</t>
        </is>
      </c>
    </row>
    <row r="316" ht="22.2" customHeight="1" s="375">
      <c r="A316" s="540" t="inlineStr">
        <is>
          <t xml:space="preserve">                         ตำแหน่ง  ครู</t>
        </is>
      </c>
      <c r="G316" s="374" t="n"/>
      <c r="H316" s="54" t="inlineStr">
        <is>
          <t>ตำแหน่ง หัวหน้าแผนก</t>
        </is>
      </c>
      <c r="L316" s="374" t="n"/>
      <c r="M316" s="54" t="inlineStr">
        <is>
          <t>ตำแหน่ง   ผู้ตรวจสอบ</t>
        </is>
      </c>
      <c r="S316" s="374" t="n"/>
    </row>
    <row r="317" ht="22.2" customHeight="1" s="375">
      <c r="A317" s="55" t="inlineStr">
        <is>
          <t>วันที่ 5 เดือน ตุลาคม  พ.ศ.2569</t>
        </is>
      </c>
      <c r="B317" s="522" t="n"/>
      <c r="C317" s="522" t="n"/>
      <c r="D317" s="522" t="n"/>
      <c r="E317" s="522" t="n"/>
      <c r="F317" s="522" t="n"/>
      <c r="G317" s="527" t="n"/>
      <c r="H317" s="54">
        <f>A41</f>
        <v/>
      </c>
      <c r="L317" s="374" t="n"/>
      <c r="M317" s="55">
        <f>A41</f>
        <v/>
      </c>
      <c r="N317" s="522" t="n"/>
      <c r="O317" s="522" t="n"/>
      <c r="P317" s="522" t="n"/>
      <c r="Q317" s="522" t="n"/>
      <c r="R317" s="522" t="n"/>
      <c r="S317" s="527" t="n"/>
    </row>
    <row r="318" ht="22.2" customHeight="1" s="375">
      <c r="A318" s="154" t="inlineStr">
        <is>
          <t>ผู้ตรวจ</t>
        </is>
      </c>
      <c r="B318" s="153" t="n"/>
      <c r="C318" s="153" t="n"/>
      <c r="D318" s="153" t="n"/>
      <c r="E318" s="153" t="n"/>
      <c r="F318" s="153" t="n"/>
      <c r="G318" s="153" t="n"/>
      <c r="H318" s="153" t="n"/>
      <c r="I318" s="135" t="n"/>
      <c r="J318" s="154" t="inlineStr">
        <is>
          <t>ผู้เห็นชอบ</t>
        </is>
      </c>
      <c r="K318" s="153" t="n"/>
      <c r="L318" s="153" t="n"/>
      <c r="M318" s="153" t="n"/>
      <c r="N318" s="153" t="n"/>
      <c r="O318" s="153" t="n"/>
      <c r="P318" s="153" t="n"/>
      <c r="Q318" s="153" t="n"/>
      <c r="R318" s="153" t="n"/>
      <c r="S318" s="135" t="n"/>
    </row>
    <row r="319" ht="22.2" customHeight="1" s="375">
      <c r="A319" s="334" t="inlineStr">
        <is>
          <t>ลงชื่อ……………………………………………</t>
        </is>
      </c>
      <c r="I319" s="374" t="n"/>
      <c r="J319" s="334" t="inlineStr">
        <is>
          <t>ลงชื่อ……………………………………………</t>
        </is>
      </c>
      <c r="S319" s="374" t="n"/>
    </row>
    <row r="320" ht="22.2" customHeight="1" s="375">
      <c r="A320" s="11" t="n"/>
      <c r="B320" s="324">
        <f>B44</f>
        <v/>
      </c>
      <c r="I320" s="326" t="n"/>
      <c r="J320" s="25" t="n"/>
      <c r="K320" s="25" t="n"/>
      <c r="L320" s="324">
        <f>L44</f>
        <v/>
      </c>
      <c r="R320" s="25" t="n"/>
      <c r="S320" s="12" t="n"/>
    </row>
    <row r="321" ht="22.2" customHeight="1" s="375">
      <c r="A321" s="54" t="inlineStr">
        <is>
          <t>ตำแหน่งครู  หัวหน้างานพัฒนาหลักสูตร ฯ</t>
        </is>
      </c>
      <c r="I321" s="374" t="n"/>
      <c r="J321" s="54" t="inlineStr">
        <is>
          <t>ตำแหน่ง  รองผู้อำนวยการฝ่ายวิชาการ</t>
        </is>
      </c>
      <c r="S321" s="374" t="n"/>
    </row>
    <row r="322" ht="22.2" customHeight="1" s="375">
      <c r="A322" s="336" t="inlineStr">
        <is>
          <t>วันที่.......เดือน..........................พ.ศ..............</t>
        </is>
      </c>
      <c r="B322" s="522" t="n"/>
      <c r="C322" s="522" t="n"/>
      <c r="D322" s="522" t="n"/>
      <c r="E322" s="522" t="n"/>
      <c r="F322" s="522" t="n"/>
      <c r="G322" s="522" t="n"/>
      <c r="H322" s="522" t="n"/>
      <c r="I322" s="527" t="n"/>
      <c r="J322" s="336" t="inlineStr">
        <is>
          <t>วันที่.......เดือน..........................พ.ศ..............</t>
        </is>
      </c>
      <c r="K322" s="522" t="n"/>
      <c r="L322" s="522" t="n"/>
      <c r="M322" s="522" t="n"/>
      <c r="N322" s="522" t="n"/>
      <c r="O322" s="522" t="n"/>
      <c r="P322" s="522" t="n"/>
      <c r="Q322" s="522" t="n"/>
      <c r="R322" s="522" t="n"/>
      <c r="S322" s="527" t="n"/>
    </row>
    <row r="323" ht="22.2" customHeight="1" s="375">
      <c r="A323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75">
      <c r="A324" s="365" t="inlineStr">
        <is>
          <t>แผนกวิชาช่างยนต์</t>
        </is>
      </c>
    </row>
    <row r="325" ht="22.2" customHeight="1" s="375">
      <c r="A325" s="366" t="inlineStr">
        <is>
          <t xml:space="preserve">    ระหว่างวันที่</t>
        </is>
      </c>
      <c r="D325" s="365">
        <f>D3</f>
        <v/>
      </c>
      <c r="E325" s="365" t="inlineStr">
        <is>
          <t xml:space="preserve">   เดือน  </t>
        </is>
      </c>
      <c r="F325" s="365">
        <f>F3</f>
        <v/>
      </c>
      <c r="H325" s="365">
        <f>H3</f>
        <v/>
      </c>
      <c r="I325" s="365" t="inlineStr">
        <is>
          <t xml:space="preserve">     ถึง วันที่</t>
        </is>
      </c>
      <c r="J325" s="365">
        <f>J3</f>
        <v/>
      </c>
      <c r="K325" s="365" t="inlineStr">
        <is>
          <t xml:space="preserve">   เดือน </t>
        </is>
      </c>
      <c r="L325" s="365">
        <f>L3</f>
        <v/>
      </c>
      <c r="N325" s="365">
        <f>N3</f>
        <v/>
      </c>
      <c r="P325" s="365" t="n"/>
      <c r="R325" s="365" t="n"/>
    </row>
    <row r="326" ht="22.2" customHeight="1" s="375">
      <c r="G326" s="51" t="inlineStr">
        <is>
          <t>ü</t>
        </is>
      </c>
      <c r="H326" s="351" t="inlineStr">
        <is>
          <t>ครู</t>
        </is>
      </c>
      <c r="I326" s="322" t="inlineStr">
        <is>
          <t>หน้าที่พิเศษ</t>
        </is>
      </c>
      <c r="J326" s="380" t="inlineStr">
        <is>
          <t>ผู้ช่วยงานโครงการพิเศษและการบริการสังคม</t>
        </is>
      </c>
      <c r="K326" s="522" t="n"/>
      <c r="L326" s="522" t="n"/>
      <c r="M326" s="522" t="n"/>
    </row>
    <row r="327" ht="22.2" customHeight="1" s="375">
      <c r="A327" s="24" t="inlineStr">
        <is>
          <t>ที่</t>
        </is>
      </c>
      <c r="B327" s="24" t="inlineStr">
        <is>
          <t>ชื่อ-สกุล</t>
        </is>
      </c>
      <c r="C327" s="153" t="n"/>
      <c r="D327" s="135" t="n"/>
      <c r="E327" s="15" t="inlineStr">
        <is>
          <t>ตำแหน่ง</t>
        </is>
      </c>
      <c r="F327" s="16" t="inlineStr">
        <is>
          <t>ระยะเวลาที่สอน</t>
        </is>
      </c>
      <c r="G327" s="432" t="n"/>
      <c r="H327" s="16" t="inlineStr">
        <is>
          <t>รหัสวิชา</t>
        </is>
      </c>
      <c r="I327" s="362" t="inlineStr">
        <is>
          <t>ชั้น,แผนก,ห้อง</t>
        </is>
      </c>
      <c r="J327" s="16" t="inlineStr">
        <is>
          <t>เวลาสอน</t>
        </is>
      </c>
      <c r="K327" s="135" t="n"/>
      <c r="L327" s="16" t="inlineStr">
        <is>
          <t>ปวช.(คาบ)</t>
        </is>
      </c>
      <c r="M327" s="432" t="n"/>
      <c r="N327" s="354" t="inlineStr">
        <is>
          <t>เงิน</t>
        </is>
      </c>
      <c r="O327" s="362" t="inlineStr">
        <is>
          <t>ยอดเงิน</t>
        </is>
      </c>
      <c r="P327" s="524" t="inlineStr">
        <is>
          <t>ปวส.(คาบ)</t>
        </is>
      </c>
      <c r="Q327" s="432" t="n"/>
      <c r="R327" s="354" t="inlineStr">
        <is>
          <t>เงิน</t>
        </is>
      </c>
      <c r="S327" s="362" t="inlineStr">
        <is>
          <t>ยอดเงิน</t>
        </is>
      </c>
    </row>
    <row r="328" ht="22.2" customHeight="1" s="375">
      <c r="A328" s="52" t="n"/>
      <c r="B328" s="8" t="n"/>
      <c r="C328" s="9" t="n"/>
      <c r="D328" s="13" t="n"/>
      <c r="E328" s="10" t="n"/>
      <c r="F328" s="336" t="inlineStr">
        <is>
          <t>ส.</t>
        </is>
      </c>
      <c r="G328" s="336" t="inlineStr">
        <is>
          <t>วดป.</t>
        </is>
      </c>
      <c r="H328" s="525" t="n"/>
      <c r="I328" s="336" t="n"/>
      <c r="J328" s="526" t="n"/>
      <c r="K328" s="527" t="n"/>
      <c r="L328" s="336" t="inlineStr">
        <is>
          <t>ใน</t>
        </is>
      </c>
      <c r="M328" s="336" t="inlineStr">
        <is>
          <t>นอก</t>
        </is>
      </c>
      <c r="N328" s="336" t="inlineStr">
        <is>
          <t>ต่อ ชม.</t>
        </is>
      </c>
      <c r="O328" s="336" t="inlineStr">
        <is>
          <t>(บาท)</t>
        </is>
      </c>
      <c r="P328" s="52" t="inlineStr">
        <is>
          <t>ใน</t>
        </is>
      </c>
      <c r="Q328" s="52" t="inlineStr">
        <is>
          <t>นอก</t>
        </is>
      </c>
      <c r="R328" s="336" t="inlineStr">
        <is>
          <t>ต่อ ชม.</t>
        </is>
      </c>
      <c r="S328" s="336" t="inlineStr">
        <is>
          <t>(บาท)</t>
        </is>
      </c>
    </row>
    <row r="329" ht="22.2" customHeight="1" s="375">
      <c r="A329" s="362" t="n">
        <v>8</v>
      </c>
      <c r="B329" s="528">
        <f>AB10</f>
        <v/>
      </c>
      <c r="C329" s="153" t="n"/>
      <c r="D329" s="135" t="n"/>
      <c r="E329" s="362" t="inlineStr">
        <is>
          <t>ครู</t>
        </is>
      </c>
      <c r="F329" s="5" t="n">
        <v>3</v>
      </c>
      <c r="G329" s="529" t="inlineStr">
        <is>
          <t>จันทร์</t>
        </is>
      </c>
      <c r="H329" s="376" t="inlineStr">
        <is>
          <t>20101-2015</t>
        </is>
      </c>
      <c r="I329" s="381" t="inlineStr">
        <is>
          <t>ชย.3/1,ชย.3/2 (26)</t>
        </is>
      </c>
      <c r="J329" s="381" t="inlineStr">
        <is>
          <t>17:10 - 21:10</t>
        </is>
      </c>
      <c r="K329" s="135" t="n"/>
      <c r="L329" s="381" t="n">
        <v>4</v>
      </c>
      <c r="M329" s="148" t="inlineStr"/>
      <c r="N329" s="150" t="inlineStr"/>
      <c r="O329" s="354" t="inlineStr"/>
      <c r="P329" s="134" t="inlineStr"/>
      <c r="Q329" s="134" t="inlineStr"/>
      <c r="R329" s="134" t="inlineStr"/>
      <c r="S329" s="354" t="inlineStr"/>
      <c r="T329" t="inlineStr"/>
      <c r="U329" t="inlineStr"/>
    </row>
    <row r="330" ht="22.2" customHeight="1" s="375">
      <c r="A330" s="3" t="n"/>
      <c r="B330" s="530" t="n"/>
      <c r="D330" s="374" t="n"/>
      <c r="E330" s="334" t="n"/>
      <c r="F330" s="322" t="n"/>
      <c r="G330" s="535" t="inlineStr">
        <is>
          <t>28 ก.ย.69</t>
        </is>
      </c>
      <c r="H330" s="376" t="inlineStr"/>
      <c r="I330" s="376" t="inlineStr"/>
      <c r="J330" s="376" t="inlineStr"/>
      <c r="K330" s="374" t="n"/>
      <c r="L330" s="376" t="inlineStr"/>
      <c r="M330" s="334" t="inlineStr"/>
      <c r="N330" s="323" t="inlineStr"/>
      <c r="O330" s="354" t="inlineStr"/>
      <c r="P330" s="334" t="inlineStr"/>
      <c r="Q330" s="334" t="inlineStr"/>
      <c r="R330" s="334" t="inlineStr"/>
      <c r="S330" s="354" t="inlineStr"/>
      <c r="T330" t="inlineStr"/>
      <c r="U330" t="inlineStr"/>
    </row>
    <row r="331" ht="22.2" customHeight="1" s="375">
      <c r="A331" s="3" t="n"/>
      <c r="B331" s="313" t="n"/>
      <c r="D331" s="314" t="n"/>
      <c r="E331" s="314" t="n"/>
      <c r="F331" s="322" t="n"/>
      <c r="G331" s="321" t="inlineStr"/>
      <c r="H331" s="334" t="inlineStr"/>
      <c r="I331" s="334" t="inlineStr"/>
      <c r="J331" s="334" t="inlineStr"/>
      <c r="K331" s="374" t="n"/>
      <c r="L331" s="334" t="inlineStr"/>
      <c r="M331" s="334" t="inlineStr"/>
      <c r="N331" s="334" t="inlineStr"/>
      <c r="O331" s="354" t="inlineStr"/>
      <c r="P331" s="334" t="inlineStr"/>
      <c r="Q331" s="334" t="inlineStr"/>
      <c r="R331" s="334" t="inlineStr"/>
      <c r="S331" s="354" t="inlineStr"/>
      <c r="T331" t="inlineStr"/>
      <c r="U331" t="inlineStr"/>
    </row>
    <row r="332" ht="22.2" customHeight="1" s="375">
      <c r="A332" s="3" t="n"/>
      <c r="B332" s="313" t="n"/>
      <c r="E332" s="3" t="n"/>
      <c r="F332" s="322" t="n"/>
      <c r="G332" s="321" t="inlineStr"/>
      <c r="H332" s="334" t="inlineStr"/>
      <c r="I332" s="334" t="inlineStr"/>
      <c r="J332" s="334" t="inlineStr"/>
      <c r="K332" s="374" t="n"/>
      <c r="L332" s="334" t="inlineStr"/>
      <c r="M332" s="334" t="inlineStr"/>
      <c r="N332" s="334" t="inlineStr"/>
      <c r="O332" s="354" t="inlineStr"/>
      <c r="P332" s="334" t="inlineStr"/>
      <c r="Q332" s="334" t="inlineStr"/>
      <c r="R332" s="334" t="inlineStr"/>
      <c r="S332" s="354" t="inlineStr"/>
      <c r="T332" t="inlineStr"/>
      <c r="U332" t="inlineStr"/>
    </row>
    <row r="333" ht="22.2" customHeight="1" s="375">
      <c r="A333" s="3" t="n"/>
      <c r="E333" s="3" t="n"/>
      <c r="G333" s="344" t="inlineStr"/>
      <c r="H333" s="336" t="inlineStr"/>
      <c r="I333" s="336" t="inlineStr"/>
      <c r="J333" s="336" t="inlineStr"/>
      <c r="K333" s="527" t="n"/>
      <c r="L333" s="336" t="inlineStr"/>
      <c r="M333" s="334" t="inlineStr"/>
      <c r="N333" s="334" t="inlineStr"/>
      <c r="O333" s="354" t="inlineStr"/>
      <c r="P333" s="334" t="inlineStr"/>
      <c r="Q333" s="334" t="inlineStr"/>
      <c r="R333" s="334" t="inlineStr"/>
      <c r="S333" s="354" t="inlineStr"/>
      <c r="T333" t="inlineStr"/>
      <c r="U333" t="inlineStr"/>
    </row>
    <row r="334" ht="22.2" customHeight="1" s="375">
      <c r="A334" s="3" t="n"/>
      <c r="D334" s="7" t="inlineStr">
        <is>
          <t> </t>
        </is>
      </c>
      <c r="E334" s="3" t="n"/>
      <c r="G334" s="533" t="inlineStr">
        <is>
          <t>อังคาร</t>
        </is>
      </c>
      <c r="H334" s="376" t="inlineStr">
        <is>
          <t>20101-2001</t>
        </is>
      </c>
      <c r="I334" s="381" t="inlineStr">
        <is>
          <t>ชย.1/9 (26)</t>
        </is>
      </c>
      <c r="J334" s="381" t="inlineStr">
        <is>
          <t>08:10 - 12:10</t>
        </is>
      </c>
      <c r="K334" s="135" t="n"/>
      <c r="L334" s="367" t="n">
        <v>4</v>
      </c>
      <c r="M334" s="381" t="inlineStr"/>
      <c r="N334" s="381" t="inlineStr"/>
      <c r="O334" s="354" t="inlineStr"/>
      <c r="P334" s="381" t="inlineStr"/>
      <c r="Q334" s="367" t="inlineStr"/>
      <c r="R334" s="381" t="inlineStr"/>
      <c r="S334" s="354" t="inlineStr"/>
      <c r="T334" t="inlineStr"/>
      <c r="U334" t="inlineStr"/>
    </row>
    <row r="335" ht="22.2" customHeight="1" s="375">
      <c r="A335" s="3" t="n"/>
      <c r="E335" s="3" t="n"/>
      <c r="G335" s="535" t="inlineStr">
        <is>
          <t>29 ก.ย.69</t>
        </is>
      </c>
      <c r="H335" s="376" t="inlineStr">
        <is>
          <t>20101-2001</t>
        </is>
      </c>
      <c r="I335" s="376" t="inlineStr">
        <is>
          <t>ชย.1/9 (26)</t>
        </is>
      </c>
      <c r="J335" s="376" t="inlineStr">
        <is>
          <t>13:10 - 16:10</t>
        </is>
      </c>
      <c r="K335" s="374" t="n"/>
      <c r="L335" s="334" t="n">
        <v>3</v>
      </c>
      <c r="M335" s="334" t="inlineStr"/>
      <c r="N335" s="334" t="inlineStr"/>
      <c r="O335" s="354" t="inlineStr"/>
      <c r="P335" s="334" t="inlineStr"/>
      <c r="Q335" s="334" t="inlineStr"/>
      <c r="R335" s="334" t="inlineStr"/>
      <c r="S335" s="354" t="inlineStr"/>
      <c r="T335" t="inlineStr"/>
      <c r="U335" t="inlineStr"/>
    </row>
    <row r="336" ht="22.2" customHeight="1" s="375">
      <c r="A336" s="3" t="n"/>
      <c r="B336" s="321" t="n"/>
      <c r="C336" s="322" t="n"/>
      <c r="D336" s="322" t="n"/>
      <c r="E336" s="334" t="n"/>
      <c r="G336" s="334" t="inlineStr"/>
      <c r="H336" s="376" t="inlineStr"/>
      <c r="I336" s="376" t="inlineStr"/>
      <c r="J336" s="376" t="inlineStr"/>
      <c r="K336" s="374" t="n"/>
      <c r="L336" s="334" t="inlineStr"/>
      <c r="M336" s="334" t="inlineStr"/>
      <c r="N336" s="334" t="inlineStr"/>
      <c r="O336" s="354" t="inlineStr"/>
      <c r="P336" s="334" t="inlineStr"/>
      <c r="Q336" s="334" t="inlineStr"/>
      <c r="R336" s="334" t="inlineStr"/>
      <c r="S336" s="354" t="inlineStr"/>
      <c r="T336" t="inlineStr"/>
      <c r="U336" t="inlineStr"/>
    </row>
    <row r="337" ht="22.2" customHeight="1" s="375">
      <c r="A337" s="3" t="n"/>
      <c r="B337" s="313" t="n"/>
      <c r="D337" s="314" t="n"/>
      <c r="E337" s="314" t="n"/>
      <c r="G337" s="54" t="inlineStr"/>
      <c r="H337" s="322" t="inlineStr"/>
      <c r="I337" s="334" t="inlineStr"/>
      <c r="J337" s="334" t="inlineStr"/>
      <c r="K337" s="374" t="n"/>
      <c r="L337" s="334" t="inlineStr"/>
      <c r="M337" s="334" t="inlineStr"/>
      <c r="N337" s="334" t="inlineStr"/>
      <c r="O337" s="354" t="inlineStr"/>
      <c r="P337" s="334" t="inlineStr"/>
      <c r="Q337" s="334" t="inlineStr"/>
      <c r="R337" s="334" t="inlineStr"/>
      <c r="S337" s="354" t="inlineStr"/>
      <c r="T337" t="inlineStr"/>
      <c r="U337" t="inlineStr"/>
    </row>
    <row r="338" ht="22.2" customHeight="1" s="375">
      <c r="A338" s="3" t="n"/>
      <c r="D338" s="7" t="inlineStr">
        <is>
          <t> </t>
        </is>
      </c>
      <c r="E338" s="3" t="n"/>
      <c r="G338" s="55" t="inlineStr"/>
      <c r="H338" s="336" t="inlineStr"/>
      <c r="I338" s="336" t="inlineStr"/>
      <c r="J338" s="336" t="inlineStr"/>
      <c r="K338" s="527" t="n"/>
      <c r="L338" s="334" t="inlineStr"/>
      <c r="M338" s="336" t="inlineStr"/>
      <c r="N338" s="336" t="inlineStr"/>
      <c r="O338" s="354" t="inlineStr"/>
      <c r="P338" s="336" t="inlineStr"/>
      <c r="Q338" s="336" t="inlineStr"/>
      <c r="R338" s="336" t="inlineStr"/>
      <c r="S338" s="354" t="inlineStr"/>
      <c r="T338" t="inlineStr"/>
      <c r="U338" t="inlineStr"/>
    </row>
    <row r="339" ht="22.2" customHeight="1" s="375">
      <c r="A339" s="3" t="n"/>
      <c r="E339" s="3" t="n"/>
      <c r="G339" s="535" t="inlineStr">
        <is>
          <t>พุธ</t>
        </is>
      </c>
      <c r="H339" s="376" t="inlineStr">
        <is>
          <t>20101-2001</t>
        </is>
      </c>
      <c r="I339" s="381" t="inlineStr">
        <is>
          <t>ชย.1/7 (26)</t>
        </is>
      </c>
      <c r="J339" s="381" t="inlineStr">
        <is>
          <t>08:10 - 12:10</t>
        </is>
      </c>
      <c r="K339" s="135" t="n"/>
      <c r="L339" s="381" t="n">
        <v>4</v>
      </c>
      <c r="M339" s="150" t="inlineStr"/>
      <c r="N339" s="148" t="inlineStr"/>
      <c r="O339" s="354" t="inlineStr"/>
      <c r="P339" s="134" t="inlineStr"/>
      <c r="Q339" s="135" t="inlineStr"/>
      <c r="R339" s="135" t="inlineStr"/>
      <c r="S339" s="354" t="inlineStr"/>
      <c r="T339" s="6" t="inlineStr"/>
      <c r="U339" s="22" t="inlineStr"/>
      <c r="V339" s="57" t="n"/>
      <c r="W339" s="21" t="n"/>
      <c r="X339" s="21" t="n"/>
    </row>
    <row r="340" ht="22.2" customHeight="1" s="375">
      <c r="A340" s="3" t="n"/>
      <c r="B340" s="321" t="n"/>
      <c r="C340" s="322" t="n"/>
      <c r="D340" s="322" t="n"/>
      <c r="E340" s="334" t="n"/>
      <c r="G340" s="535" t="inlineStr">
        <is>
          <t>30 ก.ย.69</t>
        </is>
      </c>
      <c r="H340" s="376" t="inlineStr">
        <is>
          <t>20101-2001</t>
        </is>
      </c>
      <c r="I340" s="376" t="inlineStr">
        <is>
          <t>ชย.1/7 (26)</t>
        </is>
      </c>
      <c r="J340" s="376" t="inlineStr">
        <is>
          <t>13:10 - 16:10</t>
        </is>
      </c>
      <c r="K340" s="374" t="n"/>
      <c r="L340" s="334" t="n">
        <v>3</v>
      </c>
      <c r="M340" s="157" t="inlineStr"/>
      <c r="N340" s="149" t="inlineStr"/>
      <c r="O340" s="354" t="inlineStr"/>
      <c r="P340" s="251" t="inlineStr"/>
      <c r="Q340" s="251" t="inlineStr"/>
      <c r="R340" s="374" t="inlineStr"/>
      <c r="S340" s="354" t="inlineStr"/>
      <c r="T340" s="21" t="inlineStr"/>
      <c r="U340" s="22" t="inlineStr"/>
      <c r="V340" s="57" t="n"/>
      <c r="W340" s="21" t="n"/>
      <c r="X340" s="21" t="n"/>
    </row>
    <row r="341" ht="22.2" customHeight="1" s="375">
      <c r="A341" s="3" t="n"/>
      <c r="B341" s="313" t="n"/>
      <c r="D341" s="314" t="n"/>
      <c r="E341" s="314" t="n"/>
      <c r="G341" s="334" t="inlineStr"/>
      <c r="H341" s="334" t="inlineStr"/>
      <c r="I341" s="334" t="inlineStr"/>
      <c r="J341" s="334" t="inlineStr"/>
      <c r="K341" s="374" t="n"/>
      <c r="L341" s="334" t="inlineStr"/>
      <c r="M341" s="334" t="inlineStr"/>
      <c r="N341" s="334" t="inlineStr"/>
      <c r="O341" s="362" t="inlineStr"/>
      <c r="P341" s="334" t="inlineStr"/>
      <c r="Q341" s="334" t="inlineStr"/>
      <c r="R341" s="334" t="inlineStr"/>
      <c r="S341" s="354" t="inlineStr"/>
      <c r="T341" t="inlineStr"/>
      <c r="U341" t="inlineStr"/>
    </row>
    <row r="342" ht="22.2" customHeight="1" s="375">
      <c r="A342" s="3" t="n"/>
      <c r="E342" s="3" t="n"/>
      <c r="G342" s="321" t="inlineStr"/>
      <c r="H342" s="321" t="inlineStr"/>
      <c r="I342" s="334" t="inlineStr"/>
      <c r="J342" s="334" t="inlineStr"/>
      <c r="K342" s="374" t="n"/>
      <c r="L342" s="334" t="inlineStr"/>
      <c r="M342" s="334" t="inlineStr"/>
      <c r="N342" s="334" t="inlineStr"/>
      <c r="O342" s="362" t="inlineStr"/>
      <c r="P342" s="334" t="inlineStr"/>
      <c r="Q342" s="334" t="inlineStr"/>
      <c r="R342" s="334" t="inlineStr"/>
      <c r="S342" s="354" t="inlineStr"/>
      <c r="T342" t="inlineStr"/>
      <c r="U342" t="inlineStr"/>
    </row>
    <row r="343" ht="22.2" customHeight="1" s="375">
      <c r="A343" s="3" t="n"/>
      <c r="E343" s="3" t="n"/>
      <c r="G343" s="327" t="inlineStr"/>
      <c r="H343" s="327" t="inlineStr"/>
      <c r="I343" s="336" t="inlineStr"/>
      <c r="J343" s="336" t="inlineStr"/>
      <c r="K343" s="527" t="n"/>
      <c r="L343" s="336" t="inlineStr"/>
      <c r="M343" s="336" t="inlineStr"/>
      <c r="N343" s="336" t="inlineStr"/>
      <c r="O343" s="354" t="inlineStr"/>
      <c r="P343" s="336" t="inlineStr"/>
      <c r="Q343" s="336" t="inlineStr"/>
      <c r="R343" s="336" t="inlineStr"/>
      <c r="S343" s="354" t="inlineStr"/>
      <c r="T343" t="inlineStr"/>
      <c r="U343" t="inlineStr"/>
    </row>
    <row r="344" ht="22.2" customHeight="1" s="375">
      <c r="A344" s="3" t="n"/>
      <c r="E344" s="3" t="n"/>
      <c r="G344" s="533" t="inlineStr">
        <is>
          <t>พฤหัส</t>
        </is>
      </c>
      <c r="H344" s="376" t="inlineStr">
        <is>
          <t>20101-2001</t>
        </is>
      </c>
      <c r="I344" s="376" t="inlineStr">
        <is>
          <t>ชย.1/6 (26)</t>
        </is>
      </c>
      <c r="J344" s="381" t="inlineStr">
        <is>
          <t>08:10 - 12:10</t>
        </is>
      </c>
      <c r="K344" s="135" t="n"/>
      <c r="L344" s="381" t="n">
        <v>2</v>
      </c>
      <c r="M344" s="150" t="n">
        <v>2</v>
      </c>
      <c r="N344" s="148" t="n">
        <v>200</v>
      </c>
      <c r="O344" s="354">
        <f>M344*N344</f>
        <v/>
      </c>
      <c r="P344" s="334" t="inlineStr"/>
      <c r="Q344" s="362" t="inlineStr"/>
      <c r="R344" s="362" t="inlineStr"/>
      <c r="S344" s="354" t="inlineStr"/>
      <c r="T344" t="inlineStr"/>
      <c r="U344" t="inlineStr"/>
    </row>
    <row r="345" ht="22.2" customHeight="1" s="375">
      <c r="A345" s="3" t="n"/>
      <c r="E345" s="3" t="n"/>
      <c r="G345" s="533" t="inlineStr">
        <is>
          <t>1 ต.ค.69</t>
        </is>
      </c>
      <c r="H345" s="376" t="inlineStr">
        <is>
          <t>20000-2004</t>
        </is>
      </c>
      <c r="I345" s="376" t="inlineStr">
        <is>
          <t>ชย.2/1,ชย.2/2 (26)</t>
        </is>
      </c>
      <c r="J345" s="376" t="inlineStr">
        <is>
          <t>13:10 - 15:10</t>
        </is>
      </c>
      <c r="K345" s="374" t="n"/>
      <c r="L345" s="334" t="n">
        <v>2</v>
      </c>
      <c r="M345" s="157" t="inlineStr"/>
      <c r="N345" s="149" t="inlineStr"/>
      <c r="O345" s="354" t="inlineStr"/>
      <c r="P345" s="334" t="inlineStr"/>
      <c r="Q345" s="334" t="inlineStr"/>
      <c r="R345" s="334" t="inlineStr"/>
      <c r="S345" s="354" t="inlineStr"/>
      <c r="T345" t="inlineStr"/>
      <c r="U345" t="inlineStr"/>
    </row>
    <row r="346" ht="22.2" customHeight="1" s="375">
      <c r="A346" s="3" t="n"/>
      <c r="B346" s="313" t="n"/>
      <c r="E346" s="3" t="n"/>
      <c r="G346" s="334" t="inlineStr"/>
      <c r="H346" s="376" t="inlineStr">
        <is>
          <t>20101-2001</t>
        </is>
      </c>
      <c r="I346" s="376" t="inlineStr">
        <is>
          <t>ชย.1/6 (26)</t>
        </is>
      </c>
      <c r="J346" s="376" t="inlineStr">
        <is>
          <t>15:10 - 18:10</t>
        </is>
      </c>
      <c r="K346" s="374" t="n"/>
      <c r="L346" s="376" t="inlineStr"/>
      <c r="M346" s="376" t="n">
        <v>3</v>
      </c>
      <c r="N346" s="370" t="n">
        <v>200</v>
      </c>
      <c r="O346" s="354">
        <f>M346*N346</f>
        <v/>
      </c>
      <c r="P346" s="376" t="inlineStr"/>
      <c r="Q346" s="370" t="inlineStr"/>
      <c r="R346" s="376" t="inlineStr"/>
      <c r="S346" s="354" t="inlineStr"/>
      <c r="T346" t="inlineStr"/>
      <c r="U346" t="inlineStr"/>
    </row>
    <row r="347" ht="22.2" customHeight="1" s="375">
      <c r="A347" s="3" t="n"/>
      <c r="E347" s="3" t="n"/>
      <c r="G347" s="334" t="inlineStr"/>
      <c r="H347" s="63" t="inlineStr"/>
      <c r="I347" s="376" t="inlineStr"/>
      <c r="J347" s="376" t="inlineStr"/>
      <c r="K347" s="374" t="n"/>
      <c r="L347" s="376" t="inlineStr"/>
      <c r="M347" s="376" t="inlineStr"/>
      <c r="N347" s="370" t="inlineStr"/>
      <c r="O347" s="354" t="inlineStr"/>
      <c r="P347" s="376" t="inlineStr"/>
      <c r="Q347" s="370" t="inlineStr"/>
      <c r="R347" s="376" t="inlineStr"/>
      <c r="S347" s="354" t="inlineStr"/>
      <c r="T347" t="inlineStr"/>
      <c r="U347" t="inlineStr"/>
    </row>
    <row r="348" ht="22.2" customHeight="1" s="375">
      <c r="A348" s="3" t="n"/>
      <c r="E348" s="3" t="n"/>
      <c r="G348" s="336" t="inlineStr"/>
      <c r="H348" s="328" t="inlineStr"/>
      <c r="I348" s="336" t="inlineStr"/>
      <c r="J348" s="336" t="inlineStr"/>
      <c r="K348" s="527" t="n"/>
      <c r="L348" s="336" t="inlineStr"/>
      <c r="M348" s="336" t="inlineStr"/>
      <c r="N348" s="336" t="inlineStr"/>
      <c r="O348" s="354" t="inlineStr"/>
      <c r="P348" s="336" t="inlineStr"/>
      <c r="Q348" s="336" t="inlineStr"/>
      <c r="R348" s="336" t="inlineStr"/>
      <c r="S348" s="354" t="inlineStr"/>
      <c r="T348" t="inlineStr"/>
      <c r="U348" t="inlineStr"/>
    </row>
    <row r="349" ht="22.2" customHeight="1" s="375">
      <c r="A349" s="3" t="n"/>
      <c r="E349" s="3" t="n"/>
      <c r="G349" s="533" t="inlineStr">
        <is>
          <t>ศุกร์</t>
        </is>
      </c>
      <c r="H349" s="376" t="inlineStr">
        <is>
          <t>20101-2001</t>
        </is>
      </c>
      <c r="I349" s="376" t="inlineStr">
        <is>
          <t>ชย.1/10 (26)</t>
        </is>
      </c>
      <c r="J349" s="381" t="inlineStr">
        <is>
          <t>08:10 - 12:10</t>
        </is>
      </c>
      <c r="K349" s="135" t="n"/>
      <c r="L349" s="334" t="inlineStr"/>
      <c r="M349" s="334" t="n">
        <v>4</v>
      </c>
      <c r="N349" s="334" t="n">
        <v>200</v>
      </c>
      <c r="O349" s="354">
        <f>M349*N349</f>
        <v/>
      </c>
      <c r="P349" s="381" t="inlineStr"/>
      <c r="Q349" s="367" t="inlineStr"/>
      <c r="R349" s="381" t="inlineStr"/>
      <c r="S349" s="354" t="inlineStr"/>
      <c r="T349" t="inlineStr"/>
      <c r="U349" t="inlineStr"/>
    </row>
    <row r="350" ht="22.2" customHeight="1" s="375">
      <c r="A350" s="3" t="n"/>
      <c r="E350" s="3" t="n"/>
      <c r="G350" s="533" t="inlineStr">
        <is>
          <t>2 ต.ค.69</t>
        </is>
      </c>
      <c r="H350" s="376" t="inlineStr">
        <is>
          <t>20101-2001</t>
        </is>
      </c>
      <c r="I350" s="376" t="inlineStr">
        <is>
          <t>ชย.1/10 (26)</t>
        </is>
      </c>
      <c r="J350" s="376" t="inlineStr">
        <is>
          <t>13:10 - 16:10</t>
        </is>
      </c>
      <c r="K350" s="374" t="n"/>
      <c r="L350" s="334" t="inlineStr"/>
      <c r="M350" s="334" t="n">
        <v>3</v>
      </c>
      <c r="N350" s="334" t="n">
        <v>200</v>
      </c>
      <c r="O350" s="354">
        <f>M350*N350</f>
        <v/>
      </c>
      <c r="P350" s="334" t="inlineStr"/>
      <c r="Q350" s="334" t="inlineStr"/>
      <c r="R350" s="334" t="inlineStr"/>
      <c r="S350" s="354" t="inlineStr"/>
      <c r="T350" t="inlineStr"/>
      <c r="U350" t="inlineStr"/>
    </row>
    <row r="351" ht="22.2" customHeight="1" s="375">
      <c r="A351" s="3" t="n"/>
      <c r="E351" s="3" t="n"/>
      <c r="G351" s="334" t="inlineStr"/>
      <c r="H351" s="334" t="inlineStr"/>
      <c r="I351" s="334" t="inlineStr"/>
      <c r="J351" s="334" t="inlineStr"/>
      <c r="K351" s="374" t="n"/>
      <c r="L351" s="334" t="inlineStr"/>
      <c r="M351" s="334" t="inlineStr"/>
      <c r="N351" s="334" t="inlineStr"/>
      <c r="O351" s="354" t="inlineStr"/>
      <c r="P351" s="334" t="inlineStr"/>
      <c r="Q351" s="334" t="inlineStr"/>
      <c r="R351" s="334" t="inlineStr"/>
      <c r="S351" s="354" t="inlineStr"/>
      <c r="T351" t="inlineStr"/>
      <c r="U351" t="inlineStr"/>
    </row>
    <row r="352" ht="22.2" customHeight="1" s="375">
      <c r="A352" s="3" t="n"/>
      <c r="E352" s="3" t="n"/>
      <c r="G352" s="334" t="inlineStr"/>
      <c r="H352" s="322" t="inlineStr"/>
      <c r="I352" s="334" t="inlineStr"/>
      <c r="J352" s="334" t="inlineStr"/>
      <c r="K352" s="374" t="n"/>
      <c r="L352" s="334" t="inlineStr"/>
      <c r="M352" s="334" t="inlineStr"/>
      <c r="N352" s="334" t="inlineStr"/>
      <c r="O352" s="354" t="inlineStr"/>
      <c r="P352" s="334" t="inlineStr"/>
      <c r="Q352" s="334" t="inlineStr"/>
      <c r="R352" s="334" t="inlineStr"/>
      <c r="S352" s="354" t="inlineStr"/>
      <c r="T352" t="inlineStr"/>
      <c r="U352" t="inlineStr"/>
    </row>
    <row r="353" ht="22.2" customHeight="1" s="375">
      <c r="A353" s="3" t="n"/>
      <c r="E353" s="3" t="n"/>
      <c r="F353" s="3" t="n"/>
      <c r="G353" s="329" t="inlineStr"/>
      <c r="H353" s="328" t="inlineStr"/>
      <c r="I353" s="336" t="inlineStr"/>
      <c r="J353" s="336" t="inlineStr"/>
      <c r="K353" s="527" t="n"/>
      <c r="L353" s="336" t="inlineStr"/>
      <c r="M353" s="336" t="inlineStr"/>
      <c r="N353" s="336" t="inlineStr"/>
      <c r="O353" s="354" t="inlineStr"/>
      <c r="P353" s="336" t="inlineStr"/>
      <c r="Q353" s="336" t="inlineStr"/>
      <c r="R353" s="336" t="inlineStr"/>
      <c r="S353" s="354" t="inlineStr"/>
      <c r="T353" t="inlineStr"/>
      <c r="U353" t="inlineStr"/>
    </row>
    <row r="354" ht="22.2" customHeight="1" s="375">
      <c r="A354" s="3" t="n"/>
      <c r="E354" s="3" t="n"/>
      <c r="F354" s="3" t="n"/>
      <c r="G354" s="16" t="inlineStr">
        <is>
          <t>รวมขั่วโมงที่สอนแยก ภาระงาน/ เกินภาระงาน</t>
        </is>
      </c>
      <c r="H354" s="518" t="n"/>
      <c r="I354" s="518" t="n"/>
      <c r="J354" s="518" t="n"/>
      <c r="K354" s="432" t="n"/>
      <c r="L354" s="16">
        <f>SUM(L329:L353)</f>
        <v/>
      </c>
      <c r="M354" s="16">
        <f>SUM(M329:M353)</f>
        <v/>
      </c>
      <c r="N354" s="16" t="n"/>
      <c r="O354" s="16" t="n"/>
      <c r="P354" s="16">
        <f>SUM(P329:P353)</f>
        <v/>
      </c>
      <c r="Q354" s="16">
        <f>SUM(Q329:Q353)</f>
        <v/>
      </c>
      <c r="R354" s="349" t="n"/>
      <c r="S354" s="16" t="n"/>
    </row>
    <row r="355" ht="22.2" customHeight="1" s="375">
      <c r="A355" s="3" t="n"/>
      <c r="E355" s="3" t="n"/>
      <c r="F355" s="3" t="n"/>
      <c r="G355" s="16" t="inlineStr">
        <is>
          <t>รวมจำนวนชั่วโมงสอนคาบต่อสับดาห์</t>
        </is>
      </c>
      <c r="H355" s="518" t="n"/>
      <c r="I355" s="518" t="n"/>
      <c r="J355" s="518" t="n"/>
      <c r="K355" s="432" t="n"/>
      <c r="L355" s="16">
        <f>L354+M354</f>
        <v/>
      </c>
      <c r="M355" s="432" t="n"/>
      <c r="N355" s="348" t="n"/>
      <c r="O355" s="16" t="n"/>
      <c r="P355" s="16">
        <f>P354+Q354</f>
        <v/>
      </c>
      <c r="Q355" s="432" t="n"/>
      <c r="R355" s="329" t="n"/>
      <c r="S355" s="336" t="n"/>
    </row>
    <row r="356" ht="22.2" customHeight="1" s="375">
      <c r="A356" s="3" t="n"/>
      <c r="E356" s="3" t="n"/>
      <c r="F356" s="3" t="n"/>
      <c r="G356" s="16" t="inlineStr">
        <is>
          <t>จำนวนชั่วโมงสอนตามภาระงานสอน</t>
        </is>
      </c>
      <c r="H356" s="518" t="n"/>
      <c r="I356" s="518" t="n"/>
      <c r="J356" s="518" t="n"/>
      <c r="K356" s="432" t="n"/>
      <c r="L356" s="16" t="n">
        <v>18</v>
      </c>
      <c r="M356" s="432" t="n"/>
      <c r="N356" s="348" t="n"/>
      <c r="O356" s="16" t="n"/>
      <c r="P356" s="16" t="n">
        <v>0</v>
      </c>
      <c r="Q356" s="432" t="n"/>
      <c r="R356" s="322" t="n"/>
      <c r="S356" s="334" t="n"/>
    </row>
    <row r="357" ht="22.2" customHeight="1" s="375" thickBot="1">
      <c r="A357" s="3" t="n"/>
      <c r="E357" s="3" t="n"/>
      <c r="F357" s="14" t="n"/>
      <c r="G357" s="16" t="inlineStr">
        <is>
          <t>จำนวนชั่วโมงบิกเกินภาระงานสอน/ค่าสอน</t>
        </is>
      </c>
      <c r="H357" s="518" t="n"/>
      <c r="I357" s="518" t="n"/>
      <c r="J357" s="518" t="n"/>
      <c r="K357" s="432" t="n"/>
      <c r="L357" s="17" t="n">
        <v>0</v>
      </c>
      <c r="M357" s="17">
        <f>SUM(M329:M353)</f>
        <v/>
      </c>
      <c r="N357" s="17" t="n"/>
      <c r="O357" s="17">
        <f>SUM(O329:O353)</f>
        <v/>
      </c>
      <c r="P357" s="17" t="n">
        <v>0</v>
      </c>
      <c r="Q357" s="17">
        <f>SUM(Q329:Q353)</f>
        <v/>
      </c>
      <c r="R357" s="18" t="n"/>
      <c r="S357" s="17">
        <f>SUM(S329:S353)</f>
        <v/>
      </c>
    </row>
    <row r="358" ht="22.2" customHeight="1" s="375" thickTop="1">
      <c r="A358" s="337" t="inlineStr">
        <is>
          <t>รวมจำนวนหน่วยชั่วโมงที่ขอเบิกค่าสอน ….</t>
        </is>
      </c>
      <c r="B358" s="518" t="n"/>
      <c r="C358" s="518" t="n"/>
      <c r="D358" s="518" t="n"/>
      <c r="E358" s="518" t="n"/>
      <c r="F358" s="518" t="n"/>
      <c r="G358" s="518" t="n"/>
      <c r="H358" s="348">
        <f>M357+Q357</f>
        <v/>
      </c>
      <c r="I358" s="348" t="inlineStr">
        <is>
          <t>….ชั่วโมง</t>
        </is>
      </c>
      <c r="J358" s="348" t="n"/>
      <c r="K358" s="328" t="inlineStr">
        <is>
          <t>ยอดเงินรวม</t>
        </is>
      </c>
      <c r="L358" s="522" t="n"/>
      <c r="M358" s="522" t="n"/>
      <c r="N358" s="328" t="n"/>
      <c r="O358" s="328" t="n"/>
      <c r="P358" s="339">
        <f>S357+O357</f>
        <v/>
      </c>
      <c r="Q358" s="538" t="n"/>
      <c r="R358" s="20" t="n"/>
      <c r="S358" s="19" t="inlineStr">
        <is>
          <t>..บาท</t>
        </is>
      </c>
    </row>
    <row r="359" ht="22.2" customHeight="1" s="375">
      <c r="A359" s="154" t="inlineStr">
        <is>
          <t>ผู้ขอเบิก</t>
        </is>
      </c>
      <c r="B359" s="153" t="n"/>
      <c r="C359" s="153" t="n"/>
      <c r="D359" s="153" t="n"/>
      <c r="E359" s="153" t="n"/>
      <c r="F359" s="153" t="n"/>
      <c r="G359" s="135" t="n"/>
      <c r="H359" s="154" t="inlineStr">
        <is>
          <t>ผู้รับรอง</t>
        </is>
      </c>
      <c r="I359" s="153" t="n"/>
      <c r="J359" s="153" t="n"/>
      <c r="K359" s="153" t="n"/>
      <c r="L359" s="135" t="n"/>
      <c r="M359" s="154" t="inlineStr">
        <is>
          <t>ผู้ตรวจ</t>
        </is>
      </c>
      <c r="N359" s="153" t="n"/>
      <c r="O359" s="153" t="n"/>
      <c r="P359" s="153" t="n"/>
      <c r="Q359" s="153" t="n"/>
      <c r="R359" s="153" t="n"/>
      <c r="S359" s="135" t="n"/>
    </row>
    <row r="360" ht="22.2" customHeight="1" s="375">
      <c r="A360" s="334" t="inlineStr">
        <is>
          <t>ลงชื่อ……………………………………………</t>
        </is>
      </c>
      <c r="G360" s="374" t="n"/>
      <c r="H360" s="334" t="inlineStr">
        <is>
          <t>ลงชื่อ……………………………………………</t>
        </is>
      </c>
      <c r="L360" s="374" t="n"/>
      <c r="M360" s="334" t="inlineStr">
        <is>
          <t>ลงชื่อ……………………………………………</t>
        </is>
      </c>
      <c r="S360" s="374" t="n"/>
    </row>
    <row r="361" ht="22.2" customHeight="1" s="375">
      <c r="A361" s="11" t="inlineStr">
        <is>
          <t>(</t>
        </is>
      </c>
      <c r="B361" s="324">
        <f>B329</f>
        <v/>
      </c>
      <c r="G361" s="326" t="inlineStr">
        <is>
          <t>)</t>
        </is>
      </c>
      <c r="H361" s="324" t="inlineStr">
        <is>
          <t>(</t>
        </is>
      </c>
      <c r="I361" s="340">
        <f>I315</f>
        <v/>
      </c>
      <c r="L361" s="12" t="inlineStr">
        <is>
          <t>)</t>
        </is>
      </c>
      <c r="M361" s="53" t="inlineStr">
        <is>
          <t>(</t>
        </is>
      </c>
      <c r="N361" s="53" t="n"/>
      <c r="O361" s="324">
        <f>O39</f>
        <v/>
      </c>
      <c r="R361" s="25" t="n"/>
      <c r="S361" s="326" t="inlineStr">
        <is>
          <t>)</t>
        </is>
      </c>
    </row>
    <row r="362" ht="22.2" customHeight="1" s="375">
      <c r="A362" s="540" t="inlineStr">
        <is>
          <t xml:space="preserve">                         ตำแหน่ง  ครู</t>
        </is>
      </c>
      <c r="G362" s="374" t="n"/>
      <c r="H362" s="54" t="inlineStr">
        <is>
          <t>ตำแหน่ง หัวหน้าแผนก</t>
        </is>
      </c>
      <c r="L362" s="374" t="n"/>
      <c r="M362" s="54" t="inlineStr">
        <is>
          <t>ตำแหน่ง   ผู้ตรวจสอบ</t>
        </is>
      </c>
      <c r="S362" s="374" t="n"/>
    </row>
    <row r="363" ht="22.2" customHeight="1" s="375">
      <c r="A363" s="55" t="inlineStr">
        <is>
          <t>วันที่ 5 เดือน ตุลาคม  พ.ศ.2569</t>
        </is>
      </c>
      <c r="B363" s="522" t="n"/>
      <c r="C363" s="522" t="n"/>
      <c r="D363" s="522" t="n"/>
      <c r="E363" s="522" t="n"/>
      <c r="F363" s="522" t="n"/>
      <c r="G363" s="527" t="n"/>
      <c r="H363" s="54">
        <f>A41</f>
        <v/>
      </c>
      <c r="L363" s="374" t="n"/>
      <c r="M363" s="55">
        <f>A41</f>
        <v/>
      </c>
      <c r="N363" s="522" t="n"/>
      <c r="O363" s="522" t="n"/>
      <c r="P363" s="522" t="n"/>
      <c r="Q363" s="522" t="n"/>
      <c r="R363" s="522" t="n"/>
      <c r="S363" s="527" t="n"/>
    </row>
    <row r="364" ht="22.2" customHeight="1" s="375">
      <c r="A364" s="154" t="inlineStr">
        <is>
          <t>ผู้ตรวจ</t>
        </is>
      </c>
      <c r="B364" s="153" t="n"/>
      <c r="C364" s="153" t="n"/>
      <c r="D364" s="153" t="n"/>
      <c r="E364" s="153" t="n"/>
      <c r="F364" s="153" t="n"/>
      <c r="G364" s="153" t="n"/>
      <c r="H364" s="153" t="n"/>
      <c r="I364" s="135" t="n"/>
      <c r="J364" s="154" t="inlineStr">
        <is>
          <t>ผู้เห็นชอบ</t>
        </is>
      </c>
      <c r="K364" s="153" t="n"/>
      <c r="L364" s="153" t="n"/>
      <c r="M364" s="153" t="n"/>
      <c r="N364" s="153" t="n"/>
      <c r="O364" s="153" t="n"/>
      <c r="P364" s="153" t="n"/>
      <c r="Q364" s="153" t="n"/>
      <c r="R364" s="153" t="n"/>
      <c r="S364" s="135" t="n"/>
    </row>
    <row r="365" ht="22.2" customHeight="1" s="375">
      <c r="A365" s="334" t="inlineStr">
        <is>
          <t>ลงชื่อ……………………………………………</t>
        </is>
      </c>
      <c r="I365" s="374" t="n"/>
      <c r="J365" s="334" t="inlineStr">
        <is>
          <t>ลงชื่อ……………………………………………</t>
        </is>
      </c>
      <c r="S365" s="374" t="n"/>
    </row>
    <row r="366" ht="22.2" customHeight="1" s="375">
      <c r="A366" s="11" t="n"/>
      <c r="B366" s="324">
        <f>B44</f>
        <v/>
      </c>
      <c r="I366" s="326" t="n"/>
      <c r="J366" s="25" t="n"/>
      <c r="K366" s="25" t="n"/>
      <c r="L366" s="324">
        <f>L44</f>
        <v/>
      </c>
      <c r="R366" s="25" t="n"/>
      <c r="S366" s="12" t="n"/>
    </row>
    <row r="367" ht="22.2" customHeight="1" s="375">
      <c r="A367" s="54" t="inlineStr">
        <is>
          <t>ตำแหน่งครู  หัวหน้างานพัฒนาหลักสูตร ฯ</t>
        </is>
      </c>
      <c r="I367" s="374" t="n"/>
      <c r="J367" s="54" t="inlineStr">
        <is>
          <t>ตำแหน่ง  รองผู้อำนวยการฝ่ายวิชาการ</t>
        </is>
      </c>
      <c r="S367" s="374" t="n"/>
    </row>
    <row r="368" ht="22.2" customHeight="1" s="375">
      <c r="A368" s="336" t="inlineStr">
        <is>
          <t>วันที่.......เดือน..........................พ.ศ..............</t>
        </is>
      </c>
      <c r="B368" s="522" t="n"/>
      <c r="C368" s="522" t="n"/>
      <c r="D368" s="522" t="n"/>
      <c r="E368" s="522" t="n"/>
      <c r="F368" s="522" t="n"/>
      <c r="G368" s="522" t="n"/>
      <c r="H368" s="522" t="n"/>
      <c r="I368" s="527" t="n"/>
      <c r="J368" s="336" t="inlineStr">
        <is>
          <t>วันที่.......เดือน..........................พ.ศ..............</t>
        </is>
      </c>
      <c r="K368" s="522" t="n"/>
      <c r="L368" s="522" t="n"/>
      <c r="M368" s="522" t="n"/>
      <c r="N368" s="522" t="n"/>
      <c r="O368" s="522" t="n"/>
      <c r="P368" s="522" t="n"/>
      <c r="Q368" s="522" t="n"/>
      <c r="R368" s="522" t="n"/>
      <c r="S368" s="527" t="n"/>
    </row>
    <row r="369" ht="22.2" customHeight="1" s="375">
      <c r="A369" s="379" t="inlineStr">
        <is>
          <t>ใบเบิกจ่ายเงินค่าสอนพิเศษและค่าสอนเกินภาระงานสอนในสถานศึกษา</t>
        </is>
      </c>
      <c r="B369" s="153" t="n"/>
      <c r="C369" s="153" t="n"/>
      <c r="D369" s="153" t="n"/>
      <c r="E369" s="153" t="n"/>
      <c r="F369" s="153" t="n"/>
      <c r="G369" s="153" t="n"/>
      <c r="H369" s="153" t="n"/>
      <c r="I369" s="153" t="n"/>
      <c r="J369" s="153" t="n"/>
      <c r="K369" s="153" t="n"/>
      <c r="L369" s="153" t="n"/>
      <c r="M369" s="153" t="n"/>
      <c r="N369" s="153" t="n"/>
      <c r="O369" s="153" t="n"/>
      <c r="P369" s="153" t="n"/>
      <c r="Q369" s="153" t="n"/>
      <c r="R369" s="153" t="n"/>
      <c r="S369" s="153" t="n"/>
    </row>
    <row r="370" ht="22.2" customHeight="1" s="375">
      <c r="A370" s="365" t="inlineStr">
        <is>
          <t>แผนกวิชาช่างยนต์</t>
        </is>
      </c>
    </row>
    <row r="371" ht="22.2" customHeight="1" s="375">
      <c r="A371" s="366" t="inlineStr">
        <is>
          <t xml:space="preserve">    ระหว่างวันที่</t>
        </is>
      </c>
      <c r="D371" s="365">
        <f>D3</f>
        <v/>
      </c>
      <c r="E371" s="365" t="inlineStr">
        <is>
          <t xml:space="preserve">   เดือน  </t>
        </is>
      </c>
      <c r="F371" s="365">
        <f>F3</f>
        <v/>
      </c>
      <c r="H371" s="365">
        <f>H3</f>
        <v/>
      </c>
      <c r="I371" s="365" t="inlineStr">
        <is>
          <t xml:space="preserve">     ถึง วันที่</t>
        </is>
      </c>
      <c r="J371" s="365">
        <f>J3</f>
        <v/>
      </c>
      <c r="K371" s="365" t="inlineStr">
        <is>
          <t xml:space="preserve">   เดือน </t>
        </is>
      </c>
      <c r="L371" s="365">
        <f>L3</f>
        <v/>
      </c>
      <c r="N371" s="365">
        <f>N3</f>
        <v/>
      </c>
      <c r="P371" s="365" t="n"/>
      <c r="R371" s="365" t="n"/>
    </row>
    <row r="372" ht="22.2" customHeight="1" s="375">
      <c r="G372" s="51" t="inlineStr">
        <is>
          <t>ü</t>
        </is>
      </c>
      <c r="H372" s="351" t="inlineStr">
        <is>
          <t>ครู</t>
        </is>
      </c>
      <c r="I372" s="322" t="inlineStr">
        <is>
          <t>หน้าที่พิเศษ</t>
        </is>
      </c>
      <c r="J372" s="351" t="inlineStr">
        <is>
          <t>ผู้ช่วยงานพัสดุ, โครงการพิเศษและการบริการสังคม</t>
        </is>
      </c>
    </row>
    <row r="373" ht="22.2" customHeight="1" s="375">
      <c r="A373" s="24" t="inlineStr">
        <is>
          <t>ที่</t>
        </is>
      </c>
      <c r="B373" s="24" t="inlineStr">
        <is>
          <t>ชื่อ-สกุล</t>
        </is>
      </c>
      <c r="C373" s="153" t="n"/>
      <c r="D373" s="135" t="n"/>
      <c r="E373" s="15" t="inlineStr">
        <is>
          <t>ตำแหน่ง</t>
        </is>
      </c>
      <c r="F373" s="16" t="inlineStr">
        <is>
          <t>ระยะเวลาที่สอน</t>
        </is>
      </c>
      <c r="G373" s="432" t="n"/>
      <c r="H373" s="16" t="inlineStr">
        <is>
          <t>รหัสวิชา</t>
        </is>
      </c>
      <c r="I373" s="362" t="inlineStr">
        <is>
          <t>ชั้น,แผนก,ห้อง</t>
        </is>
      </c>
      <c r="J373" s="16" t="inlineStr">
        <is>
          <t>เวลาสอน</t>
        </is>
      </c>
      <c r="K373" s="135" t="n"/>
      <c r="L373" s="16" t="inlineStr">
        <is>
          <t>ปวช.(คาบ)</t>
        </is>
      </c>
      <c r="M373" s="432" t="n"/>
      <c r="N373" s="354" t="inlineStr">
        <is>
          <t>เงิน</t>
        </is>
      </c>
      <c r="O373" s="362" t="inlineStr">
        <is>
          <t>ยอดเงิน</t>
        </is>
      </c>
      <c r="P373" s="524" t="inlineStr">
        <is>
          <t>ปวส.(คาบ)</t>
        </is>
      </c>
      <c r="Q373" s="432" t="n"/>
      <c r="R373" s="354" t="inlineStr">
        <is>
          <t>เงิน</t>
        </is>
      </c>
      <c r="S373" s="362" t="inlineStr">
        <is>
          <t>ยอดเงิน</t>
        </is>
      </c>
    </row>
    <row r="374" ht="22.2" customHeight="1" s="375">
      <c r="A374" s="52" t="n"/>
      <c r="B374" s="8" t="n"/>
      <c r="C374" s="9" t="n"/>
      <c r="D374" s="13" t="n"/>
      <c r="E374" s="10" t="n"/>
      <c r="F374" s="336" t="inlineStr">
        <is>
          <t>ส.</t>
        </is>
      </c>
      <c r="G374" s="336" t="inlineStr">
        <is>
          <t>วดป.</t>
        </is>
      </c>
      <c r="H374" s="525" t="n"/>
      <c r="I374" s="137" t="n"/>
      <c r="J374" s="526" t="n"/>
      <c r="K374" s="527" t="n"/>
      <c r="L374" s="336" t="inlineStr">
        <is>
          <t>ใน</t>
        </is>
      </c>
      <c r="M374" s="336" t="inlineStr">
        <is>
          <t>นอก</t>
        </is>
      </c>
      <c r="N374" s="336" t="inlineStr">
        <is>
          <t>ต่อ ชม.</t>
        </is>
      </c>
      <c r="O374" s="336" t="inlineStr">
        <is>
          <t>(บาท)</t>
        </is>
      </c>
      <c r="P374" s="52" t="inlineStr">
        <is>
          <t>ใน</t>
        </is>
      </c>
      <c r="Q374" s="52" t="inlineStr">
        <is>
          <t>นอก</t>
        </is>
      </c>
      <c r="R374" s="336" t="inlineStr">
        <is>
          <t>ต่อ ชม.</t>
        </is>
      </c>
      <c r="S374" s="336" t="inlineStr">
        <is>
          <t>(บาท)</t>
        </is>
      </c>
    </row>
    <row r="375" ht="22.2" customHeight="1" s="375">
      <c r="A375" s="334" t="n">
        <v>9</v>
      </c>
      <c r="B375" s="530">
        <f>AB11</f>
        <v/>
      </c>
      <c r="D375" s="374" t="n"/>
      <c r="E375" s="334" t="inlineStr">
        <is>
          <t>ครู</t>
        </is>
      </c>
      <c r="F375" s="334" t="n">
        <v>3</v>
      </c>
      <c r="G375" s="529" t="inlineStr">
        <is>
          <t>จันทร์</t>
        </is>
      </c>
      <c r="H375" s="376" t="inlineStr">
        <is>
          <t>20143-2011</t>
        </is>
      </c>
      <c r="I375" s="376" t="inlineStr">
        <is>
          <t>ชย.3/8 (26)</t>
        </is>
      </c>
      <c r="J375" s="381" t="inlineStr">
        <is>
          <t>08:10 - 12:10</t>
        </is>
      </c>
      <c r="K375" s="135" t="n"/>
      <c r="L375" s="367" t="n">
        <v>4</v>
      </c>
      <c r="M375" s="381" t="inlineStr"/>
      <c r="N375" s="381" t="inlineStr"/>
      <c r="O375" s="354" t="inlineStr"/>
      <c r="P375" s="381" t="inlineStr"/>
      <c r="Q375" s="367" t="inlineStr"/>
      <c r="R375" s="381" t="inlineStr"/>
      <c r="S375" s="354" t="inlineStr"/>
      <c r="T375" t="inlineStr"/>
      <c r="U375" t="inlineStr"/>
    </row>
    <row r="376" ht="22.2" customHeight="1" s="375">
      <c r="A376" s="3" t="n"/>
      <c r="B376" s="530" t="n"/>
      <c r="D376" s="374" t="n"/>
      <c r="E376" s="334" t="n"/>
      <c r="F376" s="322" t="n"/>
      <c r="G376" s="535" t="inlineStr">
        <is>
          <t>28 ก.ย.69</t>
        </is>
      </c>
      <c r="H376" s="376" t="inlineStr">
        <is>
          <t>20143-2011</t>
        </is>
      </c>
      <c r="I376" s="376" t="inlineStr">
        <is>
          <t>ชย.3/8 (26)</t>
        </is>
      </c>
      <c r="J376" s="334" t="inlineStr">
        <is>
          <t>13:10 - 16:10</t>
        </is>
      </c>
      <c r="K376" s="374" t="n"/>
      <c r="L376" s="334" t="n">
        <v>3</v>
      </c>
      <c r="M376" s="334" t="inlineStr"/>
      <c r="N376" s="334" t="inlineStr"/>
      <c r="O376" s="354" t="inlineStr"/>
      <c r="P376" s="334" t="inlineStr"/>
      <c r="Q376" s="334" t="inlineStr"/>
      <c r="R376" s="334" t="inlineStr"/>
      <c r="S376" s="354" t="inlineStr"/>
      <c r="T376" t="inlineStr"/>
      <c r="U376" t="inlineStr"/>
    </row>
    <row r="377" ht="22.2" customHeight="1" s="375">
      <c r="A377" s="3" t="n"/>
      <c r="B377" s="313" t="n"/>
      <c r="D377" s="314" t="n"/>
      <c r="E377" s="314" t="n"/>
      <c r="F377" s="322" t="n"/>
      <c r="G377" s="321" t="inlineStr"/>
      <c r="H377" s="376" t="inlineStr"/>
      <c r="I377" s="376" t="inlineStr"/>
      <c r="J377" s="334" t="inlineStr"/>
      <c r="K377" s="374" t="n"/>
      <c r="L377" s="334" t="inlineStr"/>
      <c r="M377" s="334" t="inlineStr"/>
      <c r="N377" s="334" t="inlineStr"/>
      <c r="O377" s="354" t="inlineStr"/>
      <c r="P377" s="334" t="inlineStr"/>
      <c r="Q377" s="334" t="inlineStr"/>
      <c r="R377" s="334" t="inlineStr"/>
      <c r="S377" s="354" t="inlineStr"/>
      <c r="T377" t="inlineStr"/>
      <c r="U377" t="inlineStr"/>
    </row>
    <row r="378" ht="22.2" customHeight="1" s="375">
      <c r="A378" s="3" t="n"/>
      <c r="D378" s="314" t="n"/>
      <c r="E378" s="314" t="n"/>
      <c r="F378" s="322" t="n"/>
      <c r="G378" s="321" t="inlineStr"/>
      <c r="H378" s="334" t="inlineStr"/>
      <c r="I378" s="334" t="inlineStr"/>
      <c r="J378" s="334" t="inlineStr"/>
      <c r="K378" s="374" t="n"/>
      <c r="L378" s="334" t="inlineStr"/>
      <c r="M378" s="334" t="inlineStr"/>
      <c r="N378" s="334" t="inlineStr"/>
      <c r="O378" s="354" t="inlineStr"/>
      <c r="P378" s="334" t="inlineStr"/>
      <c r="Q378" s="334" t="inlineStr"/>
      <c r="R378" s="334" t="inlineStr"/>
      <c r="S378" s="354" t="inlineStr"/>
      <c r="T378" t="inlineStr"/>
      <c r="U378" t="inlineStr"/>
    </row>
    <row r="379" ht="22.2" customHeight="1" s="375">
      <c r="A379" s="3" t="n"/>
      <c r="E379" s="3" t="n"/>
      <c r="G379" s="344" t="inlineStr"/>
      <c r="H379" s="336" t="inlineStr"/>
      <c r="I379" s="336" t="inlineStr"/>
      <c r="J379" s="336" t="inlineStr"/>
      <c r="K379" s="527" t="n"/>
      <c r="L379" s="334" t="inlineStr"/>
      <c r="M379" s="334" t="inlineStr"/>
      <c r="N379" s="334" t="inlineStr"/>
      <c r="O379" s="354" t="inlineStr"/>
      <c r="P379" s="334" t="inlineStr"/>
      <c r="Q379" s="334" t="inlineStr"/>
      <c r="R379" s="334" t="inlineStr"/>
      <c r="S379" s="354" t="inlineStr"/>
      <c r="T379" t="inlineStr"/>
      <c r="U379" t="inlineStr"/>
    </row>
    <row r="380" ht="22.2" customHeight="1" s="375">
      <c r="A380" s="3" t="n"/>
      <c r="E380" s="3" t="n"/>
      <c r="G380" s="533" t="inlineStr">
        <is>
          <t>อังคาร</t>
        </is>
      </c>
      <c r="H380" s="376" t="inlineStr">
        <is>
          <t>20143-2018</t>
        </is>
      </c>
      <c r="I380" s="376" t="inlineStr">
        <is>
          <t>ชยฟ.3/1 (26)</t>
        </is>
      </c>
      <c r="J380" s="381" t="inlineStr">
        <is>
          <t>08:10 - 12:10</t>
        </is>
      </c>
      <c r="K380" s="135" t="n"/>
      <c r="L380" s="367" t="n">
        <v>4</v>
      </c>
      <c r="M380" s="381" t="inlineStr"/>
      <c r="N380" s="381" t="inlineStr"/>
      <c r="O380" s="354" t="inlineStr"/>
      <c r="P380" s="381" t="inlineStr"/>
      <c r="Q380" s="367" t="inlineStr"/>
      <c r="R380" s="381" t="inlineStr"/>
      <c r="S380" s="354" t="inlineStr"/>
      <c r="T380" t="inlineStr"/>
      <c r="U380" t="inlineStr"/>
    </row>
    <row r="381" ht="22.2" customHeight="1" s="375">
      <c r="A381" s="3" t="n"/>
      <c r="E381" s="3" t="n"/>
      <c r="G381" s="535" t="inlineStr">
        <is>
          <t>29 ก.ย.69</t>
        </is>
      </c>
      <c r="H381" s="376" t="inlineStr"/>
      <c r="I381" s="376" t="inlineStr"/>
      <c r="J381" s="334" t="inlineStr"/>
      <c r="K381" s="374" t="n"/>
      <c r="L381" s="334" t="inlineStr"/>
      <c r="M381" s="334" t="inlineStr"/>
      <c r="N381" s="334" t="inlineStr"/>
      <c r="O381" s="354" t="inlineStr"/>
      <c r="P381" s="334" t="inlineStr"/>
      <c r="Q381" s="334" t="inlineStr"/>
      <c r="R381" s="334" t="inlineStr"/>
      <c r="S381" s="354" t="inlineStr"/>
      <c r="T381" t="inlineStr"/>
      <c r="U381" t="inlineStr"/>
    </row>
    <row r="382" ht="22.2" customHeight="1" s="375">
      <c r="A382" s="3" t="n"/>
      <c r="B382" s="313" t="n"/>
      <c r="D382" s="314" t="n"/>
      <c r="E382" s="314" t="n"/>
      <c r="G382" s="334" t="inlineStr"/>
      <c r="H382" s="334" t="inlineStr"/>
      <c r="I382" s="334" t="inlineStr"/>
      <c r="J382" s="334" t="inlineStr"/>
      <c r="K382" s="374" t="n"/>
      <c r="L382" s="334" t="inlineStr"/>
      <c r="M382" s="334" t="inlineStr"/>
      <c r="N382" s="334" t="inlineStr"/>
      <c r="O382" s="354" t="inlineStr"/>
      <c r="P382" s="334" t="inlineStr"/>
      <c r="Q382" s="334" t="inlineStr"/>
      <c r="R382" s="334" t="inlineStr"/>
      <c r="S382" s="354" t="inlineStr"/>
      <c r="T382" t="inlineStr"/>
      <c r="U382" t="inlineStr"/>
    </row>
    <row r="383" ht="22.2" customHeight="1" s="375">
      <c r="A383" s="3" t="n"/>
      <c r="D383" s="314" t="n"/>
      <c r="E383" s="314" t="n"/>
      <c r="G383" s="334" t="inlineStr"/>
      <c r="H383" s="322" t="inlineStr"/>
      <c r="I383" s="334" t="inlineStr"/>
      <c r="J383" s="334" t="inlineStr"/>
      <c r="K383" s="374" t="n"/>
      <c r="L383" s="334" t="inlineStr"/>
      <c r="M383" s="334" t="inlineStr"/>
      <c r="N383" s="334" t="inlineStr"/>
      <c r="O383" s="354" t="inlineStr"/>
      <c r="P383" s="334" t="inlineStr"/>
      <c r="Q383" s="334" t="inlineStr"/>
      <c r="R383" s="334" t="inlineStr"/>
      <c r="S383" s="354" t="inlineStr"/>
      <c r="T383" t="inlineStr"/>
      <c r="U383" t="inlineStr"/>
    </row>
    <row r="384" ht="22.2" customHeight="1" s="375">
      <c r="A384" s="3" t="n"/>
      <c r="D384" s="314" t="inlineStr">
        <is>
          <t> </t>
        </is>
      </c>
      <c r="E384" s="314" t="n"/>
      <c r="G384" s="55" t="inlineStr"/>
      <c r="H384" s="336" t="inlineStr"/>
      <c r="I384" s="336" t="inlineStr"/>
      <c r="J384" s="336" t="inlineStr"/>
      <c r="K384" s="527" t="n"/>
      <c r="L384" s="334" t="inlineStr"/>
      <c r="M384" s="334" t="inlineStr"/>
      <c r="N384" s="334" t="inlineStr"/>
      <c r="O384" s="354" t="inlineStr"/>
      <c r="P384" s="334" t="inlineStr"/>
      <c r="Q384" s="334" t="inlineStr"/>
      <c r="R384" s="334" t="inlineStr"/>
      <c r="S384" s="349" t="inlineStr"/>
      <c r="T384" t="inlineStr"/>
      <c r="U384" t="inlineStr"/>
    </row>
    <row r="385" ht="22.2" customHeight="1" s="375">
      <c r="A385" s="3" t="n"/>
      <c r="B385" s="143" t="n"/>
      <c r="C385" s="144" t="n"/>
      <c r="D385" s="145" t="n"/>
      <c r="E385" s="146" t="n"/>
      <c r="G385" s="535" t="inlineStr">
        <is>
          <t>พุธ</t>
        </is>
      </c>
      <c r="H385" s="376" t="inlineStr">
        <is>
          <t>20101-2012</t>
        </is>
      </c>
      <c r="I385" s="376" t="inlineStr">
        <is>
          <t>ชย.2/2 (26)</t>
        </is>
      </c>
      <c r="J385" s="381" t="inlineStr">
        <is>
          <t>08:10 - 12:10</t>
        </is>
      </c>
      <c r="K385" s="135" t="n"/>
      <c r="L385" s="367" t="n">
        <v>4</v>
      </c>
      <c r="M385" s="381" t="inlineStr"/>
      <c r="N385" s="381" t="inlineStr"/>
      <c r="O385" s="354" t="inlineStr"/>
      <c r="P385" s="381" t="inlineStr"/>
      <c r="Q385" s="367" t="inlineStr"/>
      <c r="R385" s="381" t="inlineStr"/>
      <c r="S385" s="349" t="inlineStr"/>
      <c r="T385" s="6" t="inlineStr"/>
      <c r="U385" s="22" t="inlineStr"/>
      <c r="V385" s="57" t="n"/>
      <c r="W385" s="21" t="n"/>
      <c r="X385" s="21" t="n"/>
    </row>
    <row r="386" ht="22.2" customHeight="1" s="375">
      <c r="A386" s="3" t="n"/>
      <c r="B386" s="321" t="n"/>
      <c r="C386" s="322" t="n"/>
      <c r="D386" s="323" t="n"/>
      <c r="E386" s="334" t="n"/>
      <c r="G386" s="535" t="inlineStr">
        <is>
          <t>30 ก.ย.69</t>
        </is>
      </c>
      <c r="H386" s="376" t="inlineStr">
        <is>
          <t>20101-2012</t>
        </is>
      </c>
      <c r="I386" s="376" t="inlineStr">
        <is>
          <t>ชย.2/1 (26)</t>
        </is>
      </c>
      <c r="J386" s="334" t="inlineStr">
        <is>
          <t>13:10 - 17:10</t>
        </is>
      </c>
      <c r="K386" s="374" t="n"/>
      <c r="L386" s="334" t="n">
        <v>4</v>
      </c>
      <c r="M386" s="334" t="inlineStr"/>
      <c r="N386" s="334" t="inlineStr"/>
      <c r="O386" s="354" t="inlineStr"/>
      <c r="P386" s="334" t="inlineStr"/>
      <c r="Q386" s="334" t="inlineStr"/>
      <c r="R386" s="334" t="inlineStr"/>
      <c r="S386" s="349" t="inlineStr"/>
      <c r="T386" s="21" t="inlineStr"/>
      <c r="U386" s="22" t="inlineStr"/>
      <c r="V386" s="57" t="n"/>
      <c r="W386" s="21" t="n"/>
      <c r="X386" s="21" t="n"/>
    </row>
    <row r="387" ht="22.2" customHeight="1" s="375">
      <c r="A387" s="3" t="n"/>
      <c r="B387" s="313" t="n"/>
      <c r="D387" s="314" t="n"/>
      <c r="E387" s="314" t="n"/>
      <c r="G387" s="334" t="inlineStr"/>
      <c r="H387" s="376" t="inlineStr"/>
      <c r="I387" s="376" t="inlineStr"/>
      <c r="J387" s="334" t="inlineStr"/>
      <c r="K387" s="374" t="n"/>
      <c r="L387" s="334" t="inlineStr"/>
      <c r="M387" s="334" t="inlineStr"/>
      <c r="N387" s="334" t="inlineStr"/>
      <c r="O387" s="354" t="inlineStr"/>
      <c r="P387" s="334" t="inlineStr"/>
      <c r="Q387" s="334" t="inlineStr"/>
      <c r="R387" s="334" t="inlineStr"/>
      <c r="S387" s="354" t="inlineStr"/>
      <c r="T387" t="inlineStr"/>
      <c r="U387" t="inlineStr"/>
    </row>
    <row r="388" ht="22.2" customHeight="1" s="375">
      <c r="A388" s="3" t="n"/>
      <c r="D388" s="314" t="n"/>
      <c r="E388" s="314" t="n"/>
      <c r="G388" s="321" t="inlineStr"/>
      <c r="H388" s="321" t="inlineStr"/>
      <c r="I388" s="334" t="inlineStr"/>
      <c r="J388" s="334" t="inlineStr"/>
      <c r="K388" s="374" t="n"/>
      <c r="L388" s="334" t="inlineStr"/>
      <c r="M388" s="334" t="inlineStr"/>
      <c r="N388" s="334" t="inlineStr"/>
      <c r="O388" s="354" t="inlineStr"/>
      <c r="P388" s="334" t="inlineStr"/>
      <c r="Q388" s="334" t="inlineStr"/>
      <c r="R388" s="334" t="inlineStr"/>
      <c r="S388" s="354" t="inlineStr"/>
      <c r="T388" t="inlineStr"/>
      <c r="U388" t="inlineStr"/>
    </row>
    <row r="389" ht="22.2" customHeight="1" s="375">
      <c r="A389" s="3" t="n"/>
      <c r="E389" s="3" t="n"/>
      <c r="G389" s="327" t="inlineStr"/>
      <c r="H389" s="327" t="inlineStr"/>
      <c r="I389" s="336" t="inlineStr"/>
      <c r="J389" s="336" t="inlineStr"/>
      <c r="K389" s="527" t="n"/>
      <c r="L389" s="336" t="inlineStr"/>
      <c r="M389" s="336" t="inlineStr"/>
      <c r="N389" s="336" t="inlineStr"/>
      <c r="O389" s="354" t="inlineStr"/>
      <c r="P389" s="336" t="inlineStr"/>
      <c r="Q389" s="336" t="inlineStr"/>
      <c r="R389" s="336" t="inlineStr"/>
      <c r="S389" s="354" t="inlineStr"/>
      <c r="T389" t="inlineStr"/>
      <c r="U389" t="inlineStr"/>
    </row>
    <row r="390" ht="22.2" customHeight="1" s="375">
      <c r="A390" s="3" t="n"/>
      <c r="E390" s="3" t="n"/>
      <c r="G390" s="533" t="inlineStr">
        <is>
          <t>พฤหัส</t>
        </is>
      </c>
      <c r="H390" s="376" t="inlineStr">
        <is>
          <t>20101-2012</t>
        </is>
      </c>
      <c r="I390" s="376" t="inlineStr">
        <is>
          <t>ชย.2/4 (26)</t>
        </is>
      </c>
      <c r="J390" s="381" t="inlineStr">
        <is>
          <t>08:10 - 12:10</t>
        </is>
      </c>
      <c r="K390" s="135" t="n"/>
      <c r="L390" s="367" t="inlineStr"/>
      <c r="M390" s="381" t="n">
        <v>4</v>
      </c>
      <c r="N390" s="376" t="n">
        <v>200</v>
      </c>
      <c r="O390" s="354">
        <f>M390*N390</f>
        <v/>
      </c>
      <c r="P390" s="156" t="inlineStr"/>
      <c r="Q390" s="156" t="inlineStr"/>
      <c r="R390" s="156" t="inlineStr"/>
      <c r="S390" s="354" t="inlineStr"/>
      <c r="T390" s="23" t="inlineStr"/>
      <c r="U390" s="23" t="inlineStr"/>
      <c r="V390" s="56" t="n"/>
      <c r="W390" s="23" t="n"/>
      <c r="X390" s="23" t="n"/>
    </row>
    <row r="391" ht="22.2" customHeight="1" s="375">
      <c r="A391" s="3" t="n"/>
      <c r="E391" s="3" t="n"/>
      <c r="G391" s="533" t="inlineStr">
        <is>
          <t>1 ต.ค.69</t>
        </is>
      </c>
      <c r="H391" s="376" t="inlineStr">
        <is>
          <t>20000-2002</t>
        </is>
      </c>
      <c r="I391" s="376" t="inlineStr">
        <is>
          <t>ชย.1/10,ชย.1/9 (26)</t>
        </is>
      </c>
      <c r="J391" s="334" t="inlineStr">
        <is>
          <t>13:10 - 15:10</t>
        </is>
      </c>
      <c r="K391" s="374" t="n"/>
      <c r="L391" s="334" t="n">
        <v>2</v>
      </c>
      <c r="M391" s="334" t="inlineStr"/>
      <c r="N391" s="334" t="inlineStr"/>
      <c r="O391" s="354" t="inlineStr"/>
      <c r="P391" s="3" t="inlineStr"/>
      <c r="Q391" s="3" t="inlineStr"/>
      <c r="R391" s="3" t="inlineStr"/>
      <c r="S391" s="354" t="inlineStr"/>
      <c r="T391" s="23" t="inlineStr"/>
      <c r="U391" s="23" t="inlineStr"/>
      <c r="V391" s="56" t="n"/>
      <c r="W391" s="23" t="n"/>
      <c r="X391" s="23" t="n"/>
    </row>
    <row r="392" ht="22.2" customHeight="1" s="375">
      <c r="A392" s="3" t="n"/>
      <c r="B392" s="313" t="n"/>
      <c r="E392" s="3" t="n"/>
      <c r="G392" s="334" t="inlineStr"/>
      <c r="H392" s="376" t="inlineStr">
        <is>
          <t>20101-2012</t>
        </is>
      </c>
      <c r="I392" s="376" t="inlineStr">
        <is>
          <t>ชย.2/3 (26)</t>
        </is>
      </c>
      <c r="J392" s="334" t="inlineStr">
        <is>
          <t>15:10 - 19:10</t>
        </is>
      </c>
      <c r="K392" s="374" t="n"/>
      <c r="L392" s="334" t="inlineStr"/>
      <c r="M392" s="334" t="n">
        <v>4</v>
      </c>
      <c r="N392" s="334" t="n">
        <v>200</v>
      </c>
      <c r="O392" s="354">
        <f>M392*N392</f>
        <v/>
      </c>
      <c r="P392" s="376" t="inlineStr"/>
      <c r="Q392" s="376" t="inlineStr"/>
      <c r="R392" s="376" t="inlineStr"/>
      <c r="S392" s="354" t="inlineStr"/>
      <c r="T392" t="inlineStr"/>
      <c r="U392" t="inlineStr"/>
    </row>
    <row r="393" ht="22.2" customHeight="1" s="375">
      <c r="A393" s="3" t="n"/>
      <c r="E393" s="3" t="n"/>
      <c r="G393" s="334" t="inlineStr"/>
      <c r="H393" s="334" t="inlineStr"/>
      <c r="I393" s="334" t="inlineStr"/>
      <c r="J393" s="334" t="inlineStr"/>
      <c r="K393" s="374" t="n"/>
      <c r="L393" s="334" t="inlineStr"/>
      <c r="M393" s="334" t="inlineStr"/>
      <c r="N393" s="334" t="inlineStr"/>
      <c r="O393" s="354" t="inlineStr"/>
      <c r="P393" s="334" t="inlineStr"/>
      <c r="Q393" s="334" t="inlineStr"/>
      <c r="R393" s="334" t="inlineStr"/>
      <c r="S393" s="354" t="inlineStr"/>
      <c r="T393" t="inlineStr"/>
      <c r="U393" t="inlineStr"/>
    </row>
    <row r="394" ht="22.2" customHeight="1" s="375">
      <c r="A394" s="3" t="n"/>
      <c r="E394" s="3" t="n"/>
      <c r="G394" s="336" t="inlineStr"/>
      <c r="H394" s="328" t="inlineStr"/>
      <c r="I394" s="336" t="inlineStr"/>
      <c r="J394" s="336" t="inlineStr"/>
      <c r="K394" s="527" t="n"/>
      <c r="L394" s="336" t="inlineStr"/>
      <c r="M394" s="336" t="inlineStr"/>
      <c r="N394" s="336" t="inlineStr"/>
      <c r="O394" s="354" t="inlineStr"/>
      <c r="P394" s="336" t="inlineStr"/>
      <c r="Q394" s="336" t="inlineStr"/>
      <c r="R394" s="336" t="inlineStr"/>
      <c r="S394" s="354" t="inlineStr"/>
      <c r="T394" t="inlineStr"/>
      <c r="U394" t="inlineStr"/>
    </row>
    <row r="395" ht="22.2" customHeight="1" s="375">
      <c r="A395" s="3" t="n"/>
      <c r="E395" s="3" t="n"/>
      <c r="G395" s="533" t="inlineStr">
        <is>
          <t>ศุกร์</t>
        </is>
      </c>
      <c r="H395" s="376" t="inlineStr">
        <is>
          <t>20101-2012</t>
        </is>
      </c>
      <c r="I395" s="376" t="inlineStr">
        <is>
          <t>ชยฟ.3/1 (26)</t>
        </is>
      </c>
      <c r="J395" s="381" t="inlineStr">
        <is>
          <t>13:10 - 17:10</t>
        </is>
      </c>
      <c r="K395" s="135" t="n"/>
      <c r="L395" s="334" t="inlineStr"/>
      <c r="M395" s="381" t="n">
        <v>4</v>
      </c>
      <c r="N395" s="381" t="n">
        <v>200</v>
      </c>
      <c r="O395" s="354">
        <f>M395*N395</f>
        <v/>
      </c>
      <c r="P395" s="381" t="inlineStr"/>
      <c r="Q395" s="367" t="inlineStr"/>
      <c r="R395" s="381" t="inlineStr"/>
      <c r="S395" s="354" t="inlineStr"/>
      <c r="T395" t="inlineStr"/>
      <c r="U395" t="inlineStr"/>
    </row>
    <row r="396" ht="22.2" customHeight="1" s="375">
      <c r="A396" s="3" t="n"/>
      <c r="E396" s="3" t="n"/>
      <c r="G396" s="533" t="inlineStr">
        <is>
          <t>2 ต.ค.69</t>
        </is>
      </c>
      <c r="H396" s="376" t="inlineStr"/>
      <c r="I396" s="376" t="inlineStr"/>
      <c r="J396" s="334" t="inlineStr"/>
      <c r="K396" s="374" t="n"/>
      <c r="L396" s="334" t="inlineStr"/>
      <c r="M396" s="334" t="inlineStr"/>
      <c r="N396" s="334" t="inlineStr"/>
      <c r="O396" s="354" t="inlineStr"/>
      <c r="P396" s="334" t="inlineStr"/>
      <c r="Q396" s="334" t="inlineStr"/>
      <c r="R396" s="334" t="inlineStr"/>
      <c r="S396" s="354" t="inlineStr"/>
      <c r="T396" t="inlineStr"/>
      <c r="U396" t="inlineStr"/>
    </row>
    <row r="397" ht="22.2" customHeight="1" s="375">
      <c r="A397" s="3" t="n"/>
      <c r="E397" s="3" t="n"/>
      <c r="G397" s="334" t="inlineStr"/>
      <c r="H397" s="334" t="inlineStr"/>
      <c r="I397" s="334" t="inlineStr"/>
      <c r="J397" s="334" t="inlineStr"/>
      <c r="K397" s="374" t="n"/>
      <c r="L397" s="334" t="inlineStr"/>
      <c r="M397" s="334" t="inlineStr"/>
      <c r="N397" s="334" t="inlineStr"/>
      <c r="O397" s="354" t="inlineStr"/>
      <c r="P397" s="334" t="inlineStr"/>
      <c r="Q397" s="334" t="inlineStr"/>
      <c r="R397" s="334" t="inlineStr"/>
      <c r="S397" s="354" t="inlineStr"/>
      <c r="T397" t="inlineStr"/>
      <c r="U397" t="inlineStr"/>
    </row>
    <row r="398" ht="22.2" customHeight="1" s="375">
      <c r="A398" s="3" t="n"/>
      <c r="E398" s="3" t="n"/>
      <c r="F398" s="3" t="n"/>
      <c r="G398" s="323" t="inlineStr"/>
      <c r="H398" s="322" t="inlineStr"/>
      <c r="I398" s="334" t="inlineStr"/>
      <c r="J398" s="334" t="inlineStr"/>
      <c r="K398" s="374" t="n"/>
      <c r="L398" s="334" t="inlineStr"/>
      <c r="M398" s="334" t="inlineStr"/>
      <c r="N398" s="334" t="inlineStr"/>
      <c r="O398" s="354" t="inlineStr"/>
      <c r="P398" s="334" t="inlineStr"/>
      <c r="Q398" s="334" t="inlineStr"/>
      <c r="R398" s="334" t="inlineStr"/>
      <c r="S398" s="354" t="inlineStr"/>
      <c r="T398" t="inlineStr"/>
      <c r="U398" t="inlineStr"/>
    </row>
    <row r="399" ht="22.2" customHeight="1" s="375">
      <c r="A399" s="3" t="n"/>
      <c r="E399" s="3" t="n"/>
      <c r="F399" s="3" t="n"/>
      <c r="G399" s="329" t="inlineStr"/>
      <c r="H399" s="328" t="inlineStr"/>
      <c r="I399" s="336" t="inlineStr"/>
      <c r="J399" s="336" t="inlineStr"/>
      <c r="K399" s="527" t="n"/>
      <c r="L399" s="336" t="inlineStr"/>
      <c r="M399" s="336" t="inlineStr"/>
      <c r="N399" s="336" t="inlineStr"/>
      <c r="O399" s="354" t="inlineStr"/>
      <c r="P399" s="336" t="inlineStr"/>
      <c r="Q399" s="336" t="inlineStr"/>
      <c r="R399" s="336" t="inlineStr"/>
      <c r="S399" s="354" t="inlineStr"/>
      <c r="T399" t="inlineStr"/>
      <c r="U399" t="inlineStr"/>
    </row>
    <row r="400" ht="22.2" customHeight="1" s="375">
      <c r="A400" s="3" t="n"/>
      <c r="E400" s="3" t="n"/>
      <c r="F400" s="3" t="n"/>
      <c r="G400" s="16" t="inlineStr">
        <is>
          <t>รวมขั่วโมงที่สอนแยก ภาระงาน/ เกินภาระงาน</t>
        </is>
      </c>
      <c r="H400" s="518" t="n"/>
      <c r="I400" s="518" t="n"/>
      <c r="J400" s="518" t="n"/>
      <c r="K400" s="432" t="n"/>
      <c r="L400" s="16">
        <f>SUM(L375:L399)</f>
        <v/>
      </c>
      <c r="M400" s="16">
        <f>SUM(M375:M399)</f>
        <v/>
      </c>
      <c r="N400" s="16" t="n"/>
      <c r="O400" s="16" t="n"/>
      <c r="P400" s="16">
        <f>SUM(P375:P399)</f>
        <v/>
      </c>
      <c r="Q400" s="16">
        <f>SUM(Q375:Q399)</f>
        <v/>
      </c>
      <c r="R400" s="349" t="n"/>
      <c r="S400" s="16" t="n"/>
    </row>
    <row r="401" ht="22.2" customHeight="1" s="375">
      <c r="A401" s="3" t="n"/>
      <c r="E401" s="3" t="n"/>
      <c r="F401" s="3" t="n"/>
      <c r="G401" s="16" t="inlineStr">
        <is>
          <t>รวมจำนวนชั่วโมงสอนคาบต่อสับดาห์</t>
        </is>
      </c>
      <c r="H401" s="518" t="n"/>
      <c r="I401" s="518" t="n"/>
      <c r="J401" s="518" t="n"/>
      <c r="K401" s="432" t="n"/>
      <c r="L401" s="16">
        <f>L400+M400</f>
        <v/>
      </c>
      <c r="M401" s="432" t="n"/>
      <c r="N401" s="348" t="n"/>
      <c r="O401" s="16" t="n"/>
      <c r="P401" s="16">
        <f>P400+Q400</f>
        <v/>
      </c>
      <c r="Q401" s="432" t="n"/>
      <c r="R401" s="329" t="n"/>
      <c r="S401" s="336" t="n"/>
    </row>
    <row r="402" ht="22.2" customHeight="1" s="375">
      <c r="A402" s="3" t="n"/>
      <c r="E402" s="3" t="n"/>
      <c r="F402" s="3" t="n"/>
      <c r="G402" s="16" t="inlineStr">
        <is>
          <t>จำนวนชั่วโมงสอนตามภาระงานสอน</t>
        </is>
      </c>
      <c r="H402" s="518" t="n"/>
      <c r="I402" s="518" t="n"/>
      <c r="J402" s="518" t="n"/>
      <c r="K402" s="432" t="n"/>
      <c r="L402" s="131" t="n">
        <v>18</v>
      </c>
      <c r="M402" s="432" t="n"/>
      <c r="N402" s="16" t="n"/>
      <c r="O402" s="348" t="n"/>
      <c r="P402" s="131" t="n">
        <v>0</v>
      </c>
      <c r="Q402" s="432" t="n"/>
      <c r="R402" s="322" t="n"/>
      <c r="S402" s="334" t="n"/>
    </row>
    <row r="403" ht="22.2" customHeight="1" s="375" thickBot="1">
      <c r="A403" s="3" t="n"/>
      <c r="E403" s="3" t="n"/>
      <c r="F403" s="14" t="n"/>
      <c r="G403" s="16" t="inlineStr">
        <is>
          <t>จำนวนชั่วโมงบิกเกินภาระงานสอน/ค่าสอน</t>
        </is>
      </c>
      <c r="H403" s="518" t="n"/>
      <c r="I403" s="518" t="n"/>
      <c r="J403" s="518" t="n"/>
      <c r="K403" s="432" t="n"/>
      <c r="L403" s="17" t="n">
        <v>0</v>
      </c>
      <c r="M403" s="17">
        <f>SUM(M375:M399)</f>
        <v/>
      </c>
      <c r="N403" s="17" t="n"/>
      <c r="O403" s="17">
        <f>SUM(O375:O399)</f>
        <v/>
      </c>
      <c r="P403" s="17" t="n">
        <v>0</v>
      </c>
      <c r="Q403" s="17">
        <f>SUM(Q375:Q399)</f>
        <v/>
      </c>
      <c r="R403" s="18" t="n"/>
      <c r="S403" s="17">
        <f>SUM(S375:S399)</f>
        <v/>
      </c>
    </row>
    <row r="404" ht="22.2" customHeight="1" s="375" thickTop="1">
      <c r="A404" s="337" t="inlineStr">
        <is>
          <t>รวมจำนวนหน่วยชั่วโมงที่ขอเบิกค่าสอน ….</t>
        </is>
      </c>
      <c r="B404" s="518" t="n"/>
      <c r="C404" s="518" t="n"/>
      <c r="D404" s="518" t="n"/>
      <c r="E404" s="518" t="n"/>
      <c r="F404" s="518" t="n"/>
      <c r="G404" s="518" t="n"/>
      <c r="H404" s="348">
        <f>M403+Q403</f>
        <v/>
      </c>
      <c r="I404" s="348" t="inlineStr">
        <is>
          <t>….ชั่วโมง</t>
        </is>
      </c>
      <c r="J404" s="348" t="n"/>
      <c r="K404" s="328" t="inlineStr">
        <is>
          <t>ยอดเงินรวม</t>
        </is>
      </c>
      <c r="L404" s="522" t="n"/>
      <c r="M404" s="522" t="n"/>
      <c r="N404" s="328" t="n"/>
      <c r="O404" s="328" t="n"/>
      <c r="P404" s="339">
        <f>S403+O403</f>
        <v/>
      </c>
      <c r="Q404" s="538" t="n"/>
      <c r="R404" s="20" t="n"/>
      <c r="S404" s="19" t="inlineStr">
        <is>
          <t>..บาท</t>
        </is>
      </c>
    </row>
    <row r="405" ht="22.2" customHeight="1" s="375">
      <c r="A405" s="154" t="inlineStr">
        <is>
          <t>ผู้ขอเบิก</t>
        </is>
      </c>
      <c r="B405" s="153" t="n"/>
      <c r="C405" s="153" t="n"/>
      <c r="D405" s="153" t="n"/>
      <c r="E405" s="153" t="n"/>
      <c r="F405" s="153" t="n"/>
      <c r="G405" s="135" t="n"/>
      <c r="H405" s="154" t="inlineStr">
        <is>
          <t>ผู้รับรอง</t>
        </is>
      </c>
      <c r="I405" s="153" t="n"/>
      <c r="J405" s="153" t="n"/>
      <c r="K405" s="153" t="n"/>
      <c r="L405" s="135" t="n"/>
      <c r="M405" s="154" t="inlineStr">
        <is>
          <t>ผู้ตรวจ</t>
        </is>
      </c>
      <c r="N405" s="153" t="n"/>
      <c r="O405" s="153" t="n"/>
      <c r="P405" s="153" t="n"/>
      <c r="Q405" s="153" t="n"/>
      <c r="R405" s="153" t="n"/>
      <c r="S405" s="135" t="n"/>
    </row>
    <row r="406" ht="22.2" customHeight="1" s="375">
      <c r="A406" s="334" t="inlineStr">
        <is>
          <t>ลงชื่อ……………………………………………</t>
        </is>
      </c>
      <c r="G406" s="374" t="n"/>
      <c r="H406" s="334" t="inlineStr">
        <is>
          <t>ลงชื่อ……………………………………………</t>
        </is>
      </c>
      <c r="L406" s="374" t="n"/>
      <c r="M406" s="334" t="inlineStr">
        <is>
          <t>ลงชื่อ……………………………………………</t>
        </is>
      </c>
      <c r="S406" s="374" t="n"/>
    </row>
    <row r="407" ht="22.2" customHeight="1" s="375">
      <c r="A407" s="11" t="inlineStr">
        <is>
          <t>(</t>
        </is>
      </c>
      <c r="B407" s="324">
        <f>B375</f>
        <v/>
      </c>
      <c r="G407" s="326" t="inlineStr">
        <is>
          <t>)</t>
        </is>
      </c>
      <c r="H407" s="324" t="inlineStr">
        <is>
          <t>(</t>
        </is>
      </c>
      <c r="I407" s="340">
        <f>I361</f>
        <v/>
      </c>
      <c r="L407" s="12" t="inlineStr">
        <is>
          <t>)</t>
        </is>
      </c>
      <c r="M407" s="53" t="inlineStr">
        <is>
          <t>(</t>
        </is>
      </c>
      <c r="N407" s="53" t="n"/>
      <c r="O407" s="324">
        <f>O39</f>
        <v/>
      </c>
      <c r="R407" s="25" t="n"/>
      <c r="S407" s="326" t="inlineStr">
        <is>
          <t>)</t>
        </is>
      </c>
    </row>
    <row r="408" ht="22.2" customHeight="1" s="375">
      <c r="A408" s="540" t="inlineStr">
        <is>
          <t xml:space="preserve">                         ตำแหน่ง  ครู</t>
        </is>
      </c>
      <c r="G408" s="374" t="n"/>
      <c r="H408" s="54" t="inlineStr">
        <is>
          <t>ตำแหน่ง หัวหน้าแผนก</t>
        </is>
      </c>
      <c r="L408" s="374" t="n"/>
      <c r="M408" s="54" t="inlineStr">
        <is>
          <t>ตำแหน่ง   ผู้ตรวจสอบ</t>
        </is>
      </c>
      <c r="S408" s="374" t="n"/>
    </row>
    <row r="409" ht="22.2" customHeight="1" s="375">
      <c r="A409" s="55" t="inlineStr">
        <is>
          <t>วันที่ 5 เดือน ตุลาคม  พ.ศ.2569</t>
        </is>
      </c>
      <c r="B409" s="522" t="n"/>
      <c r="C409" s="522" t="n"/>
      <c r="D409" s="522" t="n"/>
      <c r="E409" s="522" t="n"/>
      <c r="F409" s="522" t="n"/>
      <c r="G409" s="527" t="n"/>
      <c r="H409" s="54">
        <f>A41</f>
        <v/>
      </c>
      <c r="L409" s="374" t="n"/>
      <c r="M409" s="55">
        <f>A41</f>
        <v/>
      </c>
      <c r="N409" s="522" t="n"/>
      <c r="O409" s="522" t="n"/>
      <c r="P409" s="522" t="n"/>
      <c r="Q409" s="522" t="n"/>
      <c r="R409" s="522" t="n"/>
      <c r="S409" s="527" t="n"/>
    </row>
    <row r="410" ht="22.2" customHeight="1" s="375">
      <c r="A410" s="154" t="inlineStr">
        <is>
          <t>ผู้ตรวจ</t>
        </is>
      </c>
      <c r="B410" s="153" t="n"/>
      <c r="C410" s="153" t="n"/>
      <c r="D410" s="153" t="n"/>
      <c r="E410" s="153" t="n"/>
      <c r="F410" s="153" t="n"/>
      <c r="G410" s="153" t="n"/>
      <c r="H410" s="153" t="n"/>
      <c r="I410" s="135" t="n"/>
      <c r="J410" s="154" t="inlineStr">
        <is>
          <t>ผู้เห็นชอบ</t>
        </is>
      </c>
      <c r="K410" s="153" t="n"/>
      <c r="L410" s="153" t="n"/>
      <c r="M410" s="153" t="n"/>
      <c r="N410" s="153" t="n"/>
      <c r="O410" s="153" t="n"/>
      <c r="P410" s="153" t="n"/>
      <c r="Q410" s="153" t="n"/>
      <c r="R410" s="153" t="n"/>
      <c r="S410" s="135" t="n"/>
    </row>
    <row r="411" ht="22.2" customHeight="1" s="375">
      <c r="A411" s="334" t="inlineStr">
        <is>
          <t>ลงชื่อ……………………………………………</t>
        </is>
      </c>
      <c r="I411" s="374" t="n"/>
      <c r="J411" s="334" t="inlineStr">
        <is>
          <t>ลงชื่อ……………………………………………</t>
        </is>
      </c>
      <c r="S411" s="374" t="n"/>
    </row>
    <row r="412" ht="22.2" customHeight="1" s="375">
      <c r="A412" s="11" t="n"/>
      <c r="B412" s="324">
        <f>B44</f>
        <v/>
      </c>
      <c r="I412" s="326" t="n"/>
      <c r="J412" s="25" t="n"/>
      <c r="K412" s="25" t="n"/>
      <c r="L412" s="324">
        <f>L44</f>
        <v/>
      </c>
      <c r="R412" s="25" t="n"/>
      <c r="S412" s="12" t="n"/>
    </row>
    <row r="413" ht="22.2" customHeight="1" s="375">
      <c r="A413" s="54" t="inlineStr">
        <is>
          <t>ตำแหน่งครู  หัวหน้างานพัฒนาหลักสูตร ฯ</t>
        </is>
      </c>
      <c r="I413" s="374" t="n"/>
      <c r="J413" s="54" t="inlineStr">
        <is>
          <t>ตำแหน่ง  รองผู้อำนวยการฝ่ายวิชาการ</t>
        </is>
      </c>
      <c r="S413" s="374" t="n"/>
    </row>
    <row r="414" ht="22.2" customHeight="1" s="375">
      <c r="A414" s="336" t="inlineStr">
        <is>
          <t>วันที่.......เดือน..........................พ.ศ..............</t>
        </is>
      </c>
      <c r="B414" s="522" t="n"/>
      <c r="C414" s="522" t="n"/>
      <c r="D414" s="522" t="n"/>
      <c r="E414" s="522" t="n"/>
      <c r="F414" s="522" t="n"/>
      <c r="G414" s="522" t="n"/>
      <c r="H414" s="522" t="n"/>
      <c r="I414" s="527" t="n"/>
      <c r="J414" s="336" t="inlineStr">
        <is>
          <t>วันที่.......เดือน..........................พ.ศ..............</t>
        </is>
      </c>
      <c r="K414" s="522" t="n"/>
      <c r="L414" s="522" t="n"/>
      <c r="M414" s="522" t="n"/>
      <c r="N414" s="522" t="n"/>
      <c r="O414" s="522" t="n"/>
      <c r="P414" s="522" t="n"/>
      <c r="Q414" s="522" t="n"/>
      <c r="R414" s="522" t="n"/>
      <c r="S414" s="527" t="n"/>
    </row>
    <row r="415" ht="22.2" customHeight="1" s="375">
      <c r="A415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75">
      <c r="A416" s="365" t="inlineStr">
        <is>
          <t>แผนกวิชาช่างยนต์</t>
        </is>
      </c>
    </row>
    <row r="417" ht="22.2" customHeight="1" s="375">
      <c r="A417" s="366" t="inlineStr">
        <is>
          <t xml:space="preserve">    ระหว่างวันที่</t>
        </is>
      </c>
      <c r="D417" s="365">
        <f>D3</f>
        <v/>
      </c>
      <c r="E417" s="365" t="inlineStr">
        <is>
          <t xml:space="preserve">   เดือน  </t>
        </is>
      </c>
      <c r="F417" s="365">
        <f>F3</f>
        <v/>
      </c>
      <c r="H417" s="365">
        <f>H3</f>
        <v/>
      </c>
      <c r="I417" s="365" t="inlineStr">
        <is>
          <t xml:space="preserve">     ถึง วันที่</t>
        </is>
      </c>
      <c r="J417" s="365">
        <f>J3</f>
        <v/>
      </c>
      <c r="K417" s="365" t="inlineStr">
        <is>
          <t xml:space="preserve">   เดือน </t>
        </is>
      </c>
      <c r="L417" s="365">
        <f>L3</f>
        <v/>
      </c>
      <c r="N417" s="365">
        <f>N3</f>
        <v/>
      </c>
      <c r="P417" s="365" t="n"/>
      <c r="R417" s="365" t="n"/>
    </row>
    <row r="418" ht="22.2" customHeight="1" s="375">
      <c r="G418" s="51" t="inlineStr">
        <is>
          <t>ü</t>
        </is>
      </c>
      <c r="H418" s="351" t="inlineStr">
        <is>
          <t>ครู</t>
        </is>
      </c>
      <c r="I418" s="322" t="inlineStr">
        <is>
          <t>หน้าที่พิเศษ</t>
        </is>
      </c>
      <c r="J418" t="inlineStr">
        <is>
          <t>ผู้ช่วยงานส่งเสริมการวิจัย นวัตกรรม และสิ่งประดิษฐ์, ปกครองและความปลอดภัยนักเรียน</t>
        </is>
      </c>
    </row>
    <row r="419" ht="22.2" customHeight="1" s="375">
      <c r="A419" s="24" t="inlineStr">
        <is>
          <t>ที่</t>
        </is>
      </c>
      <c r="B419" s="24" t="inlineStr">
        <is>
          <t>ชื่อ-สกุล</t>
        </is>
      </c>
      <c r="C419" s="153" t="n"/>
      <c r="D419" s="135" t="n"/>
      <c r="E419" s="15" t="inlineStr">
        <is>
          <t>ตำแหน่ง</t>
        </is>
      </c>
      <c r="F419" s="16" t="inlineStr">
        <is>
          <t>ระยะเวลาที่สอน</t>
        </is>
      </c>
      <c r="G419" s="432" t="n"/>
      <c r="H419" s="16" t="inlineStr">
        <is>
          <t>รหัสวิชา</t>
        </is>
      </c>
      <c r="I419" s="362" t="inlineStr">
        <is>
          <t>ชั้น,แผนก,ห้อง</t>
        </is>
      </c>
      <c r="J419" s="16" t="inlineStr">
        <is>
          <t>เวลาสอน</t>
        </is>
      </c>
      <c r="K419" s="135" t="n"/>
      <c r="L419" s="16" t="inlineStr">
        <is>
          <t>ปวช.(คาบ)</t>
        </is>
      </c>
      <c r="M419" s="432" t="n"/>
      <c r="N419" s="354" t="inlineStr">
        <is>
          <t>เงิน</t>
        </is>
      </c>
      <c r="O419" s="362" t="inlineStr">
        <is>
          <t>ยอดเงิน</t>
        </is>
      </c>
      <c r="P419" s="524" t="inlineStr">
        <is>
          <t>ปวส.(คาบ)</t>
        </is>
      </c>
      <c r="Q419" s="432" t="n"/>
      <c r="R419" s="354" t="inlineStr">
        <is>
          <t>เงิน</t>
        </is>
      </c>
      <c r="S419" s="362" t="inlineStr">
        <is>
          <t>ยอดเงิน</t>
        </is>
      </c>
    </row>
    <row r="420" ht="22.2" customHeight="1" s="375">
      <c r="A420" s="52" t="n"/>
      <c r="B420" s="8" t="n"/>
      <c r="C420" s="9" t="n"/>
      <c r="D420" s="13" t="n"/>
      <c r="E420" s="10" t="n"/>
      <c r="F420" s="336" t="inlineStr">
        <is>
          <t>ส.</t>
        </is>
      </c>
      <c r="G420" s="336" t="inlineStr">
        <is>
          <t>วดป.</t>
        </is>
      </c>
      <c r="H420" s="525" t="n"/>
      <c r="I420" s="336" t="n"/>
      <c r="J420" s="526" t="n"/>
      <c r="K420" s="527" t="n"/>
      <c r="L420" s="336" t="inlineStr">
        <is>
          <t>ใน</t>
        </is>
      </c>
      <c r="M420" s="336" t="inlineStr">
        <is>
          <t>นอก</t>
        </is>
      </c>
      <c r="N420" s="336" t="inlineStr">
        <is>
          <t>ต่อ ชม.</t>
        </is>
      </c>
      <c r="O420" s="336" t="inlineStr">
        <is>
          <t>(บาท)</t>
        </is>
      </c>
      <c r="P420" s="52" t="inlineStr">
        <is>
          <t>ใน</t>
        </is>
      </c>
      <c r="Q420" s="52" t="inlineStr">
        <is>
          <t>นอก</t>
        </is>
      </c>
      <c r="R420" s="336" t="inlineStr">
        <is>
          <t>ต่อ ชม.</t>
        </is>
      </c>
      <c r="S420" s="336" t="inlineStr">
        <is>
          <t>(บาท)</t>
        </is>
      </c>
    </row>
    <row r="421" ht="22.2" customHeight="1" s="375">
      <c r="A421" s="362" t="n">
        <v>10</v>
      </c>
      <c r="B421" s="528">
        <f>AB12</f>
        <v/>
      </c>
      <c r="C421" s="153" t="n"/>
      <c r="D421" s="135" t="n"/>
      <c r="E421" s="362" t="inlineStr">
        <is>
          <t>ครู</t>
        </is>
      </c>
      <c r="F421" s="5" t="n">
        <v>3</v>
      </c>
      <c r="G421" s="529" t="inlineStr">
        <is>
          <t>จันทร์</t>
        </is>
      </c>
      <c r="H421" s="376" t="inlineStr">
        <is>
          <t>20101-2009</t>
        </is>
      </c>
      <c r="I421" s="376" t="inlineStr">
        <is>
          <t>ชย.2/2 (26)</t>
        </is>
      </c>
      <c r="J421" s="334" t="inlineStr">
        <is>
          <t>08:10 - 12:10</t>
        </is>
      </c>
      <c r="K421" s="374" t="n"/>
      <c r="L421" s="367" t="n">
        <v>4</v>
      </c>
      <c r="M421" s="381" t="inlineStr"/>
      <c r="N421" s="381" t="inlineStr"/>
      <c r="O421" s="354" t="inlineStr"/>
      <c r="P421" s="381" t="inlineStr"/>
      <c r="Q421" s="367" t="inlineStr"/>
      <c r="R421" s="381" t="inlineStr"/>
      <c r="S421" s="354" t="inlineStr"/>
      <c r="T421" t="inlineStr"/>
      <c r="U421" t="inlineStr"/>
    </row>
    <row r="422" ht="22.2" customHeight="1" s="375">
      <c r="A422" s="3" t="n"/>
      <c r="B422" s="313" t="n"/>
      <c r="D422" s="314" t="n"/>
      <c r="E422" s="46" t="n"/>
      <c r="F422" s="322" t="n"/>
      <c r="G422" s="535" t="inlineStr">
        <is>
          <t>28 ก.ย.69</t>
        </is>
      </c>
      <c r="H422" s="376" t="inlineStr">
        <is>
          <t>20101-2009</t>
        </is>
      </c>
      <c r="I422" s="376" t="inlineStr">
        <is>
          <t>ชย.2/1 (26)</t>
        </is>
      </c>
      <c r="J422" s="334" t="inlineStr">
        <is>
          <t>13:10 - 17:10</t>
        </is>
      </c>
      <c r="K422" s="374" t="n"/>
      <c r="L422" s="334" t="n">
        <v>4</v>
      </c>
      <c r="M422" s="334" t="inlineStr"/>
      <c r="N422" s="334" t="inlineStr"/>
      <c r="O422" s="354" t="inlineStr"/>
      <c r="P422" s="334" t="inlineStr"/>
      <c r="Q422" s="334" t="inlineStr"/>
      <c r="R422" s="334" t="inlineStr"/>
      <c r="S422" s="354" t="inlineStr"/>
      <c r="T422" t="inlineStr"/>
      <c r="U422" t="inlineStr"/>
    </row>
    <row r="423" ht="22.2" customHeight="1" s="375">
      <c r="A423" s="3" t="n"/>
      <c r="E423" s="3" t="n"/>
      <c r="F423" s="322" t="n"/>
      <c r="G423" s="321" t="inlineStr"/>
      <c r="H423" s="376" t="inlineStr"/>
      <c r="I423" s="376" t="inlineStr"/>
      <c r="J423" s="334" t="inlineStr"/>
      <c r="K423" s="374" t="n"/>
      <c r="L423" s="334" t="inlineStr"/>
      <c r="M423" s="334" t="inlineStr"/>
      <c r="N423" s="334" t="inlineStr"/>
      <c r="O423" s="354" t="inlineStr"/>
      <c r="P423" s="334" t="inlineStr"/>
      <c r="Q423" s="334" t="inlineStr"/>
      <c r="R423" s="334" t="inlineStr"/>
      <c r="S423" s="354" t="inlineStr"/>
      <c r="T423" t="inlineStr"/>
      <c r="U423" t="inlineStr"/>
    </row>
    <row r="424" ht="22.2" customHeight="1" s="375">
      <c r="A424" s="3" t="n"/>
      <c r="D424" s="7" t="inlineStr">
        <is>
          <t> </t>
        </is>
      </c>
      <c r="E424" s="3" t="n"/>
      <c r="F424" s="322" t="n"/>
      <c r="G424" s="321" t="inlineStr"/>
      <c r="H424" s="334" t="inlineStr"/>
      <c r="I424" s="334" t="inlineStr"/>
      <c r="J424" s="334" t="inlineStr"/>
      <c r="K424" s="374" t="n"/>
      <c r="L424" s="334" t="inlineStr"/>
      <c r="M424" s="334" t="inlineStr"/>
      <c r="N424" s="334" t="inlineStr"/>
      <c r="O424" s="354" t="inlineStr"/>
      <c r="P424" s="334" t="inlineStr"/>
      <c r="Q424" s="334" t="inlineStr"/>
      <c r="R424" s="334" t="inlineStr"/>
      <c r="S424" s="354" t="inlineStr"/>
      <c r="T424" t="inlineStr"/>
      <c r="U424" t="inlineStr"/>
    </row>
    <row r="425" ht="22.2" customHeight="1" s="375">
      <c r="A425" s="3" t="n"/>
      <c r="E425" s="3" t="n"/>
      <c r="G425" s="344" t="inlineStr"/>
      <c r="H425" s="336" t="inlineStr"/>
      <c r="I425" s="336" t="inlineStr"/>
      <c r="J425" s="336" t="inlineStr"/>
      <c r="K425" s="527" t="n"/>
      <c r="L425" s="334" t="inlineStr"/>
      <c r="M425" s="334" t="inlineStr"/>
      <c r="N425" s="334" t="inlineStr"/>
      <c r="O425" s="354" t="inlineStr"/>
      <c r="P425" s="334" t="inlineStr"/>
      <c r="Q425" s="334" t="inlineStr"/>
      <c r="R425" s="334" t="inlineStr"/>
      <c r="S425" s="354" t="inlineStr"/>
      <c r="T425" t="inlineStr"/>
      <c r="U425" t="inlineStr"/>
    </row>
    <row r="426" ht="22.2" customHeight="1" s="375">
      <c r="A426" s="3" t="n"/>
      <c r="B426" s="321" t="n"/>
      <c r="C426" s="322" t="n"/>
      <c r="D426" s="322" t="n"/>
      <c r="E426" s="334" t="n"/>
      <c r="G426" s="533" t="inlineStr">
        <is>
          <t>อังคาร</t>
        </is>
      </c>
      <c r="H426" s="376" t="inlineStr">
        <is>
          <t>20101-2009</t>
        </is>
      </c>
      <c r="I426" s="376" t="inlineStr">
        <is>
          <t>ชย.2/4 (26)</t>
        </is>
      </c>
      <c r="J426" s="381" t="inlineStr">
        <is>
          <t>08:10 - 12:10</t>
        </is>
      </c>
      <c r="K426" s="135" t="n"/>
      <c r="L426" s="367" t="n">
        <v>4</v>
      </c>
      <c r="M426" s="381" t="inlineStr"/>
      <c r="N426" s="381" t="inlineStr"/>
      <c r="O426" s="354" t="inlineStr"/>
      <c r="P426" s="381" t="inlineStr"/>
      <c r="Q426" s="367" t="inlineStr"/>
      <c r="R426" s="381" t="inlineStr"/>
      <c r="S426" s="354" t="inlineStr"/>
      <c r="T426" t="inlineStr"/>
      <c r="U426" t="inlineStr"/>
    </row>
    <row r="427" ht="22.2" customHeight="1" s="375">
      <c r="A427" s="3" t="n"/>
      <c r="B427" s="313" t="n"/>
      <c r="D427" s="314" t="n"/>
      <c r="E427" s="314" t="n"/>
      <c r="G427" s="535" t="inlineStr">
        <is>
          <t>29 ก.ย.69</t>
        </is>
      </c>
      <c r="H427" s="376" t="inlineStr">
        <is>
          <t>20101-2009</t>
        </is>
      </c>
      <c r="I427" s="376" t="inlineStr">
        <is>
          <t>ชย.2/3 (26)</t>
        </is>
      </c>
      <c r="J427" s="334" t="inlineStr">
        <is>
          <t>13:10 - 17:10</t>
        </is>
      </c>
      <c r="K427" s="374" t="n"/>
      <c r="L427" s="334" t="n">
        <v>4</v>
      </c>
      <c r="M427" s="334" t="inlineStr"/>
      <c r="N427" s="334" t="inlineStr"/>
      <c r="O427" s="354" t="inlineStr"/>
      <c r="P427" s="334" t="inlineStr"/>
      <c r="Q427" s="334" t="inlineStr"/>
      <c r="R427" s="334" t="inlineStr"/>
      <c r="S427" s="354" t="inlineStr"/>
      <c r="T427" t="inlineStr"/>
      <c r="U427" t="inlineStr"/>
    </row>
    <row r="428" ht="22.2" customHeight="1" s="375">
      <c r="A428" s="3" t="n"/>
      <c r="B428" s="313" t="n"/>
      <c r="D428" s="314" t="n"/>
      <c r="E428" s="314" t="n"/>
      <c r="G428" s="334" t="inlineStr"/>
      <c r="H428" s="376" t="inlineStr"/>
      <c r="I428" s="376" t="inlineStr"/>
      <c r="J428" s="334" t="inlineStr"/>
      <c r="K428" s="374" t="n"/>
      <c r="L428" s="334" t="inlineStr"/>
      <c r="M428" s="334" t="inlineStr"/>
      <c r="N428" s="334" t="inlineStr"/>
      <c r="O428" s="354" t="inlineStr"/>
      <c r="P428" s="334" t="inlineStr"/>
      <c r="Q428" s="334" t="inlineStr"/>
      <c r="R428" s="334" t="inlineStr"/>
      <c r="S428" s="354" t="inlineStr"/>
      <c r="T428" t="inlineStr"/>
      <c r="U428" t="inlineStr"/>
    </row>
    <row r="429" ht="22.2" customHeight="1" s="375">
      <c r="A429" s="3" t="n"/>
      <c r="E429" s="3" t="n"/>
      <c r="G429" s="54" t="inlineStr"/>
      <c r="H429" s="322" t="inlineStr"/>
      <c r="I429" s="334" t="inlineStr"/>
      <c r="J429" s="334" t="inlineStr"/>
      <c r="K429" s="374" t="n"/>
      <c r="L429" s="334" t="inlineStr"/>
      <c r="M429" s="334" t="inlineStr"/>
      <c r="N429" s="334" t="inlineStr"/>
      <c r="O429" s="354" t="inlineStr"/>
      <c r="P429" s="334" t="inlineStr"/>
      <c r="Q429" s="334" t="inlineStr"/>
      <c r="R429" s="334" t="inlineStr"/>
      <c r="S429" s="354" t="inlineStr"/>
      <c r="T429" t="inlineStr"/>
      <c r="U429" t="inlineStr"/>
    </row>
    <row r="430" ht="22.2" customHeight="1" s="375">
      <c r="A430" s="3" t="n"/>
      <c r="D430" s="7" t="inlineStr">
        <is>
          <t> </t>
        </is>
      </c>
      <c r="E430" s="3" t="n"/>
      <c r="G430" s="55" t="inlineStr"/>
      <c r="H430" s="336" t="inlineStr"/>
      <c r="I430" s="336" t="inlineStr"/>
      <c r="J430" s="336" t="inlineStr"/>
      <c r="K430" s="527" t="n"/>
      <c r="L430" s="334" t="inlineStr"/>
      <c r="M430" s="334" t="inlineStr"/>
      <c r="N430" s="334" t="inlineStr"/>
      <c r="O430" s="354" t="inlineStr"/>
      <c r="P430" s="334" t="inlineStr"/>
      <c r="Q430" s="334" t="inlineStr"/>
      <c r="R430" s="334" t="inlineStr"/>
      <c r="S430" s="354" t="inlineStr"/>
      <c r="T430" t="inlineStr"/>
      <c r="U430" t="inlineStr"/>
    </row>
    <row r="431" ht="22.2" customHeight="1" s="375">
      <c r="A431" s="3" t="n"/>
      <c r="E431" s="3" t="n"/>
      <c r="G431" s="535" t="inlineStr">
        <is>
          <t>พุธ</t>
        </is>
      </c>
      <c r="H431" s="376" t="inlineStr">
        <is>
          <t>20100-1007</t>
        </is>
      </c>
      <c r="I431" s="376" t="inlineStr">
        <is>
          <t>ชย.2/1 (26)</t>
        </is>
      </c>
      <c r="J431" s="381" t="inlineStr">
        <is>
          <t>08:10 - 12:10</t>
        </is>
      </c>
      <c r="K431" s="135" t="n"/>
      <c r="L431" s="367" t="n">
        <v>4</v>
      </c>
      <c r="M431" s="381" t="inlineStr"/>
      <c r="N431" s="381" t="inlineStr"/>
      <c r="O431" s="354" t="inlineStr"/>
      <c r="P431" s="381" t="inlineStr"/>
      <c r="Q431" s="367" t="inlineStr"/>
      <c r="R431" s="381" t="inlineStr"/>
      <c r="S431" s="354" t="inlineStr"/>
      <c r="T431" t="inlineStr"/>
      <c r="U431" t="inlineStr"/>
    </row>
    <row r="432" ht="22.2" customHeight="1" s="375">
      <c r="A432" s="3" t="n"/>
      <c r="B432" s="321" t="n"/>
      <c r="C432" s="322" t="n"/>
      <c r="D432" s="322" t="n"/>
      <c r="E432" s="334" t="n"/>
      <c r="G432" s="535" t="inlineStr">
        <is>
          <t>30 ก.ย.69</t>
        </is>
      </c>
      <c r="H432" s="376" t="inlineStr">
        <is>
          <t>20100-1007</t>
        </is>
      </c>
      <c r="I432" s="376" t="inlineStr">
        <is>
          <t>ชย.2/2 (26)</t>
        </is>
      </c>
      <c r="J432" s="334" t="inlineStr">
        <is>
          <t>13:10 - 17:10</t>
        </is>
      </c>
      <c r="K432" s="374" t="n"/>
      <c r="L432" s="334" t="inlineStr"/>
      <c r="M432" s="334" t="n">
        <v>4</v>
      </c>
      <c r="N432" s="334" t="n">
        <v>200</v>
      </c>
      <c r="O432" s="354">
        <f>M432*N432</f>
        <v/>
      </c>
      <c r="P432" s="334" t="inlineStr"/>
      <c r="Q432" s="334" t="inlineStr"/>
      <c r="R432" s="334" t="inlineStr"/>
      <c r="S432" s="354" t="inlineStr"/>
      <c r="T432" t="inlineStr"/>
      <c r="U432" t="inlineStr"/>
    </row>
    <row r="433" ht="22.2" customHeight="1" s="375">
      <c r="A433" s="3" t="n"/>
      <c r="B433" s="313" t="n"/>
      <c r="D433" s="314" t="n"/>
      <c r="E433" s="314" t="n"/>
      <c r="G433" s="334" t="inlineStr"/>
      <c r="H433" s="376" t="inlineStr"/>
      <c r="I433" s="376" t="inlineStr"/>
      <c r="J433" s="334" t="inlineStr"/>
      <c r="K433" s="374" t="n"/>
      <c r="L433" s="334" t="inlineStr"/>
      <c r="M433" s="334" t="inlineStr"/>
      <c r="N433" s="334" t="inlineStr"/>
      <c r="O433" s="354" t="inlineStr"/>
      <c r="P433" s="334" t="inlineStr"/>
      <c r="Q433" s="334" t="inlineStr"/>
      <c r="R433" s="334" t="inlineStr"/>
      <c r="S433" s="354" t="inlineStr"/>
      <c r="T433" t="inlineStr"/>
      <c r="U433" t="inlineStr"/>
    </row>
    <row r="434" ht="22.2" customHeight="1" s="375">
      <c r="A434" s="3" t="n"/>
      <c r="E434" s="3" t="n"/>
      <c r="G434" s="321" t="inlineStr"/>
      <c r="H434" s="334" t="inlineStr"/>
      <c r="I434" s="334" t="inlineStr"/>
      <c r="J434" s="334" t="inlineStr"/>
      <c r="K434" s="374" t="n"/>
      <c r="L434" s="334" t="inlineStr"/>
      <c r="M434" s="334" t="inlineStr"/>
      <c r="N434" s="334" t="inlineStr"/>
      <c r="O434" s="354" t="inlineStr"/>
      <c r="P434" s="334" t="inlineStr"/>
      <c r="Q434" s="334" t="inlineStr"/>
      <c r="R434" s="334" t="inlineStr"/>
      <c r="S434" s="354" t="inlineStr"/>
      <c r="T434" t="inlineStr"/>
      <c r="U434" t="inlineStr"/>
    </row>
    <row r="435" ht="22.2" customHeight="1" s="375">
      <c r="A435" s="3" t="n"/>
      <c r="E435" s="3" t="n"/>
      <c r="G435" s="327" t="inlineStr"/>
      <c r="H435" s="336" t="inlineStr"/>
      <c r="I435" s="336" t="inlineStr"/>
      <c r="J435" s="336" t="inlineStr"/>
      <c r="K435" s="527" t="n"/>
      <c r="L435" s="336" t="inlineStr"/>
      <c r="M435" s="336" t="inlineStr"/>
      <c r="N435" s="336" t="inlineStr"/>
      <c r="O435" s="354" t="inlineStr"/>
      <c r="P435" s="336" t="inlineStr"/>
      <c r="Q435" s="336" t="inlineStr"/>
      <c r="R435" s="336" t="inlineStr"/>
      <c r="S435" s="354" t="inlineStr"/>
      <c r="T435" t="inlineStr"/>
      <c r="U435" t="inlineStr"/>
    </row>
    <row r="436" ht="22.2" customHeight="1" s="375">
      <c r="A436" s="3" t="n"/>
      <c r="E436" s="3" t="n"/>
      <c r="G436" s="533" t="inlineStr">
        <is>
          <t>พฤหัส</t>
        </is>
      </c>
      <c r="H436" s="376" t="inlineStr">
        <is>
          <t>20100-1007</t>
        </is>
      </c>
      <c r="I436" s="376" t="inlineStr">
        <is>
          <t>ชย.2/3 (26)</t>
        </is>
      </c>
      <c r="J436" s="381" t="inlineStr">
        <is>
          <t>08:10 - 12:10</t>
        </is>
      </c>
      <c r="K436" s="135" t="n"/>
      <c r="L436" s="334" t="inlineStr"/>
      <c r="M436" s="334" t="n">
        <v>4</v>
      </c>
      <c r="N436" s="334" t="n">
        <v>200</v>
      </c>
      <c r="O436" s="354">
        <f>M436*N436</f>
        <v/>
      </c>
      <c r="P436" s="334" t="inlineStr"/>
      <c r="Q436" s="362" t="inlineStr"/>
      <c r="R436" s="362" t="inlineStr"/>
      <c r="S436" s="354" t="inlineStr"/>
      <c r="T436" s="6" t="inlineStr"/>
      <c r="U436" s="22" t="inlineStr"/>
      <c r="V436" s="57" t="n"/>
      <c r="W436" s="21" t="n"/>
      <c r="X436" s="21" t="n"/>
    </row>
    <row r="437" ht="22.2" customHeight="1" s="375">
      <c r="A437" s="3" t="n"/>
      <c r="E437" s="3" t="n"/>
      <c r="G437" s="535" t="inlineStr">
        <is>
          <t>1 ต.ค.69</t>
        </is>
      </c>
      <c r="H437" s="376" t="inlineStr">
        <is>
          <t>20000-2002</t>
        </is>
      </c>
      <c r="I437" s="376" t="inlineStr">
        <is>
          <t>ชย.1/7,ชย.1/8 (26)</t>
        </is>
      </c>
      <c r="J437" s="334" t="inlineStr">
        <is>
          <t>13:10 - 15:10</t>
        </is>
      </c>
      <c r="K437" s="374" t="n"/>
      <c r="L437" s="334" t="n">
        <v>2</v>
      </c>
      <c r="M437" s="334" t="inlineStr"/>
      <c r="N437" s="334" t="inlineStr"/>
      <c r="O437" s="354" t="inlineStr"/>
      <c r="P437" s="334" t="inlineStr"/>
      <c r="Q437" s="334" t="inlineStr"/>
      <c r="R437" s="334" t="inlineStr"/>
      <c r="S437" s="354" t="inlineStr"/>
      <c r="T437" s="21" t="inlineStr"/>
      <c r="U437" s="22" t="inlineStr"/>
      <c r="V437" s="57" t="n"/>
      <c r="W437" s="21" t="n"/>
      <c r="X437" s="21" t="n"/>
    </row>
    <row r="438" ht="22.2" customHeight="1" s="375">
      <c r="A438" s="3" t="n"/>
      <c r="B438" s="313" t="n"/>
      <c r="E438" s="3" t="n"/>
      <c r="G438" s="334" t="inlineStr"/>
      <c r="H438" s="376" t="inlineStr"/>
      <c r="I438" s="376" t="inlineStr"/>
      <c r="J438" s="334" t="inlineStr"/>
      <c r="K438" s="374" t="n"/>
      <c r="L438" s="376" t="inlineStr"/>
      <c r="M438" s="376" t="inlineStr"/>
      <c r="N438" s="376" t="inlineStr"/>
      <c r="O438" s="354" t="inlineStr"/>
      <c r="P438" s="376" t="inlineStr"/>
      <c r="Q438" s="376" t="inlineStr"/>
      <c r="R438" s="376" t="inlineStr"/>
      <c r="S438" s="354" t="inlineStr"/>
      <c r="T438" t="inlineStr"/>
      <c r="U438" t="inlineStr"/>
    </row>
    <row r="439" ht="22.2" customHeight="1" s="375">
      <c r="A439" s="3" t="n"/>
      <c r="E439" s="3" t="n"/>
      <c r="G439" s="334" t="inlineStr"/>
      <c r="H439" s="334" t="inlineStr"/>
      <c r="I439" s="334" t="inlineStr"/>
      <c r="J439" s="334" t="inlineStr"/>
      <c r="K439" s="374" t="n"/>
      <c r="L439" s="334" t="inlineStr"/>
      <c r="M439" s="334" t="inlineStr"/>
      <c r="N439" s="334" t="inlineStr"/>
      <c r="O439" s="354" t="inlineStr"/>
      <c r="P439" s="334" t="inlineStr"/>
      <c r="Q439" s="334" t="inlineStr"/>
      <c r="R439" s="334" t="inlineStr"/>
      <c r="S439" s="354" t="inlineStr"/>
      <c r="T439" t="inlineStr"/>
      <c r="U439" t="inlineStr"/>
    </row>
    <row r="440" ht="22.2" customHeight="1" s="375">
      <c r="A440" s="3" t="n"/>
      <c r="E440" s="3" t="n"/>
      <c r="G440" s="336" t="inlineStr"/>
      <c r="H440" s="328" t="inlineStr"/>
      <c r="I440" s="336" t="inlineStr"/>
      <c r="J440" s="336" t="inlineStr"/>
      <c r="K440" s="527" t="n"/>
      <c r="L440" s="336" t="inlineStr"/>
      <c r="M440" s="336" t="inlineStr"/>
      <c r="N440" s="336" t="inlineStr"/>
      <c r="O440" s="354" t="inlineStr"/>
      <c r="P440" s="336" t="inlineStr"/>
      <c r="Q440" s="336" t="inlineStr"/>
      <c r="R440" s="336" t="inlineStr"/>
      <c r="S440" s="354" t="inlineStr"/>
      <c r="T440" t="inlineStr"/>
      <c r="U440" t="inlineStr"/>
    </row>
    <row r="441" ht="22.2" customHeight="1" s="375">
      <c r="A441" s="3" t="n"/>
      <c r="E441" s="3" t="n"/>
      <c r="G441" s="533" t="inlineStr">
        <is>
          <t>ศุกร์</t>
        </is>
      </c>
      <c r="H441" s="376" t="inlineStr">
        <is>
          <t>20101-2009</t>
        </is>
      </c>
      <c r="I441" s="376" t="inlineStr">
        <is>
          <t>ชยฟ.2/1 (26)</t>
        </is>
      </c>
      <c r="J441" s="381" t="inlineStr">
        <is>
          <t>08:10 - 12:10</t>
        </is>
      </c>
      <c r="K441" s="135" t="n"/>
      <c r="L441" s="334" t="inlineStr"/>
      <c r="M441" s="334" t="n">
        <v>4</v>
      </c>
      <c r="N441" s="334" t="n">
        <v>200</v>
      </c>
      <c r="O441" s="354">
        <f>M441*N441</f>
        <v/>
      </c>
      <c r="P441" s="381" t="inlineStr"/>
      <c r="Q441" s="367" t="inlineStr"/>
      <c r="R441" s="381" t="inlineStr"/>
      <c r="S441" s="354" t="inlineStr"/>
      <c r="T441" t="inlineStr"/>
      <c r="U441" t="inlineStr"/>
    </row>
    <row r="442" ht="22.2" customHeight="1" s="375">
      <c r="A442" s="3" t="n"/>
      <c r="E442" s="3" t="n"/>
      <c r="G442" s="535" t="inlineStr">
        <is>
          <t>2 ต.ค.69</t>
        </is>
      </c>
      <c r="H442" s="376" t="inlineStr"/>
      <c r="I442" s="376" t="inlineStr"/>
      <c r="J442" s="334" t="inlineStr"/>
      <c r="K442" s="374" t="n"/>
      <c r="L442" s="334" t="inlineStr"/>
      <c r="M442" s="334" t="inlineStr"/>
      <c r="N442" s="334" t="inlineStr"/>
      <c r="O442" s="354" t="inlineStr"/>
      <c r="P442" s="334" t="inlineStr"/>
      <c r="Q442" s="334" t="inlineStr"/>
      <c r="R442" s="334" t="inlineStr"/>
      <c r="S442" s="354" t="inlineStr"/>
      <c r="T442" t="inlineStr"/>
      <c r="U442" t="inlineStr"/>
    </row>
    <row r="443" ht="22.2" customHeight="1" s="375">
      <c r="A443" s="3" t="n"/>
      <c r="E443" s="3" t="n"/>
      <c r="G443" s="334" t="inlineStr"/>
      <c r="H443" s="334" t="inlineStr"/>
      <c r="I443" s="334" t="inlineStr"/>
      <c r="J443" s="334" t="inlineStr"/>
      <c r="K443" s="374" t="n"/>
      <c r="L443" s="334" t="inlineStr"/>
      <c r="M443" s="334" t="inlineStr"/>
      <c r="N443" s="334" t="inlineStr"/>
      <c r="O443" s="354" t="inlineStr"/>
      <c r="P443" s="334" t="inlineStr"/>
      <c r="Q443" s="334" t="inlineStr"/>
      <c r="R443" s="334" t="inlineStr"/>
      <c r="S443" s="354" t="inlineStr"/>
      <c r="T443" t="inlineStr"/>
      <c r="U443" t="inlineStr"/>
    </row>
    <row r="444" ht="22.2" customHeight="1" s="375">
      <c r="A444" s="3" t="n"/>
      <c r="E444" s="3" t="n"/>
      <c r="G444" s="334" t="inlineStr"/>
      <c r="H444" s="322" t="inlineStr"/>
      <c r="I444" s="334" t="inlineStr"/>
      <c r="J444" s="334" t="inlineStr"/>
      <c r="K444" s="374" t="n"/>
      <c r="L444" s="334" t="inlineStr"/>
      <c r="M444" s="334" t="inlineStr"/>
      <c r="N444" s="334" t="inlineStr"/>
      <c r="O444" s="354" t="inlineStr"/>
      <c r="P444" s="334" t="inlineStr"/>
      <c r="Q444" s="334" t="inlineStr"/>
      <c r="R444" s="334" t="inlineStr"/>
      <c r="S444" s="354" t="inlineStr"/>
      <c r="T444" t="inlineStr"/>
      <c r="U444" t="inlineStr"/>
    </row>
    <row r="445" ht="22.2" customHeight="1" s="375">
      <c r="A445" s="3" t="n"/>
      <c r="E445" s="3" t="n"/>
      <c r="F445" s="3" t="n"/>
      <c r="G445" s="329" t="inlineStr"/>
      <c r="H445" s="328" t="inlineStr"/>
      <c r="I445" s="336" t="inlineStr"/>
      <c r="J445" s="336" t="inlineStr"/>
      <c r="K445" s="527" t="n"/>
      <c r="L445" s="336" t="inlineStr"/>
      <c r="M445" s="336" t="inlineStr"/>
      <c r="N445" s="336" t="inlineStr"/>
      <c r="O445" s="354" t="inlineStr"/>
      <c r="P445" s="336" t="inlineStr"/>
      <c r="Q445" s="336" t="inlineStr"/>
      <c r="R445" s="336" t="inlineStr"/>
      <c r="S445" s="354" t="inlineStr"/>
      <c r="T445" t="inlineStr"/>
      <c r="U445" t="inlineStr"/>
    </row>
    <row r="446" ht="22.2" customHeight="1" s="375">
      <c r="A446" s="3" t="n"/>
      <c r="E446" s="3" t="n"/>
      <c r="F446" s="3" t="n"/>
      <c r="G446" s="16" t="inlineStr">
        <is>
          <t>รวมขั่วโมงที่สอนแยก ภาระงาน/ เกินภาระงาน</t>
        </is>
      </c>
      <c r="H446" s="518" t="n"/>
      <c r="I446" s="518" t="n"/>
      <c r="J446" s="518" t="n"/>
      <c r="K446" s="432" t="n"/>
      <c r="L446" s="16">
        <f>SUM(L421:L445)</f>
        <v/>
      </c>
      <c r="M446" s="16">
        <f>SUM(M421:M445)</f>
        <v/>
      </c>
      <c r="N446" s="16" t="n"/>
      <c r="O446" s="16" t="n"/>
      <c r="P446" s="16">
        <f>SUM(P421:P445)</f>
        <v/>
      </c>
      <c r="Q446" s="16">
        <f>SUM(Q421:Q445)</f>
        <v/>
      </c>
      <c r="R446" s="349" t="n"/>
      <c r="S446" s="16" t="n"/>
    </row>
    <row r="447" ht="22.2" customHeight="1" s="375">
      <c r="A447" s="3" t="n"/>
      <c r="E447" s="3" t="n"/>
      <c r="F447" s="3" t="n"/>
      <c r="G447" s="16" t="inlineStr">
        <is>
          <t>รวมจำนวนชั่วโมงสอนคาบต่อสับดาห์</t>
        </is>
      </c>
      <c r="H447" s="518" t="n"/>
      <c r="I447" s="518" t="n"/>
      <c r="J447" s="518" t="n"/>
      <c r="K447" s="432" t="n"/>
      <c r="L447" s="16">
        <f>L446+M446</f>
        <v/>
      </c>
      <c r="M447" s="432" t="n"/>
      <c r="N447" s="348" t="n"/>
      <c r="O447" s="16" t="n"/>
      <c r="P447" s="16">
        <f>P446+Q446</f>
        <v/>
      </c>
      <c r="Q447" s="432" t="n"/>
      <c r="R447" s="329" t="n"/>
      <c r="S447" s="336" t="n"/>
    </row>
    <row r="448" ht="22.2" customHeight="1" s="375">
      <c r="A448" s="3" t="n"/>
      <c r="E448" s="3" t="n"/>
      <c r="F448" s="3" t="n"/>
      <c r="G448" s="16" t="inlineStr">
        <is>
          <t>จำนวนชั่วโมงสอนตามภาระงานสอน</t>
        </is>
      </c>
      <c r="H448" s="518" t="n"/>
      <c r="I448" s="518" t="n"/>
      <c r="J448" s="518" t="n"/>
      <c r="K448" s="432" t="n"/>
      <c r="L448" s="541" t="n">
        <v>18</v>
      </c>
      <c r="M448" s="432" t="n"/>
      <c r="N448" s="129" t="n"/>
      <c r="O448" s="132" t="n"/>
      <c r="P448" s="131" t="n">
        <v>0</v>
      </c>
      <c r="Q448" s="432" t="n"/>
      <c r="R448" s="322" t="n"/>
      <c r="S448" s="334" t="n"/>
    </row>
    <row r="449" ht="22.2" customHeight="1" s="375" thickBot="1">
      <c r="A449" s="3" t="n"/>
      <c r="E449" s="3" t="n"/>
      <c r="F449" s="14" t="n"/>
      <c r="G449" s="16" t="inlineStr">
        <is>
          <t>จำนวนชั่วโมงบิกเกินภาระงานสอน/ค่าสอน</t>
        </is>
      </c>
      <c r="H449" s="518" t="n"/>
      <c r="I449" s="518" t="n"/>
      <c r="J449" s="518" t="n"/>
      <c r="K449" s="432" t="n"/>
      <c r="L449" s="17" t="n">
        <v>0</v>
      </c>
      <c r="M449" s="17">
        <f>SUM(M421:M445)</f>
        <v/>
      </c>
      <c r="N449" s="17" t="n"/>
      <c r="O449" s="17">
        <f>SUM(O421:O445)</f>
        <v/>
      </c>
      <c r="P449" s="17" t="n">
        <v>0</v>
      </c>
      <c r="Q449" s="17">
        <f>SUM(Q421:Q445)</f>
        <v/>
      </c>
      <c r="R449" s="18" t="n"/>
      <c r="S449" s="17">
        <f>SUM(S421:S445)</f>
        <v/>
      </c>
    </row>
    <row r="450" ht="22.2" customHeight="1" s="375" thickTop="1">
      <c r="A450" s="337" t="inlineStr">
        <is>
          <t>รวมจำนวนหน่วยชั่วโมงที่ขอเบิกค่าสอน ….</t>
        </is>
      </c>
      <c r="B450" s="518" t="n"/>
      <c r="C450" s="518" t="n"/>
      <c r="D450" s="518" t="n"/>
      <c r="E450" s="518" t="n"/>
      <c r="F450" s="518" t="n"/>
      <c r="G450" s="518" t="n"/>
      <c r="H450" s="348">
        <f>M449+Q449</f>
        <v/>
      </c>
      <c r="I450" s="348" t="inlineStr">
        <is>
          <t>….ชั่วโมง</t>
        </is>
      </c>
      <c r="J450" s="348" t="n"/>
      <c r="K450" s="328" t="inlineStr">
        <is>
          <t>ยอดเงินรวม</t>
        </is>
      </c>
      <c r="L450" s="522" t="n"/>
      <c r="M450" s="522" t="n"/>
      <c r="N450" s="328" t="n"/>
      <c r="O450" s="328" t="n"/>
      <c r="P450" s="339">
        <f>S449+O449</f>
        <v/>
      </c>
      <c r="Q450" s="538" t="n"/>
      <c r="R450" s="20" t="n"/>
      <c r="S450" s="19" t="inlineStr">
        <is>
          <t>..บาท</t>
        </is>
      </c>
    </row>
    <row r="451" ht="22.2" customHeight="1" s="375">
      <c r="A451" s="154" t="inlineStr">
        <is>
          <t>ผู้ขอเบิก</t>
        </is>
      </c>
      <c r="B451" s="153" t="n"/>
      <c r="C451" s="153" t="n"/>
      <c r="D451" s="153" t="n"/>
      <c r="E451" s="153" t="n"/>
      <c r="F451" s="153" t="n"/>
      <c r="G451" s="135" t="n"/>
      <c r="H451" s="154" t="inlineStr">
        <is>
          <t>ผู้รับรอง</t>
        </is>
      </c>
      <c r="I451" s="153" t="n"/>
      <c r="J451" s="153" t="n"/>
      <c r="K451" s="153" t="n"/>
      <c r="L451" s="135" t="n"/>
      <c r="M451" s="154" t="inlineStr">
        <is>
          <t>ผู้ตรวจ</t>
        </is>
      </c>
      <c r="N451" s="153" t="n"/>
      <c r="O451" s="153" t="n"/>
      <c r="P451" s="153" t="n"/>
      <c r="Q451" s="153" t="n"/>
      <c r="R451" s="153" t="n"/>
      <c r="S451" s="135" t="n"/>
    </row>
    <row r="452" ht="22.2" customHeight="1" s="375">
      <c r="A452" s="334" t="inlineStr">
        <is>
          <t>ลงชื่อ……………………………………………</t>
        </is>
      </c>
      <c r="G452" s="374" t="n"/>
      <c r="H452" s="334" t="inlineStr">
        <is>
          <t>ลงชื่อ……………………………………………</t>
        </is>
      </c>
      <c r="L452" s="374" t="n"/>
      <c r="M452" s="334" t="inlineStr">
        <is>
          <t>ลงชื่อ……………………………………………</t>
        </is>
      </c>
      <c r="S452" s="374" t="n"/>
    </row>
    <row r="453" ht="22.2" customHeight="1" s="375">
      <c r="A453" s="11" t="inlineStr">
        <is>
          <t>(</t>
        </is>
      </c>
      <c r="B453" s="324">
        <f>B421</f>
        <v/>
      </c>
      <c r="G453" s="326" t="inlineStr">
        <is>
          <t>)</t>
        </is>
      </c>
      <c r="H453" s="324" t="inlineStr">
        <is>
          <t>(</t>
        </is>
      </c>
      <c r="I453" s="340">
        <f>I407</f>
        <v/>
      </c>
      <c r="L453" s="12" t="inlineStr">
        <is>
          <t>)</t>
        </is>
      </c>
      <c r="M453" s="53" t="inlineStr">
        <is>
          <t>(</t>
        </is>
      </c>
      <c r="N453" s="53" t="n"/>
      <c r="O453" s="324">
        <f>O39</f>
        <v/>
      </c>
      <c r="R453" s="25" t="n"/>
      <c r="S453" s="326" t="inlineStr">
        <is>
          <t>)</t>
        </is>
      </c>
    </row>
    <row r="454" ht="22.2" customHeight="1" s="375">
      <c r="A454" s="540" t="inlineStr">
        <is>
          <t xml:space="preserve">                         ตำแหน่ง  ครู</t>
        </is>
      </c>
      <c r="G454" s="374" t="n"/>
      <c r="H454" s="54" t="inlineStr">
        <is>
          <t>ตำแหน่ง หัวหน้าแผนก</t>
        </is>
      </c>
      <c r="L454" s="374" t="n"/>
      <c r="M454" s="54" t="inlineStr">
        <is>
          <t>ตำแหน่ง   ผู้ตรวจสอบ</t>
        </is>
      </c>
      <c r="S454" s="374" t="n"/>
    </row>
    <row r="455" ht="22.2" customHeight="1" s="375">
      <c r="A455" s="55" t="inlineStr">
        <is>
          <t>วันที่ 5 เดือน ตุลาคม  พ.ศ.2569</t>
        </is>
      </c>
      <c r="B455" s="522" t="n"/>
      <c r="C455" s="522" t="n"/>
      <c r="D455" s="522" t="n"/>
      <c r="E455" s="522" t="n"/>
      <c r="F455" s="522" t="n"/>
      <c r="G455" s="527" t="n"/>
      <c r="H455" s="54">
        <f>A41</f>
        <v/>
      </c>
      <c r="L455" s="374" t="n"/>
      <c r="M455" s="55">
        <f>A41</f>
        <v/>
      </c>
      <c r="N455" s="522" t="n"/>
      <c r="O455" s="522" t="n"/>
      <c r="P455" s="522" t="n"/>
      <c r="Q455" s="522" t="n"/>
      <c r="R455" s="522" t="n"/>
      <c r="S455" s="527" t="n"/>
    </row>
    <row r="456" ht="22.2" customHeight="1" s="375">
      <c r="A456" s="154" t="inlineStr">
        <is>
          <t>ผู้ตรวจ</t>
        </is>
      </c>
      <c r="B456" s="153" t="n"/>
      <c r="C456" s="153" t="n"/>
      <c r="D456" s="153" t="n"/>
      <c r="E456" s="153" t="n"/>
      <c r="F456" s="153" t="n"/>
      <c r="G456" s="153" t="n"/>
      <c r="H456" s="153" t="n"/>
      <c r="I456" s="135" t="n"/>
      <c r="J456" s="154" t="inlineStr">
        <is>
          <t>ผู้เห็นชอบ</t>
        </is>
      </c>
      <c r="K456" s="153" t="n"/>
      <c r="L456" s="153" t="n"/>
      <c r="M456" s="153" t="n"/>
      <c r="N456" s="153" t="n"/>
      <c r="O456" s="153" t="n"/>
      <c r="P456" s="153" t="n"/>
      <c r="Q456" s="153" t="n"/>
      <c r="R456" s="153" t="n"/>
      <c r="S456" s="135" t="n"/>
    </row>
    <row r="457" ht="22.2" customHeight="1" s="375">
      <c r="A457" s="334" t="inlineStr">
        <is>
          <t>ลงชื่อ……………………………………………</t>
        </is>
      </c>
      <c r="I457" s="374" t="n"/>
      <c r="J457" s="334" t="inlineStr">
        <is>
          <t>ลงชื่อ……………………………………………</t>
        </is>
      </c>
      <c r="S457" s="374" t="n"/>
    </row>
    <row r="458" ht="22.2" customHeight="1" s="375">
      <c r="A458" s="11" t="n"/>
      <c r="B458" s="324">
        <f>B44</f>
        <v/>
      </c>
      <c r="I458" s="326" t="n"/>
      <c r="J458" s="25" t="n"/>
      <c r="K458" s="25" t="n"/>
      <c r="L458" s="324">
        <f>L44</f>
        <v/>
      </c>
      <c r="R458" s="25" t="n"/>
      <c r="S458" s="12" t="n"/>
    </row>
    <row r="459" ht="22.2" customHeight="1" s="375">
      <c r="A459" s="54" t="inlineStr">
        <is>
          <t>ตำแหน่งครู  หัวหน้างานพัฒนาหลักสูตร ฯ</t>
        </is>
      </c>
      <c r="I459" s="374" t="n"/>
      <c r="J459" s="54" t="inlineStr">
        <is>
          <t>ตำแหน่ง  รองผู้อำนวยการฝ่ายวิชาการ</t>
        </is>
      </c>
      <c r="S459" s="374" t="n"/>
    </row>
    <row r="460" ht="22.2" customHeight="1" s="375">
      <c r="A460" s="336" t="inlineStr">
        <is>
          <t>วันที่.......เดือน..........................พ.ศ..............</t>
        </is>
      </c>
      <c r="B460" s="522" t="n"/>
      <c r="C460" s="522" t="n"/>
      <c r="D460" s="522" t="n"/>
      <c r="E460" s="522" t="n"/>
      <c r="F460" s="522" t="n"/>
      <c r="G460" s="522" t="n"/>
      <c r="H460" s="522" t="n"/>
      <c r="I460" s="527" t="n"/>
      <c r="J460" s="336" t="inlineStr">
        <is>
          <t>วันที่.......เดือน..........................พ.ศ..............</t>
        </is>
      </c>
      <c r="K460" s="522" t="n"/>
      <c r="L460" s="522" t="n"/>
      <c r="M460" s="522" t="n"/>
      <c r="N460" s="522" t="n"/>
      <c r="O460" s="522" t="n"/>
      <c r="P460" s="522" t="n"/>
      <c r="Q460" s="522" t="n"/>
      <c r="R460" s="522" t="n"/>
      <c r="S460" s="527" t="n"/>
    </row>
    <row r="461" ht="22.2" customHeight="1" s="375">
      <c r="A461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75">
      <c r="A462" s="365" t="inlineStr">
        <is>
          <t>แผนกวิชาช่างยนต์</t>
        </is>
      </c>
    </row>
    <row r="463" ht="22.2" customHeight="1" s="375">
      <c r="A463" s="366" t="inlineStr">
        <is>
          <t xml:space="preserve">    ระหว่างวันที่</t>
        </is>
      </c>
      <c r="D463" s="365">
        <f>D3</f>
        <v/>
      </c>
      <c r="E463" s="365" t="inlineStr">
        <is>
          <t xml:space="preserve">   เดือน  </t>
        </is>
      </c>
      <c r="F463" s="365">
        <f>F3</f>
        <v/>
      </c>
      <c r="H463" s="365">
        <f>H3</f>
        <v/>
      </c>
      <c r="I463" s="365" t="inlineStr">
        <is>
          <t xml:space="preserve">     ถึง วันที่</t>
        </is>
      </c>
      <c r="J463" s="365">
        <f>J3</f>
        <v/>
      </c>
      <c r="K463" s="365" t="inlineStr">
        <is>
          <t xml:space="preserve">   เดือน </t>
        </is>
      </c>
      <c r="L463" s="365">
        <f>L3</f>
        <v/>
      </c>
      <c r="N463" s="365">
        <f>N3</f>
        <v/>
      </c>
      <c r="P463" s="365" t="n"/>
      <c r="R463" s="365" t="n"/>
    </row>
    <row r="464" ht="22.2" customHeight="1" s="375">
      <c r="G464" s="51" t="inlineStr">
        <is>
          <t>ü</t>
        </is>
      </c>
      <c r="H464" s="351" t="inlineStr">
        <is>
          <t>ครู</t>
        </is>
      </c>
      <c r="I464" s="322" t="inlineStr">
        <is>
          <t>หน้าที่พิเศษ</t>
        </is>
      </c>
      <c r="J464" s="351" t="inlineStr">
        <is>
          <t>ผู้ช่วยงานมาตราฐานและการประกันคุณภาพการศึกษา</t>
        </is>
      </c>
    </row>
    <row r="465" ht="22.2" customHeight="1" s="375">
      <c r="A465" s="24" t="inlineStr">
        <is>
          <t>ที่</t>
        </is>
      </c>
      <c r="B465" s="24" t="inlineStr">
        <is>
          <t>ชื่อ-สกุล</t>
        </is>
      </c>
      <c r="C465" s="153" t="n"/>
      <c r="D465" s="135" t="n"/>
      <c r="E465" s="15" t="inlineStr">
        <is>
          <t>ตำแหน่ง</t>
        </is>
      </c>
      <c r="F465" s="16" t="inlineStr">
        <is>
          <t>ระยะเวลาที่สอน</t>
        </is>
      </c>
      <c r="G465" s="432" t="n"/>
      <c r="H465" s="16" t="inlineStr">
        <is>
          <t>รหัสวิชา</t>
        </is>
      </c>
      <c r="I465" s="362" t="inlineStr">
        <is>
          <t>ชั้น,แผนก,ห้อง</t>
        </is>
      </c>
      <c r="J465" s="16" t="inlineStr">
        <is>
          <t>เวลาสอน</t>
        </is>
      </c>
      <c r="K465" s="135" t="n"/>
      <c r="L465" s="16" t="inlineStr">
        <is>
          <t>ปวช.(คาบ)</t>
        </is>
      </c>
      <c r="M465" s="432" t="n"/>
      <c r="N465" s="354" t="inlineStr">
        <is>
          <t>เงิน</t>
        </is>
      </c>
      <c r="O465" s="362" t="inlineStr">
        <is>
          <t>ยอดเงิน</t>
        </is>
      </c>
      <c r="P465" s="524" t="inlineStr">
        <is>
          <t>ปวส.(คาบ)</t>
        </is>
      </c>
      <c r="Q465" s="432" t="n"/>
      <c r="R465" s="354" t="inlineStr">
        <is>
          <t>เงิน</t>
        </is>
      </c>
      <c r="S465" s="362" t="inlineStr">
        <is>
          <t>ยอดเงิน</t>
        </is>
      </c>
    </row>
    <row r="466" ht="22.2" customHeight="1" s="375">
      <c r="A466" s="52" t="n"/>
      <c r="B466" s="8" t="n"/>
      <c r="C466" s="9" t="n"/>
      <c r="D466" s="13" t="n"/>
      <c r="E466" s="10" t="n"/>
      <c r="F466" s="336" t="inlineStr">
        <is>
          <t>ส.</t>
        </is>
      </c>
      <c r="G466" s="336" t="inlineStr">
        <is>
          <t>วดป.</t>
        </is>
      </c>
      <c r="H466" s="525" t="n"/>
      <c r="I466" s="336" t="n"/>
      <c r="J466" s="526" t="n"/>
      <c r="K466" s="527" t="n"/>
      <c r="L466" s="336" t="inlineStr">
        <is>
          <t>ใน</t>
        </is>
      </c>
      <c r="M466" s="336" t="inlineStr">
        <is>
          <t>นอก</t>
        </is>
      </c>
      <c r="N466" s="336" t="inlineStr">
        <is>
          <t>ต่อ ชม.</t>
        </is>
      </c>
      <c r="O466" s="336" t="inlineStr">
        <is>
          <t>(บาท)</t>
        </is>
      </c>
      <c r="P466" s="52" t="inlineStr">
        <is>
          <t>ใน</t>
        </is>
      </c>
      <c r="Q466" s="52" t="inlineStr">
        <is>
          <t>นอก</t>
        </is>
      </c>
      <c r="R466" s="336" t="inlineStr">
        <is>
          <t>ต่อ ชม.</t>
        </is>
      </c>
      <c r="S466" s="336" t="inlineStr">
        <is>
          <t>(บาท)</t>
        </is>
      </c>
    </row>
    <row r="467" ht="22.2" customHeight="1" s="375">
      <c r="A467" s="362" t="n">
        <v>11</v>
      </c>
      <c r="B467" s="528">
        <f>AB13</f>
        <v/>
      </c>
      <c r="C467" s="153" t="n"/>
      <c r="D467" s="135" t="n"/>
      <c r="E467" s="362" t="inlineStr">
        <is>
          <t>ครู</t>
        </is>
      </c>
      <c r="F467" s="5" t="n">
        <v>3</v>
      </c>
      <c r="G467" s="529" t="inlineStr">
        <is>
          <t>จันทร์</t>
        </is>
      </c>
      <c r="H467" s="376" t="inlineStr">
        <is>
          <t>20101-2010</t>
        </is>
      </c>
      <c r="I467" s="376" t="inlineStr">
        <is>
          <t>ชย.ทวิ 2/9 (26)</t>
        </is>
      </c>
      <c r="J467" s="334" t="inlineStr">
        <is>
          <t>08:10 - 12:10</t>
        </is>
      </c>
      <c r="K467" s="374" t="n"/>
      <c r="L467" s="367" t="n">
        <v>4</v>
      </c>
      <c r="M467" s="381" t="inlineStr"/>
      <c r="N467" s="381" t="inlineStr"/>
      <c r="O467" s="354" t="inlineStr"/>
      <c r="P467" s="381" t="inlineStr"/>
      <c r="Q467" s="367" t="inlineStr"/>
      <c r="R467" s="381" t="inlineStr"/>
      <c r="S467" s="354" t="inlineStr"/>
      <c r="T467" t="inlineStr"/>
      <c r="U467" t="inlineStr"/>
    </row>
    <row r="468" ht="22.2" customHeight="1" s="375">
      <c r="A468" s="3" t="n"/>
      <c r="B468" s="530" t="n"/>
      <c r="D468" s="374" t="n"/>
      <c r="E468" s="46" t="n"/>
      <c r="F468" s="322" t="n"/>
      <c r="G468" s="535" t="inlineStr">
        <is>
          <t>28 ก.ย.69</t>
        </is>
      </c>
      <c r="H468" s="376" t="inlineStr">
        <is>
          <t>20101-2010</t>
        </is>
      </c>
      <c r="I468" s="376" t="inlineStr">
        <is>
          <t>ชย.ทวิ 2/9 (26)</t>
        </is>
      </c>
      <c r="J468" s="334" t="inlineStr">
        <is>
          <t>13:10 - 16:10</t>
        </is>
      </c>
      <c r="K468" s="374" t="n"/>
      <c r="L468" s="334" t="n">
        <v>3</v>
      </c>
      <c r="M468" s="334" t="inlineStr"/>
      <c r="N468" s="334" t="inlineStr"/>
      <c r="O468" s="354" t="inlineStr"/>
      <c r="P468" s="334" t="inlineStr"/>
      <c r="Q468" s="334" t="inlineStr"/>
      <c r="R468" s="334" t="inlineStr"/>
      <c r="S468" s="354" t="inlineStr"/>
      <c r="T468" t="inlineStr"/>
      <c r="U468" t="inlineStr"/>
    </row>
    <row r="469" ht="22.2" customHeight="1" s="375">
      <c r="A469" s="3" t="n"/>
      <c r="B469" s="313" t="n"/>
      <c r="D469" s="314" t="n"/>
      <c r="E469" s="314" t="n"/>
      <c r="F469" s="322" t="n"/>
      <c r="G469" s="321" t="inlineStr"/>
      <c r="H469" s="376" t="inlineStr"/>
      <c r="I469" s="376" t="inlineStr"/>
      <c r="J469" s="334" t="inlineStr"/>
      <c r="K469" s="374" t="n"/>
      <c r="L469" s="334" t="inlineStr"/>
      <c r="M469" s="334" t="inlineStr"/>
      <c r="N469" s="334" t="inlineStr"/>
      <c r="O469" s="354" t="inlineStr"/>
      <c r="P469" s="334" t="inlineStr"/>
      <c r="Q469" s="334" t="inlineStr"/>
      <c r="R469" s="334" t="inlineStr"/>
      <c r="S469" s="354" t="inlineStr"/>
      <c r="T469" t="inlineStr"/>
      <c r="U469" t="inlineStr"/>
    </row>
    <row r="470" ht="22.2" customHeight="1" s="375">
      <c r="A470" s="3" t="n"/>
      <c r="B470" s="313" t="n"/>
      <c r="E470" s="3" t="n"/>
      <c r="F470" s="322" t="n"/>
      <c r="G470" s="321" t="inlineStr"/>
      <c r="H470" s="334" t="inlineStr"/>
      <c r="I470" s="334" t="inlineStr"/>
      <c r="J470" s="334" t="inlineStr"/>
      <c r="K470" s="374" t="n"/>
      <c r="L470" s="334" t="inlineStr"/>
      <c r="M470" s="334" t="inlineStr"/>
      <c r="N470" s="334" t="inlineStr"/>
      <c r="O470" s="354" t="inlineStr"/>
      <c r="P470" s="334" t="inlineStr"/>
      <c r="Q470" s="334" t="inlineStr"/>
      <c r="R470" s="334" t="inlineStr"/>
      <c r="S470" s="354" t="inlineStr"/>
      <c r="T470" t="inlineStr"/>
      <c r="U470" t="inlineStr"/>
    </row>
    <row r="471" ht="22.2" customHeight="1" s="375">
      <c r="A471" s="3" t="n"/>
      <c r="E471" s="3" t="n"/>
      <c r="G471" s="344" t="inlineStr"/>
      <c r="H471" s="336" t="inlineStr"/>
      <c r="I471" s="336" t="inlineStr"/>
      <c r="J471" s="336" t="inlineStr"/>
      <c r="K471" s="527" t="n"/>
      <c r="L471" s="334" t="inlineStr"/>
      <c r="M471" s="334" t="inlineStr"/>
      <c r="N471" s="334" t="inlineStr"/>
      <c r="O471" s="354" t="inlineStr"/>
      <c r="P471" s="334" t="inlineStr"/>
      <c r="Q471" s="334" t="inlineStr"/>
      <c r="R471" s="334" t="inlineStr"/>
      <c r="S471" s="354" t="inlineStr"/>
      <c r="T471" t="inlineStr"/>
      <c r="U471" t="inlineStr"/>
    </row>
    <row r="472" ht="22.2" customHeight="1" s="375">
      <c r="A472" s="3" t="n"/>
      <c r="D472" s="374" t="n"/>
      <c r="E472" s="251" t="n"/>
      <c r="G472" s="533" t="inlineStr">
        <is>
          <t>อังคาร</t>
        </is>
      </c>
      <c r="H472" s="376" t="inlineStr">
        <is>
          <t>20101-2016</t>
        </is>
      </c>
      <c r="I472" s="376" t="inlineStr">
        <is>
          <t>ชย.1/3,ชย.1/4 (26)</t>
        </is>
      </c>
      <c r="J472" s="334" t="inlineStr">
        <is>
          <t>08:10 - 10:10</t>
        </is>
      </c>
      <c r="K472" s="374" t="n"/>
      <c r="L472" s="367" t="n">
        <v>2</v>
      </c>
      <c r="M472" s="381" t="inlineStr"/>
      <c r="N472" s="381" t="inlineStr"/>
      <c r="O472" s="354" t="inlineStr"/>
      <c r="P472" s="381" t="inlineStr"/>
      <c r="Q472" s="367" t="inlineStr"/>
      <c r="R472" s="381" t="inlineStr"/>
      <c r="S472" s="354" t="inlineStr"/>
      <c r="T472" s="6" t="inlineStr"/>
      <c r="U472" s="22" t="inlineStr"/>
      <c r="V472" s="57" t="n"/>
      <c r="W472" s="21" t="n"/>
      <c r="X472" s="21" t="n"/>
    </row>
    <row r="473" ht="22.2" customHeight="1" s="375">
      <c r="A473" s="3" t="n"/>
      <c r="D473" s="314" t="n"/>
      <c r="E473" s="314" t="n"/>
      <c r="G473" s="535" t="inlineStr">
        <is>
          <t>29 ก.ย.69</t>
        </is>
      </c>
      <c r="H473" s="376" t="inlineStr">
        <is>
          <t>20101-2006</t>
        </is>
      </c>
      <c r="I473" s="376" t="inlineStr">
        <is>
          <t>ชย.1/3,ชย.1/4 (26)</t>
        </is>
      </c>
      <c r="J473" s="334" t="inlineStr">
        <is>
          <t>10:10 - 12:10</t>
        </is>
      </c>
      <c r="K473" s="374" t="n"/>
      <c r="L473" s="334" t="n">
        <v>2</v>
      </c>
      <c r="M473" s="334" t="inlineStr"/>
      <c r="N473" s="334" t="inlineStr"/>
      <c r="O473" s="354" t="inlineStr"/>
      <c r="P473" s="334" t="inlineStr"/>
      <c r="Q473" s="334" t="inlineStr"/>
      <c r="R473" s="334" t="inlineStr"/>
      <c r="S473" s="354" t="inlineStr"/>
      <c r="T473" s="21" t="inlineStr"/>
      <c r="U473" s="22" t="inlineStr"/>
      <c r="V473" s="57" t="n"/>
      <c r="W473" s="21" t="n"/>
      <c r="X473" s="21" t="n"/>
    </row>
    <row r="474" ht="22.2" customHeight="1" s="375">
      <c r="A474" s="3" t="n"/>
      <c r="B474" s="313" t="n"/>
      <c r="D474" s="314" t="n"/>
      <c r="E474" s="314" t="n"/>
      <c r="G474" s="334" t="inlineStr"/>
      <c r="H474" s="334" t="inlineStr">
        <is>
          <t>20101-2007</t>
        </is>
      </c>
      <c r="I474" s="334" t="inlineStr">
        <is>
          <t>ชย.1/7,ชย.1/8 (26)</t>
        </is>
      </c>
      <c r="J474" s="334" t="inlineStr">
        <is>
          <t>13:10 - 15:10</t>
        </is>
      </c>
      <c r="K474" s="374" t="n"/>
      <c r="L474" s="334" t="n">
        <v>2</v>
      </c>
      <c r="M474" s="334" t="inlineStr"/>
      <c r="N474" s="334" t="inlineStr"/>
      <c r="O474" s="354" t="inlineStr"/>
      <c r="P474" s="334" t="inlineStr"/>
      <c r="Q474" s="334" t="inlineStr"/>
      <c r="R474" s="334" t="inlineStr"/>
      <c r="S474" s="354" t="inlineStr"/>
      <c r="T474" t="inlineStr"/>
      <c r="U474" t="inlineStr"/>
    </row>
    <row r="475" ht="22.2" customHeight="1" s="375">
      <c r="A475" s="3" t="n"/>
      <c r="E475" s="3" t="n"/>
      <c r="G475" s="54" t="inlineStr"/>
      <c r="H475" s="322" t="inlineStr">
        <is>
          <t>20101-2007</t>
        </is>
      </c>
      <c r="I475" s="334" t="inlineStr">
        <is>
          <t>ชย.1/5,ชย.1/6 (26)</t>
        </is>
      </c>
      <c r="J475" s="334" t="inlineStr">
        <is>
          <t>15:10 - 17:10</t>
        </is>
      </c>
      <c r="K475" s="374" t="n"/>
      <c r="L475" s="334" t="n">
        <v>2</v>
      </c>
      <c r="M475" s="334" t="inlineStr"/>
      <c r="N475" s="334" t="inlineStr"/>
      <c r="O475" s="354" t="inlineStr"/>
      <c r="P475" s="334" t="inlineStr"/>
      <c r="Q475" s="334" t="inlineStr"/>
      <c r="R475" s="334" t="inlineStr"/>
      <c r="S475" s="354" t="inlineStr"/>
      <c r="T475" t="inlineStr"/>
      <c r="U475" t="inlineStr"/>
    </row>
    <row r="476" ht="22.2" customHeight="1" s="375">
      <c r="A476" s="3" t="n"/>
      <c r="D476" s="7" t="inlineStr">
        <is>
          <t> </t>
        </is>
      </c>
      <c r="E476" s="3" t="n"/>
      <c r="G476" s="55" t="inlineStr"/>
      <c r="H476" s="336" t="inlineStr"/>
      <c r="I476" s="336" t="inlineStr"/>
      <c r="J476" s="336" t="inlineStr"/>
      <c r="K476" s="527" t="n"/>
      <c r="L476" s="334" t="inlineStr"/>
      <c r="M476" s="334" t="inlineStr"/>
      <c r="N476" s="334" t="inlineStr"/>
      <c r="O476" s="354" t="inlineStr"/>
      <c r="P476" s="334" t="inlineStr"/>
      <c r="Q476" s="334" t="inlineStr"/>
      <c r="R476" s="334" t="inlineStr"/>
      <c r="S476" s="354" t="inlineStr"/>
      <c r="T476" t="inlineStr"/>
      <c r="U476" t="inlineStr"/>
    </row>
    <row r="477" ht="22.2" customHeight="1" s="375">
      <c r="A477" s="3" t="n"/>
      <c r="E477" s="3" t="n"/>
      <c r="G477" s="535" t="inlineStr">
        <is>
          <t>พุธ</t>
        </is>
      </c>
      <c r="H477" s="376" t="inlineStr">
        <is>
          <t>20143-2010</t>
        </is>
      </c>
      <c r="I477" s="376" t="inlineStr">
        <is>
          <t>ชยฟ.3/1 (26)</t>
        </is>
      </c>
      <c r="J477" s="381" t="inlineStr">
        <is>
          <t>08:10 - 10:10</t>
        </is>
      </c>
      <c r="K477" s="135" t="n"/>
      <c r="L477" s="367" t="n">
        <v>2</v>
      </c>
      <c r="M477" s="381" t="inlineStr"/>
      <c r="N477" s="381" t="inlineStr"/>
      <c r="O477" s="354" t="inlineStr"/>
      <c r="P477" s="381" t="inlineStr"/>
      <c r="Q477" s="367" t="inlineStr"/>
      <c r="R477" s="381" t="inlineStr"/>
      <c r="S477" s="354" t="inlineStr"/>
      <c r="T477" t="inlineStr"/>
      <c r="U477" t="inlineStr"/>
    </row>
    <row r="478" ht="22.2" customHeight="1" s="375">
      <c r="A478" s="3" t="n"/>
      <c r="B478" s="321" t="n"/>
      <c r="C478" s="322" t="n"/>
      <c r="D478" s="322" t="n"/>
      <c r="E478" s="334" t="n"/>
      <c r="G478" s="535" t="inlineStr">
        <is>
          <t>30 ก.ย.69</t>
        </is>
      </c>
      <c r="H478" s="376" t="inlineStr">
        <is>
          <t>20101-2006</t>
        </is>
      </c>
      <c r="I478" s="376" t="inlineStr">
        <is>
          <t>ชย.1/1,ชย.1/2 (26)</t>
        </is>
      </c>
      <c r="J478" s="334" t="inlineStr">
        <is>
          <t>10:10 - 12:10</t>
        </is>
      </c>
      <c r="K478" s="374" t="n"/>
      <c r="L478" s="334" t="n">
        <v>2</v>
      </c>
      <c r="M478" s="334" t="inlineStr"/>
      <c r="N478" s="334" t="inlineStr"/>
      <c r="O478" s="354" t="inlineStr"/>
      <c r="P478" s="334" t="inlineStr"/>
      <c r="Q478" s="334" t="inlineStr"/>
      <c r="R478" s="334" t="inlineStr"/>
      <c r="S478" s="354" t="inlineStr"/>
      <c r="T478" t="inlineStr"/>
      <c r="U478" t="inlineStr"/>
    </row>
    <row r="479" ht="22.2" customHeight="1" s="375">
      <c r="A479" s="3" t="n"/>
      <c r="B479" s="313" t="n"/>
      <c r="D479" s="314" t="n"/>
      <c r="E479" s="314" t="n"/>
      <c r="G479" s="334" t="inlineStr"/>
      <c r="H479" s="376" t="inlineStr">
        <is>
          <t>20101-2007</t>
        </is>
      </c>
      <c r="I479" s="376" t="inlineStr">
        <is>
          <t>ชย.1/10,ชย.1/9 (26)</t>
        </is>
      </c>
      <c r="J479" s="334" t="inlineStr">
        <is>
          <t>13:10 - 15:10</t>
        </is>
      </c>
      <c r="K479" s="374" t="n"/>
      <c r="L479" s="334" t="n">
        <v>2</v>
      </c>
      <c r="M479" s="334" t="inlineStr"/>
      <c r="N479" s="334" t="inlineStr"/>
      <c r="O479" s="354" t="inlineStr"/>
      <c r="P479" s="334" t="inlineStr"/>
      <c r="Q479" s="334" t="inlineStr"/>
      <c r="R479" s="334" t="inlineStr"/>
      <c r="S479" s="354" t="inlineStr"/>
      <c r="T479" t="inlineStr"/>
      <c r="U479" t="inlineStr"/>
    </row>
    <row r="480" ht="22.2" customHeight="1" s="375">
      <c r="A480" s="3" t="n"/>
      <c r="E480" s="3" t="n"/>
      <c r="G480" s="321" t="inlineStr"/>
      <c r="H480" s="334" t="inlineStr">
        <is>
          <t>20101-2015</t>
        </is>
      </c>
      <c r="I480" s="334" t="inlineStr">
        <is>
          <t>ชย.3/3 (26)</t>
        </is>
      </c>
      <c r="J480" s="334" t="inlineStr">
        <is>
          <t>17:10 - 21:10</t>
        </is>
      </c>
      <c r="K480" s="374" t="n"/>
      <c r="L480" s="334" t="inlineStr"/>
      <c r="M480" s="334" t="n">
        <v>4</v>
      </c>
      <c r="N480" s="334" t="n">
        <v>200</v>
      </c>
      <c r="O480" s="354">
        <f>M480*N480</f>
        <v/>
      </c>
      <c r="P480" s="334" t="inlineStr"/>
      <c r="Q480" s="334" t="inlineStr"/>
      <c r="R480" s="334" t="inlineStr"/>
      <c r="S480" s="354" t="inlineStr"/>
      <c r="T480" t="inlineStr"/>
      <c r="U480" t="inlineStr"/>
    </row>
    <row r="481" ht="22.2" customHeight="1" s="375">
      <c r="A481" s="3" t="n"/>
      <c r="E481" s="3" t="n"/>
      <c r="G481" s="327" t="inlineStr"/>
      <c r="H481" s="336" t="inlineStr"/>
      <c r="I481" s="336" t="inlineStr"/>
      <c r="J481" s="336" t="inlineStr"/>
      <c r="K481" s="527" t="n"/>
      <c r="L481" s="336" t="inlineStr"/>
      <c r="M481" s="336" t="inlineStr"/>
      <c r="N481" s="336" t="inlineStr"/>
      <c r="O481" s="354" t="inlineStr"/>
      <c r="P481" s="336" t="inlineStr"/>
      <c r="Q481" s="336" t="inlineStr"/>
      <c r="R481" s="336" t="inlineStr"/>
      <c r="S481" s="354" t="inlineStr"/>
      <c r="T481" t="inlineStr"/>
      <c r="U481" t="inlineStr"/>
    </row>
    <row r="482" ht="22.2" customHeight="1" s="375">
      <c r="A482" s="3" t="n"/>
      <c r="D482" s="374" t="n"/>
      <c r="E482" s="251" t="n"/>
      <c r="G482" s="533" t="inlineStr">
        <is>
          <t>พฤหัส</t>
        </is>
      </c>
      <c r="H482" s="376" t="inlineStr">
        <is>
          <t>20000-2002</t>
        </is>
      </c>
      <c r="I482" s="376" t="inlineStr">
        <is>
          <t>ชย.1/1,ชย.1/2 (26)</t>
        </is>
      </c>
      <c r="J482" s="376" t="inlineStr">
        <is>
          <t>13:10 - 15:10</t>
        </is>
      </c>
      <c r="K482" s="374" t="n"/>
      <c r="L482" s="334" t="n">
        <v>2</v>
      </c>
      <c r="M482" s="334" t="inlineStr"/>
      <c r="N482" s="334" t="inlineStr"/>
      <c r="O482" s="354" t="inlineStr"/>
      <c r="P482" s="155" t="inlineStr"/>
      <c r="Q482" s="156" t="inlineStr"/>
      <c r="R482" s="156" t="inlineStr"/>
      <c r="S482" s="354" t="inlineStr"/>
      <c r="T482" t="inlineStr"/>
      <c r="U482" t="inlineStr"/>
    </row>
    <row r="483" ht="22.2" customHeight="1" s="375">
      <c r="A483" s="3" t="n"/>
      <c r="D483" s="314" t="n"/>
      <c r="E483" s="314" t="n"/>
      <c r="G483" s="535" t="inlineStr">
        <is>
          <t>1 ต.ค.69</t>
        </is>
      </c>
      <c r="H483" s="376" t="inlineStr"/>
      <c r="I483" s="376" t="inlineStr"/>
      <c r="J483" s="376" t="inlineStr"/>
      <c r="K483" s="374" t="n"/>
      <c r="L483" s="376" t="inlineStr"/>
      <c r="M483" s="334" t="inlineStr"/>
      <c r="N483" s="334" t="inlineStr"/>
      <c r="O483" s="354" t="inlineStr"/>
      <c r="P483" s="334" t="inlineStr"/>
      <c r="Q483" s="334" t="inlineStr"/>
      <c r="R483" s="334" t="inlineStr"/>
      <c r="S483" s="354" t="inlineStr"/>
      <c r="T483" t="inlineStr"/>
      <c r="U483" t="inlineStr"/>
    </row>
    <row r="484" ht="22.2" customHeight="1" s="375">
      <c r="A484" s="3" t="n"/>
      <c r="B484" s="313" t="n"/>
      <c r="E484" s="3" t="n"/>
      <c r="G484" s="334" t="inlineStr"/>
      <c r="H484" s="376" t="inlineStr"/>
      <c r="I484" s="376" t="inlineStr"/>
      <c r="J484" s="334" t="inlineStr"/>
      <c r="K484" s="374" t="n"/>
      <c r="L484" s="376" t="inlineStr"/>
      <c r="M484" s="376" t="inlineStr"/>
      <c r="N484" s="376" t="inlineStr"/>
      <c r="O484" s="354" t="inlineStr"/>
      <c r="P484" s="3" t="inlineStr"/>
      <c r="Q484" s="3" t="inlineStr"/>
      <c r="R484" s="3" t="inlineStr"/>
      <c r="S484" s="354" t="inlineStr"/>
      <c r="T484" t="inlineStr"/>
      <c r="U484" t="inlineStr"/>
    </row>
    <row r="485" ht="22.2" customHeight="1" s="375">
      <c r="A485" s="3" t="n"/>
      <c r="E485" s="3" t="n"/>
      <c r="G485" s="334" t="inlineStr"/>
      <c r="H485" s="334" t="inlineStr"/>
      <c r="I485" s="334" t="inlineStr"/>
      <c r="J485" s="334" t="inlineStr"/>
      <c r="K485" s="374" t="n"/>
      <c r="L485" s="334" t="inlineStr"/>
      <c r="M485" s="334" t="inlineStr"/>
      <c r="N485" s="334" t="inlineStr"/>
      <c r="O485" s="354" t="inlineStr"/>
      <c r="P485" s="334" t="inlineStr"/>
      <c r="Q485" s="334" t="inlineStr"/>
      <c r="R485" s="334" t="inlineStr"/>
      <c r="S485" s="354" t="inlineStr"/>
      <c r="T485" t="inlineStr"/>
      <c r="U485" t="inlineStr"/>
    </row>
    <row r="486" ht="22.2" customHeight="1" s="375">
      <c r="A486" s="3" t="n"/>
      <c r="E486" s="3" t="n"/>
      <c r="G486" s="336" t="inlineStr"/>
      <c r="H486" s="328" t="inlineStr"/>
      <c r="I486" s="336" t="inlineStr"/>
      <c r="J486" s="336" t="inlineStr"/>
      <c r="K486" s="527" t="n"/>
      <c r="L486" s="336" t="inlineStr"/>
      <c r="M486" s="336" t="inlineStr"/>
      <c r="N486" s="336" t="inlineStr"/>
      <c r="O486" s="354" t="inlineStr"/>
      <c r="P486" s="336" t="inlineStr"/>
      <c r="Q486" s="336" t="inlineStr"/>
      <c r="R486" s="336" t="inlineStr"/>
      <c r="S486" s="354" t="inlineStr"/>
      <c r="T486" t="inlineStr"/>
      <c r="U486" t="inlineStr"/>
    </row>
    <row r="487" ht="22.2" customHeight="1" s="375">
      <c r="A487" s="3" t="n"/>
      <c r="E487" s="3" t="n"/>
      <c r="G487" s="533" t="inlineStr">
        <is>
          <t>ศุกร์</t>
        </is>
      </c>
      <c r="H487" s="376" t="inlineStr">
        <is>
          <t>20001-1005</t>
        </is>
      </c>
      <c r="I487" s="376" t="inlineStr">
        <is>
          <t>ชย.2/5,ชย.2/6 (26)</t>
        </is>
      </c>
      <c r="J487" s="381" t="inlineStr">
        <is>
          <t>08:10 - 12:10</t>
        </is>
      </c>
      <c r="K487" s="135" t="n"/>
      <c r="L487" s="334" t="inlineStr"/>
      <c r="M487" s="334" t="n">
        <v>4</v>
      </c>
      <c r="N487" s="334" t="n">
        <v>200</v>
      </c>
      <c r="O487" s="354">
        <f>M487*N487</f>
        <v/>
      </c>
      <c r="P487" s="381" t="inlineStr"/>
      <c r="Q487" s="367" t="inlineStr"/>
      <c r="R487" s="381" t="inlineStr"/>
      <c r="S487" s="354" t="inlineStr"/>
      <c r="T487" t="inlineStr"/>
      <c r="U487" t="inlineStr"/>
    </row>
    <row r="488" ht="22.2" customHeight="1" s="375">
      <c r="A488" s="3" t="n"/>
      <c r="E488" s="3" t="n"/>
      <c r="G488" s="535" t="inlineStr">
        <is>
          <t>2 ต.ค.69</t>
        </is>
      </c>
      <c r="H488" s="376" t="inlineStr">
        <is>
          <t>20001-1005</t>
        </is>
      </c>
      <c r="I488" s="376" t="inlineStr">
        <is>
          <t>ชย.2/7,ชย.2/8,ชย.ทวิ 2/9 (26)</t>
        </is>
      </c>
      <c r="J488" s="334" t="inlineStr">
        <is>
          <t>13:10 - 17:10</t>
        </is>
      </c>
      <c r="K488" s="374" t="n"/>
      <c r="L488" s="334" t="inlineStr"/>
      <c r="M488" s="334" t="n">
        <v>4</v>
      </c>
      <c r="N488" s="334" t="n">
        <v>200</v>
      </c>
      <c r="O488" s="354">
        <f>M488*N488</f>
        <v/>
      </c>
      <c r="P488" s="334" t="inlineStr"/>
      <c r="Q488" s="334" t="inlineStr"/>
      <c r="R488" s="334" t="inlineStr"/>
      <c r="S488" s="354" t="inlineStr"/>
      <c r="T488" t="inlineStr"/>
      <c r="U488" t="inlineStr"/>
    </row>
    <row r="489" ht="22.2" customHeight="1" s="375">
      <c r="A489" s="3" t="n"/>
      <c r="E489" s="3" t="n"/>
      <c r="G489" s="334" t="inlineStr"/>
      <c r="H489" s="334" t="inlineStr"/>
      <c r="I489" s="334" t="inlineStr"/>
      <c r="J489" s="334" t="inlineStr"/>
      <c r="K489" s="374" t="n"/>
      <c r="L489" s="334" t="inlineStr"/>
      <c r="M489" s="334" t="inlineStr"/>
      <c r="N489" s="334" t="inlineStr"/>
      <c r="O489" s="354" t="inlineStr"/>
      <c r="P489" s="334" t="inlineStr"/>
      <c r="Q489" s="334" t="inlineStr"/>
      <c r="R489" s="334" t="inlineStr"/>
      <c r="S489" s="354" t="inlineStr"/>
      <c r="T489" t="inlineStr"/>
      <c r="U489" t="inlineStr"/>
    </row>
    <row r="490" ht="22.2" customHeight="1" s="375">
      <c r="A490" s="3" t="n"/>
      <c r="E490" s="3" t="n"/>
      <c r="G490" s="334" t="inlineStr"/>
      <c r="H490" s="322" t="inlineStr"/>
      <c r="I490" s="334" t="inlineStr"/>
      <c r="J490" s="334" t="inlineStr"/>
      <c r="K490" s="374" t="n"/>
      <c r="L490" s="334" t="inlineStr"/>
      <c r="M490" s="334" t="inlineStr"/>
      <c r="N490" s="334" t="inlineStr"/>
      <c r="O490" s="354" t="inlineStr"/>
      <c r="P490" s="334" t="inlineStr"/>
      <c r="Q490" s="334" t="inlineStr"/>
      <c r="R490" s="334" t="inlineStr"/>
      <c r="S490" s="354" t="inlineStr"/>
      <c r="T490" t="inlineStr"/>
      <c r="U490" t="inlineStr"/>
    </row>
    <row r="491" ht="22.2" customHeight="1" s="375">
      <c r="A491" s="3" t="n"/>
      <c r="E491" s="3" t="n"/>
      <c r="F491" s="3" t="n"/>
      <c r="G491" s="329" t="inlineStr"/>
      <c r="H491" s="328" t="inlineStr"/>
      <c r="I491" s="336" t="inlineStr"/>
      <c r="J491" s="336" t="inlineStr"/>
      <c r="K491" s="527" t="n"/>
      <c r="L491" s="336" t="inlineStr"/>
      <c r="M491" s="336" t="inlineStr"/>
      <c r="N491" s="336" t="inlineStr"/>
      <c r="O491" s="354" t="inlineStr"/>
      <c r="P491" s="336" t="inlineStr"/>
      <c r="Q491" s="336" t="inlineStr"/>
      <c r="R491" s="336" t="inlineStr"/>
      <c r="S491" s="354" t="inlineStr"/>
      <c r="T491" t="inlineStr"/>
      <c r="U491" t="inlineStr"/>
    </row>
    <row r="492" ht="22.2" customHeight="1" s="375">
      <c r="A492" s="3" t="n"/>
      <c r="E492" s="3" t="n"/>
      <c r="F492" s="3" t="n"/>
      <c r="G492" s="16" t="inlineStr">
        <is>
          <t>รวมขั่วโมงที่สอนแยก ภาระงาน/ เกินภาระงาน</t>
        </is>
      </c>
      <c r="H492" s="518" t="n"/>
      <c r="I492" s="518" t="n"/>
      <c r="J492" s="518" t="n"/>
      <c r="K492" s="432" t="n"/>
      <c r="L492" s="16">
        <f>SUM(L467:L491)</f>
        <v/>
      </c>
      <c r="M492" s="16">
        <f>SUM(M467:M491)</f>
        <v/>
      </c>
      <c r="N492" s="16" t="n"/>
      <c r="O492" s="16" t="n"/>
      <c r="P492" s="16">
        <f>SUM(P467:P491)</f>
        <v/>
      </c>
      <c r="Q492" s="16">
        <f>SUM(Q467:Q491)</f>
        <v/>
      </c>
      <c r="R492" s="349" t="n"/>
      <c r="S492" s="16" t="n"/>
    </row>
    <row r="493" ht="22.2" customHeight="1" s="375">
      <c r="A493" s="3" t="n"/>
      <c r="E493" s="3" t="n"/>
      <c r="F493" s="3" t="n"/>
      <c r="G493" s="16" t="inlineStr">
        <is>
          <t>รวมจำนวนชั่วโมงสอนคาบต่อสับดาห์</t>
        </is>
      </c>
      <c r="H493" s="518" t="n"/>
      <c r="I493" s="518" t="n"/>
      <c r="J493" s="518" t="n"/>
      <c r="K493" s="432" t="n"/>
      <c r="L493" s="16">
        <f>L492+M492</f>
        <v/>
      </c>
      <c r="M493" s="432" t="n"/>
      <c r="N493" s="16" t="n"/>
      <c r="O493" s="348" t="n"/>
      <c r="P493" s="16">
        <f>P492+Q492</f>
        <v/>
      </c>
      <c r="Q493" s="432" t="n"/>
      <c r="R493" s="329" t="n"/>
      <c r="S493" s="336" t="n"/>
    </row>
    <row r="494" ht="22.2" customHeight="1" s="375">
      <c r="A494" s="3" t="n"/>
      <c r="E494" s="3" t="n"/>
      <c r="F494" s="3" t="n"/>
      <c r="G494" s="16" t="inlineStr">
        <is>
          <t>จำนวนชั่วโมงสอนตามภาระงานสอน</t>
        </is>
      </c>
      <c r="H494" s="518" t="n"/>
      <c r="I494" s="518" t="n"/>
      <c r="J494" s="518" t="n"/>
      <c r="K494" s="432" t="n"/>
      <c r="L494" s="131" t="n">
        <v>18</v>
      </c>
      <c r="M494" s="432" t="n"/>
      <c r="N494" s="130" t="n"/>
      <c r="O494" s="131" t="n"/>
      <c r="P494" s="131" t="n">
        <v>0</v>
      </c>
      <c r="Q494" s="432" t="n"/>
      <c r="R494" s="322" t="n"/>
      <c r="S494" s="334" t="n"/>
    </row>
    <row r="495" ht="22.2" customHeight="1" s="375" thickBot="1">
      <c r="A495" s="3" t="n"/>
      <c r="E495" s="3" t="n"/>
      <c r="F495" s="14" t="n"/>
      <c r="G495" s="16" t="inlineStr">
        <is>
          <t>จำนวนชั่วโมงบิกเกินภาระงานสอน/ค่าสอน</t>
        </is>
      </c>
      <c r="H495" s="518" t="n"/>
      <c r="I495" s="518" t="n"/>
      <c r="J495" s="518" t="n"/>
      <c r="K495" s="432" t="n"/>
      <c r="L495" s="17" t="n">
        <v>0</v>
      </c>
      <c r="M495" s="17">
        <f>SUM(M467:M491)</f>
        <v/>
      </c>
      <c r="N495" s="17" t="n"/>
      <c r="O495" s="17">
        <f>SUM(O467:O491)</f>
        <v/>
      </c>
      <c r="P495" s="17" t="n">
        <v>0</v>
      </c>
      <c r="Q495" s="17">
        <f>SUM(Q467:Q491)</f>
        <v/>
      </c>
      <c r="R495" s="18" t="n"/>
      <c r="S495" s="17">
        <f>SUM(S467:S491)</f>
        <v/>
      </c>
    </row>
    <row r="496" ht="22.2" customHeight="1" s="375" thickTop="1">
      <c r="A496" s="337" t="inlineStr">
        <is>
          <t>รวมจำนวนหน่วยชั่วโมงที่ขอเบิกค่าสอน ….</t>
        </is>
      </c>
      <c r="B496" s="518" t="n"/>
      <c r="C496" s="518" t="n"/>
      <c r="D496" s="518" t="n"/>
      <c r="E496" s="518" t="n"/>
      <c r="F496" s="518" t="n"/>
      <c r="G496" s="518" t="n"/>
      <c r="H496" s="348">
        <f>M495+Q495</f>
        <v/>
      </c>
      <c r="I496" s="348" t="inlineStr">
        <is>
          <t>….ชั่วโมง</t>
        </is>
      </c>
      <c r="J496" s="348" t="n"/>
      <c r="K496" s="328" t="inlineStr">
        <is>
          <t>ยอดเงินรวม</t>
        </is>
      </c>
      <c r="L496" s="522" t="n"/>
      <c r="M496" s="522" t="n"/>
      <c r="N496" s="328" t="n"/>
      <c r="O496" s="328" t="n"/>
      <c r="P496" s="339">
        <f>S495+O495</f>
        <v/>
      </c>
      <c r="Q496" s="538" t="n"/>
      <c r="R496" s="20" t="n"/>
      <c r="S496" s="19" t="inlineStr">
        <is>
          <t>..บาท</t>
        </is>
      </c>
    </row>
    <row r="497" ht="22.2" customHeight="1" s="375">
      <c r="A497" s="154" t="inlineStr">
        <is>
          <t>ผู้ขอเบิก</t>
        </is>
      </c>
      <c r="B497" s="153" t="n"/>
      <c r="C497" s="153" t="n"/>
      <c r="D497" s="153" t="n"/>
      <c r="E497" s="153" t="n"/>
      <c r="F497" s="153" t="n"/>
      <c r="G497" s="135" t="n"/>
      <c r="H497" s="154" t="inlineStr">
        <is>
          <t>ผู้รับรอง</t>
        </is>
      </c>
      <c r="I497" s="153" t="n"/>
      <c r="J497" s="153" t="n"/>
      <c r="K497" s="153" t="n"/>
      <c r="L497" s="135" t="n"/>
      <c r="M497" s="154" t="inlineStr">
        <is>
          <t>ผู้ตรวจ</t>
        </is>
      </c>
      <c r="N497" s="153" t="n"/>
      <c r="O497" s="153" t="n"/>
      <c r="P497" s="153" t="n"/>
      <c r="Q497" s="153" t="n"/>
      <c r="R497" s="153" t="n"/>
      <c r="S497" s="135" t="n"/>
    </row>
    <row r="498" ht="22.2" customHeight="1" s="375">
      <c r="A498" s="334" t="inlineStr">
        <is>
          <t>ลงชื่อ……………………………………………</t>
        </is>
      </c>
      <c r="G498" s="374" t="n"/>
      <c r="H498" s="334" t="inlineStr">
        <is>
          <t>ลงชื่อ……………………………………………</t>
        </is>
      </c>
      <c r="L498" s="374" t="n"/>
      <c r="M498" s="334" t="inlineStr">
        <is>
          <t>ลงชื่อ……………………………………………</t>
        </is>
      </c>
      <c r="S498" s="374" t="n"/>
    </row>
    <row r="499" ht="22.2" customHeight="1" s="375">
      <c r="A499" s="11" t="inlineStr">
        <is>
          <t>(</t>
        </is>
      </c>
      <c r="B499" s="324">
        <f>B467</f>
        <v/>
      </c>
      <c r="G499" s="326" t="inlineStr">
        <is>
          <t>)</t>
        </is>
      </c>
      <c r="H499" s="324" t="inlineStr">
        <is>
          <t>(</t>
        </is>
      </c>
      <c r="I499" s="340">
        <f>I453</f>
        <v/>
      </c>
      <c r="L499" s="12" t="inlineStr">
        <is>
          <t>)</t>
        </is>
      </c>
      <c r="M499" s="53" t="inlineStr">
        <is>
          <t>(</t>
        </is>
      </c>
      <c r="N499" s="53" t="n"/>
      <c r="O499" s="324">
        <f>O39</f>
        <v/>
      </c>
      <c r="R499" s="25" t="n"/>
      <c r="S499" s="326" t="inlineStr">
        <is>
          <t>)</t>
        </is>
      </c>
    </row>
    <row r="500" ht="22.2" customHeight="1" s="375">
      <c r="A500" s="540" t="inlineStr">
        <is>
          <t xml:space="preserve">                         ตำแหน่ง  ครู</t>
        </is>
      </c>
      <c r="G500" s="374" t="n"/>
      <c r="H500" s="54" t="inlineStr">
        <is>
          <t>ตำแหน่ง หัวหน้าแผนก</t>
        </is>
      </c>
      <c r="L500" s="374" t="n"/>
      <c r="M500" s="54" t="inlineStr">
        <is>
          <t>ตำแหน่ง   ผู้ตรวจสอบ</t>
        </is>
      </c>
      <c r="S500" s="374" t="n"/>
    </row>
    <row r="501" ht="22.2" customHeight="1" s="375">
      <c r="A501" s="55" t="inlineStr">
        <is>
          <t>วันที่ 5 เดือน ตุลาคม  พ.ศ.2569</t>
        </is>
      </c>
      <c r="B501" s="522" t="n"/>
      <c r="C501" s="522" t="n"/>
      <c r="D501" s="522" t="n"/>
      <c r="E501" s="522" t="n"/>
      <c r="F501" s="522" t="n"/>
      <c r="G501" s="527" t="n"/>
      <c r="H501" s="54">
        <f>A41</f>
        <v/>
      </c>
      <c r="L501" s="374" t="n"/>
      <c r="M501" s="55">
        <f>A41</f>
        <v/>
      </c>
      <c r="N501" s="522" t="n"/>
      <c r="O501" s="522" t="n"/>
      <c r="P501" s="522" t="n"/>
      <c r="Q501" s="522" t="n"/>
      <c r="R501" s="522" t="n"/>
      <c r="S501" s="527" t="n"/>
    </row>
    <row r="502" ht="22.2" customHeight="1" s="375">
      <c r="A502" s="154" t="inlineStr">
        <is>
          <t>ผู้ตรวจ</t>
        </is>
      </c>
      <c r="B502" s="153" t="n"/>
      <c r="C502" s="153" t="n"/>
      <c r="D502" s="153" t="n"/>
      <c r="E502" s="153" t="n"/>
      <c r="F502" s="153" t="n"/>
      <c r="G502" s="153" t="n"/>
      <c r="H502" s="153" t="n"/>
      <c r="I502" s="135" t="n"/>
      <c r="J502" s="154" t="inlineStr">
        <is>
          <t>ผู้เห็นชอบ</t>
        </is>
      </c>
      <c r="K502" s="153" t="n"/>
      <c r="L502" s="153" t="n"/>
      <c r="M502" s="153" t="n"/>
      <c r="N502" s="153" t="n"/>
      <c r="O502" s="153" t="n"/>
      <c r="P502" s="153" t="n"/>
      <c r="Q502" s="153" t="n"/>
      <c r="R502" s="153" t="n"/>
      <c r="S502" s="135" t="n"/>
    </row>
    <row r="503" ht="22.2" customHeight="1" s="375">
      <c r="A503" s="334" t="inlineStr">
        <is>
          <t>ลงชื่อ……………………………………………</t>
        </is>
      </c>
      <c r="I503" s="374" t="n"/>
      <c r="J503" s="334" t="inlineStr">
        <is>
          <t>ลงชื่อ……………………………………………</t>
        </is>
      </c>
      <c r="S503" s="374" t="n"/>
    </row>
    <row r="504" ht="22.2" customHeight="1" s="375">
      <c r="A504" s="11" t="n"/>
      <c r="B504" s="324">
        <f>B44</f>
        <v/>
      </c>
      <c r="I504" s="326" t="n"/>
      <c r="J504" s="25" t="n"/>
      <c r="K504" s="25" t="n"/>
      <c r="L504" s="324">
        <f>L44</f>
        <v/>
      </c>
      <c r="R504" s="25" t="n"/>
      <c r="S504" s="12" t="n"/>
    </row>
    <row r="505" ht="22.2" customHeight="1" s="375">
      <c r="A505" s="54" t="inlineStr">
        <is>
          <t>ตำแหน่งครู  หัวหน้างานพัฒนาหลักสูตร ฯ</t>
        </is>
      </c>
      <c r="I505" s="374" t="n"/>
      <c r="J505" s="54" t="inlineStr">
        <is>
          <t>ตำแหน่ง  รองผู้อำนวยการฝ่ายวิชาการ</t>
        </is>
      </c>
      <c r="S505" s="374" t="n"/>
    </row>
    <row r="506" ht="22.2" customHeight="1" s="375">
      <c r="A506" s="336" t="inlineStr">
        <is>
          <t>วันที่.......เดือน..........................พ.ศ..............</t>
        </is>
      </c>
      <c r="B506" s="522" t="n"/>
      <c r="C506" s="522" t="n"/>
      <c r="D506" s="522" t="n"/>
      <c r="E506" s="522" t="n"/>
      <c r="F506" s="522" t="n"/>
      <c r="G506" s="522" t="n"/>
      <c r="H506" s="522" t="n"/>
      <c r="I506" s="527" t="n"/>
      <c r="J506" s="336" t="inlineStr">
        <is>
          <t>วันที่.......เดือน..........................พ.ศ..............</t>
        </is>
      </c>
      <c r="K506" s="522" t="n"/>
      <c r="L506" s="522" t="n"/>
      <c r="M506" s="522" t="n"/>
      <c r="N506" s="522" t="n"/>
      <c r="O506" s="522" t="n"/>
      <c r="P506" s="522" t="n"/>
      <c r="Q506" s="522" t="n"/>
      <c r="R506" s="522" t="n"/>
      <c r="S506" s="527" t="n"/>
    </row>
    <row r="507" ht="22.2" customHeight="1" s="375">
      <c r="A507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75">
      <c r="A508" s="365" t="inlineStr">
        <is>
          <t>แผนกวิชาช่างยนต์</t>
        </is>
      </c>
    </row>
    <row r="509" ht="22.2" customHeight="1" s="375">
      <c r="A509" s="366" t="inlineStr">
        <is>
          <t xml:space="preserve">    ระหว่างวันที่</t>
        </is>
      </c>
      <c r="D509" s="365">
        <f>D3</f>
        <v/>
      </c>
      <c r="E509" s="365" t="inlineStr">
        <is>
          <t xml:space="preserve">   เดือน  </t>
        </is>
      </c>
      <c r="F509" s="365">
        <f>F3</f>
        <v/>
      </c>
      <c r="H509" s="365">
        <f>H3</f>
        <v/>
      </c>
      <c r="I509" s="365" t="inlineStr">
        <is>
          <t xml:space="preserve">     ถึง วันที่</t>
        </is>
      </c>
      <c r="J509" s="365">
        <f>J3</f>
        <v/>
      </c>
      <c r="K509" s="365" t="inlineStr">
        <is>
          <t xml:space="preserve">   เดือน </t>
        </is>
      </c>
      <c r="L509" s="365">
        <f>L3</f>
        <v/>
      </c>
      <c r="N509" s="365">
        <f>N3</f>
        <v/>
      </c>
      <c r="P509" s="365" t="n"/>
      <c r="R509" s="365" t="n"/>
    </row>
    <row r="510" ht="22.2" customHeight="1" s="375">
      <c r="G510" s="51" t="inlineStr">
        <is>
          <t>ü</t>
        </is>
      </c>
      <c r="H510" s="351" t="inlineStr">
        <is>
          <t>ครู</t>
        </is>
      </c>
      <c r="I510" s="322" t="inlineStr">
        <is>
          <t>หน้าที่พิเศษ</t>
        </is>
      </c>
      <c r="J510" s="351" t="inlineStr">
        <is>
          <t>รหัสวิชา</t>
        </is>
      </c>
    </row>
    <row r="511" ht="22.2" customHeight="1" s="375">
      <c r="A511" s="24" t="inlineStr">
        <is>
          <t>ที่</t>
        </is>
      </c>
      <c r="B511" s="24" t="inlineStr">
        <is>
          <t>ชื่อ-สกุล</t>
        </is>
      </c>
      <c r="C511" s="153" t="n"/>
      <c r="D511" s="135" t="n"/>
      <c r="E511" s="15" t="inlineStr">
        <is>
          <t>ตำแหน่ง</t>
        </is>
      </c>
      <c r="F511" s="16" t="inlineStr">
        <is>
          <t>ระยะเวลาที่สอน</t>
        </is>
      </c>
      <c r="G511" s="432" t="n"/>
      <c r="H511" s="16" t="inlineStr">
        <is>
          <t>รหัสวิชา</t>
        </is>
      </c>
      <c r="I511" s="362" t="inlineStr">
        <is>
          <t>ชั้น,แผนก,ห้อง</t>
        </is>
      </c>
      <c r="J511" s="16" t="inlineStr">
        <is>
          <t>เวลาสอน</t>
        </is>
      </c>
      <c r="K511" s="135" t="n"/>
      <c r="L511" s="16" t="inlineStr">
        <is>
          <t>ปวช.(คาบ)</t>
        </is>
      </c>
      <c r="M511" s="432" t="n"/>
      <c r="N511" s="354" t="inlineStr">
        <is>
          <t>เงิน</t>
        </is>
      </c>
      <c r="O511" s="362" t="inlineStr">
        <is>
          <t>ยอดเงิน</t>
        </is>
      </c>
      <c r="P511" s="524" t="inlineStr">
        <is>
          <t>ปวส.(คาบ)</t>
        </is>
      </c>
      <c r="Q511" s="432" t="n"/>
      <c r="R511" s="354" t="inlineStr">
        <is>
          <t>เงิน</t>
        </is>
      </c>
      <c r="S511" s="362" t="inlineStr">
        <is>
          <t>ยอดเงิน</t>
        </is>
      </c>
    </row>
    <row r="512" ht="22.2" customHeight="1" s="375">
      <c r="A512" s="52" t="n"/>
      <c r="B512" s="8" t="n"/>
      <c r="C512" s="9" t="n"/>
      <c r="D512" s="13" t="n"/>
      <c r="E512" s="10" t="n"/>
      <c r="F512" s="336" t="inlineStr">
        <is>
          <t>ส.</t>
        </is>
      </c>
      <c r="G512" s="336" t="inlineStr">
        <is>
          <t>วดป.</t>
        </is>
      </c>
      <c r="H512" s="525" t="n"/>
      <c r="I512" s="336" t="n"/>
      <c r="J512" s="526" t="n"/>
      <c r="K512" s="527" t="n"/>
      <c r="L512" s="336" t="inlineStr">
        <is>
          <t>ใน</t>
        </is>
      </c>
      <c r="M512" s="336" t="inlineStr">
        <is>
          <t>นอก</t>
        </is>
      </c>
      <c r="N512" s="336" t="inlineStr">
        <is>
          <t>ต่อ ชม.</t>
        </is>
      </c>
      <c r="O512" s="336" t="inlineStr">
        <is>
          <t>(บาท)</t>
        </is>
      </c>
      <c r="P512" s="52" t="inlineStr">
        <is>
          <t>ใน</t>
        </is>
      </c>
      <c r="Q512" s="52" t="inlineStr">
        <is>
          <t>นอก</t>
        </is>
      </c>
      <c r="R512" s="336" t="inlineStr">
        <is>
          <t>ต่อ ชม.</t>
        </is>
      </c>
      <c r="S512" s="336" t="inlineStr">
        <is>
          <t>(บาท)</t>
        </is>
      </c>
    </row>
    <row r="513" ht="22.2" customHeight="1" s="375">
      <c r="A513" s="362" t="n">
        <v>12</v>
      </c>
      <c r="B513" s="528">
        <f>AB14</f>
        <v/>
      </c>
      <c r="C513" s="153" t="n"/>
      <c r="D513" s="135" t="n"/>
      <c r="E513" s="362" t="inlineStr">
        <is>
          <t>ครู</t>
        </is>
      </c>
      <c r="F513" s="5" t="n">
        <v>3</v>
      </c>
      <c r="G513" s="529" t="inlineStr">
        <is>
          <t>จันทร์</t>
        </is>
      </c>
      <c r="H513" s="376" t="inlineStr"/>
      <c r="I513" s="334" t="inlineStr"/>
      <c r="J513" s="381" t="inlineStr"/>
      <c r="K513" s="135" t="n"/>
      <c r="L513" s="367" t="inlineStr"/>
      <c r="M513" s="381" t="inlineStr"/>
      <c r="N513" s="381" t="inlineStr"/>
      <c r="O513" s="354" t="inlineStr"/>
      <c r="P513" s="381" t="inlineStr"/>
      <c r="Q513" s="367" t="inlineStr"/>
      <c r="R513" s="381" t="inlineStr"/>
      <c r="S513" s="354" t="inlineStr"/>
      <c r="T513" t="inlineStr"/>
      <c r="U513" t="inlineStr"/>
    </row>
    <row r="514" ht="22.2" customHeight="1" s="375">
      <c r="A514" s="3" t="n"/>
      <c r="B514" s="530" t="n"/>
      <c r="D514" s="374" t="n"/>
      <c r="E514" s="46" t="n"/>
      <c r="F514" s="322" t="n"/>
      <c r="G514" s="535" t="inlineStr">
        <is>
          <t>28 ก.ย.69</t>
        </is>
      </c>
      <c r="H514" s="376" t="inlineStr"/>
      <c r="I514" s="334" t="inlineStr"/>
      <c r="J514" s="334" t="inlineStr"/>
      <c r="K514" s="374" t="n"/>
      <c r="L514" s="334" t="inlineStr"/>
      <c r="M514" s="334" t="inlineStr"/>
      <c r="N514" s="334" t="inlineStr"/>
      <c r="O514" s="354" t="inlineStr"/>
      <c r="P514" s="334" t="inlineStr"/>
      <c r="Q514" s="334" t="inlineStr"/>
      <c r="R514" s="334" t="inlineStr"/>
      <c r="S514" s="354" t="inlineStr"/>
      <c r="T514" t="inlineStr"/>
      <c r="U514" t="inlineStr"/>
    </row>
    <row r="515" ht="22.2" customHeight="1" s="375">
      <c r="A515" s="3" t="n"/>
      <c r="B515" s="313" t="n"/>
      <c r="D515" s="314" t="n"/>
      <c r="E515" s="314" t="n"/>
      <c r="F515" s="322" t="n"/>
      <c r="G515" s="321" t="inlineStr"/>
      <c r="H515" s="376" t="inlineStr"/>
      <c r="I515" s="334" t="inlineStr"/>
      <c r="J515" s="334" t="inlineStr"/>
      <c r="K515" s="374" t="n"/>
      <c r="L515" s="334" t="inlineStr"/>
      <c r="M515" s="334" t="inlineStr"/>
      <c r="N515" s="334" t="inlineStr"/>
      <c r="O515" s="354" t="inlineStr"/>
      <c r="P515" s="334" t="inlineStr"/>
      <c r="Q515" s="334" t="inlineStr"/>
      <c r="R515" s="334" t="inlineStr"/>
      <c r="S515" s="354" t="inlineStr"/>
      <c r="T515" t="inlineStr"/>
      <c r="U515" t="inlineStr"/>
    </row>
    <row r="516" ht="22.2" customHeight="1" s="375">
      <c r="A516" s="3" t="n"/>
      <c r="B516" s="313" t="n"/>
      <c r="E516" s="3" t="n"/>
      <c r="F516" s="322" t="n"/>
      <c r="G516" s="321" t="inlineStr"/>
      <c r="H516" s="334" t="inlineStr"/>
      <c r="I516" s="334" t="inlineStr"/>
      <c r="J516" s="334" t="inlineStr"/>
      <c r="K516" s="374" t="n"/>
      <c r="L516" s="334" t="inlineStr"/>
      <c r="M516" s="334" t="inlineStr"/>
      <c r="N516" s="334" t="inlineStr"/>
      <c r="O516" s="354" t="inlineStr"/>
      <c r="P516" s="334" t="inlineStr"/>
      <c r="Q516" s="334" t="inlineStr"/>
      <c r="R516" s="334" t="inlineStr"/>
      <c r="S516" s="354" t="inlineStr"/>
      <c r="T516" t="inlineStr"/>
      <c r="U516" t="inlineStr"/>
    </row>
    <row r="517" ht="22.2" customHeight="1" s="375">
      <c r="A517" s="3" t="n"/>
      <c r="E517" s="3" t="n"/>
      <c r="G517" s="344" t="inlineStr"/>
      <c r="H517" s="336" t="inlineStr"/>
      <c r="I517" s="336" t="inlineStr"/>
      <c r="J517" s="336" t="inlineStr"/>
      <c r="K517" s="527" t="n"/>
      <c r="L517" s="334" t="inlineStr"/>
      <c r="M517" s="334" t="inlineStr"/>
      <c r="N517" s="334" t="inlineStr"/>
      <c r="O517" s="354" t="inlineStr"/>
      <c r="P517" s="334" t="inlineStr"/>
      <c r="Q517" s="334" t="inlineStr"/>
      <c r="R517" s="334" t="inlineStr"/>
      <c r="S517" s="354" t="inlineStr"/>
      <c r="T517" t="inlineStr"/>
      <c r="U517" t="inlineStr"/>
    </row>
    <row r="518" ht="22.2" customHeight="1" s="375">
      <c r="A518" s="3" t="n"/>
      <c r="E518" s="3" t="n"/>
      <c r="G518" s="533" t="inlineStr">
        <is>
          <t>อังคาร</t>
        </is>
      </c>
      <c r="H518" s="376" t="inlineStr">
        <is>
          <t>20101-2013</t>
        </is>
      </c>
      <c r="I518" s="334" t="inlineStr">
        <is>
          <t>ชย.3/7 (26)</t>
        </is>
      </c>
      <c r="J518" s="381" t="inlineStr">
        <is>
          <t>08:10 - 12:10</t>
        </is>
      </c>
      <c r="K518" s="135" t="n"/>
      <c r="L518" s="367" t="n">
        <v>4</v>
      </c>
      <c r="M518" s="381" t="inlineStr"/>
      <c r="N518" s="381" t="inlineStr"/>
      <c r="O518" s="354" t="inlineStr"/>
      <c r="P518" s="381" t="inlineStr"/>
      <c r="Q518" s="367" t="inlineStr"/>
      <c r="R518" s="381" t="inlineStr"/>
      <c r="S518" s="354" t="inlineStr"/>
      <c r="T518" t="inlineStr"/>
      <c r="U518" t="inlineStr"/>
    </row>
    <row r="519" ht="22.2" customHeight="1" s="375">
      <c r="A519" s="3" t="n"/>
      <c r="E519" s="3" t="n"/>
      <c r="G519" s="535" t="inlineStr">
        <is>
          <t>29 ก.ย.69</t>
        </is>
      </c>
      <c r="H519" s="376" t="inlineStr">
        <is>
          <t>20101-2013</t>
        </is>
      </c>
      <c r="I519" s="334" t="inlineStr">
        <is>
          <t>ชย.3/7 (26)</t>
        </is>
      </c>
      <c r="J519" s="376" t="inlineStr">
        <is>
          <t>13:10 - 16:10</t>
        </is>
      </c>
      <c r="K519" s="374" t="n"/>
      <c r="L519" s="334" t="n">
        <v>3</v>
      </c>
      <c r="M519" s="334" t="inlineStr"/>
      <c r="N519" s="334" t="inlineStr"/>
      <c r="O519" s="354" t="inlineStr"/>
      <c r="P519" s="334" t="inlineStr"/>
      <c r="Q519" s="334" t="inlineStr"/>
      <c r="R519" s="334" t="inlineStr"/>
      <c r="S519" s="354" t="inlineStr"/>
      <c r="T519" t="inlineStr"/>
      <c r="U519" t="inlineStr"/>
    </row>
    <row r="520" ht="22.2" customHeight="1" s="375">
      <c r="A520" s="3" t="n"/>
      <c r="B520" s="313" t="n"/>
      <c r="D520" s="314" t="n"/>
      <c r="E520" s="314" t="n"/>
      <c r="G520" s="334" t="inlineStr"/>
      <c r="H520" s="376" t="inlineStr">
        <is>
          <t>20101-2020</t>
        </is>
      </c>
      <c r="I520" s="376" t="inlineStr">
        <is>
          <t>ชย.3/1,ชย.3/2 (26)</t>
        </is>
      </c>
      <c r="J520" s="334" t="inlineStr">
        <is>
          <t>17:10 - 21:10</t>
        </is>
      </c>
      <c r="K520" s="374" t="n"/>
      <c r="L520" s="334" t="n">
        <v>4</v>
      </c>
      <c r="M520" s="334" t="inlineStr"/>
      <c r="N520" s="334" t="inlineStr"/>
      <c r="O520" s="354" t="inlineStr"/>
      <c r="P520" s="334" t="inlineStr"/>
      <c r="Q520" s="334" t="inlineStr"/>
      <c r="R520" s="334" t="inlineStr"/>
      <c r="S520" s="354" t="inlineStr"/>
      <c r="T520" t="inlineStr"/>
      <c r="U520" t="inlineStr"/>
    </row>
    <row r="521" ht="22.2" customHeight="1" s="375">
      <c r="A521" s="3" t="n"/>
      <c r="E521" s="3" t="n"/>
      <c r="G521" s="54" t="inlineStr"/>
      <c r="H521" s="322" t="inlineStr"/>
      <c r="I521" s="334" t="inlineStr"/>
      <c r="J521" s="334" t="inlineStr"/>
      <c r="K521" s="374" t="n"/>
      <c r="L521" s="334" t="inlineStr"/>
      <c r="M521" s="334" t="inlineStr"/>
      <c r="N521" s="334" t="inlineStr"/>
      <c r="O521" s="354" t="inlineStr"/>
      <c r="P521" s="334" t="inlineStr"/>
      <c r="Q521" s="334" t="inlineStr"/>
      <c r="R521" s="334" t="inlineStr"/>
      <c r="S521" s="354" t="inlineStr"/>
      <c r="T521" t="inlineStr"/>
      <c r="U521" t="inlineStr"/>
    </row>
    <row r="522" ht="22.2" customHeight="1" s="375">
      <c r="A522" s="3" t="n"/>
      <c r="D522" s="7" t="inlineStr">
        <is>
          <t> </t>
        </is>
      </c>
      <c r="E522" s="3" t="n"/>
      <c r="G522" s="55" t="inlineStr"/>
      <c r="H522" s="336" t="inlineStr"/>
      <c r="I522" s="336" t="inlineStr"/>
      <c r="J522" s="336" t="inlineStr"/>
      <c r="K522" s="527" t="n"/>
      <c r="L522" s="334" t="inlineStr"/>
      <c r="M522" s="334" t="inlineStr"/>
      <c r="N522" s="334" t="inlineStr"/>
      <c r="O522" s="354" t="inlineStr"/>
      <c r="P522" s="334" t="inlineStr"/>
      <c r="Q522" s="334" t="inlineStr"/>
      <c r="R522" s="334" t="inlineStr"/>
      <c r="S522" s="354" t="inlineStr"/>
      <c r="T522" t="inlineStr"/>
      <c r="U522" t="inlineStr"/>
    </row>
    <row r="523" ht="22.2" customHeight="1" s="375">
      <c r="A523" s="3" t="n"/>
      <c r="E523" s="3" t="n"/>
      <c r="G523" s="535" t="inlineStr">
        <is>
          <t>พุธ</t>
        </is>
      </c>
      <c r="H523" s="376" t="inlineStr">
        <is>
          <t>20101-2002</t>
        </is>
      </c>
      <c r="I523" s="376" t="inlineStr">
        <is>
          <t>ชย.1/5 (26)</t>
        </is>
      </c>
      <c r="J523" s="381" t="inlineStr">
        <is>
          <t>08:10 - 12:10</t>
        </is>
      </c>
      <c r="K523" s="135" t="n"/>
      <c r="L523" s="367" t="n">
        <v>4</v>
      </c>
      <c r="M523" s="381" t="inlineStr"/>
      <c r="N523" s="381" t="inlineStr"/>
      <c r="O523" s="354" t="inlineStr"/>
      <c r="P523" s="381" t="inlineStr"/>
      <c r="Q523" s="367" t="inlineStr"/>
      <c r="R523" s="381" t="inlineStr"/>
      <c r="S523" s="354" t="inlineStr"/>
      <c r="T523" t="inlineStr"/>
      <c r="U523" t="inlineStr"/>
    </row>
    <row r="524" ht="22.2" customHeight="1" s="375">
      <c r="A524" s="3" t="n"/>
      <c r="B524" s="321" t="n"/>
      <c r="C524" s="322" t="n"/>
      <c r="D524" s="322" t="n"/>
      <c r="E524" s="334" t="n"/>
      <c r="G524" s="535" t="inlineStr">
        <is>
          <t>30 ก.ย.69</t>
        </is>
      </c>
      <c r="H524" s="376" t="inlineStr">
        <is>
          <t>20101-2002</t>
        </is>
      </c>
      <c r="I524" s="376" t="inlineStr">
        <is>
          <t>ชย.1/5 (26)</t>
        </is>
      </c>
      <c r="J524" s="334" t="inlineStr">
        <is>
          <t>13:10 - 16:10</t>
        </is>
      </c>
      <c r="K524" s="374" t="n"/>
      <c r="L524" s="334" t="n">
        <v>3</v>
      </c>
      <c r="M524" s="334" t="inlineStr"/>
      <c r="N524" s="334" t="inlineStr"/>
      <c r="O524" s="354" t="inlineStr"/>
      <c r="P524" s="334" t="inlineStr"/>
      <c r="Q524" s="334" t="inlineStr"/>
      <c r="R524" s="334" t="inlineStr"/>
      <c r="S524" s="354" t="inlineStr"/>
      <c r="T524" t="inlineStr"/>
      <c r="U524" t="inlineStr"/>
    </row>
    <row r="525" ht="22.2" customHeight="1" s="375">
      <c r="A525" s="3" t="n"/>
      <c r="B525" s="313" t="n"/>
      <c r="D525" s="314" t="n"/>
      <c r="E525" s="314" t="n"/>
      <c r="G525" s="334" t="inlineStr"/>
      <c r="H525" s="376" t="inlineStr">
        <is>
          <t>20101-2020</t>
        </is>
      </c>
      <c r="I525" s="376" t="inlineStr">
        <is>
          <t>ชย.3/1,ชย.3/2 (26)</t>
        </is>
      </c>
      <c r="J525" s="334" t="inlineStr">
        <is>
          <t>17:10 - 21:10</t>
        </is>
      </c>
      <c r="K525" s="374" t="n"/>
      <c r="L525" s="334" t="n">
        <v>3</v>
      </c>
      <c r="M525" s="334" t="n">
        <v>1</v>
      </c>
      <c r="N525" s="334" t="n">
        <v>200</v>
      </c>
      <c r="O525" s="354">
        <f>M525*N525</f>
        <v/>
      </c>
      <c r="P525" s="334" t="inlineStr"/>
      <c r="Q525" s="334" t="inlineStr"/>
      <c r="R525" s="334" t="inlineStr"/>
      <c r="S525" s="354" t="inlineStr"/>
      <c r="T525" t="inlineStr"/>
      <c r="U525" t="inlineStr"/>
    </row>
    <row r="526" ht="22.2" customHeight="1" s="375">
      <c r="A526" s="3" t="n"/>
      <c r="E526" s="3" t="n"/>
      <c r="G526" s="321" t="inlineStr"/>
      <c r="H526" s="321" t="inlineStr"/>
      <c r="I526" s="334" t="inlineStr"/>
      <c r="J526" s="334" t="inlineStr"/>
      <c r="K526" s="374" t="n"/>
      <c r="L526" s="334" t="inlineStr"/>
      <c r="M526" s="334" t="inlineStr"/>
      <c r="N526" s="334" t="inlineStr"/>
      <c r="O526" s="354" t="inlineStr"/>
      <c r="P526" s="334" t="inlineStr"/>
      <c r="Q526" s="334" t="inlineStr"/>
      <c r="R526" s="334" t="inlineStr"/>
      <c r="S526" s="354" t="inlineStr"/>
      <c r="T526" t="inlineStr"/>
      <c r="U526" t="inlineStr"/>
    </row>
    <row r="527" ht="22.2" customHeight="1" s="375">
      <c r="A527" s="3" t="n"/>
      <c r="E527" s="3" t="n"/>
      <c r="G527" s="327" t="inlineStr"/>
      <c r="H527" s="327" t="inlineStr"/>
      <c r="I527" s="336" t="inlineStr"/>
      <c r="J527" s="336" t="inlineStr"/>
      <c r="K527" s="527" t="n"/>
      <c r="L527" s="336" t="inlineStr"/>
      <c r="M527" s="336" t="inlineStr"/>
      <c r="N527" s="336" t="inlineStr"/>
      <c r="O527" s="354" t="inlineStr"/>
      <c r="P527" s="336" t="inlineStr"/>
      <c r="Q527" s="336" t="inlineStr"/>
      <c r="R527" s="336" t="inlineStr"/>
      <c r="S527" s="354" t="inlineStr"/>
      <c r="T527" t="inlineStr"/>
      <c r="U527" t="inlineStr"/>
    </row>
    <row r="528" ht="22.2" customHeight="1" s="375">
      <c r="A528" s="3" t="n"/>
      <c r="E528" s="3" t="n"/>
      <c r="G528" s="533" t="inlineStr">
        <is>
          <t>พฤหัส</t>
        </is>
      </c>
      <c r="H528" s="376" t="inlineStr">
        <is>
          <t>20101-2002</t>
        </is>
      </c>
      <c r="I528" s="376" t="inlineStr">
        <is>
          <t>ชย.1/8 (26)</t>
        </is>
      </c>
      <c r="J528" s="381" t="inlineStr">
        <is>
          <t>08:10 - 12:10</t>
        </is>
      </c>
      <c r="K528" s="135" t="n"/>
      <c r="L528" s="362" t="inlineStr"/>
      <c r="M528" s="334" t="n">
        <v>4</v>
      </c>
      <c r="N528" s="334" t="n">
        <v>200</v>
      </c>
      <c r="O528" s="354">
        <f>M528*N528</f>
        <v/>
      </c>
      <c r="P528" s="334" t="inlineStr"/>
      <c r="Q528" s="362" t="inlineStr"/>
      <c r="R528" s="362" t="inlineStr"/>
      <c r="S528" s="354" t="inlineStr"/>
      <c r="T528" t="inlineStr"/>
      <c r="U528" t="inlineStr"/>
    </row>
    <row r="529" ht="22.2" customHeight="1" s="375">
      <c r="A529" s="3" t="n"/>
      <c r="E529" s="3" t="n"/>
      <c r="G529" s="535" t="inlineStr">
        <is>
          <t>1 ต.ค.69</t>
        </is>
      </c>
      <c r="H529" s="376" t="inlineStr">
        <is>
          <t>20000-2005</t>
        </is>
      </c>
      <c r="I529" s="334" t="inlineStr">
        <is>
          <t>ชยฟ.3/1 (26)</t>
        </is>
      </c>
      <c r="J529" s="334" t="inlineStr">
        <is>
          <t>13:10 - 15:10</t>
        </is>
      </c>
      <c r="K529" s="374" t="n"/>
      <c r="L529" s="376" t="n">
        <v>2</v>
      </c>
      <c r="M529" s="334" t="inlineStr"/>
      <c r="N529" s="334" t="inlineStr"/>
      <c r="O529" s="354" t="inlineStr"/>
      <c r="P529" s="334" t="inlineStr"/>
      <c r="Q529" s="334" t="inlineStr"/>
      <c r="R529" s="334" t="inlineStr"/>
      <c r="S529" s="354" t="inlineStr"/>
      <c r="T529" t="inlineStr"/>
      <c r="U529" t="inlineStr"/>
    </row>
    <row r="530" ht="22.2" customHeight="1" s="375">
      <c r="A530" s="3" t="n"/>
      <c r="B530" s="313" t="n"/>
      <c r="E530" s="3" t="n"/>
      <c r="G530" s="334" t="inlineStr"/>
      <c r="H530" s="376" t="inlineStr">
        <is>
          <t>20101-2002</t>
        </is>
      </c>
      <c r="I530" s="376" t="inlineStr">
        <is>
          <t>ชย.1/8 (26)</t>
        </is>
      </c>
      <c r="J530" s="376" t="inlineStr">
        <is>
          <t>15:10 - 18:10</t>
        </is>
      </c>
      <c r="K530" s="374" t="n"/>
      <c r="L530" s="376" t="inlineStr"/>
      <c r="M530" s="376" t="n">
        <v>3</v>
      </c>
      <c r="N530" s="376" t="n">
        <v>200</v>
      </c>
      <c r="O530" s="354">
        <f>M530*N530</f>
        <v/>
      </c>
      <c r="P530" s="376" t="inlineStr"/>
      <c r="Q530" s="376" t="inlineStr"/>
      <c r="R530" s="376" t="inlineStr"/>
      <c r="S530" s="354" t="inlineStr"/>
      <c r="T530" t="inlineStr"/>
      <c r="U530" t="inlineStr"/>
    </row>
    <row r="531" ht="22.2" customHeight="1" s="375">
      <c r="A531" s="3" t="n"/>
      <c r="E531" s="3" t="n"/>
      <c r="G531" s="334" t="inlineStr"/>
      <c r="H531" s="334" t="inlineStr">
        <is>
          <t>20101-2020</t>
        </is>
      </c>
      <c r="I531" s="334" t="inlineStr">
        <is>
          <t>ชย.3/1,ชย.3/2 (26)</t>
        </is>
      </c>
      <c r="J531" s="334" t="inlineStr">
        <is>
          <t>18:10 - 21:10</t>
        </is>
      </c>
      <c r="K531" s="374" t="n"/>
      <c r="L531" s="334" t="inlineStr"/>
      <c r="M531" s="334" t="n">
        <v>3</v>
      </c>
      <c r="N531" s="334" t="n">
        <v>200</v>
      </c>
      <c r="O531" s="354">
        <f>M531*N531</f>
        <v/>
      </c>
      <c r="P531" s="334" t="inlineStr"/>
      <c r="Q531" s="334" t="inlineStr"/>
      <c r="R531" s="334" t="inlineStr"/>
      <c r="S531" s="354" t="inlineStr"/>
      <c r="T531" t="inlineStr"/>
      <c r="U531" t="inlineStr"/>
    </row>
    <row r="532" ht="22.2" customHeight="1" s="375">
      <c r="A532" s="3" t="n"/>
      <c r="E532" s="3" t="n"/>
      <c r="G532" s="336" t="inlineStr"/>
      <c r="H532" s="328" t="inlineStr"/>
      <c r="I532" s="336" t="inlineStr"/>
      <c r="J532" s="336" t="inlineStr"/>
      <c r="K532" s="527" t="n"/>
      <c r="L532" s="336" t="inlineStr"/>
      <c r="M532" s="336" t="inlineStr"/>
      <c r="N532" s="336" t="inlineStr"/>
      <c r="O532" s="354" t="inlineStr"/>
      <c r="P532" s="336" t="inlineStr"/>
      <c r="Q532" s="336" t="inlineStr"/>
      <c r="R532" s="336" t="inlineStr"/>
      <c r="S532" s="354" t="inlineStr"/>
      <c r="T532" t="inlineStr"/>
      <c r="U532" t="inlineStr"/>
    </row>
    <row r="533" ht="22.2" customHeight="1" s="375">
      <c r="A533" s="3" t="n"/>
      <c r="E533" s="3" t="n"/>
      <c r="G533" s="533" t="inlineStr">
        <is>
          <t>ศุกร์</t>
        </is>
      </c>
      <c r="H533" s="376" t="inlineStr">
        <is>
          <t>20101-2020</t>
        </is>
      </c>
      <c r="I533" s="376" t="inlineStr">
        <is>
          <t>ชย.3/1,ชย.3/2 (26)</t>
        </is>
      </c>
      <c r="J533" s="381" t="inlineStr">
        <is>
          <t>17:10 - 18:10</t>
        </is>
      </c>
      <c r="K533" s="135" t="n"/>
      <c r="L533" s="367" t="inlineStr"/>
      <c r="M533" s="381" t="n">
        <v>1</v>
      </c>
      <c r="N533" s="381" t="n">
        <v>200</v>
      </c>
      <c r="O533" s="354">
        <f>M533*N533</f>
        <v/>
      </c>
      <c r="P533" s="381" t="inlineStr"/>
      <c r="Q533" s="367" t="inlineStr"/>
      <c r="R533" s="381" t="inlineStr"/>
      <c r="S533" s="354" t="inlineStr"/>
      <c r="T533" t="inlineStr"/>
      <c r="U533" t="inlineStr"/>
    </row>
    <row r="534" ht="22.2" customHeight="1" s="375">
      <c r="A534" s="3" t="n"/>
      <c r="E534" s="3" t="n"/>
      <c r="G534" s="535" t="inlineStr">
        <is>
          <t>2 ต.ค.69</t>
        </is>
      </c>
      <c r="H534" s="376" t="inlineStr"/>
      <c r="I534" s="376" t="inlineStr"/>
      <c r="J534" s="376" t="inlineStr"/>
      <c r="K534" s="374" t="n"/>
      <c r="L534" s="334" t="inlineStr"/>
      <c r="M534" s="334" t="inlineStr"/>
      <c r="N534" s="334" t="inlineStr"/>
      <c r="O534" s="354" t="inlineStr"/>
      <c r="P534" s="334" t="inlineStr"/>
      <c r="Q534" s="334" t="inlineStr"/>
      <c r="R534" s="334" t="inlineStr"/>
      <c r="S534" s="354" t="inlineStr"/>
      <c r="T534" t="inlineStr"/>
      <c r="U534" t="inlineStr"/>
    </row>
    <row r="535" ht="22.2" customHeight="1" s="375">
      <c r="A535" s="3" t="n"/>
      <c r="E535" s="3" t="n"/>
      <c r="G535" s="334" t="inlineStr"/>
      <c r="H535" s="376" t="inlineStr"/>
      <c r="I535" s="376" t="inlineStr"/>
      <c r="J535" s="376" t="inlineStr"/>
      <c r="K535" s="374" t="n"/>
      <c r="L535" s="334" t="inlineStr"/>
      <c r="M535" s="334" t="inlineStr"/>
      <c r="N535" s="334" t="inlineStr"/>
      <c r="O535" s="354" t="inlineStr"/>
      <c r="P535" s="334" t="inlineStr"/>
      <c r="Q535" s="334" t="inlineStr"/>
      <c r="R535" s="334" t="inlineStr"/>
      <c r="S535" s="354" t="inlineStr"/>
      <c r="T535" t="inlineStr"/>
      <c r="U535" t="inlineStr"/>
    </row>
    <row r="536" ht="22.2" customHeight="1" s="375">
      <c r="A536" s="3" t="n"/>
      <c r="E536" s="3" t="n"/>
      <c r="G536" s="334" t="inlineStr"/>
      <c r="H536" s="322" t="inlineStr"/>
      <c r="I536" s="334" t="inlineStr"/>
      <c r="J536" s="334" t="inlineStr"/>
      <c r="K536" s="374" t="n"/>
      <c r="L536" s="334" t="inlineStr"/>
      <c r="M536" s="334" t="inlineStr"/>
      <c r="N536" s="334" t="inlineStr"/>
      <c r="O536" s="354" t="inlineStr"/>
      <c r="P536" s="334" t="inlineStr"/>
      <c r="Q536" s="334" t="inlineStr"/>
      <c r="R536" s="334" t="inlineStr"/>
      <c r="S536" s="354" t="inlineStr"/>
      <c r="T536" t="inlineStr"/>
      <c r="U536" t="inlineStr"/>
    </row>
    <row r="537" ht="22.2" customHeight="1" s="375">
      <c r="A537" s="3" t="n"/>
      <c r="E537" s="3" t="n"/>
      <c r="F537" s="3" t="n"/>
      <c r="G537" s="329" t="inlineStr"/>
      <c r="H537" s="328" t="inlineStr"/>
      <c r="I537" s="336" t="inlineStr"/>
      <c r="J537" s="336" t="inlineStr"/>
      <c r="K537" s="527" t="n"/>
      <c r="L537" s="336" t="inlineStr"/>
      <c r="M537" s="336" t="inlineStr"/>
      <c r="N537" s="336" t="inlineStr"/>
      <c r="O537" s="354" t="inlineStr"/>
      <c r="P537" s="336" t="inlineStr"/>
      <c r="Q537" s="336" t="inlineStr"/>
      <c r="R537" s="336" t="inlineStr"/>
      <c r="S537" s="354" t="inlineStr"/>
      <c r="T537" t="inlineStr"/>
      <c r="U537" t="inlineStr"/>
    </row>
    <row r="538" ht="22.2" customHeight="1" s="375">
      <c r="A538" s="3" t="n"/>
      <c r="E538" s="3" t="n"/>
      <c r="F538" s="3" t="n"/>
      <c r="G538" s="16" t="inlineStr">
        <is>
          <t>รวมขั่วโมงที่สอนแยก ภาระงาน/ เกินภาระงาน</t>
        </is>
      </c>
      <c r="H538" s="518" t="n"/>
      <c r="I538" s="518" t="n"/>
      <c r="J538" s="518" t="n"/>
      <c r="K538" s="432" t="n"/>
      <c r="L538" s="16">
        <f>SUM(L513:L537)</f>
        <v/>
      </c>
      <c r="M538" s="16">
        <f>SUM(M513:M537)</f>
        <v/>
      </c>
      <c r="N538" s="16" t="n"/>
      <c r="O538" s="16" t="n"/>
      <c r="P538" s="16">
        <f>SUM(P513:P537)</f>
        <v/>
      </c>
      <c r="Q538" s="16">
        <f>SUM(Q513:Q537)</f>
        <v/>
      </c>
      <c r="R538" s="349" t="n"/>
      <c r="S538" s="16" t="n"/>
    </row>
    <row r="539" ht="22.2" customHeight="1" s="375">
      <c r="A539" s="3" t="n"/>
      <c r="E539" s="3" t="n"/>
      <c r="F539" s="3" t="n"/>
      <c r="G539" s="16" t="inlineStr">
        <is>
          <t>รวมจำนวนชั่วโมงสอนคาบต่อสับดาห์</t>
        </is>
      </c>
      <c r="H539" s="518" t="n"/>
      <c r="I539" s="518" t="n"/>
      <c r="J539" s="518" t="n"/>
      <c r="K539" s="432" t="n"/>
      <c r="L539" s="16">
        <f>L538+M538</f>
        <v/>
      </c>
      <c r="M539" s="432" t="n"/>
      <c r="N539" s="16" t="n"/>
      <c r="O539" s="348" t="n"/>
      <c r="P539" s="16">
        <f>P538+Q538</f>
        <v/>
      </c>
      <c r="Q539" s="432" t="n"/>
      <c r="R539" s="329" t="n"/>
      <c r="S539" s="336" t="n"/>
    </row>
    <row r="540" ht="22.2" customHeight="1" s="375">
      <c r="A540" s="3" t="n"/>
      <c r="E540" s="3" t="n"/>
      <c r="F540" s="3" t="n"/>
      <c r="G540" s="16" t="inlineStr">
        <is>
          <t>จำนวนชั่วโมงสอนตามภาระงานสอน</t>
        </is>
      </c>
      <c r="H540" s="518" t="n"/>
      <c r="I540" s="518" t="n"/>
      <c r="J540" s="518" t="n"/>
      <c r="K540" s="432" t="n"/>
      <c r="L540" s="131" t="n">
        <v>18</v>
      </c>
      <c r="M540" s="432" t="n"/>
      <c r="N540" s="130" t="n"/>
      <c r="O540" s="131" t="n"/>
      <c r="P540" s="131" t="n">
        <v>0</v>
      </c>
      <c r="Q540" s="432" t="n"/>
      <c r="R540" s="322" t="n"/>
      <c r="S540" s="334" t="n"/>
    </row>
    <row r="541" ht="22.2" customHeight="1" s="375" thickBot="1">
      <c r="A541" s="3" t="n"/>
      <c r="E541" s="3" t="n"/>
      <c r="F541" s="14" t="n"/>
      <c r="G541" s="16" t="inlineStr">
        <is>
          <t>จำนวนชั่วโมงบิกเกินภาระงานสอน/ค่าสอน</t>
        </is>
      </c>
      <c r="H541" s="518" t="n"/>
      <c r="I541" s="518" t="n"/>
      <c r="J541" s="518" t="n"/>
      <c r="K541" s="432" t="n"/>
      <c r="L541" s="17" t="n">
        <v>0</v>
      </c>
      <c r="M541" s="17">
        <f>SUM(M513:M537)</f>
        <v/>
      </c>
      <c r="N541" s="17" t="n"/>
      <c r="O541" s="17">
        <f>SUM(O513:O537)</f>
        <v/>
      </c>
      <c r="P541" s="17" t="n">
        <v>0</v>
      </c>
      <c r="Q541" s="17">
        <f>SUM(Q513:Q537)</f>
        <v/>
      </c>
      <c r="R541" s="18" t="n"/>
      <c r="S541" s="17">
        <f>SUM(S513:S537)</f>
        <v/>
      </c>
    </row>
    <row r="542" ht="22.2" customHeight="1" s="375" thickTop="1">
      <c r="A542" s="337" t="inlineStr">
        <is>
          <t>รวมจำนวนหน่วยชั่วโมงที่ขอเบิกค่าสอน ….</t>
        </is>
      </c>
      <c r="B542" s="518" t="n"/>
      <c r="C542" s="518" t="n"/>
      <c r="D542" s="518" t="n"/>
      <c r="E542" s="518" t="n"/>
      <c r="F542" s="518" t="n"/>
      <c r="G542" s="518" t="n"/>
      <c r="H542" s="348">
        <f>M541+Q541</f>
        <v/>
      </c>
      <c r="I542" s="348" t="inlineStr">
        <is>
          <t>….ชั่วโมง</t>
        </is>
      </c>
      <c r="J542" s="348" t="n"/>
      <c r="K542" s="328" t="inlineStr">
        <is>
          <t>ยอดเงินรวม</t>
        </is>
      </c>
      <c r="L542" s="522" t="n"/>
      <c r="M542" s="522" t="n"/>
      <c r="N542" s="328" t="n"/>
      <c r="O542" s="328" t="n"/>
      <c r="P542" s="339">
        <f>S541+O541</f>
        <v/>
      </c>
      <c r="Q542" s="538" t="n"/>
      <c r="R542" s="20" t="n"/>
      <c r="S542" s="19" t="inlineStr">
        <is>
          <t>..บาท</t>
        </is>
      </c>
    </row>
    <row r="543" ht="22.2" customHeight="1" s="375">
      <c r="A543" s="154" t="inlineStr">
        <is>
          <t>ผู้ขอเบิก</t>
        </is>
      </c>
      <c r="B543" s="153" t="n"/>
      <c r="C543" s="153" t="n"/>
      <c r="D543" s="153" t="n"/>
      <c r="E543" s="153" t="n"/>
      <c r="F543" s="153" t="n"/>
      <c r="G543" s="135" t="n"/>
      <c r="H543" s="154" t="inlineStr">
        <is>
          <t>ผู้รับรอง</t>
        </is>
      </c>
      <c r="I543" s="153" t="n"/>
      <c r="J543" s="153" t="n"/>
      <c r="K543" s="153" t="n"/>
      <c r="L543" s="135" t="n"/>
      <c r="M543" s="154" t="inlineStr">
        <is>
          <t>ผู้ตรวจ</t>
        </is>
      </c>
      <c r="N543" s="153" t="n"/>
      <c r="O543" s="153" t="n"/>
      <c r="P543" s="153" t="n"/>
      <c r="Q543" s="153" t="n"/>
      <c r="R543" s="153" t="n"/>
      <c r="S543" s="135" t="n"/>
    </row>
    <row r="544" ht="22.2" customHeight="1" s="375">
      <c r="A544" s="334" t="inlineStr">
        <is>
          <t>ลงชื่อ……………………………………………</t>
        </is>
      </c>
      <c r="G544" s="374" t="n"/>
      <c r="H544" s="334" t="inlineStr">
        <is>
          <t>ลงชื่อ……………………………………………</t>
        </is>
      </c>
      <c r="L544" s="374" t="n"/>
      <c r="M544" s="334" t="inlineStr">
        <is>
          <t>ลงชื่อ……………………………………………</t>
        </is>
      </c>
      <c r="S544" s="374" t="n"/>
    </row>
    <row r="545" ht="22.2" customHeight="1" s="375">
      <c r="A545" s="11" t="inlineStr">
        <is>
          <t>(</t>
        </is>
      </c>
      <c r="B545" s="324">
        <f>B513</f>
        <v/>
      </c>
      <c r="G545" s="326" t="inlineStr">
        <is>
          <t>)</t>
        </is>
      </c>
      <c r="H545" s="324" t="inlineStr">
        <is>
          <t>(</t>
        </is>
      </c>
      <c r="I545" s="340">
        <f>I499</f>
        <v/>
      </c>
      <c r="L545" s="12" t="inlineStr">
        <is>
          <t>)</t>
        </is>
      </c>
      <c r="M545" s="53" t="inlineStr">
        <is>
          <t>(</t>
        </is>
      </c>
      <c r="N545" s="53" t="n"/>
      <c r="O545" s="324">
        <f>O39</f>
        <v/>
      </c>
      <c r="R545" s="25" t="n"/>
      <c r="S545" s="326" t="inlineStr">
        <is>
          <t>)</t>
        </is>
      </c>
    </row>
    <row r="546" ht="22.2" customHeight="1" s="375">
      <c r="A546" s="540" t="inlineStr">
        <is>
          <t xml:space="preserve">                         ตำแหน่ง  ครู</t>
        </is>
      </c>
      <c r="G546" s="374" t="n"/>
      <c r="H546" s="54" t="inlineStr">
        <is>
          <t>ตำแหน่ง หัวหน้าแผนก</t>
        </is>
      </c>
      <c r="L546" s="374" t="n"/>
      <c r="M546" s="54" t="inlineStr">
        <is>
          <t>ตำแหน่ง   ผู้ตรวจสอบ</t>
        </is>
      </c>
      <c r="S546" s="374" t="n"/>
    </row>
    <row r="547" ht="22.2" customHeight="1" s="375">
      <c r="A547" s="55" t="inlineStr">
        <is>
          <t>วันที่ 5 เดือน ตุลาคม  พ.ศ.2569</t>
        </is>
      </c>
      <c r="B547" s="522" t="n"/>
      <c r="C547" s="522" t="n"/>
      <c r="D547" s="522" t="n"/>
      <c r="E547" s="522" t="n"/>
      <c r="F547" s="522" t="n"/>
      <c r="G547" s="527" t="n"/>
      <c r="H547" s="54">
        <f>A87</f>
        <v/>
      </c>
      <c r="L547" s="374" t="n"/>
      <c r="M547" s="55">
        <f>A87</f>
        <v/>
      </c>
      <c r="N547" s="522" t="n"/>
      <c r="O547" s="522" t="n"/>
      <c r="P547" s="522" t="n"/>
      <c r="Q547" s="522" t="n"/>
      <c r="R547" s="522" t="n"/>
      <c r="S547" s="527" t="n"/>
    </row>
    <row r="548" ht="22.2" customHeight="1" s="375">
      <c r="A548" s="154" t="inlineStr">
        <is>
          <t>ผู้ตรวจ</t>
        </is>
      </c>
      <c r="B548" s="153" t="n"/>
      <c r="C548" s="153" t="n"/>
      <c r="D548" s="153" t="n"/>
      <c r="E548" s="153" t="n"/>
      <c r="F548" s="153" t="n"/>
      <c r="G548" s="153" t="n"/>
      <c r="H548" s="153" t="n"/>
      <c r="I548" s="135" t="n"/>
      <c r="J548" s="154" t="inlineStr">
        <is>
          <t>ผู้เห็นชอบ</t>
        </is>
      </c>
      <c r="K548" s="153" t="n"/>
      <c r="L548" s="153" t="n"/>
      <c r="M548" s="153" t="n"/>
      <c r="N548" s="153" t="n"/>
      <c r="O548" s="153" t="n"/>
      <c r="P548" s="153" t="n"/>
      <c r="Q548" s="153" t="n"/>
      <c r="R548" s="153" t="n"/>
      <c r="S548" s="135" t="n"/>
    </row>
    <row r="549" ht="22.2" customHeight="1" s="375">
      <c r="A549" s="334" t="inlineStr">
        <is>
          <t>ลงชื่อ……………………………………………</t>
        </is>
      </c>
      <c r="I549" s="374" t="n"/>
      <c r="J549" s="334" t="inlineStr">
        <is>
          <t>ลงชื่อ……………………………………………</t>
        </is>
      </c>
      <c r="S549" s="374" t="n"/>
    </row>
    <row r="550" ht="22.2" customHeight="1" s="375">
      <c r="A550" s="11" t="n"/>
      <c r="B550" s="324">
        <f>B44</f>
        <v/>
      </c>
      <c r="I550" s="326" t="n"/>
      <c r="J550" s="25" t="n"/>
      <c r="K550" s="25" t="n"/>
      <c r="L550" s="324">
        <f>L44</f>
        <v/>
      </c>
      <c r="R550" s="25" t="n"/>
      <c r="S550" s="12" t="n"/>
    </row>
    <row r="551" ht="22.2" customHeight="1" s="375">
      <c r="A551" s="54" t="inlineStr">
        <is>
          <t>ตำแหน่งครู  หัวหน้างานพัฒนาหลักสูตร ฯ</t>
        </is>
      </c>
      <c r="I551" s="374" t="n"/>
      <c r="J551" s="54" t="inlineStr">
        <is>
          <t>ตำแหน่ง  รองผู้อำนวยการฝ่ายวิชาการ</t>
        </is>
      </c>
      <c r="S551" s="374" t="n"/>
    </row>
    <row r="552" ht="22.2" customHeight="1" s="375">
      <c r="A552" s="336" t="inlineStr">
        <is>
          <t>วันที่.......เดือน..........................พ.ศ..............</t>
        </is>
      </c>
      <c r="B552" s="522" t="n"/>
      <c r="C552" s="522" t="n"/>
      <c r="D552" s="522" t="n"/>
      <c r="E552" s="522" t="n"/>
      <c r="F552" s="522" t="n"/>
      <c r="G552" s="522" t="n"/>
      <c r="H552" s="522" t="n"/>
      <c r="I552" s="527" t="n"/>
      <c r="J552" s="336" t="inlineStr">
        <is>
          <t>วันที่.......เดือน..........................พ.ศ..............</t>
        </is>
      </c>
      <c r="K552" s="522" t="n"/>
      <c r="L552" s="522" t="n"/>
      <c r="M552" s="522" t="n"/>
      <c r="N552" s="522" t="n"/>
      <c r="O552" s="522" t="n"/>
      <c r="P552" s="522" t="n"/>
      <c r="Q552" s="522" t="n"/>
      <c r="R552" s="522" t="n"/>
      <c r="S552" s="527" t="n"/>
    </row>
    <row r="553" ht="22.2" customHeight="1" s="375">
      <c r="A553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75">
      <c r="A554" s="365" t="inlineStr">
        <is>
          <t>แผนกวิชาช่างยนต์</t>
        </is>
      </c>
    </row>
    <row r="555" ht="22.2" customHeight="1" s="375">
      <c r="A555" s="366" t="inlineStr">
        <is>
          <t xml:space="preserve">    ระหว่างวันที่</t>
        </is>
      </c>
      <c r="D555" s="365">
        <f>D3</f>
        <v/>
      </c>
      <c r="E555" s="365" t="inlineStr">
        <is>
          <t xml:space="preserve">   เดือน  </t>
        </is>
      </c>
      <c r="F555" s="365">
        <f>F3</f>
        <v/>
      </c>
      <c r="H555" s="365">
        <f>H3</f>
        <v/>
      </c>
      <c r="I555" s="365" t="inlineStr">
        <is>
          <t xml:space="preserve">     ถึง วันที่</t>
        </is>
      </c>
      <c r="J555" s="365">
        <f>J3</f>
        <v/>
      </c>
      <c r="K555" s="365" t="inlineStr">
        <is>
          <t xml:space="preserve">   เดือน </t>
        </is>
      </c>
      <c r="L555" s="365">
        <f>L3</f>
        <v/>
      </c>
      <c r="N555" s="365">
        <f>N3</f>
        <v/>
      </c>
      <c r="P555" s="365" t="n"/>
      <c r="R555" s="365" t="n"/>
    </row>
    <row r="556" ht="22.2" customHeight="1" s="375">
      <c r="G556" s="51" t="inlineStr">
        <is>
          <t>ü</t>
        </is>
      </c>
      <c r="H556" s="328" t="inlineStr">
        <is>
          <t>พนักงานราชการ</t>
        </is>
      </c>
      <c r="I556" s="328" t="inlineStr">
        <is>
          <t>หน้าที่พิเศษ</t>
        </is>
      </c>
      <c r="J556" s="351" t="inlineStr">
        <is>
          <t>ผู้ช่วยงานบริหารและพัฒนาทรัพยากรบุคคล, พัสดุ, ปกครองและความปลอดภัยนักเรียน</t>
        </is>
      </c>
      <c r="K556" s="351" t="n"/>
      <c r="L556" s="351" t="n"/>
      <c r="M556" s="351" t="n"/>
      <c r="N556" s="351" t="n"/>
      <c r="O556" s="351" t="n"/>
      <c r="P556" s="351" t="n"/>
      <c r="Q556" s="351" t="n"/>
      <c r="R556" s="351" t="n"/>
      <c r="S556" s="351" t="n"/>
    </row>
    <row r="557" ht="22.2" customHeight="1" s="375">
      <c r="A557" s="24" t="inlineStr">
        <is>
          <t>ที่</t>
        </is>
      </c>
      <c r="B557" s="24" t="inlineStr">
        <is>
          <t>ชื่อ-สกุล</t>
        </is>
      </c>
      <c r="C557" s="153" t="n"/>
      <c r="D557" s="135" t="n"/>
      <c r="E557" s="15" t="inlineStr">
        <is>
          <t>ตำแหน่ง</t>
        </is>
      </c>
      <c r="F557" s="16" t="inlineStr">
        <is>
          <t>ระยะเวลาที่สอน</t>
        </is>
      </c>
      <c r="G557" s="432" t="n"/>
      <c r="H557" s="16" t="inlineStr">
        <is>
          <t>รหัสวิชา</t>
        </is>
      </c>
      <c r="I557" s="362" t="inlineStr">
        <is>
          <t>ชั้น,แผนก,ห้อง</t>
        </is>
      </c>
      <c r="J557" s="16" t="inlineStr">
        <is>
          <t>เวลาสอน</t>
        </is>
      </c>
      <c r="K557" s="135" t="n"/>
      <c r="L557" s="16" t="inlineStr">
        <is>
          <t>ปวช.(คาบ)</t>
        </is>
      </c>
      <c r="M557" s="432" t="n"/>
      <c r="N557" s="354" t="inlineStr">
        <is>
          <t>เงิน</t>
        </is>
      </c>
      <c r="O557" s="362" t="inlineStr">
        <is>
          <t>ยอดเงิน</t>
        </is>
      </c>
      <c r="P557" s="524" t="inlineStr">
        <is>
          <t>ปวส.(คาบ)</t>
        </is>
      </c>
      <c r="Q557" s="432" t="n"/>
      <c r="R557" s="354" t="inlineStr">
        <is>
          <t>เงิน</t>
        </is>
      </c>
      <c r="S557" s="362" t="inlineStr">
        <is>
          <t>ยอดเงิน</t>
        </is>
      </c>
    </row>
    <row r="558" ht="22.2" customHeight="1" s="375">
      <c r="A558" s="52" t="n"/>
      <c r="B558" s="8" t="n"/>
      <c r="C558" s="9" t="n"/>
      <c r="D558" s="13" t="n"/>
      <c r="E558" s="10" t="n"/>
      <c r="F558" s="336" t="inlineStr">
        <is>
          <t>ส.</t>
        </is>
      </c>
      <c r="G558" s="336" t="inlineStr">
        <is>
          <t>วดป.</t>
        </is>
      </c>
      <c r="H558" s="525" t="n"/>
      <c r="I558" s="336" t="n"/>
      <c r="J558" s="526" t="n"/>
      <c r="K558" s="527" t="n"/>
      <c r="L558" s="336" t="inlineStr">
        <is>
          <t>ใน</t>
        </is>
      </c>
      <c r="M558" s="336" t="inlineStr">
        <is>
          <t>นอก</t>
        </is>
      </c>
      <c r="N558" s="336" t="inlineStr">
        <is>
          <t>ต่อ ชม.</t>
        </is>
      </c>
      <c r="O558" s="336" t="inlineStr">
        <is>
          <t>(บาท)</t>
        </is>
      </c>
      <c r="P558" s="52" t="inlineStr">
        <is>
          <t>ใน</t>
        </is>
      </c>
      <c r="Q558" s="52" t="inlineStr">
        <is>
          <t>นอก</t>
        </is>
      </c>
      <c r="R558" s="336" t="inlineStr">
        <is>
          <t>ต่อ ชม.</t>
        </is>
      </c>
      <c r="S558" s="336" t="inlineStr">
        <is>
          <t>(บาท)</t>
        </is>
      </c>
    </row>
    <row r="559" ht="22.2" customHeight="1" s="375">
      <c r="A559" s="362" t="n">
        <v>13</v>
      </c>
      <c r="B559" s="528">
        <f>AB15</f>
        <v/>
      </c>
      <c r="C559" s="153" t="n"/>
      <c r="D559" s="135" t="n"/>
      <c r="E559" s="362" t="inlineStr">
        <is>
          <t>พนักงานราชการ</t>
        </is>
      </c>
      <c r="F559" s="5" t="n">
        <v>3</v>
      </c>
      <c r="G559" s="529" t="inlineStr">
        <is>
          <t>จันทร์</t>
        </is>
      </c>
      <c r="H559" s="376" t="inlineStr">
        <is>
          <t>20101-2005</t>
        </is>
      </c>
      <c r="I559" s="376" t="inlineStr">
        <is>
          <t>ชย.2/7 (26)</t>
        </is>
      </c>
      <c r="J559" s="334" t="inlineStr">
        <is>
          <t>08:10 - 12:10</t>
        </is>
      </c>
      <c r="K559" s="374" t="n"/>
      <c r="L559" s="367" t="n">
        <v>4</v>
      </c>
      <c r="M559" s="381" t="inlineStr"/>
      <c r="N559" s="381" t="inlineStr"/>
      <c r="O559" s="354" t="inlineStr"/>
      <c r="P559" s="381" t="inlineStr"/>
      <c r="Q559" s="367" t="inlineStr"/>
      <c r="R559" s="381" t="inlineStr"/>
      <c r="S559" s="354" t="inlineStr"/>
      <c r="T559" t="inlineStr"/>
      <c r="U559" t="inlineStr"/>
    </row>
    <row r="560" ht="22.2" customHeight="1" s="375">
      <c r="A560" s="3" t="n"/>
      <c r="B560" s="530" t="n"/>
      <c r="D560" s="374" t="n"/>
      <c r="E560" s="334" t="n"/>
      <c r="F560" s="322" t="n"/>
      <c r="G560" s="535" t="inlineStr">
        <is>
          <t>28 ก.ย.69</t>
        </is>
      </c>
      <c r="H560" s="376" t="inlineStr">
        <is>
          <t>20101-2005</t>
        </is>
      </c>
      <c r="I560" s="376" t="inlineStr">
        <is>
          <t>ชย.2/7 (26)</t>
        </is>
      </c>
      <c r="J560" s="334" t="inlineStr">
        <is>
          <t>13:10 - 16:10</t>
        </is>
      </c>
      <c r="K560" s="374" t="n"/>
      <c r="L560" s="334" t="n">
        <v>3</v>
      </c>
      <c r="M560" s="334" t="inlineStr"/>
      <c r="N560" s="334" t="inlineStr"/>
      <c r="O560" s="354" t="inlineStr"/>
      <c r="P560" s="334" t="inlineStr"/>
      <c r="Q560" s="334" t="inlineStr"/>
      <c r="R560" s="334" t="inlineStr"/>
      <c r="S560" s="354" t="inlineStr"/>
      <c r="T560" s="351" t="inlineStr"/>
      <c r="U560" t="inlineStr"/>
    </row>
    <row r="561" ht="22.2" customHeight="1" s="375">
      <c r="A561" s="3" t="n"/>
      <c r="B561" s="313" t="n"/>
      <c r="D561" s="314" t="n"/>
      <c r="E561" s="314" t="n"/>
      <c r="F561" s="322" t="n"/>
      <c r="G561" s="321" t="inlineStr"/>
      <c r="H561" s="334" t="inlineStr"/>
      <c r="I561" s="376" t="inlineStr"/>
      <c r="J561" s="334" t="inlineStr"/>
      <c r="K561" s="374" t="n"/>
      <c r="L561" s="334" t="inlineStr"/>
      <c r="M561" s="334" t="inlineStr"/>
      <c r="N561" s="334" t="inlineStr"/>
      <c r="O561" s="354" t="inlineStr"/>
      <c r="P561" s="334" t="inlineStr"/>
      <c r="Q561" s="334" t="inlineStr"/>
      <c r="R561" s="334" t="inlineStr"/>
      <c r="S561" s="354" t="inlineStr"/>
      <c r="T561" t="inlineStr"/>
      <c r="U561" t="inlineStr"/>
    </row>
    <row r="562" ht="22.2" customHeight="1" s="375">
      <c r="A562" s="3" t="n"/>
      <c r="B562" s="313" t="n"/>
      <c r="E562" s="3" t="n"/>
      <c r="F562" s="322" t="n"/>
      <c r="G562" s="321" t="inlineStr"/>
      <c r="H562" s="334" t="inlineStr"/>
      <c r="I562" s="334" t="inlineStr"/>
      <c r="J562" s="334" t="inlineStr"/>
      <c r="K562" s="374" t="n"/>
      <c r="L562" s="334" t="inlineStr"/>
      <c r="M562" s="334" t="inlineStr"/>
      <c r="N562" s="334" t="inlineStr"/>
      <c r="O562" s="354" t="inlineStr"/>
      <c r="P562" s="334" t="inlineStr"/>
      <c r="Q562" s="334" t="inlineStr"/>
      <c r="R562" s="334" t="inlineStr"/>
      <c r="S562" s="354" t="inlineStr"/>
      <c r="T562" t="inlineStr"/>
      <c r="U562" t="inlineStr"/>
    </row>
    <row r="563" ht="22.2" customHeight="1" s="375">
      <c r="A563" s="3" t="n"/>
      <c r="E563" s="3" t="n"/>
      <c r="G563" s="344" t="inlineStr"/>
      <c r="H563" s="336" t="inlineStr"/>
      <c r="I563" s="336" t="inlineStr"/>
      <c r="J563" s="336" t="inlineStr"/>
      <c r="K563" s="527" t="n"/>
      <c r="L563" s="334" t="inlineStr"/>
      <c r="M563" s="334" t="inlineStr"/>
      <c r="N563" s="334" t="inlineStr"/>
      <c r="O563" s="354" t="inlineStr"/>
      <c r="P563" s="334" t="inlineStr"/>
      <c r="Q563" s="334" t="inlineStr"/>
      <c r="R563" s="334" t="inlineStr"/>
      <c r="S563" s="354" t="inlineStr"/>
      <c r="T563" t="inlineStr"/>
      <c r="U563" t="inlineStr"/>
    </row>
    <row r="564" ht="22.2" customHeight="1" s="375">
      <c r="A564" s="3" t="n"/>
      <c r="E564" s="3" t="n"/>
      <c r="G564" s="533" t="inlineStr">
        <is>
          <t>อังคาร</t>
        </is>
      </c>
      <c r="H564" s="376" t="inlineStr">
        <is>
          <t>20101-2005</t>
        </is>
      </c>
      <c r="I564" s="376" t="inlineStr">
        <is>
          <t>ชย.2/8 (26)</t>
        </is>
      </c>
      <c r="J564" s="334" t="inlineStr">
        <is>
          <t>08:10 - 12:10</t>
        </is>
      </c>
      <c r="K564" s="374" t="n"/>
      <c r="L564" s="367" t="n">
        <v>4</v>
      </c>
      <c r="M564" s="381" t="inlineStr"/>
      <c r="N564" s="381" t="inlineStr"/>
      <c r="O564" s="354" t="inlineStr"/>
      <c r="P564" s="381" t="inlineStr"/>
      <c r="Q564" s="367" t="inlineStr"/>
      <c r="R564" s="381" t="inlineStr"/>
      <c r="S564" s="354" t="inlineStr"/>
      <c r="T564" s="23" t="inlineStr"/>
      <c r="U564" s="23" t="inlineStr"/>
      <c r="V564" s="56" t="n"/>
      <c r="W564" s="23" t="n"/>
      <c r="X564" s="23" t="n"/>
    </row>
    <row r="565" ht="22.2" customHeight="1" s="375">
      <c r="A565" s="3" t="n"/>
      <c r="E565" s="3" t="n"/>
      <c r="G565" s="535" t="inlineStr">
        <is>
          <t>29 ก.ย.69</t>
        </is>
      </c>
      <c r="H565" s="376" t="inlineStr">
        <is>
          <t>20101-2005</t>
        </is>
      </c>
      <c r="I565" s="376" t="inlineStr">
        <is>
          <t>ชย.2/8 (26)</t>
        </is>
      </c>
      <c r="J565" s="334" t="inlineStr">
        <is>
          <t>13:10 - 16:10</t>
        </is>
      </c>
      <c r="K565" s="374" t="n"/>
      <c r="L565" s="334" t="n">
        <v>3</v>
      </c>
      <c r="M565" s="334" t="inlineStr"/>
      <c r="N565" s="334" t="inlineStr"/>
      <c r="O565" s="354" t="inlineStr"/>
      <c r="P565" s="334" t="inlineStr"/>
      <c r="Q565" s="334" t="inlineStr"/>
      <c r="R565" s="334" t="inlineStr"/>
      <c r="S565" s="354" t="inlineStr"/>
      <c r="T565" s="23" t="inlineStr"/>
      <c r="U565" s="23" t="inlineStr"/>
      <c r="V565" s="56" t="n"/>
      <c r="W565" s="23" t="n"/>
      <c r="X565" s="23" t="n"/>
    </row>
    <row r="566" ht="22.2" customHeight="1" s="375">
      <c r="A566" s="3" t="n"/>
      <c r="B566" s="313" t="n"/>
      <c r="D566" s="314" t="n"/>
      <c r="E566" s="314" t="n"/>
      <c r="G566" s="334" t="inlineStr"/>
      <c r="H566" s="376" t="inlineStr"/>
      <c r="I566" s="376" t="inlineStr"/>
      <c r="J566" s="334" t="inlineStr"/>
      <c r="K566" s="374" t="n"/>
      <c r="L566" s="334" t="inlineStr"/>
      <c r="M566" s="334" t="inlineStr"/>
      <c r="N566" s="334" t="inlineStr"/>
      <c r="O566" s="354" t="inlineStr"/>
      <c r="P566" s="334" t="inlineStr"/>
      <c r="Q566" s="334" t="inlineStr"/>
      <c r="R566" s="334" t="inlineStr"/>
      <c r="S566" s="354" t="inlineStr"/>
      <c r="T566" t="inlineStr"/>
      <c r="U566" t="inlineStr"/>
    </row>
    <row r="567" ht="22.2" customHeight="1" s="375">
      <c r="A567" s="3" t="n"/>
      <c r="E567" s="3" t="n"/>
      <c r="G567" s="54" t="inlineStr"/>
      <c r="H567" s="334" t="inlineStr"/>
      <c r="I567" s="376" t="inlineStr"/>
      <c r="J567" s="334" t="inlineStr"/>
      <c r="K567" s="374" t="n"/>
      <c r="L567" s="334" t="inlineStr"/>
      <c r="M567" s="334" t="inlineStr"/>
      <c r="N567" s="334" t="inlineStr"/>
      <c r="O567" s="354" t="inlineStr"/>
      <c r="P567" s="334" t="inlineStr"/>
      <c r="Q567" s="334" t="inlineStr"/>
      <c r="R567" s="334" t="inlineStr"/>
      <c r="S567" s="354" t="inlineStr"/>
      <c r="T567" t="inlineStr"/>
      <c r="U567" t="inlineStr"/>
    </row>
    <row r="568" ht="22.2" customHeight="1" s="375">
      <c r="A568" s="3" t="n"/>
      <c r="D568" s="7" t="inlineStr">
        <is>
          <t> </t>
        </is>
      </c>
      <c r="E568" s="3" t="n"/>
      <c r="G568" s="55" t="inlineStr"/>
      <c r="H568" s="336" t="inlineStr"/>
      <c r="I568" s="336" t="inlineStr"/>
      <c r="J568" s="336" t="inlineStr"/>
      <c r="K568" s="527" t="n"/>
      <c r="L568" s="334" t="inlineStr"/>
      <c r="M568" s="334" t="inlineStr"/>
      <c r="N568" s="334" t="inlineStr"/>
      <c r="O568" s="354" t="inlineStr"/>
      <c r="P568" s="336" t="inlineStr"/>
      <c r="Q568" s="336" t="inlineStr"/>
      <c r="R568" s="336" t="inlineStr"/>
      <c r="S568" s="354" t="inlineStr"/>
      <c r="T568" t="inlineStr"/>
      <c r="U568" t="inlineStr"/>
    </row>
    <row r="569" ht="22.2" customHeight="1" s="375">
      <c r="A569" s="3" t="n"/>
      <c r="E569" s="3" t="n"/>
      <c r="G569" s="535" t="inlineStr">
        <is>
          <t>พุธ</t>
        </is>
      </c>
      <c r="H569" s="376" t="inlineStr">
        <is>
          <t>20101-2005</t>
        </is>
      </c>
      <c r="I569" s="376" t="inlineStr">
        <is>
          <t>ชย.2/5 (26)</t>
        </is>
      </c>
      <c r="J569" s="381" t="inlineStr">
        <is>
          <t>08:10 - 12:10</t>
        </is>
      </c>
      <c r="K569" s="135" t="n"/>
      <c r="L569" s="367" t="n">
        <v>2</v>
      </c>
      <c r="M569" s="381" t="n">
        <v>2</v>
      </c>
      <c r="N569" s="381" t="n">
        <v>200</v>
      </c>
      <c r="O569" s="354">
        <f>M569*N569</f>
        <v/>
      </c>
      <c r="P569" s="148" t="inlineStr"/>
      <c r="Q569" s="148" t="inlineStr"/>
      <c r="R569" s="149" t="inlineStr"/>
      <c r="S569" s="354" t="inlineStr"/>
      <c r="T569" s="6" t="inlineStr"/>
      <c r="U569" s="22" t="inlineStr"/>
      <c r="V569" s="57" t="n"/>
      <c r="W569" s="21" t="n"/>
      <c r="X569" s="21" t="n"/>
    </row>
    <row r="570" ht="22.2" customHeight="1" s="375">
      <c r="A570" s="3" t="n"/>
      <c r="B570" s="321" t="n"/>
      <c r="C570" s="322" t="n"/>
      <c r="D570" s="322" t="n"/>
      <c r="E570" s="334" t="n"/>
      <c r="G570" s="535" t="inlineStr">
        <is>
          <t>30 ก.ย.69</t>
        </is>
      </c>
      <c r="H570" s="376" t="inlineStr">
        <is>
          <t>20101-2005</t>
        </is>
      </c>
      <c r="I570" s="376" t="inlineStr">
        <is>
          <t>ชย.2/5 (26)</t>
        </is>
      </c>
      <c r="J570" s="334" t="inlineStr">
        <is>
          <t>13:10 - 16:10</t>
        </is>
      </c>
      <c r="K570" s="374" t="n"/>
      <c r="L570" s="334" t="inlineStr"/>
      <c r="M570" s="334" t="n">
        <v>3</v>
      </c>
      <c r="N570" s="334" t="n">
        <v>200</v>
      </c>
      <c r="O570" s="354">
        <f>M570*N570</f>
        <v/>
      </c>
      <c r="P570" s="334" t="inlineStr"/>
      <c r="Q570" s="334" t="inlineStr"/>
      <c r="R570" s="334" t="inlineStr"/>
      <c r="S570" s="354" t="inlineStr"/>
      <c r="T570" s="21" t="inlineStr"/>
      <c r="U570" s="22" t="inlineStr"/>
      <c r="V570" s="57" t="n"/>
      <c r="W570" s="21" t="n"/>
      <c r="X570" s="21" t="n"/>
    </row>
    <row r="571" ht="22.2" customHeight="1" s="375">
      <c r="A571" s="3" t="n"/>
      <c r="B571" s="313" t="n"/>
      <c r="D571" s="314" t="n"/>
      <c r="E571" s="314" t="n"/>
      <c r="G571" s="334" t="inlineStr"/>
      <c r="H571" s="376" t="inlineStr"/>
      <c r="I571" s="376" t="inlineStr"/>
      <c r="J571" s="334" t="inlineStr"/>
      <c r="K571" s="374" t="n"/>
      <c r="L571" s="334" t="inlineStr"/>
      <c r="M571" s="334" t="inlineStr"/>
      <c r="N571" s="334" t="inlineStr"/>
      <c r="O571" s="354" t="inlineStr"/>
      <c r="P571" s="334" t="inlineStr"/>
      <c r="Q571" s="334" t="inlineStr"/>
      <c r="R571" s="334" t="inlineStr"/>
      <c r="S571" s="354" t="inlineStr"/>
      <c r="T571" t="inlineStr"/>
      <c r="U571" t="inlineStr"/>
    </row>
    <row r="572" ht="22.2" customHeight="1" s="375">
      <c r="A572" s="3" t="n"/>
      <c r="E572" s="3" t="n"/>
      <c r="G572" s="321" t="inlineStr"/>
      <c r="H572" s="321" t="inlineStr"/>
      <c r="I572" s="334" t="inlineStr"/>
      <c r="J572" s="334" t="inlineStr"/>
      <c r="K572" s="374" t="n"/>
      <c r="L572" t="inlineStr"/>
      <c r="M572" s="334" t="inlineStr"/>
      <c r="N572" s="334" t="inlineStr"/>
      <c r="O572" s="354" t="inlineStr"/>
      <c r="P572" s="334" t="inlineStr"/>
      <c r="Q572" s="334" t="inlineStr"/>
      <c r="R572" s="334" t="inlineStr"/>
      <c r="S572" s="354" t="inlineStr"/>
      <c r="T572" t="inlineStr"/>
      <c r="U572" t="inlineStr"/>
    </row>
    <row r="573" ht="22.2" customHeight="1" s="375">
      <c r="A573" s="3" t="n"/>
      <c r="E573" s="3" t="n"/>
      <c r="G573" s="327" t="inlineStr"/>
      <c r="H573" s="327" t="inlineStr"/>
      <c r="I573" s="336" t="inlineStr"/>
      <c r="J573" s="336" t="inlineStr"/>
      <c r="K573" s="527" t="n"/>
      <c r="L573" s="336" t="inlineStr"/>
      <c r="M573" s="336" t="inlineStr"/>
      <c r="N573" s="336" t="inlineStr"/>
      <c r="O573" s="354" t="inlineStr"/>
      <c r="P573" s="336" t="inlineStr"/>
      <c r="Q573" s="336" t="inlineStr"/>
      <c r="R573" s="336" t="inlineStr"/>
      <c r="S573" s="354" t="inlineStr"/>
      <c r="T573" t="inlineStr"/>
      <c r="U573" t="inlineStr"/>
    </row>
    <row r="574" ht="22.2" customHeight="1" s="375">
      <c r="A574" s="3" t="n"/>
      <c r="E574" s="3" t="n"/>
      <c r="G574" s="533" t="inlineStr">
        <is>
          <t>พฤหัส</t>
        </is>
      </c>
      <c r="H574" s="376" t="inlineStr">
        <is>
          <t>20101-2005</t>
        </is>
      </c>
      <c r="I574" s="376" t="inlineStr">
        <is>
          <t>ชย.2/6 (26)</t>
        </is>
      </c>
      <c r="J574" s="381" t="inlineStr">
        <is>
          <t>08:10 - 12:10</t>
        </is>
      </c>
      <c r="K574" s="135" t="n"/>
      <c r="L574" s="367" t="inlineStr"/>
      <c r="M574" s="334" t="n">
        <v>4</v>
      </c>
      <c r="N574" s="334" t="n">
        <v>200</v>
      </c>
      <c r="O574" s="354">
        <f>M574*N574</f>
        <v/>
      </c>
      <c r="P574" s="24" t="inlineStr"/>
      <c r="Q574" s="24" t="inlineStr"/>
      <c r="R574" s="24" t="inlineStr"/>
      <c r="S574" s="354" t="inlineStr"/>
      <c r="T574" t="inlineStr"/>
      <c r="U574" t="inlineStr"/>
    </row>
    <row r="575" ht="22.2" customHeight="1" s="375">
      <c r="A575" s="3" t="n"/>
      <c r="E575" s="3" t="n"/>
      <c r="G575" s="535" t="inlineStr">
        <is>
          <t>1 ต.ค.69</t>
        </is>
      </c>
      <c r="H575" s="250" t="inlineStr">
        <is>
          <t>20101-2005</t>
        </is>
      </c>
      <c r="I575" s="376" t="inlineStr">
        <is>
          <t>ชย.2/6 (26)</t>
        </is>
      </c>
      <c r="J575" s="313" t="inlineStr">
        <is>
          <t>15:10 - 18:10</t>
        </is>
      </c>
      <c r="K575" s="314" t="n"/>
      <c r="L575" s="334" t="inlineStr"/>
      <c r="M575" s="334" t="n">
        <v>3</v>
      </c>
      <c r="N575" s="334" t="n">
        <v>200</v>
      </c>
      <c r="O575" s="354">
        <f>M575*N575</f>
        <v/>
      </c>
      <c r="P575" s="334" t="inlineStr"/>
      <c r="Q575" s="251" t="inlineStr"/>
      <c r="R575" s="251" t="inlineStr"/>
      <c r="S575" s="16" t="inlineStr"/>
      <c r="T575" t="inlineStr"/>
      <c r="U575" t="inlineStr"/>
    </row>
    <row r="576" ht="22.2" customHeight="1" s="375">
      <c r="A576" s="3" t="n"/>
      <c r="B576" s="313" t="n"/>
      <c r="E576" s="3" t="n"/>
      <c r="G576" s="334" t="inlineStr"/>
      <c r="H576" s="376" t="inlineStr"/>
      <c r="I576" s="376" t="inlineStr"/>
      <c r="J576" s="334" t="inlineStr"/>
      <c r="K576" s="374" t="n"/>
      <c r="L576" s="376" t="inlineStr"/>
      <c r="M576" s="376" t="inlineStr"/>
      <c r="N576" s="376" t="inlineStr"/>
      <c r="O576" s="354" t="inlineStr"/>
      <c r="P576" s="334" t="inlineStr"/>
      <c r="Q576" s="251" t="inlineStr"/>
      <c r="R576" s="251" t="inlineStr"/>
      <c r="S576" s="525" t="n"/>
      <c r="T576" t="inlineStr"/>
      <c r="U576" t="inlineStr"/>
    </row>
    <row r="577" ht="22.2" customHeight="1" s="375">
      <c r="A577" s="3" t="n"/>
      <c r="E577" s="3" t="n"/>
      <c r="G577" s="334" t="inlineStr"/>
      <c r="H577" s="376" t="inlineStr"/>
      <c r="I577" s="376" t="inlineStr"/>
      <c r="J577" s="334" t="inlineStr"/>
      <c r="K577" s="374" t="n"/>
      <c r="L577" s="334" t="inlineStr"/>
      <c r="M577" s="334" t="inlineStr"/>
      <c r="N577" s="334" t="inlineStr"/>
      <c r="O577" s="354" t="inlineStr"/>
      <c r="P577" s="334" t="inlineStr"/>
      <c r="Q577" s="334" t="inlineStr"/>
      <c r="R577" s="334" t="inlineStr"/>
      <c r="S577" s="354" t="inlineStr"/>
      <c r="T577" t="inlineStr"/>
      <c r="U577" t="inlineStr"/>
    </row>
    <row r="578" ht="22.2" customHeight="1" s="375">
      <c r="A578" s="3" t="n"/>
      <c r="E578" s="3" t="n"/>
      <c r="G578" s="336" t="inlineStr"/>
      <c r="H578" s="328" t="inlineStr"/>
      <c r="I578" s="336" t="inlineStr"/>
      <c r="J578" s="336" t="inlineStr"/>
      <c r="K578" s="527" t="n"/>
      <c r="L578" s="336" t="inlineStr"/>
      <c r="M578" s="336" t="inlineStr"/>
      <c r="N578" s="336" t="inlineStr"/>
      <c r="O578" s="354" t="inlineStr"/>
      <c r="P578" s="336" t="inlineStr"/>
      <c r="Q578" s="336" t="inlineStr"/>
      <c r="R578" s="336" t="inlineStr"/>
      <c r="S578" s="354" t="inlineStr"/>
      <c r="T578" t="inlineStr"/>
      <c r="U578" t="inlineStr"/>
    </row>
    <row r="579" ht="22.2" customHeight="1" s="375">
      <c r="A579" s="3" t="n"/>
      <c r="E579" s="3" t="n"/>
      <c r="G579" s="533" t="inlineStr">
        <is>
          <t>ศุกร์</t>
        </is>
      </c>
      <c r="H579" s="376" t="inlineStr"/>
      <c r="I579" s="376" t="inlineStr"/>
      <c r="J579" s="381" t="inlineStr"/>
      <c r="K579" s="135" t="n"/>
      <c r="L579" s="334" t="inlineStr"/>
      <c r="M579" s="381" t="inlineStr"/>
      <c r="N579" s="381" t="inlineStr"/>
      <c r="O579" s="354" t="inlineStr"/>
      <c r="P579" s="381" t="inlineStr"/>
      <c r="Q579" s="367" t="inlineStr"/>
      <c r="R579" s="381" t="inlineStr"/>
      <c r="S579" s="354" t="inlineStr"/>
      <c r="T579" t="inlineStr"/>
      <c r="U579" t="inlineStr"/>
    </row>
    <row r="580" ht="22.2" customHeight="1" s="375">
      <c r="A580" s="3" t="n"/>
      <c r="E580" s="3" t="n"/>
      <c r="G580" s="535" t="inlineStr">
        <is>
          <t>2 ต.ค.69</t>
        </is>
      </c>
      <c r="H580" s="376" t="inlineStr"/>
      <c r="I580" s="376" t="inlineStr"/>
      <c r="J580" s="334" t="inlineStr"/>
      <c r="K580" s="374" t="n"/>
      <c r="L580" s="334" t="inlineStr"/>
      <c r="M580" s="334" t="inlineStr"/>
      <c r="N580" s="334" t="inlineStr"/>
      <c r="O580" s="354" t="inlineStr"/>
      <c r="P580" s="334" t="inlineStr"/>
      <c r="Q580" s="334" t="inlineStr"/>
      <c r="R580" s="334" t="inlineStr"/>
      <c r="S580" s="354" t="inlineStr"/>
      <c r="T580" t="inlineStr"/>
      <c r="U580" t="inlineStr"/>
    </row>
    <row r="581" ht="22.2" customHeight="1" s="375">
      <c r="A581" s="3" t="n"/>
      <c r="E581" s="3" t="n"/>
      <c r="G581" s="334" t="inlineStr"/>
      <c r="H581" s="376" t="inlineStr"/>
      <c r="I581" s="376" t="inlineStr"/>
      <c r="J581" s="334" t="inlineStr"/>
      <c r="K581" s="374" t="n"/>
      <c r="L581" s="334" t="inlineStr"/>
      <c r="M581" s="334" t="inlineStr"/>
      <c r="N581" s="334" t="inlineStr"/>
      <c r="O581" s="354" t="inlineStr"/>
      <c r="P581" s="334" t="inlineStr"/>
      <c r="Q581" s="334" t="inlineStr"/>
      <c r="R581" s="334" t="inlineStr"/>
      <c r="S581" s="354" t="inlineStr"/>
      <c r="T581" t="inlineStr"/>
      <c r="U581" t="inlineStr"/>
    </row>
    <row r="582" ht="22.2" customHeight="1" s="375">
      <c r="A582" s="3" t="n"/>
      <c r="E582" s="3" t="n"/>
      <c r="G582" s="334" t="inlineStr"/>
      <c r="H582" s="322" t="inlineStr"/>
      <c r="I582" s="334" t="inlineStr"/>
      <c r="J582" s="334" t="inlineStr"/>
      <c r="K582" s="374" t="n"/>
      <c r="L582" s="334" t="inlineStr"/>
      <c r="M582" s="334" t="inlineStr"/>
      <c r="N582" s="334" t="inlineStr"/>
      <c r="O582" s="354" t="inlineStr"/>
      <c r="P582" s="334" t="inlineStr"/>
      <c r="Q582" s="334" t="inlineStr"/>
      <c r="R582" s="334" t="inlineStr"/>
      <c r="S582" s="354" t="inlineStr"/>
      <c r="T582" t="inlineStr"/>
      <c r="U582" t="inlineStr"/>
    </row>
    <row r="583" ht="22.2" customHeight="1" s="375">
      <c r="A583" s="3" t="n"/>
      <c r="E583" s="3" t="n"/>
      <c r="F583" s="3" t="n"/>
      <c r="G583" s="329" t="inlineStr"/>
      <c r="H583" s="328" t="inlineStr"/>
      <c r="I583" s="336" t="inlineStr"/>
      <c r="J583" s="336" t="inlineStr"/>
      <c r="K583" s="527" t="n"/>
      <c r="L583" s="336" t="inlineStr"/>
      <c r="M583" s="336" t="inlineStr"/>
      <c r="N583" s="336" t="inlineStr"/>
      <c r="O583" s="354" t="inlineStr"/>
      <c r="P583" s="336" t="inlineStr"/>
      <c r="Q583" s="336" t="inlineStr"/>
      <c r="R583" s="336" t="inlineStr"/>
      <c r="S583" s="354" t="inlineStr"/>
      <c r="T583" t="inlineStr"/>
      <c r="U583" t="inlineStr"/>
    </row>
    <row r="584" ht="22.2" customHeight="1" s="375">
      <c r="A584" s="3" t="n"/>
      <c r="E584" s="3" t="n"/>
      <c r="F584" s="3" t="n"/>
      <c r="G584" s="16" t="inlineStr">
        <is>
          <t>รวมขั่วโมงที่สอนแยก ภาระงาน/ เกินภาระงาน</t>
        </is>
      </c>
      <c r="H584" s="518" t="n"/>
      <c r="I584" s="518" t="n"/>
      <c r="J584" s="518" t="n"/>
      <c r="K584" s="432" t="n"/>
      <c r="L584" s="16">
        <f>SUM(L559:L583)</f>
        <v/>
      </c>
      <c r="M584" s="16">
        <f>SUM(M559:M583)</f>
        <v/>
      </c>
      <c r="N584" s="16" t="n"/>
      <c r="O584" s="16" t="n"/>
      <c r="P584" s="16">
        <f>SUM(P559:P583)</f>
        <v/>
      </c>
      <c r="Q584" s="16">
        <f>SUM(Q559:Q583)</f>
        <v/>
      </c>
      <c r="R584" s="349" t="n"/>
      <c r="S584" s="16" t="n"/>
      <c r="T584" s="23" t="n"/>
      <c r="U584" s="23" t="inlineStr">
        <is>
          <t>สอน ป.ตรี</t>
        </is>
      </c>
      <c r="V584" s="56" t="n"/>
      <c r="W584" s="23" t="n"/>
      <c r="X584" s="23" t="n"/>
    </row>
    <row r="585" ht="22.2" customHeight="1" s="375">
      <c r="A585" s="3" t="n"/>
      <c r="E585" s="3" t="n"/>
      <c r="F585" s="3" t="n"/>
      <c r="G585" s="16" t="inlineStr">
        <is>
          <t>รวมจำนวนชั่วโมงสอนคาบต่อสับดาห์</t>
        </is>
      </c>
      <c r="H585" s="518" t="n"/>
      <c r="I585" s="518" t="n"/>
      <c r="J585" s="518" t="n"/>
      <c r="K585" s="432" t="n"/>
      <c r="L585" s="16">
        <f>L584+M584</f>
        <v/>
      </c>
      <c r="M585" s="432" t="n"/>
      <c r="N585" s="348" t="n"/>
      <c r="O585" s="16" t="n"/>
      <c r="P585" s="16">
        <f>P584+Q584</f>
        <v/>
      </c>
      <c r="Q585" s="432" t="n"/>
      <c r="R585" s="329" t="n"/>
      <c r="S585" s="336" t="n"/>
      <c r="T585" s="23" t="n"/>
      <c r="U585" s="23" t="inlineStr">
        <is>
          <t>17.10-20.10</t>
        </is>
      </c>
      <c r="V585" s="56" t="n"/>
      <c r="W585" s="23" t="n"/>
      <c r="X585" s="23" t="n"/>
    </row>
    <row r="586" ht="22.2" customHeight="1" s="375">
      <c r="A586" s="3" t="n"/>
      <c r="E586" s="3" t="n"/>
      <c r="F586" s="3" t="n"/>
      <c r="G586" s="16" t="inlineStr">
        <is>
          <t>จำนวนชั่วโมงสอนตามภาระงานสอน</t>
        </is>
      </c>
      <c r="H586" s="518" t="n"/>
      <c r="I586" s="518" t="n"/>
      <c r="J586" s="518" t="n"/>
      <c r="K586" s="432" t="n"/>
      <c r="L586" s="16" t="n">
        <v>12</v>
      </c>
      <c r="M586" s="432" t="n"/>
      <c r="N586" s="348" t="n"/>
      <c r="O586" s="16" t="n"/>
      <c r="P586" s="16" t="n">
        <v>0</v>
      </c>
      <c r="Q586" s="432" t="n"/>
      <c r="R586" s="322" t="n"/>
      <c r="S586" s="334" t="n"/>
    </row>
    <row r="587" ht="22.2" customHeight="1" s="375" thickBot="1">
      <c r="A587" s="3" t="n"/>
      <c r="E587" s="3" t="n"/>
      <c r="F587" s="14" t="n"/>
      <c r="G587" s="16" t="inlineStr">
        <is>
          <t>จำนวนชั่วโมงบิกเกินภาระงานสอน/ค่าสอน</t>
        </is>
      </c>
      <c r="H587" s="518" t="n"/>
      <c r="I587" s="518" t="n"/>
      <c r="J587" s="518" t="n"/>
      <c r="K587" s="432" t="n"/>
      <c r="L587" s="17" t="n">
        <v>0</v>
      </c>
      <c r="M587" s="17">
        <f>SUM(M559:M583)</f>
        <v/>
      </c>
      <c r="N587" s="17" t="n"/>
      <c r="O587" s="17">
        <f>SUM(O559:O583)</f>
        <v/>
      </c>
      <c r="P587" s="17" t="n">
        <v>0</v>
      </c>
      <c r="Q587" s="17">
        <f>SUM(Q559:Q583)</f>
        <v/>
      </c>
      <c r="R587" s="18" t="n"/>
      <c r="S587" s="17">
        <f>SUM(S559:S583)</f>
        <v/>
      </c>
    </row>
    <row r="588" ht="22.2" customHeight="1" s="375" thickTop="1">
      <c r="A588" s="337" t="inlineStr">
        <is>
          <t>รวมจำนวนหน่วยชั่วโมงที่ขอเบิกค่าสอน ….</t>
        </is>
      </c>
      <c r="B588" s="518" t="n"/>
      <c r="C588" s="518" t="n"/>
      <c r="D588" s="518" t="n"/>
      <c r="E588" s="518" t="n"/>
      <c r="F588" s="518" t="n"/>
      <c r="G588" s="518" t="n"/>
      <c r="H588" s="348">
        <f>M587+Q587</f>
        <v/>
      </c>
      <c r="I588" s="348" t="inlineStr">
        <is>
          <t>….ชั่วโมง</t>
        </is>
      </c>
      <c r="J588" s="348" t="n"/>
      <c r="K588" s="328" t="inlineStr">
        <is>
          <t>ยอดเงินรวม</t>
        </is>
      </c>
      <c r="L588" s="522" t="n"/>
      <c r="M588" s="522" t="n"/>
      <c r="N588" s="328" t="n"/>
      <c r="O588" s="328" t="n"/>
      <c r="P588" s="339">
        <f>S587+O587</f>
        <v/>
      </c>
      <c r="Q588" s="538" t="n"/>
      <c r="R588" s="20" t="n"/>
      <c r="S588" s="19" t="inlineStr">
        <is>
          <t>..บาท</t>
        </is>
      </c>
    </row>
    <row r="589" ht="22.2" customHeight="1" s="375">
      <c r="A589" s="154" t="inlineStr">
        <is>
          <t>ผู้ขอเบิก</t>
        </is>
      </c>
      <c r="B589" s="153" t="n"/>
      <c r="C589" s="153" t="n"/>
      <c r="D589" s="153" t="n"/>
      <c r="E589" s="153" t="n"/>
      <c r="F589" s="153" t="n"/>
      <c r="G589" s="135" t="n"/>
      <c r="H589" s="154" t="inlineStr">
        <is>
          <t>ผู้รับรอง</t>
        </is>
      </c>
      <c r="I589" s="153" t="n"/>
      <c r="J589" s="153" t="n"/>
      <c r="K589" s="153" t="n"/>
      <c r="L589" s="135" t="n"/>
      <c r="M589" s="154" t="inlineStr">
        <is>
          <t>ผู้ตรวจ</t>
        </is>
      </c>
      <c r="N589" s="153" t="n"/>
      <c r="O589" s="153" t="n"/>
      <c r="P589" s="153" t="n"/>
      <c r="Q589" s="153" t="n"/>
      <c r="R589" s="153" t="n"/>
      <c r="S589" s="135" t="n"/>
    </row>
    <row r="590" ht="22.2" customHeight="1" s="375">
      <c r="A590" s="334" t="inlineStr">
        <is>
          <t>ลงชื่อ……………………………………………</t>
        </is>
      </c>
      <c r="G590" s="374" t="n"/>
      <c r="H590" s="334" t="inlineStr">
        <is>
          <t>ลงชื่อ……………………………………………</t>
        </is>
      </c>
      <c r="L590" s="374" t="n"/>
      <c r="M590" s="334" t="inlineStr">
        <is>
          <t>ลงชื่อ……………………………………………</t>
        </is>
      </c>
      <c r="S590" s="374" t="n"/>
    </row>
    <row r="591" ht="22.2" customHeight="1" s="375">
      <c r="A591" s="11" t="inlineStr">
        <is>
          <t>(</t>
        </is>
      </c>
      <c r="B591" s="324">
        <f>B559</f>
        <v/>
      </c>
      <c r="G591" s="326" t="inlineStr">
        <is>
          <t>)</t>
        </is>
      </c>
      <c r="H591" s="324" t="inlineStr">
        <is>
          <t>(</t>
        </is>
      </c>
      <c r="I591" s="340">
        <f>I545</f>
        <v/>
      </c>
      <c r="L591" s="12" t="inlineStr">
        <is>
          <t>)</t>
        </is>
      </c>
      <c r="M591" s="53" t="inlineStr">
        <is>
          <t>(</t>
        </is>
      </c>
      <c r="N591" s="53" t="n"/>
      <c r="O591" s="324">
        <f>O39</f>
        <v/>
      </c>
      <c r="R591" s="25" t="n"/>
      <c r="S591" s="326" t="inlineStr">
        <is>
          <t>)</t>
        </is>
      </c>
    </row>
    <row r="592" ht="22.2" customHeight="1" s="375">
      <c r="A592" s="540" t="inlineStr">
        <is>
          <t xml:space="preserve">                         ตำแหน่ง  ครู</t>
        </is>
      </c>
      <c r="G592" s="374" t="n"/>
      <c r="H592" s="54" t="inlineStr">
        <is>
          <t>ตำแหน่ง หัวหน้าแผนก</t>
        </is>
      </c>
      <c r="L592" s="374" t="n"/>
      <c r="M592" s="54" t="inlineStr">
        <is>
          <t>ตำแหน่ง   ผู้ตรวจสอบ</t>
        </is>
      </c>
      <c r="S592" s="374" t="n"/>
    </row>
    <row r="593" ht="22.2" customHeight="1" s="375">
      <c r="A593" s="55" t="inlineStr">
        <is>
          <t>วันที่ 5 เดือน ตุลาคม  พ.ศ.2569</t>
        </is>
      </c>
      <c r="B593" s="522" t="n"/>
      <c r="C593" s="522" t="n"/>
      <c r="D593" s="522" t="n"/>
      <c r="E593" s="522" t="n"/>
      <c r="F593" s="522" t="n"/>
      <c r="G593" s="527" t="n"/>
      <c r="H593" s="54">
        <f>A41</f>
        <v/>
      </c>
      <c r="L593" s="374" t="n"/>
      <c r="M593" s="55">
        <f>A41</f>
        <v/>
      </c>
      <c r="N593" s="522" t="n"/>
      <c r="O593" s="522" t="n"/>
      <c r="P593" s="522" t="n"/>
      <c r="Q593" s="522" t="n"/>
      <c r="R593" s="522" t="n"/>
      <c r="S593" s="527" t="n"/>
    </row>
    <row r="594" ht="22.2" customHeight="1" s="375">
      <c r="A594" s="154" t="inlineStr">
        <is>
          <t>ผู้ตรวจ</t>
        </is>
      </c>
      <c r="B594" s="153" t="n"/>
      <c r="C594" s="153" t="n"/>
      <c r="D594" s="153" t="n"/>
      <c r="E594" s="153" t="n"/>
      <c r="F594" s="153" t="n"/>
      <c r="G594" s="153" t="n"/>
      <c r="H594" s="153" t="n"/>
      <c r="I594" s="135" t="n"/>
      <c r="J594" s="154" t="inlineStr">
        <is>
          <t>ผู้เห็นชอบ</t>
        </is>
      </c>
      <c r="K594" s="153" t="n"/>
      <c r="L594" s="153" t="n"/>
      <c r="M594" s="153" t="n"/>
      <c r="N594" s="153" t="n"/>
      <c r="O594" s="153" t="n"/>
      <c r="P594" s="153" t="n"/>
      <c r="Q594" s="153" t="n"/>
      <c r="R594" s="153" t="n"/>
      <c r="S594" s="135" t="n"/>
    </row>
    <row r="595" ht="22.2" customHeight="1" s="375">
      <c r="A595" s="334" t="inlineStr">
        <is>
          <t>ลงชื่อ……………………………………………</t>
        </is>
      </c>
      <c r="I595" s="374" t="n"/>
      <c r="J595" s="334" t="inlineStr">
        <is>
          <t>ลงชื่อ……………………………………………</t>
        </is>
      </c>
      <c r="S595" s="374" t="n"/>
    </row>
    <row r="596" ht="22.2" customHeight="1" s="375">
      <c r="A596" s="11" t="n"/>
      <c r="B596" s="324">
        <f>B44</f>
        <v/>
      </c>
      <c r="I596" s="326" t="n"/>
      <c r="J596" s="25" t="n"/>
      <c r="K596" s="25" t="n"/>
      <c r="L596" s="324">
        <f>L44</f>
        <v/>
      </c>
      <c r="R596" s="25" t="n"/>
      <c r="S596" s="12" t="n"/>
    </row>
    <row r="597" ht="22.2" customHeight="1" s="375">
      <c r="A597" s="54" t="inlineStr">
        <is>
          <t>ตำแหน่งครู  หัวหน้างานพัฒนาหลักสูตร ฯ</t>
        </is>
      </c>
      <c r="I597" s="374" t="n"/>
      <c r="J597" s="54" t="inlineStr">
        <is>
          <t>ตำแหน่ง  รองผู้อำนวยการฝ่ายวิชาการ</t>
        </is>
      </c>
      <c r="S597" s="374" t="n"/>
    </row>
    <row r="598" ht="22.2" customHeight="1" s="375">
      <c r="A598" s="336" t="inlineStr">
        <is>
          <t>วันที่.......เดือน..........................พ.ศ..............</t>
        </is>
      </c>
      <c r="B598" s="522" t="n"/>
      <c r="C598" s="522" t="n"/>
      <c r="D598" s="522" t="n"/>
      <c r="E598" s="522" t="n"/>
      <c r="F598" s="522" t="n"/>
      <c r="G598" s="522" t="n"/>
      <c r="H598" s="522" t="n"/>
      <c r="I598" s="527" t="n"/>
      <c r="J598" s="336" t="inlineStr">
        <is>
          <t>วันที่.......เดือน..........................พ.ศ..............</t>
        </is>
      </c>
      <c r="K598" s="522" t="n"/>
      <c r="L598" s="522" t="n"/>
      <c r="M598" s="522" t="n"/>
      <c r="N598" s="522" t="n"/>
      <c r="O598" s="522" t="n"/>
      <c r="P598" s="522" t="n"/>
      <c r="Q598" s="522" t="n"/>
      <c r="R598" s="522" t="n"/>
      <c r="S598" s="527" t="n"/>
    </row>
    <row r="599" ht="22.2" customHeight="1" s="375"/>
    <row r="600" ht="22.2" customHeight="1" s="375"/>
    <row r="601" ht="22.2" customHeight="1" s="375"/>
    <row r="602" ht="22.2" customHeight="1" s="375"/>
    <row r="603" ht="22.2" customHeight="1" s="375"/>
    <row r="604" ht="22.2" customHeight="1" s="375"/>
    <row r="605" ht="22.2" customHeight="1" s="375"/>
    <row r="606" ht="22.2" customHeight="1" s="375"/>
    <row r="607" ht="22.2" customHeight="1" s="375"/>
    <row r="608" ht="22.2" customHeight="1" s="375"/>
    <row r="609" ht="22.2" customHeight="1" s="375"/>
    <row r="610" ht="22.2" customHeight="1" s="375"/>
    <row r="611" ht="22.2" customHeight="1" s="375"/>
    <row r="612" ht="22.2" customHeight="1" s="375"/>
    <row r="613" ht="22.2" customHeight="1" s="375"/>
    <row r="614" ht="22.2" customHeight="1" s="375"/>
    <row r="615" ht="22.2" customHeight="1" s="375"/>
    <row r="616" ht="22.2" customHeight="1" s="375"/>
    <row r="617" ht="22.2" customHeight="1" s="375"/>
    <row r="618" ht="22.2" customHeight="1" s="375"/>
    <row r="619" ht="22.2" customHeight="1" s="375"/>
    <row r="620" ht="22.2" customHeight="1" s="375"/>
    <row r="621" ht="22.2" customHeight="1" s="375"/>
    <row r="622" ht="22.2" customHeight="1" s="375"/>
    <row r="623" ht="22.2" customHeight="1" s="375"/>
    <row r="624" ht="22.2" customHeight="1" s="375"/>
    <row r="625" ht="22.2" customHeight="1" s="375"/>
    <row r="626" ht="22.2" customHeight="1" s="375"/>
    <row r="627" ht="22.2" customHeight="1" s="375"/>
    <row r="628" ht="22.2" customHeight="1" s="375"/>
    <row r="629" ht="22.2" customHeight="1" s="375"/>
    <row r="630" ht="22.2" customHeight="1" s="375"/>
    <row r="631" ht="22.2" customHeight="1" s="375"/>
    <row r="632" ht="22.2" customHeight="1" s="375"/>
    <row r="633" ht="22.2" customHeight="1" s="375" thickBot="1"/>
    <row r="634" ht="22.2" customHeight="1" s="375" thickTop="1"/>
    <row r="635" ht="22.2" customHeight="1" s="375"/>
    <row r="636" ht="22.2" customHeight="1" s="375"/>
    <row r="637" ht="22.2" customHeight="1" s="375"/>
    <row r="638" ht="22.2" customHeight="1" s="375"/>
    <row r="639" ht="22.2" customHeight="1" s="375"/>
    <row r="640" ht="22.2" customHeight="1" s="375"/>
    <row r="641" ht="22.2" customHeight="1" s="375"/>
    <row r="642" ht="22.2" customHeight="1" s="375"/>
    <row r="643" ht="22.2" customHeight="1" s="375"/>
    <row r="644" ht="22.2" customHeight="1" s="375"/>
    <row r="645" ht="22.2" customHeight="1" s="375"/>
    <row r="646" ht="22.2" customHeight="1" s="375"/>
    <row r="647" ht="22.2" customHeight="1" s="375"/>
    <row r="648" ht="22.2" customHeight="1" s="375"/>
    <row r="649" ht="22.2" customHeight="1" s="375"/>
    <row r="650" ht="22.2" customHeight="1" s="375"/>
    <row r="651" ht="22.2" customHeight="1" s="375"/>
    <row r="652" ht="22.2" customHeight="1" s="375"/>
    <row r="653" ht="22.2" customHeight="1" s="375"/>
    <row r="654" ht="22.2" customHeight="1" s="375"/>
    <row r="655" ht="22.2" customHeight="1" s="375"/>
    <row r="656" ht="22.2" customHeight="1" s="375"/>
    <row r="657" ht="22.2" customHeight="1" s="375"/>
    <row r="658" ht="22.2" customHeight="1" s="375"/>
    <row r="659" ht="22.2" customHeight="1" s="375"/>
    <row r="660" ht="22.2" customHeight="1" s="375"/>
    <row r="661" ht="22.2" customHeight="1" s="375"/>
    <row r="662" ht="22.2" customHeight="1" s="375"/>
    <row r="663" ht="22.2" customHeight="1" s="375"/>
    <row r="664" ht="22.2" customHeight="1" s="375"/>
    <row r="665" ht="22.2" customHeight="1" s="375"/>
    <row r="666" ht="22.2" customHeight="1" s="375"/>
    <row r="667" ht="22.2" customHeight="1" s="375"/>
    <row r="668" ht="22.2" customHeight="1" s="375"/>
    <row r="669" ht="22.2" customHeight="1" s="375"/>
    <row r="670" ht="22.2" customHeight="1" s="375"/>
    <row r="671" ht="22.2" customHeight="1" s="375"/>
    <row r="672" ht="22.2" customHeight="1" s="375"/>
    <row r="673" ht="22.2" customHeight="1" s="375"/>
    <row r="674" ht="22.2" customHeight="1" s="375"/>
    <row r="675" ht="22.2" customHeight="1" s="375"/>
    <row r="676" ht="22.2" customHeight="1" s="375"/>
    <row r="677" ht="22.2" customHeight="1" s="375"/>
    <row r="678" ht="22.2" customHeight="1" s="375"/>
    <row r="679" ht="22.2" customHeight="1" s="375" thickBot="1"/>
    <row r="680" ht="22.2" customHeight="1" s="375" thickTop="1"/>
    <row r="681" ht="22.2" customHeight="1" s="375"/>
    <row r="682" ht="22.2" customHeight="1" s="375"/>
    <row r="683" ht="22.2" customHeight="1" s="375"/>
    <row r="684" ht="22.2" customHeight="1" s="375"/>
    <row r="685" ht="22.2" customHeight="1" s="375"/>
    <row r="686" ht="22.2" customHeight="1" s="375"/>
    <row r="687" ht="22.2" customHeight="1" s="375"/>
    <row r="688" ht="22.2" customHeight="1" s="375"/>
    <row r="689" ht="22.2" customHeight="1" s="375"/>
    <row r="690" ht="22.2" customHeight="1" s="375"/>
    <row r="691" ht="22.2" customHeight="1" s="375"/>
    <row r="692" ht="22.2" customHeight="1" s="375"/>
    <row r="693" ht="22.2" customHeight="1" s="375"/>
    <row r="694" ht="22.2" customHeight="1" s="375"/>
    <row r="695" ht="22.2" customHeight="1" s="375"/>
    <row r="696" ht="22.2" customHeight="1" s="375"/>
    <row r="697" ht="22.2" customHeight="1" s="375"/>
    <row r="698" ht="22.2" customHeight="1" s="375"/>
    <row r="699" ht="22.2" customHeight="1" s="375"/>
    <row r="700" ht="22.2" customHeight="1" s="375"/>
    <row r="701" ht="22.2" customHeight="1" s="375"/>
    <row r="702" ht="22.2" customHeight="1" s="375"/>
    <row r="703" ht="22.2" customHeight="1" s="375"/>
    <row r="704" ht="22.2" customHeight="1" s="375"/>
    <row r="705" ht="22.2" customHeight="1" s="375"/>
    <row r="706" ht="22.2" customHeight="1" s="375"/>
    <row r="707" ht="22.2" customHeight="1" s="375"/>
    <row r="708" ht="22.2" customHeight="1" s="375"/>
    <row r="709" ht="22.2" customHeight="1" s="375"/>
    <row r="710" ht="22.2" customHeight="1" s="375"/>
    <row r="711" ht="22.2" customHeight="1" s="375"/>
    <row r="712" ht="22.2" customHeight="1" s="375"/>
    <row r="713" ht="22.2" customHeight="1" s="375"/>
    <row r="714" ht="22.2" customHeight="1" s="375"/>
    <row r="715" ht="22.2" customHeight="1" s="375"/>
    <row r="716" ht="22.2" customHeight="1" s="375"/>
    <row r="717" ht="22.2" customHeight="1" s="375"/>
    <row r="718" ht="22.2" customHeight="1" s="375"/>
    <row r="719" ht="22.2" customHeight="1" s="375"/>
    <row r="720" ht="22.2" customHeight="1" s="375"/>
    <row r="721" ht="22.2" customHeight="1" s="375"/>
    <row r="722" ht="22.2" customHeight="1" s="375"/>
    <row r="723" ht="22.2" customHeight="1" s="375"/>
    <row r="724" ht="22.2" customHeight="1" s="375"/>
    <row r="725" ht="22.2" customHeight="1" s="375" thickBot="1"/>
    <row r="726" ht="22.2" customHeight="1" s="375" thickTop="1"/>
    <row r="727" ht="22.2" customHeight="1" s="375"/>
    <row r="728" ht="22.2" customHeight="1" s="375"/>
    <row r="729" ht="22.2" customHeight="1" s="375"/>
    <row r="730" ht="22.2" customHeight="1" s="375"/>
    <row r="731" ht="22.2" customHeight="1" s="375"/>
    <row r="732" ht="22.2" customHeight="1" s="375"/>
    <row r="733" ht="22.2" customHeight="1" s="375"/>
    <row r="734" ht="22.2" customHeight="1" s="375"/>
    <row r="735" ht="22.2" customHeight="1" s="375"/>
    <row r="736" ht="22.2" customHeight="1" s="375"/>
    <row r="737" ht="22.2" customHeight="1" s="375"/>
    <row r="738" ht="22.2" customHeight="1" s="375"/>
    <row r="739" ht="22.2" customHeight="1" s="375"/>
    <row r="740" ht="22.2" customHeight="1" s="375"/>
    <row r="741" ht="22.2" customHeight="1" s="375"/>
    <row r="742" ht="22.2" customHeight="1" s="375"/>
    <row r="743" ht="22.2" customHeight="1" s="375"/>
    <row r="744" ht="22.2" customHeight="1" s="375"/>
    <row r="745" ht="22.2" customHeight="1" s="375"/>
    <row r="746" ht="22.2" customHeight="1" s="375"/>
    <row r="747" ht="22.2" customHeight="1" s="375"/>
    <row r="748" ht="22.2" customHeight="1" s="375"/>
    <row r="749" ht="22.2" customHeight="1" s="375"/>
    <row r="750" ht="22.2" customHeight="1" s="375"/>
    <row r="751" ht="22.2" customHeight="1" s="375"/>
    <row r="752" ht="22.2" customHeight="1" s="375"/>
    <row r="753" ht="22.2" customHeight="1" s="375"/>
    <row r="754" ht="22.2" customHeight="1" s="375"/>
    <row r="755" ht="22.2" customHeight="1" s="375"/>
    <row r="756" ht="22.2" customHeight="1" s="375"/>
    <row r="757" ht="22.2" customHeight="1" s="375"/>
    <row r="758" ht="22.2" customHeight="1" s="375"/>
    <row r="759" ht="22.2" customHeight="1" s="375"/>
    <row r="760" ht="22.2" customHeight="1" s="375"/>
    <row r="761" ht="22.2" customHeight="1" s="375"/>
    <row r="762" ht="22.2" customHeight="1" s="375"/>
    <row r="763" ht="22.2" customHeight="1" s="375"/>
    <row r="764" ht="22.2" customHeight="1" s="375"/>
    <row r="765" ht="22.2" customHeight="1" s="375"/>
    <row r="766" ht="22.2" customHeight="1" s="375"/>
    <row r="767" ht="22.2" customHeight="1" s="375"/>
    <row r="768" ht="22.2" customHeight="1" s="375"/>
    <row r="769" ht="22.2" customHeight="1" s="375"/>
    <row r="770" ht="22.2" customHeight="1" s="375"/>
    <row r="771" ht="22.2" customHeight="1" s="375" thickBot="1"/>
    <row r="772" ht="22.2" customHeight="1" s="375" thickTop="1"/>
    <row r="773" ht="22.2" customHeight="1" s="375"/>
    <row r="774" ht="22.2" customHeight="1" s="375"/>
    <row r="775" ht="22.2" customHeight="1" s="375"/>
    <row r="776" ht="22.2" customHeight="1" s="375"/>
    <row r="777" ht="22.2" customHeight="1" s="375"/>
    <row r="778" ht="22.2" customHeight="1" s="375"/>
    <row r="779" ht="22.2" customHeight="1" s="375"/>
    <row r="780" ht="22.2" customHeight="1" s="375"/>
    <row r="781" ht="22.2" customHeight="1" s="375"/>
    <row r="782" ht="22.2" customHeight="1" s="375"/>
    <row r="783" ht="22.2" customHeight="1" s="375"/>
    <row r="784" ht="22.2" customHeight="1" s="375"/>
    <row r="785" ht="22.2" customHeight="1" s="375"/>
    <row r="786" ht="22.2" customHeight="1" s="375"/>
    <row r="787" ht="22.2" customHeight="1" s="375"/>
    <row r="788" ht="22.2" customHeight="1" s="375"/>
    <row r="789" ht="22.2" customHeight="1" s="375"/>
    <row r="790" ht="22.2" customHeight="1" s="375"/>
    <row r="791" ht="22.2" customHeight="1" s="375"/>
    <row r="792" ht="22.2" customHeight="1" s="375"/>
    <row r="793" ht="22.2" customHeight="1" s="375"/>
    <row r="794" ht="22.2" customHeight="1" s="375"/>
    <row r="795" ht="22.2" customHeight="1" s="375"/>
    <row r="796" ht="22.2" customHeight="1" s="375"/>
    <row r="797" ht="22.2" customHeight="1" s="375"/>
    <row r="798" ht="22.2" customHeight="1" s="375"/>
    <row r="799" ht="22.2" customHeight="1" s="375"/>
    <row r="800" ht="22.2" customHeight="1" s="375"/>
    <row r="801" ht="22.2" customHeight="1" s="375"/>
    <row r="802" ht="22.2" customHeight="1" s="375"/>
    <row r="803" ht="22.2" customHeight="1" s="375"/>
    <row r="804" ht="22.2" customHeight="1" s="375"/>
    <row r="805" ht="22.2" customHeight="1" s="375"/>
    <row r="806" ht="22.2" customHeight="1" s="375"/>
    <row r="807" ht="22.2" customHeight="1" s="375"/>
    <row r="808" ht="22.2" customHeight="1" s="375"/>
    <row r="809" ht="22.2" customHeight="1" s="375"/>
    <row r="810" ht="22.2" customHeight="1" s="375"/>
    <row r="811" ht="22.2" customHeight="1" s="375"/>
    <row r="812" ht="22.2" customHeight="1" s="375"/>
    <row r="813" ht="22.2" customHeight="1" s="375"/>
    <row r="814" ht="22.2" customHeight="1" s="375"/>
    <row r="815" ht="22.2" customHeight="1" s="375"/>
    <row r="816" ht="22.2" customHeight="1" s="375"/>
    <row r="817" ht="22.2" customHeight="1" s="375" thickBot="1"/>
    <row r="818" ht="22.2" customHeight="1" s="375" thickTop="1"/>
    <row r="819" ht="22.2" customHeight="1" s="375"/>
    <row r="820" ht="22.2" customHeight="1" s="375"/>
    <row r="821" ht="22.2" customHeight="1" s="375"/>
    <row r="822" ht="22.2" customHeight="1" s="375"/>
    <row r="823" ht="22.2" customHeight="1" s="375"/>
    <row r="824" ht="22.2" customHeight="1" s="375"/>
    <row r="825" ht="22.2" customHeight="1" s="375"/>
    <row r="826" ht="22.2" customHeight="1" s="375"/>
    <row r="827" ht="22.2" customHeight="1" s="375"/>
    <row r="828" ht="22.2" customHeight="1" s="375"/>
    <row r="829" ht="22.2" customHeight="1" s="375"/>
    <row r="830" ht="22.2" customHeight="1" s="375"/>
    <row r="831" ht="22.2" customHeight="1" s="375"/>
    <row r="832" ht="22.2" customHeight="1" s="375"/>
    <row r="833" ht="22.2" customHeight="1" s="375"/>
    <row r="834" ht="22.2" customHeight="1" s="375"/>
    <row r="835" ht="22.2" customHeight="1" s="375"/>
    <row r="836" ht="22.2" customHeight="1" s="375"/>
    <row r="837" ht="22.2" customHeight="1" s="375"/>
    <row r="838" ht="22.2" customHeight="1" s="375"/>
    <row r="839" ht="22.2" customHeight="1" s="375"/>
    <row r="840" ht="22.2" customHeight="1" s="375"/>
    <row r="841" ht="22.2" customHeight="1" s="375"/>
    <row r="842" ht="22.2" customHeight="1" s="375"/>
    <row r="843" ht="22.2" customHeight="1" s="375"/>
    <row r="844" ht="22.2" customHeight="1" s="375"/>
    <row r="845" ht="22.2" customHeight="1" s="375"/>
    <row r="846" ht="22.2" customHeight="1" s="375"/>
    <row r="847" ht="22.2" customHeight="1" s="375"/>
    <row r="848" ht="22.2" customHeight="1" s="375"/>
    <row r="849" ht="22.2" customHeight="1" s="375"/>
    <row r="850" ht="22.2" customHeight="1" s="375"/>
    <row r="851" ht="22.2" customHeight="1" s="375"/>
    <row r="852" ht="22.2" customHeight="1" s="375"/>
    <row r="853" ht="22.2" customHeight="1" s="375"/>
    <row r="854" ht="22.2" customHeight="1" s="375"/>
    <row r="855" ht="22.2" customHeight="1" s="375"/>
    <row r="856" ht="22.2" customHeight="1" s="375"/>
    <row r="857" ht="22.2" customHeight="1" s="375"/>
    <row r="858" ht="22.2" customHeight="1" s="375"/>
    <row r="859" ht="22.2" customHeight="1" s="375"/>
    <row r="860" ht="22.2" customHeight="1" s="375"/>
    <row r="861" ht="22.2" customHeight="1" s="375"/>
    <row r="862" ht="22.2" customHeight="1" s="375"/>
    <row r="863" ht="22.2" customHeight="1" s="375" thickBot="1"/>
    <row r="864" ht="22.2" customHeight="1" s="375" thickTop="1"/>
    <row r="865" ht="22.2" customHeight="1" s="375"/>
    <row r="866" ht="22.2" customHeight="1" s="375"/>
    <row r="867" ht="22.2" customHeight="1" s="375"/>
    <row r="868" ht="22.2" customHeight="1" s="375"/>
    <row r="869" ht="22.2" customHeight="1" s="375"/>
    <row r="870" ht="22.2" customHeight="1" s="375"/>
    <row r="871" ht="22.2" customHeight="1" s="375"/>
    <row r="872" ht="22.2" customHeight="1" s="375"/>
    <row r="873" ht="22.2" customHeight="1" s="375"/>
    <row r="874" ht="22.2" customHeight="1" s="375"/>
    <row r="875" ht="22.2" customHeight="1" s="375"/>
    <row r="876" ht="22.2" customHeight="1" s="375"/>
    <row r="877" ht="22.2" customHeight="1" s="375"/>
    <row r="878" ht="22.2" customHeight="1" s="375"/>
    <row r="879" ht="22.2" customHeight="1" s="375"/>
    <row r="880" ht="22.2" customHeight="1" s="375"/>
    <row r="881" ht="22.2" customHeight="1" s="375"/>
    <row r="882" ht="22.2" customHeight="1" s="375"/>
    <row r="883" ht="22.2" customHeight="1" s="375"/>
    <row r="884" ht="22.2" customHeight="1" s="375"/>
    <row r="885" ht="22.2" customHeight="1" s="375"/>
    <row r="886" ht="22.2" customHeight="1" s="375"/>
    <row r="887" ht="22.2" customHeight="1" s="375"/>
    <row r="888" ht="22.2" customHeight="1" s="375"/>
    <row r="889" ht="22.2" customHeight="1" s="375"/>
    <row r="890" ht="22.2" customHeight="1" s="375"/>
    <row r="891" ht="22.2" customHeight="1" s="375"/>
    <row r="892" ht="22.2" customHeight="1" s="375"/>
    <row r="893" ht="22.2" customHeight="1" s="375"/>
    <row r="894" ht="22.2" customHeight="1" s="375"/>
    <row r="895" ht="22.2" customHeight="1" s="375"/>
    <row r="896" ht="22.2" customHeight="1" s="375"/>
    <row r="897" ht="22.2" customHeight="1" s="375"/>
    <row r="898" ht="22.2" customHeight="1" s="375"/>
    <row r="899" ht="22.2" customHeight="1" s="375"/>
    <row r="900" ht="22.2" customHeight="1" s="375"/>
    <row r="901" ht="22.2" customHeight="1" s="375"/>
    <row r="902" ht="22.2" customHeight="1" s="375"/>
    <row r="903" ht="22.2" customHeight="1" s="375"/>
    <row r="904" ht="22.2" customHeight="1" s="375"/>
    <row r="905" ht="22.2" customHeight="1" s="375"/>
    <row r="906" ht="22.2" customHeight="1" s="375"/>
    <row r="907" ht="22.2" customHeight="1" s="375"/>
    <row r="908" ht="22.2" customHeight="1" s="375"/>
    <row r="909" ht="22.2" customHeight="1" s="375" thickBot="1"/>
    <row r="910" ht="22.2" customHeight="1" s="375" thickTop="1"/>
    <row r="911" ht="22.2" customHeight="1" s="375"/>
    <row r="912" ht="22.2" customHeight="1" s="375"/>
    <row r="913" ht="22.2" customHeight="1" s="375"/>
    <row r="914" ht="22.2" customHeight="1" s="375"/>
    <row r="915" ht="22.2" customHeight="1" s="375"/>
    <row r="916" ht="22.2" customHeight="1" s="375"/>
    <row r="917" ht="22.2" customHeight="1" s="375"/>
    <row r="918" ht="22.2" customHeight="1" s="375"/>
    <row r="919" ht="22.2" customHeight="1" s="375"/>
    <row r="920" ht="22.2" customHeight="1" s="375"/>
    <row r="921" ht="22.2" customHeight="1" s="375"/>
    <row r="922" ht="22.2" customHeight="1" s="375"/>
    <row r="923" ht="22.2" customHeight="1" s="375"/>
    <row r="924" ht="22.2" customHeight="1" s="375"/>
    <row r="925" ht="22.2" customHeight="1" s="375"/>
    <row r="926" ht="22.2" customHeight="1" s="375"/>
    <row r="927" ht="22.2" customHeight="1" s="375"/>
    <row r="928" ht="22.2" customHeight="1" s="375"/>
    <row r="929" ht="22.2" customHeight="1" s="375"/>
    <row r="930" ht="22.2" customHeight="1" s="375"/>
    <row r="931" ht="22.2" customHeight="1" s="375"/>
    <row r="932" ht="22.2" customHeight="1" s="375"/>
    <row r="933" ht="22.2" customHeight="1" s="375"/>
    <row r="934" ht="22.2" customHeight="1" s="375"/>
    <row r="935" ht="22.2" customHeight="1" s="375"/>
    <row r="936" ht="22.2" customHeight="1" s="375"/>
    <row r="937" ht="22.2" customHeight="1" s="375"/>
    <row r="938" ht="22.2" customHeight="1" s="375"/>
    <row r="939" ht="22.2" customHeight="1" s="375"/>
    <row r="940" ht="22.2" customHeight="1" s="375"/>
    <row r="941" ht="22.2" customHeight="1" s="375"/>
    <row r="942" ht="22.2" customHeight="1" s="375"/>
    <row r="943" ht="22.2" customHeight="1" s="375"/>
    <row r="944" ht="22.2" customHeight="1" s="375"/>
    <row r="945" ht="22.2" customHeight="1" s="375"/>
    <row r="946" ht="22.2" customHeight="1" s="375"/>
    <row r="947" ht="22.2" customHeight="1" s="375"/>
    <row r="948" ht="22.2" customHeight="1" s="375"/>
    <row r="949" ht="22.2" customHeight="1" s="375"/>
    <row r="950" ht="22.2" customHeight="1" s="375"/>
    <row r="951" ht="22.2" customHeight="1" s="375"/>
    <row r="952" ht="22.2" customHeight="1" s="375"/>
    <row r="953" ht="22.2" customHeight="1" s="375"/>
    <row r="954" ht="22.2" customHeight="1" s="375"/>
    <row r="955" ht="22.2" customHeight="1" s="375" thickBot="1"/>
    <row r="956" ht="22.2" customHeight="1" s="375" thickTop="1"/>
    <row r="957" ht="22.2" customHeight="1" s="375"/>
    <row r="958" ht="22.2" customHeight="1" s="375"/>
    <row r="959" ht="22.2" customHeight="1" s="375"/>
    <row r="960" ht="22.2" customHeight="1" s="375"/>
    <row r="961" ht="22.2" customHeight="1" s="375"/>
    <row r="962" ht="22.2" customHeight="1" s="375"/>
    <row r="963" ht="22.2" customHeight="1" s="375"/>
    <row r="964" ht="22.2" customHeight="1" s="375"/>
    <row r="965" ht="22.2" customHeight="1" s="375"/>
    <row r="966" ht="22.2" customHeight="1" s="375"/>
    <row r="967" ht="22.2" customHeight="1" s="375"/>
    <row r="968" ht="22.2" customHeight="1" s="375"/>
    <row r="969" ht="22.2" customHeight="1" s="375"/>
    <row r="970" ht="22.2" customHeight="1" s="375"/>
    <row r="971" ht="22.2" customHeight="1" s="375"/>
    <row r="972" ht="22.2" customHeight="1" s="375"/>
    <row r="973" ht="22.2" customHeight="1" s="375"/>
    <row r="974" ht="22.2" customHeight="1" s="375"/>
    <row r="975" ht="22.2" customHeight="1" s="375"/>
    <row r="976" ht="22.2" customHeight="1" s="375"/>
    <row r="977" ht="22.2" customHeight="1" s="375"/>
    <row r="978" ht="22.2" customHeight="1" s="375"/>
    <row r="979" ht="22.2" customHeight="1" s="375"/>
    <row r="980" ht="22.2" customHeight="1" s="375"/>
    <row r="981" ht="22.2" customHeight="1" s="375"/>
    <row r="982" ht="22.2" customHeight="1" s="375"/>
    <row r="983" ht="22.2" customHeight="1" s="375"/>
    <row r="984" ht="22.2" customHeight="1" s="375"/>
    <row r="985" ht="22.2" customHeight="1" s="375"/>
    <row r="986" ht="22.2" customHeight="1" s="375"/>
    <row r="987" ht="22.2" customHeight="1" s="375"/>
    <row r="988" ht="22.2" customHeight="1" s="375"/>
    <row r="989" ht="22.2" customHeight="1" s="375"/>
    <row r="990" ht="22.2" customHeight="1" s="375"/>
    <row r="991" ht="22.2" customHeight="1" s="375"/>
    <row r="992" ht="22.2" customHeight="1" s="375"/>
    <row r="993" ht="22.2" customHeight="1" s="375"/>
    <row r="994" ht="22.2" customHeight="1" s="375"/>
    <row r="995" ht="22.2" customHeight="1" s="375"/>
    <row r="996" ht="22.2" customHeight="1" s="375"/>
    <row r="997" ht="22.2" customHeight="1" s="375"/>
    <row r="998" ht="22.2" customHeight="1" s="375"/>
    <row r="999" ht="22.2" customHeight="1" s="375"/>
    <row r="1000" ht="22.2" customHeight="1" s="375"/>
    <row r="1001" ht="22.2" customHeight="1" s="375" thickBot="1"/>
    <row r="1002" ht="22.2" customHeight="1" s="375" thickTop="1"/>
    <row r="1003" ht="22.2" customHeight="1" s="375"/>
    <row r="1004" ht="22.2" customHeight="1" s="375"/>
    <row r="1005" ht="22.2" customHeight="1" s="375"/>
    <row r="1006" ht="22.2" customHeight="1" s="375"/>
    <row r="1007" ht="22.2" customHeight="1" s="375"/>
    <row r="1008" ht="22.2" customHeight="1" s="375"/>
    <row r="1009" ht="22.2" customHeight="1" s="375"/>
    <row r="1010" ht="22.2" customHeight="1" s="375"/>
    <row r="1011" ht="22.2" customHeight="1" s="375"/>
    <row r="1012" ht="22.2" customHeight="1" s="375"/>
    <row r="1013" ht="22.2" customHeight="1" s="375"/>
    <row r="1014" ht="22.2" customHeight="1" s="375"/>
    <row r="1015" ht="22.2" customHeight="1" s="375"/>
    <row r="1016" ht="22.2" customHeight="1" s="375"/>
    <row r="1017" ht="22.2" customHeight="1" s="375"/>
    <row r="1018" ht="22.2" customHeight="1" s="375"/>
    <row r="1019" ht="22.2" customHeight="1" s="375"/>
    <row r="1020" ht="22.2" customHeight="1" s="375"/>
    <row r="1021" ht="22.2" customHeight="1" s="375"/>
    <row r="1022" ht="22.2" customHeight="1" s="375"/>
    <row r="1023" ht="22.2" customHeight="1" s="375"/>
    <row r="1024" ht="22.2" customHeight="1" s="375"/>
    <row r="1025" ht="22.2" customHeight="1" s="375"/>
    <row r="1026" ht="22.2" customHeight="1" s="375"/>
    <row r="1027" ht="22.2" customHeight="1" s="375"/>
    <row r="1028" ht="22.2" customHeight="1" s="375"/>
    <row r="1029" ht="22.2" customHeight="1" s="375"/>
    <row r="1030" ht="22.2" customHeight="1" s="375"/>
    <row r="1031" ht="22.2" customHeight="1" s="375"/>
    <row r="1032" ht="22.2" customHeight="1" s="375"/>
    <row r="1033" ht="22.2" customHeight="1" s="375"/>
    <row r="1034" ht="22.2" customHeight="1" s="375"/>
    <row r="1035" ht="22.2" customHeight="1" s="375"/>
    <row r="1036" ht="22.2" customHeight="1" s="375"/>
    <row r="1037" ht="22.2" customHeight="1" s="375"/>
    <row r="1038" ht="22.2" customHeight="1" s="375"/>
    <row r="1039" ht="22.2" customHeight="1" s="375"/>
    <row r="1040" ht="22.2" customHeight="1" s="375"/>
    <row r="1041" ht="22.2" customHeight="1" s="375"/>
    <row r="1042" ht="22.2" customHeight="1" s="375"/>
    <row r="1043" ht="22.2" customHeight="1" s="375"/>
    <row r="1044" ht="22.2" customHeight="1" s="375"/>
    <row r="1045" ht="22.2" customHeight="1" s="375"/>
    <row r="1046" ht="22.2" customHeight="1" s="375"/>
    <row r="1047" ht="22.2" customHeight="1" s="375" thickBot="1"/>
    <row r="1048" ht="22.2" customHeight="1" s="375" thickTop="1"/>
    <row r="1049" ht="22.2" customHeight="1" s="375"/>
    <row r="1050" ht="22.2" customHeight="1" s="375"/>
    <row r="1051" ht="22.2" customHeight="1" s="375"/>
    <row r="1052" ht="22.2" customHeight="1" s="375"/>
    <row r="1053" ht="22.2" customHeight="1" s="375"/>
    <row r="1054" ht="22.2" customHeight="1" s="375"/>
    <row r="1055" ht="22.2" customHeight="1" s="375"/>
    <row r="1056" ht="22.2" customHeight="1" s="375"/>
    <row r="1057" ht="22.2" customHeight="1" s="375"/>
    <row r="1058" ht="22.2" customHeight="1" s="375"/>
    <row r="1059" ht="22.2" customHeight="1" s="375"/>
    <row r="1060" ht="22.2" customHeight="1" s="375"/>
    <row r="1061" ht="22.2" customHeight="1" s="375"/>
    <row r="1062" ht="22.2" customHeight="1" s="375"/>
    <row r="1063" ht="22.2" customHeight="1" s="375"/>
    <row r="1064" ht="22.2" customHeight="1" s="375"/>
    <row r="1065" ht="22.2" customHeight="1" s="375"/>
    <row r="1066" ht="22.2" customHeight="1" s="375"/>
    <row r="1067" ht="22.2" customHeight="1" s="375"/>
    <row r="1068" ht="22.2" customHeight="1" s="375"/>
    <row r="1069" ht="22.2" customHeight="1" s="375"/>
    <row r="1070" ht="22.2" customHeight="1" s="375"/>
    <row r="1071" ht="22.2" customHeight="1" s="375"/>
    <row r="1072" ht="22.2" customHeight="1" s="375"/>
    <row r="1073" ht="22.2" customHeight="1" s="375"/>
    <row r="1074" ht="22.2" customHeight="1" s="375"/>
    <row r="1075" ht="22.2" customHeight="1" s="375"/>
    <row r="1076" ht="22.2" customHeight="1" s="375"/>
    <row r="1077" ht="22.2" customHeight="1" s="375"/>
    <row r="1078" ht="22.2" customHeight="1" s="375"/>
    <row r="1079" ht="22.2" customHeight="1" s="375"/>
    <row r="1080" ht="22.2" customHeight="1" s="375"/>
    <row r="1081" ht="22.2" customHeight="1" s="375"/>
    <row r="1082" ht="22.2" customHeight="1" s="375"/>
    <row r="1083" ht="22.2" customHeight="1" s="375"/>
    <row r="1084" ht="22.2" customHeight="1" s="375"/>
    <row r="1085" ht="22.2" customHeight="1" s="375"/>
    <row r="1086" ht="22.2" customHeight="1" s="375"/>
    <row r="1087" ht="22.2" customHeight="1" s="375"/>
    <row r="1088" ht="22.2" customHeight="1" s="375"/>
    <row r="1089" ht="22.2" customHeight="1" s="375"/>
    <row r="1090" ht="22.2" customHeight="1" s="375"/>
    <row r="1091" ht="22.2" customHeight="1" s="375"/>
    <row r="1092" ht="22.2" customHeight="1" s="375"/>
    <row r="1093" ht="22.2" customHeight="1" s="375" thickBot="1"/>
    <row r="1094" ht="22.2" customHeight="1" s="375" thickTop="1"/>
    <row r="1095" ht="22.2" customHeight="1" s="375"/>
    <row r="1096" ht="22.2" customHeight="1" s="375"/>
    <row r="1097" ht="22.2" customHeight="1" s="375"/>
    <row r="1098" ht="22.2" customHeight="1" s="375"/>
    <row r="1099" ht="22.2" customHeight="1" s="375"/>
    <row r="1100" ht="22.2" customHeight="1" s="375"/>
    <row r="1101" ht="22.2" customHeight="1" s="375"/>
    <row r="1102" ht="22.2" customHeight="1" s="375"/>
    <row r="1103" ht="22.2" customHeight="1" s="375"/>
    <row r="1104" ht="22.2" customHeight="1" s="375"/>
    <row r="1105" ht="22.2" customHeight="1" s="375"/>
    <row r="1106" ht="22.2" customHeight="1" s="375"/>
    <row r="1107" ht="22.2" customHeight="1" s="375"/>
    <row r="1108" ht="22.2" customHeight="1" s="375"/>
    <row r="1109" ht="22.2" customHeight="1" s="375"/>
    <row r="1110" ht="22.2" customHeight="1" s="375"/>
    <row r="1111" ht="22.2" customHeight="1" s="375"/>
    <row r="1112" ht="22.2" customHeight="1" s="375"/>
    <row r="1113" ht="22.2" customHeight="1" s="375"/>
    <row r="1114" ht="22.2" customHeight="1" s="375"/>
    <row r="1115" ht="22.2" customHeight="1" s="375"/>
    <row r="1116" ht="22.2" customHeight="1" s="375"/>
    <row r="1117" ht="22.2" customHeight="1" s="375"/>
    <row r="1118" ht="22.2" customHeight="1" s="375"/>
    <row r="1119" ht="22.2" customHeight="1" s="375"/>
    <row r="1120" ht="22.2" customHeight="1" s="375"/>
    <row r="1121" ht="22.2" customHeight="1" s="375"/>
    <row r="1122" ht="22.2" customHeight="1" s="375"/>
    <row r="1123" ht="22.2" customHeight="1" s="375"/>
    <row r="1124" ht="22.2" customHeight="1" s="375"/>
    <row r="1125" ht="22.2" customHeight="1" s="375"/>
    <row r="1126" ht="22.2" customHeight="1" s="375"/>
    <row r="1127" ht="22.2" customHeight="1" s="375"/>
    <row r="1128" ht="22.2" customHeight="1" s="375"/>
    <row r="1129" ht="22.2" customHeight="1" s="375"/>
    <row r="1130" ht="22.2" customHeight="1" s="375"/>
    <row r="1131" ht="22.2" customHeight="1" s="375"/>
    <row r="1132" ht="22.2" customHeight="1" s="375"/>
    <row r="1133" ht="22.2" customHeight="1" s="375"/>
    <row r="1134" ht="22.2" customHeight="1" s="375"/>
    <row r="1135" ht="22.2" customHeight="1" s="375"/>
    <row r="1136" ht="22.2" customHeight="1" s="375"/>
    <row r="1137" ht="22.2" customHeight="1" s="375"/>
    <row r="1138" ht="22.2" customHeight="1" s="375"/>
    <row r="1139" ht="22.2" customHeight="1" s="375" thickBot="1"/>
    <row r="1140" ht="22.2" customHeight="1" s="375" thickTop="1"/>
    <row r="1141" ht="22.2" customHeight="1" s="375"/>
    <row r="1142" ht="22.2" customHeight="1" s="375"/>
    <row r="1143" ht="22.2" customHeight="1" s="375"/>
    <row r="1144" ht="22.2" customHeight="1" s="375"/>
    <row r="1145" ht="22.2" customHeight="1" s="375"/>
    <row r="1146" ht="22.2" customHeight="1" s="375"/>
    <row r="1147" ht="22.2" customHeight="1" s="375"/>
    <row r="1148" ht="22.2" customHeight="1" s="375"/>
    <row r="1149" ht="22.2" customHeight="1" s="375"/>
    <row r="1150" ht="22.2" customHeight="1" s="375"/>
    <row r="1151" ht="22.2" customHeight="1" s="375"/>
    <row r="1152" ht="22.2" customHeight="1" s="375"/>
    <row r="1153" ht="22.2" customHeight="1" s="375"/>
    <row r="1154" ht="22.2" customHeight="1" s="375"/>
    <row r="1155" ht="22.2" customHeight="1" s="375"/>
    <row r="1156" ht="22.2" customHeight="1" s="375"/>
    <row r="1157" ht="22.2" customHeight="1" s="375"/>
    <row r="1158" ht="22.2" customHeight="1" s="375"/>
    <row r="1159" ht="22.2" customHeight="1" s="375"/>
    <row r="1160" ht="22.2" customHeight="1" s="375"/>
    <row r="1161" ht="22.2" customHeight="1" s="375"/>
    <row r="1162" ht="22.2" customHeight="1" s="375"/>
    <row r="1163" ht="22.2" customHeight="1" s="375"/>
    <row r="1164" ht="22.2" customHeight="1" s="375"/>
    <row r="1165" ht="22.2" customHeight="1" s="375"/>
    <row r="1166" ht="22.2" customHeight="1" s="375"/>
    <row r="1167" ht="22.2" customHeight="1" s="375"/>
    <row r="1168" ht="22.2" customHeight="1" s="375"/>
    <row r="1169" ht="22.2" customHeight="1" s="375"/>
    <row r="1170" ht="22.2" customHeight="1" s="375"/>
    <row r="1171" ht="22.2" customHeight="1" s="375"/>
    <row r="1172" ht="22.2" customHeight="1" s="375"/>
    <row r="1173" ht="22.2" customHeight="1" s="375"/>
    <row r="1174" ht="22.2" customHeight="1" s="375"/>
    <row r="1175" ht="22.2" customHeight="1" s="375"/>
    <row r="1176" ht="22.2" customHeight="1" s="375"/>
    <row r="1177" ht="22.2" customHeight="1" s="375"/>
    <row r="1178" ht="22.2" customHeight="1" s="375"/>
    <row r="1179" ht="22.2" customHeight="1" s="375"/>
    <row r="1180" ht="22.2" customHeight="1" s="375"/>
    <row r="1181" ht="22.2" customHeight="1" s="375"/>
    <row r="1182" ht="22.2" customHeight="1" s="375"/>
    <row r="1183" ht="22.2" customHeight="1" s="375"/>
    <row r="1184" ht="22.2" customHeight="1" s="375"/>
    <row r="1185" ht="22.2" customHeight="1" s="375" thickBot="1"/>
    <row r="1186" ht="22.2" customHeight="1" s="375" thickTop="1"/>
    <row r="1187" ht="22.2" customHeight="1" s="375"/>
    <row r="1188" ht="22.2" customHeight="1" s="375"/>
    <row r="1189" ht="22.2" customHeight="1" s="375"/>
    <row r="1190" ht="22.2" customHeight="1" s="375"/>
    <row r="1191" ht="22.2" customHeight="1" s="375"/>
    <row r="1192" ht="22.2" customHeight="1" s="375"/>
    <row r="1193" ht="22.2" customHeight="1" s="375"/>
    <row r="1194" ht="22.2" customHeight="1" s="375"/>
    <row r="1195" ht="22.2" customHeight="1" s="375"/>
    <row r="1196" ht="22.2" customHeight="1" s="375"/>
    <row r="1197" ht="22.2" customHeight="1" s="375"/>
    <row r="1198" ht="22.2" customHeight="1" s="375"/>
    <row r="1199" ht="22.2" customHeight="1" s="375"/>
    <row r="1200" ht="22.2" customHeight="1" s="375"/>
    <row r="1201" ht="22.2" customHeight="1" s="375"/>
    <row r="1202" ht="22.2" customHeight="1" s="375"/>
    <row r="1203" ht="22.2" customHeight="1" s="375"/>
    <row r="1204" ht="22.2" customHeight="1" s="375"/>
    <row r="1205" ht="22.2" customHeight="1" s="375"/>
    <row r="1206" ht="22.2" customHeight="1" s="375"/>
    <row r="1207" ht="22.2" customHeight="1" s="375"/>
    <row r="1208" ht="22.2" customHeight="1" s="375"/>
    <row r="1209" ht="22.2" customHeight="1" s="375"/>
    <row r="1210" ht="22.2" customHeight="1" s="375"/>
    <row r="1211" ht="22.2" customHeight="1" s="375"/>
    <row r="1212" ht="22.2" customHeight="1" s="375"/>
    <row r="1213" ht="22.2" customHeight="1" s="375"/>
    <row r="1214" ht="22.2" customHeight="1" s="375"/>
    <row r="1215" ht="22.2" customHeight="1" s="375"/>
    <row r="1216" ht="22.2" customHeight="1" s="375"/>
    <row r="1217" ht="22.2" customHeight="1" s="375"/>
    <row r="1218" ht="22.2" customHeight="1" s="375"/>
    <row r="1219" ht="22.2" customHeight="1" s="375"/>
    <row r="1220" ht="22.2" customHeight="1" s="375"/>
    <row r="1221" ht="22.2" customHeight="1" s="375"/>
    <row r="1222" ht="22.2" customHeight="1" s="375"/>
    <row r="1223" ht="22.2" customHeight="1" s="375"/>
    <row r="1224" ht="22.2" customHeight="1" s="375"/>
    <row r="1225" ht="22.2" customHeight="1" s="375"/>
    <row r="1226" ht="22.2" customHeight="1" s="375"/>
    <row r="1227" ht="22.2" customHeight="1" s="375"/>
    <row r="1228" ht="22.2" customHeight="1" s="375"/>
    <row r="1229" ht="22.2" customHeight="1" s="375"/>
    <row r="1230" ht="22.2" customHeight="1" s="375"/>
    <row r="1231" ht="22.2" customHeight="1" s="375" thickBot="1"/>
    <row r="1232" ht="22.2" customHeight="1" s="375" thickTop="1"/>
    <row r="1233" ht="22.2" customHeight="1" s="375"/>
    <row r="1234" ht="22.2" customHeight="1" s="375"/>
    <row r="1235" ht="22.2" customHeight="1" s="375"/>
    <row r="1236" ht="22.2" customHeight="1" s="375"/>
    <row r="1237" ht="22.2" customHeight="1" s="375"/>
    <row r="1238" ht="22.2" customHeight="1" s="375"/>
    <row r="1239" ht="22.2" customHeight="1" s="375"/>
    <row r="1240" ht="22.2" customHeight="1" s="375"/>
    <row r="1241" ht="22.2" customHeight="1" s="375"/>
    <row r="1242" ht="22.2" customHeight="1" s="375"/>
    <row r="1243" ht="22.2" customHeight="1" s="375"/>
    <row r="1244" ht="22.2" customHeight="1" s="375"/>
    <row r="1245" ht="22.2" customHeight="1" s="375"/>
    <row r="1246" ht="22.2" customHeight="1" s="375"/>
    <row r="1247" ht="22.2" customHeight="1" s="375"/>
    <row r="1248" ht="22.2" customHeight="1" s="375"/>
    <row r="1249" ht="22.2" customHeight="1" s="375"/>
    <row r="1250" ht="22.2" customHeight="1" s="375"/>
    <row r="1251" ht="22.2" customHeight="1" s="375"/>
    <row r="1252" ht="22.2" customHeight="1" s="375"/>
    <row r="1253" ht="22.2" customHeight="1" s="375"/>
    <row r="1254" ht="22.2" customHeight="1" s="375"/>
    <row r="1255" ht="22.2" customHeight="1" s="375"/>
    <row r="1256" ht="22.2" customHeight="1" s="375"/>
    <row r="1257" ht="22.2" customHeight="1" s="375"/>
    <row r="1258" ht="22.2" customHeight="1" s="375"/>
    <row r="1259" ht="22.2" customHeight="1" s="375"/>
    <row r="1260" ht="22.2" customHeight="1" s="375"/>
    <row r="1261" ht="22.2" customHeight="1" s="375"/>
    <row r="1262" ht="22.2" customHeight="1" s="375"/>
    <row r="1263" ht="22.2" customHeight="1" s="375"/>
    <row r="1264" ht="22.2" customHeight="1" s="375"/>
    <row r="1265" ht="22.2" customHeight="1" s="375"/>
    <row r="1266" ht="22.2" customHeight="1" s="375"/>
    <row r="1267" ht="22.2" customHeight="1" s="375"/>
    <row r="1268" ht="22.2" customHeight="1" s="375"/>
    <row r="1269" ht="22.2" customHeight="1" s="375"/>
    <row r="1270" ht="22.2" customHeight="1" s="375"/>
    <row r="1271" ht="22.2" customHeight="1" s="375"/>
    <row r="1272" ht="22.2" customHeight="1" s="375"/>
    <row r="1273" ht="22.2" customHeight="1" s="375"/>
    <row r="1274" ht="22.2" customHeight="1" s="375"/>
    <row r="1275" ht="22.2" customHeight="1" s="375"/>
    <row r="1276" ht="22.2" customHeight="1" s="375"/>
    <row r="1277" ht="22.2" customHeight="1" s="375" thickBot="1"/>
    <row r="1278" ht="22.2" customHeight="1" s="375" thickTop="1"/>
    <row r="1279" ht="22.2" customHeight="1" s="375"/>
    <row r="1280" ht="22.2" customHeight="1" s="375"/>
    <row r="1281" ht="22.2" customHeight="1" s="375"/>
    <row r="1282" ht="22.2" customHeight="1" s="375"/>
    <row r="1283" ht="22.2" customHeight="1" s="375"/>
    <row r="1284" ht="22.2" customHeight="1" s="375"/>
    <row r="1285" ht="22.2" customHeight="1" s="375"/>
    <row r="1286" ht="22.2" customHeight="1" s="375"/>
    <row r="1287" ht="22.2" customHeight="1" s="375"/>
    <row r="1288" ht="22.2" customHeight="1" s="375"/>
  </sheetData>
  <mergeCells count="1120">
    <mergeCell ref="H451:L451"/>
    <mergeCell ref="P496:Q496"/>
    <mergeCell ref="M221:S221"/>
    <mergeCell ref="AH27:AJ27"/>
    <mergeCell ref="J288:K288"/>
    <mergeCell ref="J207:K207"/>
    <mergeCell ref="L263:M263"/>
    <mergeCell ref="J5:K6"/>
    <mergeCell ref="AH22:AJ22"/>
    <mergeCell ref="H593:L593"/>
    <mergeCell ref="O269:Q269"/>
    <mergeCell ref="G492:K492"/>
    <mergeCell ref="J347:K347"/>
    <mergeCell ref="J349:K349"/>
    <mergeCell ref="P511:Q511"/>
    <mergeCell ref="L412:Q412"/>
    <mergeCell ref="J518:K518"/>
    <mergeCell ref="P542:Q542"/>
    <mergeCell ref="A83:G83"/>
    <mergeCell ref="J344:K344"/>
    <mergeCell ref="J520:K520"/>
    <mergeCell ref="J464:S464"/>
    <mergeCell ref="A186:S186"/>
    <mergeCell ref="J375:K375"/>
    <mergeCell ref="G539:K539"/>
    <mergeCell ref="P141:Q141"/>
    <mergeCell ref="J246:K246"/>
    <mergeCell ref="J459:S459"/>
    <mergeCell ref="I453:K453"/>
    <mergeCell ref="P143:Q143"/>
    <mergeCell ref="J248:K248"/>
    <mergeCell ref="A45:I45"/>
    <mergeCell ref="M313:S313"/>
    <mergeCell ref="J180:S180"/>
    <mergeCell ref="J292:K292"/>
    <mergeCell ref="J286:K286"/>
    <mergeCell ref="J302:K302"/>
    <mergeCell ref="A275:I275"/>
    <mergeCell ref="B550:H550"/>
    <mergeCell ref="J287:K287"/>
    <mergeCell ref="I499:K499"/>
    <mergeCell ref="J14:K14"/>
    <mergeCell ref="AH9:AJ9"/>
    <mergeCell ref="AE8:AG8"/>
    <mergeCell ref="I223:K223"/>
    <mergeCell ref="J13:K13"/>
    <mergeCell ref="A450:G450"/>
    <mergeCell ref="AE10:AG10"/>
    <mergeCell ref="AH11:AJ11"/>
    <mergeCell ref="J15:K15"/>
    <mergeCell ref="G494:K494"/>
    <mergeCell ref="H129:L129"/>
    <mergeCell ref="A589:G589"/>
    <mergeCell ref="J51:K52"/>
    <mergeCell ref="G34:K34"/>
    <mergeCell ref="A501:G501"/>
    <mergeCell ref="A279:C279"/>
    <mergeCell ref="F509:G509"/>
    <mergeCell ref="P264:Q264"/>
    <mergeCell ref="A592:G592"/>
    <mergeCell ref="B315:F315"/>
    <mergeCell ref="AE21:AG21"/>
    <mergeCell ref="J244:K244"/>
    <mergeCell ref="AE23:AG23"/>
    <mergeCell ref="J28:K28"/>
    <mergeCell ref="O591:Q591"/>
    <mergeCell ref="L3:M3"/>
    <mergeCell ref="J272:S272"/>
    <mergeCell ref="L5:M5"/>
    <mergeCell ref="B281:D281"/>
    <mergeCell ref="K358:M358"/>
    <mergeCell ref="J384:K384"/>
    <mergeCell ref="M129:S129"/>
    <mergeCell ref="A87:G87"/>
    <mergeCell ref="P125:Q125"/>
    <mergeCell ref="J255:K255"/>
    <mergeCell ref="G217:K217"/>
    <mergeCell ref="J511:K512"/>
    <mergeCell ref="J110:K110"/>
    <mergeCell ref="H501:L501"/>
    <mergeCell ref="L356:M356"/>
    <mergeCell ref="H38:L38"/>
    <mergeCell ref="A542:G542"/>
    <mergeCell ref="Z27:AA27"/>
    <mergeCell ref="G400:K400"/>
    <mergeCell ref="H40:L40"/>
    <mergeCell ref="A544:G544"/>
    <mergeCell ref="J99:K99"/>
    <mergeCell ref="G402:K402"/>
    <mergeCell ref="J397:K397"/>
    <mergeCell ref="A414:I414"/>
    <mergeCell ref="Z22:AA22"/>
    <mergeCell ref="AE6:AG6"/>
    <mergeCell ref="J101:K101"/>
    <mergeCell ref="J100:K100"/>
    <mergeCell ref="G32:K32"/>
    <mergeCell ref="M37:S37"/>
    <mergeCell ref="H97:H98"/>
    <mergeCell ref="O407:Q407"/>
    <mergeCell ref="J29:K29"/>
    <mergeCell ref="P51:Q51"/>
    <mergeCell ref="A588:G588"/>
    <mergeCell ref="AE17:AG17"/>
    <mergeCell ref="M38:S38"/>
    <mergeCell ref="J329:K329"/>
    <mergeCell ref="AE19:AG19"/>
    <mergeCell ref="J481:K481"/>
    <mergeCell ref="J552:S552"/>
    <mergeCell ref="J24:K24"/>
    <mergeCell ref="AH30:AJ30"/>
    <mergeCell ref="J26:K26"/>
    <mergeCell ref="L126:M126"/>
    <mergeCell ref="A43:I43"/>
    <mergeCell ref="J482:K482"/>
    <mergeCell ref="I591:K591"/>
    <mergeCell ref="J350:K350"/>
    <mergeCell ref="J386:K386"/>
    <mergeCell ref="J352:K352"/>
    <mergeCell ref="I407:K407"/>
    <mergeCell ref="B419:D419"/>
    <mergeCell ref="M451:S451"/>
    <mergeCell ref="P263:Q263"/>
    <mergeCell ref="J70:K70"/>
    <mergeCell ref="J235:K236"/>
    <mergeCell ref="J63:K63"/>
    <mergeCell ref="AB49:AD49"/>
    <mergeCell ref="J422:K422"/>
    <mergeCell ref="J424:K424"/>
    <mergeCell ref="AB50:AD50"/>
    <mergeCell ref="O499:Q499"/>
    <mergeCell ref="Z9:AA9"/>
    <mergeCell ref="H362:L362"/>
    <mergeCell ref="Z11:AA11"/>
    <mergeCell ref="J421:K421"/>
    <mergeCell ref="J579:K579"/>
    <mergeCell ref="B223:F223"/>
    <mergeCell ref="J152:K152"/>
    <mergeCell ref="A135:I135"/>
    <mergeCell ref="J147:K147"/>
    <mergeCell ref="O131:Q131"/>
    <mergeCell ref="H409:L409"/>
    <mergeCell ref="H235:H236"/>
    <mergeCell ref="J468:K468"/>
    <mergeCell ref="P373:Q373"/>
    <mergeCell ref="A417:C417"/>
    <mergeCell ref="P33:Q33"/>
    <mergeCell ref="L511:M511"/>
    <mergeCell ref="J163:K163"/>
    <mergeCell ref="J294:K294"/>
    <mergeCell ref="J365:S365"/>
    <mergeCell ref="A364:I364"/>
    <mergeCell ref="J165:K165"/>
    <mergeCell ref="J382:K382"/>
    <mergeCell ref="AB2:AD2"/>
    <mergeCell ref="J77:K77"/>
    <mergeCell ref="J348:K348"/>
    <mergeCell ref="L264:M264"/>
    <mergeCell ref="A181:I181"/>
    <mergeCell ref="L141:M141"/>
    <mergeCell ref="J522:K522"/>
    <mergeCell ref="A505:I505"/>
    <mergeCell ref="J524:K524"/>
    <mergeCell ref="M409:S409"/>
    <mergeCell ref="J61:K61"/>
    <mergeCell ref="H175:L175"/>
    <mergeCell ref="L125:M125"/>
    <mergeCell ref="A38:G38"/>
    <mergeCell ref="J519:K519"/>
    <mergeCell ref="AB48:AD48"/>
    <mergeCell ref="P404:Q404"/>
    <mergeCell ref="H176:L176"/>
    <mergeCell ref="Z7:AA7"/>
    <mergeCell ref="A40:G40"/>
    <mergeCell ref="G538:K538"/>
    <mergeCell ref="H178:L178"/>
    <mergeCell ref="L310:M310"/>
    <mergeCell ref="J237:K237"/>
    <mergeCell ref="G540:K540"/>
    <mergeCell ref="Z8:AA8"/>
    <mergeCell ref="J535:K535"/>
    <mergeCell ref="Z2:AA2"/>
    <mergeCell ref="F141:G141"/>
    <mergeCell ref="J239:K239"/>
    <mergeCell ref="J537:K537"/>
    <mergeCell ref="J118:K118"/>
    <mergeCell ref="M175:S175"/>
    <mergeCell ref="J563:K563"/>
    <mergeCell ref="J167:K167"/>
    <mergeCell ref="H133:L133"/>
    <mergeCell ref="M176:S176"/>
    <mergeCell ref="J162:K162"/>
    <mergeCell ref="L51:M51"/>
    <mergeCell ref="H547:L547"/>
    <mergeCell ref="AH13:AJ13"/>
    <mergeCell ref="J164:K164"/>
    <mergeCell ref="P171:Q171"/>
    <mergeCell ref="J372:S372"/>
    <mergeCell ref="J487:K487"/>
    <mergeCell ref="AH8:AJ8"/>
    <mergeCell ref="AB16:AD16"/>
    <mergeCell ref="J410:S410"/>
    <mergeCell ref="AH10:AJ10"/>
    <mergeCell ref="AB9:AD9"/>
    <mergeCell ref="J146:K146"/>
    <mergeCell ref="G449:K449"/>
    <mergeCell ref="J488:K488"/>
    <mergeCell ref="A503:I503"/>
    <mergeCell ref="AB11:AD11"/>
    <mergeCell ref="J515:K515"/>
    <mergeCell ref="J92:S92"/>
    <mergeCell ref="I545:K545"/>
    <mergeCell ref="B557:D557"/>
    <mergeCell ref="J331:K331"/>
    <mergeCell ref="AH28:AJ28"/>
    <mergeCell ref="P401:Q401"/>
    <mergeCell ref="P97:Q97"/>
    <mergeCell ref="J208:K208"/>
    <mergeCell ref="G79:K79"/>
    <mergeCell ref="J373:K374"/>
    <mergeCell ref="M547:S547"/>
    <mergeCell ref="AH21:AJ21"/>
    <mergeCell ref="J89:S89"/>
    <mergeCell ref="J201:K201"/>
    <mergeCell ref="AH23:AJ23"/>
    <mergeCell ref="O39:Q39"/>
    <mergeCell ref="A179:G179"/>
    <mergeCell ref="L596:Q596"/>
    <mergeCell ref="J203:K203"/>
    <mergeCell ref="K174:M174"/>
    <mergeCell ref="A89:I89"/>
    <mergeCell ref="J259:K259"/>
    <mergeCell ref="H500:L500"/>
    <mergeCell ref="B458:H458"/>
    <mergeCell ref="J261:K261"/>
    <mergeCell ref="J559:K559"/>
    <mergeCell ref="F5:G5"/>
    <mergeCell ref="J254:K254"/>
    <mergeCell ref="M270:S270"/>
    <mergeCell ref="J561:K561"/>
    <mergeCell ref="P126:Q126"/>
    <mergeCell ref="J256:K256"/>
    <mergeCell ref="A229:I229"/>
    <mergeCell ref="A409:G409"/>
    <mergeCell ref="J502:S502"/>
    <mergeCell ref="M497:S497"/>
    <mergeCell ref="H373:H374"/>
    <mergeCell ref="A404:G404"/>
    <mergeCell ref="J281:K282"/>
    <mergeCell ref="J432:K432"/>
    <mergeCell ref="B191:D191"/>
    <mergeCell ref="J503:S503"/>
    <mergeCell ref="H271:L271"/>
    <mergeCell ref="AH6:AJ6"/>
    <mergeCell ref="L373:M373"/>
    <mergeCell ref="L33:M33"/>
    <mergeCell ref="A130:G130"/>
    <mergeCell ref="B192:D192"/>
    <mergeCell ref="J486:K486"/>
    <mergeCell ref="A132:G132"/>
    <mergeCell ref="P493:Q493"/>
    <mergeCell ref="J300:K300"/>
    <mergeCell ref="H268:L268"/>
    <mergeCell ref="AH24:AJ24"/>
    <mergeCell ref="AH17:AJ17"/>
    <mergeCell ref="AH19:AJ19"/>
    <mergeCell ref="J199:K199"/>
    <mergeCell ref="F95:G95"/>
    <mergeCell ref="A176:G176"/>
    <mergeCell ref="F97:G97"/>
    <mergeCell ref="A178:G178"/>
    <mergeCell ref="J346:K346"/>
    <mergeCell ref="J340:K340"/>
    <mergeCell ref="J252:K252"/>
    <mergeCell ref="M268:S268"/>
    <mergeCell ref="J341:K341"/>
    <mergeCell ref="J377:K377"/>
    <mergeCell ref="N49:O49"/>
    <mergeCell ref="A185:S185"/>
    <mergeCell ref="J59:K59"/>
    <mergeCell ref="F143:G143"/>
    <mergeCell ref="A42:I42"/>
    <mergeCell ref="A411:I411"/>
    <mergeCell ref="J97:K98"/>
    <mergeCell ref="J184:S184"/>
    <mergeCell ref="A128:G128"/>
    <mergeCell ref="P309:Q309"/>
    <mergeCell ref="G584:K584"/>
    <mergeCell ref="A129:G129"/>
    <mergeCell ref="J439:K439"/>
    <mergeCell ref="K542:M542"/>
    <mergeCell ref="J510:S510"/>
    <mergeCell ref="H224:L224"/>
    <mergeCell ref="J291:K291"/>
    <mergeCell ref="J293:K293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P233:Q233"/>
    <mergeCell ref="AE7:AG7"/>
    <mergeCell ref="J469:K469"/>
    <mergeCell ref="J12:K12"/>
    <mergeCell ref="P235:Q235"/>
    <mergeCell ref="B85:F85"/>
    <mergeCell ref="J227:S227"/>
    <mergeCell ref="AE2:AG2"/>
    <mergeCell ref="J339:K339"/>
    <mergeCell ref="L401:M401"/>
    <mergeCell ref="B283:D283"/>
    <mergeCell ref="A500:G500"/>
    <mergeCell ref="J65:K65"/>
    <mergeCell ref="J480:K480"/>
    <mergeCell ref="J551:S551"/>
    <mergeCell ref="J399:K399"/>
    <mergeCell ref="J392:K392"/>
    <mergeCell ref="J25:K25"/>
    <mergeCell ref="N187:O187"/>
    <mergeCell ref="J394:K394"/>
    <mergeCell ref="P279:Q279"/>
    <mergeCell ref="Z6:AA6"/>
    <mergeCell ref="G81:K81"/>
    <mergeCell ref="J112:K112"/>
    <mergeCell ref="J383:K383"/>
    <mergeCell ref="J376:K376"/>
    <mergeCell ref="J419:K420"/>
    <mergeCell ref="J534:K534"/>
    <mergeCell ref="B329:D329"/>
    <mergeCell ref="J597:S597"/>
    <mergeCell ref="J107:K107"/>
    <mergeCell ref="J378:K378"/>
    <mergeCell ref="L172:M172"/>
    <mergeCell ref="L171:M171"/>
    <mergeCell ref="B330:D330"/>
    <mergeCell ref="A461:S461"/>
    <mergeCell ref="H37:L37"/>
    <mergeCell ref="A268:G268"/>
    <mergeCell ref="J438:K438"/>
    <mergeCell ref="B177:F177"/>
    <mergeCell ref="H406:L406"/>
    <mergeCell ref="J319:S319"/>
    <mergeCell ref="Z19:AA19"/>
    <mergeCell ref="AE3:AG3"/>
    <mergeCell ref="J8:K8"/>
    <mergeCell ref="G311:K311"/>
    <mergeCell ref="J10:K10"/>
    <mergeCell ref="A456:I456"/>
    <mergeCell ref="A93:S93"/>
    <mergeCell ref="H546:L546"/>
    <mergeCell ref="A371:C371"/>
    <mergeCell ref="A316:G316"/>
    <mergeCell ref="AE16:AG16"/>
    <mergeCell ref="AB15:AD15"/>
    <mergeCell ref="J478:K478"/>
    <mergeCell ref="J549:S549"/>
    <mergeCell ref="J21:K21"/>
    <mergeCell ref="AE18:AG18"/>
    <mergeCell ref="I361:K361"/>
    <mergeCell ref="J23:K23"/>
    <mergeCell ref="M406:S406"/>
    <mergeCell ref="A313:G313"/>
    <mergeCell ref="J479:K479"/>
    <mergeCell ref="J91:S91"/>
    <mergeCell ref="L448:M448"/>
    <mergeCell ref="A3:C3"/>
    <mergeCell ref="A323:S323"/>
    <mergeCell ref="K450:M450"/>
    <mergeCell ref="A91:I91"/>
    <mergeCell ref="M546:S546"/>
    <mergeCell ref="A180:I180"/>
    <mergeCell ref="AB28:AD28"/>
    <mergeCell ref="J103:K103"/>
    <mergeCell ref="P417:Q417"/>
    <mergeCell ref="AB30:AD30"/>
    <mergeCell ref="AB29:AD29"/>
    <mergeCell ref="A2:S2"/>
    <mergeCell ref="J321:S321"/>
    <mergeCell ref="J436:K436"/>
    <mergeCell ref="J429:K429"/>
    <mergeCell ref="L494:M494"/>
    <mergeCell ref="J431:K431"/>
    <mergeCell ref="L44:Q44"/>
    <mergeCell ref="L493:M493"/>
    <mergeCell ref="F325:G325"/>
    <mergeCell ref="L309:M309"/>
    <mergeCell ref="H359:L359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J121:K121"/>
    <mergeCell ref="J115:K115"/>
    <mergeCell ref="Z28:AA28"/>
    <mergeCell ref="A138:I138"/>
    <mergeCell ref="M498:S498"/>
    <mergeCell ref="J571:K571"/>
    <mergeCell ref="J150:K150"/>
    <mergeCell ref="Z30:AA30"/>
    <mergeCell ref="N95:O95"/>
    <mergeCell ref="J573:K573"/>
    <mergeCell ref="J116:K116"/>
    <mergeCell ref="A231:S231"/>
    <mergeCell ref="J477:K477"/>
    <mergeCell ref="L235:M235"/>
    <mergeCell ref="M87:S87"/>
    <mergeCell ref="J284:K284"/>
    <mergeCell ref="J364:S364"/>
    <mergeCell ref="M359:S359"/>
    <mergeCell ref="B237:D237"/>
    <mergeCell ref="AB26:AD26"/>
    <mergeCell ref="J76:K76"/>
    <mergeCell ref="N325:O325"/>
    <mergeCell ref="H454:L454"/>
    <mergeCell ref="AB27:AD27"/>
    <mergeCell ref="G219:K219"/>
    <mergeCell ref="J521:K521"/>
    <mergeCell ref="M224:S224"/>
    <mergeCell ref="L279:M279"/>
    <mergeCell ref="P80:Q80"/>
    <mergeCell ref="J514:K514"/>
    <mergeCell ref="J516:K516"/>
    <mergeCell ref="A1:S1"/>
    <mergeCell ref="J460:S460"/>
    <mergeCell ref="A506:I506"/>
    <mergeCell ref="A37:G37"/>
    <mergeCell ref="G448:K448"/>
    <mergeCell ref="A406:G406"/>
    <mergeCell ref="J58:K58"/>
    <mergeCell ref="J574:K574"/>
    <mergeCell ref="J457:S457"/>
    <mergeCell ref="J567:K567"/>
    <mergeCell ref="J569:K569"/>
    <mergeCell ref="M454:S454"/>
    <mergeCell ref="J440:K440"/>
    <mergeCell ref="F465:G465"/>
    <mergeCell ref="A546:G546"/>
    <mergeCell ref="A509:C509"/>
    <mergeCell ref="A276:I276"/>
    <mergeCell ref="B361:F361"/>
    <mergeCell ref="J159:K159"/>
    <mergeCell ref="B235:D235"/>
    <mergeCell ref="A553:S553"/>
    <mergeCell ref="J153:K153"/>
    <mergeCell ref="J290:K290"/>
    <mergeCell ref="J582:K582"/>
    <mergeCell ref="A273:I273"/>
    <mergeCell ref="L217:M217"/>
    <mergeCell ref="A451:G451"/>
    <mergeCell ref="B376:D376"/>
    <mergeCell ref="J285:K285"/>
    <mergeCell ref="A141:C141"/>
    <mergeCell ref="P49:Q49"/>
    <mergeCell ref="K588:M588"/>
    <mergeCell ref="AH7:AJ7"/>
    <mergeCell ref="M222:S222"/>
    <mergeCell ref="J301:K301"/>
    <mergeCell ref="B136:H136"/>
    <mergeCell ref="H267:L267"/>
    <mergeCell ref="A502:I502"/>
    <mergeCell ref="N463:O463"/>
    <mergeCell ref="F49:G49"/>
    <mergeCell ref="H592:L592"/>
    <mergeCell ref="A140:S140"/>
    <mergeCell ref="P95:Q95"/>
    <mergeCell ref="A359:G359"/>
    <mergeCell ref="L182:Q182"/>
    <mergeCell ref="J525:K525"/>
    <mergeCell ref="T104:X104"/>
    <mergeCell ref="J456:S456"/>
    <mergeCell ref="H497:L497"/>
    <mergeCell ref="J380:K380"/>
    <mergeCell ref="B453:F453"/>
    <mergeCell ref="J251:K251"/>
    <mergeCell ref="B182:H182"/>
    <mergeCell ref="J595:S595"/>
    <mergeCell ref="M267:S267"/>
    <mergeCell ref="H143:H144"/>
    <mergeCell ref="J253:K253"/>
    <mergeCell ref="M592:S592"/>
    <mergeCell ref="H41:L41"/>
    <mergeCell ref="G126:K126"/>
    <mergeCell ref="N233:O233"/>
    <mergeCell ref="J598:S598"/>
    <mergeCell ref="A225:G225"/>
    <mergeCell ref="J393:K393"/>
    <mergeCell ref="J188:O188"/>
    <mergeCell ref="AH3:AJ3"/>
    <mergeCell ref="J395:K395"/>
    <mergeCell ref="AH5:AJ5"/>
    <mergeCell ref="G173:K173"/>
    <mergeCell ref="A454:G454"/>
    <mergeCell ref="G170:K170"/>
    <mergeCell ref="P187:Q187"/>
    <mergeCell ref="P494:Q494"/>
    <mergeCell ref="AE13:AG13"/>
    <mergeCell ref="G172:K172"/>
    <mergeCell ref="A455:G455"/>
    <mergeCell ref="J27:K27"/>
    <mergeCell ref="A184:I184"/>
    <mergeCell ref="P189:Q189"/>
    <mergeCell ref="AH16:AJ16"/>
    <mergeCell ref="AE15:AG15"/>
    <mergeCell ref="L90:Q90"/>
    <mergeCell ref="J20:K20"/>
    <mergeCell ref="J196:K196"/>
    <mergeCell ref="P218:Q218"/>
    <mergeCell ref="B269:F269"/>
    <mergeCell ref="J22:K22"/>
    <mergeCell ref="L80:M80"/>
    <mergeCell ref="A175:G175"/>
    <mergeCell ref="J137:S137"/>
    <mergeCell ref="J338:K338"/>
    <mergeCell ref="J138:S138"/>
    <mergeCell ref="AE28:AG28"/>
    <mergeCell ref="L320:Q320"/>
    <mergeCell ref="B596:H596"/>
    <mergeCell ref="AE30:AG30"/>
    <mergeCell ref="B284:D284"/>
    <mergeCell ref="A221:G221"/>
    <mergeCell ref="J66:K66"/>
    <mergeCell ref="H360:L360"/>
    <mergeCell ref="J389:K389"/>
    <mergeCell ref="H465:H466"/>
    <mergeCell ref="G265:K265"/>
    <mergeCell ref="J122:K122"/>
    <mergeCell ref="A410:I410"/>
    <mergeCell ref="A324:S324"/>
    <mergeCell ref="I177:K177"/>
    <mergeCell ref="A48:S48"/>
    <mergeCell ref="J148:K148"/>
    <mergeCell ref="J104:K104"/>
    <mergeCell ref="J105:K105"/>
    <mergeCell ref="M360:S360"/>
    <mergeCell ref="A267:G267"/>
    <mergeCell ref="L49:M49"/>
    <mergeCell ref="H405:L405"/>
    <mergeCell ref="F187:G187"/>
    <mergeCell ref="J143:K144"/>
    <mergeCell ref="K404:M404"/>
    <mergeCell ref="B53:D53"/>
    <mergeCell ref="J430:K430"/>
    <mergeCell ref="J46:S46"/>
    <mergeCell ref="J9:K9"/>
    <mergeCell ref="A593:G593"/>
    <mergeCell ref="J161:K161"/>
    <mergeCell ref="P356:Q356"/>
    <mergeCell ref="AE24:AG24"/>
    <mergeCell ref="A94:S94"/>
    <mergeCell ref="AE26:AG26"/>
    <mergeCell ref="J31:K31"/>
    <mergeCell ref="A319:I319"/>
    <mergeCell ref="A497:G497"/>
    <mergeCell ref="K36:M36"/>
    <mergeCell ref="J62:K62"/>
    <mergeCell ref="J64:K64"/>
    <mergeCell ref="M316:S316"/>
    <mergeCell ref="B591:F591"/>
    <mergeCell ref="B8:D8"/>
    <mergeCell ref="M405:S405"/>
    <mergeCell ref="J276:S276"/>
    <mergeCell ref="J57:K57"/>
    <mergeCell ref="J391:K391"/>
    <mergeCell ref="J189:K190"/>
    <mergeCell ref="T114:X114"/>
    <mergeCell ref="B99:D99"/>
    <mergeCell ref="P586:Q586"/>
    <mergeCell ref="G264:K264"/>
    <mergeCell ref="Z3:AA3"/>
    <mergeCell ref="G78:K78"/>
    <mergeCell ref="A36:G36"/>
    <mergeCell ref="B5:D5"/>
    <mergeCell ref="P402:Q402"/>
    <mergeCell ref="Z5:AA5"/>
    <mergeCell ref="G80:K80"/>
    <mergeCell ref="J75:K75"/>
    <mergeCell ref="A363:G363"/>
    <mergeCell ref="A92:I92"/>
    <mergeCell ref="J531:K531"/>
    <mergeCell ref="J444:K444"/>
    <mergeCell ref="J533:K533"/>
    <mergeCell ref="A548:I548"/>
    <mergeCell ref="B145:D145"/>
    <mergeCell ref="J322:S322"/>
    <mergeCell ref="Z16:AA16"/>
    <mergeCell ref="I39:K39"/>
    <mergeCell ref="G308:K308"/>
    <mergeCell ref="A266:G266"/>
    <mergeCell ref="B499:F499"/>
    <mergeCell ref="P325:Q325"/>
    <mergeCell ref="Z18:AA18"/>
    <mergeCell ref="B51:D51"/>
    <mergeCell ref="J4:N4"/>
    <mergeCell ref="H189:H190"/>
    <mergeCell ref="G310:K310"/>
    <mergeCell ref="Z17:AA17"/>
    <mergeCell ref="P327:Q327"/>
    <mergeCell ref="L228:Q228"/>
    <mergeCell ref="H87:L87"/>
    <mergeCell ref="N279:O279"/>
    <mergeCell ref="H543:L543"/>
    <mergeCell ref="L218:M218"/>
    <mergeCell ref="AB12:AD12"/>
    <mergeCell ref="J475:K475"/>
    <mergeCell ref="F51:G51"/>
    <mergeCell ref="AB13:AD13"/>
    <mergeCell ref="J55:K55"/>
    <mergeCell ref="A232:S232"/>
    <mergeCell ref="AB7:AD7"/>
    <mergeCell ref="J476:K476"/>
    <mergeCell ref="J88:S88"/>
    <mergeCell ref="A459:I459"/>
    <mergeCell ref="L458:Q458"/>
    <mergeCell ref="P371:Q371"/>
    <mergeCell ref="B97:D97"/>
    <mergeCell ref="L417:M417"/>
    <mergeCell ref="AH18:AJ18"/>
    <mergeCell ref="A88:I88"/>
    <mergeCell ref="J204:K204"/>
    <mergeCell ref="J198:K198"/>
    <mergeCell ref="J548:S548"/>
    <mergeCell ref="M543:S543"/>
    <mergeCell ref="AB25:AD25"/>
    <mergeCell ref="J529:K529"/>
    <mergeCell ref="J327:K328"/>
    <mergeCell ref="O177:Q177"/>
    <mergeCell ref="J68:K68"/>
    <mergeCell ref="B143:D143"/>
    <mergeCell ref="I315:K315"/>
    <mergeCell ref="H281:H282"/>
    <mergeCell ref="J257:K257"/>
    <mergeCell ref="P419:Q419"/>
    <mergeCell ref="A230:I230"/>
    <mergeCell ref="H498:L498"/>
    <mergeCell ref="J242:K242"/>
    <mergeCell ref="Z13:AA13"/>
    <mergeCell ref="J428:K428"/>
    <mergeCell ref="B44:H44"/>
    <mergeCell ref="Z15:AA15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36:Q36"/>
    <mergeCell ref="P465:Q465"/>
    <mergeCell ref="L550:Q550"/>
    <mergeCell ref="J570:K570"/>
    <mergeCell ref="B189:D189"/>
    <mergeCell ref="L366:Q366"/>
    <mergeCell ref="AB3:AD3"/>
    <mergeCell ref="A547:G547"/>
    <mergeCell ref="AB5:AD5"/>
    <mergeCell ref="J169:K169"/>
    <mergeCell ref="T19:X19"/>
    <mergeCell ref="A457:I457"/>
    <mergeCell ref="AH20:AJ20"/>
    <mergeCell ref="J200:K200"/>
    <mergeCell ref="J50:P50"/>
    <mergeCell ref="J202:K202"/>
    <mergeCell ref="A554:S554"/>
    <mergeCell ref="AH15:AJ15"/>
    <mergeCell ref="J195:K195"/>
    <mergeCell ref="A597:I597"/>
    <mergeCell ref="P509:Q509"/>
    <mergeCell ref="J197:K197"/>
    <mergeCell ref="B560:D560"/>
    <mergeCell ref="P82:Q82"/>
    <mergeCell ref="AB18:AD18"/>
    <mergeCell ref="G216:K216"/>
    <mergeCell ref="A174:G174"/>
    <mergeCell ref="J342:K342"/>
    <mergeCell ref="P540:Q540"/>
    <mergeCell ref="G218:K218"/>
    <mergeCell ref="G541:K541"/>
    <mergeCell ref="J213:K213"/>
    <mergeCell ref="M133:S133"/>
    <mergeCell ref="H179:L179"/>
    <mergeCell ref="J215:K215"/>
    <mergeCell ref="L95:M95"/>
    <mergeCell ref="J337:K337"/>
    <mergeCell ref="J513:K513"/>
    <mergeCell ref="L402:M402"/>
    <mergeCell ref="O315:Q315"/>
    <mergeCell ref="L97:M97"/>
    <mergeCell ref="F233:G233"/>
    <mergeCell ref="J210:K210"/>
    <mergeCell ref="F235:G235"/>
    <mergeCell ref="P217:Q217"/>
    <mergeCell ref="J564:K564"/>
    <mergeCell ref="J566:K566"/>
    <mergeCell ref="J109:K109"/>
    <mergeCell ref="H327:H328"/>
    <mergeCell ref="A549:I549"/>
    <mergeCell ref="A543:G543"/>
    <mergeCell ref="L325:M325"/>
    <mergeCell ref="H225:L225"/>
    <mergeCell ref="A233:C233"/>
    <mergeCell ref="L327:M327"/>
    <mergeCell ref="F463:G463"/>
    <mergeCell ref="M179:S179"/>
    <mergeCell ref="P447:Q447"/>
    <mergeCell ref="G125:K125"/>
    <mergeCell ref="J437:K437"/>
    <mergeCell ref="H222:L222"/>
    <mergeCell ref="G127:K127"/>
    <mergeCell ref="O85:Q85"/>
    <mergeCell ref="J193:K193"/>
    <mergeCell ref="A370:S370"/>
    <mergeCell ref="J226:S226"/>
    <mergeCell ref="J305:K305"/>
    <mergeCell ref="J307:K307"/>
    <mergeCell ref="AH4:AJ4"/>
    <mergeCell ref="P79:Q79"/>
    <mergeCell ref="M225:S225"/>
    <mergeCell ref="L371:M371"/>
    <mergeCell ref="L274:Q274"/>
    <mergeCell ref="J465:K466"/>
    <mergeCell ref="J335:K335"/>
    <mergeCell ref="B375:D375"/>
    <mergeCell ref="AH26:AJ26"/>
    <mergeCell ref="P220:Q220"/>
    <mergeCell ref="J368:S368"/>
    <mergeCell ref="J206:K206"/>
    <mergeCell ref="A496:G496"/>
    <mergeCell ref="G354:K354"/>
    <mergeCell ref="P555:Q555"/>
    <mergeCell ref="H419:H420"/>
    <mergeCell ref="A498:G498"/>
    <mergeCell ref="G356:K356"/>
    <mergeCell ref="P557:Q557"/>
    <mergeCell ref="J351:K351"/>
    <mergeCell ref="A368:I368"/>
    <mergeCell ref="M271:S271"/>
    <mergeCell ref="J353:K353"/>
    <mergeCell ref="L419:M419"/>
    <mergeCell ref="F555:G555"/>
    <mergeCell ref="F557:G557"/>
    <mergeCell ref="A365:I365"/>
    <mergeCell ref="H314:L314"/>
    <mergeCell ref="H51:H52"/>
    <mergeCell ref="J379:K379"/>
    <mergeCell ref="A82:G82"/>
    <mergeCell ref="J74:K74"/>
    <mergeCell ref="J250:K250"/>
    <mergeCell ref="J594:S594"/>
    <mergeCell ref="A462:S462"/>
    <mergeCell ref="G586:K586"/>
    <mergeCell ref="B327:D327"/>
    <mergeCell ref="Z20:AA20"/>
    <mergeCell ref="S575:S576"/>
    <mergeCell ref="N555:O555"/>
    <mergeCell ref="M317:S317"/>
    <mergeCell ref="J303:K303"/>
    <mergeCell ref="A224:G224"/>
    <mergeCell ref="H544:L544"/>
    <mergeCell ref="J557:K558"/>
    <mergeCell ref="B467:D467"/>
    <mergeCell ref="J123:K123"/>
    <mergeCell ref="J304:K304"/>
    <mergeCell ref="A321:I321"/>
    <mergeCell ref="M314:S314"/>
    <mergeCell ref="J423:K423"/>
    <mergeCell ref="J306:K306"/>
    <mergeCell ref="J18:K18"/>
    <mergeCell ref="AE12:AG12"/>
    <mergeCell ref="J474:K474"/>
    <mergeCell ref="J17:K17"/>
    <mergeCell ref="AE14:AG14"/>
    <mergeCell ref="J19:K19"/>
    <mergeCell ref="L233:M233"/>
    <mergeCell ref="L540:M540"/>
    <mergeCell ref="O453:Q453"/>
    <mergeCell ref="M544:S544"/>
    <mergeCell ref="H316:L316"/>
    <mergeCell ref="H557:H558"/>
    <mergeCell ref="F373:G373"/>
    <mergeCell ref="P355:Q355"/>
    <mergeCell ref="G33:K33"/>
    <mergeCell ref="AE25:AG25"/>
    <mergeCell ref="AB24:AD24"/>
    <mergeCell ref="G35:K35"/>
    <mergeCell ref="J243:K243"/>
    <mergeCell ref="A46:I46"/>
    <mergeCell ref="L463:M463"/>
    <mergeCell ref="H363:L363"/>
    <mergeCell ref="G262:K262"/>
    <mergeCell ref="A220:G220"/>
    <mergeCell ref="L465:M465"/>
    <mergeCell ref="J117:K117"/>
    <mergeCell ref="J388:K388"/>
    <mergeCell ref="A222:G222"/>
    <mergeCell ref="P585:Q585"/>
    <mergeCell ref="J119:K119"/>
    <mergeCell ref="P281:Q281"/>
    <mergeCell ref="J390:K390"/>
    <mergeCell ref="G263:K263"/>
    <mergeCell ref="J427:K427"/>
    <mergeCell ref="P312:Q312"/>
    <mergeCell ref="H84:L84"/>
    <mergeCell ref="J114:K114"/>
    <mergeCell ref="J385:K385"/>
    <mergeCell ref="L447:M447"/>
    <mergeCell ref="Z4:AA4"/>
    <mergeCell ref="F279:G279"/>
    <mergeCell ref="J572:K572"/>
    <mergeCell ref="H86:L86"/>
    <mergeCell ref="J145:K145"/>
    <mergeCell ref="F281:G281"/>
    <mergeCell ref="J443:K443"/>
    <mergeCell ref="A47:S47"/>
    <mergeCell ref="J111:K111"/>
    <mergeCell ref="J445:K445"/>
    <mergeCell ref="Z26:AA26"/>
    <mergeCell ref="L509:M509"/>
    <mergeCell ref="AE5:AG5"/>
    <mergeCell ref="P358:Q358"/>
    <mergeCell ref="J158:K158"/>
    <mergeCell ref="J45:S45"/>
    <mergeCell ref="M84:S84"/>
    <mergeCell ref="J489:K489"/>
    <mergeCell ref="J160:K160"/>
    <mergeCell ref="M86:S86"/>
    <mergeCell ref="L555:M555"/>
    <mergeCell ref="H455:L455"/>
    <mergeCell ref="J491:K491"/>
    <mergeCell ref="AB22:AD22"/>
    <mergeCell ref="J72:K72"/>
    <mergeCell ref="L557:M557"/>
    <mergeCell ref="J484:K484"/>
    <mergeCell ref="A416:S416"/>
    <mergeCell ref="J30:K30"/>
    <mergeCell ref="I269:K269"/>
    <mergeCell ref="A314:G314"/>
    <mergeCell ref="H452:L452"/>
    <mergeCell ref="G171:K171"/>
    <mergeCell ref="J517:K517"/>
    <mergeCell ref="J54:K54"/>
    <mergeCell ref="G357:K357"/>
    <mergeCell ref="J212:K212"/>
    <mergeCell ref="B7:D7"/>
    <mergeCell ref="J56:K56"/>
    <mergeCell ref="J214:K214"/>
    <mergeCell ref="B465:D465"/>
    <mergeCell ref="B421:D421"/>
    <mergeCell ref="A139:S139"/>
    <mergeCell ref="P310:Q310"/>
    <mergeCell ref="J414:S414"/>
    <mergeCell ref="M455:S455"/>
    <mergeCell ref="J441:K441"/>
    <mergeCell ref="A362:G362"/>
    <mergeCell ref="J530:K530"/>
    <mergeCell ref="G401:K401"/>
    <mergeCell ref="J532:K532"/>
    <mergeCell ref="G403:K403"/>
    <mergeCell ref="O361:Q361"/>
    <mergeCell ref="P539:Q539"/>
    <mergeCell ref="M452:S452"/>
    <mergeCell ref="A49:C49"/>
    <mergeCell ref="A369:S369"/>
    <mergeCell ref="J154:K154"/>
    <mergeCell ref="J583:K583"/>
    <mergeCell ref="J120:K120"/>
    <mergeCell ref="A137:I137"/>
    <mergeCell ref="L136:Q136"/>
    <mergeCell ref="J156:K156"/>
    <mergeCell ref="J43:S43"/>
    <mergeCell ref="J155:K155"/>
    <mergeCell ref="J426:K426"/>
    <mergeCell ref="J578:K578"/>
    <mergeCell ref="J157:K157"/>
    <mergeCell ref="J151:K151"/>
    <mergeCell ref="AH2:AJ2"/>
    <mergeCell ref="G447:K447"/>
    <mergeCell ref="K128:M128"/>
    <mergeCell ref="J296:K296"/>
    <mergeCell ref="J367:S367"/>
    <mergeCell ref="J298:K298"/>
    <mergeCell ref="T83:Z83"/>
    <mergeCell ref="B513:D513"/>
    <mergeCell ref="J297:K297"/>
    <mergeCell ref="AB4:AD4"/>
    <mergeCell ref="A367:I367"/>
    <mergeCell ref="A183:I183"/>
    <mergeCell ref="J299:K299"/>
    <mergeCell ref="F371:G371"/>
    <mergeCell ref="L355:M355"/>
    <mergeCell ref="J326:M326"/>
    <mergeCell ref="B514:D514"/>
    <mergeCell ref="J381:K381"/>
    <mergeCell ref="H590:L590"/>
    <mergeCell ref="A358:G358"/>
    <mergeCell ref="J526:K526"/>
    <mergeCell ref="A360:G360"/>
    <mergeCell ref="J528:K528"/>
    <mergeCell ref="A84:G84"/>
    <mergeCell ref="A277:S277"/>
    <mergeCell ref="A86:G86"/>
    <mergeCell ref="J523:K523"/>
    <mergeCell ref="L281:M281"/>
    <mergeCell ref="L585:M585"/>
    <mergeCell ref="F417:G417"/>
    <mergeCell ref="M593:S593"/>
    <mergeCell ref="A278:S278"/>
    <mergeCell ref="J247:K247"/>
    <mergeCell ref="I131:K131"/>
    <mergeCell ref="F419:G419"/>
    <mergeCell ref="J249:K249"/>
    <mergeCell ref="J241:K241"/>
    <mergeCell ref="A598:I598"/>
    <mergeCell ref="N371:O371"/>
    <mergeCell ref="A507:S507"/>
    <mergeCell ref="J183:S183"/>
    <mergeCell ref="J289:K289"/>
    <mergeCell ref="H130:L130"/>
    <mergeCell ref="N3:O3"/>
    <mergeCell ref="J166:K166"/>
    <mergeCell ref="H132:L132"/>
    <mergeCell ref="B90:H90"/>
    <mergeCell ref="M363:S363"/>
    <mergeCell ref="T9:X9"/>
    <mergeCell ref="J191:K191"/>
    <mergeCell ref="A452:G452"/>
    <mergeCell ref="N417:O417"/>
    <mergeCell ref="G493:K493"/>
    <mergeCell ref="L79:M79"/>
    <mergeCell ref="G309:K309"/>
    <mergeCell ref="AH12:AJ12"/>
    <mergeCell ref="J192:K192"/>
    <mergeCell ref="G495:K495"/>
    <mergeCell ref="AH14:AJ14"/>
    <mergeCell ref="J194:K194"/>
    <mergeCell ref="F511:G511"/>
    <mergeCell ref="B559:D559"/>
    <mergeCell ref="J333:K333"/>
    <mergeCell ref="AE29:AG29"/>
    <mergeCell ref="A322:I322"/>
    <mergeCell ref="J135:S135"/>
    <mergeCell ref="J245:K245"/>
    <mergeCell ref="M130:S130"/>
    <mergeCell ref="J334:K334"/>
    <mergeCell ref="AH25:AJ25"/>
    <mergeCell ref="M132:S132"/>
    <mergeCell ref="B407:F407"/>
    <mergeCell ref="J205:K205"/>
    <mergeCell ref="J336:K336"/>
    <mergeCell ref="P588:Q588"/>
    <mergeCell ref="M590:S590"/>
    <mergeCell ref="V5:X5"/>
    <mergeCell ref="J275:S275"/>
    <mergeCell ref="A187:C187"/>
    <mergeCell ref="A551:I551"/>
    <mergeCell ref="P128:Q128"/>
    <mergeCell ref="J258:K258"/>
    <mergeCell ref="J565:K565"/>
    <mergeCell ref="B39:F39"/>
    <mergeCell ref="J181:S181"/>
    <mergeCell ref="J260:K260"/>
    <mergeCell ref="B511:D511"/>
    <mergeCell ref="J506:S506"/>
    <mergeCell ref="G585:K585"/>
    <mergeCell ref="K266:M266"/>
    <mergeCell ref="J434:K434"/>
    <mergeCell ref="J505:S505"/>
    <mergeCell ref="N141:O141"/>
    <mergeCell ref="H270:L270"/>
    <mergeCell ref="A590:G590"/>
    <mergeCell ref="A318:I318"/>
    <mergeCell ref="AE27:AG27"/>
    <mergeCell ref="J7:K7"/>
    <mergeCell ref="J330:K330"/>
    <mergeCell ref="AE20:AG20"/>
    <mergeCell ref="J332:K332"/>
    <mergeCell ref="AE22:AG22"/>
    <mergeCell ref="A415:S415"/>
    <mergeCell ref="B131:F131"/>
    <mergeCell ref="J60:K60"/>
    <mergeCell ref="J273:S273"/>
    <mergeCell ref="J234:O234"/>
    <mergeCell ref="J53:K53"/>
    <mergeCell ref="J387:K387"/>
    <mergeCell ref="J343:K343"/>
    <mergeCell ref="J345:K345"/>
    <mergeCell ref="H317:L317"/>
    <mergeCell ref="N509:O509"/>
    <mergeCell ref="A325:C325"/>
    <mergeCell ref="J71:K71"/>
    <mergeCell ref="J73:K73"/>
    <mergeCell ref="A413:I413"/>
    <mergeCell ref="J102:K102"/>
    <mergeCell ref="J425:K425"/>
    <mergeCell ref="J318:S318"/>
    <mergeCell ref="Z12:AA12"/>
    <mergeCell ref="B228:H228"/>
    <mergeCell ref="P172:Q172"/>
    <mergeCell ref="Z14:AA14"/>
    <mergeCell ref="A555:C555"/>
    <mergeCell ref="A133:G133"/>
    <mergeCell ref="J295:K295"/>
    <mergeCell ref="M40:S40"/>
    <mergeCell ref="O223:Q223"/>
    <mergeCell ref="G446:K446"/>
    <mergeCell ref="B373:D373"/>
    <mergeCell ref="AE9:AG9"/>
    <mergeCell ref="AB8:AD8"/>
    <mergeCell ref="J471:K471"/>
    <mergeCell ref="A460:I460"/>
    <mergeCell ref="AB10:AD10"/>
    <mergeCell ref="AE11:AG11"/>
    <mergeCell ref="J473:K473"/>
    <mergeCell ref="J16:K16"/>
    <mergeCell ref="J229:S229"/>
    <mergeCell ref="J168:K168"/>
    <mergeCell ref="J472:K472"/>
    <mergeCell ref="AE4:AG4"/>
    <mergeCell ref="L143:M143"/>
    <mergeCell ref="B545:F545"/>
    <mergeCell ref="B274:H274"/>
    <mergeCell ref="H313:L313"/>
    <mergeCell ref="J67:K67"/>
    <mergeCell ref="J413:S413"/>
    <mergeCell ref="J69:K69"/>
    <mergeCell ref="AB21:AD21"/>
    <mergeCell ref="G355:K355"/>
    <mergeCell ref="P266:Q266"/>
    <mergeCell ref="AB23:AD23"/>
    <mergeCell ref="J396:K396"/>
    <mergeCell ref="J527:K527"/>
    <mergeCell ref="J485:K485"/>
    <mergeCell ref="B320:H320"/>
    <mergeCell ref="K496:M496"/>
    <mergeCell ref="J398:K398"/>
    <mergeCell ref="A41:G41"/>
    <mergeCell ref="AB51:AD51"/>
    <mergeCell ref="A226:I226"/>
    <mergeCell ref="Z10:AA10"/>
    <mergeCell ref="L586:M586"/>
    <mergeCell ref="J238:K238"/>
    <mergeCell ref="J240:K240"/>
    <mergeCell ref="H83:L83"/>
    <mergeCell ref="K82:M82"/>
    <mergeCell ref="B366:H366"/>
    <mergeCell ref="H408:L408"/>
    <mergeCell ref="J108:K108"/>
    <mergeCell ref="Z21:AA21"/>
    <mergeCell ref="J442:K442"/>
    <mergeCell ref="A271:G271"/>
    <mergeCell ref="Z29:AA29"/>
    <mergeCell ref="M362:S362"/>
    <mergeCell ref="Z23:AA23"/>
    <mergeCell ref="M178:S178"/>
    <mergeCell ref="AB6:AD6"/>
    <mergeCell ref="B54:D54"/>
    <mergeCell ref="Z24:AA24"/>
    <mergeCell ref="J470:K470"/>
    <mergeCell ref="B468:D468"/>
    <mergeCell ref="O545:Q545"/>
    <mergeCell ref="J42:S42"/>
    <mergeCell ref="P174:Q174"/>
    <mergeCell ref="K312:M312"/>
    <mergeCell ref="AB17:AD17"/>
    <mergeCell ref="J411:S411"/>
    <mergeCell ref="M83:S83"/>
    <mergeCell ref="J490:K490"/>
    <mergeCell ref="AB19:AD19"/>
    <mergeCell ref="A594:I594"/>
    <mergeCell ref="M408:S408"/>
    <mergeCell ref="B412:H412"/>
    <mergeCell ref="B100:D100"/>
    <mergeCell ref="A317:G317"/>
    <mergeCell ref="AB20:AD20"/>
    <mergeCell ref="J483:K483"/>
    <mergeCell ref="AB14:AD14"/>
    <mergeCell ref="L539:M539"/>
    <mergeCell ref="A595:I595"/>
    <mergeCell ref="I85:K85"/>
    <mergeCell ref="A463:C463"/>
    <mergeCell ref="AH29:AJ29"/>
    <mergeCell ref="A312:G312"/>
    <mergeCell ref="J209:K209"/>
    <mergeCell ref="J211:K211"/>
    <mergeCell ref="J536:K536"/>
    <mergeCell ref="H589:L589"/>
    <mergeCell ref="J560:K560"/>
    <mergeCell ref="P3:Q3"/>
    <mergeCell ref="J106:K106"/>
    <mergeCell ref="J562:K562"/>
    <mergeCell ref="A552:I552"/>
    <mergeCell ref="P5:Q5"/>
    <mergeCell ref="J433:K433"/>
    <mergeCell ref="H221:L221"/>
    <mergeCell ref="J435:K435"/>
    <mergeCell ref="J134:S134"/>
    <mergeCell ref="L504:Q504"/>
    <mergeCell ref="F3:G3"/>
    <mergeCell ref="K220:M220"/>
    <mergeCell ref="P450:Q450"/>
    <mergeCell ref="J580:K580"/>
    <mergeCell ref="M500:S500"/>
    <mergeCell ref="A134:I134"/>
    <mergeCell ref="B504:H504"/>
    <mergeCell ref="M589:S589"/>
    <mergeCell ref="J283:K283"/>
    <mergeCell ref="J581:K581"/>
    <mergeCell ref="M501:S501"/>
    <mergeCell ref="L34:M34"/>
    <mergeCell ref="J577:K577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2" horizontalDpi="360" verticalDpi="360"/>
  <rowBreaks count="27" manualBreakCount="27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6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  <brk id="1242" min="0" max="34" man="1"/>
  </rowBreaks>
  <colBreaks count="1" manualBreakCount="1">
    <brk id="19" min="0" max="1199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98"/>
  <sheetViews>
    <sheetView view="pageBreakPreview" zoomScaleNormal="115" zoomScaleSheetLayoutView="100" workbookViewId="0">
      <selection activeCell="F7" sqref="F7"/>
    </sheetView>
  </sheetViews>
  <sheetFormatPr baseColWidth="8" defaultColWidth="9.109375" defaultRowHeight="18"/>
  <cols>
    <col width="3.33203125" customWidth="1" style="7" min="1" max="1"/>
    <col width="5" customWidth="1" style="7" min="2" max="2"/>
    <col width="3.6640625" customWidth="1" style="7" min="3" max="3"/>
    <col width="12.44140625" customWidth="1" style="7" min="4" max="4"/>
    <col width="6.5546875" customWidth="1" style="7" min="5" max="5"/>
    <col width="3.44140625" customWidth="1" style="7" min="6" max="6"/>
    <col width="11.88671875" customWidth="1" style="7" min="7" max="7"/>
    <col width="10.44140625" customWidth="1" style="7" min="8" max="8"/>
    <col width="16.109375" customWidth="1" style="322" min="9" max="9"/>
    <col width="4.44140625" customWidth="1" style="7" min="10" max="10"/>
    <col width="6.5546875" customWidth="1" style="7" min="11" max="11"/>
    <col width="6.6640625" customWidth="1" style="7" min="12" max="13"/>
    <col width="8.6640625" customWidth="1" style="7" min="14" max="14"/>
    <col width="9.5546875" customWidth="1" style="7" min="15" max="15"/>
    <col width="6.6640625" customWidth="1" style="7" min="16" max="17"/>
    <col width="8.6640625" customWidth="1" style="7" min="18" max="18"/>
    <col width="9.6640625" customWidth="1" style="7" min="19" max="19"/>
    <col width="8.6640625" customWidth="1" style="7" min="20" max="20"/>
    <col width="3" customWidth="1" style="7" min="21" max="21"/>
    <col width="8.6640625" customWidth="1" style="7" min="22" max="22"/>
    <col width="3" customWidth="1" style="7" min="23" max="23"/>
    <col width="8.6640625" customWidth="1" style="7" min="24" max="24"/>
    <col width="3" customWidth="1" style="7" min="25" max="25"/>
    <col width="8.6640625" customWidth="1" style="7" min="26" max="26"/>
    <col width="3" customWidth="1" style="7" min="27" max="27"/>
    <col width="9.109375" customWidth="1" style="7" min="28" max="16384"/>
  </cols>
  <sheetData>
    <row r="1" ht="22.2" customHeight="1" s="375">
      <c r="A1" s="365" t="inlineStr">
        <is>
          <t>ใบเบิกจ่ายเงินค่าสอนพิเศษและค่าสอนเกินภาระงานสอนในสถานศึกษา</t>
        </is>
      </c>
      <c r="Z1" s="382" t="n"/>
      <c r="AA1" s="382" t="n"/>
    </row>
    <row r="2" ht="22.2" customHeight="1" s="375">
      <c r="A2" s="365" t="inlineStr">
        <is>
          <t>แผนกวิชาช่างยนต์</t>
        </is>
      </c>
      <c r="Y2" s="374" t="n"/>
      <c r="Z2" s="412" t="inlineStr">
        <is>
          <t>ลำดับ</t>
        </is>
      </c>
      <c r="AA2" s="432" t="n"/>
      <c r="AB2" s="409" t="inlineStr">
        <is>
          <t>รายชื่อ</t>
        </is>
      </c>
      <c r="AC2" s="518" t="n"/>
      <c r="AD2" s="518" t="n"/>
      <c r="AE2" s="412" t="inlineStr">
        <is>
          <t>รวม ชม./ ส.</t>
        </is>
      </c>
      <c r="AF2" s="518" t="n"/>
      <c r="AG2" s="432" t="n"/>
      <c r="AH2" s="412" t="inlineStr">
        <is>
          <t>รวม ค่าสอน / สัปดาห์</t>
        </is>
      </c>
      <c r="AI2" s="518" t="n"/>
      <c r="AJ2" s="432" t="n"/>
    </row>
    <row r="3" ht="22.2" customHeight="1" s="375">
      <c r="A3" s="366" t="inlineStr">
        <is>
          <t xml:space="preserve">    ระหว่างวันที่</t>
        </is>
      </c>
      <c r="D3" s="365" t="n">
        <v>5</v>
      </c>
      <c r="E3" s="365" t="inlineStr">
        <is>
          <t xml:space="preserve">   เดือน  </t>
        </is>
      </c>
      <c r="F3" s="365" t="inlineStr">
        <is>
          <t>ตุลาคม</t>
        </is>
      </c>
      <c r="H3" s="365" t="inlineStr">
        <is>
          <t>พ.ศ. 2569</t>
        </is>
      </c>
      <c r="I3" s="365" t="inlineStr">
        <is>
          <t xml:space="preserve">     ถึง วันที่</t>
        </is>
      </c>
      <c r="J3" s="365" t="n">
        <v>9</v>
      </c>
      <c r="K3" s="365" t="inlineStr">
        <is>
          <t xml:space="preserve">   เดือน </t>
        </is>
      </c>
      <c r="L3" s="365" t="inlineStr">
        <is>
          <t>ตุลาคม</t>
        </is>
      </c>
      <c r="N3" s="365" t="inlineStr">
        <is>
          <t>พ.ศ. 2569</t>
        </is>
      </c>
      <c r="P3" s="365" t="n"/>
      <c r="R3" s="365" t="n"/>
      <c r="Y3" s="374" t="n"/>
      <c r="Z3" s="519" t="n">
        <v>1</v>
      </c>
      <c r="AA3" s="135" t="n"/>
      <c r="AB3" s="520" t="inlineStr">
        <is>
          <t>นายชำนาญ แก้วจงประสิทธิ์</t>
        </is>
      </c>
      <c r="AD3" s="374" t="n"/>
      <c r="AE3" s="362" t="n">
        <v>12</v>
      </c>
      <c r="AF3" s="153" t="n"/>
      <c r="AG3" s="135" t="n"/>
      <c r="AH3" s="521" t="n">
        <v>2400</v>
      </c>
      <c r="AI3" s="153" t="n"/>
      <c r="AJ3" s="135" t="n"/>
    </row>
    <row r="4" ht="22.2" customHeight="1" s="375">
      <c r="G4" s="51" t="inlineStr">
        <is>
          <t>ü</t>
        </is>
      </c>
      <c r="H4" s="351" t="inlineStr">
        <is>
          <t>ครู</t>
        </is>
      </c>
      <c r="I4" s="322" t="inlineStr">
        <is>
          <t>หน้าที่พิเศษ</t>
        </is>
      </c>
      <c r="J4" s="380" t="inlineStr">
        <is>
          <t>หัวหน้าแผนกวิชาช่างยนต์</t>
        </is>
      </c>
      <c r="K4" s="522" t="n"/>
      <c r="L4" s="522" t="n"/>
      <c r="M4" s="522" t="n"/>
      <c r="N4" s="522" t="n"/>
      <c r="Y4" s="374" t="n"/>
      <c r="Z4" s="523" t="n">
        <v>2</v>
      </c>
      <c r="AA4" s="374" t="n"/>
      <c r="AB4" s="390" t="inlineStr">
        <is>
          <t>นายวัชรัศนิ์ ไชยศาสตร์</t>
        </is>
      </c>
      <c r="AE4" s="334" t="n">
        <v>12</v>
      </c>
      <c r="AG4" s="374" t="n"/>
      <c r="AH4" s="333" t="n">
        <v>2400</v>
      </c>
      <c r="AJ4" s="374" t="n"/>
    </row>
    <row r="5" ht="22.2" customHeight="1" s="375">
      <c r="A5" s="24" t="inlineStr">
        <is>
          <t>ที่</t>
        </is>
      </c>
      <c r="B5" s="24" t="inlineStr">
        <is>
          <t>ชื่อ-สกุล</t>
        </is>
      </c>
      <c r="C5" s="153" t="n"/>
      <c r="D5" s="135" t="n"/>
      <c r="E5" s="15" t="inlineStr">
        <is>
          <t>ตำแหน่ง</t>
        </is>
      </c>
      <c r="F5" s="16" t="inlineStr">
        <is>
          <t>ระยะเวลาที่สอน</t>
        </is>
      </c>
      <c r="G5" s="432" t="n"/>
      <c r="H5" s="16" t="inlineStr">
        <is>
          <t>รหัสวิชา</t>
        </is>
      </c>
      <c r="I5" s="362" t="inlineStr">
        <is>
          <t>ชั้น,แผนก,ห้อง</t>
        </is>
      </c>
      <c r="J5" s="16" t="inlineStr">
        <is>
          <t>เวลาสอน</t>
        </is>
      </c>
      <c r="K5" s="135" t="n"/>
      <c r="L5" s="16" t="inlineStr">
        <is>
          <t>ปวช.(คาบ)</t>
        </is>
      </c>
      <c r="M5" s="432" t="n"/>
      <c r="N5" s="354" t="inlineStr">
        <is>
          <t>เงิน</t>
        </is>
      </c>
      <c r="O5" s="362" t="inlineStr">
        <is>
          <t>ยอดเงิน</t>
        </is>
      </c>
      <c r="P5" s="524" t="inlineStr">
        <is>
          <t>ปวส.(คาบ)</t>
        </is>
      </c>
      <c r="Q5" s="432" t="n"/>
      <c r="R5" s="354" t="inlineStr">
        <is>
          <t>เงิน</t>
        </is>
      </c>
      <c r="S5" s="362" t="inlineStr">
        <is>
          <t>ยอดเงิน</t>
        </is>
      </c>
      <c r="V5" s="390" t="n"/>
      <c r="Y5" s="374" t="n"/>
      <c r="Z5" s="523" t="n">
        <v>3</v>
      </c>
      <c r="AA5" s="374" t="n"/>
      <c r="AB5" s="390" t="inlineStr">
        <is>
          <t>นายไพรัช น้อยแสง</t>
        </is>
      </c>
      <c r="AE5" s="334" t="n">
        <v>12</v>
      </c>
      <c r="AG5" s="374" t="n"/>
      <c r="AH5" s="333" t="n">
        <v>2400</v>
      </c>
      <c r="AJ5" s="374" t="n"/>
    </row>
    <row r="6" ht="22.2" customHeight="1" s="375">
      <c r="A6" s="52" t="n"/>
      <c r="B6" s="8" t="n"/>
      <c r="C6" s="9" t="n"/>
      <c r="D6" s="13" t="n"/>
      <c r="E6" s="10" t="n"/>
      <c r="F6" s="336" t="inlineStr">
        <is>
          <t>ส.</t>
        </is>
      </c>
      <c r="G6" s="336" t="inlineStr">
        <is>
          <t>วดป.</t>
        </is>
      </c>
      <c r="H6" s="525" t="n"/>
      <c r="I6" s="336" t="n"/>
      <c r="J6" s="526" t="n"/>
      <c r="K6" s="527" t="n"/>
      <c r="L6" s="336" t="inlineStr">
        <is>
          <t>ใน</t>
        </is>
      </c>
      <c r="M6" s="336" t="inlineStr">
        <is>
          <t>นอก</t>
        </is>
      </c>
      <c r="N6" s="336" t="inlineStr">
        <is>
          <t>ต่อ ชม.</t>
        </is>
      </c>
      <c r="O6" s="336" t="inlineStr">
        <is>
          <t>(บาท)</t>
        </is>
      </c>
      <c r="P6" s="52" t="inlineStr">
        <is>
          <t>ใน</t>
        </is>
      </c>
      <c r="Q6" s="52" t="inlineStr">
        <is>
          <t>นอก</t>
        </is>
      </c>
      <c r="R6" s="336" t="inlineStr">
        <is>
          <t>ต่อ ชม.</t>
        </is>
      </c>
      <c r="S6" s="336" t="inlineStr">
        <is>
          <t>(บาท)</t>
        </is>
      </c>
      <c r="Y6" s="374" t="n"/>
      <c r="Z6" s="523" t="n">
        <v>4</v>
      </c>
      <c r="AA6" s="374" t="n"/>
      <c r="AB6" s="392" t="inlineStr">
        <is>
          <t>นายจักรกฤษณ์ ปัญญา</t>
        </is>
      </c>
      <c r="AD6" s="374" t="n"/>
      <c r="AE6" s="334" t="n">
        <v>12</v>
      </c>
      <c r="AG6" s="374" t="n"/>
      <c r="AH6" s="333" t="n">
        <v>2400</v>
      </c>
      <c r="AJ6" s="374" t="n"/>
    </row>
    <row r="7" ht="22.2" customHeight="1" s="375">
      <c r="A7" s="362" t="n">
        <v>1</v>
      </c>
      <c r="B7" s="528">
        <f>AB3</f>
        <v/>
      </c>
      <c r="C7" s="153" t="n"/>
      <c r="D7" s="135" t="n"/>
      <c r="E7" s="362" t="inlineStr">
        <is>
          <t>ครู</t>
        </is>
      </c>
      <c r="F7" s="5" t="n">
        <v>4</v>
      </c>
      <c r="G7" s="529" t="inlineStr">
        <is>
          <t>จันทร์</t>
        </is>
      </c>
      <c r="H7" s="376" t="inlineStr">
        <is>
          <t>20101-2018</t>
        </is>
      </c>
      <c r="I7" s="376" t="inlineStr">
        <is>
          <t>ชย.3/3 (26)</t>
        </is>
      </c>
      <c r="J7" s="334" t="inlineStr">
        <is>
          <t>17:10 - 21:10</t>
        </is>
      </c>
      <c r="K7" s="374" t="n"/>
      <c r="L7" s="367" t="n">
        <v>4</v>
      </c>
      <c r="M7" s="367" t="inlineStr"/>
      <c r="N7" s="381" t="inlineStr"/>
      <c r="O7" s="354" t="inlineStr"/>
      <c r="P7" s="381" t="inlineStr"/>
      <c r="Q7" s="367" t="inlineStr"/>
      <c r="R7" s="381" t="inlineStr"/>
      <c r="S7" s="354" t="inlineStr"/>
      <c r="T7" t="inlineStr"/>
      <c r="U7" t="inlineStr"/>
      <c r="Y7" s="314" t="n"/>
      <c r="Z7" s="523" t="n">
        <v>5</v>
      </c>
      <c r="AA7" s="374" t="n"/>
      <c r="AB7" s="392" t="inlineStr">
        <is>
          <t>นายพลกฤต น้อยเกิด</t>
        </is>
      </c>
      <c r="AD7" s="374" t="n"/>
      <c r="AE7" s="334" t="n">
        <v>12</v>
      </c>
      <c r="AG7" s="374" t="n"/>
      <c r="AH7" s="333" t="n">
        <v>2400</v>
      </c>
      <c r="AJ7" s="374" t="n"/>
    </row>
    <row r="8" ht="22.2" customHeight="1" s="375">
      <c r="A8" s="3" t="n"/>
      <c r="B8" s="530" t="n"/>
      <c r="D8" s="374" t="n"/>
      <c r="E8" s="334" t="n"/>
      <c r="F8" s="322" t="n"/>
      <c r="G8" s="531" t="inlineStr">
        <is>
          <t>5 ต.ค.69</t>
        </is>
      </c>
      <c r="H8" s="376" t="inlineStr"/>
      <c r="I8" s="376" t="inlineStr"/>
      <c r="J8" s="334" t="inlineStr"/>
      <c r="K8" s="374" t="n"/>
      <c r="L8" s="334" t="inlineStr"/>
      <c r="M8" s="334" t="inlineStr"/>
      <c r="N8" s="334" t="inlineStr"/>
      <c r="O8" s="354" t="inlineStr"/>
      <c r="P8" s="334" t="inlineStr"/>
      <c r="Q8" s="334" t="inlineStr"/>
      <c r="R8" s="334" t="inlineStr"/>
      <c r="S8" s="354" t="inlineStr"/>
      <c r="T8" t="inlineStr"/>
      <c r="U8" t="inlineStr"/>
      <c r="Z8" s="523" t="n">
        <v>6</v>
      </c>
      <c r="AA8" s="374" t="n"/>
      <c r="AB8" s="532" t="inlineStr">
        <is>
          <t>นายพงษ์พัฒน์ พิมพ์ปรุ</t>
        </is>
      </c>
      <c r="AD8" s="374" t="n"/>
      <c r="AE8" s="334" t="n">
        <v>12</v>
      </c>
      <c r="AG8" s="374" t="n"/>
      <c r="AH8" s="333" t="n">
        <v>2400</v>
      </c>
      <c r="AJ8" s="374" t="n"/>
    </row>
    <row r="9" ht="22.2" customHeight="1" s="375">
      <c r="A9" s="3" t="n"/>
      <c r="B9" s="313" t="n"/>
      <c r="D9" s="314" t="n"/>
      <c r="E9" s="314" t="n"/>
      <c r="F9" s="322" t="n"/>
      <c r="G9" s="321" t="inlineStr"/>
      <c r="H9" s="376" t="inlineStr"/>
      <c r="I9" s="376" t="inlineStr"/>
      <c r="J9" s="334" t="inlineStr"/>
      <c r="K9" s="374" t="n"/>
      <c r="L9" s="334" t="inlineStr"/>
      <c r="M9" s="334" t="inlineStr"/>
      <c r="N9" s="334" t="inlineStr"/>
      <c r="O9" s="354" t="inlineStr"/>
      <c r="P9" s="334" t="inlineStr"/>
      <c r="Q9" s="334" t="inlineStr"/>
      <c r="R9" s="334" t="inlineStr"/>
      <c r="S9" s="354" t="inlineStr"/>
      <c r="T9" s="383" t="inlineStr"/>
      <c r="Y9" s="62" t="n"/>
      <c r="Z9" s="523" t="n">
        <v>7</v>
      </c>
      <c r="AA9" s="374" t="n"/>
      <c r="AB9" s="532" t="inlineStr">
        <is>
          <t>นายพงศ์ศิริ ธรรมาวุฒิ</t>
        </is>
      </c>
      <c r="AD9" s="374" t="n"/>
      <c r="AE9" s="334" t="n">
        <v>12</v>
      </c>
      <c r="AG9" s="374" t="n"/>
      <c r="AH9" s="333" t="n">
        <v>2400</v>
      </c>
      <c r="AJ9" s="374" t="n"/>
    </row>
    <row r="10" ht="22.2" customHeight="1" s="375">
      <c r="A10" s="3" t="n"/>
      <c r="B10" s="313" t="n"/>
      <c r="E10" s="3" t="n"/>
      <c r="F10" s="322" t="n"/>
      <c r="G10" s="321" t="inlineStr"/>
      <c r="H10" s="334" t="inlineStr"/>
      <c r="I10" s="334" t="inlineStr"/>
      <c r="J10" s="334" t="inlineStr"/>
      <c r="K10" s="374" t="n"/>
      <c r="L10" s="334" t="inlineStr"/>
      <c r="M10" s="334" t="inlineStr"/>
      <c r="N10" s="334" t="inlineStr"/>
      <c r="O10" s="354" t="inlineStr"/>
      <c r="P10" s="334" t="inlineStr"/>
      <c r="Q10" s="334" t="inlineStr"/>
      <c r="R10" s="334" t="inlineStr"/>
      <c r="S10" s="354" t="inlineStr"/>
      <c r="T10" s="23" t="inlineStr"/>
      <c r="U10" s="23" t="inlineStr"/>
      <c r="V10" s="56" t="n"/>
      <c r="W10" s="23" t="n"/>
      <c r="X10" s="23" t="n"/>
      <c r="Y10" s="63" t="n"/>
      <c r="Z10" s="523" t="n">
        <v>8</v>
      </c>
      <c r="AA10" s="374" t="n"/>
      <c r="AB10" s="520" t="inlineStr">
        <is>
          <t>นายศุภเดช เมืองเงิน</t>
        </is>
      </c>
      <c r="AD10" s="374" t="n"/>
      <c r="AE10" s="334" t="n">
        <v>12</v>
      </c>
      <c r="AG10" s="374" t="n"/>
      <c r="AH10" s="333" t="n">
        <v>2400</v>
      </c>
      <c r="AJ10" s="374" t="n"/>
    </row>
    <row r="11" ht="22.2" customHeight="1" s="375">
      <c r="A11" s="3" t="n"/>
      <c r="D11" s="61" t="n"/>
      <c r="E11" s="3" t="n"/>
      <c r="G11" s="344" t="inlineStr"/>
      <c r="H11" s="336" t="inlineStr"/>
      <c r="I11" s="336" t="inlineStr"/>
      <c r="J11" s="336" t="inlineStr"/>
      <c r="K11" s="527" t="n"/>
      <c r="L11" s="334" t="inlineStr"/>
      <c r="M11" s="334" t="inlineStr"/>
      <c r="N11" s="334" t="inlineStr"/>
      <c r="O11" s="354" t="inlineStr"/>
      <c r="P11" s="334" t="inlineStr"/>
      <c r="Q11" s="334" t="inlineStr"/>
      <c r="R11" s="334" t="inlineStr"/>
      <c r="S11" s="354" t="inlineStr"/>
      <c r="T11" t="inlineStr"/>
      <c r="U11" t="inlineStr"/>
      <c r="W11" s="63" t="n"/>
      <c r="X11" s="63" t="n"/>
      <c r="Y11" s="351" t="n"/>
      <c r="Z11" s="523" t="n">
        <v>9</v>
      </c>
      <c r="AA11" s="374" t="n"/>
      <c r="AB11" s="532" t="inlineStr">
        <is>
          <t>นายณัฐพงศ์ จันทร์แดง</t>
        </is>
      </c>
      <c r="AD11" s="374" t="n"/>
      <c r="AE11" s="334" t="n">
        <v>12</v>
      </c>
      <c r="AG11" s="374" t="n"/>
      <c r="AH11" s="333" t="n">
        <v>2400</v>
      </c>
      <c r="AJ11" s="374" t="n"/>
    </row>
    <row r="12" ht="22.2" customHeight="1" s="375">
      <c r="A12" s="3" t="n"/>
      <c r="E12" s="3" t="n"/>
      <c r="G12" s="533" t="inlineStr">
        <is>
          <t>อังคาร</t>
        </is>
      </c>
      <c r="H12" s="376" t="inlineStr">
        <is>
          <t>20101-2010</t>
        </is>
      </c>
      <c r="I12" s="376" t="inlineStr">
        <is>
          <t>ชย.2/7 (26)</t>
        </is>
      </c>
      <c r="J12" s="381" t="inlineStr">
        <is>
          <t>08:10 - 12:10</t>
        </is>
      </c>
      <c r="K12" s="135" t="n"/>
      <c r="L12" s="381" t="n">
        <v>4</v>
      </c>
      <c r="M12" s="381" t="inlineStr"/>
      <c r="N12" s="381" t="inlineStr"/>
      <c r="O12" s="354" t="inlineStr"/>
      <c r="P12" s="381" t="inlineStr"/>
      <c r="Q12" s="367" t="inlineStr"/>
      <c r="R12" s="381" t="inlineStr"/>
      <c r="S12" s="354" t="inlineStr"/>
      <c r="T12" t="inlineStr"/>
      <c r="U12" t="inlineStr"/>
      <c r="W12" s="62" t="n"/>
      <c r="X12" s="62" t="n"/>
      <c r="Y12" s="62" t="n"/>
      <c r="Z12" s="523" t="n">
        <v>10</v>
      </c>
      <c r="AA12" s="374" t="n"/>
      <c r="AB12" s="390" t="inlineStr">
        <is>
          <t>นายมนตรี ทิมสุข</t>
        </is>
      </c>
      <c r="AE12" s="333" t="n">
        <v>12</v>
      </c>
      <c r="AG12" s="374" t="n"/>
      <c r="AH12" s="333" t="n">
        <v>2400</v>
      </c>
      <c r="AJ12" s="374" t="n"/>
    </row>
    <row r="13" ht="22.2" customHeight="1" s="375">
      <c r="A13" s="3" t="n"/>
      <c r="E13" s="3" t="n"/>
      <c r="G13" s="531" t="inlineStr">
        <is>
          <t>6 ต.ค.69</t>
        </is>
      </c>
      <c r="H13" s="376" t="inlineStr">
        <is>
          <t>20101-2010</t>
        </is>
      </c>
      <c r="I13" s="376" t="inlineStr">
        <is>
          <t>ชย.2/7 (26)</t>
        </is>
      </c>
      <c r="J13" s="334" t="inlineStr">
        <is>
          <t>13:10 - 16:10</t>
        </is>
      </c>
      <c r="K13" s="374" t="n"/>
      <c r="L13" s="334" t="n">
        <v>3</v>
      </c>
      <c r="M13" s="334" t="inlineStr"/>
      <c r="N13" s="334" t="inlineStr"/>
      <c r="O13" s="354" t="inlineStr"/>
      <c r="P13" s="334" t="inlineStr"/>
      <c r="Q13" s="334" t="inlineStr"/>
      <c r="R13" s="334" t="inlineStr"/>
      <c r="S13" s="354" t="inlineStr"/>
      <c r="T13" t="inlineStr"/>
      <c r="U13" t="inlineStr"/>
      <c r="W13" s="62" t="n"/>
      <c r="X13" s="62" t="n"/>
      <c r="Y13" s="62" t="n"/>
      <c r="Z13" s="523" t="n">
        <v>11</v>
      </c>
      <c r="AA13" s="374" t="n"/>
      <c r="AB13" s="390" t="inlineStr">
        <is>
          <t>นางสาวจิราพร พิมเสน</t>
        </is>
      </c>
      <c r="AE13" s="333" t="n">
        <v>12</v>
      </c>
      <c r="AG13" s="374" t="n"/>
      <c r="AH13" s="333" t="n">
        <v>2400</v>
      </c>
      <c r="AJ13" s="374" t="n"/>
    </row>
    <row r="14" ht="22.2" customHeight="1" s="375">
      <c r="A14" s="3" t="n"/>
      <c r="B14" s="313" t="n"/>
      <c r="D14" s="314" t="n"/>
      <c r="E14" s="314" t="n"/>
      <c r="G14" s="334" t="inlineStr"/>
      <c r="H14" s="376" t="inlineStr">
        <is>
          <t>20101-2018</t>
        </is>
      </c>
      <c r="I14" s="376" t="inlineStr">
        <is>
          <t>ชย.3/3 (26)</t>
        </is>
      </c>
      <c r="J14" s="334" t="inlineStr">
        <is>
          <t>17:10 - 20:10</t>
        </is>
      </c>
      <c r="K14" s="374" t="n"/>
      <c r="L14" s="334" t="n">
        <v>3</v>
      </c>
      <c r="M14" s="334" t="inlineStr"/>
      <c r="N14" s="334" t="inlineStr"/>
      <c r="O14" s="354" t="inlineStr"/>
      <c r="P14" s="334" t="inlineStr"/>
      <c r="Q14" s="334" t="inlineStr"/>
      <c r="R14" s="334" t="inlineStr"/>
      <c r="S14" s="354" t="inlineStr"/>
      <c r="T14" t="inlineStr"/>
      <c r="U14" t="inlineStr"/>
      <c r="Y14" s="62" t="n"/>
      <c r="Z14" s="523" t="n">
        <v>12</v>
      </c>
      <c r="AA14" s="374" t="n"/>
      <c r="AB14" s="534" t="inlineStr">
        <is>
          <t>นายสมชาย อุประ</t>
        </is>
      </c>
      <c r="AD14" s="374" t="n"/>
      <c r="AE14" s="333" t="n">
        <v>12</v>
      </c>
      <c r="AG14" s="374" t="n"/>
      <c r="AH14" s="333" t="n">
        <v>2400</v>
      </c>
      <c r="AJ14" s="374" t="n"/>
    </row>
    <row r="15" ht="22.2" customHeight="1" s="375">
      <c r="A15" s="3" t="n"/>
      <c r="E15" s="3" t="n"/>
      <c r="G15" s="54" t="inlineStr"/>
      <c r="H15" s="322" t="inlineStr"/>
      <c r="I15" s="334" t="inlineStr"/>
      <c r="J15" s="334" t="inlineStr"/>
      <c r="K15" s="374" t="n"/>
      <c r="L15" s="334" t="inlineStr"/>
      <c r="M15" s="334" t="inlineStr"/>
      <c r="N15" s="334" t="inlineStr"/>
      <c r="O15" s="354" t="inlineStr"/>
      <c r="P15" s="334" t="inlineStr"/>
      <c r="Q15" s="334" t="inlineStr"/>
      <c r="R15" s="334" t="inlineStr"/>
      <c r="S15" s="354" t="inlineStr"/>
      <c r="T15" t="inlineStr"/>
      <c r="U15" t="inlineStr"/>
      <c r="W15" s="62" t="n"/>
      <c r="X15" s="62" t="n"/>
      <c r="Y15" s="62" t="n"/>
      <c r="Z15" s="523" t="n">
        <v>13</v>
      </c>
      <c r="AA15" s="374" t="n"/>
      <c r="AB15" s="534" t="inlineStr">
        <is>
          <t>นายสถาปนิก คุ้มสะอาด</t>
        </is>
      </c>
      <c r="AD15" s="374" t="n"/>
      <c r="AE15" s="333" t="n">
        <v>12</v>
      </c>
      <c r="AG15" s="374" t="n"/>
      <c r="AH15" s="333" t="n">
        <v>2400</v>
      </c>
      <c r="AJ15" s="374" t="n"/>
    </row>
    <row r="16" ht="22.2" customHeight="1" s="375">
      <c r="A16" s="3" t="n"/>
      <c r="D16" s="7" t="inlineStr">
        <is>
          <t> </t>
        </is>
      </c>
      <c r="E16" s="3" t="n"/>
      <c r="G16" s="55" t="inlineStr"/>
      <c r="H16" s="336" t="inlineStr"/>
      <c r="I16" s="336" t="inlineStr"/>
      <c r="J16" s="336" t="inlineStr"/>
      <c r="K16" s="527" t="n"/>
      <c r="L16" s="334" t="inlineStr"/>
      <c r="M16" s="334" t="inlineStr"/>
      <c r="N16" s="334" t="inlineStr"/>
      <c r="O16" s="354" t="inlineStr"/>
      <c r="P16" s="334" t="inlineStr"/>
      <c r="Q16" s="334" t="inlineStr"/>
      <c r="R16" s="334" t="inlineStr"/>
      <c r="S16" s="354" t="inlineStr"/>
      <c r="T16" t="inlineStr"/>
      <c r="U16" t="inlineStr"/>
      <c r="Y16" s="62" t="n"/>
      <c r="Z16" s="523" t="n"/>
      <c r="AA16" s="374" t="n"/>
      <c r="AB16" s="532" t="n"/>
      <c r="AD16" s="374" t="n"/>
      <c r="AE16" s="333" t="n"/>
      <c r="AG16" s="374" t="n"/>
      <c r="AH16" s="333" t="n"/>
      <c r="AJ16" s="374" t="n"/>
    </row>
    <row r="17" ht="22.2" customHeight="1" s="375">
      <c r="A17" s="3" t="n"/>
      <c r="E17" s="3" t="n"/>
      <c r="G17" s="535" t="inlineStr">
        <is>
          <t>พุธ</t>
        </is>
      </c>
      <c r="H17" s="376" t="inlineStr">
        <is>
          <t>20101-2010</t>
        </is>
      </c>
      <c r="I17" s="376" t="inlineStr">
        <is>
          <t>ชย.2/6 (26)</t>
        </is>
      </c>
      <c r="J17" s="381" t="inlineStr">
        <is>
          <t>08:10 - 12:10</t>
        </is>
      </c>
      <c r="K17" s="135" t="n"/>
      <c r="L17" s="367" t="n">
        <v>2</v>
      </c>
      <c r="M17" s="381" t="n">
        <v>2</v>
      </c>
      <c r="N17" s="381" t="n">
        <v>200</v>
      </c>
      <c r="O17" s="354">
        <f>M17*N17</f>
        <v/>
      </c>
      <c r="P17" s="381" t="inlineStr"/>
      <c r="Q17" s="367" t="inlineStr"/>
      <c r="R17" s="381" t="inlineStr"/>
      <c r="S17" s="354" t="inlineStr"/>
      <c r="T17" t="inlineStr"/>
      <c r="U17" t="inlineStr"/>
      <c r="Y17" s="62" t="n"/>
      <c r="Z17" s="523" t="n"/>
      <c r="AA17" s="374" t="n"/>
      <c r="AB17" s="532" t="n"/>
      <c r="AD17" s="374" t="n"/>
      <c r="AE17" s="333" t="n"/>
      <c r="AG17" s="374" t="n"/>
      <c r="AH17" s="333" t="n"/>
      <c r="AJ17" s="374" t="n"/>
    </row>
    <row r="18" ht="22.2" customHeight="1" s="375">
      <c r="A18" s="3" t="n"/>
      <c r="B18" s="321" t="n"/>
      <c r="C18" s="322" t="n"/>
      <c r="D18" s="322" t="n"/>
      <c r="E18" s="334" t="n"/>
      <c r="G18" s="531" t="inlineStr">
        <is>
          <t>7 ต.ค.69</t>
        </is>
      </c>
      <c r="H18" s="376" t="inlineStr">
        <is>
          <t>20101-2010</t>
        </is>
      </c>
      <c r="I18" s="376" t="inlineStr">
        <is>
          <t>ชย.2/6 (26)</t>
        </is>
      </c>
      <c r="J18" s="334" t="inlineStr">
        <is>
          <t>13:10 - 16:10</t>
        </is>
      </c>
      <c r="K18" s="374" t="n"/>
      <c r="L18" s="334" t="inlineStr"/>
      <c r="M18" s="334" t="n">
        <v>3</v>
      </c>
      <c r="N18" s="334" t="n">
        <v>200</v>
      </c>
      <c r="O18" s="354">
        <f>M18*N18</f>
        <v/>
      </c>
      <c r="P18" s="334" t="inlineStr"/>
      <c r="Q18" s="334" t="inlineStr"/>
      <c r="R18" s="334" t="inlineStr"/>
      <c r="S18" s="354" t="inlineStr"/>
      <c r="T18" t="inlineStr"/>
      <c r="U18" t="inlineStr"/>
      <c r="W18" s="62" t="n"/>
      <c r="X18" s="62" t="n"/>
      <c r="Z18" s="523" t="n"/>
      <c r="AA18" s="374" t="n"/>
      <c r="AB18" s="520" t="n"/>
      <c r="AD18" s="374" t="n"/>
      <c r="AE18" s="333" t="n"/>
      <c r="AG18" s="374" t="n"/>
      <c r="AH18" s="333" t="n"/>
      <c r="AJ18" s="374" t="n"/>
    </row>
    <row r="19" ht="22.2" customHeight="1" s="375">
      <c r="A19" s="3" t="n"/>
      <c r="B19" s="313" t="n"/>
      <c r="D19" s="314" t="n"/>
      <c r="E19" s="314" t="n"/>
      <c r="G19" s="334" t="inlineStr"/>
      <c r="H19" s="376" t="inlineStr"/>
      <c r="I19" s="376" t="inlineStr"/>
      <c r="J19" s="334" t="inlineStr"/>
      <c r="K19" s="374" t="n"/>
      <c r="L19" s="334" t="inlineStr"/>
      <c r="M19" s="334" t="inlineStr"/>
      <c r="N19" s="334" t="inlineStr"/>
      <c r="O19" s="354" t="inlineStr"/>
      <c r="P19" s="334" t="inlineStr"/>
      <c r="Q19" s="334" t="inlineStr"/>
      <c r="R19" s="334" t="inlineStr"/>
      <c r="S19" s="354" t="inlineStr"/>
      <c r="T19" s="383" t="inlineStr"/>
      <c r="Z19" s="523" t="n"/>
      <c r="AA19" s="374" t="n"/>
      <c r="AB19" s="520" t="n"/>
      <c r="AD19" s="374" t="n"/>
      <c r="AE19" s="333" t="n"/>
      <c r="AG19" s="374" t="n"/>
      <c r="AH19" s="333" t="n"/>
      <c r="AJ19" s="374" t="n"/>
    </row>
    <row r="20" ht="22.2" customHeight="1" s="375">
      <c r="A20" s="3" t="n"/>
      <c r="E20" s="3" t="n"/>
      <c r="G20" s="321" t="inlineStr"/>
      <c r="H20" s="321" t="inlineStr"/>
      <c r="I20" s="376" t="inlineStr"/>
      <c r="J20" s="334" t="inlineStr"/>
      <c r="K20" s="374" t="n"/>
      <c r="L20" s="334" t="inlineStr"/>
      <c r="M20" s="334" t="inlineStr"/>
      <c r="N20" s="334" t="inlineStr"/>
      <c r="O20" s="354" t="inlineStr"/>
      <c r="P20" s="334" t="inlineStr"/>
      <c r="Q20" s="334" t="inlineStr"/>
      <c r="R20" s="334" t="inlineStr"/>
      <c r="S20" s="354" t="inlineStr"/>
      <c r="T20" s="23" t="inlineStr"/>
      <c r="U20" s="23" t="inlineStr"/>
      <c r="V20" s="56" t="n"/>
      <c r="W20" s="23" t="n"/>
      <c r="X20" s="23" t="n"/>
      <c r="Y20" s="322" t="n"/>
      <c r="Z20" s="523" t="n"/>
      <c r="AA20" s="374" t="n"/>
      <c r="AB20" s="520" t="n"/>
      <c r="AD20" s="374" t="n"/>
      <c r="AE20" s="333" t="n"/>
      <c r="AG20" s="374" t="n"/>
      <c r="AH20" s="333" t="n"/>
      <c r="AJ20" s="374" t="n"/>
    </row>
    <row r="21" ht="22.2" customHeight="1" s="375">
      <c r="A21" s="3" t="n"/>
      <c r="E21" s="3" t="n"/>
      <c r="G21" s="327" t="inlineStr"/>
      <c r="H21" s="327" t="inlineStr"/>
      <c r="I21" s="336" t="inlineStr"/>
      <c r="J21" s="336" t="inlineStr"/>
      <c r="K21" s="527" t="n"/>
      <c r="L21" s="336" t="inlineStr"/>
      <c r="M21" s="336" t="inlineStr"/>
      <c r="N21" s="336" t="inlineStr"/>
      <c r="O21" s="354" t="inlineStr"/>
      <c r="P21" s="336" t="inlineStr"/>
      <c r="Q21" s="336" t="inlineStr"/>
      <c r="R21" s="336" t="inlineStr"/>
      <c r="S21" s="354" t="inlineStr"/>
      <c r="T21" t="inlineStr"/>
      <c r="U21" t="inlineStr"/>
      <c r="Y21" s="322" t="n"/>
      <c r="Z21" s="523" t="n"/>
      <c r="AA21" s="374" t="n"/>
      <c r="AB21" s="532" t="n"/>
      <c r="AD21" s="374" t="n"/>
      <c r="AE21" s="333" t="n"/>
      <c r="AG21" s="374" t="n"/>
      <c r="AH21" s="333" t="n"/>
      <c r="AJ21" s="374" t="n"/>
    </row>
    <row r="22" ht="22.2" customHeight="1" s="375">
      <c r="A22" s="3" t="n"/>
      <c r="E22" s="3" t="n"/>
      <c r="G22" s="533" t="inlineStr">
        <is>
          <t>พฤหัส</t>
        </is>
      </c>
      <c r="H22" s="376" t="inlineStr">
        <is>
          <t>20101-2010</t>
        </is>
      </c>
      <c r="I22" s="376" t="inlineStr">
        <is>
          <t>ชย.2/5 (26)</t>
        </is>
      </c>
      <c r="J22" s="381" t="inlineStr">
        <is>
          <t>08:10 - 12:10</t>
        </is>
      </c>
      <c r="K22" s="135" t="n"/>
      <c r="L22" s="334" t="inlineStr"/>
      <c r="M22" s="334" t="n">
        <v>4</v>
      </c>
      <c r="N22" s="334" t="n">
        <v>200</v>
      </c>
      <c r="O22" s="354">
        <f>M22*N22</f>
        <v/>
      </c>
      <c r="P22" s="381" t="inlineStr"/>
      <c r="Q22" s="367" t="inlineStr"/>
      <c r="R22" s="381" t="inlineStr"/>
      <c r="S22" s="354" t="inlineStr"/>
      <c r="T22" t="inlineStr"/>
      <c r="U22" t="inlineStr"/>
      <c r="Y22" s="322" t="n"/>
      <c r="Z22" s="523" t="n"/>
      <c r="AA22" s="374" t="n"/>
      <c r="AB22" s="532" t="n"/>
      <c r="AD22" s="374" t="n"/>
      <c r="AE22" s="333" t="n"/>
      <c r="AG22" s="374" t="n"/>
      <c r="AH22" s="333" t="n"/>
      <c r="AJ22" s="374" t="n"/>
    </row>
    <row r="23" ht="22.2" customHeight="1" s="375">
      <c r="A23" s="3" t="n"/>
      <c r="E23" s="3" t="n"/>
      <c r="G23" s="531" t="inlineStr">
        <is>
          <t>8 ต.ค.69</t>
        </is>
      </c>
      <c r="H23" s="376" t="inlineStr">
        <is>
          <t>20101-2010</t>
        </is>
      </c>
      <c r="I23" s="376" t="inlineStr">
        <is>
          <t>ชย.2/5 (26)</t>
        </is>
      </c>
      <c r="J23" s="334" t="inlineStr">
        <is>
          <t>15:10 - 18:10</t>
        </is>
      </c>
      <c r="K23" s="374" t="n"/>
      <c r="L23" s="334" t="inlineStr"/>
      <c r="M23" s="334" t="n">
        <v>3</v>
      </c>
      <c r="N23" s="334" t="n">
        <v>200</v>
      </c>
      <c r="O23" s="354">
        <f>M23*N23</f>
        <v/>
      </c>
      <c r="P23" s="334" t="inlineStr"/>
      <c r="Q23" s="334" t="inlineStr"/>
      <c r="R23" s="334" t="inlineStr"/>
      <c r="S23" s="354" t="inlineStr"/>
      <c r="T23" t="inlineStr"/>
      <c r="U23" s="322" t="inlineStr"/>
      <c r="V23" s="322" t="n"/>
      <c r="W23" s="322" t="n"/>
      <c r="X23" s="322" t="n"/>
      <c r="Y23" s="322" t="n"/>
      <c r="Z23" s="523" t="n"/>
      <c r="AA23" s="374" t="n"/>
      <c r="AB23" s="532" t="n"/>
      <c r="AD23" s="374" t="n"/>
      <c r="AE23" s="333" t="n"/>
      <c r="AG23" s="374" t="n"/>
      <c r="AH23" s="333" t="n"/>
      <c r="AJ23" s="374" t="n"/>
    </row>
    <row r="24" ht="22.2" customHeight="1" s="375">
      <c r="A24" s="3" t="n"/>
      <c r="B24" s="313" t="n"/>
      <c r="E24" s="3" t="n"/>
      <c r="G24" s="334" t="inlineStr"/>
      <c r="H24" s="376" t="inlineStr"/>
      <c r="I24" s="376" t="inlineStr"/>
      <c r="J24" s="334" t="inlineStr"/>
      <c r="K24" s="374" t="n"/>
      <c r="L24" s="376" t="inlineStr"/>
      <c r="M24" s="376" t="inlineStr"/>
      <c r="N24" s="376" t="inlineStr"/>
      <c r="O24" s="354" t="inlineStr"/>
      <c r="P24" s="334" t="inlineStr"/>
      <c r="Q24" s="334" t="inlineStr"/>
      <c r="R24" s="334" t="inlineStr"/>
      <c r="S24" s="354" t="inlineStr"/>
      <c r="T24" t="inlineStr"/>
      <c r="U24" t="inlineStr"/>
      <c r="Y24" s="322" t="n"/>
      <c r="Z24" s="523" t="n"/>
      <c r="AA24" s="374" t="n"/>
      <c r="AB24" s="532" t="n"/>
      <c r="AD24" s="374" t="n"/>
      <c r="AE24" s="333" t="n"/>
      <c r="AG24" s="374" t="n"/>
      <c r="AH24" s="333" t="n"/>
      <c r="AJ24" s="374" t="n"/>
    </row>
    <row r="25" ht="22.2" customHeight="1" s="375">
      <c r="A25" s="3" t="n"/>
      <c r="E25" s="3" t="n"/>
      <c r="G25" s="334" t="inlineStr"/>
      <c r="H25" s="376" t="inlineStr"/>
      <c r="I25" s="376" t="inlineStr"/>
      <c r="J25" s="334" t="inlineStr"/>
      <c r="K25" s="374" t="n"/>
      <c r="L25" s="334" t="inlineStr"/>
      <c r="M25" s="334" t="inlineStr"/>
      <c r="N25" s="334" t="inlineStr"/>
      <c r="O25" s="354" t="inlineStr"/>
      <c r="P25" s="334" t="inlineStr"/>
      <c r="Q25" s="334" t="inlineStr"/>
      <c r="R25" s="334" t="inlineStr"/>
      <c r="S25" s="354" t="inlineStr"/>
      <c r="T25" t="inlineStr"/>
      <c r="U25" t="inlineStr"/>
      <c r="Y25" s="322" t="n"/>
      <c r="Z25" s="523" t="n"/>
      <c r="AA25" s="374" t="n"/>
      <c r="AB25" s="532" t="n"/>
      <c r="AD25" s="374" t="n"/>
      <c r="AE25" s="333" t="n"/>
      <c r="AG25" s="374" t="n"/>
      <c r="AH25" s="333" t="n"/>
      <c r="AJ25" s="374" t="n"/>
    </row>
    <row r="26" ht="22.2" customHeight="1" s="375">
      <c r="A26" s="3" t="n"/>
      <c r="E26" s="3" t="n"/>
      <c r="G26" s="336" t="inlineStr"/>
      <c r="H26" s="328" t="inlineStr"/>
      <c r="I26" s="336" t="inlineStr"/>
      <c r="J26" s="336" t="inlineStr"/>
      <c r="K26" s="527" t="n"/>
      <c r="L26" s="336" t="inlineStr"/>
      <c r="M26" s="336" t="inlineStr"/>
      <c r="N26" s="336" t="inlineStr"/>
      <c r="O26" s="354" t="inlineStr"/>
      <c r="P26" s="336" t="inlineStr"/>
      <c r="Q26" s="336" t="inlineStr"/>
      <c r="R26" s="336" t="inlineStr"/>
      <c r="S26" s="354" t="inlineStr"/>
      <c r="T26" t="inlineStr"/>
      <c r="U26" t="inlineStr"/>
      <c r="Y26" s="322" t="n"/>
      <c r="Z26" s="523" t="n"/>
      <c r="AA26" s="374" t="n"/>
      <c r="AB26" s="536" t="n"/>
      <c r="AD26" s="374" t="n"/>
      <c r="AE26" s="333" t="n"/>
      <c r="AG26" s="374" t="n"/>
      <c r="AH26" s="333" t="n"/>
      <c r="AJ26" s="374" t="n"/>
    </row>
    <row r="27" ht="22.2" customHeight="1" s="375">
      <c r="A27" s="3" t="n"/>
      <c r="E27" s="3" t="n"/>
      <c r="G27" s="533" t="inlineStr">
        <is>
          <t>ศุกร์</t>
        </is>
      </c>
      <c r="H27" s="376" t="inlineStr"/>
      <c r="I27" s="376" t="inlineStr"/>
      <c r="J27" s="381" t="inlineStr"/>
      <c r="K27" s="135" t="n"/>
      <c r="L27" s="334" t="inlineStr"/>
      <c r="M27" s="381" t="inlineStr"/>
      <c r="N27" s="381" t="inlineStr"/>
      <c r="O27" s="354" t="inlineStr"/>
      <c r="P27" s="381" t="inlineStr"/>
      <c r="Q27" s="367" t="inlineStr"/>
      <c r="R27" s="381" t="inlineStr"/>
      <c r="S27" s="354" t="inlineStr"/>
      <c r="T27" t="inlineStr"/>
      <c r="U27" t="inlineStr"/>
      <c r="W27" s="322" t="n"/>
      <c r="X27" s="322" t="n"/>
      <c r="Y27" s="322" t="n"/>
      <c r="Z27" s="334" t="n"/>
      <c r="AA27" s="374" t="n"/>
      <c r="AB27" s="532" t="n"/>
      <c r="AD27" s="374" t="n"/>
      <c r="AE27" s="333" t="n"/>
      <c r="AG27" s="374" t="n"/>
      <c r="AH27" s="333" t="n"/>
      <c r="AJ27" s="374" t="n"/>
    </row>
    <row r="28" ht="22.2" customHeight="1" s="375">
      <c r="A28" s="3" t="n"/>
      <c r="E28" s="3" t="n"/>
      <c r="G28" s="531" t="inlineStr">
        <is>
          <t>9 ต.ค.69</t>
        </is>
      </c>
      <c r="H28" s="376" t="inlineStr"/>
      <c r="I28" s="376" t="inlineStr"/>
      <c r="J28" s="334" t="inlineStr"/>
      <c r="K28" s="374" t="n"/>
      <c r="L28" s="334" t="inlineStr"/>
      <c r="M28" s="334" t="inlineStr"/>
      <c r="N28" s="334" t="inlineStr"/>
      <c r="O28" s="354" t="inlineStr"/>
      <c r="P28" s="334" t="inlineStr"/>
      <c r="Q28" s="334" t="inlineStr"/>
      <c r="R28" s="334" t="inlineStr"/>
      <c r="S28" s="354" t="inlineStr"/>
      <c r="T28" s="322" t="inlineStr"/>
      <c r="U28" s="322" t="inlineStr"/>
      <c r="V28" s="322" t="n"/>
      <c r="W28" s="322" t="n"/>
      <c r="X28" s="322" t="n"/>
      <c r="Y28" s="323" t="n"/>
      <c r="Z28" s="334" t="n"/>
      <c r="AA28" s="374" t="n"/>
      <c r="AB28" s="532" t="n"/>
      <c r="AD28" s="374" t="n"/>
      <c r="AE28" s="333" t="n"/>
      <c r="AG28" s="374" t="n"/>
      <c r="AH28" s="333" t="n"/>
      <c r="AJ28" s="374" t="n"/>
    </row>
    <row r="29" ht="22.2" customHeight="1" s="375">
      <c r="A29" s="3" t="n"/>
      <c r="E29" s="3" t="n"/>
      <c r="G29" s="334" t="inlineStr"/>
      <c r="H29" s="334" t="inlineStr"/>
      <c r="I29" s="334" t="inlineStr"/>
      <c r="J29" s="334" t="inlineStr"/>
      <c r="K29" s="374" t="n"/>
      <c r="L29" s="334" t="inlineStr"/>
      <c r="M29" s="334" t="inlineStr"/>
      <c r="N29" s="334" t="inlineStr"/>
      <c r="O29" s="354" t="inlineStr"/>
      <c r="P29" s="334" t="inlineStr"/>
      <c r="Q29" s="334" t="inlineStr"/>
      <c r="R29" s="334" t="inlineStr"/>
      <c r="S29" s="354" t="inlineStr"/>
      <c r="T29" s="6" t="inlineStr"/>
      <c r="U29" s="22" t="inlineStr"/>
      <c r="V29" s="57" t="n"/>
      <c r="W29" s="21" t="n"/>
      <c r="X29" s="21" t="n"/>
      <c r="Y29" s="314" t="n"/>
      <c r="Z29" s="334" t="n"/>
      <c r="AA29" s="374" t="n"/>
      <c r="AB29" s="390" t="n"/>
      <c r="AE29" s="333" t="n"/>
      <c r="AG29" s="374" t="n"/>
      <c r="AH29" s="333" t="n"/>
      <c r="AJ29" s="374" t="n"/>
    </row>
    <row r="30" ht="22.2" customHeight="1" s="375">
      <c r="A30" s="3" t="n"/>
      <c r="E30" s="3" t="n"/>
      <c r="G30" s="334" t="inlineStr"/>
      <c r="H30" s="334" t="inlineStr"/>
      <c r="I30" s="334" t="inlineStr"/>
      <c r="J30" s="334" t="inlineStr"/>
      <c r="K30" s="374" t="n"/>
      <c r="L30" s="334" t="inlineStr"/>
      <c r="M30" s="334" t="inlineStr"/>
      <c r="N30" s="334" t="inlineStr"/>
      <c r="O30" s="354" t="inlineStr"/>
      <c r="P30" s="334" t="inlineStr"/>
      <c r="Q30" s="334" t="inlineStr"/>
      <c r="R30" s="334" t="inlineStr"/>
      <c r="S30" s="354" t="inlineStr"/>
      <c r="T30" s="21" t="inlineStr"/>
      <c r="U30" s="22" t="inlineStr"/>
      <c r="V30" s="57" t="n"/>
      <c r="W30" s="21" t="n"/>
      <c r="X30" s="21" t="n"/>
      <c r="Y30" s="314" t="n"/>
      <c r="Z30" s="336" t="n"/>
      <c r="AA30" s="527" t="n"/>
      <c r="AB30" s="537" t="n"/>
      <c r="AC30" s="522" t="n"/>
      <c r="AD30" s="527" t="n"/>
      <c r="AE30" s="333" t="n"/>
      <c r="AG30" s="374" t="n"/>
      <c r="AH30" s="335" t="n"/>
      <c r="AI30" s="522" t="n"/>
      <c r="AJ30" s="527" t="n"/>
    </row>
    <row r="31" ht="22.2" customHeight="1" s="375">
      <c r="A31" s="3" t="n"/>
      <c r="E31" s="3" t="n"/>
      <c r="F31" s="3" t="n"/>
      <c r="G31" s="329" t="inlineStr"/>
      <c r="H31" s="328" t="inlineStr"/>
      <c r="I31" s="336" t="inlineStr"/>
      <c r="J31" s="336" t="inlineStr"/>
      <c r="K31" s="527" t="n"/>
      <c r="L31" s="336" t="inlineStr"/>
      <c r="M31" s="336" t="inlineStr"/>
      <c r="N31" s="336" t="inlineStr"/>
      <c r="O31" s="354" t="inlineStr"/>
      <c r="P31" s="336" t="inlineStr"/>
      <c r="Q31" s="336" t="inlineStr"/>
      <c r="R31" s="336" t="inlineStr"/>
      <c r="S31" s="354" t="inlineStr"/>
      <c r="T31" t="inlineStr"/>
      <c r="U31" t="inlineStr"/>
      <c r="AE31" s="153" t="n"/>
      <c r="AF31" s="153" t="n"/>
      <c r="AG31" s="153" t="n"/>
    </row>
    <row r="32" ht="22.2" customHeight="1" s="375">
      <c r="A32" s="3" t="n"/>
      <c r="E32" s="3" t="n"/>
      <c r="F32" s="3" t="n"/>
      <c r="G32" s="16" t="inlineStr">
        <is>
          <t>รวมขั่วโมงที่สอนแยก ภาระงาน/ เกินภาระงาน</t>
        </is>
      </c>
      <c r="H32" s="518" t="n"/>
      <c r="I32" s="518" t="n"/>
      <c r="J32" s="518" t="n"/>
      <c r="K32" s="432" t="n"/>
      <c r="L32" s="16">
        <f>SUM(L7:L31)</f>
        <v/>
      </c>
      <c r="M32" s="16">
        <f>SUM(M7:M31)</f>
        <v/>
      </c>
      <c r="N32" s="16" t="n"/>
      <c r="O32" s="16" t="n"/>
      <c r="P32" s="16">
        <f>SUM(P7:P31)</f>
        <v/>
      </c>
      <c r="Q32" s="16">
        <f>SUM(Q7:Q31)</f>
        <v/>
      </c>
      <c r="R32" s="349" t="n"/>
      <c r="S32" s="16" t="n"/>
    </row>
    <row r="33" ht="22.2" customHeight="1" s="375">
      <c r="A33" s="3" t="n"/>
      <c r="E33" s="3" t="n"/>
      <c r="F33" s="3" t="n"/>
      <c r="G33" s="16" t="inlineStr">
        <is>
          <t>รวมจำนวนชั่วโมงสอนคาบต่อสับดาห์</t>
        </is>
      </c>
      <c r="H33" s="518" t="n"/>
      <c r="I33" s="518" t="n"/>
      <c r="J33" s="518" t="n"/>
      <c r="K33" s="432" t="n"/>
      <c r="L33" s="16">
        <f>L32+M32</f>
        <v/>
      </c>
      <c r="M33" s="432" t="n"/>
      <c r="N33" s="16" t="n"/>
      <c r="O33" s="348" t="n"/>
      <c r="P33" s="16">
        <f>P32+Q32</f>
        <v/>
      </c>
      <c r="Q33" s="432" t="n"/>
      <c r="R33" s="329" t="n"/>
      <c r="S33" s="336" t="n"/>
    </row>
    <row r="34" ht="22.2" customHeight="1" s="375">
      <c r="A34" s="3" t="n"/>
      <c r="E34" s="3" t="n"/>
      <c r="F34" s="3" t="n"/>
      <c r="G34" s="16" t="inlineStr">
        <is>
          <t>จำนวนชั่วโมงสอนตามภาระงานสอน</t>
        </is>
      </c>
      <c r="H34" s="518" t="n"/>
      <c r="I34" s="518" t="n"/>
      <c r="J34" s="518" t="n"/>
      <c r="K34" s="432" t="n"/>
      <c r="L34" s="131" t="n">
        <v>12</v>
      </c>
      <c r="M34" s="432" t="n"/>
      <c r="N34" s="131" t="n"/>
      <c r="O34" s="130" t="n"/>
      <c r="P34" s="131" t="n">
        <v>0</v>
      </c>
      <c r="Q34" s="432" t="n"/>
      <c r="R34" s="322" t="n"/>
      <c r="S34" s="334" t="n"/>
    </row>
    <row r="35" ht="22.2" customHeight="1" s="375" thickBot="1">
      <c r="A35" s="3" t="n"/>
      <c r="E35" s="3" t="n"/>
      <c r="F35" s="14" t="n"/>
      <c r="G35" s="16" t="inlineStr">
        <is>
          <t>จำนวนชั่วโมงบิกเกินภาระงานสอน/ค่าสอน</t>
        </is>
      </c>
      <c r="H35" s="518" t="n"/>
      <c r="I35" s="518" t="n"/>
      <c r="J35" s="518" t="n"/>
      <c r="K35" s="432" t="n"/>
      <c r="L35" s="17" t="n">
        <v>0</v>
      </c>
      <c r="M35" s="17">
        <f>SUM(M7:M31)</f>
        <v/>
      </c>
      <c r="N35" s="17" t="n"/>
      <c r="O35" s="17">
        <f>SUM(O7:O31)</f>
        <v/>
      </c>
      <c r="P35" s="17" t="n">
        <v>0</v>
      </c>
      <c r="Q35" s="17">
        <f>SUM(Q7:Q31)</f>
        <v/>
      </c>
      <c r="R35" s="18" t="n"/>
      <c r="S35" s="17">
        <f>SUM(S7:S31)</f>
        <v/>
      </c>
    </row>
    <row r="36" ht="22.2" customHeight="1" s="375" thickTop="1">
      <c r="A36" s="337" t="inlineStr">
        <is>
          <t>รวมจำนวนหน่วยชั่วโมงที่ขอเบิกค่าสอน ….</t>
        </is>
      </c>
      <c r="B36" s="518" t="n"/>
      <c r="C36" s="518" t="n"/>
      <c r="D36" s="518" t="n"/>
      <c r="E36" s="518" t="n"/>
      <c r="F36" s="518" t="n"/>
      <c r="G36" s="518" t="n"/>
      <c r="H36" s="348">
        <f>M35+Q35</f>
        <v/>
      </c>
      <c r="I36" s="348" t="inlineStr">
        <is>
          <t>….ชั่วโมง</t>
        </is>
      </c>
      <c r="J36" s="348" t="n"/>
      <c r="K36" s="328" t="inlineStr">
        <is>
          <t>ยอดเงินรวม</t>
        </is>
      </c>
      <c r="L36" s="522" t="n"/>
      <c r="M36" s="522" t="n"/>
      <c r="N36" s="328" t="n"/>
      <c r="O36" s="328" t="n"/>
      <c r="P36" s="339">
        <f>S35+O35</f>
        <v/>
      </c>
      <c r="Q36" s="538" t="n"/>
      <c r="R36" s="20" t="n"/>
      <c r="S36" s="19" t="inlineStr">
        <is>
          <t>..บาท</t>
        </is>
      </c>
    </row>
    <row r="37" ht="22.2" customHeight="1" s="375">
      <c r="A37" s="154" t="inlineStr">
        <is>
          <t>ผู้ขอเบิก</t>
        </is>
      </c>
      <c r="B37" s="153" t="n"/>
      <c r="C37" s="153" t="n"/>
      <c r="D37" s="153" t="n"/>
      <c r="E37" s="153" t="n"/>
      <c r="F37" s="153" t="n"/>
      <c r="G37" s="135" t="n"/>
      <c r="H37" s="154" t="inlineStr">
        <is>
          <t>ผู้รับรอง</t>
        </is>
      </c>
      <c r="I37" s="153" t="n"/>
      <c r="J37" s="153" t="n"/>
      <c r="K37" s="153" t="n"/>
      <c r="L37" s="135" t="n"/>
      <c r="M37" s="154" t="inlineStr">
        <is>
          <t>ผู้ตรวจ</t>
        </is>
      </c>
      <c r="N37" s="153" t="n"/>
      <c r="O37" s="153" t="n"/>
      <c r="P37" s="153" t="n"/>
      <c r="Q37" s="153" t="n"/>
      <c r="R37" s="153" t="n"/>
      <c r="S37" s="135" t="n"/>
    </row>
    <row r="38" ht="22.2" customHeight="1" s="375">
      <c r="A38" s="334" t="inlineStr">
        <is>
          <t>ลงชื่อ……………………………………………</t>
        </is>
      </c>
      <c r="G38" s="374" t="n"/>
      <c r="H38" s="334" t="inlineStr">
        <is>
          <t>ลงชื่อ……………………………………………</t>
        </is>
      </c>
      <c r="L38" s="374" t="n"/>
      <c r="M38" s="334" t="inlineStr">
        <is>
          <t>ลงชื่อ……………………………………………</t>
        </is>
      </c>
      <c r="S38" s="374" t="n"/>
    </row>
    <row r="39" ht="22.2" customHeight="1" s="375">
      <c r="A39" s="11" t="inlineStr">
        <is>
          <t>(</t>
        </is>
      </c>
      <c r="B39" s="324">
        <f>B7</f>
        <v/>
      </c>
      <c r="G39" s="326" t="inlineStr">
        <is>
          <t>)</t>
        </is>
      </c>
      <c r="H39" s="324" t="inlineStr">
        <is>
          <t>(</t>
        </is>
      </c>
      <c r="I39" s="340" t="inlineStr">
        <is>
          <t xml:space="preserve">  นายชำนาญ แก้วจงประสิทธิ์</t>
        </is>
      </c>
      <c r="L39" s="12" t="inlineStr">
        <is>
          <t>)</t>
        </is>
      </c>
      <c r="M39" s="53" t="inlineStr">
        <is>
          <t>(</t>
        </is>
      </c>
      <c r="N39" s="53" t="n"/>
      <c r="O39" s="324" t="inlineStr">
        <is>
          <t>นายทศวรรษ  คำสม</t>
        </is>
      </c>
      <c r="R39" s="25" t="n"/>
      <c r="S39" s="326" t="inlineStr">
        <is>
          <t>)</t>
        </is>
      </c>
    </row>
    <row r="40" ht="22.2" customHeight="1" s="375">
      <c r="A40" s="54" t="inlineStr">
        <is>
          <t>ตำแหน่ง  ครู</t>
        </is>
      </c>
      <c r="G40" s="374" t="n"/>
      <c r="H40" s="54" t="inlineStr">
        <is>
          <t>ตำแหน่ง หัวหน้าแผนก</t>
        </is>
      </c>
      <c r="L40" s="374" t="n"/>
      <c r="M40" s="54" t="inlineStr">
        <is>
          <t>ตำแหน่ง   ผู้ตรวจสอบ</t>
        </is>
      </c>
      <c r="S40" s="374" t="n"/>
    </row>
    <row r="41" ht="22.2" customHeight="1" s="375">
      <c r="A41" s="55" t="inlineStr">
        <is>
          <t>วันที่ 12 เดือน ตุลาคม  พ.ศ.2569</t>
        </is>
      </c>
      <c r="B41" s="522" t="n"/>
      <c r="C41" s="522" t="n"/>
      <c r="D41" s="522" t="n"/>
      <c r="E41" s="522" t="n"/>
      <c r="F41" s="522" t="n"/>
      <c r="G41" s="527" t="n"/>
      <c r="H41" s="54">
        <f>A41</f>
        <v/>
      </c>
      <c r="L41" s="374" t="n"/>
      <c r="M41" s="55">
        <f>A41</f>
        <v/>
      </c>
      <c r="N41" s="522" t="n"/>
      <c r="O41" s="522" t="n"/>
      <c r="P41" s="522" t="n"/>
      <c r="Q41" s="522" t="n"/>
      <c r="R41" s="522" t="n"/>
      <c r="S41" s="527" t="n"/>
    </row>
    <row r="42" ht="22.2" customHeight="1" s="375">
      <c r="A42" s="154" t="inlineStr">
        <is>
          <t>ผู้ตรวจ</t>
        </is>
      </c>
      <c r="B42" s="153" t="n"/>
      <c r="C42" s="153" t="n"/>
      <c r="D42" s="153" t="n"/>
      <c r="E42" s="153" t="n"/>
      <c r="F42" s="153" t="n"/>
      <c r="G42" s="153" t="n"/>
      <c r="H42" s="153" t="n"/>
      <c r="I42" s="135" t="n"/>
      <c r="J42" s="154" t="inlineStr">
        <is>
          <t>ผู้เห็นชอบ</t>
        </is>
      </c>
      <c r="K42" s="153" t="n"/>
      <c r="L42" s="153" t="n"/>
      <c r="M42" s="153" t="n"/>
      <c r="N42" s="153" t="n"/>
      <c r="O42" s="153" t="n"/>
      <c r="P42" s="153" t="n"/>
      <c r="Q42" s="153" t="n"/>
      <c r="R42" s="153" t="n"/>
      <c r="S42" s="135" t="n"/>
    </row>
    <row r="43" ht="22.2" customHeight="1" s="375">
      <c r="A43" s="334" t="inlineStr">
        <is>
          <t>ลงชื่อ……………………………………………</t>
        </is>
      </c>
      <c r="I43" s="374" t="n"/>
      <c r="J43" s="334" t="inlineStr">
        <is>
          <t>ลงชื่อ……………………………………………</t>
        </is>
      </c>
      <c r="S43" s="374" t="n"/>
    </row>
    <row r="44" ht="22.2" customHeight="1" s="375">
      <c r="A44" s="11" t="n"/>
      <c r="B44" s="324" t="inlineStr">
        <is>
          <t xml:space="preserve">                     (นายศิวรักษ์ บุญประเสริฐ)</t>
        </is>
      </c>
      <c r="I44" s="326" t="n"/>
      <c r="J44" s="25" t="n"/>
      <c r="K44" s="25" t="n"/>
      <c r="L44" s="324" t="inlineStr">
        <is>
          <t xml:space="preserve">            (นายฉัตรชัย งาหอม)</t>
        </is>
      </c>
      <c r="R44" s="25" t="n"/>
      <c r="S44" s="12" t="n"/>
    </row>
    <row r="45" ht="22.2" customHeight="1" s="375">
      <c r="A45" s="54" t="inlineStr">
        <is>
          <t>ตำแหน่งครู  หัวหน้างานพัฒนาหลักสูตร ฯ</t>
        </is>
      </c>
      <c r="I45" s="374" t="n"/>
      <c r="J45" s="54" t="inlineStr">
        <is>
          <t>ตำแหน่ง  รองผู้อำนวยการฝ่ายวิชาการ</t>
        </is>
      </c>
      <c r="S45" s="374" t="n"/>
    </row>
    <row r="46" ht="22.2" customHeight="1" s="375">
      <c r="A46" s="336" t="inlineStr">
        <is>
          <t>วันที่.......เดือน..........................พ.ศ..............</t>
        </is>
      </c>
      <c r="B46" s="522" t="n"/>
      <c r="C46" s="522" t="n"/>
      <c r="D46" s="522" t="n"/>
      <c r="E46" s="522" t="n"/>
      <c r="F46" s="522" t="n"/>
      <c r="G46" s="522" t="n"/>
      <c r="H46" s="522" t="n"/>
      <c r="I46" s="527" t="n"/>
      <c r="J46" s="336" t="inlineStr">
        <is>
          <t>วันที่.......เดือน..........................พ.ศ..............</t>
        </is>
      </c>
      <c r="K46" s="522" t="n"/>
      <c r="L46" s="522" t="n"/>
      <c r="M46" s="522" t="n"/>
      <c r="N46" s="522" t="n"/>
      <c r="O46" s="522" t="n"/>
      <c r="P46" s="522" t="n"/>
      <c r="Q46" s="522" t="n"/>
      <c r="R46" s="522" t="n"/>
      <c r="S46" s="527" t="n"/>
    </row>
    <row r="47" ht="22.2" customHeight="1" s="375">
      <c r="A47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48" ht="22.2" customHeight="1" s="375">
      <c r="A48" s="365" t="inlineStr">
        <is>
          <t>แผนกวิชาช่างยนต์</t>
        </is>
      </c>
      <c r="AB48" s="389" t="n"/>
    </row>
    <row r="49" ht="22.2" customHeight="1" s="375">
      <c r="A49" s="366" t="inlineStr">
        <is>
          <t xml:space="preserve">    ระหว่างวันที่</t>
        </is>
      </c>
      <c r="D49" s="365">
        <f>D3</f>
        <v/>
      </c>
      <c r="E49" s="365" t="inlineStr">
        <is>
          <t xml:space="preserve">   เดือน  </t>
        </is>
      </c>
      <c r="F49" s="365">
        <f>F3</f>
        <v/>
      </c>
      <c r="H49" s="365">
        <f>H3</f>
        <v/>
      </c>
      <c r="I49" s="365" t="inlineStr">
        <is>
          <t xml:space="preserve">     ถึง วันที่</t>
        </is>
      </c>
      <c r="J49" s="365">
        <f>J3</f>
        <v/>
      </c>
      <c r="K49" s="365" t="inlineStr">
        <is>
          <t xml:space="preserve">   เดือน </t>
        </is>
      </c>
      <c r="L49" s="365">
        <f>L3</f>
        <v/>
      </c>
      <c r="N49" s="365">
        <f>N3</f>
        <v/>
      </c>
      <c r="P49" s="365" t="n"/>
      <c r="R49" s="365" t="n"/>
      <c r="AB49" s="389" t="n"/>
    </row>
    <row r="50" ht="22.2" customHeight="1" s="375">
      <c r="G50" s="51" t="inlineStr">
        <is>
          <t>ü</t>
        </is>
      </c>
      <c r="H50" s="351" t="inlineStr">
        <is>
          <t>ครู</t>
        </is>
      </c>
      <c r="I50" s="322" t="inlineStr">
        <is>
          <t>หน้าที่พิเศษ</t>
        </is>
      </c>
      <c r="J50" s="382" t="inlineStr">
        <is>
          <t>หัวงานทวิภาคี</t>
        </is>
      </c>
      <c r="K50" s="522" t="n"/>
      <c r="L50" s="522" t="n"/>
      <c r="M50" s="522" t="n"/>
      <c r="N50" s="522" t="n"/>
      <c r="O50" s="522" t="n"/>
      <c r="P50" s="522" t="n"/>
      <c r="AB50" s="388" t="n"/>
    </row>
    <row r="51" ht="22.2" customHeight="1" s="375">
      <c r="A51" s="24" t="inlineStr">
        <is>
          <t>ที่</t>
        </is>
      </c>
      <c r="B51" s="24" t="inlineStr">
        <is>
          <t>ชื่อ-สกุล</t>
        </is>
      </c>
      <c r="C51" s="153" t="n"/>
      <c r="D51" s="135" t="n"/>
      <c r="E51" s="15" t="inlineStr">
        <is>
          <t>ตำแหน่ง</t>
        </is>
      </c>
      <c r="F51" s="16" t="inlineStr">
        <is>
          <t>ระยะเวลาที่สอน</t>
        </is>
      </c>
      <c r="G51" s="432" t="n"/>
      <c r="H51" s="16" t="inlineStr">
        <is>
          <t>รหัสวิชา</t>
        </is>
      </c>
      <c r="I51" s="362" t="inlineStr">
        <is>
          <t>ชั้น,แผนก,ห้อง</t>
        </is>
      </c>
      <c r="J51" s="16" t="inlineStr">
        <is>
          <t>เวลาสอน</t>
        </is>
      </c>
      <c r="K51" s="135" t="n"/>
      <c r="L51" s="16" t="inlineStr">
        <is>
          <t>ปวช.(คาบ)</t>
        </is>
      </c>
      <c r="M51" s="432" t="n"/>
      <c r="N51" s="362" t="inlineStr">
        <is>
          <t>เงิน</t>
        </is>
      </c>
      <c r="O51" s="362" t="inlineStr">
        <is>
          <t>ยอดเงิน</t>
        </is>
      </c>
      <c r="P51" s="524" t="inlineStr">
        <is>
          <t>ปวส.(คาบ)</t>
        </is>
      </c>
      <c r="Q51" s="432" t="n"/>
      <c r="R51" s="354" t="inlineStr">
        <is>
          <t>เงิน</t>
        </is>
      </c>
      <c r="S51" s="362" t="inlineStr">
        <is>
          <t>ยอดเงิน</t>
        </is>
      </c>
      <c r="AB51" s="389" t="n"/>
    </row>
    <row r="52" ht="22.2" customHeight="1" s="375">
      <c r="A52" s="52" t="n"/>
      <c r="B52" s="8" t="n"/>
      <c r="C52" s="9" t="n"/>
      <c r="D52" s="13" t="n"/>
      <c r="E52" s="10" t="n"/>
      <c r="F52" s="336" t="inlineStr">
        <is>
          <t>ส.</t>
        </is>
      </c>
      <c r="G52" s="336" t="inlineStr">
        <is>
          <t>วดป.</t>
        </is>
      </c>
      <c r="H52" s="525" t="n"/>
      <c r="I52" s="336" t="n"/>
      <c r="J52" s="526" t="n"/>
      <c r="K52" s="527" t="n"/>
      <c r="L52" s="336" t="inlineStr">
        <is>
          <t>ใน</t>
        </is>
      </c>
      <c r="M52" s="336" t="inlineStr">
        <is>
          <t>นอก</t>
        </is>
      </c>
      <c r="N52" s="336" t="inlineStr">
        <is>
          <t>ต่อ ชม.</t>
        </is>
      </c>
      <c r="O52" s="336" t="inlineStr">
        <is>
          <t>(บาท)</t>
        </is>
      </c>
      <c r="P52" s="52" t="inlineStr">
        <is>
          <t>ใน</t>
        </is>
      </c>
      <c r="Q52" s="52" t="inlineStr">
        <is>
          <t>นอก</t>
        </is>
      </c>
      <c r="R52" s="336" t="inlineStr">
        <is>
          <t>ต่อ ชม.</t>
        </is>
      </c>
      <c r="S52" s="336" t="inlineStr">
        <is>
          <t>(บาท)</t>
        </is>
      </c>
    </row>
    <row r="53" ht="22.2" customHeight="1" s="375">
      <c r="A53" s="362" t="n">
        <v>2</v>
      </c>
      <c r="B53" s="528">
        <f>AB4</f>
        <v/>
      </c>
      <c r="C53" s="153" t="n"/>
      <c r="D53" s="135" t="n"/>
      <c r="E53" s="362" t="inlineStr">
        <is>
          <t>ครู</t>
        </is>
      </c>
      <c r="F53" s="5" t="n">
        <v>4</v>
      </c>
      <c r="G53" s="529" t="inlineStr">
        <is>
          <t>จันทร์</t>
        </is>
      </c>
      <c r="H53" s="381" t="inlineStr">
        <is>
          <t>20100-1006</t>
        </is>
      </c>
      <c r="I53" s="376" t="inlineStr">
        <is>
          <t>ชย.1/6 (26)</t>
        </is>
      </c>
      <c r="J53" s="381" t="inlineStr">
        <is>
          <t>08:10 - 12:10</t>
        </is>
      </c>
      <c r="K53" s="135" t="n"/>
      <c r="L53" s="367" t="n">
        <v>4</v>
      </c>
      <c r="M53" s="381" t="inlineStr"/>
      <c r="N53" s="381" t="inlineStr"/>
      <c r="O53" s="354" t="inlineStr"/>
      <c r="P53" s="381" t="inlineStr"/>
      <c r="Q53" s="367" t="inlineStr"/>
      <c r="R53" s="381" t="inlineStr"/>
      <c r="S53" s="354" t="inlineStr"/>
      <c r="T53" t="inlineStr"/>
      <c r="U53" t="inlineStr"/>
    </row>
    <row r="54" ht="22.2" customHeight="1" s="375">
      <c r="A54" s="3" t="n"/>
      <c r="B54" s="530" t="n"/>
      <c r="D54" s="374" t="n"/>
      <c r="E54" s="334" t="n"/>
      <c r="F54" s="322" t="n"/>
      <c r="G54" s="535" t="inlineStr">
        <is>
          <t>5 ต.ค.69</t>
        </is>
      </c>
      <c r="H54" s="376" t="inlineStr">
        <is>
          <t>20101-2008</t>
        </is>
      </c>
      <c r="I54" s="376" t="inlineStr">
        <is>
          <t>ชย.2/2 (26)</t>
        </is>
      </c>
      <c r="J54" s="334" t="inlineStr">
        <is>
          <t>13:10 - 17:10</t>
        </is>
      </c>
      <c r="K54" s="374" t="n"/>
      <c r="L54" s="323" t="n">
        <v>4</v>
      </c>
      <c r="M54" s="334" t="inlineStr"/>
      <c r="N54" s="334" t="inlineStr"/>
      <c r="O54" s="354" t="inlineStr"/>
      <c r="P54" s="334" t="inlineStr"/>
      <c r="Q54" s="334" t="inlineStr"/>
      <c r="R54" s="376" t="inlineStr"/>
      <c r="S54" s="354" t="inlineStr"/>
      <c r="T54" t="inlineStr"/>
      <c r="U54" t="inlineStr"/>
    </row>
    <row r="55" ht="22.2" customHeight="1" s="375">
      <c r="A55" s="3" t="n"/>
      <c r="B55" s="313" t="n"/>
      <c r="D55" s="314" t="n"/>
      <c r="E55" s="314" t="n"/>
      <c r="F55" s="322" t="n"/>
      <c r="G55" s="321" t="inlineStr"/>
      <c r="H55" s="334" t="inlineStr"/>
      <c r="I55" s="376" t="inlineStr"/>
      <c r="J55" s="376" t="inlineStr"/>
      <c r="K55" s="374" t="n"/>
      <c r="L55" s="334" t="inlineStr"/>
      <c r="M55" s="334" t="inlineStr"/>
      <c r="N55" s="334" t="inlineStr"/>
      <c r="O55" s="354" t="inlineStr"/>
      <c r="P55" s="334" t="inlineStr"/>
      <c r="Q55" s="334" t="inlineStr"/>
      <c r="R55" s="334" t="inlineStr"/>
      <c r="S55" s="354" t="inlineStr"/>
      <c r="T55" t="inlineStr"/>
      <c r="U55" t="inlineStr"/>
    </row>
    <row r="56" ht="22.2" customHeight="1" s="375">
      <c r="A56" s="3" t="n"/>
      <c r="B56" s="313" t="n"/>
      <c r="E56" s="3" t="n"/>
      <c r="F56" s="322" t="n"/>
      <c r="G56" s="321" t="inlineStr"/>
      <c r="H56" s="1" t="inlineStr"/>
      <c r="I56" s="1" t="inlineStr"/>
      <c r="J56" s="334" t="inlineStr"/>
      <c r="K56" s="374" t="n"/>
      <c r="L56" s="334" t="inlineStr"/>
      <c r="M56" s="334" t="inlineStr"/>
      <c r="N56" s="334" t="inlineStr"/>
      <c r="O56" s="354" t="inlineStr"/>
      <c r="P56" s="334" t="inlineStr"/>
      <c r="Q56" s="334" t="inlineStr"/>
      <c r="R56" s="334" t="inlineStr"/>
      <c r="S56" s="354" t="inlineStr"/>
      <c r="T56" t="inlineStr"/>
      <c r="U56" t="inlineStr"/>
      <c r="Y56" s="62" t="n"/>
      <c r="Z56" s="62" t="n"/>
      <c r="AA56" s="62" t="n"/>
      <c r="AB56" s="62" t="n"/>
    </row>
    <row r="57" ht="22.2" customHeight="1" s="375">
      <c r="A57" s="3" t="n"/>
      <c r="E57" s="3" t="n"/>
      <c r="G57" s="344" t="inlineStr"/>
      <c r="H57" s="336" t="inlineStr"/>
      <c r="I57" s="336" t="inlineStr"/>
      <c r="J57" s="336" t="inlineStr"/>
      <c r="K57" s="527" t="n"/>
      <c r="L57" s="334" t="inlineStr"/>
      <c r="M57" s="334" t="inlineStr"/>
      <c r="N57" s="334" t="inlineStr"/>
      <c r="O57" s="354" t="inlineStr"/>
      <c r="P57" s="334" t="inlineStr"/>
      <c r="Q57" s="334" t="inlineStr"/>
      <c r="R57" s="334" t="inlineStr"/>
      <c r="S57" s="354" t="inlineStr"/>
      <c r="T57" t="inlineStr"/>
      <c r="U57" t="inlineStr"/>
      <c r="Y57" s="63" t="n"/>
      <c r="Z57" s="63" t="n"/>
      <c r="AA57" s="63" t="n"/>
      <c r="AB57" s="63" t="n"/>
    </row>
    <row r="58" ht="22.2" customHeight="1" s="375">
      <c r="A58" s="3" t="n"/>
      <c r="E58" s="3" t="n"/>
      <c r="G58" s="533" t="inlineStr">
        <is>
          <t>อังคาร</t>
        </is>
      </c>
      <c r="H58" s="381" t="inlineStr">
        <is>
          <t>20100-1006</t>
        </is>
      </c>
      <c r="I58" s="376" t="inlineStr">
        <is>
          <t>ชย.1/8 (26)</t>
        </is>
      </c>
      <c r="J58" s="381" t="inlineStr">
        <is>
          <t>08:10 - 12:10</t>
        </is>
      </c>
      <c r="K58" s="135" t="n"/>
      <c r="L58" s="367" t="n">
        <v>4</v>
      </c>
      <c r="M58" s="381" t="inlineStr"/>
      <c r="N58" s="381" t="inlineStr"/>
      <c r="O58" s="354" t="inlineStr"/>
      <c r="P58" s="381" t="inlineStr"/>
      <c r="Q58" s="367" t="inlineStr"/>
      <c r="R58" s="381" t="inlineStr"/>
      <c r="S58" s="354" t="inlineStr"/>
      <c r="T58" t="inlineStr"/>
      <c r="U58" t="inlineStr"/>
      <c r="W58" s="63" t="n"/>
      <c r="X58" s="63" t="n"/>
      <c r="Y58" s="351" t="n"/>
      <c r="Z58" s="63" t="n"/>
      <c r="AA58" s="351" t="n"/>
      <c r="AB58" s="63" t="n"/>
    </row>
    <row r="59" ht="22.2" customHeight="1" s="375">
      <c r="A59" s="3" t="n"/>
      <c r="E59" s="3" t="n"/>
      <c r="G59" s="535" t="inlineStr">
        <is>
          <t>6 ต.ค.69</t>
        </is>
      </c>
      <c r="H59" s="376" t="inlineStr"/>
      <c r="I59" s="376" t="inlineStr"/>
      <c r="J59" s="334" t="inlineStr"/>
      <c r="K59" s="374" t="n"/>
      <c r="L59" s="334" t="inlineStr"/>
      <c r="M59" s="334" t="inlineStr"/>
      <c r="N59" s="334" t="inlineStr"/>
      <c r="O59" s="354" t="inlineStr"/>
      <c r="P59" s="334" t="inlineStr"/>
      <c r="Q59" s="334" t="inlineStr"/>
      <c r="R59" s="376" t="inlineStr"/>
      <c r="S59" s="354" t="inlineStr"/>
      <c r="T59" t="inlineStr"/>
      <c r="U59" t="inlineStr"/>
      <c r="W59" s="62" t="n"/>
      <c r="X59" s="62" t="n"/>
      <c r="Y59" s="62" t="n"/>
      <c r="Z59" s="63" t="n"/>
      <c r="AA59" s="64" t="n"/>
      <c r="AB59" s="63" t="n"/>
    </row>
    <row r="60" ht="22.2" customHeight="1" s="375">
      <c r="A60" s="3" t="n"/>
      <c r="B60" s="313" t="n"/>
      <c r="D60" s="314" t="n"/>
      <c r="E60" s="314" t="n"/>
      <c r="G60" s="334" t="inlineStr"/>
      <c r="H60" s="376" t="inlineStr"/>
      <c r="I60" s="376" t="inlineStr"/>
      <c r="J60" s="334" t="inlineStr"/>
      <c r="K60" s="374" t="n"/>
      <c r="L60" s="334" t="inlineStr"/>
      <c r="M60" s="334" t="inlineStr"/>
      <c r="N60" s="334" t="inlineStr"/>
      <c r="O60" s="354" t="inlineStr"/>
      <c r="P60" s="334" t="inlineStr"/>
      <c r="Q60" s="334" t="inlineStr"/>
      <c r="R60" s="334" t="inlineStr"/>
      <c r="S60" s="354" t="inlineStr"/>
      <c r="T60" t="inlineStr"/>
      <c r="U60" t="inlineStr"/>
      <c r="W60" s="62" t="n"/>
      <c r="X60" s="62" t="n"/>
      <c r="Y60" s="62" t="n"/>
      <c r="Z60" s="63" t="n"/>
      <c r="AA60" s="64" t="n"/>
      <c r="AB60" s="63" t="n"/>
    </row>
    <row r="61" ht="22.2" customHeight="1" s="375">
      <c r="A61" s="3" t="n"/>
      <c r="E61" s="3" t="n"/>
      <c r="G61" s="54" t="inlineStr"/>
      <c r="H61" s="322" t="inlineStr"/>
      <c r="I61" s="334" t="inlineStr"/>
      <c r="J61" s="334" t="inlineStr"/>
      <c r="K61" s="374" t="n"/>
      <c r="L61" s="334" t="inlineStr"/>
      <c r="M61" s="334" t="inlineStr"/>
      <c r="N61" s="334" t="inlineStr"/>
      <c r="O61" s="354" t="inlineStr"/>
      <c r="P61" s="334" t="inlineStr"/>
      <c r="Q61" s="334" t="inlineStr"/>
      <c r="R61" s="334" t="inlineStr"/>
      <c r="S61" s="354" t="inlineStr"/>
      <c r="T61" s="6" t="inlineStr"/>
      <c r="U61" s="22" t="inlineStr"/>
      <c r="V61" s="57" t="n"/>
      <c r="W61" s="21" t="n"/>
      <c r="X61" s="21" t="n"/>
      <c r="Y61" s="62" t="n"/>
      <c r="Z61" s="63" t="n"/>
      <c r="AA61" s="64" t="n"/>
      <c r="AB61" s="63" t="n"/>
    </row>
    <row r="62" ht="22.2" customHeight="1" s="375">
      <c r="A62" s="3" t="n"/>
      <c r="D62" s="7" t="inlineStr">
        <is>
          <t> </t>
        </is>
      </c>
      <c r="E62" s="3" t="n"/>
      <c r="G62" s="55" t="inlineStr"/>
      <c r="H62" s="327" t="inlineStr"/>
      <c r="I62" s="336" t="inlineStr"/>
      <c r="J62" s="336" t="inlineStr"/>
      <c r="K62" s="527" t="n"/>
      <c r="L62" s="334" t="inlineStr"/>
      <c r="M62" s="334" t="inlineStr"/>
      <c r="N62" s="334" t="inlineStr"/>
      <c r="O62" s="354" t="inlineStr"/>
      <c r="P62" s="334" t="inlineStr"/>
      <c r="Q62" s="334" t="inlineStr"/>
      <c r="R62" s="334" t="inlineStr"/>
      <c r="S62" s="354" t="inlineStr"/>
      <c r="T62" s="21" t="inlineStr"/>
      <c r="U62" s="22" t="inlineStr"/>
      <c r="V62" s="57" t="n"/>
      <c r="W62" s="21" t="n"/>
      <c r="X62" s="21" t="n"/>
      <c r="Y62" s="62" t="n"/>
      <c r="Z62" s="62" t="n"/>
      <c r="AA62" s="62" t="n"/>
      <c r="AB62" s="62" t="n"/>
    </row>
    <row r="63" ht="22.2" customHeight="1" s="375">
      <c r="A63" s="3" t="n"/>
      <c r="D63" s="374" t="n"/>
      <c r="E63" s="251" t="n"/>
      <c r="G63" s="539" t="inlineStr">
        <is>
          <t>พุธ</t>
        </is>
      </c>
      <c r="H63" s="381" t="inlineStr">
        <is>
          <t>20101-2011</t>
        </is>
      </c>
      <c r="I63" s="376" t="inlineStr">
        <is>
          <t>ชย.2/7 (26)</t>
        </is>
      </c>
      <c r="J63" s="381" t="inlineStr">
        <is>
          <t>08:10 - 12:10</t>
        </is>
      </c>
      <c r="K63" s="135" t="n"/>
      <c r="L63" s="381" t="n">
        <v>4</v>
      </c>
      <c r="M63" s="381" t="inlineStr"/>
      <c r="N63" s="381" t="inlineStr"/>
      <c r="O63" s="354" t="inlineStr"/>
      <c r="P63" s="381" t="inlineStr"/>
      <c r="Q63" s="381" t="inlineStr"/>
      <c r="R63" s="381" t="inlineStr"/>
      <c r="S63" s="354" t="inlineStr"/>
      <c r="T63" t="inlineStr"/>
      <c r="U63" t="inlineStr"/>
      <c r="Y63" s="62" t="n"/>
      <c r="Z63" s="62" t="n"/>
      <c r="AA63" s="62" t="n"/>
      <c r="AB63" s="62" t="n"/>
    </row>
    <row r="64" ht="22.2" customHeight="1" s="375">
      <c r="A64" s="3" t="n"/>
      <c r="B64" s="321" t="n"/>
      <c r="C64" s="322" t="n"/>
      <c r="D64" s="322" t="n"/>
      <c r="E64" s="334" t="n"/>
      <c r="G64" s="533" t="inlineStr">
        <is>
          <t>7 ต.ค.69</t>
        </is>
      </c>
      <c r="H64" s="376" t="inlineStr">
        <is>
          <t>20101-2011</t>
        </is>
      </c>
      <c r="I64" s="376" t="inlineStr">
        <is>
          <t>ชย.2/7 (26)</t>
        </is>
      </c>
      <c r="J64" s="334" t="inlineStr">
        <is>
          <t>13:10 - 16:10</t>
        </is>
      </c>
      <c r="K64" s="374" t="n"/>
      <c r="L64" s="334" t="inlineStr"/>
      <c r="M64" s="334" t="n">
        <v>3</v>
      </c>
      <c r="N64" s="334" t="n">
        <v>200</v>
      </c>
      <c r="O64" s="354">
        <f>M64*N64</f>
        <v/>
      </c>
      <c r="P64" s="334" t="inlineStr"/>
      <c r="Q64" s="334" t="inlineStr"/>
      <c r="R64" s="334" t="inlineStr"/>
      <c r="S64" s="354" t="inlineStr"/>
      <c r="T64" t="inlineStr"/>
      <c r="U64" t="inlineStr"/>
      <c r="Y64" s="62" t="n"/>
      <c r="Z64" s="62" t="n"/>
      <c r="AA64" s="62" t="n"/>
      <c r="AB64" s="62" t="n"/>
    </row>
    <row r="65" ht="22.2" customHeight="1" s="375">
      <c r="A65" s="3" t="n"/>
      <c r="B65" s="313" t="n"/>
      <c r="D65" s="314" t="n"/>
      <c r="E65" s="314" t="n"/>
      <c r="G65" s="334" t="inlineStr"/>
      <c r="H65" s="376" t="inlineStr"/>
      <c r="I65" s="376" t="inlineStr"/>
      <c r="J65" s="334" t="inlineStr"/>
      <c r="K65" s="374" t="n"/>
      <c r="L65" s="334" t="inlineStr"/>
      <c r="M65" s="334" t="inlineStr"/>
      <c r="N65" s="334" t="inlineStr"/>
      <c r="O65" s="354" t="inlineStr"/>
      <c r="P65" s="334" t="inlineStr"/>
      <c r="Q65" s="334" t="inlineStr"/>
      <c r="R65" s="334" t="inlineStr"/>
      <c r="S65" s="354" t="inlineStr"/>
      <c r="T65" t="inlineStr"/>
      <c r="U65" t="inlineStr"/>
      <c r="W65" s="62" t="n"/>
      <c r="X65" s="62" t="n"/>
    </row>
    <row r="66" ht="22.2" customHeight="1" s="375">
      <c r="A66" s="3" t="n"/>
      <c r="E66" s="3" t="n"/>
      <c r="G66" s="321" t="inlineStr"/>
      <c r="H66" s="334" t="inlineStr"/>
      <c r="I66" s="376" t="inlineStr"/>
      <c r="J66" s="334" t="inlineStr"/>
      <c r="K66" s="374" t="n"/>
      <c r="L66" s="334" t="inlineStr"/>
      <c r="M66" s="334" t="inlineStr"/>
      <c r="N66" s="334" t="inlineStr"/>
      <c r="O66" s="354" t="inlineStr"/>
      <c r="P66" s="334" t="inlineStr"/>
      <c r="Q66" s="334" t="inlineStr"/>
      <c r="R66" s="334" t="inlineStr"/>
      <c r="S66" s="354" t="inlineStr"/>
      <c r="T66" t="inlineStr"/>
      <c r="U66" t="inlineStr"/>
      <c r="Z66" s="322" t="n"/>
      <c r="AA66" s="322" t="n"/>
      <c r="AB66" s="322" t="n"/>
    </row>
    <row r="67" ht="22.2" customHeight="1" s="375">
      <c r="A67" s="3" t="n"/>
      <c r="E67" s="3" t="n"/>
      <c r="G67" s="327" t="inlineStr"/>
      <c r="H67" s="336" t="inlineStr"/>
      <c r="I67" s="336" t="inlineStr"/>
      <c r="J67" s="336" t="inlineStr"/>
      <c r="K67" s="527" t="n"/>
      <c r="L67" s="336" t="inlineStr"/>
      <c r="M67" s="336" t="inlineStr"/>
      <c r="N67" s="336" t="inlineStr"/>
      <c r="O67" s="354" t="inlineStr"/>
      <c r="P67" s="336" t="inlineStr"/>
      <c r="Q67" s="336" t="inlineStr"/>
      <c r="R67" s="336" t="inlineStr"/>
      <c r="S67" s="354" t="inlineStr"/>
      <c r="T67" t="inlineStr"/>
      <c r="U67" t="inlineStr"/>
      <c r="Y67" s="322" t="n"/>
      <c r="Z67" s="322" t="n"/>
      <c r="AA67" s="322" t="n"/>
      <c r="AB67" s="322" t="n"/>
    </row>
    <row r="68" ht="22.2" customHeight="1" s="375">
      <c r="A68" s="3" t="n"/>
      <c r="E68" s="3" t="n"/>
      <c r="G68" s="533" t="inlineStr">
        <is>
          <t>พฤหัส</t>
        </is>
      </c>
      <c r="H68" s="381" t="inlineStr">
        <is>
          <t>20000-2008</t>
        </is>
      </c>
      <c r="I68" s="376" t="inlineStr">
        <is>
          <t>ชย.ทวิ 3/9 (26)</t>
        </is>
      </c>
      <c r="J68" s="381" t="inlineStr">
        <is>
          <t>13:10 - 15:10</t>
        </is>
      </c>
      <c r="K68" s="135" t="n"/>
      <c r="L68" s="334" t="n">
        <v>2</v>
      </c>
      <c r="M68" s="334" t="inlineStr"/>
      <c r="N68" s="334" t="inlineStr"/>
      <c r="O68" s="354" t="inlineStr"/>
      <c r="P68" s="334" t="inlineStr"/>
      <c r="Q68" s="362" t="inlineStr"/>
      <c r="R68" s="362" t="inlineStr"/>
      <c r="S68" s="354" t="inlineStr"/>
      <c r="T68" t="inlineStr"/>
      <c r="U68" t="inlineStr"/>
      <c r="Y68" s="322" t="n"/>
      <c r="Z68" s="322" t="n"/>
      <c r="AA68" s="322" t="n"/>
      <c r="AB68" s="322" t="n"/>
    </row>
    <row r="69" ht="22.2" customHeight="1" s="375">
      <c r="A69" s="3" t="n"/>
      <c r="E69" s="3" t="n"/>
      <c r="G69" s="535" t="inlineStr">
        <is>
          <t>8 ต.ค.69</t>
        </is>
      </c>
      <c r="H69" s="376" t="inlineStr">
        <is>
          <t>20101-2050</t>
        </is>
      </c>
      <c r="I69" s="376" t="inlineStr">
        <is>
          <t>ชย.ทวิ 3/9 (26)</t>
        </is>
      </c>
      <c r="J69" s="376" t="inlineStr">
        <is>
          <t>19:10 - 21:10</t>
        </is>
      </c>
      <c r="K69" s="374" t="n"/>
      <c r="L69" s="323" t="inlineStr"/>
      <c r="M69" s="334" t="n">
        <v>2</v>
      </c>
      <c r="N69" s="334" t="n">
        <v>200</v>
      </c>
      <c r="O69" s="354">
        <f>M69*N69</f>
        <v/>
      </c>
      <c r="P69" s="376" t="inlineStr"/>
      <c r="Q69" s="334" t="inlineStr"/>
      <c r="R69" s="334" t="inlineStr"/>
      <c r="S69" s="354" t="inlineStr"/>
      <c r="T69" t="inlineStr"/>
      <c r="U69" s="322" t="inlineStr"/>
      <c r="V69" s="322" t="n"/>
      <c r="X69" s="322" t="n"/>
      <c r="Y69" s="322" t="n"/>
      <c r="Z69" s="322" t="n"/>
    </row>
    <row r="70" ht="22.2" customHeight="1" s="375">
      <c r="A70" s="3" t="n"/>
      <c r="B70" s="313" t="n"/>
      <c r="E70" s="3" t="n"/>
      <c r="G70" s="334" t="inlineStr"/>
      <c r="H70" s="376" t="inlineStr"/>
      <c r="I70" s="376" t="inlineStr"/>
      <c r="J70" s="334" t="inlineStr"/>
      <c r="K70" s="374" t="n"/>
      <c r="L70" s="376" t="inlineStr"/>
      <c r="M70" s="376" t="inlineStr"/>
      <c r="N70" s="376" t="inlineStr"/>
      <c r="O70" s="354" t="inlineStr"/>
      <c r="P70" t="inlineStr"/>
      <c r="Q70" s="376" t="inlineStr"/>
      <c r="R70" s="376" t="inlineStr"/>
      <c r="S70" s="354" t="inlineStr"/>
      <c r="T70" t="inlineStr"/>
      <c r="U70" s="322" t="inlineStr"/>
      <c r="V70" s="322" t="n"/>
      <c r="W70" s="322" t="n"/>
      <c r="X70" s="322" t="n"/>
      <c r="Y70" s="322" t="n"/>
      <c r="Z70" s="322" t="n"/>
    </row>
    <row r="71" ht="22.2" customHeight="1" s="375">
      <c r="A71" s="3" t="n"/>
      <c r="E71" s="3" t="n"/>
      <c r="G71" s="334" t="inlineStr"/>
      <c r="H71" s="334" t="inlineStr"/>
      <c r="I71" s="376" t="inlineStr"/>
      <c r="J71" s="376" t="inlineStr"/>
      <c r="K71" s="374" t="n"/>
      <c r="L71" s="334" t="inlineStr"/>
      <c r="M71" s="334" t="inlineStr"/>
      <c r="N71" s="334" t="inlineStr"/>
      <c r="O71" s="354" t="inlineStr"/>
      <c r="P71" s="376" t="inlineStr"/>
      <c r="Q71" s="334" t="inlineStr"/>
      <c r="R71" s="334" t="inlineStr"/>
      <c r="S71" s="354" t="inlineStr"/>
      <c r="T71" t="inlineStr"/>
      <c r="U71" s="322" t="inlineStr"/>
      <c r="V71" s="322" t="n"/>
      <c r="W71" s="322" t="n"/>
      <c r="X71" s="322" t="n"/>
      <c r="Y71" s="322" t="n"/>
      <c r="Z71" s="322" t="n"/>
    </row>
    <row r="72" ht="22.2" customHeight="1" s="375">
      <c r="A72" s="3" t="n"/>
      <c r="E72" s="3" t="n"/>
      <c r="G72" s="336" t="inlineStr"/>
      <c r="H72" s="336" t="inlineStr"/>
      <c r="I72" s="136" t="inlineStr"/>
      <c r="J72" s="336" t="inlineStr"/>
      <c r="K72" s="527" t="n"/>
      <c r="L72" s="336" t="inlineStr"/>
      <c r="M72" s="336" t="inlineStr"/>
      <c r="N72" s="336" t="inlineStr"/>
      <c r="O72" s="354" t="inlineStr"/>
      <c r="P72" s="334" t="inlineStr"/>
      <c r="Q72" s="336" t="inlineStr"/>
      <c r="R72" s="336" t="inlineStr"/>
      <c r="S72" s="354" t="inlineStr"/>
      <c r="T72" s="322" t="inlineStr"/>
      <c r="U72" s="322" t="inlineStr"/>
      <c r="V72" s="322" t="n"/>
      <c r="W72" s="322" t="n"/>
      <c r="X72" s="322" t="n"/>
      <c r="Y72" s="322" t="n"/>
    </row>
    <row r="73" ht="22.2" customHeight="1" s="375">
      <c r="A73" s="3" t="n"/>
      <c r="B73" s="143" t="n"/>
      <c r="C73" s="144" t="n"/>
      <c r="D73" s="145" t="n"/>
      <c r="E73" s="146" t="n"/>
      <c r="F73" s="145" t="n"/>
      <c r="G73" s="533" t="inlineStr">
        <is>
          <t>ศุกร์</t>
        </is>
      </c>
      <c r="H73" s="381" t="inlineStr">
        <is>
          <t>20101-2017</t>
        </is>
      </c>
      <c r="I73" s="381" t="inlineStr">
        <is>
          <t>ชย.ทวิ 3/9 (26)</t>
        </is>
      </c>
      <c r="J73" s="381" t="inlineStr">
        <is>
          <t>17:10 - 21:10</t>
        </is>
      </c>
      <c r="K73" s="135" t="n"/>
      <c r="L73" s="334" t="inlineStr"/>
      <c r="M73" s="334" t="n">
        <v>4</v>
      </c>
      <c r="N73" s="334" t="n">
        <v>200</v>
      </c>
      <c r="O73" s="354">
        <f>M73*N73</f>
        <v/>
      </c>
      <c r="P73" s="362" t="inlineStr"/>
      <c r="Q73" s="367" t="inlineStr"/>
      <c r="R73" s="381" t="inlineStr"/>
      <c r="S73" s="354" t="inlineStr"/>
      <c r="T73" s="322" t="inlineStr"/>
      <c r="U73" s="322" t="inlineStr"/>
      <c r="V73" s="322" t="n"/>
      <c r="W73" s="322" t="n"/>
      <c r="X73" s="322" t="n"/>
      <c r="Y73" s="322" t="n"/>
    </row>
    <row r="74" ht="22.2" customHeight="1" s="375">
      <c r="A74" s="3" t="n"/>
      <c r="D74" s="314" t="n"/>
      <c r="E74" s="3" t="n"/>
      <c r="G74" s="535" t="inlineStr">
        <is>
          <t>9 ต.ค.69</t>
        </is>
      </c>
      <c r="H74" s="376" t="inlineStr"/>
      <c r="I74" s="376" t="inlineStr"/>
      <c r="J74" s="376" t="inlineStr"/>
      <c r="K74" s="374" t="n"/>
      <c r="L74" s="334" t="inlineStr"/>
      <c r="M74" s="334" t="inlineStr"/>
      <c r="N74" s="334" t="inlineStr"/>
      <c r="O74" s="354" t="inlineStr"/>
      <c r="P74" s="334" t="inlineStr"/>
      <c r="Q74" s="334" t="inlineStr"/>
      <c r="R74" s="334" t="inlineStr"/>
      <c r="S74" s="354" t="inlineStr"/>
      <c r="T74" t="inlineStr"/>
      <c r="U74" t="inlineStr"/>
      <c r="W74" s="322" t="n"/>
      <c r="X74" s="322" t="n"/>
      <c r="Y74" s="322" t="n"/>
    </row>
    <row r="75" ht="22.2" customHeight="1" s="375">
      <c r="A75" s="3" t="n"/>
      <c r="B75" s="143" t="n"/>
      <c r="C75" s="144" t="n"/>
      <c r="D75" s="145" t="n"/>
      <c r="E75" s="146" t="n"/>
      <c r="F75" s="145" t="n"/>
      <c r="G75" s="334" t="inlineStr"/>
      <c r="H75" s="376" t="inlineStr"/>
      <c r="I75" s="376" t="inlineStr"/>
      <c r="J75" s="376" t="inlineStr"/>
      <c r="K75" s="374" t="n"/>
      <c r="L75" s="334" t="inlineStr"/>
      <c r="M75" s="334" t="inlineStr"/>
      <c r="N75" s="334" t="inlineStr"/>
      <c r="O75" s="354" t="inlineStr"/>
      <c r="P75" s="334" t="inlineStr"/>
      <c r="Q75" s="334" t="inlineStr"/>
      <c r="R75" s="334" t="inlineStr"/>
      <c r="S75" s="354" t="inlineStr"/>
      <c r="T75" s="322" t="inlineStr"/>
      <c r="U75" s="322" t="inlineStr"/>
      <c r="V75" s="322" t="n"/>
      <c r="W75" s="322" t="n"/>
      <c r="X75" s="322" t="n"/>
      <c r="Y75" s="322" t="n"/>
    </row>
    <row r="76" ht="22.2" customHeight="1" s="375">
      <c r="A76" s="3" t="n"/>
      <c r="E76" s="3" t="n"/>
      <c r="G76" s="334" t="inlineStr"/>
      <c r="H76" s="334" t="inlineStr"/>
      <c r="I76" s="376" t="inlineStr"/>
      <c r="J76" s="376" t="inlineStr"/>
      <c r="K76" s="374" t="n"/>
      <c r="L76" s="334" t="inlineStr"/>
      <c r="M76" s="334" t="inlineStr"/>
      <c r="N76" s="334" t="inlineStr"/>
      <c r="O76" s="354" t="inlineStr"/>
      <c r="P76" s="334" t="inlineStr"/>
      <c r="Q76" s="334" t="inlineStr"/>
      <c r="R76" s="334" t="inlineStr"/>
      <c r="S76" s="354" t="inlineStr"/>
      <c r="T76" s="383" t="inlineStr"/>
    </row>
    <row r="77" ht="22.2" customHeight="1" s="375">
      <c r="A77" s="3" t="n"/>
      <c r="E77" s="3" t="n"/>
      <c r="F77" s="3" t="n"/>
      <c r="G77" s="329" t="inlineStr"/>
      <c r="H77" s="334" t="inlineStr"/>
      <c r="I77" s="376" t="inlineStr"/>
      <c r="J77" s="334" t="inlineStr"/>
      <c r="K77" s="374" t="n"/>
      <c r="L77" s="336" t="inlineStr"/>
      <c r="M77" s="336" t="inlineStr"/>
      <c r="N77" s="336" t="inlineStr"/>
      <c r="O77" s="354" t="inlineStr"/>
      <c r="P77" s="334" t="inlineStr"/>
      <c r="Q77" s="336" t="inlineStr"/>
      <c r="R77" s="336" t="inlineStr"/>
      <c r="S77" s="354" t="inlineStr"/>
      <c r="T77" s="23" t="inlineStr"/>
      <c r="U77" s="23" t="inlineStr"/>
      <c r="V77" s="56" t="n"/>
      <c r="W77" s="23" t="n"/>
      <c r="X77" s="23" t="n"/>
    </row>
    <row r="78" ht="22.2" customHeight="1" s="375">
      <c r="A78" s="3" t="n"/>
      <c r="E78" s="3" t="n"/>
      <c r="F78" s="3" t="n"/>
      <c r="G78" s="16" t="inlineStr">
        <is>
          <t>รวมขั่วโมงที่สอนแยก ภาระงาน/ เกินภาระงาน</t>
        </is>
      </c>
      <c r="H78" s="518" t="n"/>
      <c r="I78" s="518" t="n"/>
      <c r="J78" s="518" t="n"/>
      <c r="K78" s="432" t="n"/>
      <c r="L78" s="16">
        <f>SUM(L53:L77)</f>
        <v/>
      </c>
      <c r="M78" s="16">
        <f>SUM(M53:M77)</f>
        <v/>
      </c>
      <c r="N78" s="16" t="n"/>
      <c r="O78" s="16" t="n"/>
      <c r="P78" s="16">
        <f>SUM(P53:P77)</f>
        <v/>
      </c>
      <c r="Q78" s="16">
        <f>SUM(Q53:Q77)</f>
        <v/>
      </c>
      <c r="R78" s="349" t="n"/>
      <c r="S78" s="16" t="n"/>
    </row>
    <row r="79" ht="22.2" customHeight="1" s="375">
      <c r="A79" s="3" t="n"/>
      <c r="E79" s="3" t="n"/>
      <c r="F79" s="3" t="n"/>
      <c r="G79" s="16" t="inlineStr">
        <is>
          <t>รวมจำนวนชั่วโมงสอนคาบต่อสับดาห์</t>
        </is>
      </c>
      <c r="H79" s="518" t="n"/>
      <c r="I79" s="518" t="n"/>
      <c r="J79" s="518" t="n"/>
      <c r="K79" s="432" t="n"/>
      <c r="L79" s="16">
        <f>L78+M78</f>
        <v/>
      </c>
      <c r="M79" s="432" t="n"/>
      <c r="N79" s="16" t="n"/>
      <c r="O79" s="348" t="n"/>
      <c r="P79" s="16">
        <f>P78+Q78</f>
        <v/>
      </c>
      <c r="Q79" s="432" t="n"/>
      <c r="R79" s="329" t="n"/>
      <c r="S79" s="336" t="n"/>
    </row>
    <row r="80" ht="22.2" customHeight="1" s="375">
      <c r="A80" s="3" t="n"/>
      <c r="E80" s="3" t="n"/>
      <c r="F80" s="3" t="n"/>
      <c r="G80" s="16" t="inlineStr">
        <is>
          <t>จำนวนชั่วโมงสอนตามภาระงานสอน</t>
        </is>
      </c>
      <c r="H80" s="518" t="n"/>
      <c r="I80" s="518" t="n"/>
      <c r="J80" s="518" t="n"/>
      <c r="K80" s="432" t="n"/>
      <c r="L80" s="16" t="n">
        <v>12</v>
      </c>
      <c r="M80" s="432" t="n"/>
      <c r="N80" s="348" t="n"/>
      <c r="O80" s="16" t="n"/>
      <c r="P80" s="16" t="n">
        <v>0</v>
      </c>
      <c r="Q80" s="432" t="n"/>
      <c r="R80" s="322" t="n"/>
      <c r="S80" s="334" t="n"/>
    </row>
    <row r="81" ht="22.2" customHeight="1" s="375" thickBot="1">
      <c r="A81" s="3" t="n"/>
      <c r="E81" s="3" t="n"/>
      <c r="F81" s="14" t="n"/>
      <c r="G81" s="16" t="inlineStr">
        <is>
          <t>จำนวนชั่วโมงบิกเกินภาระงานสอน/ค่าสอน</t>
        </is>
      </c>
      <c r="H81" s="518" t="n"/>
      <c r="I81" s="518" t="n"/>
      <c r="J81" s="518" t="n"/>
      <c r="K81" s="432" t="n"/>
      <c r="L81" s="17" t="n">
        <v>0</v>
      </c>
      <c r="M81" s="17">
        <f>SUM(M53:M77)</f>
        <v/>
      </c>
      <c r="N81" s="17" t="n"/>
      <c r="O81" s="17">
        <f>SUM(O53:O77)</f>
        <v/>
      </c>
      <c r="P81" s="17" t="n">
        <v>0</v>
      </c>
      <c r="Q81" s="17">
        <f>SUM(Q53:Q77)</f>
        <v/>
      </c>
      <c r="R81" s="18" t="n"/>
      <c r="S81" s="17">
        <f>SUM(S53:S77)</f>
        <v/>
      </c>
    </row>
    <row r="82" ht="22.2" customHeight="1" s="375" thickTop="1">
      <c r="A82" s="337" t="inlineStr">
        <is>
          <t>รวมจำนวนหน่วยชั่วโมงที่ขอเบิกค่าสอน ….</t>
        </is>
      </c>
      <c r="B82" s="518" t="n"/>
      <c r="C82" s="518" t="n"/>
      <c r="D82" s="518" t="n"/>
      <c r="E82" s="518" t="n"/>
      <c r="F82" s="518" t="n"/>
      <c r="G82" s="518" t="n"/>
      <c r="H82" s="348">
        <f>M81+Q81</f>
        <v/>
      </c>
      <c r="I82" s="348" t="inlineStr">
        <is>
          <t>….ชั่วโมง</t>
        </is>
      </c>
      <c r="J82" s="348" t="n"/>
      <c r="K82" s="328" t="inlineStr">
        <is>
          <t>ยอดเงินรวม</t>
        </is>
      </c>
      <c r="L82" s="522" t="n"/>
      <c r="M82" s="522" t="n"/>
      <c r="N82" s="328" t="n"/>
      <c r="O82" s="328" t="n"/>
      <c r="P82" s="339">
        <f>S81+O81</f>
        <v/>
      </c>
      <c r="Q82" s="538" t="n"/>
      <c r="R82" s="20" t="n"/>
      <c r="S82" s="19" t="inlineStr">
        <is>
          <t>..บาท</t>
        </is>
      </c>
    </row>
    <row r="83" ht="22.2" customHeight="1" s="375">
      <c r="A83" s="154" t="inlineStr">
        <is>
          <t>ผู้ขอเบิก</t>
        </is>
      </c>
      <c r="B83" s="153" t="n"/>
      <c r="C83" s="153" t="n"/>
      <c r="D83" s="153" t="n"/>
      <c r="E83" s="153" t="n"/>
      <c r="F83" s="153" t="n"/>
      <c r="G83" s="135" t="n"/>
      <c r="H83" s="154" t="inlineStr">
        <is>
          <t>ผู้รับรอง</t>
        </is>
      </c>
      <c r="I83" s="153" t="n"/>
      <c r="J83" s="153" t="n"/>
      <c r="K83" s="153" t="n"/>
      <c r="L83" s="135" t="n"/>
      <c r="M83" s="154" t="inlineStr">
        <is>
          <t>ผู้ตรวจ</t>
        </is>
      </c>
      <c r="N83" s="153" t="n"/>
      <c r="O83" s="153" t="n"/>
      <c r="P83" s="153" t="n"/>
      <c r="Q83" s="153" t="n"/>
      <c r="R83" s="153" t="n"/>
      <c r="S83" s="135" t="n"/>
      <c r="T83" s="387" t="n"/>
    </row>
    <row r="84" ht="22.2" customHeight="1" s="375">
      <c r="A84" s="334" t="inlineStr">
        <is>
          <t>ลงชื่อ……………………………………………</t>
        </is>
      </c>
      <c r="G84" s="374" t="n"/>
      <c r="H84" s="334" t="inlineStr">
        <is>
          <t>ลงชื่อ……………………………………………</t>
        </is>
      </c>
      <c r="L84" s="374" t="n"/>
      <c r="M84" s="334" t="inlineStr">
        <is>
          <t>ลงชื่อ……………………………………………</t>
        </is>
      </c>
      <c r="S84" s="374" t="n"/>
    </row>
    <row r="85" ht="22.2" customHeight="1" s="375">
      <c r="A85" s="11" t="inlineStr">
        <is>
          <t>(</t>
        </is>
      </c>
      <c r="B85" s="324">
        <f>B53</f>
        <v/>
      </c>
      <c r="G85" s="326" t="inlineStr">
        <is>
          <t>)</t>
        </is>
      </c>
      <c r="H85" s="324" t="inlineStr">
        <is>
          <t>(</t>
        </is>
      </c>
      <c r="I85" s="340">
        <f>I39</f>
        <v/>
      </c>
      <c r="L85" s="12" t="inlineStr">
        <is>
          <t>)</t>
        </is>
      </c>
      <c r="M85" s="53" t="inlineStr">
        <is>
          <t>(</t>
        </is>
      </c>
      <c r="N85" s="53" t="n"/>
      <c r="O85" s="324">
        <f>O39</f>
        <v/>
      </c>
      <c r="R85" s="25" t="n"/>
      <c r="S85" s="326" t="inlineStr">
        <is>
          <t>)</t>
        </is>
      </c>
    </row>
    <row r="86" ht="22.2" customHeight="1" s="375">
      <c r="A86" s="540" t="inlineStr">
        <is>
          <t xml:space="preserve">                         ตำแหน่ง  ครู</t>
        </is>
      </c>
      <c r="G86" s="374" t="n"/>
      <c r="H86" s="54" t="inlineStr">
        <is>
          <t>ตำแหน่ง หัวหน้าแผนก</t>
        </is>
      </c>
      <c r="L86" s="374" t="n"/>
      <c r="M86" s="54" t="inlineStr">
        <is>
          <t>ตำแหน่ง   ผู้ตรวจสอบ</t>
        </is>
      </c>
      <c r="S86" s="374" t="n"/>
    </row>
    <row r="87" ht="22.2" customHeight="1" s="375">
      <c r="A87" s="55" t="inlineStr">
        <is>
          <t>วันที่ 12 เดือน ตุลาคม  พ.ศ.2569</t>
        </is>
      </c>
      <c r="B87" s="522" t="n"/>
      <c r="C87" s="522" t="n"/>
      <c r="D87" s="522" t="n"/>
      <c r="E87" s="522" t="n"/>
      <c r="F87" s="522" t="n"/>
      <c r="G87" s="527" t="n"/>
      <c r="H87" s="54">
        <f>A41</f>
        <v/>
      </c>
      <c r="L87" s="374" t="n"/>
      <c r="M87" s="55">
        <f>A41</f>
        <v/>
      </c>
      <c r="N87" s="522" t="n"/>
      <c r="O87" s="522" t="n"/>
      <c r="P87" s="522" t="n"/>
      <c r="Q87" s="522" t="n"/>
      <c r="R87" s="522" t="n"/>
      <c r="S87" s="527" t="n"/>
    </row>
    <row r="88" ht="22.2" customHeight="1" s="375">
      <c r="A88" s="154" t="inlineStr">
        <is>
          <t>ผู้ตรวจ</t>
        </is>
      </c>
      <c r="B88" s="153" t="n"/>
      <c r="C88" s="153" t="n"/>
      <c r="D88" s="153" t="n"/>
      <c r="E88" s="153" t="n"/>
      <c r="F88" s="153" t="n"/>
      <c r="G88" s="153" t="n"/>
      <c r="H88" s="153" t="n"/>
      <c r="I88" s="135" t="n"/>
      <c r="J88" s="154" t="inlineStr">
        <is>
          <t>ผู้เห็นชอบ</t>
        </is>
      </c>
      <c r="K88" s="153" t="n"/>
      <c r="L88" s="153" t="n"/>
      <c r="M88" s="153" t="n"/>
      <c r="N88" s="153" t="n"/>
      <c r="O88" s="153" t="n"/>
      <c r="P88" s="153" t="n"/>
      <c r="Q88" s="153" t="n"/>
      <c r="R88" s="153" t="n"/>
      <c r="S88" s="135" t="n"/>
    </row>
    <row r="89" ht="22.2" customHeight="1" s="375">
      <c r="A89" s="334" t="inlineStr">
        <is>
          <t>ลงชื่อ……………………………………………</t>
        </is>
      </c>
      <c r="I89" s="374" t="n"/>
      <c r="J89" s="334" t="inlineStr">
        <is>
          <t>ลงชื่อ……………………………………………</t>
        </is>
      </c>
      <c r="S89" s="374" t="n"/>
    </row>
    <row r="90" ht="22.2" customHeight="1" s="375">
      <c r="A90" s="11" t="n"/>
      <c r="B90" s="324">
        <f>B44</f>
        <v/>
      </c>
      <c r="I90" s="326" t="n"/>
      <c r="J90" s="25" t="n"/>
      <c r="K90" s="25" t="n"/>
      <c r="L90" s="324">
        <f>L44</f>
        <v/>
      </c>
      <c r="R90" s="25" t="n"/>
      <c r="S90" s="12" t="n"/>
    </row>
    <row r="91" ht="22.2" customHeight="1" s="375">
      <c r="A91" s="54" t="inlineStr">
        <is>
          <t>ตำแหน่งครู  หัวหน้างานพัฒนาหลักสูตร ฯ</t>
        </is>
      </c>
      <c r="I91" s="374" t="n"/>
      <c r="J91" s="54" t="inlineStr">
        <is>
          <t>ตำแหน่ง  รองผู้อำนวยการฝ่ายวิชาการ</t>
        </is>
      </c>
      <c r="S91" s="374" t="n"/>
    </row>
    <row r="92" ht="22.2" customHeight="1" s="375">
      <c r="A92" s="336" t="inlineStr">
        <is>
          <t>วันที่.......เดือน..........................พ.ศ..............</t>
        </is>
      </c>
      <c r="B92" s="522" t="n"/>
      <c r="C92" s="522" t="n"/>
      <c r="D92" s="522" t="n"/>
      <c r="E92" s="522" t="n"/>
      <c r="F92" s="522" t="n"/>
      <c r="G92" s="522" t="n"/>
      <c r="H92" s="522" t="n"/>
      <c r="I92" s="527" t="n"/>
      <c r="J92" s="336" t="inlineStr">
        <is>
          <t>วันที่.......เดือน..........................พ.ศ..............</t>
        </is>
      </c>
      <c r="K92" s="522" t="n"/>
      <c r="L92" s="522" t="n"/>
      <c r="M92" s="522" t="n"/>
      <c r="N92" s="522" t="n"/>
      <c r="O92" s="522" t="n"/>
      <c r="P92" s="522" t="n"/>
      <c r="Q92" s="522" t="n"/>
      <c r="R92" s="522" t="n"/>
      <c r="S92" s="527" t="n"/>
    </row>
    <row r="93" ht="22.2" customHeight="1" s="375">
      <c r="A93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75">
      <c r="A94" s="365" t="inlineStr">
        <is>
          <t>แผนกวิชาช่างยนต์</t>
        </is>
      </c>
    </row>
    <row r="95" ht="22.2" customHeight="1" s="375">
      <c r="A95" s="366" t="inlineStr">
        <is>
          <t xml:space="preserve">    ระหว่างวันที่</t>
        </is>
      </c>
      <c r="D95" s="365">
        <f>D3</f>
        <v/>
      </c>
      <c r="E95" s="365" t="inlineStr">
        <is>
          <t xml:space="preserve">   เดือน  </t>
        </is>
      </c>
      <c r="F95" s="365">
        <f>F3</f>
        <v/>
      </c>
      <c r="H95" s="365">
        <f>H3</f>
        <v/>
      </c>
      <c r="I95" s="365" t="inlineStr">
        <is>
          <t xml:space="preserve">     ถึง วันที่</t>
        </is>
      </c>
      <c r="J95" s="365">
        <f>J3</f>
        <v/>
      </c>
      <c r="K95" s="365" t="inlineStr">
        <is>
          <t xml:space="preserve">   เดือน </t>
        </is>
      </c>
      <c r="L95" s="365">
        <f>L3</f>
        <v/>
      </c>
      <c r="N95" s="365">
        <f>N3</f>
        <v/>
      </c>
      <c r="P95" s="365" t="n"/>
      <c r="R95" s="365" t="n"/>
    </row>
    <row r="96" ht="22.2" customHeight="1" s="375">
      <c r="G96" s="51" t="inlineStr">
        <is>
          <t>ü</t>
        </is>
      </c>
      <c r="H96" s="351" t="inlineStr">
        <is>
          <t>ครู</t>
        </is>
      </c>
      <c r="I96" s="322" t="inlineStr">
        <is>
          <t>หน้าที่พิเศษ</t>
        </is>
      </c>
      <c r="J96" s="7" t="inlineStr">
        <is>
          <t>ผู้ช่วยงานกิจกรรมนักเรียนนักศึกษา, โครงการพิเศษและการบริการสังคม,</t>
        </is>
      </c>
    </row>
    <row r="97" ht="22.2" customHeight="1" s="375">
      <c r="A97" s="24" t="inlineStr">
        <is>
          <t>ที่</t>
        </is>
      </c>
      <c r="B97" s="24" t="inlineStr">
        <is>
          <t>ชื่อ-สกุล</t>
        </is>
      </c>
      <c r="C97" s="153" t="n"/>
      <c r="D97" s="135" t="n"/>
      <c r="E97" s="15" t="inlineStr">
        <is>
          <t>ตำแหน่ง</t>
        </is>
      </c>
      <c r="F97" s="16" t="inlineStr">
        <is>
          <t>ระยะเวลาที่สอน</t>
        </is>
      </c>
      <c r="G97" s="432" t="n"/>
      <c r="H97" s="16" t="inlineStr">
        <is>
          <t>รหัสวิชา</t>
        </is>
      </c>
      <c r="I97" s="362" t="inlineStr">
        <is>
          <t>ชั้น,แผนก,ห้อง</t>
        </is>
      </c>
      <c r="J97" s="16" t="inlineStr">
        <is>
          <t>เวลาสอน</t>
        </is>
      </c>
      <c r="K97" s="135" t="n"/>
      <c r="L97" s="16" t="inlineStr">
        <is>
          <t>ปวช.(คาบ)</t>
        </is>
      </c>
      <c r="M97" s="432" t="n"/>
      <c r="N97" s="354" t="inlineStr">
        <is>
          <t>เงิน</t>
        </is>
      </c>
      <c r="O97" s="362" t="inlineStr">
        <is>
          <t>ยอดเงิน</t>
        </is>
      </c>
      <c r="P97" s="524" t="inlineStr">
        <is>
          <t>ปวส.(คาบ)</t>
        </is>
      </c>
      <c r="Q97" s="432" t="n"/>
      <c r="R97" s="354" t="inlineStr">
        <is>
          <t>เงิน</t>
        </is>
      </c>
      <c r="S97" s="362" t="inlineStr">
        <is>
          <t>ยอดเงิน</t>
        </is>
      </c>
    </row>
    <row r="98" ht="22.2" customHeight="1" s="375">
      <c r="A98" s="52" t="n"/>
      <c r="B98" s="8" t="n"/>
      <c r="C98" s="9" t="n"/>
      <c r="D98" s="13" t="n"/>
      <c r="E98" s="10" t="n"/>
      <c r="F98" s="336" t="inlineStr">
        <is>
          <t>ส.</t>
        </is>
      </c>
      <c r="G98" s="336" t="inlineStr">
        <is>
          <t>วดป.</t>
        </is>
      </c>
      <c r="H98" s="525" t="n"/>
      <c r="I98" s="336" t="n"/>
      <c r="J98" s="526" t="n"/>
      <c r="K98" s="527" t="n"/>
      <c r="L98" s="336" t="inlineStr">
        <is>
          <t>ใน</t>
        </is>
      </c>
      <c r="M98" s="336" t="inlineStr">
        <is>
          <t>นอก</t>
        </is>
      </c>
      <c r="N98" s="336" t="inlineStr">
        <is>
          <t>ต่อ ชม.</t>
        </is>
      </c>
      <c r="O98" s="336" t="inlineStr">
        <is>
          <t>(บาท)</t>
        </is>
      </c>
      <c r="P98" s="52" t="inlineStr">
        <is>
          <t>ใน</t>
        </is>
      </c>
      <c r="Q98" s="52" t="inlineStr">
        <is>
          <t>นอก</t>
        </is>
      </c>
      <c r="R98" s="336" t="inlineStr">
        <is>
          <t>ต่อ ชม.</t>
        </is>
      </c>
      <c r="S98" s="336" t="inlineStr">
        <is>
          <t>(บาท)</t>
        </is>
      </c>
    </row>
    <row r="99" ht="22.2" customHeight="1" s="375">
      <c r="A99" s="362" t="n">
        <v>3</v>
      </c>
      <c r="B99" s="528">
        <f>AB5</f>
        <v/>
      </c>
      <c r="C99" s="153" t="n"/>
      <c r="D99" s="135" t="n"/>
      <c r="E99" s="362" t="inlineStr">
        <is>
          <t>ครู</t>
        </is>
      </c>
      <c r="F99" s="5" t="n">
        <v>4</v>
      </c>
      <c r="G99" s="529" t="inlineStr">
        <is>
          <t>จันทร์</t>
        </is>
      </c>
      <c r="H99" s="381" t="inlineStr">
        <is>
          <t>20101-2008</t>
        </is>
      </c>
      <c r="I99" s="376" t="inlineStr">
        <is>
          <t>ชย.2/1 (26)</t>
        </is>
      </c>
      <c r="J99" s="381" t="inlineStr">
        <is>
          <t>08:10 - 12:10</t>
        </is>
      </c>
      <c r="K99" s="135" t="n"/>
      <c r="L99" s="367" t="n">
        <v>4</v>
      </c>
      <c r="M99" s="381" t="inlineStr"/>
      <c r="N99" s="381" t="inlineStr"/>
      <c r="O99" s="354" t="inlineStr"/>
      <c r="P99" s="381" t="inlineStr"/>
      <c r="Q99" s="367" t="inlineStr"/>
      <c r="R99" s="381" t="inlineStr"/>
      <c r="S99" s="354" t="inlineStr"/>
      <c r="T99" t="inlineStr"/>
      <c r="U99" t="inlineStr"/>
    </row>
    <row r="100" ht="22.2" customHeight="1" s="375">
      <c r="A100" s="3" t="n"/>
      <c r="B100" s="530" t="n"/>
      <c r="D100" s="374" t="n"/>
      <c r="E100" s="334" t="n"/>
      <c r="F100" s="322" t="n"/>
      <c r="G100" s="535" t="inlineStr">
        <is>
          <t>5 ต.ค.69</t>
        </is>
      </c>
      <c r="H100" s="376" t="inlineStr">
        <is>
          <t>20100-1005</t>
        </is>
      </c>
      <c r="I100" s="376" t="inlineStr">
        <is>
          <t>ชย.1/2 (26)</t>
        </is>
      </c>
      <c r="J100" s="376" t="inlineStr">
        <is>
          <t>13:10 - 17:10</t>
        </is>
      </c>
      <c r="K100" s="374" t="n"/>
      <c r="L100" s="334" t="n">
        <v>4</v>
      </c>
      <c r="M100" s="334" t="inlineStr"/>
      <c r="N100" s="334" t="inlineStr"/>
      <c r="O100" s="354" t="inlineStr"/>
      <c r="P100" s="334" t="inlineStr"/>
      <c r="Q100" s="334" t="inlineStr"/>
      <c r="R100" s="334" t="inlineStr"/>
      <c r="S100" s="354" t="inlineStr"/>
      <c r="T100" t="inlineStr"/>
      <c r="U100" t="inlineStr"/>
    </row>
    <row r="101" ht="22.2" customHeight="1" s="375">
      <c r="A101" s="3" t="n"/>
      <c r="B101" s="313" t="n"/>
      <c r="D101" s="47" t="n"/>
      <c r="E101" s="314" t="n"/>
      <c r="F101" s="322" t="n"/>
      <c r="G101" s="325" t="inlineStr"/>
      <c r="H101" s="376" t="inlineStr"/>
      <c r="I101" s="376" t="inlineStr"/>
      <c r="J101" s="376" t="inlineStr"/>
      <c r="K101" s="374" t="n"/>
      <c r="L101" s="334" t="inlineStr"/>
      <c r="M101" s="334" t="inlineStr"/>
      <c r="N101" s="334" t="inlineStr"/>
      <c r="O101" s="354" t="inlineStr"/>
      <c r="P101" s="334" t="inlineStr"/>
      <c r="Q101" s="334" t="inlineStr"/>
      <c r="R101" s="334" t="inlineStr"/>
      <c r="S101" s="354" t="inlineStr"/>
      <c r="T101" t="inlineStr"/>
      <c r="U101" t="inlineStr"/>
    </row>
    <row r="102" ht="22.2" customHeight="1" s="375">
      <c r="A102" s="3" t="n"/>
      <c r="B102" s="313" t="n"/>
      <c r="D102" s="61" t="n"/>
      <c r="E102" s="3" t="n"/>
      <c r="F102" s="322" t="n"/>
      <c r="G102" s="325" t="inlineStr"/>
      <c r="H102" s="334" t="inlineStr"/>
      <c r="I102" s="1" t="inlineStr"/>
      <c r="J102" s="1" t="inlineStr"/>
      <c r="K102" s="374" t="n"/>
      <c r="L102" s="334" t="inlineStr"/>
      <c r="M102" s="334" t="inlineStr"/>
      <c r="N102" s="334" t="inlineStr"/>
      <c r="O102" s="354" t="inlineStr"/>
      <c r="P102" s="334" t="inlineStr"/>
      <c r="Q102" s="334" t="inlineStr"/>
      <c r="R102" s="334" t="inlineStr"/>
      <c r="S102" s="354" t="inlineStr"/>
      <c r="T102" t="inlineStr"/>
      <c r="U102" t="inlineStr"/>
    </row>
    <row r="103" ht="22.2" customHeight="1" s="375">
      <c r="A103" s="3" t="n"/>
      <c r="E103" s="3" t="n"/>
      <c r="G103" s="55" t="inlineStr"/>
      <c r="H103" s="336" t="inlineStr"/>
      <c r="I103" s="336" t="inlineStr"/>
      <c r="J103" s="336" t="inlineStr"/>
      <c r="K103" s="527" t="n"/>
      <c r="L103" s="334" t="inlineStr"/>
      <c r="M103" s="334" t="inlineStr"/>
      <c r="N103" s="334" t="inlineStr"/>
      <c r="O103" s="354" t="inlineStr"/>
      <c r="P103" s="334" t="inlineStr"/>
      <c r="Q103" s="334" t="inlineStr"/>
      <c r="R103" s="334" t="inlineStr"/>
      <c r="S103" s="354" t="inlineStr"/>
      <c r="T103" t="inlineStr"/>
      <c r="U103" t="inlineStr"/>
    </row>
    <row r="104" ht="22.2" customHeight="1" s="375">
      <c r="A104" s="3" t="n"/>
      <c r="E104" s="3" t="n"/>
      <c r="G104" s="533" t="inlineStr">
        <is>
          <t>อังคาร</t>
        </is>
      </c>
      <c r="H104" s="381" t="inlineStr">
        <is>
          <t>20101-2008</t>
        </is>
      </c>
      <c r="I104" s="376" t="inlineStr">
        <is>
          <t>ชย.2/3 (26)</t>
        </is>
      </c>
      <c r="J104" s="381" t="inlineStr">
        <is>
          <t>08:10 - 12:10</t>
        </is>
      </c>
      <c r="K104" s="135" t="n"/>
      <c r="L104" s="176" t="n">
        <v>4</v>
      </c>
      <c r="M104" s="381" t="inlineStr"/>
      <c r="N104" s="381" t="inlineStr"/>
      <c r="O104" s="354" t="inlineStr"/>
      <c r="P104" s="381" t="inlineStr"/>
      <c r="Q104" s="367" t="inlineStr"/>
      <c r="R104" s="381" t="inlineStr"/>
      <c r="S104" s="354" t="inlineStr"/>
      <c r="T104" s="383" t="inlineStr"/>
    </row>
    <row r="105" ht="22.2" customHeight="1" s="375">
      <c r="A105" s="3" t="n"/>
      <c r="E105" s="3" t="n"/>
      <c r="G105" s="535" t="inlineStr">
        <is>
          <t>6 ต.ค.69</t>
        </is>
      </c>
      <c r="H105" s="376" t="inlineStr">
        <is>
          <t>20100-1005</t>
        </is>
      </c>
      <c r="I105" s="376" t="inlineStr">
        <is>
          <t>ชย.1/1 (26)</t>
        </is>
      </c>
      <c r="J105" s="376" t="inlineStr">
        <is>
          <t>13:10 - 17:10</t>
        </is>
      </c>
      <c r="K105" s="374" t="n"/>
      <c r="L105" s="334" t="n">
        <v>4</v>
      </c>
      <c r="M105" s="334" t="inlineStr"/>
      <c r="N105" s="334" t="inlineStr"/>
      <c r="O105" s="354" t="inlineStr"/>
      <c r="P105" s="334" t="inlineStr"/>
      <c r="Q105" s="334" t="inlineStr"/>
      <c r="R105" s="376" t="inlineStr"/>
      <c r="S105" s="354" t="inlineStr"/>
      <c r="T105" s="23" t="inlineStr"/>
      <c r="U105" s="23" t="inlineStr"/>
      <c r="V105" s="56" t="n"/>
      <c r="W105" s="23" t="n"/>
      <c r="X105" s="23" t="n"/>
    </row>
    <row r="106" ht="22.2" customHeight="1" s="375">
      <c r="A106" s="3" t="n"/>
      <c r="B106" s="313" t="n"/>
      <c r="D106" s="314" t="n"/>
      <c r="E106" s="314" t="n"/>
      <c r="G106" s="334" t="inlineStr"/>
      <c r="H106" s="376" t="inlineStr"/>
      <c r="I106" s="376" t="inlineStr"/>
      <c r="J106" s="376" t="inlineStr"/>
      <c r="K106" s="374" t="n"/>
      <c r="L106" s="334" t="inlineStr"/>
      <c r="M106" s="334" t="inlineStr"/>
      <c r="N106" s="334" t="inlineStr"/>
      <c r="O106" s="354" t="inlineStr"/>
      <c r="P106" s="334" t="inlineStr"/>
      <c r="Q106" s="334" t="inlineStr"/>
      <c r="R106" s="376" t="inlineStr"/>
      <c r="S106" s="354" t="inlineStr"/>
      <c r="T106" t="inlineStr"/>
      <c r="U106" t="inlineStr"/>
    </row>
    <row r="107" ht="22.2" customHeight="1" s="375">
      <c r="A107" s="3" t="n"/>
      <c r="B107" s="313" t="n"/>
      <c r="D107" s="314" t="n"/>
      <c r="E107" s="314" t="n"/>
      <c r="G107" s="54" t="inlineStr"/>
      <c r="H107" s="334" t="inlineStr"/>
      <c r="I107" s="334" t="inlineStr"/>
      <c r="J107" s="334" t="inlineStr"/>
      <c r="K107" s="374" t="n"/>
      <c r="L107" s="334" t="inlineStr"/>
      <c r="M107" s="334" t="inlineStr"/>
      <c r="N107" s="334" t="inlineStr"/>
      <c r="O107" s="354" t="inlineStr"/>
      <c r="P107" s="334" t="inlineStr"/>
      <c r="Q107" s="334" t="inlineStr"/>
      <c r="R107" s="334" t="inlineStr"/>
      <c r="S107" s="354" t="inlineStr"/>
      <c r="T107" t="inlineStr"/>
      <c r="U107" t="inlineStr"/>
    </row>
    <row r="108" ht="22.2" customHeight="1" s="375">
      <c r="A108" s="3" t="n"/>
      <c r="B108" s="313" t="n"/>
      <c r="E108" s="3" t="n"/>
      <c r="G108" s="55" t="inlineStr"/>
      <c r="H108" s="336" t="inlineStr"/>
      <c r="I108" s="336" t="inlineStr"/>
      <c r="J108" s="336" t="inlineStr"/>
      <c r="K108" s="527" t="n"/>
      <c r="L108" s="334" t="inlineStr"/>
      <c r="M108" s="334" t="inlineStr"/>
      <c r="N108" s="334" t="inlineStr"/>
      <c r="O108" s="354" t="inlineStr"/>
      <c r="P108" s="334" t="inlineStr"/>
      <c r="Q108" s="334" t="inlineStr"/>
      <c r="R108" s="334" t="inlineStr"/>
      <c r="S108" s="354" t="inlineStr"/>
      <c r="T108" t="inlineStr"/>
      <c r="U108" t="inlineStr"/>
    </row>
    <row r="109" ht="22.2" customHeight="1" s="375">
      <c r="A109" s="3" t="n"/>
      <c r="E109" s="3" t="n"/>
      <c r="G109" s="535" t="inlineStr">
        <is>
          <t>พุธ</t>
        </is>
      </c>
      <c r="H109" s="381" t="inlineStr">
        <is>
          <t>20100-1005</t>
        </is>
      </c>
      <c r="I109" s="376" t="inlineStr">
        <is>
          <t>ชย.1/4 (26)</t>
        </is>
      </c>
      <c r="J109" s="381" t="inlineStr">
        <is>
          <t>08:10 - 12:10</t>
        </is>
      </c>
      <c r="K109" s="135" t="n"/>
      <c r="L109" s="367" t="n">
        <v>3</v>
      </c>
      <c r="M109" s="381" t="n">
        <v>1</v>
      </c>
      <c r="N109" s="381" t="n">
        <v>200</v>
      </c>
      <c r="O109" s="354">
        <f>M109*N109</f>
        <v/>
      </c>
      <c r="P109" s="381" t="inlineStr"/>
      <c r="Q109" s="367" t="inlineStr"/>
      <c r="R109" s="381" t="inlineStr"/>
      <c r="S109" s="354" t="inlineStr"/>
      <c r="T109" t="inlineStr"/>
      <c r="U109" t="inlineStr"/>
    </row>
    <row r="110" ht="22.2" customHeight="1" s="375">
      <c r="A110" s="3" t="n"/>
      <c r="E110" s="3" t="n"/>
      <c r="G110" s="535" t="inlineStr">
        <is>
          <t>7 ต.ค.69</t>
        </is>
      </c>
      <c r="H110" s="376" t="inlineStr">
        <is>
          <t>20143-2015</t>
        </is>
      </c>
      <c r="I110" s="376" t="inlineStr">
        <is>
          <t>ชยฟ.3/1 (26)</t>
        </is>
      </c>
      <c r="J110" s="334" t="inlineStr">
        <is>
          <t>13:10 - 17:10</t>
        </is>
      </c>
      <c r="K110" s="374" t="n"/>
      <c r="L110" s="334" t="inlineStr"/>
      <c r="M110" s="334" t="n">
        <v>4</v>
      </c>
      <c r="N110" s="334" t="n">
        <v>200</v>
      </c>
      <c r="O110" s="354">
        <f>M110*N110</f>
        <v/>
      </c>
      <c r="P110" s="334" t="inlineStr"/>
      <c r="Q110" s="334" t="inlineStr"/>
      <c r="R110" s="334" t="inlineStr"/>
      <c r="S110" s="354" t="inlineStr"/>
      <c r="T110" t="inlineStr"/>
      <c r="U110" t="inlineStr"/>
    </row>
    <row r="111" ht="22.2" customHeight="1" s="375">
      <c r="A111" s="3" t="n"/>
      <c r="E111" s="3" t="n"/>
      <c r="G111" s="334" t="inlineStr"/>
      <c r="H111" s="376" t="inlineStr"/>
      <c r="I111" s="376" t="inlineStr"/>
      <c r="J111" s="376" t="inlineStr"/>
      <c r="K111" s="374" t="n"/>
      <c r="L111" s="334" t="inlineStr"/>
      <c r="M111" s="334" t="inlineStr"/>
      <c r="N111" s="334" t="inlineStr"/>
      <c r="O111" s="354" t="inlineStr"/>
      <c r="P111" s="334" t="inlineStr"/>
      <c r="Q111" s="334" t="inlineStr"/>
      <c r="R111" s="334" t="inlineStr"/>
      <c r="S111" s="354" t="inlineStr"/>
      <c r="T111" t="inlineStr"/>
      <c r="U111" t="inlineStr"/>
    </row>
    <row r="112" ht="22.2" customHeight="1" s="375">
      <c r="A112" s="3" t="n"/>
      <c r="B112" s="313" t="n"/>
      <c r="D112" s="314" t="n"/>
      <c r="E112" s="314" t="n"/>
      <c r="G112" s="321" t="inlineStr"/>
      <c r="H112" s="334" t="inlineStr"/>
      <c r="I112" s="376" t="inlineStr"/>
      <c r="J112" s="334" t="inlineStr"/>
      <c r="K112" s="374" t="n"/>
      <c r="L112" s="334" t="inlineStr"/>
      <c r="M112" s="334" t="inlineStr"/>
      <c r="N112" s="334" t="inlineStr"/>
      <c r="O112" s="354" t="inlineStr"/>
      <c r="P112" s="334" t="inlineStr"/>
      <c r="Q112" s="334" t="inlineStr"/>
      <c r="R112" s="334" t="inlineStr"/>
      <c r="S112" s="354" t="inlineStr"/>
      <c r="T112" t="inlineStr"/>
      <c r="U112" t="inlineStr"/>
    </row>
    <row r="113" ht="22.2" customHeight="1" s="375">
      <c r="A113" s="3" t="n"/>
      <c r="E113" s="3" t="n"/>
      <c r="G113" s="327" t="inlineStr"/>
      <c r="H113" s="336" t="inlineStr"/>
      <c r="I113" s="336" t="inlineStr"/>
      <c r="J113" s="336" t="inlineStr"/>
      <c r="K113" s="527" t="n"/>
      <c r="L113" s="336" t="inlineStr"/>
      <c r="M113" s="336" t="inlineStr"/>
      <c r="N113" s="336" t="inlineStr"/>
      <c r="O113" s="354" t="inlineStr"/>
      <c r="P113" s="336" t="inlineStr"/>
      <c r="Q113" s="336" t="inlineStr"/>
      <c r="R113" s="336" t="inlineStr"/>
      <c r="S113" s="354" t="inlineStr"/>
      <c r="T113" t="inlineStr"/>
      <c r="U113" t="inlineStr"/>
    </row>
    <row r="114" ht="22.2" customHeight="1" s="375">
      <c r="A114" s="3" t="n"/>
      <c r="D114" s="7" t="inlineStr">
        <is>
          <t> </t>
        </is>
      </c>
      <c r="E114" s="3" t="n"/>
      <c r="G114" s="533" t="inlineStr">
        <is>
          <t>พฤหัส</t>
        </is>
      </c>
      <c r="H114" s="381" t="inlineStr">
        <is>
          <t>20101-2003</t>
        </is>
      </c>
      <c r="I114" s="376" t="inlineStr">
        <is>
          <t>ชย.1/4 (26)</t>
        </is>
      </c>
      <c r="J114" s="381" t="inlineStr">
        <is>
          <t>08:10 - 12:10</t>
        </is>
      </c>
      <c r="K114" s="135" t="n"/>
      <c r="L114" s="334" t="inlineStr"/>
      <c r="M114" s="334" t="n">
        <v>4</v>
      </c>
      <c r="N114" s="334" t="n">
        <v>200</v>
      </c>
      <c r="O114" s="354">
        <f>M114*N114</f>
        <v/>
      </c>
      <c r="P114" s="334" t="inlineStr"/>
      <c r="Q114" s="362" t="inlineStr"/>
      <c r="R114" s="362" t="inlineStr"/>
      <c r="S114" s="354" t="inlineStr"/>
      <c r="T114" s="383" t="inlineStr"/>
    </row>
    <row r="115" ht="22.2" customHeight="1" s="375">
      <c r="A115" s="3" t="n"/>
      <c r="E115" s="3" t="n"/>
      <c r="G115" s="535" t="inlineStr">
        <is>
          <t>8 ต.ค.69</t>
        </is>
      </c>
      <c r="H115" s="376" t="inlineStr">
        <is>
          <t>20000-2004</t>
        </is>
      </c>
      <c r="I115" s="376" t="inlineStr">
        <is>
          <t>ชย.2/7,ชย.2/8,ชย.ทวิ 2/9 (26)</t>
        </is>
      </c>
      <c r="J115" s="376" t="inlineStr">
        <is>
          <t>13:10 - 15:10</t>
        </is>
      </c>
      <c r="K115" s="374" t="n"/>
      <c r="L115" s="323" t="n">
        <v>2</v>
      </c>
      <c r="M115" s="334" t="inlineStr"/>
      <c r="N115" s="334" t="inlineStr"/>
      <c r="O115" s="354" t="inlineStr"/>
      <c r="P115" s="334" t="inlineStr"/>
      <c r="Q115" s="334" t="inlineStr"/>
      <c r="R115" s="334" t="inlineStr"/>
      <c r="S115" s="354" t="inlineStr"/>
      <c r="T115" s="23" t="inlineStr"/>
      <c r="U115" s="23" t="inlineStr"/>
      <c r="V115" s="56" t="n"/>
      <c r="W115" s="23" t="n"/>
      <c r="X115" s="23" t="n"/>
    </row>
    <row r="116" ht="22.2" customHeight="1" s="375">
      <c r="A116" s="3" t="n"/>
      <c r="B116" s="313" t="n"/>
      <c r="E116" s="3" t="n"/>
      <c r="G116" s="334" t="inlineStr"/>
      <c r="H116" s="376" t="inlineStr">
        <is>
          <t>20101-2003</t>
        </is>
      </c>
      <c r="I116" s="376" t="inlineStr">
        <is>
          <t>ชย.1/4 (26)</t>
        </is>
      </c>
      <c r="J116" s="376" t="inlineStr">
        <is>
          <t>15:10 - 18:10</t>
        </is>
      </c>
      <c r="K116" s="374" t="n"/>
      <c r="L116" s="376" t="inlineStr"/>
      <c r="M116" s="376" t="n">
        <v>3</v>
      </c>
      <c r="N116" s="376" t="n">
        <v>200</v>
      </c>
      <c r="O116" s="354">
        <f>M116*N116</f>
        <v/>
      </c>
      <c r="P116" s="376" t="inlineStr"/>
      <c r="Q116" s="376" t="inlineStr"/>
      <c r="R116" s="376" t="inlineStr"/>
      <c r="S116" s="354" t="inlineStr"/>
      <c r="T116" t="inlineStr"/>
      <c r="U116" t="inlineStr"/>
    </row>
    <row r="117" ht="22.2" customHeight="1" s="375">
      <c r="A117" s="3" t="n"/>
      <c r="E117" s="3" t="n"/>
      <c r="G117" s="334" t="inlineStr"/>
      <c r="H117" s="334" t="inlineStr"/>
      <c r="I117" s="334" t="inlineStr"/>
      <c r="J117" s="334" t="inlineStr"/>
      <c r="K117" s="374" t="n"/>
      <c r="L117" s="334" t="inlineStr"/>
      <c r="M117" s="334" t="inlineStr"/>
      <c r="N117" s="334" t="inlineStr"/>
      <c r="O117" s="354" t="inlineStr"/>
      <c r="P117" s="334" t="inlineStr"/>
      <c r="Q117" s="334" t="inlineStr"/>
      <c r="R117" s="334" t="inlineStr"/>
      <c r="S117" s="354" t="inlineStr"/>
      <c r="T117" t="inlineStr"/>
      <c r="U117" t="inlineStr"/>
    </row>
    <row r="118" ht="22.2" customHeight="1" s="375">
      <c r="A118" s="3" t="n"/>
      <c r="E118" s="3" t="n"/>
      <c r="G118" s="336" t="inlineStr"/>
      <c r="H118" s="328" t="inlineStr"/>
      <c r="I118" s="336" t="inlineStr"/>
      <c r="J118" s="336" t="inlineStr"/>
      <c r="K118" s="527" t="n"/>
      <c r="L118" s="336" t="inlineStr"/>
      <c r="M118" s="336" t="inlineStr"/>
      <c r="N118" s="336" t="inlineStr"/>
      <c r="O118" s="354" t="inlineStr"/>
      <c r="P118" s="336" t="inlineStr"/>
      <c r="Q118" s="336" t="inlineStr"/>
      <c r="R118" s="336" t="inlineStr"/>
      <c r="S118" s="354" t="inlineStr"/>
      <c r="T118" t="inlineStr"/>
      <c r="U118" t="inlineStr"/>
    </row>
    <row r="119" ht="22.2" customHeight="1" s="375">
      <c r="A119" s="3" t="n"/>
      <c r="E119" s="3" t="n"/>
      <c r="G119" s="533" t="inlineStr">
        <is>
          <t>ศุกร์</t>
        </is>
      </c>
      <c r="H119" s="381" t="inlineStr"/>
      <c r="I119" s="376" t="inlineStr"/>
      <c r="J119" s="376" t="inlineStr"/>
      <c r="K119" s="374" t="n"/>
      <c r="L119" s="381" t="inlineStr"/>
      <c r="M119" s="362" t="inlineStr"/>
      <c r="N119" s="362" t="inlineStr"/>
      <c r="O119" s="354" t="inlineStr"/>
      <c r="P119" s="381" t="inlineStr"/>
      <c r="Q119" s="381" t="inlineStr"/>
      <c r="R119" s="381" t="inlineStr"/>
      <c r="S119" s="354" t="inlineStr"/>
      <c r="T119" t="inlineStr"/>
      <c r="U119" t="inlineStr"/>
    </row>
    <row r="120" ht="22.2" customHeight="1" s="375">
      <c r="A120" s="3" t="n"/>
      <c r="E120" s="3" t="n"/>
      <c r="G120" s="535" t="inlineStr">
        <is>
          <t>9 ต.ค.69</t>
        </is>
      </c>
      <c r="H120" s="376" t="inlineStr"/>
      <c r="I120" s="376" t="inlineStr"/>
      <c r="J120" s="376" t="inlineStr"/>
      <c r="K120" s="374" t="n"/>
      <c r="L120" s="334" t="inlineStr"/>
      <c r="M120" s="334" t="inlineStr"/>
      <c r="N120" s="334" t="inlineStr"/>
      <c r="O120" s="354" t="inlineStr"/>
      <c r="P120" s="334" t="inlineStr"/>
      <c r="Q120" s="334" t="inlineStr"/>
      <c r="R120" s="334" t="inlineStr"/>
      <c r="S120" s="354" t="inlineStr"/>
      <c r="T120" t="inlineStr"/>
      <c r="U120" t="inlineStr"/>
    </row>
    <row r="121" ht="22.2" customHeight="1" s="375">
      <c r="A121" s="3" t="n"/>
      <c r="E121" s="3" t="n"/>
      <c r="G121" s="334" t="inlineStr"/>
      <c r="H121" s="376" t="inlineStr"/>
      <c r="I121" s="376" t="inlineStr"/>
      <c r="J121" s="376" t="inlineStr"/>
      <c r="K121" s="374" t="n"/>
      <c r="L121" s="334" t="inlineStr"/>
      <c r="M121" s="334" t="inlineStr"/>
      <c r="N121" s="334" t="inlineStr"/>
      <c r="O121" s="354" t="inlineStr"/>
      <c r="P121" s="334" t="inlineStr"/>
      <c r="Q121" s="334" t="inlineStr"/>
      <c r="R121" s="334" t="inlineStr"/>
      <c r="S121" s="354" t="inlineStr"/>
      <c r="T121" t="inlineStr"/>
      <c r="U121" t="inlineStr"/>
    </row>
    <row r="122" ht="22.2" customHeight="1" s="375">
      <c r="A122" s="3" t="n"/>
      <c r="E122" s="3" t="n"/>
      <c r="G122" s="334" t="inlineStr"/>
      <c r="H122" s="334" t="inlineStr"/>
      <c r="I122" s="334" t="inlineStr"/>
      <c r="J122" s="323" t="inlineStr"/>
      <c r="K122" s="374" t="n"/>
      <c r="L122" s="334" t="inlineStr"/>
      <c r="M122" s="334" t="inlineStr"/>
      <c r="N122" s="334" t="inlineStr"/>
      <c r="O122" s="354" t="inlineStr"/>
      <c r="P122" s="334" t="inlineStr"/>
      <c r="Q122" s="334" t="inlineStr"/>
      <c r="R122" s="334" t="inlineStr"/>
      <c r="S122" s="354" t="inlineStr"/>
      <c r="T122" t="inlineStr"/>
      <c r="U122" t="inlineStr"/>
    </row>
    <row r="123" ht="22.2" customHeight="1" s="375">
      <c r="A123" s="3" t="n"/>
      <c r="E123" s="3" t="n"/>
      <c r="F123" s="3" t="n"/>
      <c r="G123" s="329" t="inlineStr"/>
      <c r="H123" s="336" t="inlineStr"/>
      <c r="I123" s="336" t="inlineStr"/>
      <c r="J123" s="336" t="inlineStr"/>
      <c r="K123" s="527" t="n"/>
      <c r="L123" s="336" t="inlineStr"/>
      <c r="M123" s="336" t="inlineStr"/>
      <c r="N123" s="336" t="inlineStr"/>
      <c r="O123" s="354" t="inlineStr"/>
      <c r="P123" s="336" t="inlineStr"/>
      <c r="Q123" s="336" t="inlineStr"/>
      <c r="R123" s="336" t="inlineStr"/>
      <c r="S123" s="354" t="inlineStr"/>
      <c r="T123" t="inlineStr"/>
      <c r="U123" t="inlineStr"/>
    </row>
    <row r="124" ht="22.2" customHeight="1" s="375">
      <c r="A124" s="3" t="n"/>
      <c r="E124" s="3" t="n"/>
      <c r="F124" s="3" t="n"/>
      <c r="G124" s="16" t="inlineStr">
        <is>
          <t>รวมขั่วโมงที่สอนแยก ภาระงาน/ เกินภาระงาน</t>
        </is>
      </c>
      <c r="H124" s="518" t="n"/>
      <c r="I124" s="518" t="n"/>
      <c r="J124" s="518" t="n"/>
      <c r="K124" s="432" t="n"/>
      <c r="L124" s="16">
        <f>SUM(L99:L123)</f>
        <v/>
      </c>
      <c r="M124" s="16">
        <f>SUM(M99:M123)</f>
        <v/>
      </c>
      <c r="N124" s="16" t="n"/>
      <c r="O124" s="16" t="n"/>
      <c r="P124" s="16">
        <f>SUM(P99:P123)</f>
        <v/>
      </c>
      <c r="Q124" s="16">
        <f>SUM(Q99:Q123)</f>
        <v/>
      </c>
      <c r="R124" s="349" t="n"/>
      <c r="S124" s="16" t="n"/>
    </row>
    <row r="125" ht="22.2" customHeight="1" s="375">
      <c r="A125" s="3" t="n"/>
      <c r="E125" s="3" t="n"/>
      <c r="F125" s="3" t="n"/>
      <c r="G125" s="16" t="inlineStr">
        <is>
          <t>รวมจำนวนชั่วโมงสอนคาบต่อสับดาห์</t>
        </is>
      </c>
      <c r="H125" s="518" t="n"/>
      <c r="I125" s="518" t="n"/>
      <c r="J125" s="518" t="n"/>
      <c r="K125" s="432" t="n"/>
      <c r="L125" s="16">
        <f>L124+M124</f>
        <v/>
      </c>
      <c r="M125" s="432" t="n"/>
      <c r="N125" s="348" t="n"/>
      <c r="O125" s="16" t="n"/>
      <c r="P125" s="16">
        <f>P124+Q124</f>
        <v/>
      </c>
      <c r="Q125" s="432" t="n"/>
      <c r="R125" s="329" t="n"/>
      <c r="S125" s="336" t="n"/>
    </row>
    <row r="126" ht="22.2" customHeight="1" s="375">
      <c r="A126" s="3" t="n"/>
      <c r="E126" s="3" t="n"/>
      <c r="F126" s="3" t="n"/>
      <c r="G126" s="16" t="inlineStr">
        <is>
          <t>จำนวนชั่วโมงสอนตามภาระงานสอน</t>
        </is>
      </c>
      <c r="H126" s="518" t="n"/>
      <c r="I126" s="518" t="n"/>
      <c r="J126" s="518" t="n"/>
      <c r="K126" s="432" t="n"/>
      <c r="L126" s="16" t="n">
        <v>18</v>
      </c>
      <c r="M126" s="432" t="n"/>
      <c r="N126" s="16" t="n"/>
      <c r="O126" s="348" t="n"/>
      <c r="P126" s="131" t="n">
        <v>0</v>
      </c>
      <c r="Q126" s="432" t="n"/>
      <c r="R126" s="322" t="n"/>
      <c r="S126" s="334" t="n"/>
    </row>
    <row r="127" ht="22.2" customHeight="1" s="375" thickBot="1">
      <c r="A127" s="3" t="n"/>
      <c r="E127" s="3" t="n"/>
      <c r="F127" s="14" t="n"/>
      <c r="G127" s="16" t="inlineStr">
        <is>
          <t>จำนวนชั่วโมงบิกเกินภาระงานสอน/ค่าสอน</t>
        </is>
      </c>
      <c r="H127" s="518" t="n"/>
      <c r="I127" s="518" t="n"/>
      <c r="J127" s="518" t="n"/>
      <c r="K127" s="432" t="n"/>
      <c r="L127" s="17" t="n">
        <v>0</v>
      </c>
      <c r="M127" s="17">
        <f>SUM(M99:M123)</f>
        <v/>
      </c>
      <c r="N127" s="17" t="n"/>
      <c r="O127" s="17">
        <f>SUM(O99:O123)</f>
        <v/>
      </c>
      <c r="P127" s="17" t="n">
        <v>0</v>
      </c>
      <c r="Q127" s="17">
        <f>SUM(Q99:Q123)</f>
        <v/>
      </c>
      <c r="R127" s="18" t="n"/>
      <c r="S127" s="17">
        <f>SUM(S99:S123)</f>
        <v/>
      </c>
    </row>
    <row r="128" ht="22.2" customHeight="1" s="375" thickTop="1">
      <c r="A128" s="337" t="inlineStr">
        <is>
          <t>รวมจำนวนหน่วยชั่วโมงที่ขอเบิกค่าสอน ….</t>
        </is>
      </c>
      <c r="B128" s="518" t="n"/>
      <c r="C128" s="518" t="n"/>
      <c r="D128" s="518" t="n"/>
      <c r="E128" s="518" t="n"/>
      <c r="F128" s="518" t="n"/>
      <c r="G128" s="518" t="n"/>
      <c r="H128" s="348">
        <f>M127+Q127</f>
        <v/>
      </c>
      <c r="I128" s="348" t="inlineStr">
        <is>
          <t>….ชั่วโมง</t>
        </is>
      </c>
      <c r="J128" s="348" t="n"/>
      <c r="K128" s="328" t="inlineStr">
        <is>
          <t>ยอดเงินรวม</t>
        </is>
      </c>
      <c r="L128" s="522" t="n"/>
      <c r="M128" s="522" t="n"/>
      <c r="N128" s="328" t="n"/>
      <c r="O128" s="328" t="n"/>
      <c r="P128" s="339">
        <f>S127+O127</f>
        <v/>
      </c>
      <c r="Q128" s="538" t="n"/>
      <c r="R128" s="20" t="n"/>
      <c r="S128" s="19" t="inlineStr">
        <is>
          <t>..บาท</t>
        </is>
      </c>
    </row>
    <row r="129" ht="22.2" customHeight="1" s="375">
      <c r="A129" s="154" t="inlineStr">
        <is>
          <t>ผู้ขอเบิก</t>
        </is>
      </c>
      <c r="B129" s="153" t="n"/>
      <c r="C129" s="153" t="n"/>
      <c r="D129" s="153" t="n"/>
      <c r="E129" s="153" t="n"/>
      <c r="F129" s="153" t="n"/>
      <c r="G129" s="135" t="n"/>
      <c r="H129" s="154" t="inlineStr">
        <is>
          <t>ผู้รับรอง</t>
        </is>
      </c>
      <c r="I129" s="153" t="n"/>
      <c r="J129" s="153" t="n"/>
      <c r="K129" s="153" t="n"/>
      <c r="L129" s="135" t="n"/>
      <c r="M129" s="154" t="inlineStr">
        <is>
          <t>ผู้ตรวจ</t>
        </is>
      </c>
      <c r="N129" s="153" t="n"/>
      <c r="O129" s="153" t="n"/>
      <c r="P129" s="153" t="n"/>
      <c r="Q129" s="153" t="n"/>
      <c r="R129" s="153" t="n"/>
      <c r="S129" s="135" t="n"/>
    </row>
    <row r="130" ht="22.2" customHeight="1" s="375">
      <c r="A130" s="334" t="inlineStr">
        <is>
          <t>ลงชื่อ……………………………………………</t>
        </is>
      </c>
      <c r="G130" s="374" t="n"/>
      <c r="H130" s="334" t="inlineStr">
        <is>
          <t>ลงชื่อ……………………………………………</t>
        </is>
      </c>
      <c r="L130" s="374" t="n"/>
      <c r="M130" s="334" t="inlineStr">
        <is>
          <t>ลงชื่อ……………………………………………</t>
        </is>
      </c>
      <c r="S130" s="374" t="n"/>
    </row>
    <row r="131" ht="22.2" customHeight="1" s="375">
      <c r="A131" s="11" t="inlineStr">
        <is>
          <t>(</t>
        </is>
      </c>
      <c r="B131" s="324">
        <f>B99</f>
        <v/>
      </c>
      <c r="G131" s="326" t="inlineStr">
        <is>
          <t>)</t>
        </is>
      </c>
      <c r="H131" s="324" t="inlineStr">
        <is>
          <t>(</t>
        </is>
      </c>
      <c r="I131" s="340">
        <f>I85</f>
        <v/>
      </c>
      <c r="L131" s="12" t="inlineStr">
        <is>
          <t>)</t>
        </is>
      </c>
      <c r="M131" s="53" t="inlineStr">
        <is>
          <t>(</t>
        </is>
      </c>
      <c r="N131" s="53" t="n"/>
      <c r="O131" s="324">
        <f>O39</f>
        <v/>
      </c>
      <c r="R131" s="25" t="n"/>
      <c r="S131" s="326" t="inlineStr">
        <is>
          <t>)</t>
        </is>
      </c>
    </row>
    <row r="132" ht="22.2" customHeight="1" s="375">
      <c r="A132" s="540" t="inlineStr">
        <is>
          <t xml:space="preserve">                         ตำแหน่ง  ครู</t>
        </is>
      </c>
      <c r="G132" s="374" t="n"/>
      <c r="H132" s="54" t="inlineStr">
        <is>
          <t>ตำแหน่ง หัวหน้าแผนก</t>
        </is>
      </c>
      <c r="L132" s="374" t="n"/>
      <c r="M132" s="54" t="inlineStr">
        <is>
          <t>ตำแหน่ง   ผู้ตรวจสอบ</t>
        </is>
      </c>
      <c r="S132" s="374" t="n"/>
    </row>
    <row r="133" ht="22.2" customHeight="1" s="375">
      <c r="A133" s="55" t="inlineStr">
        <is>
          <t>วันที่ 12 เดือน ตุลาคม  พ.ศ.2569</t>
        </is>
      </c>
      <c r="B133" s="522" t="n"/>
      <c r="C133" s="522" t="n"/>
      <c r="D133" s="522" t="n"/>
      <c r="E133" s="522" t="n"/>
      <c r="F133" s="522" t="n"/>
      <c r="G133" s="527" t="n"/>
      <c r="H133" s="54">
        <f>A41</f>
        <v/>
      </c>
      <c r="L133" s="374" t="n"/>
      <c r="M133" s="55">
        <f>A41</f>
        <v/>
      </c>
      <c r="N133" s="522" t="n"/>
      <c r="O133" s="522" t="n"/>
      <c r="P133" s="522" t="n"/>
      <c r="Q133" s="522" t="n"/>
      <c r="R133" s="522" t="n"/>
      <c r="S133" s="527" t="n"/>
    </row>
    <row r="134" ht="22.2" customHeight="1" s="375">
      <c r="A134" s="154" t="inlineStr">
        <is>
          <t>ผู้ตรวจ</t>
        </is>
      </c>
      <c r="B134" s="153" t="n"/>
      <c r="C134" s="153" t="n"/>
      <c r="D134" s="153" t="n"/>
      <c r="E134" s="153" t="n"/>
      <c r="F134" s="153" t="n"/>
      <c r="G134" s="153" t="n"/>
      <c r="H134" s="153" t="n"/>
      <c r="I134" s="135" t="n"/>
      <c r="J134" s="154" t="inlineStr">
        <is>
          <t>ผู้เห็นชอบ</t>
        </is>
      </c>
      <c r="K134" s="153" t="n"/>
      <c r="L134" s="153" t="n"/>
      <c r="M134" s="153" t="n"/>
      <c r="N134" s="153" t="n"/>
      <c r="O134" s="153" t="n"/>
      <c r="P134" s="153" t="n"/>
      <c r="Q134" s="153" t="n"/>
      <c r="R134" s="153" t="n"/>
      <c r="S134" s="135" t="n"/>
    </row>
    <row r="135" ht="22.2" customHeight="1" s="375">
      <c r="A135" s="334" t="inlineStr">
        <is>
          <t>ลงชื่อ……………………………………………</t>
        </is>
      </c>
      <c r="I135" s="374" t="n"/>
      <c r="J135" s="334" t="inlineStr">
        <is>
          <t>ลงชื่อ……………………………………………</t>
        </is>
      </c>
      <c r="S135" s="374" t="n"/>
    </row>
    <row r="136" ht="22.2" customHeight="1" s="375">
      <c r="A136" s="11" t="n"/>
      <c r="B136" s="324">
        <f>B44</f>
        <v/>
      </c>
      <c r="I136" s="326" t="n"/>
      <c r="J136" s="25" t="n"/>
      <c r="K136" s="25" t="n"/>
      <c r="L136" s="324">
        <f>L44</f>
        <v/>
      </c>
      <c r="R136" s="25" t="n"/>
      <c r="S136" s="12" t="n"/>
    </row>
    <row r="137" ht="22.2" customHeight="1" s="375">
      <c r="A137" s="54" t="inlineStr">
        <is>
          <t>ตำแหน่งครู  หัวหน้างานพัฒนาหลักสูตร ฯ</t>
        </is>
      </c>
      <c r="I137" s="374" t="n"/>
      <c r="J137" s="54" t="inlineStr">
        <is>
          <t>ตำแหน่ง  รองผู้อำนวยการฝ่ายวิชาการ</t>
        </is>
      </c>
      <c r="S137" s="374" t="n"/>
    </row>
    <row r="138" ht="22.2" customHeight="1" s="375">
      <c r="A138" s="336" t="inlineStr">
        <is>
          <t>วันที่.......เดือน..........................พ.ศ..............</t>
        </is>
      </c>
      <c r="B138" s="522" t="n"/>
      <c r="C138" s="522" t="n"/>
      <c r="D138" s="522" t="n"/>
      <c r="E138" s="522" t="n"/>
      <c r="F138" s="522" t="n"/>
      <c r="G138" s="522" t="n"/>
      <c r="H138" s="522" t="n"/>
      <c r="I138" s="527" t="n"/>
      <c r="J138" s="336" t="inlineStr">
        <is>
          <t>วันที่.......เดือน..........................พ.ศ..............</t>
        </is>
      </c>
      <c r="K138" s="522" t="n"/>
      <c r="L138" s="522" t="n"/>
      <c r="M138" s="522" t="n"/>
      <c r="N138" s="522" t="n"/>
      <c r="O138" s="522" t="n"/>
      <c r="P138" s="522" t="n"/>
      <c r="Q138" s="522" t="n"/>
      <c r="R138" s="522" t="n"/>
      <c r="S138" s="527" t="n"/>
    </row>
    <row r="139" ht="22.2" customHeight="1" s="375">
      <c r="A139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75">
      <c r="A140" s="365" t="inlineStr">
        <is>
          <t>แผนกวิชาช่างยนต์</t>
        </is>
      </c>
    </row>
    <row r="141" ht="22.2" customHeight="1" s="375">
      <c r="A141" s="366" t="inlineStr">
        <is>
          <t xml:space="preserve">    ระหว่างวันที่</t>
        </is>
      </c>
      <c r="D141" s="365">
        <f>D3</f>
        <v/>
      </c>
      <c r="E141" s="365" t="inlineStr">
        <is>
          <t xml:space="preserve">   เดือน  </t>
        </is>
      </c>
      <c r="F141" s="365">
        <f>F3</f>
        <v/>
      </c>
      <c r="H141" s="365">
        <f>H3</f>
        <v/>
      </c>
      <c r="I141" s="365" t="inlineStr">
        <is>
          <t xml:space="preserve">     ถึง วันที่</t>
        </is>
      </c>
      <c r="J141" s="365">
        <f>J3</f>
        <v/>
      </c>
      <c r="K141" s="365" t="inlineStr">
        <is>
          <t xml:space="preserve">   เดือน </t>
        </is>
      </c>
      <c r="L141" s="365">
        <f>L3</f>
        <v/>
      </c>
      <c r="N141" s="365">
        <f>N3</f>
        <v/>
      </c>
      <c r="P141" s="365" t="n"/>
      <c r="R141" s="365" t="n"/>
    </row>
    <row r="142" ht="22.2" customHeight="1" s="375">
      <c r="G142" s="51" t="inlineStr">
        <is>
          <t>ü</t>
        </is>
      </c>
      <c r="H142" s="351" t="inlineStr">
        <is>
          <t>ครู</t>
        </is>
      </c>
      <c r="I142" s="322" t="inlineStr">
        <is>
          <t>หน้าที่พิเศษ</t>
        </is>
      </c>
      <c r="J142" t="inlineStr">
        <is>
          <t>รหัสวิชา</t>
        </is>
      </c>
    </row>
    <row r="143" ht="22.2" customHeight="1" s="375">
      <c r="A143" s="24" t="inlineStr">
        <is>
          <t>ที่</t>
        </is>
      </c>
      <c r="B143" s="24" t="inlineStr">
        <is>
          <t>ชื่อ-สกุล</t>
        </is>
      </c>
      <c r="C143" s="153" t="n"/>
      <c r="D143" s="135" t="n"/>
      <c r="E143" s="15" t="inlineStr">
        <is>
          <t>ตำแหน่ง</t>
        </is>
      </c>
      <c r="F143" s="16" t="inlineStr">
        <is>
          <t>ระยะเวลาที่สอน</t>
        </is>
      </c>
      <c r="G143" s="432" t="n"/>
      <c r="H143" s="16" t="inlineStr">
        <is>
          <t>รหัสวิชา</t>
        </is>
      </c>
      <c r="I143" s="362" t="inlineStr">
        <is>
          <t>ชั้น,แผนก,ห้อง</t>
        </is>
      </c>
      <c r="J143" s="16" t="inlineStr">
        <is>
          <t>เวลาสอน</t>
        </is>
      </c>
      <c r="K143" s="135" t="n"/>
      <c r="L143" s="16" t="inlineStr">
        <is>
          <t>ปวช.(คาบ)</t>
        </is>
      </c>
      <c r="M143" s="432" t="n"/>
      <c r="N143" s="354" t="inlineStr">
        <is>
          <t>เงิน</t>
        </is>
      </c>
      <c r="O143" s="362" t="inlineStr">
        <is>
          <t>ยอดเงิน</t>
        </is>
      </c>
      <c r="P143" s="524" t="inlineStr">
        <is>
          <t>ปวส.(คาบ)</t>
        </is>
      </c>
      <c r="Q143" s="432" t="n"/>
      <c r="R143" s="354" t="inlineStr">
        <is>
          <t>เงิน</t>
        </is>
      </c>
      <c r="S143" s="362" t="inlineStr">
        <is>
          <t>ยอดเงิน</t>
        </is>
      </c>
    </row>
    <row r="144" ht="22.2" customHeight="1" s="375">
      <c r="A144" s="52" t="n"/>
      <c r="B144" s="8" t="n"/>
      <c r="C144" s="9" t="n"/>
      <c r="D144" s="13" t="n"/>
      <c r="E144" s="10" t="n"/>
      <c r="F144" s="336" t="inlineStr">
        <is>
          <t>ส.</t>
        </is>
      </c>
      <c r="G144" s="336" t="inlineStr">
        <is>
          <t>วดป.</t>
        </is>
      </c>
      <c r="H144" s="525" t="n"/>
      <c r="I144" s="336" t="n"/>
      <c r="J144" s="526" t="n"/>
      <c r="K144" s="527" t="n"/>
      <c r="L144" s="336" t="inlineStr">
        <is>
          <t>ใน</t>
        </is>
      </c>
      <c r="M144" s="336" t="inlineStr">
        <is>
          <t>นอก</t>
        </is>
      </c>
      <c r="N144" s="336" t="inlineStr">
        <is>
          <t>ต่อ ชม.</t>
        </is>
      </c>
      <c r="O144" s="336" t="inlineStr">
        <is>
          <t>(บาท)</t>
        </is>
      </c>
      <c r="P144" s="52" t="inlineStr">
        <is>
          <t>ใน</t>
        </is>
      </c>
      <c r="Q144" s="52" t="inlineStr">
        <is>
          <t>นอก</t>
        </is>
      </c>
      <c r="R144" s="336" t="inlineStr">
        <is>
          <t>ต่อ ชม.</t>
        </is>
      </c>
      <c r="S144" s="336" t="inlineStr">
        <is>
          <t>(บาท)</t>
        </is>
      </c>
    </row>
    <row r="145" ht="22.2" customHeight="1" s="375">
      <c r="A145" s="362" t="n">
        <v>4</v>
      </c>
      <c r="B145" s="528">
        <f>AB6</f>
        <v/>
      </c>
      <c r="C145" s="153" t="n"/>
      <c r="D145" s="135" t="n"/>
      <c r="E145" s="362" t="inlineStr">
        <is>
          <t>ครู</t>
        </is>
      </c>
      <c r="F145" s="5" t="n">
        <v>4</v>
      </c>
      <c r="G145" s="529" t="inlineStr">
        <is>
          <t>จันทร์</t>
        </is>
      </c>
      <c r="H145" s="381" t="inlineStr"/>
      <c r="I145" s="334" t="inlineStr"/>
      <c r="J145" s="381" t="inlineStr"/>
      <c r="K145" s="135" t="n"/>
      <c r="L145" s="367" t="inlineStr"/>
      <c r="M145" s="381" t="inlineStr"/>
      <c r="N145" s="381" t="inlineStr"/>
      <c r="O145" s="354" t="inlineStr"/>
      <c r="P145" s="367" t="inlineStr"/>
      <c r="Q145" s="381" t="inlineStr"/>
      <c r="R145" s="381" t="inlineStr"/>
      <c r="S145" s="354" t="inlineStr"/>
      <c r="T145" t="inlineStr"/>
      <c r="U145" t="inlineStr"/>
    </row>
    <row r="146" ht="22.2" customHeight="1" s="375">
      <c r="A146" s="3" t="n"/>
      <c r="E146" s="334" t="n"/>
      <c r="F146" s="322" t="n"/>
      <c r="G146" s="535" t="inlineStr">
        <is>
          <t>5 ต.ค.69</t>
        </is>
      </c>
      <c r="H146" s="376" t="inlineStr"/>
      <c r="I146" s="334" t="inlineStr"/>
      <c r="J146" s="334" t="inlineStr"/>
      <c r="K146" s="374" t="n"/>
      <c r="L146" s="334" t="inlineStr"/>
      <c r="M146" s="334" t="inlineStr"/>
      <c r="N146" s="334" t="inlineStr"/>
      <c r="O146" s="354" t="inlineStr"/>
      <c r="P146" s="334" t="inlineStr"/>
      <c r="Q146" s="334" t="inlineStr"/>
      <c r="R146" s="334" t="inlineStr"/>
      <c r="S146" s="354" t="inlineStr"/>
      <c r="T146" t="inlineStr"/>
      <c r="U146" t="inlineStr"/>
    </row>
    <row r="147" ht="22.2" customHeight="1" s="375">
      <c r="A147" s="3" t="n"/>
      <c r="B147" s="313" t="n"/>
      <c r="D147" s="314" t="n"/>
      <c r="E147" s="314" t="n"/>
      <c r="F147" s="322" t="n"/>
      <c r="G147" s="321" t="inlineStr"/>
      <c r="H147" s="376" t="inlineStr"/>
      <c r="I147" s="334" t="inlineStr"/>
      <c r="J147" s="334" t="inlineStr"/>
      <c r="K147" s="374" t="n"/>
      <c r="L147" s="334" t="inlineStr"/>
      <c r="M147" s="334" t="inlineStr"/>
      <c r="N147" s="334" t="inlineStr"/>
      <c r="O147" s="354" t="inlineStr"/>
      <c r="P147" s="334" t="inlineStr"/>
      <c r="Q147" s="334" t="inlineStr"/>
      <c r="R147" s="334" t="inlineStr"/>
      <c r="S147" s="354" t="inlineStr"/>
      <c r="T147" t="inlineStr"/>
      <c r="U147" t="inlineStr"/>
    </row>
    <row r="148" ht="22.2" customHeight="1" s="375">
      <c r="A148" s="3" t="n"/>
      <c r="B148" s="313" t="n"/>
      <c r="E148" s="3" t="n"/>
      <c r="F148" s="322" t="n"/>
      <c r="G148" s="321" t="inlineStr"/>
      <c r="H148" s="334" t="inlineStr"/>
      <c r="I148" s="334" t="inlineStr"/>
      <c r="J148" s="334" t="inlineStr"/>
      <c r="K148" s="374" t="n"/>
      <c r="L148" s="334" t="inlineStr"/>
      <c r="M148" s="334" t="inlineStr"/>
      <c r="N148" s="334" t="inlineStr"/>
      <c r="O148" s="354" t="inlineStr"/>
      <c r="P148" s="334" t="inlineStr"/>
      <c r="Q148" s="334" t="inlineStr"/>
      <c r="R148" s="334" t="inlineStr"/>
      <c r="S148" s="354" t="inlineStr"/>
      <c r="T148" t="inlineStr"/>
      <c r="U148" t="inlineStr"/>
    </row>
    <row r="149" ht="22.2" customHeight="1" s="375">
      <c r="A149" s="3" t="n"/>
      <c r="E149" s="3" t="n"/>
      <c r="G149" s="344" t="inlineStr"/>
      <c r="H149" s="336" t="inlineStr"/>
      <c r="I149" s="336" t="inlineStr"/>
      <c r="J149" s="336" t="inlineStr"/>
      <c r="K149" s="527" t="n"/>
      <c r="L149" s="334" t="inlineStr"/>
      <c r="M149" s="334" t="inlineStr"/>
      <c r="N149" s="334" t="inlineStr"/>
      <c r="O149" s="354" t="inlineStr"/>
      <c r="P149" s="334" t="inlineStr"/>
      <c r="Q149" s="334" t="inlineStr"/>
      <c r="R149" s="334" t="inlineStr"/>
      <c r="S149" s="354" t="inlineStr"/>
      <c r="T149" t="inlineStr"/>
      <c r="U149" t="inlineStr"/>
    </row>
    <row r="150" ht="22.2" customHeight="1" s="375">
      <c r="A150" s="3" t="n"/>
      <c r="E150" s="3" t="n"/>
      <c r="G150" s="533" t="inlineStr">
        <is>
          <t>อังคาร</t>
        </is>
      </c>
      <c r="H150" s="376" t="inlineStr">
        <is>
          <t>20101-2002</t>
        </is>
      </c>
      <c r="I150" s="376" t="inlineStr">
        <is>
          <t>ชย.1/10 (26)</t>
        </is>
      </c>
      <c r="J150" s="381" t="inlineStr">
        <is>
          <t>08:10 - 12:10</t>
        </is>
      </c>
      <c r="K150" s="135" t="n"/>
      <c r="L150" s="367" t="n">
        <v>4</v>
      </c>
      <c r="M150" s="381" t="inlineStr"/>
      <c r="N150" s="381" t="inlineStr"/>
      <c r="O150" s="354" t="inlineStr"/>
      <c r="P150" s="367" t="inlineStr"/>
      <c r="Q150" s="381" t="inlineStr"/>
      <c r="R150" s="381" t="inlineStr"/>
      <c r="S150" s="354" t="inlineStr"/>
      <c r="T150" s="6" t="inlineStr"/>
      <c r="U150" s="22" t="inlineStr"/>
      <c r="V150" s="57" t="n"/>
      <c r="W150" s="21" t="n"/>
      <c r="X150" s="21" t="n"/>
    </row>
    <row r="151" ht="22.2" customHeight="1" s="375">
      <c r="A151" s="3" t="n"/>
      <c r="E151" s="3" t="n"/>
      <c r="G151" s="535" t="inlineStr">
        <is>
          <t>6 ต.ค.69</t>
        </is>
      </c>
      <c r="H151" s="376" t="inlineStr">
        <is>
          <t>20101-2002</t>
        </is>
      </c>
      <c r="I151" s="376" t="inlineStr">
        <is>
          <t>ชย.1/10 (26)</t>
        </is>
      </c>
      <c r="J151" s="334" t="inlineStr">
        <is>
          <t>13:10 - 16:10</t>
        </is>
      </c>
      <c r="K151" s="374" t="n"/>
      <c r="L151" s="334" t="n">
        <v>3</v>
      </c>
      <c r="M151" s="334" t="inlineStr"/>
      <c r="N151" s="334" t="inlineStr"/>
      <c r="O151" s="354" t="inlineStr"/>
      <c r="P151" s="334" t="inlineStr"/>
      <c r="Q151" s="334" t="inlineStr"/>
      <c r="R151" s="334" t="inlineStr"/>
      <c r="S151" s="354" t="inlineStr"/>
      <c r="T151" s="21" t="inlineStr"/>
      <c r="U151" s="22" t="inlineStr"/>
      <c r="V151" s="57" t="n"/>
      <c r="W151" s="21" t="n"/>
      <c r="X151" s="21" t="n"/>
    </row>
    <row r="152" ht="22.2" customHeight="1" s="375">
      <c r="A152" s="3" t="n"/>
      <c r="B152" s="313" t="n"/>
      <c r="D152" s="314" t="n"/>
      <c r="E152" s="314" t="n"/>
      <c r="G152" s="334" t="inlineStr"/>
      <c r="H152" s="376" t="inlineStr"/>
      <c r="I152" s="376" t="inlineStr"/>
      <c r="J152" s="376" t="inlineStr"/>
      <c r="K152" s="374" t="n"/>
      <c r="L152" s="334" t="inlineStr"/>
      <c r="M152" s="334" t="inlineStr"/>
      <c r="N152" s="334" t="inlineStr"/>
      <c r="O152" s="354" t="inlineStr"/>
      <c r="P152" s="334" t="inlineStr"/>
      <c r="Q152" s="334" t="inlineStr"/>
      <c r="R152" s="334" t="inlineStr"/>
      <c r="S152" s="354" t="inlineStr"/>
      <c r="T152" t="inlineStr"/>
      <c r="U152" t="inlineStr"/>
    </row>
    <row r="153" ht="22.2" customHeight="1" s="375">
      <c r="A153" s="3" t="n"/>
      <c r="E153" s="3" t="n"/>
      <c r="G153" s="54" t="inlineStr"/>
      <c r="H153" s="334" t="inlineStr"/>
      <c r="I153" s="334" t="inlineStr"/>
      <c r="J153" s="334" t="inlineStr"/>
      <c r="K153" s="374" t="n"/>
      <c r="L153" s="334" t="inlineStr"/>
      <c r="M153" s="334" t="inlineStr"/>
      <c r="N153" s="334" t="inlineStr"/>
      <c r="O153" s="354" t="inlineStr"/>
      <c r="P153" s="334" t="inlineStr"/>
      <c r="Q153" s="334" t="inlineStr"/>
      <c r="R153" s="334" t="inlineStr"/>
      <c r="S153" s="354" t="inlineStr"/>
      <c r="T153" t="inlineStr"/>
      <c r="U153" t="inlineStr"/>
    </row>
    <row r="154" ht="22.2" customHeight="1" s="375">
      <c r="A154" s="3" t="n"/>
      <c r="D154" s="7" t="inlineStr">
        <is>
          <t> </t>
        </is>
      </c>
      <c r="E154" s="3" t="n"/>
      <c r="G154" s="55" t="inlineStr"/>
      <c r="H154" s="336" t="inlineStr"/>
      <c r="I154" s="336" t="inlineStr"/>
      <c r="J154" s="336" t="inlineStr"/>
      <c r="K154" s="527" t="n"/>
      <c r="L154" s="334" t="inlineStr"/>
      <c r="M154" s="334" t="inlineStr"/>
      <c r="N154" s="334" t="inlineStr"/>
      <c r="O154" s="354" t="inlineStr"/>
      <c r="P154" s="334" t="inlineStr"/>
      <c r="Q154" s="334" t="inlineStr"/>
      <c r="R154" s="334" t="inlineStr"/>
      <c r="S154" s="354" t="inlineStr"/>
      <c r="T154" t="inlineStr"/>
      <c r="U154" t="inlineStr"/>
    </row>
    <row r="155" ht="22.2" customHeight="1" s="375">
      <c r="A155" s="3" t="n"/>
      <c r="E155" s="3" t="n"/>
      <c r="G155" s="535" t="inlineStr">
        <is>
          <t>พุธ</t>
        </is>
      </c>
      <c r="H155" s="376" t="inlineStr">
        <is>
          <t>20101-2002</t>
        </is>
      </c>
      <c r="I155" s="376" t="inlineStr">
        <is>
          <t>ชย.1/6 (26)</t>
        </is>
      </c>
      <c r="J155" s="381" t="inlineStr">
        <is>
          <t>08:10 - 12:10</t>
        </is>
      </c>
      <c r="K155" s="135" t="n"/>
      <c r="L155" s="367" t="n">
        <v>4</v>
      </c>
      <c r="M155" s="381" t="inlineStr"/>
      <c r="N155" s="381" t="inlineStr"/>
      <c r="O155" s="354" t="inlineStr"/>
      <c r="P155" s="367" t="inlineStr"/>
      <c r="Q155" s="381" t="inlineStr"/>
      <c r="R155" s="381" t="inlineStr"/>
      <c r="S155" s="354" t="inlineStr"/>
      <c r="T155" t="inlineStr"/>
      <c r="U155" t="inlineStr"/>
    </row>
    <row r="156" ht="22.2" customHeight="1" s="375">
      <c r="A156" s="3" t="n"/>
      <c r="E156" s="3" t="n"/>
      <c r="G156" s="535" t="inlineStr">
        <is>
          <t>7 ต.ค.69</t>
        </is>
      </c>
      <c r="H156" s="376" t="inlineStr">
        <is>
          <t>20101-2002</t>
        </is>
      </c>
      <c r="I156" s="376" t="inlineStr">
        <is>
          <t>ชย.1/6 (26)</t>
        </is>
      </c>
      <c r="J156" s="334" t="inlineStr">
        <is>
          <t>13:10 - 16:10</t>
        </is>
      </c>
      <c r="K156" s="374" t="n"/>
      <c r="L156" s="334" t="n">
        <v>3</v>
      </c>
      <c r="M156" s="334" t="inlineStr"/>
      <c r="N156" s="334" t="inlineStr"/>
      <c r="O156" s="354" t="inlineStr"/>
      <c r="P156" s="334" t="inlineStr"/>
      <c r="Q156" s="334" t="inlineStr"/>
      <c r="R156" s="334" t="inlineStr"/>
      <c r="S156" s="354" t="inlineStr"/>
      <c r="T156" t="inlineStr"/>
      <c r="U156" t="inlineStr"/>
    </row>
    <row r="157" ht="22.2" customHeight="1" s="375">
      <c r="A157" s="3" t="n"/>
      <c r="B157" s="313" t="n"/>
      <c r="D157" s="314" t="n"/>
      <c r="E157" s="314" t="n"/>
      <c r="G157" s="334" t="inlineStr"/>
      <c r="H157" s="376" t="inlineStr"/>
      <c r="I157" s="334" t="inlineStr"/>
      <c r="J157" s="334" t="inlineStr"/>
      <c r="K157" s="374" t="n"/>
      <c r="L157" s="334" t="inlineStr"/>
      <c r="M157" s="334" t="inlineStr"/>
      <c r="N157" s="334" t="inlineStr"/>
      <c r="O157" s="354" t="inlineStr"/>
      <c r="P157" s="334" t="inlineStr"/>
      <c r="Q157" s="334" t="inlineStr"/>
      <c r="R157" s="334" t="inlineStr"/>
      <c r="S157" s="354" t="inlineStr"/>
      <c r="T157" t="inlineStr"/>
      <c r="U157" t="inlineStr"/>
    </row>
    <row r="158" ht="22.2" customHeight="1" s="375">
      <c r="A158" s="3" t="n"/>
      <c r="E158" s="3" t="n"/>
      <c r="G158" s="321" t="inlineStr"/>
      <c r="H158" s="334" t="inlineStr"/>
      <c r="I158" s="334" t="inlineStr"/>
      <c r="J158" s="334" t="inlineStr"/>
      <c r="K158" s="374" t="n"/>
      <c r="L158" s="334" t="inlineStr"/>
      <c r="M158" s="334" t="inlineStr"/>
      <c r="N158" s="334" t="inlineStr"/>
      <c r="O158" s="354" t="inlineStr"/>
      <c r="P158" s="334" t="inlineStr"/>
      <c r="Q158" s="334" t="inlineStr"/>
      <c r="R158" s="334" t="inlineStr"/>
      <c r="S158" s="354" t="inlineStr"/>
      <c r="T158" t="inlineStr"/>
      <c r="U158" t="inlineStr"/>
    </row>
    <row r="159" ht="22.2" customHeight="1" s="375">
      <c r="A159" s="3" t="n"/>
      <c r="E159" s="3" t="n"/>
      <c r="G159" s="327" t="inlineStr"/>
      <c r="H159" s="336" t="inlineStr"/>
      <c r="I159" s="336" t="inlineStr"/>
      <c r="J159" s="336" t="inlineStr"/>
      <c r="K159" s="527" t="n"/>
      <c r="L159" s="336" t="inlineStr"/>
      <c r="M159" s="336" t="inlineStr"/>
      <c r="N159" s="336" t="inlineStr"/>
      <c r="O159" s="354" t="inlineStr"/>
      <c r="P159" s="336" t="inlineStr"/>
      <c r="Q159" s="336" t="inlineStr"/>
      <c r="R159" s="336" t="inlineStr"/>
      <c r="S159" s="16" t="inlineStr"/>
      <c r="T159" t="inlineStr"/>
      <c r="U159" t="inlineStr"/>
    </row>
    <row r="160" ht="22.2" customHeight="1" s="375">
      <c r="A160" s="3" t="n"/>
      <c r="E160" s="3" t="n"/>
      <c r="G160" s="533" t="inlineStr">
        <is>
          <t>พฤหัส</t>
        </is>
      </c>
      <c r="H160" s="376" t="inlineStr">
        <is>
          <t>20101-2002</t>
        </is>
      </c>
      <c r="I160" s="334" t="inlineStr">
        <is>
          <t>ชย.1/7 (26)</t>
        </is>
      </c>
      <c r="J160" s="381" t="inlineStr">
        <is>
          <t>08:10 - 12:10</t>
        </is>
      </c>
      <c r="K160" s="135" t="n"/>
      <c r="L160" s="334" t="n">
        <v>2</v>
      </c>
      <c r="M160" s="148" t="n">
        <v>2</v>
      </c>
      <c r="N160" s="148" t="n">
        <v>200</v>
      </c>
      <c r="O160" s="354">
        <f>M160*N160</f>
        <v/>
      </c>
      <c r="P160" s="334" t="inlineStr"/>
      <c r="Q160" s="148" t="inlineStr"/>
      <c r="R160" s="148" t="inlineStr"/>
      <c r="S160" s="16" t="inlineStr"/>
      <c r="T160" t="inlineStr"/>
      <c r="U160" t="inlineStr"/>
    </row>
    <row r="161" ht="22.2" customHeight="1" s="375">
      <c r="A161" s="3" t="n"/>
      <c r="E161" s="3" t="n"/>
      <c r="G161" s="535" t="inlineStr">
        <is>
          <t>8 ต.ค.69</t>
        </is>
      </c>
      <c r="H161" s="376" t="inlineStr">
        <is>
          <t>20101-2002</t>
        </is>
      </c>
      <c r="I161" s="334" t="inlineStr">
        <is>
          <t>ชย.1/7 (26)</t>
        </is>
      </c>
      <c r="J161" s="334" t="inlineStr">
        <is>
          <t>15:10 - 18:10</t>
        </is>
      </c>
      <c r="K161" s="374" t="n"/>
      <c r="L161" s="334" t="inlineStr"/>
      <c r="M161" s="251" t="n">
        <v>3</v>
      </c>
      <c r="N161" s="251" t="n">
        <v>200</v>
      </c>
      <c r="O161" s="354">
        <f>M161*N161</f>
        <v/>
      </c>
      <c r="P161" s="334" t="inlineStr"/>
      <c r="Q161" s="251" t="inlineStr"/>
      <c r="R161" s="149" t="inlineStr"/>
      <c r="S161" s="16" t="inlineStr"/>
      <c r="T161" t="inlineStr"/>
      <c r="U161" t="inlineStr"/>
    </row>
    <row r="162" ht="22.2" customHeight="1" s="375">
      <c r="A162" s="3" t="n"/>
      <c r="B162" s="313" t="n"/>
      <c r="E162" s="3" t="n"/>
      <c r="G162" s="334" t="inlineStr"/>
      <c r="H162" s="376" t="inlineStr"/>
      <c r="I162" s="334" t="inlineStr"/>
      <c r="J162" s="334" t="inlineStr"/>
      <c r="K162" s="374" t="n"/>
      <c r="L162" s="376" t="inlineStr"/>
      <c r="M162" s="251" t="inlineStr"/>
      <c r="N162" s="251" t="inlineStr"/>
      <c r="O162" s="354" t="inlineStr"/>
      <c r="P162" s="376" t="inlineStr"/>
      <c r="Q162" s="251" t="inlineStr"/>
      <c r="R162" s="149" t="inlineStr"/>
      <c r="S162" s="16" t="inlineStr"/>
      <c r="T162" t="inlineStr"/>
      <c r="U162" t="inlineStr"/>
    </row>
    <row r="163" ht="22.2" customHeight="1" s="375">
      <c r="A163" s="3" t="n"/>
      <c r="E163" s="3" t="n"/>
      <c r="G163" s="334" t="inlineStr"/>
      <c r="H163" s="334" t="inlineStr"/>
      <c r="I163" s="334" t="inlineStr"/>
      <c r="J163" s="334" t="inlineStr"/>
      <c r="K163" s="374" t="n"/>
      <c r="L163" s="334" t="inlineStr"/>
      <c r="M163" s="334" t="inlineStr"/>
      <c r="N163" s="334" t="inlineStr"/>
      <c r="O163" s="354" t="inlineStr"/>
      <c r="P163" s="334" t="inlineStr"/>
      <c r="Q163" s="334" t="inlineStr"/>
      <c r="R163" s="334" t="inlineStr"/>
      <c r="S163" s="354" t="inlineStr"/>
      <c r="T163" t="inlineStr"/>
      <c r="U163" t="inlineStr"/>
    </row>
    <row r="164" ht="22.2" customHeight="1" s="375">
      <c r="A164" s="3" t="n"/>
      <c r="E164" s="3" t="n"/>
      <c r="G164" s="336" t="inlineStr"/>
      <c r="H164" s="328" t="inlineStr"/>
      <c r="I164" s="336" t="inlineStr"/>
      <c r="J164" s="336" t="inlineStr"/>
      <c r="K164" s="527" t="n"/>
      <c r="L164" s="336" t="inlineStr"/>
      <c r="M164" s="336" t="inlineStr"/>
      <c r="N164" s="336" t="inlineStr"/>
      <c r="O164" s="354" t="inlineStr"/>
      <c r="P164" s="336" t="inlineStr"/>
      <c r="Q164" s="336" t="inlineStr"/>
      <c r="R164" s="336" t="inlineStr"/>
      <c r="S164" s="354" t="inlineStr"/>
      <c r="T164" t="inlineStr"/>
      <c r="U164" t="inlineStr"/>
    </row>
    <row r="165" ht="22.2" customHeight="1" s="375">
      <c r="A165" s="3" t="n"/>
      <c r="D165" s="374" t="n"/>
      <c r="E165" s="251" t="n"/>
      <c r="G165" s="533" t="inlineStr">
        <is>
          <t>ศุกร์</t>
        </is>
      </c>
      <c r="H165" s="376" t="inlineStr">
        <is>
          <t>20101-2002</t>
        </is>
      </c>
      <c r="I165" s="376" t="inlineStr">
        <is>
          <t>ชย.1/9 (26)</t>
        </is>
      </c>
      <c r="J165" s="381" t="inlineStr">
        <is>
          <t>08:10 - 12:10</t>
        </is>
      </c>
      <c r="K165" s="135" t="n"/>
      <c r="L165" s="334" t="inlineStr"/>
      <c r="M165" s="24" t="n">
        <v>4</v>
      </c>
      <c r="N165" s="360" t="n">
        <v>200</v>
      </c>
      <c r="O165" s="354">
        <f>M165*N165</f>
        <v/>
      </c>
      <c r="P165" s="367" t="inlineStr"/>
      <c r="Q165" s="362" t="inlineStr"/>
      <c r="R165" s="354" t="inlineStr"/>
      <c r="S165" s="16" t="inlineStr"/>
      <c r="T165" t="inlineStr"/>
      <c r="U165" t="inlineStr"/>
    </row>
    <row r="166" ht="22.2" customHeight="1" s="375">
      <c r="A166" s="3" t="n"/>
      <c r="D166" s="314" t="n"/>
      <c r="E166" s="3" t="n"/>
      <c r="G166" s="535" t="inlineStr">
        <is>
          <t>9 ต.ค.69</t>
        </is>
      </c>
      <c r="H166" s="376" t="inlineStr">
        <is>
          <t>20101-2002</t>
        </is>
      </c>
      <c r="I166" s="376" t="inlineStr">
        <is>
          <t>ชย.1/9 (26)</t>
        </is>
      </c>
      <c r="J166" s="334" t="inlineStr">
        <is>
          <t>13:10 - 16:10</t>
        </is>
      </c>
      <c r="K166" s="374" t="n"/>
      <c r="L166" s="334" t="inlineStr"/>
      <c r="M166" s="251" t="n">
        <v>3</v>
      </c>
      <c r="N166" s="374" t="n">
        <v>200</v>
      </c>
      <c r="O166" s="354">
        <f>M166*N166</f>
        <v/>
      </c>
      <c r="P166" s="334" t="inlineStr"/>
      <c r="Q166" s="251" t="inlineStr"/>
      <c r="R166" s="251" t="inlineStr"/>
      <c r="S166" s="16" t="inlineStr"/>
      <c r="T166" t="inlineStr"/>
      <c r="U166" t="inlineStr"/>
    </row>
    <row r="167" ht="22.2" customHeight="1" s="375">
      <c r="A167" s="3" t="n"/>
      <c r="E167" s="3" t="n"/>
      <c r="G167" s="334" t="inlineStr"/>
      <c r="H167" s="376" t="inlineStr"/>
      <c r="I167" s="334" t="inlineStr"/>
      <c r="J167" s="334" t="inlineStr"/>
      <c r="K167" s="374" t="n"/>
      <c r="L167" s="334" t="inlineStr"/>
      <c r="M167" s="334" t="inlineStr"/>
      <c r="N167" s="334" t="inlineStr"/>
      <c r="O167" s="354" t="inlineStr"/>
      <c r="P167" s="334" t="inlineStr"/>
      <c r="Q167" s="334" t="inlineStr"/>
      <c r="R167" s="334" t="inlineStr"/>
      <c r="S167" s="354" t="inlineStr"/>
      <c r="T167" t="inlineStr"/>
      <c r="U167" t="inlineStr"/>
    </row>
    <row r="168" ht="22.2" customHeight="1" s="375">
      <c r="A168" s="3" t="n"/>
      <c r="E168" s="3" t="n"/>
      <c r="G168" s="334" t="inlineStr"/>
      <c r="H168" s="334" t="inlineStr"/>
      <c r="I168" s="334" t="inlineStr"/>
      <c r="J168" s="334" t="inlineStr"/>
      <c r="K168" s="374" t="n"/>
      <c r="L168" s="334" t="inlineStr"/>
      <c r="M168" s="334" t="inlineStr"/>
      <c r="N168" s="334" t="inlineStr"/>
      <c r="O168" s="354" t="inlineStr"/>
      <c r="P168" s="334" t="inlineStr"/>
      <c r="Q168" s="334" t="inlineStr"/>
      <c r="R168" s="334" t="inlineStr"/>
      <c r="S168" s="354" t="inlineStr"/>
      <c r="T168" t="inlineStr"/>
      <c r="U168" t="inlineStr"/>
    </row>
    <row r="169" ht="22.2" customHeight="1" s="375">
      <c r="A169" s="3" t="n"/>
      <c r="E169" s="3" t="n"/>
      <c r="F169" s="3" t="n"/>
      <c r="G169" s="329" t="inlineStr"/>
      <c r="H169" s="328" t="inlineStr"/>
      <c r="I169" s="336" t="inlineStr"/>
      <c r="J169" s="336" t="inlineStr"/>
      <c r="K169" s="527" t="n"/>
      <c r="L169" s="336" t="inlineStr"/>
      <c r="M169" s="336" t="inlineStr"/>
      <c r="N169" s="336" t="inlineStr"/>
      <c r="O169" s="354" t="inlineStr"/>
      <c r="P169" s="336" t="inlineStr"/>
      <c r="Q169" s="336" t="inlineStr"/>
      <c r="R169" s="336" t="inlineStr"/>
      <c r="S169" s="354" t="inlineStr"/>
      <c r="T169" t="inlineStr"/>
      <c r="U169" t="inlineStr"/>
    </row>
    <row r="170" ht="22.2" customHeight="1" s="375">
      <c r="A170" s="3" t="n"/>
      <c r="E170" s="3" t="n"/>
      <c r="F170" s="3" t="n"/>
      <c r="G170" s="16" t="inlineStr">
        <is>
          <t>รวมขั่วโมงที่สอนแยก ภาระงาน/ เกินภาระงาน</t>
        </is>
      </c>
      <c r="H170" s="518" t="n"/>
      <c r="I170" s="518" t="n"/>
      <c r="J170" s="518" t="n"/>
      <c r="K170" s="432" t="n"/>
      <c r="L170" s="16">
        <f>SUM(L145:L169)</f>
        <v/>
      </c>
      <c r="M170" s="16">
        <f>SUM(M145:M169)</f>
        <v/>
      </c>
      <c r="N170" s="16" t="n"/>
      <c r="O170" s="16" t="n"/>
      <c r="P170" s="16">
        <f>SUM(P145:P169)</f>
        <v/>
      </c>
      <c r="Q170" s="16">
        <f>SUM(Q145:Q169)</f>
        <v/>
      </c>
      <c r="R170" s="349" t="n"/>
      <c r="S170" s="16" t="n"/>
      <c r="T170" s="23" t="n"/>
      <c r="U170" s="23" t="inlineStr">
        <is>
          <t>สอน ป.ตรี</t>
        </is>
      </c>
      <c r="V170" s="56" t="n"/>
      <c r="W170" s="23" t="n"/>
      <c r="X170" s="23" t="n"/>
    </row>
    <row r="171" ht="22.2" customHeight="1" s="375">
      <c r="A171" s="3" t="n"/>
      <c r="E171" s="3" t="n"/>
      <c r="F171" s="3" t="n"/>
      <c r="G171" s="16" t="inlineStr">
        <is>
          <t>รวมจำนวนชั่วโมงสอนคาบต่อสับดาห์</t>
        </is>
      </c>
      <c r="H171" s="518" t="n"/>
      <c r="I171" s="518" t="n"/>
      <c r="J171" s="518" t="n"/>
      <c r="K171" s="432" t="n"/>
      <c r="L171" s="16">
        <f>L170+M170</f>
        <v/>
      </c>
      <c r="M171" s="432" t="n"/>
      <c r="N171" s="16" t="n"/>
      <c r="O171" s="348" t="n"/>
      <c r="P171" s="16">
        <f>P170+Q170</f>
        <v/>
      </c>
      <c r="Q171" s="432" t="n"/>
      <c r="R171" s="329" t="n"/>
      <c r="S171" s="336" t="n"/>
      <c r="T171" s="23" t="n"/>
      <c r="U171" s="23" t="inlineStr">
        <is>
          <t>17.10-20.10</t>
        </is>
      </c>
      <c r="V171" s="56" t="n"/>
      <c r="W171" s="23" t="n"/>
      <c r="X171" s="23" t="n"/>
    </row>
    <row r="172" ht="22.2" customHeight="1" s="375">
      <c r="A172" s="3" t="n"/>
      <c r="E172" s="3" t="n"/>
      <c r="F172" s="3" t="n"/>
      <c r="G172" s="16" t="inlineStr">
        <is>
          <t>จำนวนชั่วโมงสอนตามภาระงานสอน</t>
        </is>
      </c>
      <c r="H172" s="518" t="n"/>
      <c r="I172" s="518" t="n"/>
      <c r="J172" s="518" t="n"/>
      <c r="K172" s="432" t="n"/>
      <c r="L172" s="541" t="n">
        <v>12</v>
      </c>
      <c r="M172" s="432" t="n"/>
      <c r="N172" s="129" t="n"/>
      <c r="O172" s="132" t="n"/>
      <c r="P172" s="541" t="n">
        <v>0</v>
      </c>
      <c r="Q172" s="432" t="n"/>
      <c r="R172" s="322" t="n"/>
      <c r="S172" s="334" t="n"/>
    </row>
    <row r="173" ht="22.2" customHeight="1" s="375" thickBot="1">
      <c r="A173" s="3" t="n"/>
      <c r="E173" s="3" t="n"/>
      <c r="F173" s="14" t="n"/>
      <c r="G173" s="16" t="inlineStr">
        <is>
          <t>จำนวนชั่วโมงบิกเกินภาระงานสอน/ค่าสอน</t>
        </is>
      </c>
      <c r="H173" s="518" t="n"/>
      <c r="I173" s="518" t="n"/>
      <c r="J173" s="518" t="n"/>
      <c r="K173" s="432" t="n"/>
      <c r="L173" s="17" t="n">
        <v>0</v>
      </c>
      <c r="M173" s="17">
        <f>SUM(M145:M169)</f>
        <v/>
      </c>
      <c r="N173" s="17" t="n"/>
      <c r="O173" s="17">
        <f>SUM(O145:O169)</f>
        <v/>
      </c>
      <c r="P173" s="17" t="n">
        <v>0</v>
      </c>
      <c r="Q173" s="17">
        <f>SUM(Q145:Q169)</f>
        <v/>
      </c>
      <c r="R173" s="18" t="n"/>
      <c r="S173" s="17">
        <f>SUM(S145:S169)</f>
        <v/>
      </c>
    </row>
    <row r="174" ht="22.2" customHeight="1" s="375" thickTop="1">
      <c r="A174" s="337" t="inlineStr">
        <is>
          <t>รวมจำนวนหน่วยชั่วโมงที่ขอเบิกค่าสอน ….</t>
        </is>
      </c>
      <c r="B174" s="518" t="n"/>
      <c r="C174" s="518" t="n"/>
      <c r="D174" s="518" t="n"/>
      <c r="E174" s="518" t="n"/>
      <c r="F174" s="518" t="n"/>
      <c r="G174" s="518" t="n"/>
      <c r="H174" s="348">
        <f>M173+Q173</f>
        <v/>
      </c>
      <c r="I174" s="348" t="inlineStr">
        <is>
          <t>….ชั่วโมง</t>
        </is>
      </c>
      <c r="J174" s="348" t="n"/>
      <c r="K174" s="328" t="inlineStr">
        <is>
          <t>ยอดเงินรวม</t>
        </is>
      </c>
      <c r="L174" s="522" t="n"/>
      <c r="M174" s="522" t="n"/>
      <c r="N174" s="328" t="n"/>
      <c r="O174" s="328" t="n"/>
      <c r="P174" s="339">
        <f>S173+O173</f>
        <v/>
      </c>
      <c r="Q174" s="538" t="n"/>
      <c r="R174" s="20" t="n"/>
      <c r="S174" s="19" t="inlineStr">
        <is>
          <t>..บาท</t>
        </is>
      </c>
    </row>
    <row r="175" ht="22.2" customHeight="1" s="375">
      <c r="A175" s="154" t="inlineStr">
        <is>
          <t>ผู้ขอเบิก</t>
        </is>
      </c>
      <c r="B175" s="153" t="n"/>
      <c r="C175" s="153" t="n"/>
      <c r="D175" s="153" t="n"/>
      <c r="E175" s="153" t="n"/>
      <c r="F175" s="153" t="n"/>
      <c r="G175" s="135" t="n"/>
      <c r="H175" s="154" t="inlineStr">
        <is>
          <t>ผู้รับรอง</t>
        </is>
      </c>
      <c r="I175" s="153" t="n"/>
      <c r="J175" s="153" t="n"/>
      <c r="K175" s="153" t="n"/>
      <c r="L175" s="135" t="n"/>
      <c r="M175" s="154" t="inlineStr">
        <is>
          <t>ผู้ตรวจ</t>
        </is>
      </c>
      <c r="N175" s="153" t="n"/>
      <c r="O175" s="153" t="n"/>
      <c r="P175" s="153" t="n"/>
      <c r="Q175" s="153" t="n"/>
      <c r="R175" s="153" t="n"/>
      <c r="S175" s="135" t="n"/>
    </row>
    <row r="176" ht="22.2" customHeight="1" s="375">
      <c r="A176" s="334" t="inlineStr">
        <is>
          <t>ลงชื่อ……………………………………………</t>
        </is>
      </c>
      <c r="G176" s="374" t="n"/>
      <c r="H176" s="334" t="inlineStr">
        <is>
          <t>ลงชื่อ……………………………………………</t>
        </is>
      </c>
      <c r="L176" s="374" t="n"/>
      <c r="M176" s="334" t="inlineStr">
        <is>
          <t>ลงชื่อ……………………………………………</t>
        </is>
      </c>
      <c r="S176" s="374" t="n"/>
    </row>
    <row r="177" ht="22.2" customHeight="1" s="375">
      <c r="A177" s="11" t="inlineStr">
        <is>
          <t>(</t>
        </is>
      </c>
      <c r="B177" s="324">
        <f>B145</f>
        <v/>
      </c>
      <c r="G177" s="326" t="inlineStr">
        <is>
          <t>)</t>
        </is>
      </c>
      <c r="H177" s="324" t="inlineStr">
        <is>
          <t>(</t>
        </is>
      </c>
      <c r="I177" s="340">
        <f>I131</f>
        <v/>
      </c>
      <c r="L177" s="12" t="inlineStr">
        <is>
          <t>)</t>
        </is>
      </c>
      <c r="M177" s="53" t="inlineStr">
        <is>
          <t>(</t>
        </is>
      </c>
      <c r="N177" s="53" t="n"/>
      <c r="O177" s="324">
        <f>O39</f>
        <v/>
      </c>
      <c r="R177" s="25" t="n"/>
      <c r="S177" s="326" t="inlineStr">
        <is>
          <t>)</t>
        </is>
      </c>
    </row>
    <row r="178" ht="22.2" customHeight="1" s="375">
      <c r="A178" s="540" t="inlineStr">
        <is>
          <t xml:space="preserve">                        ตำแหน่ง  ครู</t>
        </is>
      </c>
      <c r="G178" s="374" t="n"/>
      <c r="H178" s="54" t="inlineStr">
        <is>
          <t>ตำแหน่ง หัวหน้าแผนก</t>
        </is>
      </c>
      <c r="L178" s="374" t="n"/>
      <c r="M178" s="54" t="inlineStr">
        <is>
          <t>ตำแหน่ง   ผู้ตรวจสอบ</t>
        </is>
      </c>
      <c r="S178" s="374" t="n"/>
    </row>
    <row r="179" ht="22.2" customHeight="1" s="375">
      <c r="A179" s="55" t="inlineStr">
        <is>
          <t>วันที่ 12 เดือน ตุลาคม  พ.ศ.2569</t>
        </is>
      </c>
      <c r="B179" s="522" t="n"/>
      <c r="C179" s="522" t="n"/>
      <c r="D179" s="522" t="n"/>
      <c r="E179" s="522" t="n"/>
      <c r="F179" s="522" t="n"/>
      <c r="G179" s="527" t="n"/>
      <c r="H179" s="54">
        <f>A41</f>
        <v/>
      </c>
      <c r="L179" s="374" t="n"/>
      <c r="M179" s="55">
        <f>A41</f>
        <v/>
      </c>
      <c r="N179" s="522" t="n"/>
      <c r="O179" s="522" t="n"/>
      <c r="P179" s="522" t="n"/>
      <c r="Q179" s="522" t="n"/>
      <c r="R179" s="522" t="n"/>
      <c r="S179" s="527" t="n"/>
    </row>
    <row r="180" ht="22.2" customHeight="1" s="375">
      <c r="A180" s="154" t="inlineStr">
        <is>
          <t>ผู้ตรวจ</t>
        </is>
      </c>
      <c r="B180" s="153" t="n"/>
      <c r="C180" s="153" t="n"/>
      <c r="D180" s="153" t="n"/>
      <c r="E180" s="153" t="n"/>
      <c r="F180" s="153" t="n"/>
      <c r="G180" s="153" t="n"/>
      <c r="H180" s="153" t="n"/>
      <c r="I180" s="135" t="n"/>
      <c r="J180" s="154" t="inlineStr">
        <is>
          <t>ผู้เห็นชอบ</t>
        </is>
      </c>
      <c r="K180" s="153" t="n"/>
      <c r="L180" s="153" t="n"/>
      <c r="M180" s="153" t="n"/>
      <c r="N180" s="153" t="n"/>
      <c r="O180" s="153" t="n"/>
      <c r="P180" s="153" t="n"/>
      <c r="Q180" s="153" t="n"/>
      <c r="R180" s="153" t="n"/>
      <c r="S180" s="135" t="n"/>
    </row>
    <row r="181" ht="22.2" customHeight="1" s="375">
      <c r="A181" s="334" t="inlineStr">
        <is>
          <t>ลงชื่อ……………………………………………</t>
        </is>
      </c>
      <c r="I181" s="374" t="n"/>
      <c r="J181" s="334" t="inlineStr">
        <is>
          <t>ลงชื่อ……………………………………………</t>
        </is>
      </c>
      <c r="S181" s="374" t="n"/>
    </row>
    <row r="182" ht="22.2" customHeight="1" s="375">
      <c r="A182" s="11" t="n"/>
      <c r="B182" s="324">
        <f>B44</f>
        <v/>
      </c>
      <c r="I182" s="326" t="n"/>
      <c r="J182" s="25" t="n"/>
      <c r="K182" s="25" t="n"/>
      <c r="L182" s="324">
        <f>L44</f>
        <v/>
      </c>
      <c r="R182" s="25" t="n"/>
      <c r="S182" s="12" t="n"/>
    </row>
    <row r="183" ht="22.2" customHeight="1" s="375">
      <c r="A183" s="54" t="inlineStr">
        <is>
          <t>ตำแหน่งครู  หัวหน้างานพัฒนาหลักสูตร ฯ</t>
        </is>
      </c>
      <c r="I183" s="374" t="n"/>
      <c r="J183" s="54" t="inlineStr">
        <is>
          <t>ตำแหน่ง  รองผู้อำนวยการฝ่ายวิชาการ</t>
        </is>
      </c>
      <c r="S183" s="374" t="n"/>
    </row>
    <row r="184" ht="22.2" customHeight="1" s="375">
      <c r="A184" s="336" t="inlineStr">
        <is>
          <t>วันที่.......เดือน..........................พ.ศ..............</t>
        </is>
      </c>
      <c r="B184" s="522" t="n"/>
      <c r="C184" s="522" t="n"/>
      <c r="D184" s="522" t="n"/>
      <c r="E184" s="522" t="n"/>
      <c r="F184" s="522" t="n"/>
      <c r="G184" s="522" t="n"/>
      <c r="H184" s="522" t="n"/>
      <c r="I184" s="527" t="n"/>
      <c r="J184" s="336" t="inlineStr">
        <is>
          <t>วันที่.......เดือน..........................พ.ศ..............</t>
        </is>
      </c>
      <c r="K184" s="522" t="n"/>
      <c r="L184" s="522" t="n"/>
      <c r="M184" s="522" t="n"/>
      <c r="N184" s="522" t="n"/>
      <c r="O184" s="522" t="n"/>
      <c r="P184" s="522" t="n"/>
      <c r="Q184" s="522" t="n"/>
      <c r="R184" s="522" t="n"/>
      <c r="S184" s="527" t="n"/>
    </row>
    <row r="185" ht="22.2" customHeight="1" s="375">
      <c r="A185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75">
      <c r="A186" s="365" t="inlineStr">
        <is>
          <t>แผนกวิชาช่างยนต์</t>
        </is>
      </c>
    </row>
    <row r="187" ht="22.2" customHeight="1" s="375">
      <c r="A187" s="366" t="inlineStr">
        <is>
          <t xml:space="preserve">    ระหว่างวันที่</t>
        </is>
      </c>
      <c r="D187" s="365">
        <f>D3</f>
        <v/>
      </c>
      <c r="E187" s="365" t="inlineStr">
        <is>
          <t xml:space="preserve">   เดือน  </t>
        </is>
      </c>
      <c r="F187" s="365">
        <f>F3</f>
        <v/>
      </c>
      <c r="H187" s="365">
        <f>H3</f>
        <v/>
      </c>
      <c r="I187" s="365" t="inlineStr">
        <is>
          <t xml:space="preserve">     ถึง วันที่</t>
        </is>
      </c>
      <c r="J187" s="365">
        <f>J3</f>
        <v/>
      </c>
      <c r="K187" s="365" t="inlineStr">
        <is>
          <t xml:space="preserve">   เดือน </t>
        </is>
      </c>
      <c r="L187" s="365">
        <f>L3</f>
        <v/>
      </c>
      <c r="N187" s="365">
        <f>N3</f>
        <v/>
      </c>
      <c r="P187" s="365" t="n"/>
      <c r="R187" s="365" t="n"/>
    </row>
    <row r="188" ht="22.2" customHeight="1" s="375">
      <c r="G188" s="51" t="inlineStr">
        <is>
          <t>ü</t>
        </is>
      </c>
      <c r="H188" s="351" t="inlineStr">
        <is>
          <t>ครู</t>
        </is>
      </c>
      <c r="I188" s="322" t="inlineStr">
        <is>
          <t>หน้าที่พิเศษ</t>
        </is>
      </c>
      <c r="J188" s="382" t="inlineStr">
        <is>
          <t>ผู้ช่วยงานบริหารและพัฒนาทรัพยากรบุคคล, สวัสดิการนักเรียนนักศึกษา,</t>
        </is>
      </c>
      <c r="K188" s="522" t="n"/>
      <c r="L188" s="522" t="n"/>
      <c r="M188" s="522" t="n"/>
      <c r="N188" s="522" t="n"/>
      <c r="O188" s="522" t="n"/>
    </row>
    <row r="189" ht="22.2" customHeight="1" s="375">
      <c r="A189" s="24" t="inlineStr">
        <is>
          <t>ที่</t>
        </is>
      </c>
      <c r="B189" s="24" t="inlineStr">
        <is>
          <t>ชื่อ-สกุล</t>
        </is>
      </c>
      <c r="C189" s="153" t="n"/>
      <c r="D189" s="135" t="n"/>
      <c r="E189" s="15" t="inlineStr">
        <is>
          <t>ตำแหน่ง</t>
        </is>
      </c>
      <c r="F189" s="16" t="inlineStr">
        <is>
          <t>ระยะเวลาที่สอน</t>
        </is>
      </c>
      <c r="G189" s="432" t="n"/>
      <c r="H189" s="16" t="inlineStr">
        <is>
          <t>รหัสวิชา</t>
        </is>
      </c>
      <c r="I189" s="362" t="inlineStr">
        <is>
          <t>ชั้น,แผนก,ห้อง</t>
        </is>
      </c>
      <c r="J189" s="16" t="inlineStr">
        <is>
          <t>เวลาสอน</t>
        </is>
      </c>
      <c r="K189" s="135" t="n"/>
      <c r="L189" s="16" t="inlineStr">
        <is>
          <t>ปวช.(คาบ)</t>
        </is>
      </c>
      <c r="M189" s="432" t="n"/>
      <c r="N189" s="354" t="inlineStr">
        <is>
          <t>เงิน</t>
        </is>
      </c>
      <c r="O189" s="362" t="inlineStr">
        <is>
          <t>ยอดเงิน</t>
        </is>
      </c>
      <c r="P189" s="524" t="inlineStr">
        <is>
          <t>ปวส.(คาบ)</t>
        </is>
      </c>
      <c r="Q189" s="432" t="n"/>
      <c r="R189" s="354" t="inlineStr">
        <is>
          <t>เงิน</t>
        </is>
      </c>
      <c r="S189" s="362" t="inlineStr">
        <is>
          <t>ยอดเงิน</t>
        </is>
      </c>
    </row>
    <row r="190" ht="22.2" customHeight="1" s="375">
      <c r="A190" s="52" t="n"/>
      <c r="B190" s="8" t="n"/>
      <c r="C190" s="9" t="n"/>
      <c r="D190" s="13" t="n"/>
      <c r="E190" s="10" t="n"/>
      <c r="F190" s="336" t="inlineStr">
        <is>
          <t>ส.</t>
        </is>
      </c>
      <c r="G190" s="336" t="inlineStr">
        <is>
          <t>วดป.</t>
        </is>
      </c>
      <c r="H190" s="525" t="n"/>
      <c r="I190" s="336" t="n"/>
      <c r="J190" s="526" t="n"/>
      <c r="K190" s="527" t="n"/>
      <c r="L190" s="336" t="inlineStr">
        <is>
          <t>ใน</t>
        </is>
      </c>
      <c r="M190" s="336" t="inlineStr">
        <is>
          <t>นอก</t>
        </is>
      </c>
      <c r="N190" s="336" t="inlineStr">
        <is>
          <t>ต่อ ชม.</t>
        </is>
      </c>
      <c r="O190" s="336" t="inlineStr">
        <is>
          <t>(บาท)</t>
        </is>
      </c>
      <c r="P190" s="52" t="inlineStr">
        <is>
          <t>ใน</t>
        </is>
      </c>
      <c r="Q190" s="52" t="inlineStr">
        <is>
          <t>นอก</t>
        </is>
      </c>
      <c r="R190" s="336" t="inlineStr">
        <is>
          <t>ต่อ ชม.</t>
        </is>
      </c>
      <c r="S190" s="336" t="inlineStr">
        <is>
          <t>(บาท)</t>
        </is>
      </c>
    </row>
    <row r="191" ht="22.2" customHeight="1" s="375">
      <c r="A191" s="362" t="n">
        <v>5</v>
      </c>
      <c r="B191" s="528">
        <f>AB7</f>
        <v/>
      </c>
      <c r="C191" s="153" t="n"/>
      <c r="D191" s="135" t="n"/>
      <c r="E191" s="362" t="inlineStr">
        <is>
          <t>ครู</t>
        </is>
      </c>
      <c r="F191" s="5" t="n">
        <v>4</v>
      </c>
      <c r="G191" s="529" t="inlineStr">
        <is>
          <t>จันทร์</t>
        </is>
      </c>
      <c r="H191" s="376" t="inlineStr">
        <is>
          <t>20101-2029</t>
        </is>
      </c>
      <c r="I191" s="376" t="inlineStr">
        <is>
          <t>ชย.3/7 (26)</t>
        </is>
      </c>
      <c r="J191" s="381" t="inlineStr">
        <is>
          <t>08:10 - 12:10</t>
        </is>
      </c>
      <c r="K191" s="135" t="n"/>
      <c r="L191" s="367" t="n">
        <v>4</v>
      </c>
      <c r="M191" s="381" t="inlineStr"/>
      <c r="N191" s="381" t="inlineStr"/>
      <c r="O191" s="354" t="inlineStr"/>
      <c r="P191" s="381" t="inlineStr"/>
      <c r="Q191" s="367" t="inlineStr"/>
      <c r="R191" s="381" t="inlineStr"/>
      <c r="S191" s="354" t="inlineStr"/>
      <c r="T191" t="inlineStr"/>
      <c r="U191" t="inlineStr"/>
    </row>
    <row r="192" ht="22.2" customHeight="1" s="375">
      <c r="A192" s="3" t="n"/>
      <c r="B192" s="530" t="n"/>
      <c r="D192" s="374" t="n"/>
      <c r="E192" s="334" t="n"/>
      <c r="F192" s="322" t="n"/>
      <c r="G192" s="535" t="inlineStr">
        <is>
          <t>5 ต.ค.69</t>
        </is>
      </c>
      <c r="H192" s="376" t="inlineStr">
        <is>
          <t>20101-2029</t>
        </is>
      </c>
      <c r="I192" s="376" t="inlineStr">
        <is>
          <t>ชย.3/7 (26)</t>
        </is>
      </c>
      <c r="J192" s="334" t="inlineStr">
        <is>
          <t>13:10 - 16:10</t>
        </is>
      </c>
      <c r="K192" s="374" t="n"/>
      <c r="L192" s="334" t="n">
        <v>3</v>
      </c>
      <c r="M192" s="334" t="inlineStr"/>
      <c r="N192" s="334" t="inlineStr"/>
      <c r="O192" s="354" t="inlineStr"/>
      <c r="P192" s="334" t="inlineStr"/>
      <c r="Q192" s="334" t="inlineStr"/>
      <c r="R192" s="334" t="inlineStr"/>
      <c r="S192" s="354" t="inlineStr"/>
      <c r="T192" t="inlineStr"/>
      <c r="U192" t="inlineStr"/>
    </row>
    <row r="193" ht="22.2" customHeight="1" s="375">
      <c r="A193" s="3" t="n"/>
      <c r="B193" s="313" t="n"/>
      <c r="D193" s="314" t="n"/>
      <c r="E193" s="314" t="n"/>
      <c r="F193" s="322" t="n"/>
      <c r="G193" s="321" t="inlineStr"/>
      <c r="H193" s="376" t="inlineStr"/>
      <c r="I193" s="376" t="inlineStr"/>
      <c r="J193" s="334" t="inlineStr"/>
      <c r="K193" s="374" t="n"/>
      <c r="L193" s="334" t="inlineStr"/>
      <c r="M193" s="334" t="inlineStr"/>
      <c r="N193" s="334" t="inlineStr"/>
      <c r="O193" s="354" t="inlineStr"/>
      <c r="P193" s="334" t="inlineStr"/>
      <c r="Q193" s="334" t="inlineStr"/>
      <c r="R193" s="334" t="inlineStr"/>
      <c r="S193" s="354" t="inlineStr"/>
      <c r="T193" t="inlineStr"/>
      <c r="U193" t="inlineStr"/>
    </row>
    <row r="194" ht="22.2" customHeight="1" s="375">
      <c r="A194" s="3" t="n"/>
      <c r="B194" s="313" t="n"/>
      <c r="E194" s="3" t="n"/>
      <c r="F194" s="322" t="n"/>
      <c r="G194" s="321" t="inlineStr"/>
      <c r="H194" s="334" t="inlineStr"/>
      <c r="I194" s="334" t="inlineStr"/>
      <c r="J194" s="334" t="inlineStr"/>
      <c r="K194" s="374" t="n"/>
      <c r="L194" s="334" t="inlineStr"/>
      <c r="M194" s="334" t="inlineStr"/>
      <c r="N194" s="334" t="inlineStr"/>
      <c r="O194" s="354" t="inlineStr"/>
      <c r="P194" s="334" t="inlineStr"/>
      <c r="Q194" s="334" t="inlineStr"/>
      <c r="R194" s="334" t="inlineStr"/>
      <c r="S194" s="354" t="inlineStr"/>
      <c r="T194" t="inlineStr"/>
      <c r="U194" t="inlineStr"/>
    </row>
    <row r="195" ht="22.2" customHeight="1" s="375">
      <c r="A195" s="3" t="n"/>
      <c r="E195" s="3" t="n"/>
      <c r="G195" s="344" t="inlineStr"/>
      <c r="H195" s="336" t="inlineStr"/>
      <c r="I195" s="336" t="inlineStr"/>
      <c r="J195" s="336" t="inlineStr"/>
      <c r="K195" s="527" t="n"/>
      <c r="L195" s="334" t="inlineStr"/>
      <c r="M195" s="334" t="inlineStr"/>
      <c r="N195" s="334" t="inlineStr"/>
      <c r="O195" s="354" t="inlineStr"/>
      <c r="P195" s="334" t="inlineStr"/>
      <c r="Q195" s="334" t="inlineStr"/>
      <c r="R195" s="334" t="inlineStr"/>
      <c r="S195" s="354" t="inlineStr"/>
      <c r="T195" t="inlineStr"/>
      <c r="U195" t="inlineStr"/>
    </row>
    <row r="196" ht="22.2" customHeight="1" s="375">
      <c r="A196" s="3" t="n"/>
      <c r="B196" s="143" t="n"/>
      <c r="C196" s="144" t="n"/>
      <c r="D196" s="145" t="n"/>
      <c r="E196" s="146" t="n"/>
      <c r="F196" s="145" t="n"/>
      <c r="G196" s="533" t="inlineStr">
        <is>
          <t>อังคาร</t>
        </is>
      </c>
      <c r="H196" s="381" t="inlineStr">
        <is>
          <t>20101-2029</t>
        </is>
      </c>
      <c r="I196" s="376" t="inlineStr">
        <is>
          <t>ชย.3/5 (26)</t>
        </is>
      </c>
      <c r="J196" s="381" t="inlineStr">
        <is>
          <t>08:10 - 12:10</t>
        </is>
      </c>
      <c r="K196" s="135" t="n"/>
      <c r="L196" s="367" t="n">
        <v>4</v>
      </c>
      <c r="M196" s="381" t="inlineStr"/>
      <c r="N196" s="381" t="inlineStr"/>
      <c r="O196" s="354" t="inlineStr"/>
      <c r="P196" s="381" t="inlineStr"/>
      <c r="Q196" s="367" t="inlineStr"/>
      <c r="R196" s="381" t="inlineStr"/>
      <c r="S196" s="354" t="inlineStr"/>
      <c r="T196" t="inlineStr"/>
      <c r="U196" t="inlineStr"/>
    </row>
    <row r="197" ht="22.2" customHeight="1" s="375">
      <c r="A197" s="3" t="n"/>
      <c r="D197" s="314" t="n"/>
      <c r="E197" s="3" t="n"/>
      <c r="G197" s="535" t="inlineStr">
        <is>
          <t>6 ต.ค.69</t>
        </is>
      </c>
      <c r="H197" s="376" t="inlineStr">
        <is>
          <t>20101-2029</t>
        </is>
      </c>
      <c r="I197" s="376" t="inlineStr">
        <is>
          <t>ชย.3/5 (26)</t>
        </is>
      </c>
      <c r="J197" s="334" t="inlineStr">
        <is>
          <t>13:10 - 16:10</t>
        </is>
      </c>
      <c r="K197" s="374" t="n"/>
      <c r="L197" s="334" t="n">
        <v>3</v>
      </c>
      <c r="M197" s="334" t="inlineStr"/>
      <c r="N197" s="334" t="inlineStr"/>
      <c r="O197" s="354" t="inlineStr"/>
      <c r="P197" s="334" t="inlineStr"/>
      <c r="Q197" s="334" t="inlineStr"/>
      <c r="R197" s="334" t="inlineStr"/>
      <c r="S197" s="354" t="inlineStr"/>
      <c r="T197" t="inlineStr"/>
      <c r="U197" t="inlineStr"/>
    </row>
    <row r="198" ht="22.2" customHeight="1" s="375">
      <c r="A198" s="3" t="n"/>
      <c r="B198" s="313" t="n"/>
      <c r="D198" s="314" t="n"/>
      <c r="E198" s="314" t="n"/>
      <c r="G198" s="334" t="inlineStr"/>
      <c r="H198" s="376" t="inlineStr"/>
      <c r="I198" s="376" t="inlineStr"/>
      <c r="J198" s="334" t="inlineStr"/>
      <c r="K198" s="374" t="n"/>
      <c r="L198" s="334" t="inlineStr"/>
      <c r="M198" s="334" t="inlineStr"/>
      <c r="N198" s="334" t="inlineStr"/>
      <c r="O198" s="354" t="inlineStr"/>
      <c r="P198" s="334" t="inlineStr"/>
      <c r="Q198" s="334" t="inlineStr"/>
      <c r="R198" s="334" t="inlineStr"/>
      <c r="S198" s="354" t="inlineStr"/>
      <c r="T198" t="inlineStr"/>
      <c r="U198" t="inlineStr"/>
    </row>
    <row r="199" ht="22.2" customHeight="1" s="375">
      <c r="A199" s="3" t="n"/>
      <c r="E199" s="3" t="n"/>
      <c r="G199" s="54" t="inlineStr"/>
      <c r="H199" s="334" t="inlineStr"/>
      <c r="I199" s="334" t="inlineStr"/>
      <c r="J199" s="334" t="inlineStr"/>
      <c r="K199" s="374" t="n"/>
      <c r="L199" s="334" t="inlineStr"/>
      <c r="M199" s="334" t="inlineStr"/>
      <c r="N199" s="334" t="inlineStr"/>
      <c r="O199" s="354" t="inlineStr"/>
      <c r="P199" s="334" t="inlineStr"/>
      <c r="Q199" s="334" t="inlineStr"/>
      <c r="R199" s="334" t="inlineStr"/>
      <c r="S199" s="354" t="inlineStr"/>
      <c r="T199" t="inlineStr"/>
      <c r="U199" t="inlineStr"/>
    </row>
    <row r="200" ht="22.2" customHeight="1" s="375">
      <c r="A200" s="3" t="n"/>
      <c r="D200" s="7" t="inlineStr">
        <is>
          <t> </t>
        </is>
      </c>
      <c r="E200" s="3" t="n"/>
      <c r="G200" s="55" t="inlineStr"/>
      <c r="H200" s="336" t="inlineStr"/>
      <c r="I200" s="336" t="inlineStr"/>
      <c r="J200" s="336" t="inlineStr"/>
      <c r="K200" s="527" t="n"/>
      <c r="L200" s="334" t="inlineStr"/>
      <c r="M200" s="334" t="inlineStr"/>
      <c r="N200" s="334" t="inlineStr"/>
      <c r="O200" s="354" t="inlineStr"/>
      <c r="P200" s="334" t="inlineStr"/>
      <c r="Q200" s="334" t="inlineStr"/>
      <c r="R200" s="334" t="inlineStr"/>
      <c r="S200" s="354" t="inlineStr"/>
      <c r="T200" t="inlineStr"/>
      <c r="U200" t="inlineStr"/>
    </row>
    <row r="201" ht="22.2" customHeight="1" s="375">
      <c r="A201" s="3" t="n"/>
      <c r="E201" s="3" t="n"/>
      <c r="G201" s="535" t="inlineStr">
        <is>
          <t>พุธ</t>
        </is>
      </c>
      <c r="H201" s="376" t="inlineStr">
        <is>
          <t>20101-2029</t>
        </is>
      </c>
      <c r="I201" s="376" t="inlineStr">
        <is>
          <t>ชย.3/8 (26)</t>
        </is>
      </c>
      <c r="J201" s="381" t="inlineStr">
        <is>
          <t>08:10 - 12:10</t>
        </is>
      </c>
      <c r="K201" s="135" t="n"/>
      <c r="L201" s="367" t="n">
        <v>4</v>
      </c>
      <c r="M201" s="381" t="inlineStr"/>
      <c r="N201" s="381" t="inlineStr"/>
      <c r="O201" s="354" t="inlineStr"/>
      <c r="P201" s="381" t="inlineStr"/>
      <c r="Q201" s="367" t="inlineStr"/>
      <c r="R201" s="381" t="inlineStr"/>
      <c r="S201" s="354" t="inlineStr"/>
      <c r="T201" s="23" t="inlineStr"/>
      <c r="U201" s="23" t="inlineStr"/>
      <c r="V201" s="56" t="n"/>
      <c r="W201" s="23" t="n"/>
      <c r="X201" s="23" t="n"/>
    </row>
    <row r="202" ht="22.2" customHeight="1" s="375">
      <c r="A202" s="3" t="n"/>
      <c r="B202" s="321" t="n"/>
      <c r="C202" s="322" t="n"/>
      <c r="D202" s="322" t="n"/>
      <c r="E202" s="334" t="n"/>
      <c r="G202" s="535" t="inlineStr">
        <is>
          <t>7 ต.ค.69</t>
        </is>
      </c>
      <c r="H202" s="376" t="inlineStr">
        <is>
          <t>20101-2029</t>
        </is>
      </c>
      <c r="I202" s="376" t="inlineStr">
        <is>
          <t>ชย.3/8 (26)</t>
        </is>
      </c>
      <c r="J202" s="334" t="inlineStr">
        <is>
          <t>13:10 - 16:10</t>
        </is>
      </c>
      <c r="K202" s="374" t="n"/>
      <c r="L202" s="334" t="inlineStr"/>
      <c r="M202" s="334" t="n">
        <v>3</v>
      </c>
      <c r="N202" s="334" t="n">
        <v>200</v>
      </c>
      <c r="O202" s="354">
        <f>M202*N202</f>
        <v/>
      </c>
      <c r="P202" s="334" t="inlineStr"/>
      <c r="Q202" s="334" t="inlineStr"/>
      <c r="R202" s="334" t="inlineStr"/>
      <c r="S202" s="354" t="inlineStr"/>
      <c r="T202" s="23" t="inlineStr"/>
      <c r="U202" s="23" t="inlineStr"/>
      <c r="V202" s="56" t="n"/>
      <c r="W202" s="23" t="n"/>
      <c r="X202" s="23" t="n"/>
    </row>
    <row r="203" ht="22.2" customHeight="1" s="375">
      <c r="A203" s="3" t="n"/>
      <c r="B203" s="313" t="n"/>
      <c r="D203" s="314" t="n"/>
      <c r="E203" s="314" t="n"/>
      <c r="G203" s="334" t="inlineStr"/>
      <c r="H203" s="376" t="inlineStr"/>
      <c r="I203" s="376" t="inlineStr"/>
      <c r="J203" s="334" t="inlineStr"/>
      <c r="K203" s="374" t="n"/>
      <c r="L203" s="334" t="inlineStr"/>
      <c r="M203" s="334" t="inlineStr"/>
      <c r="N203" s="334" t="inlineStr"/>
      <c r="O203" s="354" t="inlineStr"/>
      <c r="P203" s="334" t="inlineStr"/>
      <c r="Q203" s="334" t="inlineStr"/>
      <c r="R203" s="334" t="inlineStr"/>
      <c r="S203" s="354" t="inlineStr"/>
      <c r="T203" t="inlineStr"/>
      <c r="U203" t="inlineStr"/>
    </row>
    <row r="204" ht="22.2" customHeight="1" s="375">
      <c r="A204" s="3" t="n"/>
      <c r="E204" s="3" t="n"/>
      <c r="G204" s="321" t="inlineStr"/>
      <c r="H204" s="321" t="inlineStr"/>
      <c r="I204" s="334" t="inlineStr"/>
      <c r="J204" s="334" t="inlineStr"/>
      <c r="K204" s="374" t="n"/>
      <c r="L204" s="334" t="inlineStr"/>
      <c r="M204" s="334" t="inlineStr"/>
      <c r="N204" s="334" t="inlineStr"/>
      <c r="O204" s="354" t="inlineStr"/>
      <c r="P204" s="334" t="inlineStr"/>
      <c r="Q204" s="334" t="inlineStr"/>
      <c r="R204" s="334" t="inlineStr"/>
      <c r="S204" s="354" t="inlineStr"/>
      <c r="T204" t="inlineStr"/>
      <c r="U204" t="inlineStr"/>
    </row>
    <row r="205" ht="22.2" customHeight="1" s="375">
      <c r="A205" s="3" t="n"/>
      <c r="E205" s="3" t="n"/>
      <c r="G205" s="327" t="inlineStr"/>
      <c r="H205" s="327" t="inlineStr"/>
      <c r="I205" s="336" t="inlineStr"/>
      <c r="J205" s="336" t="inlineStr"/>
      <c r="K205" s="527" t="n"/>
      <c r="L205" s="336" t="inlineStr"/>
      <c r="M205" s="336" t="inlineStr"/>
      <c r="N205" s="336" t="inlineStr"/>
      <c r="O205" s="354" t="inlineStr"/>
      <c r="P205" s="336" t="inlineStr"/>
      <c r="Q205" s="336" t="inlineStr"/>
      <c r="R205" s="336" t="inlineStr"/>
      <c r="S205" s="354" t="inlineStr"/>
      <c r="T205" t="inlineStr"/>
      <c r="U205" t="inlineStr"/>
    </row>
    <row r="206" ht="22.2" customHeight="1" s="375">
      <c r="A206" s="3" t="n"/>
      <c r="E206" s="3" t="n"/>
      <c r="G206" s="533" t="inlineStr">
        <is>
          <t>พฤหัส</t>
        </is>
      </c>
      <c r="H206" s="376" t="inlineStr">
        <is>
          <t>20101-2016</t>
        </is>
      </c>
      <c r="I206" s="376" t="inlineStr">
        <is>
          <t>ชย.1/1,ชย.1/2 (26)</t>
        </is>
      </c>
      <c r="J206" s="381" t="inlineStr">
        <is>
          <t>08:10 - 10:10</t>
        </is>
      </c>
      <c r="K206" s="135" t="n"/>
      <c r="L206" s="334" t="inlineStr"/>
      <c r="M206" s="334" t="n">
        <v>2</v>
      </c>
      <c r="N206" s="334" t="n">
        <v>200</v>
      </c>
      <c r="O206" s="354">
        <f>M206*N206</f>
        <v/>
      </c>
      <c r="P206" s="334" t="inlineStr"/>
      <c r="Q206" s="367" t="inlineStr"/>
      <c r="R206" s="381" t="inlineStr"/>
      <c r="S206" s="354" t="inlineStr"/>
      <c r="T206" t="inlineStr"/>
      <c r="U206" t="inlineStr"/>
    </row>
    <row r="207" ht="22.2" customHeight="1" s="375">
      <c r="A207" s="3" t="n"/>
      <c r="E207" s="3" t="n"/>
      <c r="G207" s="535" t="inlineStr">
        <is>
          <t>8 ต.ค.69</t>
        </is>
      </c>
      <c r="H207" s="334" t="inlineStr">
        <is>
          <t>20000-2007</t>
        </is>
      </c>
      <c r="I207" s="376" t="inlineStr">
        <is>
          <t>ชย.3/1,ชย.3/2,ชย.3/3 (26)</t>
        </is>
      </c>
      <c r="J207" s="334" t="inlineStr">
        <is>
          <t>13:10 - 15:10</t>
        </is>
      </c>
      <c r="K207" s="374" t="n"/>
      <c r="L207" s="334" t="n">
        <v>2</v>
      </c>
      <c r="M207" s="334" t="inlineStr"/>
      <c r="N207" s="334" t="inlineStr"/>
      <c r="O207" s="354" t="inlineStr"/>
      <c r="P207" s="334" t="inlineStr"/>
      <c r="Q207" s="334" t="inlineStr"/>
      <c r="R207" s="334" t="inlineStr"/>
      <c r="S207" s="354" t="inlineStr"/>
      <c r="T207" t="inlineStr"/>
      <c r="U207" t="inlineStr"/>
    </row>
    <row r="208" ht="22.2" customHeight="1" s="375">
      <c r="A208" s="3" t="n"/>
      <c r="E208" s="3" t="n"/>
      <c r="G208" s="334" t="inlineStr"/>
      <c r="H208" s="376" t="inlineStr"/>
      <c r="I208" s="376" t="inlineStr"/>
      <c r="J208" s="376" t="inlineStr"/>
      <c r="K208" s="374" t="n"/>
      <c r="L208" s="376" t="inlineStr"/>
      <c r="M208" s="376" t="inlineStr"/>
      <c r="N208" s="376" t="inlineStr"/>
      <c r="O208" s="354" t="inlineStr"/>
      <c r="P208" s="376" t="inlineStr"/>
      <c r="Q208" s="376" t="inlineStr"/>
      <c r="R208" s="376" t="inlineStr"/>
      <c r="S208" s="354" t="inlineStr"/>
      <c r="T208" t="inlineStr"/>
      <c r="U208" t="inlineStr"/>
    </row>
    <row r="209" ht="22.2" customHeight="1" s="375">
      <c r="A209" s="3" t="n"/>
      <c r="E209" s="3" t="n"/>
      <c r="G209" s="334" t="inlineStr"/>
      <c r="H209" s="334" t="inlineStr"/>
      <c r="I209" s="334" t="inlineStr"/>
      <c r="J209" s="334" t="inlineStr"/>
      <c r="K209" s="374" t="n"/>
      <c r="L209" s="334" t="inlineStr"/>
      <c r="M209" s="334" t="inlineStr"/>
      <c r="N209" s="334" t="inlineStr"/>
      <c r="O209" s="354" t="inlineStr"/>
      <c r="P209" s="334" t="inlineStr"/>
      <c r="Q209" s="334" t="inlineStr"/>
      <c r="R209" s="334" t="inlineStr"/>
      <c r="S209" s="354" t="inlineStr"/>
      <c r="T209" t="inlineStr"/>
      <c r="U209" t="inlineStr"/>
    </row>
    <row r="210" ht="22.2" customHeight="1" s="375">
      <c r="A210" s="3" t="n"/>
      <c r="E210" s="3" t="n"/>
      <c r="G210" s="336" t="inlineStr"/>
      <c r="H210" s="328" t="inlineStr"/>
      <c r="I210" s="336" t="inlineStr"/>
      <c r="J210" s="336" t="inlineStr"/>
      <c r="K210" s="527" t="n"/>
      <c r="L210" s="336" t="inlineStr"/>
      <c r="M210" s="336" t="inlineStr"/>
      <c r="N210" s="336" t="inlineStr"/>
      <c r="O210" s="354" t="inlineStr"/>
      <c r="P210" s="336" t="inlineStr"/>
      <c r="Q210" s="336" t="inlineStr"/>
      <c r="R210" s="336" t="inlineStr"/>
      <c r="S210" s="354" t="inlineStr"/>
      <c r="T210" t="inlineStr"/>
      <c r="U210" t="inlineStr"/>
    </row>
    <row r="211" ht="22.2" customHeight="1" s="375">
      <c r="A211" s="3" t="n"/>
      <c r="E211" s="3" t="n"/>
      <c r="G211" s="533" t="inlineStr">
        <is>
          <t>ศุกร์</t>
        </is>
      </c>
      <c r="H211" s="376" t="inlineStr">
        <is>
          <t>20101-2018</t>
        </is>
      </c>
      <c r="I211" s="376" t="inlineStr">
        <is>
          <t>ชย.3/1,ชย.3/2 (26)</t>
        </is>
      </c>
      <c r="J211" s="381" t="inlineStr">
        <is>
          <t>18:10 - 21:10</t>
        </is>
      </c>
      <c r="K211" s="135" t="n"/>
      <c r="L211" s="334" t="inlineStr"/>
      <c r="M211" s="334" t="n">
        <v>3</v>
      </c>
      <c r="N211" s="334" t="n">
        <v>200</v>
      </c>
      <c r="O211" s="354">
        <f>M211*N211</f>
        <v/>
      </c>
      <c r="P211" s="381" t="inlineStr"/>
      <c r="Q211" s="367" t="inlineStr"/>
      <c r="R211" s="381" t="inlineStr"/>
      <c r="S211" s="354" t="inlineStr"/>
      <c r="T211" t="inlineStr"/>
      <c r="U211" t="inlineStr"/>
    </row>
    <row r="212" ht="22.2" customHeight="1" s="375">
      <c r="A212" s="3" t="n"/>
      <c r="B212" s="143" t="n"/>
      <c r="C212" s="144" t="n"/>
      <c r="D212" s="145" t="n"/>
      <c r="E212" s="146" t="n"/>
      <c r="F212" s="145" t="n"/>
      <c r="G212" s="535" t="inlineStr">
        <is>
          <t>9 ต.ค.69</t>
        </is>
      </c>
      <c r="H212" s="376" t="inlineStr"/>
      <c r="I212" s="376" t="inlineStr"/>
      <c r="J212" s="334" t="inlineStr"/>
      <c r="K212" s="374" t="n"/>
      <c r="L212" s="334" t="inlineStr"/>
      <c r="M212" s="334" t="inlineStr"/>
      <c r="N212" s="334" t="inlineStr"/>
      <c r="O212" s="354" t="inlineStr"/>
      <c r="P212" s="334" t="inlineStr"/>
      <c r="Q212" s="334" t="inlineStr"/>
      <c r="R212" s="334" t="inlineStr"/>
      <c r="S212" s="354" t="inlineStr"/>
      <c r="T212" t="inlineStr"/>
      <c r="U212" t="inlineStr"/>
    </row>
    <row r="213" ht="22.2" customHeight="1" s="375">
      <c r="A213" s="3" t="n"/>
      <c r="E213" s="3" t="n"/>
      <c r="G213" s="334" t="inlineStr"/>
      <c r="H213" s="376" t="inlineStr"/>
      <c r="I213" s="376" t="inlineStr"/>
      <c r="J213" s="334" t="inlineStr"/>
      <c r="K213" s="374" t="n"/>
      <c r="L213" s="334" t="inlineStr"/>
      <c r="M213" s="334" t="inlineStr"/>
      <c r="N213" s="334" t="inlineStr"/>
      <c r="O213" s="354" t="inlineStr"/>
      <c r="P213" s="334" t="inlineStr"/>
      <c r="Q213" s="334" t="inlineStr"/>
      <c r="R213" s="334" t="inlineStr"/>
      <c r="S213" s="354" t="inlineStr"/>
      <c r="T213" t="inlineStr"/>
      <c r="U213" t="inlineStr"/>
    </row>
    <row r="214" ht="22.2" customHeight="1" s="375">
      <c r="A214" s="3" t="n"/>
      <c r="E214" s="3" t="n"/>
      <c r="G214" s="334" t="inlineStr"/>
      <c r="H214" s="334" t="inlineStr"/>
      <c r="I214" s="334" t="inlineStr"/>
      <c r="J214" s="334" t="inlineStr"/>
      <c r="K214" s="374" t="n"/>
      <c r="L214" s="334" t="inlineStr"/>
      <c r="M214" s="334" t="inlineStr"/>
      <c r="N214" s="334" t="inlineStr"/>
      <c r="O214" s="354" t="inlineStr"/>
      <c r="P214" s="334" t="inlineStr"/>
      <c r="Q214" s="334" t="inlineStr"/>
      <c r="R214" s="334" t="inlineStr"/>
      <c r="S214" s="354" t="inlineStr"/>
      <c r="T214" t="inlineStr"/>
      <c r="U214" t="inlineStr"/>
    </row>
    <row r="215" ht="22.2" customHeight="1" s="375">
      <c r="A215" s="3" t="n"/>
      <c r="E215" s="3" t="n"/>
      <c r="F215" s="3" t="n"/>
      <c r="G215" s="329" t="inlineStr"/>
      <c r="H215" s="328" t="inlineStr"/>
      <c r="I215" s="336" t="inlineStr"/>
      <c r="J215" s="336" t="inlineStr"/>
      <c r="K215" s="527" t="n"/>
      <c r="L215" s="336" t="inlineStr"/>
      <c r="M215" s="336" t="inlineStr"/>
      <c r="N215" s="336" t="inlineStr"/>
      <c r="O215" s="354" t="inlineStr"/>
      <c r="P215" s="336" t="inlineStr"/>
      <c r="Q215" s="336" t="inlineStr"/>
      <c r="R215" s="336" t="inlineStr"/>
      <c r="S215" s="354" t="inlineStr"/>
      <c r="T215" t="inlineStr"/>
      <c r="U215" t="inlineStr"/>
    </row>
    <row r="216" ht="22.2" customHeight="1" s="375">
      <c r="A216" s="3" t="n"/>
      <c r="E216" s="3" t="n"/>
      <c r="F216" s="3" t="n"/>
      <c r="G216" s="16" t="inlineStr">
        <is>
          <t>รวมขั่วโมงที่สอนแยก ภาระงาน/ เกินภาระงาน</t>
        </is>
      </c>
      <c r="H216" s="518" t="n"/>
      <c r="I216" s="518" t="n"/>
      <c r="J216" s="518" t="n"/>
      <c r="K216" s="432" t="n"/>
      <c r="L216" s="16">
        <f>SUM(L191:L215)</f>
        <v/>
      </c>
      <c r="M216" s="16">
        <f>SUM(M191:M215)</f>
        <v/>
      </c>
      <c r="N216" s="16" t="n"/>
      <c r="O216" s="16" t="n"/>
      <c r="P216" s="16">
        <f>SUM(P191:P215)</f>
        <v/>
      </c>
      <c r="Q216" s="16">
        <f>SUM(Q191:Q215)</f>
        <v/>
      </c>
      <c r="R216" s="349" t="n"/>
      <c r="S216" s="16" t="n"/>
    </row>
    <row r="217" ht="22.2" customHeight="1" s="375">
      <c r="A217" s="3" t="n"/>
      <c r="E217" s="3" t="n"/>
      <c r="F217" s="3" t="n"/>
      <c r="G217" s="16" t="inlineStr">
        <is>
          <t>รวมจำนวนชั่วโมงสอนคาบต่อสับดาห์</t>
        </is>
      </c>
      <c r="H217" s="518" t="n"/>
      <c r="I217" s="518" t="n"/>
      <c r="J217" s="518" t="n"/>
      <c r="K217" s="432" t="n"/>
      <c r="L217" s="16">
        <f>L216+M216</f>
        <v/>
      </c>
      <c r="M217" s="432" t="n"/>
      <c r="N217" s="16" t="n"/>
      <c r="O217" s="348" t="n"/>
      <c r="P217" s="16">
        <f>P216+Q216</f>
        <v/>
      </c>
      <c r="Q217" s="432" t="n"/>
      <c r="R217" s="329" t="n"/>
      <c r="S217" s="336" t="n"/>
    </row>
    <row r="218" ht="22.2" customHeight="1" s="375">
      <c r="A218" s="3" t="n"/>
      <c r="E218" s="3" t="n"/>
      <c r="F218" s="3" t="n"/>
      <c r="G218" s="16" t="inlineStr">
        <is>
          <t>จำนวนชั่วโมงสอนตามภาระงานสอน</t>
        </is>
      </c>
      <c r="H218" s="518" t="n"/>
      <c r="I218" s="518" t="n"/>
      <c r="J218" s="518" t="n"/>
      <c r="K218" s="432" t="n"/>
      <c r="L218" s="16" t="n">
        <v>18</v>
      </c>
      <c r="M218" s="432" t="n"/>
      <c r="N218" s="348" t="n"/>
      <c r="O218" s="16" t="n"/>
      <c r="P218" s="16" t="n">
        <v>0</v>
      </c>
      <c r="Q218" s="432" t="n"/>
      <c r="R218" s="322" t="n"/>
      <c r="S218" s="334" t="n"/>
    </row>
    <row r="219" ht="22.2" customHeight="1" s="375" thickBot="1">
      <c r="A219" s="3" t="n"/>
      <c r="E219" s="3" t="n"/>
      <c r="F219" s="14" t="n"/>
      <c r="G219" s="16" t="inlineStr">
        <is>
          <t>จำนวนชั่วโมงบิกเกินภาระงานสอน/ค่าสอน</t>
        </is>
      </c>
      <c r="H219" s="518" t="n"/>
      <c r="I219" s="518" t="n"/>
      <c r="J219" s="518" t="n"/>
      <c r="K219" s="432" t="n"/>
      <c r="L219" s="17" t="n">
        <v>0</v>
      </c>
      <c r="M219" s="17">
        <f>SUM(M191:M215)</f>
        <v/>
      </c>
      <c r="N219" s="17" t="n"/>
      <c r="O219" s="17">
        <f>SUM(O191:O215)</f>
        <v/>
      </c>
      <c r="P219" s="17" t="n">
        <v>0</v>
      </c>
      <c r="Q219" s="17">
        <f>SUM(Q191:Q215)</f>
        <v/>
      </c>
      <c r="R219" s="18" t="n"/>
      <c r="S219" s="17">
        <f>SUM(S191:S215)</f>
        <v/>
      </c>
    </row>
    <row r="220" ht="22.2" customHeight="1" s="375" thickTop="1">
      <c r="A220" s="337" t="inlineStr">
        <is>
          <t>รวมจำนวนหน่วยชั่วโมงที่ขอเบิกค่าสอน ….</t>
        </is>
      </c>
      <c r="B220" s="518" t="n"/>
      <c r="C220" s="518" t="n"/>
      <c r="D220" s="518" t="n"/>
      <c r="E220" s="518" t="n"/>
      <c r="F220" s="518" t="n"/>
      <c r="G220" s="518" t="n"/>
      <c r="H220" s="348">
        <f>M219+Q219</f>
        <v/>
      </c>
      <c r="I220" s="348" t="inlineStr">
        <is>
          <t>….ชั่วโมง</t>
        </is>
      </c>
      <c r="J220" s="348" t="n"/>
      <c r="K220" s="328" t="inlineStr">
        <is>
          <t>ยอดเงินรวม</t>
        </is>
      </c>
      <c r="L220" s="522" t="n"/>
      <c r="M220" s="522" t="n"/>
      <c r="N220" s="328" t="n"/>
      <c r="O220" s="328" t="n"/>
      <c r="P220" s="339">
        <f>S219+O219</f>
        <v/>
      </c>
      <c r="Q220" s="538" t="n"/>
      <c r="R220" s="20" t="n"/>
      <c r="S220" s="19" t="inlineStr">
        <is>
          <t>..บาท</t>
        </is>
      </c>
    </row>
    <row r="221" ht="22.2" customHeight="1" s="375">
      <c r="A221" s="154" t="inlineStr">
        <is>
          <t>ผู้ขอเบิก</t>
        </is>
      </c>
      <c r="B221" s="153" t="n"/>
      <c r="C221" s="153" t="n"/>
      <c r="D221" s="153" t="n"/>
      <c r="E221" s="153" t="n"/>
      <c r="F221" s="153" t="n"/>
      <c r="G221" s="135" t="n"/>
      <c r="H221" s="154" t="inlineStr">
        <is>
          <t>ผู้รับรอง</t>
        </is>
      </c>
      <c r="I221" s="153" t="n"/>
      <c r="J221" s="153" t="n"/>
      <c r="K221" s="153" t="n"/>
      <c r="L221" s="135" t="n"/>
      <c r="M221" s="154" t="inlineStr">
        <is>
          <t>ผู้ตรวจ</t>
        </is>
      </c>
      <c r="N221" s="153" t="n"/>
      <c r="O221" s="153" t="n"/>
      <c r="P221" s="153" t="n"/>
      <c r="Q221" s="153" t="n"/>
      <c r="R221" s="153" t="n"/>
      <c r="S221" s="135" t="n"/>
    </row>
    <row r="222" ht="22.2" customHeight="1" s="375">
      <c r="A222" s="334" t="inlineStr">
        <is>
          <t>ลงชื่อ……………………………………………</t>
        </is>
      </c>
      <c r="G222" s="374" t="n"/>
      <c r="H222" s="334" t="inlineStr">
        <is>
          <t>ลงชื่อ……………………………………………</t>
        </is>
      </c>
      <c r="L222" s="374" t="n"/>
      <c r="M222" s="334" t="inlineStr">
        <is>
          <t>ลงชื่อ……………………………………………</t>
        </is>
      </c>
      <c r="S222" s="374" t="n"/>
    </row>
    <row r="223" ht="22.2" customHeight="1" s="375">
      <c r="A223" s="11" t="inlineStr">
        <is>
          <t>(</t>
        </is>
      </c>
      <c r="B223" s="324">
        <f>B191</f>
        <v/>
      </c>
      <c r="G223" s="326" t="inlineStr">
        <is>
          <t>)</t>
        </is>
      </c>
      <c r="H223" s="324" t="inlineStr">
        <is>
          <t>(</t>
        </is>
      </c>
      <c r="I223" s="340">
        <f>I177</f>
        <v/>
      </c>
      <c r="L223" s="12" t="inlineStr">
        <is>
          <t>)</t>
        </is>
      </c>
      <c r="M223" s="53" t="inlineStr">
        <is>
          <t>(</t>
        </is>
      </c>
      <c r="N223" s="53" t="n"/>
      <c r="O223" s="324">
        <f>O39</f>
        <v/>
      </c>
      <c r="R223" s="25" t="n"/>
      <c r="S223" s="326" t="inlineStr">
        <is>
          <t>)</t>
        </is>
      </c>
    </row>
    <row r="224" ht="22.2" customHeight="1" s="375">
      <c r="A224" s="540" t="inlineStr">
        <is>
          <t xml:space="preserve">                         ตำแหน่ง  ครู</t>
        </is>
      </c>
      <c r="G224" s="374" t="n"/>
      <c r="H224" s="54" t="inlineStr">
        <is>
          <t>ตำแหน่ง หัวหน้าแผนก</t>
        </is>
      </c>
      <c r="L224" s="374" t="n"/>
      <c r="M224" s="54" t="inlineStr">
        <is>
          <t>ตำแหน่ง   ผู้ตรวจสอบ</t>
        </is>
      </c>
      <c r="S224" s="374" t="n"/>
    </row>
    <row r="225" ht="22.2" customHeight="1" s="375">
      <c r="A225" s="55" t="inlineStr">
        <is>
          <t>วันที่ 12 เดือน ตุลาคม  พ.ศ.2569</t>
        </is>
      </c>
      <c r="B225" s="522" t="n"/>
      <c r="C225" s="522" t="n"/>
      <c r="D225" s="522" t="n"/>
      <c r="E225" s="522" t="n"/>
      <c r="F225" s="522" t="n"/>
      <c r="G225" s="527" t="n"/>
      <c r="H225" s="54">
        <f>A41</f>
        <v/>
      </c>
      <c r="L225" s="374" t="n"/>
      <c r="M225" s="55">
        <f>A41</f>
        <v/>
      </c>
      <c r="N225" s="522" t="n"/>
      <c r="O225" s="522" t="n"/>
      <c r="P225" s="522" t="n"/>
      <c r="Q225" s="522" t="n"/>
      <c r="R225" s="522" t="n"/>
      <c r="S225" s="527" t="n"/>
    </row>
    <row r="226" ht="22.2" customHeight="1" s="375">
      <c r="A226" s="154" t="inlineStr">
        <is>
          <t>ผู้ตรวจ</t>
        </is>
      </c>
      <c r="B226" s="153" t="n"/>
      <c r="C226" s="153" t="n"/>
      <c r="D226" s="153" t="n"/>
      <c r="E226" s="153" t="n"/>
      <c r="F226" s="153" t="n"/>
      <c r="G226" s="153" t="n"/>
      <c r="H226" s="153" t="n"/>
      <c r="I226" s="135" t="n"/>
      <c r="J226" s="154" t="inlineStr">
        <is>
          <t>ผู้เห็นชอบ</t>
        </is>
      </c>
      <c r="K226" s="153" t="n"/>
      <c r="L226" s="153" t="n"/>
      <c r="M226" s="153" t="n"/>
      <c r="N226" s="153" t="n"/>
      <c r="O226" s="153" t="n"/>
      <c r="P226" s="153" t="n"/>
      <c r="Q226" s="153" t="n"/>
      <c r="R226" s="153" t="n"/>
      <c r="S226" s="135" t="n"/>
    </row>
    <row r="227" ht="22.2" customHeight="1" s="375">
      <c r="A227" s="334" t="inlineStr">
        <is>
          <t>ลงชื่อ……………………………………………</t>
        </is>
      </c>
      <c r="I227" s="374" t="n"/>
      <c r="J227" s="334" t="inlineStr">
        <is>
          <t>ลงชื่อ……………………………………………</t>
        </is>
      </c>
      <c r="S227" s="374" t="n"/>
    </row>
    <row r="228" ht="22.2" customHeight="1" s="375">
      <c r="A228" s="11" t="n"/>
      <c r="B228" s="324">
        <f>B44</f>
        <v/>
      </c>
      <c r="I228" s="326" t="n"/>
      <c r="J228" s="25" t="n"/>
      <c r="K228" s="25" t="n"/>
      <c r="L228" s="324">
        <f>L44</f>
        <v/>
      </c>
      <c r="R228" s="25" t="n"/>
      <c r="S228" s="12" t="n"/>
    </row>
    <row r="229" ht="22.2" customHeight="1" s="375">
      <c r="A229" s="54" t="inlineStr">
        <is>
          <t>ตำแหน่งครู  หัวหน้างานพัฒนาหลักสูตร ฯ</t>
        </is>
      </c>
      <c r="I229" s="374" t="n"/>
      <c r="J229" s="54" t="inlineStr">
        <is>
          <t>ตำแหน่ง  รองผู้อำนวยการฝ่ายวิชาการ</t>
        </is>
      </c>
      <c r="S229" s="374" t="n"/>
    </row>
    <row r="230" ht="22.2" customHeight="1" s="375">
      <c r="A230" s="336" t="inlineStr">
        <is>
          <t>วันที่.......เดือน..........................พ.ศ..............</t>
        </is>
      </c>
      <c r="B230" s="522" t="n"/>
      <c r="C230" s="522" t="n"/>
      <c r="D230" s="522" t="n"/>
      <c r="E230" s="522" t="n"/>
      <c r="F230" s="522" t="n"/>
      <c r="G230" s="522" t="n"/>
      <c r="H230" s="522" t="n"/>
      <c r="I230" s="527" t="n"/>
      <c r="J230" s="336" t="inlineStr">
        <is>
          <t>วันที่.......เดือน..........................พ.ศ..............</t>
        </is>
      </c>
      <c r="K230" s="522" t="n"/>
      <c r="L230" s="522" t="n"/>
      <c r="M230" s="522" t="n"/>
      <c r="N230" s="522" t="n"/>
      <c r="O230" s="522" t="n"/>
      <c r="P230" s="522" t="n"/>
      <c r="Q230" s="522" t="n"/>
      <c r="R230" s="522" t="n"/>
      <c r="S230" s="527" t="n"/>
    </row>
    <row r="231" ht="22.2" customHeight="1" s="375">
      <c r="A231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75">
      <c r="A232" s="365" t="inlineStr">
        <is>
          <t>แผนกวิชาช่างยนต์</t>
        </is>
      </c>
    </row>
    <row r="233" ht="22.2" customHeight="1" s="375">
      <c r="A233" s="366" t="inlineStr">
        <is>
          <t xml:space="preserve">    ระหว่างวันที่</t>
        </is>
      </c>
      <c r="D233" s="365">
        <f>D3</f>
        <v/>
      </c>
      <c r="E233" s="365" t="inlineStr">
        <is>
          <t xml:space="preserve">   เดือน  </t>
        </is>
      </c>
      <c r="F233" s="365">
        <f>F3</f>
        <v/>
      </c>
      <c r="H233" s="365">
        <f>H3</f>
        <v/>
      </c>
      <c r="I233" s="365" t="inlineStr">
        <is>
          <t xml:space="preserve">     ถึง วันที่</t>
        </is>
      </c>
      <c r="J233" s="365">
        <f>J3</f>
        <v/>
      </c>
      <c r="K233" s="365" t="inlineStr">
        <is>
          <t xml:space="preserve">   เดือน </t>
        </is>
      </c>
      <c r="L233" s="365">
        <f>L3</f>
        <v/>
      </c>
      <c r="N233" s="365">
        <f>N3</f>
        <v/>
      </c>
      <c r="P233" s="365" t="n"/>
      <c r="R233" s="365" t="n"/>
    </row>
    <row r="234" ht="22.2" customHeight="1" s="375">
      <c r="G234" s="51" t="inlineStr">
        <is>
          <t>ü</t>
        </is>
      </c>
      <c r="H234" s="351" t="inlineStr">
        <is>
          <t>ครู</t>
        </is>
      </c>
      <c r="I234" s="322" t="inlineStr">
        <is>
          <t>หน้าที่พิเศษ</t>
        </is>
      </c>
      <c r="J234" s="382" t="inlineStr">
        <is>
          <t>ผู้ช่วยงานการเงิน, อาคารสถานที่, โครงการพิเศษและการบริการสังคม</t>
        </is>
      </c>
      <c r="K234" s="522" t="n"/>
      <c r="L234" s="522" t="n"/>
      <c r="M234" s="522" t="n"/>
      <c r="N234" s="522" t="n"/>
      <c r="O234" s="522" t="n"/>
    </row>
    <row r="235" ht="22.2" customHeight="1" s="375">
      <c r="A235" s="24" t="inlineStr">
        <is>
          <t>ที่</t>
        </is>
      </c>
      <c r="B235" s="24" t="inlineStr">
        <is>
          <t>ชื่อ-สกุล</t>
        </is>
      </c>
      <c r="C235" s="153" t="n"/>
      <c r="D235" s="135" t="n"/>
      <c r="E235" s="15" t="inlineStr">
        <is>
          <t>ตำแหน่ง</t>
        </is>
      </c>
      <c r="F235" s="16" t="inlineStr">
        <is>
          <t>ระยะเวลาที่สอน</t>
        </is>
      </c>
      <c r="G235" s="432" t="n"/>
      <c r="H235" s="16" t="inlineStr">
        <is>
          <t>รหัสวิชา</t>
        </is>
      </c>
      <c r="I235" s="362" t="inlineStr">
        <is>
          <t>ชั้น,แผนก,ห้อง</t>
        </is>
      </c>
      <c r="J235" s="16" t="inlineStr">
        <is>
          <t>เวลาสอน</t>
        </is>
      </c>
      <c r="K235" s="135" t="n"/>
      <c r="L235" s="16" t="inlineStr">
        <is>
          <t>ปวช.(คาบ)</t>
        </is>
      </c>
      <c r="M235" s="432" t="n"/>
      <c r="N235" s="354" t="inlineStr">
        <is>
          <t>เงิน</t>
        </is>
      </c>
      <c r="O235" s="362" t="inlineStr">
        <is>
          <t>ยอดเงิน</t>
        </is>
      </c>
      <c r="P235" s="524" t="inlineStr">
        <is>
          <t>ปวส.(คาบ)</t>
        </is>
      </c>
      <c r="Q235" s="432" t="n"/>
      <c r="R235" s="354" t="inlineStr">
        <is>
          <t>เงิน</t>
        </is>
      </c>
      <c r="S235" s="362" t="inlineStr">
        <is>
          <t>ยอดเงิน</t>
        </is>
      </c>
    </row>
    <row r="236" ht="22.2" customHeight="1" s="375">
      <c r="A236" s="52" t="n"/>
      <c r="B236" s="8" t="n"/>
      <c r="C236" s="9" t="n"/>
      <c r="D236" s="13" t="n"/>
      <c r="E236" s="10" t="n"/>
      <c r="F236" s="336" t="inlineStr">
        <is>
          <t>ส.</t>
        </is>
      </c>
      <c r="G236" s="336" t="inlineStr">
        <is>
          <t>วดป.</t>
        </is>
      </c>
      <c r="H236" s="525" t="n"/>
      <c r="I236" s="336" t="n"/>
      <c r="J236" s="526" t="n"/>
      <c r="K236" s="527" t="n"/>
      <c r="L236" s="336" t="inlineStr">
        <is>
          <t>ใน</t>
        </is>
      </c>
      <c r="M236" s="336" t="inlineStr">
        <is>
          <t>นอก</t>
        </is>
      </c>
      <c r="N236" s="336" t="inlineStr">
        <is>
          <t>ต่อ ชม.</t>
        </is>
      </c>
      <c r="O236" s="336" t="inlineStr">
        <is>
          <t>(บาท)</t>
        </is>
      </c>
      <c r="P236" s="52" t="inlineStr">
        <is>
          <t>ใน</t>
        </is>
      </c>
      <c r="Q236" s="52" t="inlineStr">
        <is>
          <t>นอก</t>
        </is>
      </c>
      <c r="R236" s="336" t="inlineStr">
        <is>
          <t>ต่อ ชม.</t>
        </is>
      </c>
      <c r="S236" s="336" t="inlineStr">
        <is>
          <t>(บาท)</t>
        </is>
      </c>
    </row>
    <row r="237" ht="22.2" customHeight="1" s="375">
      <c r="A237" s="362" t="n">
        <v>6</v>
      </c>
      <c r="B237" s="528">
        <f>AB8</f>
        <v/>
      </c>
      <c r="C237" s="153" t="n"/>
      <c r="D237" s="135" t="n"/>
      <c r="E237" s="362" t="inlineStr">
        <is>
          <t>ครู</t>
        </is>
      </c>
      <c r="F237" s="5" t="n">
        <v>4</v>
      </c>
      <c r="G237" s="539" t="inlineStr">
        <is>
          <t>จันทร์</t>
        </is>
      </c>
      <c r="H237" s="126" t="inlineStr">
        <is>
          <t>20143-2011</t>
        </is>
      </c>
      <c r="I237" s="128" t="inlineStr">
        <is>
          <t>ชย.3/5 (26)</t>
        </is>
      </c>
      <c r="J237" s="381" t="inlineStr">
        <is>
          <t>08:10 - 12:10</t>
        </is>
      </c>
      <c r="K237" s="135" t="n"/>
      <c r="L237" s="367" t="n">
        <v>4</v>
      </c>
      <c r="M237" s="381" t="inlineStr"/>
      <c r="N237" s="381" t="inlineStr"/>
      <c r="O237" s="354" t="inlineStr"/>
      <c r="P237" s="381" t="inlineStr"/>
      <c r="Q237" s="367" t="inlineStr"/>
      <c r="R237" s="381" t="inlineStr"/>
      <c r="S237" s="354" t="inlineStr"/>
      <c r="T237" t="inlineStr"/>
      <c r="U237" t="inlineStr"/>
    </row>
    <row r="238" ht="22.2" customHeight="1" s="375">
      <c r="A238" s="3" t="n"/>
      <c r="B238" s="313" t="n"/>
      <c r="D238" s="314" t="n"/>
      <c r="E238" s="314" t="n"/>
      <c r="F238" s="322" t="n"/>
      <c r="G238" s="533" t="inlineStr">
        <is>
          <t>5 ต.ค.69</t>
        </is>
      </c>
      <c r="H238" s="126" t="inlineStr">
        <is>
          <t>20143-2011</t>
        </is>
      </c>
      <c r="I238" s="128" t="inlineStr">
        <is>
          <t>ชย.3/5 (26)</t>
        </is>
      </c>
      <c r="J238" s="376" t="inlineStr">
        <is>
          <t>13:10 - 16:10</t>
        </is>
      </c>
      <c r="K238" s="374" t="n"/>
      <c r="L238" s="334" t="n">
        <v>3</v>
      </c>
      <c r="M238" s="334" t="inlineStr"/>
      <c r="N238" s="334" t="inlineStr"/>
      <c r="O238" s="354" t="inlineStr"/>
      <c r="P238" s="334" t="inlineStr"/>
      <c r="Q238" s="334" t="inlineStr"/>
      <c r="R238" s="334" t="inlineStr"/>
      <c r="S238" s="354" t="inlineStr"/>
      <c r="T238" t="inlineStr"/>
      <c r="U238" t="inlineStr"/>
    </row>
    <row r="239" ht="22.2" customHeight="1" s="375">
      <c r="A239" s="3" t="n"/>
      <c r="B239" s="313" t="n"/>
      <c r="D239" s="314" t="n"/>
      <c r="E239" s="314" t="n"/>
      <c r="F239" s="322" t="n"/>
      <c r="G239" s="334" t="inlineStr"/>
      <c r="H239" s="126" t="inlineStr"/>
      <c r="I239" s="149" t="inlineStr"/>
      <c r="J239" s="376" t="inlineStr"/>
      <c r="K239" s="374" t="n"/>
      <c r="L239" s="334" t="inlineStr"/>
      <c r="M239" s="334" t="inlineStr"/>
      <c r="N239" s="334" t="inlineStr"/>
      <c r="O239" s="354" t="inlineStr"/>
      <c r="P239" s="334" t="inlineStr"/>
      <c r="Q239" s="334" t="inlineStr"/>
      <c r="R239" s="334" t="inlineStr"/>
      <c r="S239" s="354" t="inlineStr"/>
      <c r="T239" t="inlineStr"/>
      <c r="U239" t="inlineStr"/>
    </row>
    <row r="240" ht="22.2" customHeight="1" s="375">
      <c r="A240" s="3" t="n"/>
      <c r="B240" s="313" t="n"/>
      <c r="E240" s="3" t="n"/>
      <c r="F240" s="322" t="n"/>
      <c r="G240" s="321" t="inlineStr"/>
      <c r="H240" s="334" t="inlineStr"/>
      <c r="I240" s="334" t="inlineStr"/>
      <c r="J240" s="334" t="inlineStr"/>
      <c r="K240" s="374" t="n"/>
      <c r="L240" s="334" t="inlineStr"/>
      <c r="M240" s="334" t="inlineStr"/>
      <c r="N240" s="334" t="inlineStr"/>
      <c r="O240" s="354" t="inlineStr"/>
      <c r="P240" s="334" t="inlineStr"/>
      <c r="Q240" s="334" t="inlineStr"/>
      <c r="R240" s="334" t="inlineStr"/>
      <c r="S240" s="354" t="inlineStr"/>
      <c r="T240" t="inlineStr"/>
      <c r="U240" t="inlineStr"/>
    </row>
    <row r="241" ht="22.2" customHeight="1" s="375">
      <c r="A241" s="3" t="n"/>
      <c r="E241" s="3" t="n"/>
      <c r="G241" s="344" t="inlineStr"/>
      <c r="H241" s="336" t="inlineStr"/>
      <c r="I241" s="336" t="inlineStr"/>
      <c r="J241" s="336" t="inlineStr"/>
      <c r="K241" s="527" t="n"/>
      <c r="L241" s="334" t="inlineStr"/>
      <c r="M241" s="334" t="inlineStr"/>
      <c r="N241" s="334" t="inlineStr"/>
      <c r="O241" s="354" t="inlineStr"/>
      <c r="P241" s="334" t="inlineStr"/>
      <c r="Q241" s="334" t="inlineStr"/>
      <c r="R241" s="334" t="inlineStr"/>
      <c r="S241" s="354" t="inlineStr"/>
      <c r="T241" t="inlineStr"/>
      <c r="U241" t="inlineStr"/>
    </row>
    <row r="242" ht="22.2" customHeight="1" s="375">
      <c r="A242" s="3" t="n"/>
      <c r="E242" s="3" t="n"/>
      <c r="G242" s="539" t="inlineStr">
        <is>
          <t>อังคาร</t>
        </is>
      </c>
      <c r="H242" s="126" t="inlineStr">
        <is>
          <t>20143-2004</t>
        </is>
      </c>
      <c r="I242" s="149" t="inlineStr">
        <is>
          <t>ชยฟ.1/1 (26)</t>
        </is>
      </c>
      <c r="J242" s="334" t="inlineStr">
        <is>
          <t>08:10 - 12:10</t>
        </is>
      </c>
      <c r="K242" s="374" t="n"/>
      <c r="L242" s="367" t="n">
        <v>4</v>
      </c>
      <c r="M242" s="381" t="inlineStr"/>
      <c r="N242" s="381" t="inlineStr"/>
      <c r="O242" s="354" t="inlineStr"/>
      <c r="P242" s="381" t="inlineStr"/>
      <c r="Q242" s="367" t="inlineStr"/>
      <c r="R242" s="381" t="inlineStr"/>
      <c r="S242" s="354" t="inlineStr"/>
      <c r="T242" s="6" t="inlineStr"/>
      <c r="U242" s="22" t="inlineStr"/>
      <c r="V242" s="57" t="n"/>
      <c r="W242" s="21" t="n"/>
      <c r="X242" s="21" t="n"/>
    </row>
    <row r="243" ht="22.2" customHeight="1" s="375">
      <c r="A243" s="3" t="n"/>
      <c r="E243" s="3" t="n"/>
      <c r="G243" s="533" t="inlineStr">
        <is>
          <t>6 ต.ค.69</t>
        </is>
      </c>
      <c r="H243" s="126" t="inlineStr">
        <is>
          <t>20143-2008</t>
        </is>
      </c>
      <c r="I243" s="149" t="inlineStr">
        <is>
          <t>ชยฟ.3/1 (26)</t>
        </is>
      </c>
      <c r="J243" s="376" t="inlineStr">
        <is>
          <t>13:10 - 17:10</t>
        </is>
      </c>
      <c r="K243" s="374" t="n"/>
      <c r="L243" s="334" t="n">
        <v>4</v>
      </c>
      <c r="M243" s="334" t="inlineStr"/>
      <c r="N243" s="334" t="inlineStr"/>
      <c r="O243" s="354" t="inlineStr"/>
      <c r="P243" s="334" t="inlineStr"/>
      <c r="Q243" s="334" t="inlineStr"/>
      <c r="R243" s="334" t="inlineStr"/>
      <c r="S243" s="354" t="inlineStr"/>
      <c r="T243" s="21" t="inlineStr"/>
      <c r="U243" s="22" t="inlineStr"/>
      <c r="V243" s="57" t="n"/>
      <c r="W243" s="21" t="n"/>
      <c r="X243" s="21" t="n"/>
    </row>
    <row r="244" ht="22.2" customHeight="1" s="375">
      <c r="A244" s="3" t="n"/>
      <c r="B244" s="313" t="n"/>
      <c r="D244" s="314" t="n"/>
      <c r="E244" s="314" t="n"/>
      <c r="G244" s="334" t="inlineStr"/>
      <c r="H244" s="126" t="inlineStr"/>
      <c r="I244" s="149" t="inlineStr"/>
      <c r="J244" s="334" t="inlineStr"/>
      <c r="K244" s="374" t="n"/>
      <c r="L244" s="334" t="inlineStr"/>
      <c r="M244" s="334" t="inlineStr"/>
      <c r="N244" s="334" t="inlineStr"/>
      <c r="O244" s="354" t="inlineStr"/>
      <c r="P244" s="334" t="inlineStr"/>
      <c r="Q244" s="334" t="inlineStr"/>
      <c r="R244" s="334" t="inlineStr"/>
      <c r="S244" s="354" t="inlineStr"/>
      <c r="T244" t="inlineStr"/>
      <c r="U244" t="inlineStr"/>
    </row>
    <row r="245" ht="22.2" customHeight="1" s="375">
      <c r="A245" s="3" t="n"/>
      <c r="E245" s="3" t="n"/>
      <c r="G245" s="54" t="inlineStr"/>
      <c r="H245" s="334" t="inlineStr"/>
      <c r="I245" s="323" t="inlineStr"/>
      <c r="J245" s="323" t="inlineStr"/>
      <c r="K245" s="374" t="n"/>
      <c r="L245" s="334" t="inlineStr"/>
      <c r="M245" s="334" t="inlineStr"/>
      <c r="N245" s="334" t="inlineStr"/>
      <c r="O245" s="354" t="inlineStr"/>
      <c r="P245" s="334" t="inlineStr"/>
      <c r="Q245" s="334" t="inlineStr"/>
      <c r="R245" s="334" t="inlineStr"/>
      <c r="S245" s="354" t="inlineStr"/>
      <c r="T245" t="inlineStr"/>
      <c r="U245" t="inlineStr"/>
    </row>
    <row r="246" ht="22.2" customHeight="1" s="375">
      <c r="A246" s="3" t="n"/>
      <c r="D246" s="7" t="inlineStr">
        <is>
          <t> </t>
        </is>
      </c>
      <c r="E246" s="3" t="n"/>
      <c r="G246" s="55" t="inlineStr"/>
      <c r="H246" s="336" t="inlineStr"/>
      <c r="I246" s="336" t="inlineStr"/>
      <c r="J246" s="336" t="inlineStr"/>
      <c r="K246" s="527" t="n"/>
      <c r="L246" s="334" t="inlineStr"/>
      <c r="M246" s="334" t="inlineStr"/>
      <c r="N246" s="334" t="inlineStr"/>
      <c r="O246" s="354" t="inlineStr"/>
      <c r="P246" s="334" t="inlineStr"/>
      <c r="Q246" s="334" t="inlineStr"/>
      <c r="R246" s="334" t="inlineStr"/>
      <c r="S246" s="354" t="inlineStr"/>
      <c r="T246" t="inlineStr"/>
      <c r="U246" t="inlineStr"/>
    </row>
    <row r="247" ht="22.2" customHeight="1" s="375">
      <c r="A247" s="3" t="n"/>
      <c r="E247" s="3" t="n"/>
      <c r="G247" s="539" t="inlineStr">
        <is>
          <t>พุธ</t>
        </is>
      </c>
      <c r="H247" s="126" t="inlineStr">
        <is>
          <t>20143-2011</t>
        </is>
      </c>
      <c r="I247" s="128" t="inlineStr">
        <is>
          <t>ชย.3/7 (26)</t>
        </is>
      </c>
      <c r="J247" s="381" t="inlineStr">
        <is>
          <t>08:10 - 12:10</t>
        </is>
      </c>
      <c r="K247" s="135" t="n"/>
      <c r="L247" s="367" t="n">
        <v>3</v>
      </c>
      <c r="M247" s="381" t="n">
        <v>1</v>
      </c>
      <c r="N247" s="381" t="n">
        <v>200</v>
      </c>
      <c r="O247" s="354">
        <f>M247*N247</f>
        <v/>
      </c>
      <c r="P247" s="381" t="inlineStr"/>
      <c r="Q247" s="367" t="inlineStr"/>
      <c r="R247" s="381" t="inlineStr"/>
      <c r="S247" s="354" t="inlineStr"/>
      <c r="T247" t="inlineStr"/>
      <c r="U247" t="inlineStr"/>
    </row>
    <row r="248" ht="22.2" customHeight="1" s="375">
      <c r="A248" s="3" t="n"/>
      <c r="B248" s="321" t="n"/>
      <c r="C248" s="322" t="n"/>
      <c r="D248" s="322" t="n"/>
      <c r="E248" s="334" t="n"/>
      <c r="G248" s="533" t="inlineStr">
        <is>
          <t>7 ต.ค.69</t>
        </is>
      </c>
      <c r="H248" s="126" t="inlineStr">
        <is>
          <t>20143-2011</t>
        </is>
      </c>
      <c r="I248" s="128" t="inlineStr">
        <is>
          <t>ชย.3/7 (26)</t>
        </is>
      </c>
      <c r="J248" s="376" t="inlineStr">
        <is>
          <t>13:10 - 16:10</t>
        </is>
      </c>
      <c r="K248" s="374" t="n"/>
      <c r="L248" s="334" t="inlineStr"/>
      <c r="M248" s="334" t="n">
        <v>3</v>
      </c>
      <c r="N248" s="334" t="n">
        <v>200</v>
      </c>
      <c r="O248" s="354">
        <f>M248*N248</f>
        <v/>
      </c>
      <c r="P248" s="334" t="inlineStr"/>
      <c r="Q248" s="334" t="inlineStr"/>
      <c r="R248" s="334" t="inlineStr"/>
      <c r="S248" s="354" t="inlineStr"/>
      <c r="T248" t="inlineStr"/>
      <c r="U248" t="inlineStr"/>
    </row>
    <row r="249" ht="22.2" customHeight="1" s="375">
      <c r="A249" s="3" t="n"/>
      <c r="B249" s="313" t="n"/>
      <c r="D249" s="314" t="n"/>
      <c r="E249" s="314" t="n"/>
      <c r="G249" s="334" t="inlineStr"/>
      <c r="H249" s="126" t="inlineStr"/>
      <c r="I249" s="376" t="inlineStr"/>
      <c r="J249" s="334" t="inlineStr"/>
      <c r="K249" s="374" t="n"/>
      <c r="L249" s="334" t="inlineStr"/>
      <c r="M249" s="334" t="inlineStr"/>
      <c r="N249" s="334" t="inlineStr"/>
      <c r="O249" s="354" t="inlineStr"/>
      <c r="P249" s="334" t="inlineStr"/>
      <c r="Q249" s="334" t="inlineStr"/>
      <c r="R249" s="334" t="inlineStr"/>
      <c r="S249" s="354" t="inlineStr"/>
      <c r="T249" t="inlineStr"/>
      <c r="U249" t="inlineStr"/>
    </row>
    <row r="250" ht="22.2" customHeight="1" s="375">
      <c r="A250" s="3" t="n"/>
      <c r="E250" s="3" t="n"/>
      <c r="G250" s="321" t="inlineStr"/>
      <c r="H250" s="334" t="inlineStr"/>
      <c r="I250" s="376" t="inlineStr"/>
      <c r="J250" s="323" t="inlineStr"/>
      <c r="K250" s="374" t="n"/>
      <c r="L250" s="334" t="inlineStr"/>
      <c r="M250" s="334" t="inlineStr"/>
      <c r="N250" s="334" t="inlineStr"/>
      <c r="O250" s="354" t="inlineStr"/>
      <c r="P250" s="334" t="inlineStr"/>
      <c r="Q250" s="334" t="inlineStr"/>
      <c r="R250" s="334" t="inlineStr"/>
      <c r="S250" s="354" t="inlineStr"/>
      <c r="T250" t="inlineStr"/>
      <c r="U250" t="inlineStr"/>
    </row>
    <row r="251" ht="22.2" customHeight="1" s="375">
      <c r="A251" s="3" t="n"/>
      <c r="E251" s="3" t="n"/>
      <c r="G251" s="327" t="inlineStr"/>
      <c r="H251" s="336" t="inlineStr"/>
      <c r="I251" s="336" t="inlineStr"/>
      <c r="J251" s="336" t="inlineStr"/>
      <c r="K251" s="527" t="n"/>
      <c r="L251" s="336" t="inlineStr"/>
      <c r="M251" s="336" t="inlineStr"/>
      <c r="N251" s="336" t="inlineStr"/>
      <c r="O251" s="354" t="inlineStr"/>
      <c r="P251" s="336" t="inlineStr"/>
      <c r="Q251" s="336" t="inlineStr"/>
      <c r="R251" s="336" t="inlineStr"/>
      <c r="S251" s="354" t="inlineStr"/>
      <c r="T251" t="inlineStr"/>
      <c r="U251" t="inlineStr"/>
    </row>
    <row r="252" ht="22.2" customHeight="1" s="375">
      <c r="A252" s="3" t="n"/>
      <c r="E252" s="3" t="n"/>
      <c r="G252" s="533" t="inlineStr">
        <is>
          <t>พฤหัส</t>
        </is>
      </c>
      <c r="H252" s="126" t="inlineStr">
        <is>
          <t>20100-1007</t>
        </is>
      </c>
      <c r="I252" s="128" t="inlineStr">
        <is>
          <t>ชยฟ.2/1 (26)</t>
        </is>
      </c>
      <c r="J252" s="381" t="inlineStr">
        <is>
          <t>08:10 - 12:10</t>
        </is>
      </c>
      <c r="K252" s="135" t="n"/>
      <c r="L252" s="334" t="inlineStr"/>
      <c r="M252" s="334" t="n">
        <v>4</v>
      </c>
      <c r="N252" s="334" t="n">
        <v>200</v>
      </c>
      <c r="O252" s="354">
        <f>M252*N252</f>
        <v/>
      </c>
      <c r="P252" s="334" t="inlineStr"/>
      <c r="Q252" s="362" t="inlineStr"/>
      <c r="R252" s="362" t="inlineStr"/>
      <c r="S252" s="354" t="inlineStr"/>
      <c r="T252" t="inlineStr"/>
      <c r="U252" t="inlineStr"/>
    </row>
    <row r="253" ht="22.2" customHeight="1" s="375">
      <c r="A253" s="3" t="n"/>
      <c r="E253" s="3" t="n"/>
      <c r="G253" s="535" t="inlineStr">
        <is>
          <t>8 ต.ค.69</t>
        </is>
      </c>
      <c r="H253" s="376" t="inlineStr">
        <is>
          <t>20000-2004</t>
        </is>
      </c>
      <c r="I253" s="128" t="inlineStr">
        <is>
          <t>ชย.2/5,ชย.2/6,ชยฟ.2/1 (26)</t>
        </is>
      </c>
      <c r="J253" s="376" t="inlineStr">
        <is>
          <t>13:10 - 15:10</t>
        </is>
      </c>
      <c r="K253" s="374" t="n"/>
      <c r="L253" s="334" t="n">
        <v>2</v>
      </c>
      <c r="M253" s="334" t="inlineStr"/>
      <c r="N253" s="334" t="inlineStr"/>
      <c r="O253" s="354" t="inlineStr"/>
      <c r="P253" s="334" t="inlineStr"/>
      <c r="Q253" s="334" t="inlineStr"/>
      <c r="R253" s="334" t="inlineStr"/>
      <c r="S253" s="354" t="inlineStr"/>
      <c r="T253" t="inlineStr"/>
      <c r="U253" t="inlineStr"/>
    </row>
    <row r="254" ht="22.2" customHeight="1" s="375">
      <c r="A254" s="3" t="n"/>
      <c r="B254" s="313" t="n"/>
      <c r="E254" s="3" t="n"/>
      <c r="G254" s="334" t="inlineStr"/>
      <c r="H254" s="126" t="inlineStr">
        <is>
          <t>20100-1007</t>
        </is>
      </c>
      <c r="I254" s="128" t="inlineStr">
        <is>
          <t>ชย.2/4 (26)</t>
        </is>
      </c>
      <c r="J254" s="376" t="inlineStr">
        <is>
          <t>15:10 - 19:10</t>
        </is>
      </c>
      <c r="K254" s="374" t="n"/>
      <c r="L254" s="376" t="inlineStr"/>
      <c r="M254" s="376" t="n">
        <v>4</v>
      </c>
      <c r="N254" s="376" t="n">
        <v>200</v>
      </c>
      <c r="O254" s="354">
        <f>M254*N254</f>
        <v/>
      </c>
      <c r="P254" s="376" t="inlineStr"/>
      <c r="Q254" s="376" t="inlineStr"/>
      <c r="R254" s="376" t="inlineStr"/>
      <c r="S254" s="354" t="inlineStr"/>
      <c r="T254" t="inlineStr"/>
      <c r="U254" t="inlineStr"/>
    </row>
    <row r="255" ht="22.2" customHeight="1" s="375">
      <c r="A255" s="3" t="n"/>
      <c r="E255" s="3" t="n"/>
      <c r="G255" s="334" t="inlineStr"/>
      <c r="H255" s="334" t="inlineStr"/>
      <c r="I255" s="334" t="inlineStr"/>
      <c r="J255" s="334" t="inlineStr"/>
      <c r="K255" s="374" t="n"/>
      <c r="L255" s="334" t="inlineStr"/>
      <c r="M255" s="334" t="inlineStr"/>
      <c r="N255" s="334" t="inlineStr"/>
      <c r="O255" s="354" t="inlineStr"/>
      <c r="P255" s="334" t="inlineStr"/>
      <c r="Q255" s="334" t="inlineStr"/>
      <c r="R255" s="334" t="inlineStr"/>
      <c r="S255" s="354" t="inlineStr"/>
      <c r="T255" t="inlineStr"/>
      <c r="U255" t="inlineStr"/>
    </row>
    <row r="256" ht="22.2" customHeight="1" s="375">
      <c r="A256" s="3" t="n"/>
      <c r="E256" s="3" t="n"/>
      <c r="G256" s="336" t="inlineStr"/>
      <c r="H256" s="336" t="inlineStr"/>
      <c r="I256" s="336" t="inlineStr"/>
      <c r="J256" s="336" t="inlineStr"/>
      <c r="K256" s="527" t="n"/>
      <c r="L256" s="336" t="inlineStr"/>
      <c r="M256" s="336" t="inlineStr"/>
      <c r="N256" s="336" t="inlineStr"/>
      <c r="O256" s="354" t="inlineStr"/>
      <c r="P256" s="336" t="inlineStr"/>
      <c r="Q256" s="336" t="inlineStr"/>
      <c r="R256" s="336" t="inlineStr"/>
      <c r="S256" s="354" t="inlineStr"/>
      <c r="T256" t="inlineStr"/>
      <c r="U256" t="inlineStr"/>
    </row>
    <row r="257" ht="22.2" customHeight="1" s="375">
      <c r="A257" s="3" t="n"/>
      <c r="D257" s="374" t="n"/>
      <c r="E257" s="251" t="n"/>
      <c r="G257" s="533" t="inlineStr">
        <is>
          <t>ศุกร์</t>
        </is>
      </c>
      <c r="H257" s="126" t="inlineStr"/>
      <c r="I257" s="149" t="inlineStr"/>
      <c r="J257" s="381" t="inlineStr"/>
      <c r="K257" s="135" t="n"/>
      <c r="L257" s="127" t="inlineStr"/>
      <c r="M257" s="60" t="inlineStr"/>
      <c r="N257" s="60" t="inlineStr"/>
      <c r="O257" s="354" t="inlineStr"/>
      <c r="P257" s="125" t="inlineStr"/>
      <c r="Q257" s="127" t="inlineStr"/>
      <c r="R257" s="125" t="inlineStr"/>
      <c r="S257" s="354" t="inlineStr"/>
      <c r="T257" s="23" t="inlineStr"/>
      <c r="U257" s="23" t="inlineStr"/>
      <c r="V257" s="56" t="n"/>
      <c r="W257" s="23" t="n"/>
      <c r="X257" s="23" t="n"/>
    </row>
    <row r="258" ht="22.2" customHeight="1" s="375">
      <c r="A258" s="3" t="n"/>
      <c r="E258" s="3" t="n"/>
      <c r="G258" s="535" t="inlineStr">
        <is>
          <t>9 ต.ค.69</t>
        </is>
      </c>
      <c r="H258" s="126" t="inlineStr"/>
      <c r="I258" s="149" t="inlineStr"/>
      <c r="J258" s="376" t="inlineStr"/>
      <c r="K258" s="374" t="n"/>
      <c r="L258" s="128" t="inlineStr"/>
      <c r="M258" s="59" t="inlineStr"/>
      <c r="N258" s="59" t="inlineStr"/>
      <c r="O258" s="354" t="inlineStr"/>
      <c r="P258" s="128" t="inlineStr"/>
      <c r="Q258" s="128" t="inlineStr"/>
      <c r="R258" s="128" t="inlineStr"/>
      <c r="S258" s="354" t="inlineStr"/>
      <c r="T258" s="23" t="inlineStr"/>
      <c r="U258" s="23" t="inlineStr"/>
      <c r="V258" s="56" t="n"/>
      <c r="W258" s="23" t="n"/>
      <c r="X258" s="23" t="n"/>
    </row>
    <row r="259" ht="22.2" customHeight="1" s="375">
      <c r="A259" s="3" t="n"/>
      <c r="E259" s="3" t="n"/>
      <c r="G259" s="334" t="inlineStr"/>
      <c r="H259" s="126" t="inlineStr"/>
      <c r="I259" s="149" t="inlineStr"/>
      <c r="J259" s="376" t="inlineStr"/>
      <c r="K259" s="374" t="n"/>
      <c r="L259" s="59" t="inlineStr"/>
      <c r="M259" s="59" t="inlineStr"/>
      <c r="N259" s="59" t="inlineStr"/>
      <c r="O259" s="354" t="inlineStr"/>
      <c r="P259" s="128" t="inlineStr"/>
      <c r="Q259" s="128" t="inlineStr"/>
      <c r="R259" s="128" t="inlineStr"/>
      <c r="S259" s="354" t="inlineStr"/>
      <c r="T259" t="inlineStr"/>
      <c r="U259" t="inlineStr"/>
    </row>
    <row r="260" ht="22.2" customHeight="1" s="375">
      <c r="A260" s="3" t="n"/>
      <c r="E260" s="3" t="n"/>
      <c r="G260" s="334" t="inlineStr"/>
      <c r="H260" s="334" t="inlineStr"/>
      <c r="I260" s="334" t="inlineStr"/>
      <c r="J260" s="334" t="inlineStr"/>
      <c r="K260" s="374" t="n"/>
      <c r="L260" s="334" t="inlineStr"/>
      <c r="M260" t="inlineStr"/>
      <c r="N260" s="334" t="inlineStr"/>
      <c r="O260" s="354" t="inlineStr"/>
      <c r="P260" s="334" t="inlineStr"/>
      <c r="Q260" s="334" t="inlineStr"/>
      <c r="R260" s="334" t="inlineStr"/>
      <c r="S260" s="354" t="inlineStr"/>
      <c r="T260" t="inlineStr"/>
      <c r="U260" t="inlineStr"/>
    </row>
    <row r="261" ht="22.2" customHeight="1" s="375">
      <c r="A261" s="3" t="n"/>
      <c r="E261" s="3" t="n"/>
      <c r="F261" s="3" t="n"/>
      <c r="G261" s="329" t="inlineStr"/>
      <c r="H261" s="328" t="inlineStr"/>
      <c r="I261" s="336" t="inlineStr"/>
      <c r="J261" s="336" t="inlineStr"/>
      <c r="K261" s="527" t="n"/>
      <c r="L261" s="336" t="inlineStr"/>
      <c r="M261" s="336" t="inlineStr"/>
      <c r="N261" s="336" t="inlineStr"/>
      <c r="O261" s="354" t="inlineStr"/>
      <c r="P261" s="336" t="inlineStr"/>
      <c r="Q261" s="336" t="inlineStr"/>
      <c r="R261" s="336" t="inlineStr"/>
      <c r="S261" s="354" t="inlineStr"/>
      <c r="T261" t="inlineStr"/>
      <c r="U261" t="inlineStr"/>
    </row>
    <row r="262" ht="22.2" customHeight="1" s="375">
      <c r="A262" s="3" t="n"/>
      <c r="E262" s="3" t="n"/>
      <c r="F262" s="3" t="n"/>
      <c r="G262" s="16" t="inlineStr">
        <is>
          <t>รวมขั่วโมงที่สอนแยก ภาระงาน/ เกินภาระงาน</t>
        </is>
      </c>
      <c r="H262" s="518" t="n"/>
      <c r="I262" s="518" t="n"/>
      <c r="J262" s="518" t="n"/>
      <c r="K262" s="432" t="n"/>
      <c r="L262" s="16">
        <f>SUM(L237:L261)</f>
        <v/>
      </c>
      <c r="M262" s="16">
        <f>SUM(M237:M261)</f>
        <v/>
      </c>
      <c r="N262" s="16" t="n"/>
      <c r="O262" s="16" t="n"/>
      <c r="P262" s="16">
        <f>SUM(P237:P261)</f>
        <v/>
      </c>
      <c r="Q262" s="16">
        <f>SUM(Q237:Q261)</f>
        <v/>
      </c>
      <c r="R262" s="349" t="n"/>
      <c r="S262" s="16" t="n"/>
    </row>
    <row r="263" ht="22.2" customHeight="1" s="375">
      <c r="A263" s="3" t="n"/>
      <c r="E263" s="3" t="n"/>
      <c r="F263" s="3" t="n"/>
      <c r="G263" s="16" t="inlineStr">
        <is>
          <t>รวมจำนวนชั่วโมงสอนคาบต่อสับดาห์</t>
        </is>
      </c>
      <c r="H263" s="518" t="n"/>
      <c r="I263" s="518" t="n"/>
      <c r="J263" s="518" t="n"/>
      <c r="K263" s="432" t="n"/>
      <c r="L263" s="16">
        <f>L262+M262</f>
        <v/>
      </c>
      <c r="M263" s="432" t="n"/>
      <c r="N263" s="348" t="n"/>
      <c r="O263" s="16" t="n"/>
      <c r="P263" s="16">
        <f>P262+Q262</f>
        <v/>
      </c>
      <c r="Q263" s="432" t="n"/>
      <c r="R263" s="329" t="n"/>
      <c r="S263" s="336" t="n"/>
    </row>
    <row r="264" ht="22.2" customHeight="1" s="375">
      <c r="A264" s="3" t="n"/>
      <c r="E264" s="3" t="n"/>
      <c r="F264" s="3" t="n"/>
      <c r="G264" s="16" t="inlineStr">
        <is>
          <t>จำนวนชั่วโมงสอนตามภาระงานสอน</t>
        </is>
      </c>
      <c r="H264" s="518" t="n"/>
      <c r="I264" s="518" t="n"/>
      <c r="J264" s="518" t="n"/>
      <c r="K264" s="432" t="n"/>
      <c r="L264" s="131" t="n">
        <v>18</v>
      </c>
      <c r="M264" s="432" t="n"/>
      <c r="N264" s="130" t="n"/>
      <c r="O264" s="131" t="n"/>
      <c r="P264" s="131" t="n">
        <v>0</v>
      </c>
      <c r="Q264" s="432" t="n"/>
      <c r="R264" s="322" t="n"/>
      <c r="S264" s="334" t="n"/>
    </row>
    <row r="265" ht="22.2" customHeight="1" s="375" thickBot="1">
      <c r="A265" s="3" t="n"/>
      <c r="E265" s="3" t="n"/>
      <c r="F265" s="14" t="n"/>
      <c r="G265" s="16" t="inlineStr">
        <is>
          <t>จำนวนชั่วโมงบิกเกินภาระงานสอน/ค่าสอน</t>
        </is>
      </c>
      <c r="H265" s="518" t="n"/>
      <c r="I265" s="518" t="n"/>
      <c r="J265" s="518" t="n"/>
      <c r="K265" s="432" t="n"/>
      <c r="L265" s="17" t="n">
        <v>0</v>
      </c>
      <c r="M265" s="17">
        <f>SUM(M237:M261)</f>
        <v/>
      </c>
      <c r="N265" s="17" t="n"/>
      <c r="O265" s="17">
        <f>SUM(O237:O261)</f>
        <v/>
      </c>
      <c r="P265" s="17" t="n">
        <v>0</v>
      </c>
      <c r="Q265" s="17">
        <f>SUM(Q237:Q261)</f>
        <v/>
      </c>
      <c r="R265" s="18" t="n"/>
      <c r="S265" s="17">
        <f>SUM(S237:S261)</f>
        <v/>
      </c>
    </row>
    <row r="266" ht="22.2" customHeight="1" s="375" thickTop="1">
      <c r="A266" s="337" t="inlineStr">
        <is>
          <t>รวมจำนวนหน่วยชั่วโมงที่ขอเบิกค่าสอน ….</t>
        </is>
      </c>
      <c r="B266" s="518" t="n"/>
      <c r="C266" s="518" t="n"/>
      <c r="D266" s="518" t="n"/>
      <c r="E266" s="518" t="n"/>
      <c r="F266" s="518" t="n"/>
      <c r="G266" s="518" t="n"/>
      <c r="H266" s="348">
        <f>M265+Q265</f>
        <v/>
      </c>
      <c r="I266" s="348" t="inlineStr">
        <is>
          <t>….ชั่วโมง</t>
        </is>
      </c>
      <c r="J266" s="348" t="n"/>
      <c r="K266" s="328" t="inlineStr">
        <is>
          <t>ยอดเงินรวม</t>
        </is>
      </c>
      <c r="L266" s="522" t="n"/>
      <c r="M266" s="522" t="n"/>
      <c r="N266" s="328" t="n"/>
      <c r="O266" s="328" t="n"/>
      <c r="P266" s="339">
        <f>S265+O265</f>
        <v/>
      </c>
      <c r="Q266" s="538" t="n"/>
      <c r="R266" s="20" t="n"/>
      <c r="S266" s="19" t="inlineStr">
        <is>
          <t>..บาท</t>
        </is>
      </c>
    </row>
    <row r="267" ht="22.2" customHeight="1" s="375">
      <c r="A267" s="154" t="inlineStr">
        <is>
          <t>ผู้ขอเบิก</t>
        </is>
      </c>
      <c r="B267" s="153" t="n"/>
      <c r="C267" s="153" t="n"/>
      <c r="D267" s="153" t="n"/>
      <c r="E267" s="153" t="n"/>
      <c r="F267" s="153" t="n"/>
      <c r="G267" s="135" t="n"/>
      <c r="H267" s="154" t="inlineStr">
        <is>
          <t>ผู้รับรอง</t>
        </is>
      </c>
      <c r="I267" s="153" t="n"/>
      <c r="J267" s="153" t="n"/>
      <c r="K267" s="153" t="n"/>
      <c r="L267" s="135" t="n"/>
      <c r="M267" s="154" t="inlineStr">
        <is>
          <t>ผู้ตรวจ</t>
        </is>
      </c>
      <c r="N267" s="153" t="n"/>
      <c r="O267" s="153" t="n"/>
      <c r="P267" s="153" t="n"/>
      <c r="Q267" s="153" t="n"/>
      <c r="R267" s="153" t="n"/>
      <c r="S267" s="135" t="n"/>
    </row>
    <row r="268" ht="22.2" customHeight="1" s="375">
      <c r="A268" s="334" t="inlineStr">
        <is>
          <t>ลงชื่อ……………………………………………</t>
        </is>
      </c>
      <c r="G268" s="374" t="n"/>
      <c r="H268" s="334" t="inlineStr">
        <is>
          <t>ลงชื่อ……………………………………………</t>
        </is>
      </c>
      <c r="L268" s="374" t="n"/>
      <c r="M268" s="334" t="inlineStr">
        <is>
          <t>ลงชื่อ……………………………………………</t>
        </is>
      </c>
      <c r="S268" s="374" t="n"/>
    </row>
    <row r="269" ht="22.2" customHeight="1" s="375">
      <c r="A269" s="11" t="inlineStr">
        <is>
          <t>(</t>
        </is>
      </c>
      <c r="B269" s="324">
        <f>B237</f>
        <v/>
      </c>
      <c r="G269" s="326" t="inlineStr">
        <is>
          <t>)</t>
        </is>
      </c>
      <c r="H269" s="324" t="inlineStr">
        <is>
          <t>(</t>
        </is>
      </c>
      <c r="I269" s="340">
        <f>I223</f>
        <v/>
      </c>
      <c r="L269" s="12" t="inlineStr">
        <is>
          <t>)</t>
        </is>
      </c>
      <c r="M269" s="53" t="inlineStr">
        <is>
          <t>(</t>
        </is>
      </c>
      <c r="N269" s="53" t="n"/>
      <c r="O269" s="324">
        <f>O39</f>
        <v/>
      </c>
      <c r="R269" s="25" t="n"/>
      <c r="S269" s="326" t="inlineStr">
        <is>
          <t>)</t>
        </is>
      </c>
    </row>
    <row r="270" ht="22.2" customHeight="1" s="375">
      <c r="A270" s="540" t="inlineStr">
        <is>
          <t xml:space="preserve">                         ตำแหน่ง  ครู</t>
        </is>
      </c>
      <c r="G270" s="374" t="n"/>
      <c r="H270" s="54" t="inlineStr">
        <is>
          <t>ตำแหน่ง หัวหน้าแผนก</t>
        </is>
      </c>
      <c r="L270" s="374" t="n"/>
      <c r="M270" s="54" t="inlineStr">
        <is>
          <t>ตำแหน่ง   ผู้ตรวจสอบ</t>
        </is>
      </c>
      <c r="S270" s="374" t="n"/>
    </row>
    <row r="271" ht="22.2" customHeight="1" s="375">
      <c r="A271" s="55" t="inlineStr">
        <is>
          <t>วันที่ 12 เดือน ตุลาคม  พ.ศ.2569</t>
        </is>
      </c>
      <c r="B271" s="522" t="n"/>
      <c r="C271" s="522" t="n"/>
      <c r="D271" s="522" t="n"/>
      <c r="E271" s="522" t="n"/>
      <c r="F271" s="522" t="n"/>
      <c r="G271" s="527" t="n"/>
      <c r="H271" s="54">
        <f>A41</f>
        <v/>
      </c>
      <c r="L271" s="374" t="n"/>
      <c r="M271" s="55">
        <f>A41</f>
        <v/>
      </c>
      <c r="N271" s="522" t="n"/>
      <c r="O271" s="522" t="n"/>
      <c r="P271" s="522" t="n"/>
      <c r="Q271" s="522" t="n"/>
      <c r="R271" s="522" t="n"/>
      <c r="S271" s="527" t="n"/>
    </row>
    <row r="272" ht="22.2" customHeight="1" s="375">
      <c r="A272" s="154" t="inlineStr">
        <is>
          <t>ผู้ตรวจ</t>
        </is>
      </c>
      <c r="B272" s="153" t="n"/>
      <c r="C272" s="153" t="n"/>
      <c r="D272" s="153" t="n"/>
      <c r="E272" s="153" t="n"/>
      <c r="F272" s="153" t="n"/>
      <c r="G272" s="153" t="n"/>
      <c r="H272" s="153" t="n"/>
      <c r="I272" s="135" t="n"/>
      <c r="J272" s="154" t="inlineStr">
        <is>
          <t>ผู้เห็นชอบ</t>
        </is>
      </c>
      <c r="K272" s="153" t="n"/>
      <c r="L272" s="153" t="n"/>
      <c r="M272" s="153" t="n"/>
      <c r="N272" s="153" t="n"/>
      <c r="O272" s="153" t="n"/>
      <c r="P272" s="153" t="n"/>
      <c r="Q272" s="153" t="n"/>
      <c r="R272" s="153" t="n"/>
      <c r="S272" s="135" t="n"/>
    </row>
    <row r="273" ht="22.2" customHeight="1" s="375">
      <c r="A273" s="334" t="inlineStr">
        <is>
          <t>ลงชื่อ……………………………………………</t>
        </is>
      </c>
      <c r="I273" s="374" t="n"/>
      <c r="J273" s="334" t="inlineStr">
        <is>
          <t>ลงชื่อ……………………………………………</t>
        </is>
      </c>
      <c r="S273" s="374" t="n"/>
    </row>
    <row r="274" ht="22.2" customHeight="1" s="375">
      <c r="A274" s="11" t="n"/>
      <c r="B274" s="324">
        <f>B44</f>
        <v/>
      </c>
      <c r="I274" s="326" t="n"/>
      <c r="J274" s="25" t="n"/>
      <c r="K274" s="25" t="n"/>
      <c r="L274" s="324">
        <f>L44</f>
        <v/>
      </c>
      <c r="R274" s="25" t="n"/>
      <c r="S274" s="12" t="n"/>
    </row>
    <row r="275" ht="22.2" customHeight="1" s="375">
      <c r="A275" s="54" t="inlineStr">
        <is>
          <t>ตำแหน่งครู  หัวหน้างานพัฒนาหลักสูตร ฯ</t>
        </is>
      </c>
      <c r="I275" s="374" t="n"/>
      <c r="J275" s="54" t="inlineStr">
        <is>
          <t>ตำแหน่ง  รองผู้อำนวยการฝ่ายวิชาการ</t>
        </is>
      </c>
      <c r="S275" s="374" t="n"/>
    </row>
    <row r="276" ht="22.2" customHeight="1" s="375">
      <c r="A276" s="336" t="inlineStr">
        <is>
          <t>วันที่.......เดือน..........................พ.ศ..............</t>
        </is>
      </c>
      <c r="B276" s="522" t="n"/>
      <c r="C276" s="522" t="n"/>
      <c r="D276" s="522" t="n"/>
      <c r="E276" s="522" t="n"/>
      <c r="F276" s="522" t="n"/>
      <c r="G276" s="522" t="n"/>
      <c r="H276" s="522" t="n"/>
      <c r="I276" s="527" t="n"/>
      <c r="J276" s="336" t="inlineStr">
        <is>
          <t>วันที่.......เดือน..........................พ.ศ..............</t>
        </is>
      </c>
      <c r="K276" s="522" t="n"/>
      <c r="L276" s="522" t="n"/>
      <c r="M276" s="522" t="n"/>
      <c r="N276" s="522" t="n"/>
      <c r="O276" s="522" t="n"/>
      <c r="P276" s="522" t="n"/>
      <c r="Q276" s="522" t="n"/>
      <c r="R276" s="522" t="n"/>
      <c r="S276" s="527" t="n"/>
    </row>
    <row r="277" ht="22.2" customHeight="1" s="375">
      <c r="A277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75">
      <c r="A278" s="365" t="inlineStr">
        <is>
          <t>แผนกวิชาช่างยนต์</t>
        </is>
      </c>
    </row>
    <row r="279" ht="22.2" customHeight="1" s="375">
      <c r="A279" s="366" t="inlineStr">
        <is>
          <t xml:space="preserve">    ระหว่างวันที่</t>
        </is>
      </c>
      <c r="D279" s="365">
        <f>D3</f>
        <v/>
      </c>
      <c r="E279" s="365" t="inlineStr">
        <is>
          <t xml:space="preserve">   เดือน  </t>
        </is>
      </c>
      <c r="F279" s="365">
        <f>F3</f>
        <v/>
      </c>
      <c r="H279" s="365">
        <f>H3</f>
        <v/>
      </c>
      <c r="I279" s="365" t="inlineStr">
        <is>
          <t xml:space="preserve">     ถึง วันที่</t>
        </is>
      </c>
      <c r="J279" s="365">
        <f>J3</f>
        <v/>
      </c>
      <c r="K279" s="365" t="inlineStr">
        <is>
          <t xml:space="preserve">   เดือน </t>
        </is>
      </c>
      <c r="L279" s="365">
        <f>L3</f>
        <v/>
      </c>
      <c r="N279" s="365">
        <f>N3</f>
        <v/>
      </c>
      <c r="P279" s="365" t="n"/>
      <c r="R279" s="365" t="n"/>
    </row>
    <row r="280" ht="25.5" customHeight="1" s="375">
      <c r="G280" s="51" t="inlineStr">
        <is>
          <t>ü</t>
        </is>
      </c>
      <c r="H280" s="351" t="inlineStr">
        <is>
          <t>ครู</t>
        </is>
      </c>
      <c r="I280" s="322" t="inlineStr">
        <is>
          <t>หน้าที่พิเศษ</t>
        </is>
      </c>
      <c r="J280" t="inlineStr">
        <is>
          <t>ผู้ช่วยงานกิจกรรมนักเรียนนักศึกษา, โครงการพิเศษและการบริการสังคม</t>
        </is>
      </c>
    </row>
    <row r="281" ht="22.2" customHeight="1" s="375">
      <c r="A281" s="24" t="inlineStr">
        <is>
          <t>ที่</t>
        </is>
      </c>
      <c r="B281" s="24" t="inlineStr">
        <is>
          <t>ชื่อ-สกุล</t>
        </is>
      </c>
      <c r="C281" s="153" t="n"/>
      <c r="D281" s="135" t="n"/>
      <c r="E281" s="15" t="inlineStr">
        <is>
          <t>ตำแหน่ง</t>
        </is>
      </c>
      <c r="F281" s="16" t="inlineStr">
        <is>
          <t>ระยะเวลาที่สอน</t>
        </is>
      </c>
      <c r="G281" s="432" t="n"/>
      <c r="H281" s="16" t="inlineStr">
        <is>
          <t>รหัสวิชา</t>
        </is>
      </c>
      <c r="I281" s="362" t="inlineStr">
        <is>
          <t>ชั้น,แผนก,ห้อง</t>
        </is>
      </c>
      <c r="J281" s="16" t="inlineStr">
        <is>
          <t>เวลาสอน</t>
        </is>
      </c>
      <c r="K281" s="135" t="n"/>
      <c r="L281" s="16" t="inlineStr">
        <is>
          <t>ปวช.(คาบ)</t>
        </is>
      </c>
      <c r="M281" s="432" t="n"/>
      <c r="N281" s="354" t="inlineStr">
        <is>
          <t>เงิน</t>
        </is>
      </c>
      <c r="O281" s="362" t="inlineStr">
        <is>
          <t>ยอดเงิน</t>
        </is>
      </c>
      <c r="P281" s="524" t="inlineStr">
        <is>
          <t>ปวส.(คาบ)</t>
        </is>
      </c>
      <c r="Q281" s="432" t="n"/>
      <c r="R281" s="354" t="inlineStr">
        <is>
          <t>เงิน</t>
        </is>
      </c>
      <c r="S281" s="362" t="inlineStr">
        <is>
          <t>ยอดเงิน</t>
        </is>
      </c>
    </row>
    <row r="282" ht="22.2" customHeight="1" s="375">
      <c r="A282" s="52" t="n"/>
      <c r="B282" s="8" t="n"/>
      <c r="C282" s="9" t="n"/>
      <c r="D282" s="13" t="n"/>
      <c r="E282" s="10" t="n"/>
      <c r="F282" s="336" t="inlineStr">
        <is>
          <t>ส.</t>
        </is>
      </c>
      <c r="G282" s="336" t="inlineStr">
        <is>
          <t>วดป.</t>
        </is>
      </c>
      <c r="H282" s="525" t="n"/>
      <c r="I282" s="336" t="n"/>
      <c r="J282" s="526" t="n"/>
      <c r="K282" s="527" t="n"/>
      <c r="L282" s="336" t="inlineStr">
        <is>
          <t>ใน</t>
        </is>
      </c>
      <c r="M282" s="336" t="inlineStr">
        <is>
          <t>นอก</t>
        </is>
      </c>
      <c r="N282" s="336" t="inlineStr">
        <is>
          <t>ต่อ ชม.</t>
        </is>
      </c>
      <c r="O282" s="336" t="inlineStr">
        <is>
          <t>(บาท)</t>
        </is>
      </c>
      <c r="P282" s="52" t="inlineStr">
        <is>
          <t>ใน</t>
        </is>
      </c>
      <c r="Q282" s="52" t="inlineStr">
        <is>
          <t>นอก</t>
        </is>
      </c>
      <c r="R282" s="336" t="inlineStr">
        <is>
          <t>ต่อ ชม.</t>
        </is>
      </c>
      <c r="S282" s="336" t="inlineStr">
        <is>
          <t>(บาท)</t>
        </is>
      </c>
    </row>
    <row r="283" ht="22.2" customHeight="1" s="375">
      <c r="A283" s="362" t="n">
        <v>7</v>
      </c>
      <c r="B283" s="528">
        <f>AB9</f>
        <v/>
      </c>
      <c r="C283" s="153" t="n"/>
      <c r="D283" s="135" t="n"/>
      <c r="E283" s="362" t="inlineStr">
        <is>
          <t>ครู</t>
        </is>
      </c>
      <c r="F283" s="5" t="n">
        <v>4</v>
      </c>
      <c r="G283" s="529" t="inlineStr">
        <is>
          <t>จันทร์</t>
        </is>
      </c>
      <c r="H283" s="376" t="inlineStr">
        <is>
          <t>20101-2011</t>
        </is>
      </c>
      <c r="I283" s="376" t="inlineStr">
        <is>
          <t>ชย.2/5 (26)</t>
        </is>
      </c>
      <c r="J283" s="381" t="inlineStr">
        <is>
          <t>08:10 - 12:10</t>
        </is>
      </c>
      <c r="K283" s="135" t="n"/>
      <c r="L283" s="367" t="n">
        <v>4</v>
      </c>
      <c r="M283" s="381" t="inlineStr"/>
      <c r="N283" s="381" t="inlineStr"/>
      <c r="O283" s="354" t="inlineStr"/>
      <c r="P283" s="381" t="inlineStr"/>
      <c r="Q283" s="367" t="inlineStr"/>
      <c r="R283" s="381" t="inlineStr"/>
      <c r="S283" s="354" t="inlineStr"/>
      <c r="T283" t="inlineStr"/>
      <c r="U283" t="inlineStr"/>
    </row>
    <row r="284" ht="22.2" customHeight="1" s="375">
      <c r="A284" s="3" t="n"/>
      <c r="B284" s="530" t="n"/>
      <c r="D284" s="374" t="n"/>
      <c r="E284" s="334" t="n"/>
      <c r="F284" s="322" t="n"/>
      <c r="G284" s="535" t="inlineStr">
        <is>
          <t>5 ต.ค.69</t>
        </is>
      </c>
      <c r="H284" s="376" t="inlineStr">
        <is>
          <t>20101-2011</t>
        </is>
      </c>
      <c r="I284" s="376" t="inlineStr">
        <is>
          <t>ชย.2/5 (26)</t>
        </is>
      </c>
      <c r="J284" s="334" t="inlineStr">
        <is>
          <t>13:10 - 16:10</t>
        </is>
      </c>
      <c r="K284" s="374" t="n"/>
      <c r="L284" s="334" t="n">
        <v>3</v>
      </c>
      <c r="M284" s="334" t="inlineStr"/>
      <c r="N284" s="334" t="inlineStr"/>
      <c r="O284" s="354" t="inlineStr"/>
      <c r="P284" s="334" t="inlineStr"/>
      <c r="Q284" s="334" t="inlineStr"/>
      <c r="R284" s="334" t="inlineStr"/>
      <c r="S284" s="354" t="inlineStr"/>
      <c r="T284" t="inlineStr"/>
      <c r="U284" t="inlineStr"/>
    </row>
    <row r="285" ht="22.2" customHeight="1" s="375">
      <c r="A285" s="3" t="n"/>
      <c r="B285" s="313" t="n"/>
      <c r="D285" s="314" t="n"/>
      <c r="E285" s="314" t="n"/>
      <c r="F285" s="322" t="n"/>
      <c r="G285" s="321" t="inlineStr"/>
      <c r="H285" s="376" t="inlineStr"/>
      <c r="I285" s="376" t="inlineStr"/>
      <c r="J285" s="334" t="inlineStr"/>
      <c r="K285" s="374" t="n"/>
      <c r="L285" s="334" t="inlineStr"/>
      <c r="M285" s="334" t="inlineStr"/>
      <c r="N285" s="334" t="inlineStr"/>
      <c r="O285" s="354" t="inlineStr"/>
      <c r="P285" s="334" t="inlineStr"/>
      <c r="Q285" s="334" t="inlineStr"/>
      <c r="R285" s="334" t="inlineStr"/>
      <c r="S285" s="354" t="inlineStr"/>
      <c r="T285" t="inlineStr"/>
      <c r="U285" t="inlineStr"/>
    </row>
    <row r="286" ht="22.2" customHeight="1" s="375">
      <c r="A286" s="3" t="n"/>
      <c r="B286" s="313" t="n"/>
      <c r="E286" s="3" t="n"/>
      <c r="F286" s="322" t="n"/>
      <c r="G286" s="321" t="inlineStr"/>
      <c r="H286" s="334" t="inlineStr"/>
      <c r="I286" s="334" t="inlineStr"/>
      <c r="J286" s="334" t="inlineStr"/>
      <c r="K286" s="374" t="n"/>
      <c r="L286" s="334" t="inlineStr"/>
      <c r="M286" s="334" t="inlineStr"/>
      <c r="N286" s="334" t="inlineStr"/>
      <c r="O286" s="354" t="inlineStr"/>
      <c r="P286" s="334" t="inlineStr"/>
      <c r="Q286" s="334" t="inlineStr"/>
      <c r="R286" s="334" t="inlineStr"/>
      <c r="S286" s="354" t="inlineStr"/>
      <c r="T286" t="inlineStr"/>
      <c r="U286" t="inlineStr"/>
    </row>
    <row r="287" ht="22.2" customHeight="1" s="375">
      <c r="A287" s="3" t="n"/>
      <c r="E287" s="3" t="n"/>
      <c r="G287" s="344" t="inlineStr"/>
      <c r="H287" s="336" t="inlineStr"/>
      <c r="I287" s="336" t="inlineStr"/>
      <c r="J287" s="336" t="inlineStr"/>
      <c r="K287" s="527" t="n"/>
      <c r="L287" s="334" t="inlineStr"/>
      <c r="M287" s="334" t="inlineStr"/>
      <c r="N287" s="334" t="inlineStr"/>
      <c r="O287" s="354" t="inlineStr"/>
      <c r="P287" s="334" t="inlineStr"/>
      <c r="Q287" s="334" t="inlineStr"/>
      <c r="R287" s="334" t="inlineStr"/>
      <c r="S287" s="354" t="inlineStr"/>
      <c r="T287" t="inlineStr"/>
      <c r="U287" t="inlineStr"/>
    </row>
    <row r="288" ht="22.2" customHeight="1" s="375">
      <c r="A288" s="3" t="n"/>
      <c r="E288" s="3" t="n"/>
      <c r="G288" s="533" t="inlineStr">
        <is>
          <t>อังคาร</t>
        </is>
      </c>
      <c r="H288" s="376" t="inlineStr">
        <is>
          <t>20101-2008</t>
        </is>
      </c>
      <c r="I288" s="376" t="inlineStr">
        <is>
          <t>ชย.2/4 (26)</t>
        </is>
      </c>
      <c r="J288" s="381" t="inlineStr">
        <is>
          <t>13:10 - 17:10</t>
        </is>
      </c>
      <c r="K288" s="135" t="n"/>
      <c r="L288" s="367" t="n">
        <v>4</v>
      </c>
      <c r="M288" s="381" t="inlineStr"/>
      <c r="N288" s="381" t="inlineStr"/>
      <c r="O288" s="354" t="inlineStr"/>
      <c r="P288" s="381" t="inlineStr"/>
      <c r="Q288" s="367" t="inlineStr"/>
      <c r="R288" s="381" t="inlineStr"/>
      <c r="S288" s="354" t="inlineStr"/>
      <c r="T288" t="inlineStr"/>
      <c r="U288" t="inlineStr"/>
    </row>
    <row r="289" ht="22.2" customHeight="1" s="375">
      <c r="A289" s="3" t="n"/>
      <c r="E289" s="3" t="n"/>
      <c r="G289" s="535" t="inlineStr">
        <is>
          <t>6 ต.ค.69</t>
        </is>
      </c>
      <c r="H289" s="376" t="inlineStr">
        <is>
          <t>20101-2013</t>
        </is>
      </c>
      <c r="I289" s="376" t="inlineStr">
        <is>
          <t>ชย.ทวิ 3/9 (26)</t>
        </is>
      </c>
      <c r="J289" s="334" t="inlineStr">
        <is>
          <t>18:10 - 21:10</t>
        </is>
      </c>
      <c r="K289" s="374" t="n"/>
      <c r="L289" s="334" t="n">
        <v>3</v>
      </c>
      <c r="M289" s="334" t="inlineStr"/>
      <c r="N289" s="334" t="inlineStr"/>
      <c r="O289" s="354" t="inlineStr"/>
      <c r="P289" s="334" t="inlineStr"/>
      <c r="Q289" s="334" t="inlineStr"/>
      <c r="R289" s="334" t="inlineStr"/>
      <c r="S289" s="354" t="inlineStr"/>
      <c r="T289" t="inlineStr"/>
      <c r="U289" t="inlineStr"/>
    </row>
    <row r="290" ht="22.2" customHeight="1" s="375">
      <c r="A290" s="3" t="n"/>
      <c r="B290" s="313" t="n"/>
      <c r="D290" s="314" t="n"/>
      <c r="E290" s="314" t="n"/>
      <c r="G290" s="334" t="inlineStr"/>
      <c r="H290" s="376" t="inlineStr"/>
      <c r="I290" s="376" t="inlineStr"/>
      <c r="J290" s="334" t="inlineStr"/>
      <c r="K290" s="374" t="n"/>
      <c r="L290" s="334" t="inlineStr"/>
      <c r="M290" s="334" t="inlineStr"/>
      <c r="N290" s="334" t="inlineStr"/>
      <c r="O290" s="354" t="inlineStr"/>
      <c r="P290" s="334" t="inlineStr"/>
      <c r="Q290" s="334" t="inlineStr"/>
      <c r="R290" s="334" t="inlineStr"/>
      <c r="S290" s="354" t="inlineStr"/>
      <c r="T290" t="inlineStr"/>
      <c r="U290" t="inlineStr"/>
    </row>
    <row r="291" ht="22.2" customHeight="1" s="375">
      <c r="A291" s="3" t="n"/>
      <c r="E291" s="3" t="n"/>
      <c r="G291" s="54" t="inlineStr"/>
      <c r="H291" s="334" t="inlineStr"/>
      <c r="I291" s="334" t="inlineStr"/>
      <c r="J291" s="334" t="inlineStr"/>
      <c r="K291" s="374" t="n"/>
      <c r="L291" s="334" t="inlineStr"/>
      <c r="M291" s="334" t="inlineStr"/>
      <c r="N291" s="334" t="inlineStr"/>
      <c r="O291" s="354" t="inlineStr"/>
      <c r="P291" s="334" t="inlineStr"/>
      <c r="Q291" s="334" t="inlineStr"/>
      <c r="R291" s="334" t="inlineStr"/>
      <c r="S291" s="354" t="inlineStr"/>
      <c r="T291" t="inlineStr"/>
      <c r="U291" t="inlineStr"/>
    </row>
    <row r="292" ht="22.2" customHeight="1" s="375">
      <c r="A292" s="3" t="n"/>
      <c r="D292" s="7" t="inlineStr">
        <is>
          <t> </t>
        </is>
      </c>
      <c r="E292" s="3" t="n"/>
      <c r="G292" s="55" t="inlineStr"/>
      <c r="H292" s="336" t="inlineStr"/>
      <c r="I292" s="336" t="inlineStr"/>
      <c r="J292" s="336" t="inlineStr"/>
      <c r="K292" s="527" t="n"/>
      <c r="L292" s="334" t="inlineStr"/>
      <c r="M292" s="334" t="inlineStr"/>
      <c r="N292" s="334" t="inlineStr"/>
      <c r="O292" s="354" t="inlineStr"/>
      <c r="P292" s="334" t="inlineStr"/>
      <c r="Q292" s="334" t="inlineStr"/>
      <c r="R292" s="334" t="inlineStr"/>
      <c r="S292" s="354" t="inlineStr"/>
      <c r="T292" t="inlineStr"/>
      <c r="U292" t="inlineStr"/>
    </row>
    <row r="293" ht="22.2" customHeight="1" s="375">
      <c r="A293" s="3" t="n"/>
      <c r="E293" s="3" t="n"/>
      <c r="G293" s="535" t="inlineStr">
        <is>
          <t>พุธ</t>
        </is>
      </c>
      <c r="H293" s="376" t="inlineStr">
        <is>
          <t>20101-2011</t>
        </is>
      </c>
      <c r="I293" s="376" t="inlineStr">
        <is>
          <t>ชย.2/8 (26)</t>
        </is>
      </c>
      <c r="J293" s="381" t="inlineStr">
        <is>
          <t>08:10 - 12:10</t>
        </is>
      </c>
      <c r="K293" s="135" t="n"/>
      <c r="L293" s="367" t="n">
        <v>4</v>
      </c>
      <c r="M293" s="381" t="inlineStr"/>
      <c r="N293" s="381" t="inlineStr"/>
      <c r="O293" s="354" t="inlineStr"/>
      <c r="P293" s="381" t="inlineStr"/>
      <c r="Q293" s="367" t="inlineStr"/>
      <c r="R293" s="381" t="inlineStr"/>
      <c r="S293" s="354" t="inlineStr"/>
      <c r="T293" s="23" t="inlineStr"/>
      <c r="U293" s="23" t="inlineStr"/>
      <c r="V293" s="56" t="n"/>
      <c r="W293" s="23" t="n"/>
      <c r="X293" s="23" t="n"/>
    </row>
    <row r="294" ht="22.2" customHeight="1" s="375">
      <c r="A294" s="3" t="n"/>
      <c r="B294" s="48" t="n"/>
      <c r="C294" s="58" t="n"/>
      <c r="D294" s="49" t="n"/>
      <c r="E294" s="49" t="n"/>
      <c r="G294" s="535" t="inlineStr">
        <is>
          <t>7 ต.ค.69</t>
        </is>
      </c>
      <c r="H294" s="376" t="inlineStr">
        <is>
          <t>20101-2011</t>
        </is>
      </c>
      <c r="I294" s="376" t="inlineStr">
        <is>
          <t>ชย.2/8 (26)</t>
        </is>
      </c>
      <c r="J294" s="334" t="inlineStr">
        <is>
          <t>13:10 - 16:10</t>
        </is>
      </c>
      <c r="K294" s="374" t="n"/>
      <c r="L294" s="334" t="n">
        <v>3</v>
      </c>
      <c r="M294" s="334" t="inlineStr"/>
      <c r="N294" s="334" t="inlineStr"/>
      <c r="O294" s="354" t="inlineStr"/>
      <c r="P294" s="334" t="inlineStr"/>
      <c r="Q294" s="334" t="inlineStr"/>
      <c r="R294" s="334" t="inlineStr"/>
      <c r="S294" s="354" t="inlineStr"/>
      <c r="T294" s="23" t="inlineStr"/>
      <c r="U294" s="23" t="inlineStr"/>
      <c r="V294" s="56" t="n"/>
      <c r="W294" s="23" t="n"/>
      <c r="X294" s="23" t="n"/>
    </row>
    <row r="295" ht="22.2" customHeight="1" s="375">
      <c r="A295" s="3" t="n"/>
      <c r="B295" s="48" t="n"/>
      <c r="C295" s="58" t="n"/>
      <c r="D295" s="49" t="n"/>
      <c r="E295" s="49" t="n"/>
      <c r="G295" s="334" t="inlineStr"/>
      <c r="H295" s="376" t="inlineStr">
        <is>
          <t>20101-2013</t>
        </is>
      </c>
      <c r="I295" s="376" t="inlineStr">
        <is>
          <t>ชย.ทวิ 3/9 (26)</t>
        </is>
      </c>
      <c r="J295" s="334" t="inlineStr">
        <is>
          <t>17:10 - 21:10</t>
        </is>
      </c>
      <c r="K295" s="374" t="n"/>
      <c r="L295" s="334" t="n">
        <v>4</v>
      </c>
      <c r="M295" s="334" t="inlineStr"/>
      <c r="N295" s="334" t="inlineStr"/>
      <c r="O295" s="354" t="inlineStr"/>
      <c r="P295" s="334" t="inlineStr"/>
      <c r="Q295" s="334" t="inlineStr"/>
      <c r="R295" s="334" t="inlineStr"/>
      <c r="S295" s="354" t="inlineStr"/>
      <c r="T295" t="inlineStr"/>
      <c r="U295" t="inlineStr"/>
    </row>
    <row r="296" ht="22.2" customHeight="1" s="375">
      <c r="A296" s="3" t="n"/>
      <c r="B296" s="48" t="n"/>
      <c r="C296" s="58" t="n"/>
      <c r="D296" s="49" t="n"/>
      <c r="E296" s="49" t="n"/>
      <c r="G296" s="321" t="inlineStr"/>
      <c r="H296" s="321" t="inlineStr"/>
      <c r="I296" s="334" t="inlineStr"/>
      <c r="J296" s="334" t="inlineStr"/>
      <c r="K296" s="374" t="n"/>
      <c r="L296" s="334" t="inlineStr"/>
      <c r="M296" s="334" t="inlineStr"/>
      <c r="N296" s="334" t="inlineStr"/>
      <c r="O296" s="354" t="inlineStr"/>
      <c r="P296" s="334" t="inlineStr"/>
      <c r="Q296" s="334" t="inlineStr"/>
      <c r="R296" s="334" t="inlineStr"/>
      <c r="S296" s="354" t="inlineStr"/>
      <c r="T296" t="inlineStr"/>
      <c r="U296" t="inlineStr"/>
    </row>
    <row r="297" ht="22.2" customHeight="1" s="375">
      <c r="A297" s="3" t="n"/>
      <c r="D297" s="314" t="n"/>
      <c r="E297" s="314" t="n"/>
      <c r="G297" s="327" t="inlineStr"/>
      <c r="H297" s="327" t="inlineStr"/>
      <c r="I297" s="336" t="inlineStr"/>
      <c r="J297" s="336" t="inlineStr"/>
      <c r="K297" s="527" t="n"/>
      <c r="L297" s="336" t="inlineStr"/>
      <c r="M297" s="336" t="inlineStr"/>
      <c r="N297" s="336" t="inlineStr"/>
      <c r="O297" s="354" t="inlineStr"/>
      <c r="P297" s="336" t="inlineStr"/>
      <c r="Q297" s="336" t="inlineStr"/>
      <c r="R297" s="336" t="inlineStr"/>
      <c r="S297" s="354" t="inlineStr"/>
      <c r="T297" t="inlineStr"/>
      <c r="U297" t="inlineStr"/>
    </row>
    <row r="298" ht="22.2" customHeight="1" s="375">
      <c r="A298" s="3" t="n"/>
      <c r="E298" s="3" t="n"/>
      <c r="G298" s="533" t="inlineStr">
        <is>
          <t>พฤหัส</t>
        </is>
      </c>
      <c r="H298" s="376" t="inlineStr">
        <is>
          <t>20101-2020</t>
        </is>
      </c>
      <c r="I298" s="376" t="inlineStr">
        <is>
          <t>ชย.3/3 (26)</t>
        </is>
      </c>
      <c r="J298" s="334" t="inlineStr">
        <is>
          <t>08:10 - 12:10</t>
        </is>
      </c>
      <c r="K298" s="374" t="n"/>
      <c r="L298" s="334" t="inlineStr"/>
      <c r="M298" s="334" t="n">
        <v>4</v>
      </c>
      <c r="N298" s="334" t="n">
        <v>200</v>
      </c>
      <c r="O298" s="354">
        <f>M298*N298</f>
        <v/>
      </c>
      <c r="P298" s="334" t="inlineStr"/>
      <c r="Q298" s="362" t="inlineStr"/>
      <c r="R298" s="362" t="inlineStr"/>
      <c r="S298" s="354" t="inlineStr"/>
      <c r="T298" t="inlineStr"/>
      <c r="U298" t="inlineStr"/>
    </row>
    <row r="299" ht="22.2" customHeight="1" s="375">
      <c r="A299" s="3" t="n"/>
      <c r="E299" s="3" t="n"/>
      <c r="G299" s="535" t="inlineStr">
        <is>
          <t>8 ต.ค.69</t>
        </is>
      </c>
      <c r="H299" s="376" t="inlineStr">
        <is>
          <t>20101-2020</t>
        </is>
      </c>
      <c r="I299" s="376" t="inlineStr">
        <is>
          <t>ชย.3/3 (26)</t>
        </is>
      </c>
      <c r="J299" s="334" t="inlineStr">
        <is>
          <t>15:10 - 21:10</t>
        </is>
      </c>
      <c r="K299" s="374" t="n"/>
      <c r="L299" s="334" t="inlineStr"/>
      <c r="M299" s="334" t="n">
        <v>6</v>
      </c>
      <c r="N299" s="334" t="n">
        <v>200</v>
      </c>
      <c r="O299" s="354">
        <f>M299*N299</f>
        <v/>
      </c>
      <c r="P299" s="334" t="inlineStr"/>
      <c r="Q299" s="334" t="inlineStr"/>
      <c r="R299" s="334" t="inlineStr"/>
      <c r="S299" s="354" t="inlineStr"/>
      <c r="T299" t="inlineStr"/>
      <c r="U299" t="inlineStr"/>
    </row>
    <row r="300" ht="22.2" customHeight="1" s="375">
      <c r="A300" s="3" t="n"/>
      <c r="B300" s="313" t="n"/>
      <c r="E300" s="3" t="n"/>
      <c r="G300" s="334" t="inlineStr"/>
      <c r="H300" s="376" t="inlineStr"/>
      <c r="I300" s="376" t="inlineStr"/>
      <c r="J300" s="334" t="inlineStr"/>
      <c r="K300" s="374" t="n"/>
      <c r="L300" s="376" t="inlineStr"/>
      <c r="M300" s="376" t="inlineStr"/>
      <c r="N300" s="376" t="inlineStr"/>
      <c r="O300" s="354" t="inlineStr"/>
      <c r="P300" s="376" t="inlineStr"/>
      <c r="Q300" s="376" t="inlineStr"/>
      <c r="R300" s="376" t="inlineStr"/>
      <c r="S300" s="354" t="inlineStr"/>
      <c r="T300" t="inlineStr"/>
      <c r="U300" t="inlineStr"/>
    </row>
    <row r="301" ht="22.2" customHeight="1" s="375">
      <c r="A301" s="3" t="n"/>
      <c r="E301" s="3" t="n"/>
      <c r="G301" s="334" t="inlineStr"/>
      <c r="H301" s="334" t="inlineStr"/>
      <c r="I301" s="323" t="inlineStr"/>
      <c r="J301" s="334" t="inlineStr"/>
      <c r="K301" s="374" t="n"/>
      <c r="L301" s="334" t="inlineStr"/>
      <c r="M301" s="334" t="inlineStr"/>
      <c r="N301" s="334" t="inlineStr"/>
      <c r="O301" s="354" t="inlineStr"/>
      <c r="P301" s="334" t="inlineStr"/>
      <c r="Q301" s="334" t="inlineStr"/>
      <c r="R301" s="334" t="inlineStr"/>
      <c r="S301" s="354" t="inlineStr"/>
      <c r="T301" t="inlineStr"/>
      <c r="U301" t="inlineStr"/>
    </row>
    <row r="302" ht="22.2" customHeight="1" s="375">
      <c r="A302" s="3" t="n"/>
      <c r="E302" s="3" t="n"/>
      <c r="G302" s="336" t="inlineStr"/>
      <c r="H302" s="328" t="inlineStr"/>
      <c r="I302" s="336" t="inlineStr"/>
      <c r="J302" s="336" t="inlineStr"/>
      <c r="K302" s="527" t="n"/>
      <c r="L302" s="336" t="inlineStr"/>
      <c r="M302" s="336" t="inlineStr"/>
      <c r="N302" s="336" t="inlineStr"/>
      <c r="O302" s="354" t="inlineStr"/>
      <c r="P302" s="336" t="inlineStr"/>
      <c r="Q302" s="336" t="inlineStr"/>
      <c r="R302" s="336" t="inlineStr"/>
      <c r="S302" s="354" t="inlineStr"/>
      <c r="T302" t="inlineStr"/>
      <c r="U302" t="inlineStr"/>
    </row>
    <row r="303" ht="22.2" customHeight="1" s="375">
      <c r="A303" s="3" t="n"/>
      <c r="E303" s="3" t="n"/>
      <c r="G303" s="533" t="inlineStr">
        <is>
          <t>ศุกร์</t>
        </is>
      </c>
      <c r="H303" s="376" t="inlineStr"/>
      <c r="I303" s="376" t="inlineStr"/>
      <c r="J303" s="381" t="inlineStr"/>
      <c r="K303" s="135" t="n"/>
      <c r="L303" s="334" t="inlineStr"/>
      <c r="M303" s="334" t="inlineStr"/>
      <c r="N303" s="334" t="inlineStr"/>
      <c r="O303" s="354" t="inlineStr"/>
      <c r="P303" s="381" t="inlineStr"/>
      <c r="Q303" s="367" t="inlineStr"/>
      <c r="R303" s="381" t="inlineStr"/>
      <c r="S303" s="354" t="inlineStr"/>
      <c r="T303" s="23" t="inlineStr"/>
      <c r="U303" s="23" t="inlineStr"/>
      <c r="V303" s="56" t="n"/>
      <c r="W303" s="23" t="n"/>
      <c r="X303" s="23" t="n"/>
    </row>
    <row r="304" ht="22.2" customHeight="1" s="375">
      <c r="A304" s="3" t="n"/>
      <c r="E304" s="3" t="n"/>
      <c r="G304" s="535" t="inlineStr">
        <is>
          <t>9 ต.ค.69</t>
        </is>
      </c>
      <c r="H304" s="376" t="inlineStr"/>
      <c r="I304" s="376" t="inlineStr"/>
      <c r="J304" s="334" t="inlineStr"/>
      <c r="K304" s="374" t="n"/>
      <c r="L304" s="334" t="inlineStr"/>
      <c r="M304" s="334" t="inlineStr"/>
      <c r="N304" s="334" t="inlineStr"/>
      <c r="O304" s="354" t="inlineStr"/>
      <c r="P304" s="334" t="inlineStr"/>
      <c r="Q304" s="334" t="inlineStr"/>
      <c r="R304" s="334" t="inlineStr"/>
      <c r="S304" s="354" t="inlineStr"/>
      <c r="T304" s="23" t="inlineStr"/>
      <c r="U304" s="23" t="inlineStr"/>
      <c r="V304" s="56" t="n"/>
      <c r="W304" s="23" t="n"/>
      <c r="X304" s="23" t="n"/>
    </row>
    <row r="305" ht="22.2" customHeight="1" s="375">
      <c r="A305" s="3" t="n"/>
      <c r="E305" s="3" t="n"/>
      <c r="G305" s="334" t="inlineStr"/>
      <c r="H305" s="376" t="inlineStr"/>
      <c r="I305" s="376" t="inlineStr"/>
      <c r="J305" s="334" t="inlineStr"/>
      <c r="K305" s="374" t="n"/>
      <c r="L305" s="334" t="inlineStr"/>
      <c r="M305" s="334" t="inlineStr"/>
      <c r="N305" s="334" t="inlineStr"/>
      <c r="O305" s="354" t="inlineStr"/>
      <c r="P305" s="334" t="inlineStr"/>
      <c r="Q305" s="334" t="inlineStr"/>
      <c r="R305" s="334" t="inlineStr"/>
      <c r="S305" s="354" t="inlineStr"/>
      <c r="T305" t="inlineStr"/>
      <c r="U305" t="inlineStr"/>
    </row>
    <row r="306" ht="22.2" customHeight="1" s="375">
      <c r="A306" s="3" t="n"/>
      <c r="E306" s="3" t="n"/>
      <c r="G306" s="334" t="inlineStr"/>
      <c r="H306" s="147" t="inlineStr"/>
      <c r="I306" s="3" t="inlineStr"/>
      <c r="J306" s="334" t="inlineStr"/>
      <c r="K306" s="374" t="n"/>
      <c r="L306" s="334" t="inlineStr"/>
      <c r="M306" s="334" t="inlineStr"/>
      <c r="N306" s="334" t="inlineStr"/>
      <c r="O306" s="354" t="inlineStr"/>
      <c r="P306" s="334" t="inlineStr"/>
      <c r="Q306" s="334" t="inlineStr"/>
      <c r="R306" s="334" t="inlineStr"/>
      <c r="S306" s="354" t="inlineStr"/>
      <c r="T306" t="inlineStr"/>
      <c r="U306" t="inlineStr"/>
    </row>
    <row r="307" ht="22.2" customHeight="1" s="375">
      <c r="A307" s="3" t="n"/>
      <c r="E307" s="3" t="n"/>
      <c r="F307" s="3" t="n"/>
      <c r="G307" s="329" t="inlineStr"/>
      <c r="H307" s="336" t="inlineStr"/>
      <c r="I307" s="329" t="inlineStr"/>
      <c r="J307" s="336" t="inlineStr"/>
      <c r="K307" s="527" t="n"/>
      <c r="L307" s="336" t="inlineStr"/>
      <c r="M307" s="336" t="inlineStr"/>
      <c r="N307" s="336" t="inlineStr"/>
      <c r="O307" s="354" t="inlineStr"/>
      <c r="P307" s="336" t="inlineStr"/>
      <c r="Q307" s="336" t="inlineStr"/>
      <c r="R307" s="336" t="inlineStr"/>
      <c r="S307" s="354" t="inlineStr"/>
      <c r="T307" t="inlineStr"/>
      <c r="U307" t="inlineStr"/>
    </row>
    <row r="308" ht="22.2" customHeight="1" s="375">
      <c r="A308" s="3" t="n"/>
      <c r="E308" s="3" t="n"/>
      <c r="F308" s="3" t="n"/>
      <c r="G308" s="16" t="inlineStr">
        <is>
          <t>รวมขั่วโมงที่สอนแยก ภาระงาน/ เกินภาระงาน</t>
        </is>
      </c>
      <c r="H308" s="518" t="n"/>
      <c r="I308" s="518" t="n"/>
      <c r="J308" s="518" t="n"/>
      <c r="K308" s="432" t="n"/>
      <c r="L308" s="16">
        <f>SUM(L283:L307)</f>
        <v/>
      </c>
      <c r="M308" s="16">
        <f>SUM(M283:M307)</f>
        <v/>
      </c>
      <c r="N308" s="16" t="n"/>
      <c r="O308" s="16" t="n"/>
      <c r="P308" s="16">
        <f>SUM(P283:P307)</f>
        <v/>
      </c>
      <c r="Q308" s="16">
        <f>SUM(Q283:Q307)</f>
        <v/>
      </c>
      <c r="R308" s="349" t="n"/>
      <c r="S308" s="16" t="n"/>
    </row>
    <row r="309" ht="22.2" customHeight="1" s="375">
      <c r="A309" s="3" t="n"/>
      <c r="E309" s="3" t="n"/>
      <c r="F309" s="3" t="n"/>
      <c r="G309" s="16" t="inlineStr">
        <is>
          <t>รวมจำนวนชั่วโมงสอนคาบต่อสับดาห์</t>
        </is>
      </c>
      <c r="H309" s="518" t="n"/>
      <c r="I309" s="518" t="n"/>
      <c r="J309" s="518" t="n"/>
      <c r="K309" s="432" t="n"/>
      <c r="L309" s="16">
        <f>L308+M308</f>
        <v/>
      </c>
      <c r="M309" s="432" t="n"/>
      <c r="N309" s="16" t="n"/>
      <c r="O309" s="348" t="n"/>
      <c r="P309" s="16">
        <f>P308+Q308</f>
        <v/>
      </c>
      <c r="Q309" s="432" t="n"/>
      <c r="R309" s="329" t="n"/>
      <c r="S309" s="336" t="n"/>
    </row>
    <row r="310" ht="22.2" customHeight="1" s="375">
      <c r="A310" s="3" t="n"/>
      <c r="E310" s="3" t="n"/>
      <c r="F310" s="3" t="n"/>
      <c r="G310" s="16" t="inlineStr">
        <is>
          <t>จำนวนชั่วโมงสอนตามภาระงานสอน</t>
        </is>
      </c>
      <c r="H310" s="518" t="n"/>
      <c r="I310" s="518" t="n"/>
      <c r="J310" s="518" t="n"/>
      <c r="K310" s="432" t="n"/>
      <c r="L310" s="16" t="n">
        <v>18</v>
      </c>
      <c r="M310" s="432" t="n"/>
      <c r="N310" s="348" t="n"/>
      <c r="O310" s="16" t="n"/>
      <c r="P310" s="16" t="n">
        <v>0</v>
      </c>
      <c r="Q310" s="432" t="n"/>
      <c r="R310" s="322" t="n"/>
      <c r="S310" s="334" t="n"/>
    </row>
    <row r="311" ht="22.2" customHeight="1" s="375" thickBot="1">
      <c r="A311" s="3" t="n"/>
      <c r="E311" s="3" t="n"/>
      <c r="F311" s="14" t="n"/>
      <c r="G311" s="16" t="inlineStr">
        <is>
          <t>จำนวนชั่วโมงบิกเกินภาระงานสอน/ค่าสอน</t>
        </is>
      </c>
      <c r="H311" s="518" t="n"/>
      <c r="I311" s="518" t="n"/>
      <c r="J311" s="518" t="n"/>
      <c r="K311" s="432" t="n"/>
      <c r="L311" s="17" t="n">
        <v>0</v>
      </c>
      <c r="M311" s="17">
        <f>SUM(M283:M307)</f>
        <v/>
      </c>
      <c r="N311" s="17" t="n"/>
      <c r="O311" s="17">
        <f>SUM(O283:O307)</f>
        <v/>
      </c>
      <c r="P311" s="17" t="n">
        <v>0</v>
      </c>
      <c r="Q311" s="17">
        <f>SUM(Q283:Q307)</f>
        <v/>
      </c>
      <c r="R311" s="18" t="n"/>
      <c r="S311" s="17">
        <f>SUM(S283:S307)</f>
        <v/>
      </c>
    </row>
    <row r="312" ht="22.2" customHeight="1" s="375" thickTop="1">
      <c r="A312" s="337" t="inlineStr">
        <is>
          <t>รวมจำนวนหน่วยชั่วโมงที่ขอเบิกค่าสอน ….</t>
        </is>
      </c>
      <c r="B312" s="518" t="n"/>
      <c r="C312" s="518" t="n"/>
      <c r="D312" s="518" t="n"/>
      <c r="E312" s="518" t="n"/>
      <c r="F312" s="518" t="n"/>
      <c r="G312" s="518" t="n"/>
      <c r="H312" s="348">
        <f>M311+Q311</f>
        <v/>
      </c>
      <c r="I312" s="348" t="inlineStr">
        <is>
          <t>….ชั่วโมง</t>
        </is>
      </c>
      <c r="J312" s="348" t="n"/>
      <c r="K312" s="328" t="inlineStr">
        <is>
          <t>ยอดเงินรวม</t>
        </is>
      </c>
      <c r="L312" s="522" t="n"/>
      <c r="M312" s="522" t="n"/>
      <c r="N312" s="328" t="n"/>
      <c r="O312" s="328" t="n"/>
      <c r="P312" s="339">
        <f>S311+O311</f>
        <v/>
      </c>
      <c r="Q312" s="538" t="n"/>
      <c r="R312" s="20" t="n"/>
      <c r="S312" s="19" t="inlineStr">
        <is>
          <t>..บาท</t>
        </is>
      </c>
    </row>
    <row r="313" ht="22.2" customHeight="1" s="375">
      <c r="A313" s="154" t="inlineStr">
        <is>
          <t>ผู้ขอเบิก</t>
        </is>
      </c>
      <c r="B313" s="153" t="n"/>
      <c r="C313" s="153" t="n"/>
      <c r="D313" s="153" t="n"/>
      <c r="E313" s="153" t="n"/>
      <c r="F313" s="153" t="n"/>
      <c r="G313" s="135" t="n"/>
      <c r="H313" s="154" t="inlineStr">
        <is>
          <t>ผู้รับรอง</t>
        </is>
      </c>
      <c r="I313" s="153" t="n"/>
      <c r="J313" s="153" t="n"/>
      <c r="K313" s="153" t="n"/>
      <c r="L313" s="135" t="n"/>
      <c r="M313" s="154" t="inlineStr">
        <is>
          <t>ผู้ตรวจ</t>
        </is>
      </c>
      <c r="N313" s="153" t="n"/>
      <c r="O313" s="153" t="n"/>
      <c r="P313" s="153" t="n"/>
      <c r="Q313" s="153" t="n"/>
      <c r="R313" s="153" t="n"/>
      <c r="S313" s="135" t="n"/>
    </row>
    <row r="314" ht="22.2" customHeight="1" s="375">
      <c r="A314" s="334" t="inlineStr">
        <is>
          <t>ลงชื่อ……………………………………………</t>
        </is>
      </c>
      <c r="G314" s="374" t="n"/>
      <c r="H314" s="334" t="inlineStr">
        <is>
          <t>ลงชื่อ……………………………………………</t>
        </is>
      </c>
      <c r="L314" s="374" t="n"/>
      <c r="M314" s="334" t="inlineStr">
        <is>
          <t>ลงชื่อ……………………………………………</t>
        </is>
      </c>
      <c r="S314" s="374" t="n"/>
    </row>
    <row r="315" ht="22.2" customHeight="1" s="375">
      <c r="A315" s="11" t="inlineStr">
        <is>
          <t>(</t>
        </is>
      </c>
      <c r="B315" s="324">
        <f>B283</f>
        <v/>
      </c>
      <c r="G315" s="326" t="inlineStr">
        <is>
          <t>)</t>
        </is>
      </c>
      <c r="H315" s="324" t="inlineStr">
        <is>
          <t>(</t>
        </is>
      </c>
      <c r="I315" s="340">
        <f>I269</f>
        <v/>
      </c>
      <c r="L315" s="12" t="inlineStr">
        <is>
          <t>)</t>
        </is>
      </c>
      <c r="M315" s="53" t="inlineStr">
        <is>
          <t>(</t>
        </is>
      </c>
      <c r="N315" s="53" t="n"/>
      <c r="O315" s="324">
        <f>O39</f>
        <v/>
      </c>
      <c r="R315" s="25" t="n"/>
      <c r="S315" s="326" t="inlineStr">
        <is>
          <t>)</t>
        </is>
      </c>
    </row>
    <row r="316" ht="22.2" customHeight="1" s="375">
      <c r="A316" s="540" t="inlineStr">
        <is>
          <t xml:space="preserve">                         ตำแหน่ง  ครู</t>
        </is>
      </c>
      <c r="G316" s="374" t="n"/>
      <c r="H316" s="54" t="inlineStr">
        <is>
          <t>ตำแหน่ง หัวหน้าแผนก</t>
        </is>
      </c>
      <c r="L316" s="374" t="n"/>
      <c r="M316" s="54" t="inlineStr">
        <is>
          <t>ตำแหน่ง   ผู้ตรวจสอบ</t>
        </is>
      </c>
      <c r="S316" s="374" t="n"/>
    </row>
    <row r="317" ht="22.2" customHeight="1" s="375">
      <c r="A317" s="55" t="inlineStr">
        <is>
          <t>วันที่ 12 เดือน ตุลาคม  พ.ศ.2569</t>
        </is>
      </c>
      <c r="B317" s="522" t="n"/>
      <c r="C317" s="522" t="n"/>
      <c r="D317" s="522" t="n"/>
      <c r="E317" s="522" t="n"/>
      <c r="F317" s="522" t="n"/>
      <c r="G317" s="527" t="n"/>
      <c r="H317" s="54">
        <f>A41</f>
        <v/>
      </c>
      <c r="L317" s="374" t="n"/>
      <c r="M317" s="55">
        <f>A41</f>
        <v/>
      </c>
      <c r="N317" s="522" t="n"/>
      <c r="O317" s="522" t="n"/>
      <c r="P317" s="522" t="n"/>
      <c r="Q317" s="522" t="n"/>
      <c r="R317" s="522" t="n"/>
      <c r="S317" s="527" t="n"/>
    </row>
    <row r="318" ht="22.2" customHeight="1" s="375">
      <c r="A318" s="154" t="inlineStr">
        <is>
          <t>ผู้ตรวจ</t>
        </is>
      </c>
      <c r="B318" s="153" t="n"/>
      <c r="C318" s="153" t="n"/>
      <c r="D318" s="153" t="n"/>
      <c r="E318" s="153" t="n"/>
      <c r="F318" s="153" t="n"/>
      <c r="G318" s="153" t="n"/>
      <c r="H318" s="153" t="n"/>
      <c r="I318" s="135" t="n"/>
      <c r="J318" s="154" t="inlineStr">
        <is>
          <t>ผู้เห็นชอบ</t>
        </is>
      </c>
      <c r="K318" s="153" t="n"/>
      <c r="L318" s="153" t="n"/>
      <c r="M318" s="153" t="n"/>
      <c r="N318" s="153" t="n"/>
      <c r="O318" s="153" t="n"/>
      <c r="P318" s="153" t="n"/>
      <c r="Q318" s="153" t="n"/>
      <c r="R318" s="153" t="n"/>
      <c r="S318" s="135" t="n"/>
    </row>
    <row r="319" ht="22.2" customHeight="1" s="375">
      <c r="A319" s="334" t="inlineStr">
        <is>
          <t>ลงชื่อ……………………………………………</t>
        </is>
      </c>
      <c r="I319" s="374" t="n"/>
      <c r="J319" s="334" t="inlineStr">
        <is>
          <t>ลงชื่อ……………………………………………</t>
        </is>
      </c>
      <c r="S319" s="374" t="n"/>
    </row>
    <row r="320" ht="22.2" customHeight="1" s="375">
      <c r="A320" s="11" t="n"/>
      <c r="B320" s="324">
        <f>B44</f>
        <v/>
      </c>
      <c r="I320" s="326" t="n"/>
      <c r="J320" s="25" t="n"/>
      <c r="K320" s="25" t="n"/>
      <c r="L320" s="324">
        <f>L44</f>
        <v/>
      </c>
      <c r="R320" s="25" t="n"/>
      <c r="S320" s="12" t="n"/>
    </row>
    <row r="321" ht="22.2" customHeight="1" s="375">
      <c r="A321" s="54" t="inlineStr">
        <is>
          <t>ตำแหน่งครู  หัวหน้างานพัฒนาหลักสูตร ฯ</t>
        </is>
      </c>
      <c r="I321" s="374" t="n"/>
      <c r="J321" s="54" t="inlineStr">
        <is>
          <t>ตำแหน่ง  รองผู้อำนวยการฝ่ายวิชาการ</t>
        </is>
      </c>
      <c r="S321" s="374" t="n"/>
    </row>
    <row r="322" ht="22.2" customHeight="1" s="375">
      <c r="A322" s="336" t="inlineStr">
        <is>
          <t>วันที่.......เดือน..........................พ.ศ..............</t>
        </is>
      </c>
      <c r="B322" s="522" t="n"/>
      <c r="C322" s="522" t="n"/>
      <c r="D322" s="522" t="n"/>
      <c r="E322" s="522" t="n"/>
      <c r="F322" s="522" t="n"/>
      <c r="G322" s="522" t="n"/>
      <c r="H322" s="522" t="n"/>
      <c r="I322" s="527" t="n"/>
      <c r="J322" s="336" t="inlineStr">
        <is>
          <t>วันที่.......เดือน..........................พ.ศ..............</t>
        </is>
      </c>
      <c r="K322" s="522" t="n"/>
      <c r="L322" s="522" t="n"/>
      <c r="M322" s="522" t="n"/>
      <c r="N322" s="522" t="n"/>
      <c r="O322" s="522" t="n"/>
      <c r="P322" s="522" t="n"/>
      <c r="Q322" s="522" t="n"/>
      <c r="R322" s="522" t="n"/>
      <c r="S322" s="527" t="n"/>
    </row>
    <row r="323" ht="22.2" customHeight="1" s="375">
      <c r="A323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75">
      <c r="A324" s="365" t="inlineStr">
        <is>
          <t>แผนกวิชาช่างยนต์</t>
        </is>
      </c>
    </row>
    <row r="325" ht="22.2" customHeight="1" s="375">
      <c r="A325" s="366" t="inlineStr">
        <is>
          <t xml:space="preserve">    ระหว่างวันที่</t>
        </is>
      </c>
      <c r="D325" s="365">
        <f>D3</f>
        <v/>
      </c>
      <c r="E325" s="365" t="inlineStr">
        <is>
          <t xml:space="preserve">   เดือน  </t>
        </is>
      </c>
      <c r="F325" s="365">
        <f>F3</f>
        <v/>
      </c>
      <c r="H325" s="365">
        <f>H3</f>
        <v/>
      </c>
      <c r="I325" s="365" t="inlineStr">
        <is>
          <t xml:space="preserve">     ถึง วันที่</t>
        </is>
      </c>
      <c r="J325" s="365">
        <f>J3</f>
        <v/>
      </c>
      <c r="K325" s="365" t="inlineStr">
        <is>
          <t xml:space="preserve">   เดือน </t>
        </is>
      </c>
      <c r="L325" s="365">
        <f>L3</f>
        <v/>
      </c>
      <c r="N325" s="365">
        <f>N3</f>
        <v/>
      </c>
      <c r="P325" s="365" t="n"/>
      <c r="R325" s="365" t="n"/>
    </row>
    <row r="326" ht="22.2" customHeight="1" s="375">
      <c r="G326" s="51" t="inlineStr">
        <is>
          <t>ü</t>
        </is>
      </c>
      <c r="H326" s="351" t="inlineStr">
        <is>
          <t>ครู</t>
        </is>
      </c>
      <c r="I326" s="322" t="inlineStr">
        <is>
          <t>หน้าที่พิเศษ</t>
        </is>
      </c>
      <c r="J326" s="380" t="inlineStr">
        <is>
          <t>ผู้ช่วยงานโครงการพิเศษและการบริการสังคม</t>
        </is>
      </c>
      <c r="K326" s="522" t="n"/>
      <c r="L326" s="522" t="n"/>
      <c r="M326" s="522" t="n"/>
    </row>
    <row r="327" ht="22.2" customHeight="1" s="375">
      <c r="A327" s="24" t="inlineStr">
        <is>
          <t>ที่</t>
        </is>
      </c>
      <c r="B327" s="24" t="inlineStr">
        <is>
          <t>ชื่อ-สกุล</t>
        </is>
      </c>
      <c r="C327" s="153" t="n"/>
      <c r="D327" s="135" t="n"/>
      <c r="E327" s="15" t="inlineStr">
        <is>
          <t>ตำแหน่ง</t>
        </is>
      </c>
      <c r="F327" s="16" t="inlineStr">
        <is>
          <t>ระยะเวลาที่สอน</t>
        </is>
      </c>
      <c r="G327" s="432" t="n"/>
      <c r="H327" s="16" t="inlineStr">
        <is>
          <t>รหัสวิชา</t>
        </is>
      </c>
      <c r="I327" s="362" t="inlineStr">
        <is>
          <t>ชั้น,แผนก,ห้อง</t>
        </is>
      </c>
      <c r="J327" s="16" t="inlineStr">
        <is>
          <t>เวลาสอน</t>
        </is>
      </c>
      <c r="K327" s="135" t="n"/>
      <c r="L327" s="16" t="inlineStr">
        <is>
          <t>ปวช.(คาบ)</t>
        </is>
      </c>
      <c r="M327" s="432" t="n"/>
      <c r="N327" s="354" t="inlineStr">
        <is>
          <t>เงิน</t>
        </is>
      </c>
      <c r="O327" s="362" t="inlineStr">
        <is>
          <t>ยอดเงิน</t>
        </is>
      </c>
      <c r="P327" s="524" t="inlineStr">
        <is>
          <t>ปวส.(คาบ)</t>
        </is>
      </c>
      <c r="Q327" s="432" t="n"/>
      <c r="R327" s="354" t="inlineStr">
        <is>
          <t>เงิน</t>
        </is>
      </c>
      <c r="S327" s="362" t="inlineStr">
        <is>
          <t>ยอดเงิน</t>
        </is>
      </c>
    </row>
    <row r="328" ht="22.2" customHeight="1" s="375">
      <c r="A328" s="52" t="n"/>
      <c r="B328" s="8" t="n"/>
      <c r="C328" s="9" t="n"/>
      <c r="D328" s="13" t="n"/>
      <c r="E328" s="10" t="n"/>
      <c r="F328" s="336" t="inlineStr">
        <is>
          <t>ส.</t>
        </is>
      </c>
      <c r="G328" s="336" t="inlineStr">
        <is>
          <t>วดป.</t>
        </is>
      </c>
      <c r="H328" s="525" t="n"/>
      <c r="I328" s="336" t="n"/>
      <c r="J328" s="526" t="n"/>
      <c r="K328" s="527" t="n"/>
      <c r="L328" s="336" t="inlineStr">
        <is>
          <t>ใน</t>
        </is>
      </c>
      <c r="M328" s="336" t="inlineStr">
        <is>
          <t>นอก</t>
        </is>
      </c>
      <c r="N328" s="336" t="inlineStr">
        <is>
          <t>ต่อ ชม.</t>
        </is>
      </c>
      <c r="O328" s="336" t="inlineStr">
        <is>
          <t>(บาท)</t>
        </is>
      </c>
      <c r="P328" s="52" t="inlineStr">
        <is>
          <t>ใน</t>
        </is>
      </c>
      <c r="Q328" s="52" t="inlineStr">
        <is>
          <t>นอก</t>
        </is>
      </c>
      <c r="R328" s="336" t="inlineStr">
        <is>
          <t>ต่อ ชม.</t>
        </is>
      </c>
      <c r="S328" s="336" t="inlineStr">
        <is>
          <t>(บาท)</t>
        </is>
      </c>
    </row>
    <row r="329" ht="22.2" customHeight="1" s="375">
      <c r="A329" s="362" t="n">
        <v>8</v>
      </c>
      <c r="B329" s="528">
        <f>AB10</f>
        <v/>
      </c>
      <c r="C329" s="153" t="n"/>
      <c r="D329" s="135" t="n"/>
      <c r="E329" s="362" t="inlineStr">
        <is>
          <t>ครู</t>
        </is>
      </c>
      <c r="F329" s="5" t="n">
        <v>4</v>
      </c>
      <c r="G329" s="529" t="inlineStr">
        <is>
          <t>จันทร์</t>
        </is>
      </c>
      <c r="H329" s="376" t="inlineStr">
        <is>
          <t>20101-2015</t>
        </is>
      </c>
      <c r="I329" s="381" t="inlineStr">
        <is>
          <t>ชย.3/1,ชย.3/2 (26)</t>
        </is>
      </c>
      <c r="J329" s="381" t="inlineStr">
        <is>
          <t>17:10 - 21:10</t>
        </is>
      </c>
      <c r="K329" s="135" t="n"/>
      <c r="L329" s="381" t="n">
        <v>4</v>
      </c>
      <c r="M329" s="148" t="inlineStr"/>
      <c r="N329" s="150" t="inlineStr"/>
      <c r="O329" s="354" t="inlineStr"/>
      <c r="P329" s="134" t="inlineStr"/>
      <c r="Q329" s="134" t="inlineStr"/>
      <c r="R329" s="134" t="inlineStr"/>
      <c r="S329" s="354" t="inlineStr"/>
      <c r="T329" t="inlineStr"/>
      <c r="U329" t="inlineStr"/>
    </row>
    <row r="330" ht="22.2" customHeight="1" s="375">
      <c r="A330" s="3" t="n"/>
      <c r="B330" s="530" t="n"/>
      <c r="D330" s="374" t="n"/>
      <c r="E330" s="334" t="n"/>
      <c r="F330" s="322" t="n"/>
      <c r="G330" s="535" t="inlineStr">
        <is>
          <t>5 ต.ค.69</t>
        </is>
      </c>
      <c r="H330" s="376" t="inlineStr"/>
      <c r="I330" s="376" t="inlineStr"/>
      <c r="J330" s="376" t="inlineStr"/>
      <c r="K330" s="374" t="n"/>
      <c r="L330" s="376" t="inlineStr"/>
      <c r="M330" s="334" t="inlineStr"/>
      <c r="N330" s="323" t="inlineStr"/>
      <c r="O330" s="354" t="inlineStr"/>
      <c r="P330" s="334" t="inlineStr"/>
      <c r="Q330" s="334" t="inlineStr"/>
      <c r="R330" s="334" t="inlineStr"/>
      <c r="S330" s="354" t="inlineStr"/>
      <c r="T330" t="inlineStr"/>
      <c r="U330" t="inlineStr"/>
    </row>
    <row r="331" ht="22.2" customHeight="1" s="375">
      <c r="A331" s="3" t="n"/>
      <c r="B331" s="313" t="n"/>
      <c r="D331" s="314" t="n"/>
      <c r="E331" s="314" t="n"/>
      <c r="F331" s="322" t="n"/>
      <c r="G331" s="321" t="inlineStr"/>
      <c r="H331" s="334" t="inlineStr"/>
      <c r="I331" s="334" t="inlineStr"/>
      <c r="J331" s="334" t="inlineStr"/>
      <c r="K331" s="374" t="n"/>
      <c r="L331" s="334" t="inlineStr"/>
      <c r="M331" s="334" t="inlineStr"/>
      <c r="N331" s="334" t="inlineStr"/>
      <c r="O331" s="354" t="inlineStr"/>
      <c r="P331" s="334" t="inlineStr"/>
      <c r="Q331" s="334" t="inlineStr"/>
      <c r="R331" s="334" t="inlineStr"/>
      <c r="S331" s="354" t="inlineStr"/>
      <c r="T331" t="inlineStr"/>
      <c r="U331" t="inlineStr"/>
    </row>
    <row r="332" ht="22.2" customHeight="1" s="375">
      <c r="A332" s="3" t="n"/>
      <c r="B332" s="313" t="n"/>
      <c r="E332" s="3" t="n"/>
      <c r="F332" s="322" t="n"/>
      <c r="G332" s="321" t="inlineStr"/>
      <c r="H332" s="334" t="inlineStr"/>
      <c r="I332" s="334" t="inlineStr"/>
      <c r="J332" s="334" t="inlineStr"/>
      <c r="K332" s="374" t="n"/>
      <c r="L332" s="334" t="inlineStr"/>
      <c r="M332" s="334" t="inlineStr"/>
      <c r="N332" s="334" t="inlineStr"/>
      <c r="O332" s="354" t="inlineStr"/>
      <c r="P332" s="334" t="inlineStr"/>
      <c r="Q332" s="334" t="inlineStr"/>
      <c r="R332" s="334" t="inlineStr"/>
      <c r="S332" s="354" t="inlineStr"/>
      <c r="T332" t="inlineStr"/>
      <c r="U332" t="inlineStr"/>
    </row>
    <row r="333" ht="22.2" customHeight="1" s="375">
      <c r="A333" s="3" t="n"/>
      <c r="E333" s="3" t="n"/>
      <c r="G333" s="344" t="inlineStr"/>
      <c r="H333" s="336" t="inlineStr"/>
      <c r="I333" s="336" t="inlineStr"/>
      <c r="J333" s="336" t="inlineStr"/>
      <c r="K333" s="527" t="n"/>
      <c r="L333" s="336" t="inlineStr"/>
      <c r="M333" s="334" t="inlineStr"/>
      <c r="N333" s="334" t="inlineStr"/>
      <c r="O333" s="354" t="inlineStr"/>
      <c r="P333" s="334" t="inlineStr"/>
      <c r="Q333" s="334" t="inlineStr"/>
      <c r="R333" s="334" t="inlineStr"/>
      <c r="S333" s="354" t="inlineStr"/>
      <c r="T333" t="inlineStr"/>
      <c r="U333" t="inlineStr"/>
    </row>
    <row r="334" ht="22.2" customHeight="1" s="375">
      <c r="A334" s="3" t="n"/>
      <c r="D334" s="7" t="inlineStr">
        <is>
          <t> </t>
        </is>
      </c>
      <c r="E334" s="3" t="n"/>
      <c r="G334" s="533" t="inlineStr">
        <is>
          <t>อังคาร</t>
        </is>
      </c>
      <c r="H334" s="376" t="inlineStr">
        <is>
          <t>20101-2001</t>
        </is>
      </c>
      <c r="I334" s="381" t="inlineStr">
        <is>
          <t>ชย.1/9 (26)</t>
        </is>
      </c>
      <c r="J334" s="381" t="inlineStr">
        <is>
          <t>08:10 - 12:10</t>
        </is>
      </c>
      <c r="K334" s="135" t="n"/>
      <c r="L334" s="367" t="n">
        <v>4</v>
      </c>
      <c r="M334" s="381" t="inlineStr"/>
      <c r="N334" s="381" t="inlineStr"/>
      <c r="O334" s="354" t="inlineStr"/>
      <c r="P334" s="381" t="inlineStr"/>
      <c r="Q334" s="367" t="inlineStr"/>
      <c r="R334" s="381" t="inlineStr"/>
      <c r="S334" s="354" t="inlineStr"/>
      <c r="T334" t="inlineStr"/>
      <c r="U334" t="inlineStr"/>
    </row>
    <row r="335" ht="22.2" customHeight="1" s="375">
      <c r="A335" s="3" t="n"/>
      <c r="E335" s="3" t="n"/>
      <c r="G335" s="535" t="inlineStr">
        <is>
          <t>6 ต.ค.69</t>
        </is>
      </c>
      <c r="H335" s="376" t="inlineStr">
        <is>
          <t>20101-2001</t>
        </is>
      </c>
      <c r="I335" s="376" t="inlineStr">
        <is>
          <t>ชย.1/9 (26)</t>
        </is>
      </c>
      <c r="J335" s="376" t="inlineStr">
        <is>
          <t>13:10 - 16:10</t>
        </is>
      </c>
      <c r="K335" s="374" t="n"/>
      <c r="L335" s="334" t="n">
        <v>3</v>
      </c>
      <c r="M335" s="334" t="inlineStr"/>
      <c r="N335" s="334" t="inlineStr"/>
      <c r="O335" s="354" t="inlineStr"/>
      <c r="P335" s="334" t="inlineStr"/>
      <c r="Q335" s="334" t="inlineStr"/>
      <c r="R335" s="334" t="inlineStr"/>
      <c r="S335" s="354" t="inlineStr"/>
      <c r="T335" t="inlineStr"/>
      <c r="U335" t="inlineStr"/>
    </row>
    <row r="336" ht="22.2" customHeight="1" s="375">
      <c r="A336" s="3" t="n"/>
      <c r="B336" s="321" t="n"/>
      <c r="C336" s="322" t="n"/>
      <c r="D336" s="322" t="n"/>
      <c r="E336" s="334" t="n"/>
      <c r="G336" s="334" t="inlineStr"/>
      <c r="H336" s="376" t="inlineStr"/>
      <c r="I336" s="376" t="inlineStr"/>
      <c r="J336" s="376" t="inlineStr"/>
      <c r="K336" s="374" t="n"/>
      <c r="L336" s="334" t="inlineStr"/>
      <c r="M336" s="334" t="inlineStr"/>
      <c r="N336" s="334" t="inlineStr"/>
      <c r="O336" s="354" t="inlineStr"/>
      <c r="P336" s="334" t="inlineStr"/>
      <c r="Q336" s="334" t="inlineStr"/>
      <c r="R336" s="334" t="inlineStr"/>
      <c r="S336" s="354" t="inlineStr"/>
      <c r="T336" t="inlineStr"/>
      <c r="U336" t="inlineStr"/>
    </row>
    <row r="337" ht="22.2" customHeight="1" s="375">
      <c r="A337" s="3" t="n"/>
      <c r="B337" s="313" t="n"/>
      <c r="D337" s="314" t="n"/>
      <c r="E337" s="314" t="n"/>
      <c r="G337" s="54" t="inlineStr"/>
      <c r="H337" s="322" t="inlineStr"/>
      <c r="I337" s="334" t="inlineStr"/>
      <c r="J337" s="334" t="inlineStr"/>
      <c r="K337" s="374" t="n"/>
      <c r="L337" s="334" t="inlineStr"/>
      <c r="M337" s="334" t="inlineStr"/>
      <c r="N337" s="334" t="inlineStr"/>
      <c r="O337" s="354" t="inlineStr"/>
      <c r="P337" s="334" t="inlineStr"/>
      <c r="Q337" s="334" t="inlineStr"/>
      <c r="R337" s="334" t="inlineStr"/>
      <c r="S337" s="354" t="inlineStr"/>
      <c r="T337" t="inlineStr"/>
      <c r="U337" t="inlineStr"/>
    </row>
    <row r="338" ht="22.2" customHeight="1" s="375">
      <c r="A338" s="3" t="n"/>
      <c r="D338" s="7" t="inlineStr">
        <is>
          <t> </t>
        </is>
      </c>
      <c r="E338" s="3" t="n"/>
      <c r="G338" s="55" t="inlineStr"/>
      <c r="H338" s="336" t="inlineStr"/>
      <c r="I338" s="336" t="inlineStr"/>
      <c r="J338" s="336" t="inlineStr"/>
      <c r="K338" s="527" t="n"/>
      <c r="L338" s="334" t="inlineStr"/>
      <c r="M338" s="336" t="inlineStr"/>
      <c r="N338" s="336" t="inlineStr"/>
      <c r="O338" s="354" t="inlineStr"/>
      <c r="P338" s="336" t="inlineStr"/>
      <c r="Q338" s="336" t="inlineStr"/>
      <c r="R338" s="336" t="inlineStr"/>
      <c r="S338" s="354" t="inlineStr"/>
      <c r="T338" t="inlineStr"/>
      <c r="U338" t="inlineStr"/>
    </row>
    <row r="339" ht="22.2" customHeight="1" s="375">
      <c r="A339" s="3" t="n"/>
      <c r="E339" s="3" t="n"/>
      <c r="G339" s="535" t="inlineStr">
        <is>
          <t>พุธ</t>
        </is>
      </c>
      <c r="H339" s="376" t="inlineStr">
        <is>
          <t>20101-2001</t>
        </is>
      </c>
      <c r="I339" s="381" t="inlineStr">
        <is>
          <t>ชย.1/7 (26)</t>
        </is>
      </c>
      <c r="J339" s="381" t="inlineStr">
        <is>
          <t>08:10 - 12:10</t>
        </is>
      </c>
      <c r="K339" s="135" t="n"/>
      <c r="L339" s="381" t="n">
        <v>4</v>
      </c>
      <c r="M339" s="150" t="inlineStr"/>
      <c r="N339" s="148" t="inlineStr"/>
      <c r="O339" s="354" t="inlineStr"/>
      <c r="P339" s="134" t="inlineStr"/>
      <c r="Q339" s="135" t="inlineStr"/>
      <c r="R339" s="135" t="inlineStr"/>
      <c r="S339" s="354" t="inlineStr"/>
      <c r="T339" s="6" t="inlineStr"/>
      <c r="U339" s="22" t="inlineStr"/>
      <c r="V339" s="57" t="n"/>
      <c r="W339" s="21" t="n"/>
      <c r="X339" s="21" t="n"/>
    </row>
    <row r="340" ht="22.2" customHeight="1" s="375">
      <c r="A340" s="3" t="n"/>
      <c r="B340" s="321" t="n"/>
      <c r="C340" s="322" t="n"/>
      <c r="D340" s="322" t="n"/>
      <c r="E340" s="334" t="n"/>
      <c r="G340" s="535" t="inlineStr">
        <is>
          <t>7 ต.ค.69</t>
        </is>
      </c>
      <c r="H340" s="376" t="inlineStr">
        <is>
          <t>20101-2001</t>
        </is>
      </c>
      <c r="I340" s="376" t="inlineStr">
        <is>
          <t>ชย.1/7 (26)</t>
        </is>
      </c>
      <c r="J340" s="376" t="inlineStr">
        <is>
          <t>13:10 - 16:10</t>
        </is>
      </c>
      <c r="K340" s="374" t="n"/>
      <c r="L340" s="334" t="n">
        <v>3</v>
      </c>
      <c r="M340" s="157" t="inlineStr"/>
      <c r="N340" s="149" t="inlineStr"/>
      <c r="O340" s="354" t="inlineStr"/>
      <c r="P340" s="251" t="inlineStr"/>
      <c r="Q340" s="251" t="inlineStr"/>
      <c r="R340" s="374" t="inlineStr"/>
      <c r="S340" s="354" t="inlineStr"/>
      <c r="T340" s="21" t="inlineStr"/>
      <c r="U340" s="22" t="inlineStr"/>
      <c r="V340" s="57" t="n"/>
      <c r="W340" s="21" t="n"/>
      <c r="X340" s="21" t="n"/>
    </row>
    <row r="341" ht="22.2" customHeight="1" s="375">
      <c r="A341" s="3" t="n"/>
      <c r="B341" s="313" t="n"/>
      <c r="D341" s="314" t="n"/>
      <c r="E341" s="314" t="n"/>
      <c r="G341" s="334" t="inlineStr"/>
      <c r="H341" s="334" t="inlineStr"/>
      <c r="I341" s="334" t="inlineStr"/>
      <c r="J341" s="334" t="inlineStr"/>
      <c r="K341" s="374" t="n"/>
      <c r="L341" s="334" t="inlineStr"/>
      <c r="M341" s="334" t="inlineStr"/>
      <c r="N341" s="334" t="inlineStr"/>
      <c r="O341" s="362" t="inlineStr"/>
      <c r="P341" s="334" t="inlineStr"/>
      <c r="Q341" s="334" t="inlineStr"/>
      <c r="R341" s="334" t="inlineStr"/>
      <c r="S341" s="354" t="inlineStr"/>
      <c r="T341" t="inlineStr"/>
      <c r="U341" t="inlineStr"/>
    </row>
    <row r="342" ht="22.2" customHeight="1" s="375">
      <c r="A342" s="3" t="n"/>
      <c r="E342" s="3" t="n"/>
      <c r="G342" s="321" t="inlineStr"/>
      <c r="H342" s="321" t="inlineStr"/>
      <c r="I342" s="334" t="inlineStr"/>
      <c r="J342" s="334" t="inlineStr"/>
      <c r="K342" s="374" t="n"/>
      <c r="L342" s="334" t="inlineStr"/>
      <c r="M342" s="334" t="inlineStr"/>
      <c r="N342" s="334" t="inlineStr"/>
      <c r="O342" s="362" t="inlineStr"/>
      <c r="P342" s="334" t="inlineStr"/>
      <c r="Q342" s="334" t="inlineStr"/>
      <c r="R342" s="334" t="inlineStr"/>
      <c r="S342" s="354" t="inlineStr"/>
      <c r="T342" t="inlineStr"/>
      <c r="U342" t="inlineStr"/>
    </row>
    <row r="343" ht="22.2" customHeight="1" s="375">
      <c r="A343" s="3" t="n"/>
      <c r="E343" s="3" t="n"/>
      <c r="G343" s="327" t="inlineStr"/>
      <c r="H343" s="327" t="inlineStr"/>
      <c r="I343" s="336" t="inlineStr"/>
      <c r="J343" s="336" t="inlineStr"/>
      <c r="K343" s="527" t="n"/>
      <c r="L343" s="336" t="inlineStr"/>
      <c r="M343" s="336" t="inlineStr"/>
      <c r="N343" s="336" t="inlineStr"/>
      <c r="O343" s="354" t="inlineStr"/>
      <c r="P343" s="336" t="inlineStr"/>
      <c r="Q343" s="336" t="inlineStr"/>
      <c r="R343" s="336" t="inlineStr"/>
      <c r="S343" s="354" t="inlineStr"/>
      <c r="T343" t="inlineStr"/>
      <c r="U343" t="inlineStr"/>
    </row>
    <row r="344" ht="22.2" customHeight="1" s="375">
      <c r="A344" s="3" t="n"/>
      <c r="E344" s="3" t="n"/>
      <c r="G344" s="533" t="inlineStr">
        <is>
          <t>พฤหัส</t>
        </is>
      </c>
      <c r="H344" s="376" t="inlineStr">
        <is>
          <t>20101-2001</t>
        </is>
      </c>
      <c r="I344" s="376" t="inlineStr">
        <is>
          <t>ชย.1/6 (26)</t>
        </is>
      </c>
      <c r="J344" s="381" t="inlineStr">
        <is>
          <t>08:10 - 12:10</t>
        </is>
      </c>
      <c r="K344" s="135" t="n"/>
      <c r="L344" s="381" t="n">
        <v>2</v>
      </c>
      <c r="M344" s="150" t="n">
        <v>2</v>
      </c>
      <c r="N344" s="148" t="n">
        <v>200</v>
      </c>
      <c r="O344" s="354">
        <f>M344*N344</f>
        <v/>
      </c>
      <c r="P344" s="334" t="inlineStr"/>
      <c r="Q344" s="362" t="inlineStr"/>
      <c r="R344" s="362" t="inlineStr"/>
      <c r="S344" s="354" t="inlineStr"/>
      <c r="T344" t="inlineStr"/>
      <c r="U344" t="inlineStr"/>
    </row>
    <row r="345" ht="22.2" customHeight="1" s="375">
      <c r="A345" s="3" t="n"/>
      <c r="E345" s="3" t="n"/>
      <c r="G345" s="533" t="inlineStr">
        <is>
          <t>8 ต.ค.69</t>
        </is>
      </c>
      <c r="H345" s="376" t="inlineStr">
        <is>
          <t>20000-2004</t>
        </is>
      </c>
      <c r="I345" s="376" t="inlineStr">
        <is>
          <t>ชย.2/1,ชย.2/2 (26)</t>
        </is>
      </c>
      <c r="J345" s="376" t="inlineStr">
        <is>
          <t>13:10 - 15:10</t>
        </is>
      </c>
      <c r="K345" s="374" t="n"/>
      <c r="L345" s="334" t="n">
        <v>2</v>
      </c>
      <c r="M345" s="157" t="inlineStr"/>
      <c r="N345" s="149" t="inlineStr"/>
      <c r="O345" s="354" t="inlineStr"/>
      <c r="P345" s="334" t="inlineStr"/>
      <c r="Q345" s="334" t="inlineStr"/>
      <c r="R345" s="334" t="inlineStr"/>
      <c r="S345" s="354" t="inlineStr"/>
      <c r="T345" t="inlineStr"/>
      <c r="U345" t="inlineStr"/>
    </row>
    <row r="346" ht="22.2" customHeight="1" s="375">
      <c r="A346" s="3" t="n"/>
      <c r="B346" s="313" t="n"/>
      <c r="E346" s="3" t="n"/>
      <c r="G346" s="334" t="inlineStr"/>
      <c r="H346" s="376" t="inlineStr">
        <is>
          <t>20101-2001</t>
        </is>
      </c>
      <c r="I346" s="376" t="inlineStr">
        <is>
          <t>ชย.1/6 (26)</t>
        </is>
      </c>
      <c r="J346" s="376" t="inlineStr">
        <is>
          <t>15:10 - 18:10</t>
        </is>
      </c>
      <c r="K346" s="374" t="n"/>
      <c r="L346" s="376" t="inlineStr"/>
      <c r="M346" s="376" t="n">
        <v>3</v>
      </c>
      <c r="N346" s="370" t="n">
        <v>200</v>
      </c>
      <c r="O346" s="354">
        <f>M346*N346</f>
        <v/>
      </c>
      <c r="P346" s="376" t="inlineStr"/>
      <c r="Q346" s="370" t="inlineStr"/>
      <c r="R346" s="376" t="inlineStr"/>
      <c r="S346" s="354" t="inlineStr"/>
      <c r="T346" t="inlineStr"/>
      <c r="U346" t="inlineStr"/>
    </row>
    <row r="347" ht="22.2" customHeight="1" s="375">
      <c r="A347" s="3" t="n"/>
      <c r="E347" s="3" t="n"/>
      <c r="G347" s="334" t="inlineStr"/>
      <c r="H347" s="63" t="inlineStr"/>
      <c r="I347" s="376" t="inlineStr"/>
      <c r="J347" s="376" t="inlineStr"/>
      <c r="K347" s="374" t="n"/>
      <c r="L347" s="376" t="inlineStr"/>
      <c r="M347" s="376" t="inlineStr"/>
      <c r="N347" s="370" t="inlineStr"/>
      <c r="O347" s="354" t="inlineStr"/>
      <c r="P347" s="376" t="inlineStr"/>
      <c r="Q347" s="370" t="inlineStr"/>
      <c r="R347" s="376" t="inlineStr"/>
      <c r="S347" s="354" t="inlineStr"/>
      <c r="T347" t="inlineStr"/>
      <c r="U347" t="inlineStr"/>
    </row>
    <row r="348" ht="22.2" customHeight="1" s="375">
      <c r="A348" s="3" t="n"/>
      <c r="E348" s="3" t="n"/>
      <c r="G348" s="336" t="inlineStr"/>
      <c r="H348" s="328" t="inlineStr"/>
      <c r="I348" s="336" t="inlineStr"/>
      <c r="J348" s="336" t="inlineStr"/>
      <c r="K348" s="527" t="n"/>
      <c r="L348" s="336" t="inlineStr"/>
      <c r="M348" s="336" t="inlineStr"/>
      <c r="N348" s="336" t="inlineStr"/>
      <c r="O348" s="354" t="inlineStr"/>
      <c r="P348" s="336" t="inlineStr"/>
      <c r="Q348" s="336" t="inlineStr"/>
      <c r="R348" s="336" t="inlineStr"/>
      <c r="S348" s="354" t="inlineStr"/>
      <c r="T348" t="inlineStr"/>
      <c r="U348" t="inlineStr"/>
    </row>
    <row r="349" ht="22.2" customHeight="1" s="375">
      <c r="A349" s="3" t="n"/>
      <c r="E349" s="3" t="n"/>
      <c r="G349" s="533" t="inlineStr">
        <is>
          <t>ศุกร์</t>
        </is>
      </c>
      <c r="H349" s="376" t="inlineStr">
        <is>
          <t>20101-2001</t>
        </is>
      </c>
      <c r="I349" s="376" t="inlineStr">
        <is>
          <t>ชย.1/10 (26)</t>
        </is>
      </c>
      <c r="J349" s="381" t="inlineStr">
        <is>
          <t>08:10 - 12:10</t>
        </is>
      </c>
      <c r="K349" s="135" t="n"/>
      <c r="L349" s="334" t="inlineStr"/>
      <c r="M349" s="334" t="n">
        <v>4</v>
      </c>
      <c r="N349" s="334" t="n">
        <v>200</v>
      </c>
      <c r="O349" s="354">
        <f>M349*N349</f>
        <v/>
      </c>
      <c r="P349" s="381" t="inlineStr"/>
      <c r="Q349" s="367" t="inlineStr"/>
      <c r="R349" s="381" t="inlineStr"/>
      <c r="S349" s="354" t="inlineStr"/>
      <c r="T349" t="inlineStr"/>
      <c r="U349" t="inlineStr"/>
    </row>
    <row r="350" ht="22.2" customHeight="1" s="375">
      <c r="A350" s="3" t="n"/>
      <c r="E350" s="3" t="n"/>
      <c r="G350" s="533" t="inlineStr">
        <is>
          <t>9 ต.ค.69</t>
        </is>
      </c>
      <c r="H350" s="376" t="inlineStr">
        <is>
          <t>20101-2001</t>
        </is>
      </c>
      <c r="I350" s="376" t="inlineStr">
        <is>
          <t>ชย.1/10 (26)</t>
        </is>
      </c>
      <c r="J350" s="376" t="inlineStr">
        <is>
          <t>13:10 - 16:10</t>
        </is>
      </c>
      <c r="K350" s="374" t="n"/>
      <c r="L350" s="334" t="inlineStr"/>
      <c r="M350" s="334" t="n">
        <v>3</v>
      </c>
      <c r="N350" s="334" t="n">
        <v>200</v>
      </c>
      <c r="O350" s="354">
        <f>M350*N350</f>
        <v/>
      </c>
      <c r="P350" s="334" t="inlineStr"/>
      <c r="Q350" s="334" t="inlineStr"/>
      <c r="R350" s="334" t="inlineStr"/>
      <c r="S350" s="354" t="inlineStr"/>
      <c r="T350" t="inlineStr"/>
      <c r="U350" t="inlineStr"/>
    </row>
    <row r="351" ht="22.2" customHeight="1" s="375">
      <c r="A351" s="3" t="n"/>
      <c r="E351" s="3" t="n"/>
      <c r="G351" s="334" t="inlineStr"/>
      <c r="H351" s="334" t="inlineStr"/>
      <c r="I351" s="334" t="inlineStr"/>
      <c r="J351" s="334" t="inlineStr"/>
      <c r="K351" s="374" t="n"/>
      <c r="L351" s="334" t="inlineStr"/>
      <c r="M351" s="334" t="inlineStr"/>
      <c r="N351" s="334" t="inlineStr"/>
      <c r="O351" s="354" t="inlineStr"/>
      <c r="P351" s="334" t="inlineStr"/>
      <c r="Q351" s="334" t="inlineStr"/>
      <c r="R351" s="334" t="inlineStr"/>
      <c r="S351" s="354" t="inlineStr"/>
      <c r="T351" t="inlineStr"/>
      <c r="U351" t="inlineStr"/>
    </row>
    <row r="352" ht="22.2" customHeight="1" s="375">
      <c r="A352" s="3" t="n"/>
      <c r="E352" s="3" t="n"/>
      <c r="G352" s="334" t="inlineStr"/>
      <c r="H352" s="322" t="inlineStr"/>
      <c r="I352" s="334" t="inlineStr"/>
      <c r="J352" s="334" t="inlineStr"/>
      <c r="K352" s="374" t="n"/>
      <c r="L352" s="334" t="inlineStr"/>
      <c r="M352" s="334" t="inlineStr"/>
      <c r="N352" s="334" t="inlineStr"/>
      <c r="O352" s="354" t="inlineStr"/>
      <c r="P352" s="334" t="inlineStr"/>
      <c r="Q352" s="334" t="inlineStr"/>
      <c r="R352" s="334" t="inlineStr"/>
      <c r="S352" s="354" t="inlineStr"/>
      <c r="T352" t="inlineStr"/>
      <c r="U352" t="inlineStr"/>
    </row>
    <row r="353" ht="22.2" customHeight="1" s="375">
      <c r="A353" s="3" t="n"/>
      <c r="E353" s="3" t="n"/>
      <c r="F353" s="3" t="n"/>
      <c r="G353" s="329" t="inlineStr"/>
      <c r="H353" s="328" t="inlineStr"/>
      <c r="I353" s="336" t="inlineStr"/>
      <c r="J353" s="336" t="inlineStr"/>
      <c r="K353" s="527" t="n"/>
      <c r="L353" s="336" t="inlineStr"/>
      <c r="M353" s="336" t="inlineStr"/>
      <c r="N353" s="336" t="inlineStr"/>
      <c r="O353" s="354" t="inlineStr"/>
      <c r="P353" s="336" t="inlineStr"/>
      <c r="Q353" s="336" t="inlineStr"/>
      <c r="R353" s="336" t="inlineStr"/>
      <c r="S353" s="354" t="inlineStr"/>
      <c r="T353" t="inlineStr"/>
      <c r="U353" t="inlineStr"/>
    </row>
    <row r="354" ht="22.2" customHeight="1" s="375">
      <c r="A354" s="3" t="n"/>
      <c r="E354" s="3" t="n"/>
      <c r="F354" s="3" t="n"/>
      <c r="G354" s="16" t="inlineStr">
        <is>
          <t>รวมขั่วโมงที่สอนแยก ภาระงาน/ เกินภาระงาน</t>
        </is>
      </c>
      <c r="H354" s="518" t="n"/>
      <c r="I354" s="518" t="n"/>
      <c r="J354" s="518" t="n"/>
      <c r="K354" s="432" t="n"/>
      <c r="L354" s="16">
        <f>SUM(L329:L353)</f>
        <v/>
      </c>
      <c r="M354" s="16">
        <f>SUM(M329:M353)</f>
        <v/>
      </c>
      <c r="N354" s="16" t="n"/>
      <c r="O354" s="16" t="n"/>
      <c r="P354" s="16">
        <f>SUM(P329:P353)</f>
        <v/>
      </c>
      <c r="Q354" s="16">
        <f>SUM(Q329:Q353)</f>
        <v/>
      </c>
      <c r="R354" s="349" t="n"/>
      <c r="S354" s="16" t="n"/>
    </row>
    <row r="355" ht="22.2" customHeight="1" s="375">
      <c r="A355" s="3" t="n"/>
      <c r="E355" s="3" t="n"/>
      <c r="F355" s="3" t="n"/>
      <c r="G355" s="16" t="inlineStr">
        <is>
          <t>รวมจำนวนชั่วโมงสอนคาบต่อสับดาห์</t>
        </is>
      </c>
      <c r="H355" s="518" t="n"/>
      <c r="I355" s="518" t="n"/>
      <c r="J355" s="518" t="n"/>
      <c r="K355" s="432" t="n"/>
      <c r="L355" s="16">
        <f>L354+M354</f>
        <v/>
      </c>
      <c r="M355" s="432" t="n"/>
      <c r="N355" s="348" t="n"/>
      <c r="O355" s="16" t="n"/>
      <c r="P355" s="16">
        <f>P354+Q354</f>
        <v/>
      </c>
      <c r="Q355" s="432" t="n"/>
      <c r="R355" s="329" t="n"/>
      <c r="S355" s="336" t="n"/>
    </row>
    <row r="356" ht="22.2" customHeight="1" s="375">
      <c r="A356" s="3" t="n"/>
      <c r="E356" s="3" t="n"/>
      <c r="F356" s="3" t="n"/>
      <c r="G356" s="16" t="inlineStr">
        <is>
          <t>จำนวนชั่วโมงสอนตามภาระงานสอน</t>
        </is>
      </c>
      <c r="H356" s="518" t="n"/>
      <c r="I356" s="518" t="n"/>
      <c r="J356" s="518" t="n"/>
      <c r="K356" s="432" t="n"/>
      <c r="L356" s="16" t="n">
        <v>18</v>
      </c>
      <c r="M356" s="432" t="n"/>
      <c r="N356" s="348" t="n"/>
      <c r="O356" s="16" t="n"/>
      <c r="P356" s="16" t="n">
        <v>0</v>
      </c>
      <c r="Q356" s="432" t="n"/>
      <c r="R356" s="322" t="n"/>
      <c r="S356" s="334" t="n"/>
    </row>
    <row r="357" ht="22.2" customHeight="1" s="375" thickBot="1">
      <c r="A357" s="3" t="n"/>
      <c r="E357" s="3" t="n"/>
      <c r="F357" s="14" t="n"/>
      <c r="G357" s="16" t="inlineStr">
        <is>
          <t>จำนวนชั่วโมงบิกเกินภาระงานสอน/ค่าสอน</t>
        </is>
      </c>
      <c r="H357" s="518" t="n"/>
      <c r="I357" s="518" t="n"/>
      <c r="J357" s="518" t="n"/>
      <c r="K357" s="432" t="n"/>
      <c r="L357" s="17" t="n">
        <v>0</v>
      </c>
      <c r="M357" s="17">
        <f>SUM(M329:M353)</f>
        <v/>
      </c>
      <c r="N357" s="17" t="n"/>
      <c r="O357" s="17">
        <f>SUM(O329:O353)</f>
        <v/>
      </c>
      <c r="P357" s="17" t="n">
        <v>0</v>
      </c>
      <c r="Q357" s="17">
        <f>SUM(Q329:Q353)</f>
        <v/>
      </c>
      <c r="R357" s="18" t="n"/>
      <c r="S357" s="17">
        <f>SUM(S329:S353)</f>
        <v/>
      </c>
    </row>
    <row r="358" ht="22.2" customHeight="1" s="375" thickTop="1">
      <c r="A358" s="337" t="inlineStr">
        <is>
          <t>รวมจำนวนหน่วยชั่วโมงที่ขอเบิกค่าสอน ….</t>
        </is>
      </c>
      <c r="B358" s="518" t="n"/>
      <c r="C358" s="518" t="n"/>
      <c r="D358" s="518" t="n"/>
      <c r="E358" s="518" t="n"/>
      <c r="F358" s="518" t="n"/>
      <c r="G358" s="518" t="n"/>
      <c r="H358" s="348">
        <f>M357+Q357</f>
        <v/>
      </c>
      <c r="I358" s="348" t="inlineStr">
        <is>
          <t>….ชั่วโมง</t>
        </is>
      </c>
      <c r="J358" s="348" t="n"/>
      <c r="K358" s="328" t="inlineStr">
        <is>
          <t>ยอดเงินรวม</t>
        </is>
      </c>
      <c r="L358" s="522" t="n"/>
      <c r="M358" s="522" t="n"/>
      <c r="N358" s="328" t="n"/>
      <c r="O358" s="328" t="n"/>
      <c r="P358" s="339">
        <f>S357+O357</f>
        <v/>
      </c>
      <c r="Q358" s="538" t="n"/>
      <c r="R358" s="20" t="n"/>
      <c r="S358" s="19" t="inlineStr">
        <is>
          <t>..บาท</t>
        </is>
      </c>
    </row>
    <row r="359" ht="22.2" customHeight="1" s="375">
      <c r="A359" s="154" t="inlineStr">
        <is>
          <t>ผู้ขอเบิก</t>
        </is>
      </c>
      <c r="B359" s="153" t="n"/>
      <c r="C359" s="153" t="n"/>
      <c r="D359" s="153" t="n"/>
      <c r="E359" s="153" t="n"/>
      <c r="F359" s="153" t="n"/>
      <c r="G359" s="135" t="n"/>
      <c r="H359" s="154" t="inlineStr">
        <is>
          <t>ผู้รับรอง</t>
        </is>
      </c>
      <c r="I359" s="153" t="n"/>
      <c r="J359" s="153" t="n"/>
      <c r="K359" s="153" t="n"/>
      <c r="L359" s="135" t="n"/>
      <c r="M359" s="154" t="inlineStr">
        <is>
          <t>ผู้ตรวจ</t>
        </is>
      </c>
      <c r="N359" s="153" t="n"/>
      <c r="O359" s="153" t="n"/>
      <c r="P359" s="153" t="n"/>
      <c r="Q359" s="153" t="n"/>
      <c r="R359" s="153" t="n"/>
      <c r="S359" s="135" t="n"/>
    </row>
    <row r="360" ht="22.2" customHeight="1" s="375">
      <c r="A360" s="334" t="inlineStr">
        <is>
          <t>ลงชื่อ……………………………………………</t>
        </is>
      </c>
      <c r="G360" s="374" t="n"/>
      <c r="H360" s="334" t="inlineStr">
        <is>
          <t>ลงชื่อ……………………………………………</t>
        </is>
      </c>
      <c r="L360" s="374" t="n"/>
      <c r="M360" s="334" t="inlineStr">
        <is>
          <t>ลงชื่อ……………………………………………</t>
        </is>
      </c>
      <c r="S360" s="374" t="n"/>
    </row>
    <row r="361" ht="22.2" customHeight="1" s="375">
      <c r="A361" s="11" t="inlineStr">
        <is>
          <t>(</t>
        </is>
      </c>
      <c r="B361" s="324">
        <f>B329</f>
        <v/>
      </c>
      <c r="G361" s="326" t="inlineStr">
        <is>
          <t>)</t>
        </is>
      </c>
      <c r="H361" s="324" t="inlineStr">
        <is>
          <t>(</t>
        </is>
      </c>
      <c r="I361" s="340">
        <f>I315</f>
        <v/>
      </c>
      <c r="L361" s="12" t="inlineStr">
        <is>
          <t>)</t>
        </is>
      </c>
      <c r="M361" s="53" t="inlineStr">
        <is>
          <t>(</t>
        </is>
      </c>
      <c r="N361" s="53" t="n"/>
      <c r="O361" s="324">
        <f>O39</f>
        <v/>
      </c>
      <c r="R361" s="25" t="n"/>
      <c r="S361" s="326" t="inlineStr">
        <is>
          <t>)</t>
        </is>
      </c>
    </row>
    <row r="362" ht="22.2" customHeight="1" s="375">
      <c r="A362" s="540" t="inlineStr">
        <is>
          <t xml:space="preserve">                         ตำแหน่ง  ครู</t>
        </is>
      </c>
      <c r="G362" s="374" t="n"/>
      <c r="H362" s="54" t="inlineStr">
        <is>
          <t>ตำแหน่ง หัวหน้าแผนก</t>
        </is>
      </c>
      <c r="L362" s="374" t="n"/>
      <c r="M362" s="54" t="inlineStr">
        <is>
          <t>ตำแหน่ง   ผู้ตรวจสอบ</t>
        </is>
      </c>
      <c r="S362" s="374" t="n"/>
    </row>
    <row r="363" ht="22.2" customHeight="1" s="375">
      <c r="A363" s="55" t="inlineStr">
        <is>
          <t>วันที่ 12 เดือน ตุลาคม  พ.ศ.2569</t>
        </is>
      </c>
      <c r="B363" s="522" t="n"/>
      <c r="C363" s="522" t="n"/>
      <c r="D363" s="522" t="n"/>
      <c r="E363" s="522" t="n"/>
      <c r="F363" s="522" t="n"/>
      <c r="G363" s="527" t="n"/>
      <c r="H363" s="54">
        <f>A41</f>
        <v/>
      </c>
      <c r="L363" s="374" t="n"/>
      <c r="M363" s="55">
        <f>A41</f>
        <v/>
      </c>
      <c r="N363" s="522" t="n"/>
      <c r="O363" s="522" t="n"/>
      <c r="P363" s="522" t="n"/>
      <c r="Q363" s="522" t="n"/>
      <c r="R363" s="522" t="n"/>
      <c r="S363" s="527" t="n"/>
    </row>
    <row r="364" ht="22.2" customHeight="1" s="375">
      <c r="A364" s="154" t="inlineStr">
        <is>
          <t>ผู้ตรวจ</t>
        </is>
      </c>
      <c r="B364" s="153" t="n"/>
      <c r="C364" s="153" t="n"/>
      <c r="D364" s="153" t="n"/>
      <c r="E364" s="153" t="n"/>
      <c r="F364" s="153" t="n"/>
      <c r="G364" s="153" t="n"/>
      <c r="H364" s="153" t="n"/>
      <c r="I364" s="135" t="n"/>
      <c r="J364" s="154" t="inlineStr">
        <is>
          <t>ผู้เห็นชอบ</t>
        </is>
      </c>
      <c r="K364" s="153" t="n"/>
      <c r="L364" s="153" t="n"/>
      <c r="M364" s="153" t="n"/>
      <c r="N364" s="153" t="n"/>
      <c r="O364" s="153" t="n"/>
      <c r="P364" s="153" t="n"/>
      <c r="Q364" s="153" t="n"/>
      <c r="R364" s="153" t="n"/>
      <c r="S364" s="135" t="n"/>
    </row>
    <row r="365" ht="22.2" customHeight="1" s="375">
      <c r="A365" s="334" t="inlineStr">
        <is>
          <t>ลงชื่อ……………………………………………</t>
        </is>
      </c>
      <c r="I365" s="374" t="n"/>
      <c r="J365" s="334" t="inlineStr">
        <is>
          <t>ลงชื่อ……………………………………………</t>
        </is>
      </c>
      <c r="S365" s="374" t="n"/>
    </row>
    <row r="366" ht="22.2" customHeight="1" s="375">
      <c r="A366" s="11" t="n"/>
      <c r="B366" s="324">
        <f>B44</f>
        <v/>
      </c>
      <c r="I366" s="326" t="n"/>
      <c r="J366" s="25" t="n"/>
      <c r="K366" s="25" t="n"/>
      <c r="L366" s="324">
        <f>L44</f>
        <v/>
      </c>
      <c r="R366" s="25" t="n"/>
      <c r="S366" s="12" t="n"/>
    </row>
    <row r="367" ht="22.2" customHeight="1" s="375">
      <c r="A367" s="54" t="inlineStr">
        <is>
          <t>ตำแหน่งครู  หัวหน้างานพัฒนาหลักสูตร ฯ</t>
        </is>
      </c>
      <c r="I367" s="374" t="n"/>
      <c r="J367" s="54" t="inlineStr">
        <is>
          <t>ตำแหน่ง  รองผู้อำนวยการฝ่ายวิชาการ</t>
        </is>
      </c>
      <c r="S367" s="374" t="n"/>
    </row>
    <row r="368" ht="22.2" customHeight="1" s="375">
      <c r="A368" s="336" t="inlineStr">
        <is>
          <t>วันที่.......เดือน..........................พ.ศ..............</t>
        </is>
      </c>
      <c r="B368" s="522" t="n"/>
      <c r="C368" s="522" t="n"/>
      <c r="D368" s="522" t="n"/>
      <c r="E368" s="522" t="n"/>
      <c r="F368" s="522" t="n"/>
      <c r="G368" s="522" t="n"/>
      <c r="H368" s="522" t="n"/>
      <c r="I368" s="527" t="n"/>
      <c r="J368" s="336" t="inlineStr">
        <is>
          <t>วันที่.......เดือน..........................พ.ศ..............</t>
        </is>
      </c>
      <c r="K368" s="522" t="n"/>
      <c r="L368" s="522" t="n"/>
      <c r="M368" s="522" t="n"/>
      <c r="N368" s="522" t="n"/>
      <c r="O368" s="522" t="n"/>
      <c r="P368" s="522" t="n"/>
      <c r="Q368" s="522" t="n"/>
      <c r="R368" s="522" t="n"/>
      <c r="S368" s="527" t="n"/>
    </row>
    <row r="369" ht="22.2" customHeight="1" s="375">
      <c r="A369" s="379" t="inlineStr">
        <is>
          <t>ใบเบิกจ่ายเงินค่าสอนพิเศษและค่าสอนเกินภาระงานสอนในสถานศึกษา</t>
        </is>
      </c>
      <c r="B369" s="153" t="n"/>
      <c r="C369" s="153" t="n"/>
      <c r="D369" s="153" t="n"/>
      <c r="E369" s="153" t="n"/>
      <c r="F369" s="153" t="n"/>
      <c r="G369" s="153" t="n"/>
      <c r="H369" s="153" t="n"/>
      <c r="I369" s="153" t="n"/>
      <c r="J369" s="153" t="n"/>
      <c r="K369" s="153" t="n"/>
      <c r="L369" s="153" t="n"/>
      <c r="M369" s="153" t="n"/>
      <c r="N369" s="153" t="n"/>
      <c r="O369" s="153" t="n"/>
      <c r="P369" s="153" t="n"/>
      <c r="Q369" s="153" t="n"/>
      <c r="R369" s="153" t="n"/>
      <c r="S369" s="153" t="n"/>
    </row>
    <row r="370" ht="22.2" customHeight="1" s="375">
      <c r="A370" s="365" t="inlineStr">
        <is>
          <t>แผนกวิชาช่างยนต์</t>
        </is>
      </c>
    </row>
    <row r="371" ht="22.2" customHeight="1" s="375">
      <c r="A371" s="366" t="inlineStr">
        <is>
          <t xml:space="preserve">    ระหว่างวันที่</t>
        </is>
      </c>
      <c r="D371" s="365">
        <f>D3</f>
        <v/>
      </c>
      <c r="E371" s="365" t="inlineStr">
        <is>
          <t xml:space="preserve">   เดือน  </t>
        </is>
      </c>
      <c r="F371" s="365">
        <f>F3</f>
        <v/>
      </c>
      <c r="H371" s="365">
        <f>H3</f>
        <v/>
      </c>
      <c r="I371" s="365" t="inlineStr">
        <is>
          <t xml:space="preserve">     ถึง วันที่</t>
        </is>
      </c>
      <c r="J371" s="365">
        <f>J3</f>
        <v/>
      </c>
      <c r="K371" s="365" t="inlineStr">
        <is>
          <t xml:space="preserve">   เดือน </t>
        </is>
      </c>
      <c r="L371" s="365">
        <f>L3</f>
        <v/>
      </c>
      <c r="N371" s="365">
        <f>N3</f>
        <v/>
      </c>
      <c r="P371" s="365" t="n"/>
      <c r="R371" s="365" t="n"/>
    </row>
    <row r="372" ht="22.2" customHeight="1" s="375">
      <c r="G372" s="51" t="inlineStr">
        <is>
          <t>ü</t>
        </is>
      </c>
      <c r="H372" s="351" t="inlineStr">
        <is>
          <t>ครู</t>
        </is>
      </c>
      <c r="I372" s="322" t="inlineStr">
        <is>
          <t>หน้าที่พิเศษ</t>
        </is>
      </c>
      <c r="J372" s="351" t="inlineStr">
        <is>
          <t>ผู้ช่วยงานพัสดุ, โครงการพิเศษและการบริการสังคม</t>
        </is>
      </c>
    </row>
    <row r="373" ht="22.2" customHeight="1" s="375">
      <c r="A373" s="24" t="inlineStr">
        <is>
          <t>ที่</t>
        </is>
      </c>
      <c r="B373" s="24" t="inlineStr">
        <is>
          <t>ชื่อ-สกุล</t>
        </is>
      </c>
      <c r="C373" s="153" t="n"/>
      <c r="D373" s="135" t="n"/>
      <c r="E373" s="15" t="inlineStr">
        <is>
          <t>ตำแหน่ง</t>
        </is>
      </c>
      <c r="F373" s="16" t="inlineStr">
        <is>
          <t>ระยะเวลาที่สอน</t>
        </is>
      </c>
      <c r="G373" s="432" t="n"/>
      <c r="H373" s="16" t="inlineStr">
        <is>
          <t>รหัสวิชา</t>
        </is>
      </c>
      <c r="I373" s="362" t="inlineStr">
        <is>
          <t>ชั้น,แผนก,ห้อง</t>
        </is>
      </c>
      <c r="J373" s="16" t="inlineStr">
        <is>
          <t>เวลาสอน</t>
        </is>
      </c>
      <c r="K373" s="135" t="n"/>
      <c r="L373" s="16" t="inlineStr">
        <is>
          <t>ปวช.(คาบ)</t>
        </is>
      </c>
      <c r="M373" s="432" t="n"/>
      <c r="N373" s="354" t="inlineStr">
        <is>
          <t>เงิน</t>
        </is>
      </c>
      <c r="O373" s="362" t="inlineStr">
        <is>
          <t>ยอดเงิน</t>
        </is>
      </c>
      <c r="P373" s="524" t="inlineStr">
        <is>
          <t>ปวส.(คาบ)</t>
        </is>
      </c>
      <c r="Q373" s="432" t="n"/>
      <c r="R373" s="354" t="inlineStr">
        <is>
          <t>เงิน</t>
        </is>
      </c>
      <c r="S373" s="362" t="inlineStr">
        <is>
          <t>ยอดเงิน</t>
        </is>
      </c>
    </row>
    <row r="374" ht="22.2" customHeight="1" s="375">
      <c r="A374" s="52" t="n"/>
      <c r="B374" s="8" t="n"/>
      <c r="C374" s="9" t="n"/>
      <c r="D374" s="13" t="n"/>
      <c r="E374" s="10" t="n"/>
      <c r="F374" s="336" t="inlineStr">
        <is>
          <t>ส.</t>
        </is>
      </c>
      <c r="G374" s="336" t="inlineStr">
        <is>
          <t>วดป.</t>
        </is>
      </c>
      <c r="H374" s="525" t="n"/>
      <c r="I374" s="137" t="n"/>
      <c r="J374" s="526" t="n"/>
      <c r="K374" s="527" t="n"/>
      <c r="L374" s="336" t="inlineStr">
        <is>
          <t>ใน</t>
        </is>
      </c>
      <c r="M374" s="336" t="inlineStr">
        <is>
          <t>นอก</t>
        </is>
      </c>
      <c r="N374" s="336" t="inlineStr">
        <is>
          <t>ต่อ ชม.</t>
        </is>
      </c>
      <c r="O374" s="336" t="inlineStr">
        <is>
          <t>(บาท)</t>
        </is>
      </c>
      <c r="P374" s="52" t="inlineStr">
        <is>
          <t>ใน</t>
        </is>
      </c>
      <c r="Q374" s="52" t="inlineStr">
        <is>
          <t>นอก</t>
        </is>
      </c>
      <c r="R374" s="336" t="inlineStr">
        <is>
          <t>ต่อ ชม.</t>
        </is>
      </c>
      <c r="S374" s="336" t="inlineStr">
        <is>
          <t>(บาท)</t>
        </is>
      </c>
    </row>
    <row r="375" ht="22.2" customHeight="1" s="375">
      <c r="A375" s="334" t="n">
        <v>9</v>
      </c>
      <c r="B375" s="530">
        <f>AB11</f>
        <v/>
      </c>
      <c r="D375" s="374" t="n"/>
      <c r="E375" s="334" t="inlineStr">
        <is>
          <t>ครู</t>
        </is>
      </c>
      <c r="F375" s="334" t="n">
        <v>4</v>
      </c>
      <c r="G375" s="529" t="inlineStr">
        <is>
          <t>จันทร์</t>
        </is>
      </c>
      <c r="H375" s="376" t="inlineStr">
        <is>
          <t>20143-2011</t>
        </is>
      </c>
      <c r="I375" s="376" t="inlineStr">
        <is>
          <t>ชย.3/8 (26)</t>
        </is>
      </c>
      <c r="J375" s="381" t="inlineStr">
        <is>
          <t>08:10 - 12:10</t>
        </is>
      </c>
      <c r="K375" s="135" t="n"/>
      <c r="L375" s="367" t="n">
        <v>4</v>
      </c>
      <c r="M375" s="381" t="inlineStr"/>
      <c r="N375" s="381" t="inlineStr"/>
      <c r="O375" s="354" t="inlineStr"/>
      <c r="P375" s="381" t="inlineStr"/>
      <c r="Q375" s="367" t="inlineStr"/>
      <c r="R375" s="381" t="inlineStr"/>
      <c r="S375" s="354" t="inlineStr"/>
      <c r="T375" t="inlineStr"/>
      <c r="U375" t="inlineStr"/>
    </row>
    <row r="376" ht="22.2" customHeight="1" s="375">
      <c r="A376" s="3" t="n"/>
      <c r="B376" s="530" t="n"/>
      <c r="D376" s="374" t="n"/>
      <c r="E376" s="334" t="n"/>
      <c r="F376" s="322" t="n"/>
      <c r="G376" s="535" t="inlineStr">
        <is>
          <t>5 ต.ค.69</t>
        </is>
      </c>
      <c r="H376" s="376" t="inlineStr">
        <is>
          <t>20143-2011</t>
        </is>
      </c>
      <c r="I376" s="376" t="inlineStr">
        <is>
          <t>ชย.3/8 (26)</t>
        </is>
      </c>
      <c r="J376" s="334" t="inlineStr">
        <is>
          <t>13:10 - 16:10</t>
        </is>
      </c>
      <c r="K376" s="374" t="n"/>
      <c r="L376" s="334" t="n">
        <v>3</v>
      </c>
      <c r="M376" s="334" t="inlineStr"/>
      <c r="N376" s="334" t="inlineStr"/>
      <c r="O376" s="354" t="inlineStr"/>
      <c r="P376" s="334" t="inlineStr"/>
      <c r="Q376" s="334" t="inlineStr"/>
      <c r="R376" s="334" t="inlineStr"/>
      <c r="S376" s="354" t="inlineStr"/>
      <c r="T376" t="inlineStr"/>
      <c r="U376" t="inlineStr"/>
    </row>
    <row r="377" ht="22.2" customHeight="1" s="375">
      <c r="A377" s="3" t="n"/>
      <c r="B377" s="313" t="n"/>
      <c r="D377" s="314" t="n"/>
      <c r="E377" s="314" t="n"/>
      <c r="F377" s="322" t="n"/>
      <c r="G377" s="321" t="inlineStr"/>
      <c r="H377" s="376" t="inlineStr"/>
      <c r="I377" s="376" t="inlineStr"/>
      <c r="J377" s="334" t="inlineStr"/>
      <c r="K377" s="374" t="n"/>
      <c r="L377" s="334" t="inlineStr"/>
      <c r="M377" s="334" t="inlineStr"/>
      <c r="N377" s="334" t="inlineStr"/>
      <c r="O377" s="354" t="inlineStr"/>
      <c r="P377" s="334" t="inlineStr"/>
      <c r="Q377" s="334" t="inlineStr"/>
      <c r="R377" s="334" t="inlineStr"/>
      <c r="S377" s="354" t="inlineStr"/>
      <c r="T377" t="inlineStr"/>
      <c r="U377" t="inlineStr"/>
    </row>
    <row r="378" ht="22.2" customHeight="1" s="375">
      <c r="A378" s="3" t="n"/>
      <c r="D378" s="314" t="n"/>
      <c r="E378" s="314" t="n"/>
      <c r="F378" s="322" t="n"/>
      <c r="G378" s="321" t="inlineStr"/>
      <c r="H378" s="334" t="inlineStr"/>
      <c r="I378" s="334" t="inlineStr"/>
      <c r="J378" s="334" t="inlineStr"/>
      <c r="K378" s="374" t="n"/>
      <c r="L378" s="334" t="inlineStr"/>
      <c r="M378" s="334" t="inlineStr"/>
      <c r="N378" s="334" t="inlineStr"/>
      <c r="O378" s="354" t="inlineStr"/>
      <c r="P378" s="334" t="inlineStr"/>
      <c r="Q378" s="334" t="inlineStr"/>
      <c r="R378" s="334" t="inlineStr"/>
      <c r="S378" s="354" t="inlineStr"/>
      <c r="T378" t="inlineStr"/>
      <c r="U378" t="inlineStr"/>
    </row>
    <row r="379" ht="22.2" customHeight="1" s="375">
      <c r="A379" s="3" t="n"/>
      <c r="E379" s="3" t="n"/>
      <c r="G379" s="344" t="inlineStr"/>
      <c r="H379" s="336" t="inlineStr"/>
      <c r="I379" s="336" t="inlineStr"/>
      <c r="J379" s="336" t="inlineStr"/>
      <c r="K379" s="527" t="n"/>
      <c r="L379" s="334" t="inlineStr"/>
      <c r="M379" s="334" t="inlineStr"/>
      <c r="N379" s="334" t="inlineStr"/>
      <c r="O379" s="354" t="inlineStr"/>
      <c r="P379" s="334" t="inlineStr"/>
      <c r="Q379" s="334" t="inlineStr"/>
      <c r="R379" s="334" t="inlineStr"/>
      <c r="S379" s="354" t="inlineStr"/>
      <c r="T379" t="inlineStr"/>
      <c r="U379" t="inlineStr"/>
    </row>
    <row r="380" ht="22.2" customHeight="1" s="375">
      <c r="A380" s="3" t="n"/>
      <c r="E380" s="3" t="n"/>
      <c r="G380" s="533" t="inlineStr">
        <is>
          <t>อังคาร</t>
        </is>
      </c>
      <c r="H380" s="376" t="inlineStr">
        <is>
          <t>20143-2018</t>
        </is>
      </c>
      <c r="I380" s="376" t="inlineStr">
        <is>
          <t>ชยฟ.3/1 (26)</t>
        </is>
      </c>
      <c r="J380" s="381" t="inlineStr">
        <is>
          <t>08:10 - 12:10</t>
        </is>
      </c>
      <c r="K380" s="135" t="n"/>
      <c r="L380" s="367" t="n">
        <v>4</v>
      </c>
      <c r="M380" s="381" t="inlineStr"/>
      <c r="N380" s="381" t="inlineStr"/>
      <c r="O380" s="354" t="inlineStr"/>
      <c r="P380" s="381" t="inlineStr"/>
      <c r="Q380" s="367" t="inlineStr"/>
      <c r="R380" s="381" t="inlineStr"/>
      <c r="S380" s="354" t="inlineStr"/>
      <c r="T380" t="inlineStr"/>
      <c r="U380" t="inlineStr"/>
    </row>
    <row r="381" ht="22.2" customHeight="1" s="375">
      <c r="A381" s="3" t="n"/>
      <c r="E381" s="3" t="n"/>
      <c r="G381" s="535" t="inlineStr">
        <is>
          <t>6 ต.ค.69</t>
        </is>
      </c>
      <c r="H381" s="376" t="inlineStr"/>
      <c r="I381" s="376" t="inlineStr"/>
      <c r="J381" s="334" t="inlineStr"/>
      <c r="K381" s="374" t="n"/>
      <c r="L381" s="334" t="inlineStr"/>
      <c r="M381" s="334" t="inlineStr"/>
      <c r="N381" s="334" t="inlineStr"/>
      <c r="O381" s="354" t="inlineStr"/>
      <c r="P381" s="334" t="inlineStr"/>
      <c r="Q381" s="334" t="inlineStr"/>
      <c r="R381" s="334" t="inlineStr"/>
      <c r="S381" s="354" t="inlineStr"/>
      <c r="T381" t="inlineStr"/>
      <c r="U381" t="inlineStr"/>
    </row>
    <row r="382" ht="22.2" customHeight="1" s="375">
      <c r="A382" s="3" t="n"/>
      <c r="B382" s="313" t="n"/>
      <c r="D382" s="314" t="n"/>
      <c r="E382" s="314" t="n"/>
      <c r="G382" s="334" t="inlineStr"/>
      <c r="H382" s="334" t="inlineStr"/>
      <c r="I382" s="334" t="inlineStr"/>
      <c r="J382" s="334" t="inlineStr"/>
      <c r="K382" s="374" t="n"/>
      <c r="L382" s="334" t="inlineStr"/>
      <c r="M382" s="334" t="inlineStr"/>
      <c r="N382" s="334" t="inlineStr"/>
      <c r="O382" s="354" t="inlineStr"/>
      <c r="P382" s="334" t="inlineStr"/>
      <c r="Q382" s="334" t="inlineStr"/>
      <c r="R382" s="334" t="inlineStr"/>
      <c r="S382" s="354" t="inlineStr"/>
      <c r="T382" t="inlineStr"/>
      <c r="U382" t="inlineStr"/>
    </row>
    <row r="383" ht="22.2" customHeight="1" s="375">
      <c r="A383" s="3" t="n"/>
      <c r="D383" s="314" t="n"/>
      <c r="E383" s="314" t="n"/>
      <c r="G383" s="334" t="inlineStr"/>
      <c r="H383" s="322" t="inlineStr"/>
      <c r="I383" s="334" t="inlineStr"/>
      <c r="J383" s="334" t="inlineStr"/>
      <c r="K383" s="374" t="n"/>
      <c r="L383" s="334" t="inlineStr"/>
      <c r="M383" s="334" t="inlineStr"/>
      <c r="N383" s="334" t="inlineStr"/>
      <c r="O383" s="354" t="inlineStr"/>
      <c r="P383" s="334" t="inlineStr"/>
      <c r="Q383" s="334" t="inlineStr"/>
      <c r="R383" s="334" t="inlineStr"/>
      <c r="S383" s="354" t="inlineStr"/>
      <c r="T383" t="inlineStr"/>
      <c r="U383" t="inlineStr"/>
    </row>
    <row r="384" ht="22.2" customHeight="1" s="375">
      <c r="A384" s="3" t="n"/>
      <c r="D384" s="314" t="inlineStr">
        <is>
          <t> </t>
        </is>
      </c>
      <c r="E384" s="314" t="n"/>
      <c r="G384" s="55" t="inlineStr"/>
      <c r="H384" s="336" t="inlineStr"/>
      <c r="I384" s="336" t="inlineStr"/>
      <c r="J384" s="336" t="inlineStr"/>
      <c r="K384" s="527" t="n"/>
      <c r="L384" s="334" t="inlineStr"/>
      <c r="M384" s="334" t="inlineStr"/>
      <c r="N384" s="334" t="inlineStr"/>
      <c r="O384" s="354" t="inlineStr"/>
      <c r="P384" s="334" t="inlineStr"/>
      <c r="Q384" s="334" t="inlineStr"/>
      <c r="R384" s="334" t="inlineStr"/>
      <c r="S384" s="349" t="inlineStr"/>
      <c r="T384" t="inlineStr"/>
      <c r="U384" t="inlineStr"/>
    </row>
    <row r="385" ht="22.2" customHeight="1" s="375">
      <c r="A385" s="3" t="n"/>
      <c r="B385" s="143" t="n"/>
      <c r="C385" s="144" t="n"/>
      <c r="D385" s="145" t="n"/>
      <c r="E385" s="146" t="n"/>
      <c r="G385" s="535" t="inlineStr">
        <is>
          <t>พุธ</t>
        </is>
      </c>
      <c r="H385" s="376" t="inlineStr">
        <is>
          <t>20101-2012</t>
        </is>
      </c>
      <c r="I385" s="376" t="inlineStr">
        <is>
          <t>ชย.2/2 (26)</t>
        </is>
      </c>
      <c r="J385" s="381" t="inlineStr">
        <is>
          <t>08:10 - 12:10</t>
        </is>
      </c>
      <c r="K385" s="135" t="n"/>
      <c r="L385" s="367" t="n">
        <v>4</v>
      </c>
      <c r="M385" s="381" t="inlineStr"/>
      <c r="N385" s="381" t="inlineStr"/>
      <c r="O385" s="354" t="inlineStr"/>
      <c r="P385" s="381" t="inlineStr"/>
      <c r="Q385" s="367" t="inlineStr"/>
      <c r="R385" s="381" t="inlineStr"/>
      <c r="S385" s="349" t="inlineStr"/>
      <c r="T385" s="6" t="inlineStr"/>
      <c r="U385" s="22" t="inlineStr"/>
      <c r="V385" s="57" t="n"/>
      <c r="W385" s="21" t="n"/>
      <c r="X385" s="21" t="n"/>
    </row>
    <row r="386" ht="22.2" customHeight="1" s="375">
      <c r="A386" s="3" t="n"/>
      <c r="B386" s="321" t="n"/>
      <c r="C386" s="322" t="n"/>
      <c r="D386" s="323" t="n"/>
      <c r="E386" s="334" t="n"/>
      <c r="G386" s="535" t="inlineStr">
        <is>
          <t>7 ต.ค.69</t>
        </is>
      </c>
      <c r="H386" s="376" t="inlineStr">
        <is>
          <t>20101-2012</t>
        </is>
      </c>
      <c r="I386" s="376" t="inlineStr">
        <is>
          <t>ชย.2/1 (26)</t>
        </is>
      </c>
      <c r="J386" s="334" t="inlineStr">
        <is>
          <t>13:10 - 17:10</t>
        </is>
      </c>
      <c r="K386" s="374" t="n"/>
      <c r="L386" s="334" t="n">
        <v>4</v>
      </c>
      <c r="M386" s="334" t="inlineStr"/>
      <c r="N386" s="334" t="inlineStr"/>
      <c r="O386" s="354" t="inlineStr"/>
      <c r="P386" s="334" t="inlineStr"/>
      <c r="Q386" s="334" t="inlineStr"/>
      <c r="R386" s="334" t="inlineStr"/>
      <c r="S386" s="349" t="inlineStr"/>
      <c r="T386" s="21" t="inlineStr"/>
      <c r="U386" s="22" t="inlineStr"/>
      <c r="V386" s="57" t="n"/>
      <c r="W386" s="21" t="n"/>
      <c r="X386" s="21" t="n"/>
    </row>
    <row r="387" ht="22.2" customHeight="1" s="375">
      <c r="A387" s="3" t="n"/>
      <c r="B387" s="313" t="n"/>
      <c r="D387" s="314" t="n"/>
      <c r="E387" s="314" t="n"/>
      <c r="G387" s="334" t="inlineStr"/>
      <c r="H387" s="376" t="inlineStr"/>
      <c r="I387" s="376" t="inlineStr"/>
      <c r="J387" s="334" t="inlineStr"/>
      <c r="K387" s="374" t="n"/>
      <c r="L387" s="334" t="inlineStr"/>
      <c r="M387" s="334" t="inlineStr"/>
      <c r="N387" s="334" t="inlineStr"/>
      <c r="O387" s="354" t="inlineStr"/>
      <c r="P387" s="334" t="inlineStr"/>
      <c r="Q387" s="334" t="inlineStr"/>
      <c r="R387" s="334" t="inlineStr"/>
      <c r="S387" s="354" t="inlineStr"/>
      <c r="T387" t="inlineStr"/>
      <c r="U387" t="inlineStr"/>
    </row>
    <row r="388" ht="22.2" customHeight="1" s="375">
      <c r="A388" s="3" t="n"/>
      <c r="D388" s="314" t="n"/>
      <c r="E388" s="314" t="n"/>
      <c r="G388" s="321" t="inlineStr"/>
      <c r="H388" s="321" t="inlineStr"/>
      <c r="I388" s="334" t="inlineStr"/>
      <c r="J388" s="334" t="inlineStr"/>
      <c r="K388" s="374" t="n"/>
      <c r="L388" s="334" t="inlineStr"/>
      <c r="M388" s="334" t="inlineStr"/>
      <c r="N388" s="334" t="inlineStr"/>
      <c r="O388" s="354" t="inlineStr"/>
      <c r="P388" s="334" t="inlineStr"/>
      <c r="Q388" s="334" t="inlineStr"/>
      <c r="R388" s="334" t="inlineStr"/>
      <c r="S388" s="354" t="inlineStr"/>
      <c r="T388" t="inlineStr"/>
      <c r="U388" t="inlineStr"/>
    </row>
    <row r="389" ht="22.2" customHeight="1" s="375">
      <c r="A389" s="3" t="n"/>
      <c r="E389" s="3" t="n"/>
      <c r="G389" s="327" t="inlineStr"/>
      <c r="H389" s="327" t="inlineStr"/>
      <c r="I389" s="336" t="inlineStr"/>
      <c r="J389" s="336" t="inlineStr"/>
      <c r="K389" s="527" t="n"/>
      <c r="L389" s="336" t="inlineStr"/>
      <c r="M389" s="336" t="inlineStr"/>
      <c r="N389" s="336" t="inlineStr"/>
      <c r="O389" s="354" t="inlineStr"/>
      <c r="P389" s="336" t="inlineStr"/>
      <c r="Q389" s="336" t="inlineStr"/>
      <c r="R389" s="336" t="inlineStr"/>
      <c r="S389" s="354" t="inlineStr"/>
      <c r="T389" t="inlineStr"/>
      <c r="U389" t="inlineStr"/>
    </row>
    <row r="390" ht="22.2" customHeight="1" s="375">
      <c r="A390" s="3" t="n"/>
      <c r="E390" s="3" t="n"/>
      <c r="G390" s="533" t="inlineStr">
        <is>
          <t>พฤหัส</t>
        </is>
      </c>
      <c r="H390" s="376" t="inlineStr">
        <is>
          <t>20101-2012</t>
        </is>
      </c>
      <c r="I390" s="376" t="inlineStr">
        <is>
          <t>ชย.2/4 (26)</t>
        </is>
      </c>
      <c r="J390" s="381" t="inlineStr">
        <is>
          <t>08:10 - 12:10</t>
        </is>
      </c>
      <c r="K390" s="135" t="n"/>
      <c r="L390" s="367" t="inlineStr"/>
      <c r="M390" s="381" t="n">
        <v>4</v>
      </c>
      <c r="N390" s="376" t="n">
        <v>200</v>
      </c>
      <c r="O390" s="354">
        <f>M390*N390</f>
        <v/>
      </c>
      <c r="P390" s="156" t="inlineStr"/>
      <c r="Q390" s="156" t="inlineStr"/>
      <c r="R390" s="156" t="inlineStr"/>
      <c r="S390" s="354" t="inlineStr"/>
      <c r="T390" s="23" t="inlineStr"/>
      <c r="U390" s="23" t="inlineStr"/>
      <c r="V390" s="56" t="n"/>
      <c r="W390" s="23" t="n"/>
      <c r="X390" s="23" t="n"/>
    </row>
    <row r="391" ht="22.2" customHeight="1" s="375">
      <c r="A391" s="3" t="n"/>
      <c r="E391" s="3" t="n"/>
      <c r="G391" s="533" t="inlineStr">
        <is>
          <t>8 ต.ค.69</t>
        </is>
      </c>
      <c r="H391" s="376" t="inlineStr">
        <is>
          <t>20000-2002</t>
        </is>
      </c>
      <c r="I391" s="376" t="inlineStr">
        <is>
          <t>ชย.1/10,ชย.1/9 (26)</t>
        </is>
      </c>
      <c r="J391" s="334" t="inlineStr">
        <is>
          <t>13:10 - 15:10</t>
        </is>
      </c>
      <c r="K391" s="374" t="n"/>
      <c r="L391" s="334" t="n">
        <v>2</v>
      </c>
      <c r="M391" s="334" t="inlineStr"/>
      <c r="N391" s="334" t="inlineStr"/>
      <c r="O391" s="354" t="inlineStr"/>
      <c r="P391" s="3" t="inlineStr"/>
      <c r="Q391" s="3" t="inlineStr"/>
      <c r="R391" s="3" t="inlineStr"/>
      <c r="S391" s="354" t="inlineStr"/>
      <c r="T391" s="23" t="inlineStr"/>
      <c r="U391" s="23" t="inlineStr"/>
      <c r="V391" s="56" t="n"/>
      <c r="W391" s="23" t="n"/>
      <c r="X391" s="23" t="n"/>
    </row>
    <row r="392" ht="22.2" customHeight="1" s="375">
      <c r="A392" s="3" t="n"/>
      <c r="B392" s="313" t="n"/>
      <c r="E392" s="3" t="n"/>
      <c r="G392" s="334" t="inlineStr"/>
      <c r="H392" s="376" t="inlineStr">
        <is>
          <t>20101-2012</t>
        </is>
      </c>
      <c r="I392" s="376" t="inlineStr">
        <is>
          <t>ชย.2/3 (26)</t>
        </is>
      </c>
      <c r="J392" s="334" t="inlineStr">
        <is>
          <t>15:10 - 19:10</t>
        </is>
      </c>
      <c r="K392" s="374" t="n"/>
      <c r="L392" s="334" t="inlineStr"/>
      <c r="M392" s="334" t="n">
        <v>4</v>
      </c>
      <c r="N392" s="334" t="n">
        <v>200</v>
      </c>
      <c r="O392" s="354">
        <f>M392*N392</f>
        <v/>
      </c>
      <c r="P392" s="376" t="inlineStr"/>
      <c r="Q392" s="376" t="inlineStr"/>
      <c r="R392" s="376" t="inlineStr"/>
      <c r="S392" s="354" t="inlineStr"/>
      <c r="T392" t="inlineStr"/>
      <c r="U392" t="inlineStr"/>
    </row>
    <row r="393" ht="22.2" customHeight="1" s="375">
      <c r="A393" s="3" t="n"/>
      <c r="E393" s="3" t="n"/>
      <c r="G393" s="334" t="inlineStr"/>
      <c r="H393" s="334" t="inlineStr"/>
      <c r="I393" s="334" t="inlineStr"/>
      <c r="J393" s="334" t="inlineStr"/>
      <c r="K393" s="374" t="n"/>
      <c r="L393" s="334" t="inlineStr"/>
      <c r="M393" s="334" t="inlineStr"/>
      <c r="N393" s="334" t="inlineStr"/>
      <c r="O393" s="354" t="inlineStr"/>
      <c r="P393" s="334" t="inlineStr"/>
      <c r="Q393" s="334" t="inlineStr"/>
      <c r="R393" s="334" t="inlineStr"/>
      <c r="S393" s="354" t="inlineStr"/>
      <c r="T393" t="inlineStr"/>
      <c r="U393" t="inlineStr"/>
    </row>
    <row r="394" ht="22.2" customHeight="1" s="375">
      <c r="A394" s="3" t="n"/>
      <c r="E394" s="3" t="n"/>
      <c r="G394" s="336" t="inlineStr"/>
      <c r="H394" s="328" t="inlineStr"/>
      <c r="I394" s="336" t="inlineStr"/>
      <c r="J394" s="336" t="inlineStr"/>
      <c r="K394" s="527" t="n"/>
      <c r="L394" s="336" t="inlineStr"/>
      <c r="M394" s="336" t="inlineStr"/>
      <c r="N394" s="336" t="inlineStr"/>
      <c r="O394" s="354" t="inlineStr"/>
      <c r="P394" s="336" t="inlineStr"/>
      <c r="Q394" s="336" t="inlineStr"/>
      <c r="R394" s="336" t="inlineStr"/>
      <c r="S394" s="354" t="inlineStr"/>
      <c r="T394" t="inlineStr"/>
      <c r="U394" t="inlineStr"/>
    </row>
    <row r="395" ht="22.2" customHeight="1" s="375">
      <c r="A395" s="3" t="n"/>
      <c r="E395" s="3" t="n"/>
      <c r="G395" s="533" t="inlineStr">
        <is>
          <t>ศุกร์</t>
        </is>
      </c>
      <c r="H395" s="376" t="inlineStr">
        <is>
          <t>20101-2012</t>
        </is>
      </c>
      <c r="I395" s="376" t="inlineStr">
        <is>
          <t>ชยฟ.3/1 (26)</t>
        </is>
      </c>
      <c r="J395" s="381" t="inlineStr">
        <is>
          <t>13:10 - 17:10</t>
        </is>
      </c>
      <c r="K395" s="135" t="n"/>
      <c r="L395" s="334" t="inlineStr"/>
      <c r="M395" s="381" t="n">
        <v>4</v>
      </c>
      <c r="N395" s="381" t="n">
        <v>200</v>
      </c>
      <c r="O395" s="354">
        <f>M395*N395</f>
        <v/>
      </c>
      <c r="P395" s="381" t="inlineStr"/>
      <c r="Q395" s="367" t="inlineStr"/>
      <c r="R395" s="381" t="inlineStr"/>
      <c r="S395" s="354" t="inlineStr"/>
      <c r="T395" t="inlineStr"/>
      <c r="U395" t="inlineStr"/>
    </row>
    <row r="396" ht="22.2" customHeight="1" s="375">
      <c r="A396" s="3" t="n"/>
      <c r="E396" s="3" t="n"/>
      <c r="G396" s="533" t="inlineStr">
        <is>
          <t>9 ต.ค.69</t>
        </is>
      </c>
      <c r="H396" s="376" t="inlineStr"/>
      <c r="I396" s="376" t="inlineStr"/>
      <c r="J396" s="334" t="inlineStr"/>
      <c r="K396" s="374" t="n"/>
      <c r="L396" s="334" t="inlineStr"/>
      <c r="M396" s="334" t="inlineStr"/>
      <c r="N396" s="334" t="inlineStr"/>
      <c r="O396" s="354" t="inlineStr"/>
      <c r="P396" s="334" t="inlineStr"/>
      <c r="Q396" s="334" t="inlineStr"/>
      <c r="R396" s="334" t="inlineStr"/>
      <c r="S396" s="354" t="inlineStr"/>
      <c r="T396" t="inlineStr"/>
      <c r="U396" t="inlineStr"/>
    </row>
    <row r="397" ht="22.2" customHeight="1" s="375">
      <c r="A397" s="3" t="n"/>
      <c r="E397" s="3" t="n"/>
      <c r="G397" s="334" t="inlineStr"/>
      <c r="H397" s="334" t="inlineStr"/>
      <c r="I397" s="334" t="inlineStr"/>
      <c r="J397" s="334" t="inlineStr"/>
      <c r="K397" s="374" t="n"/>
      <c r="L397" s="334" t="inlineStr"/>
      <c r="M397" s="334" t="inlineStr"/>
      <c r="N397" s="334" t="inlineStr"/>
      <c r="O397" s="354" t="inlineStr"/>
      <c r="P397" s="334" t="inlineStr"/>
      <c r="Q397" s="334" t="inlineStr"/>
      <c r="R397" s="334" t="inlineStr"/>
      <c r="S397" s="354" t="inlineStr"/>
      <c r="T397" t="inlineStr"/>
      <c r="U397" t="inlineStr"/>
    </row>
    <row r="398" ht="22.2" customHeight="1" s="375">
      <c r="A398" s="3" t="n"/>
      <c r="E398" s="3" t="n"/>
      <c r="F398" s="3" t="n"/>
      <c r="G398" s="323" t="inlineStr"/>
      <c r="H398" s="322" t="inlineStr"/>
      <c r="I398" s="334" t="inlineStr"/>
      <c r="J398" s="334" t="inlineStr"/>
      <c r="K398" s="374" t="n"/>
      <c r="L398" s="334" t="inlineStr"/>
      <c r="M398" s="334" t="inlineStr"/>
      <c r="N398" s="334" t="inlineStr"/>
      <c r="O398" s="354" t="inlineStr"/>
      <c r="P398" s="334" t="inlineStr"/>
      <c r="Q398" s="334" t="inlineStr"/>
      <c r="R398" s="334" t="inlineStr"/>
      <c r="S398" s="354" t="inlineStr"/>
      <c r="T398" t="inlineStr"/>
      <c r="U398" t="inlineStr"/>
    </row>
    <row r="399" ht="22.2" customHeight="1" s="375">
      <c r="A399" s="3" t="n"/>
      <c r="E399" s="3" t="n"/>
      <c r="F399" s="3" t="n"/>
      <c r="G399" s="329" t="inlineStr"/>
      <c r="H399" s="328" t="inlineStr"/>
      <c r="I399" s="336" t="inlineStr"/>
      <c r="J399" s="336" t="inlineStr"/>
      <c r="K399" s="527" t="n"/>
      <c r="L399" s="336" t="inlineStr"/>
      <c r="M399" s="336" t="inlineStr"/>
      <c r="N399" s="336" t="inlineStr"/>
      <c r="O399" s="354" t="inlineStr"/>
      <c r="P399" s="336" t="inlineStr"/>
      <c r="Q399" s="336" t="inlineStr"/>
      <c r="R399" s="336" t="inlineStr"/>
      <c r="S399" s="354" t="inlineStr"/>
      <c r="T399" t="inlineStr"/>
      <c r="U399" t="inlineStr"/>
    </row>
    <row r="400" ht="22.2" customHeight="1" s="375">
      <c r="A400" s="3" t="n"/>
      <c r="E400" s="3" t="n"/>
      <c r="F400" s="3" t="n"/>
      <c r="G400" s="16" t="inlineStr">
        <is>
          <t>รวมขั่วโมงที่สอนแยก ภาระงาน/ เกินภาระงาน</t>
        </is>
      </c>
      <c r="H400" s="518" t="n"/>
      <c r="I400" s="518" t="n"/>
      <c r="J400" s="518" t="n"/>
      <c r="K400" s="432" t="n"/>
      <c r="L400" s="16">
        <f>SUM(L375:L399)</f>
        <v/>
      </c>
      <c r="M400" s="16">
        <f>SUM(M375:M399)</f>
        <v/>
      </c>
      <c r="N400" s="16" t="n"/>
      <c r="O400" s="16" t="n"/>
      <c r="P400" s="16">
        <f>SUM(P375:P399)</f>
        <v/>
      </c>
      <c r="Q400" s="16">
        <f>SUM(Q375:Q399)</f>
        <v/>
      </c>
      <c r="R400" s="349" t="n"/>
      <c r="S400" s="16" t="n"/>
    </row>
    <row r="401" ht="22.2" customHeight="1" s="375">
      <c r="A401" s="3" t="n"/>
      <c r="E401" s="3" t="n"/>
      <c r="F401" s="3" t="n"/>
      <c r="G401" s="16" t="inlineStr">
        <is>
          <t>รวมจำนวนชั่วโมงสอนคาบต่อสับดาห์</t>
        </is>
      </c>
      <c r="H401" s="518" t="n"/>
      <c r="I401" s="518" t="n"/>
      <c r="J401" s="518" t="n"/>
      <c r="K401" s="432" t="n"/>
      <c r="L401" s="16">
        <f>L400+M400</f>
        <v/>
      </c>
      <c r="M401" s="432" t="n"/>
      <c r="N401" s="348" t="n"/>
      <c r="O401" s="16" t="n"/>
      <c r="P401" s="16">
        <f>P400+Q400</f>
        <v/>
      </c>
      <c r="Q401" s="432" t="n"/>
      <c r="R401" s="329" t="n"/>
      <c r="S401" s="336" t="n"/>
    </row>
    <row r="402" ht="22.2" customHeight="1" s="375">
      <c r="A402" s="3" t="n"/>
      <c r="E402" s="3" t="n"/>
      <c r="F402" s="3" t="n"/>
      <c r="G402" s="16" t="inlineStr">
        <is>
          <t>จำนวนชั่วโมงสอนตามภาระงานสอน</t>
        </is>
      </c>
      <c r="H402" s="518" t="n"/>
      <c r="I402" s="518" t="n"/>
      <c r="J402" s="518" t="n"/>
      <c r="K402" s="432" t="n"/>
      <c r="L402" s="131" t="n">
        <v>18</v>
      </c>
      <c r="M402" s="432" t="n"/>
      <c r="N402" s="16" t="n"/>
      <c r="O402" s="348" t="n"/>
      <c r="P402" s="131" t="n">
        <v>0</v>
      </c>
      <c r="Q402" s="432" t="n"/>
      <c r="R402" s="322" t="n"/>
      <c r="S402" s="334" t="n"/>
    </row>
    <row r="403" ht="22.2" customHeight="1" s="375" thickBot="1">
      <c r="A403" s="3" t="n"/>
      <c r="E403" s="3" t="n"/>
      <c r="F403" s="14" t="n"/>
      <c r="G403" s="16" t="inlineStr">
        <is>
          <t>จำนวนชั่วโมงบิกเกินภาระงานสอน/ค่าสอน</t>
        </is>
      </c>
      <c r="H403" s="518" t="n"/>
      <c r="I403" s="518" t="n"/>
      <c r="J403" s="518" t="n"/>
      <c r="K403" s="432" t="n"/>
      <c r="L403" s="17" t="n">
        <v>0</v>
      </c>
      <c r="M403" s="17">
        <f>SUM(M375:M399)</f>
        <v/>
      </c>
      <c r="N403" s="17" t="n"/>
      <c r="O403" s="17">
        <f>SUM(O375:O399)</f>
        <v/>
      </c>
      <c r="P403" s="17" t="n">
        <v>0</v>
      </c>
      <c r="Q403" s="17">
        <f>SUM(Q375:Q399)</f>
        <v/>
      </c>
      <c r="R403" s="18" t="n"/>
      <c r="S403" s="17">
        <f>SUM(S375:S399)</f>
        <v/>
      </c>
    </row>
    <row r="404" ht="22.2" customHeight="1" s="375" thickTop="1">
      <c r="A404" s="337" t="inlineStr">
        <is>
          <t>รวมจำนวนหน่วยชั่วโมงที่ขอเบิกค่าสอน ….</t>
        </is>
      </c>
      <c r="B404" s="518" t="n"/>
      <c r="C404" s="518" t="n"/>
      <c r="D404" s="518" t="n"/>
      <c r="E404" s="518" t="n"/>
      <c r="F404" s="518" t="n"/>
      <c r="G404" s="518" t="n"/>
      <c r="H404" s="348">
        <f>M403+Q403</f>
        <v/>
      </c>
      <c r="I404" s="348" t="inlineStr">
        <is>
          <t>….ชั่วโมง</t>
        </is>
      </c>
      <c r="J404" s="348" t="n"/>
      <c r="K404" s="328" t="inlineStr">
        <is>
          <t>ยอดเงินรวม</t>
        </is>
      </c>
      <c r="L404" s="522" t="n"/>
      <c r="M404" s="522" t="n"/>
      <c r="N404" s="328" t="n"/>
      <c r="O404" s="328" t="n"/>
      <c r="P404" s="339">
        <f>S403+O403</f>
        <v/>
      </c>
      <c r="Q404" s="538" t="n"/>
      <c r="R404" s="20" t="n"/>
      <c r="S404" s="19" t="inlineStr">
        <is>
          <t>..บาท</t>
        </is>
      </c>
    </row>
    <row r="405" ht="22.2" customHeight="1" s="375">
      <c r="A405" s="154" t="inlineStr">
        <is>
          <t>ผู้ขอเบิก</t>
        </is>
      </c>
      <c r="B405" s="153" t="n"/>
      <c r="C405" s="153" t="n"/>
      <c r="D405" s="153" t="n"/>
      <c r="E405" s="153" t="n"/>
      <c r="F405" s="153" t="n"/>
      <c r="G405" s="135" t="n"/>
      <c r="H405" s="154" t="inlineStr">
        <is>
          <t>ผู้รับรอง</t>
        </is>
      </c>
      <c r="I405" s="153" t="n"/>
      <c r="J405" s="153" t="n"/>
      <c r="K405" s="153" t="n"/>
      <c r="L405" s="135" t="n"/>
      <c r="M405" s="154" t="inlineStr">
        <is>
          <t>ผู้ตรวจ</t>
        </is>
      </c>
      <c r="N405" s="153" t="n"/>
      <c r="O405" s="153" t="n"/>
      <c r="P405" s="153" t="n"/>
      <c r="Q405" s="153" t="n"/>
      <c r="R405" s="153" t="n"/>
      <c r="S405" s="135" t="n"/>
    </row>
    <row r="406" ht="22.2" customHeight="1" s="375">
      <c r="A406" s="334" t="inlineStr">
        <is>
          <t>ลงชื่อ……………………………………………</t>
        </is>
      </c>
      <c r="G406" s="374" t="n"/>
      <c r="H406" s="334" t="inlineStr">
        <is>
          <t>ลงชื่อ……………………………………………</t>
        </is>
      </c>
      <c r="L406" s="374" t="n"/>
      <c r="M406" s="334" t="inlineStr">
        <is>
          <t>ลงชื่อ……………………………………………</t>
        </is>
      </c>
      <c r="S406" s="374" t="n"/>
    </row>
    <row r="407" ht="22.2" customHeight="1" s="375">
      <c r="A407" s="11" t="inlineStr">
        <is>
          <t>(</t>
        </is>
      </c>
      <c r="B407" s="324">
        <f>B375</f>
        <v/>
      </c>
      <c r="G407" s="326" t="inlineStr">
        <is>
          <t>)</t>
        </is>
      </c>
      <c r="H407" s="324" t="inlineStr">
        <is>
          <t>(</t>
        </is>
      </c>
      <c r="I407" s="340">
        <f>I361</f>
        <v/>
      </c>
      <c r="L407" s="12" t="inlineStr">
        <is>
          <t>)</t>
        </is>
      </c>
      <c r="M407" s="53" t="inlineStr">
        <is>
          <t>(</t>
        </is>
      </c>
      <c r="N407" s="53" t="n"/>
      <c r="O407" s="324">
        <f>O39</f>
        <v/>
      </c>
      <c r="R407" s="25" t="n"/>
      <c r="S407" s="326" t="inlineStr">
        <is>
          <t>)</t>
        </is>
      </c>
    </row>
    <row r="408" ht="22.2" customHeight="1" s="375">
      <c r="A408" s="540" t="inlineStr">
        <is>
          <t xml:space="preserve">                         ตำแหน่ง  ครู</t>
        </is>
      </c>
      <c r="G408" s="374" t="n"/>
      <c r="H408" s="54" t="inlineStr">
        <is>
          <t>ตำแหน่ง หัวหน้าแผนก</t>
        </is>
      </c>
      <c r="L408" s="374" t="n"/>
      <c r="M408" s="54" t="inlineStr">
        <is>
          <t>ตำแหน่ง   ผู้ตรวจสอบ</t>
        </is>
      </c>
      <c r="S408" s="374" t="n"/>
    </row>
    <row r="409" ht="22.2" customHeight="1" s="375">
      <c r="A409" s="55" t="inlineStr">
        <is>
          <t>วันที่ 12 เดือน ตุลาคม  พ.ศ.2569</t>
        </is>
      </c>
      <c r="B409" s="522" t="n"/>
      <c r="C409" s="522" t="n"/>
      <c r="D409" s="522" t="n"/>
      <c r="E409" s="522" t="n"/>
      <c r="F409" s="522" t="n"/>
      <c r="G409" s="527" t="n"/>
      <c r="H409" s="54">
        <f>A41</f>
        <v/>
      </c>
      <c r="L409" s="374" t="n"/>
      <c r="M409" s="55">
        <f>A41</f>
        <v/>
      </c>
      <c r="N409" s="522" t="n"/>
      <c r="O409" s="522" t="n"/>
      <c r="P409" s="522" t="n"/>
      <c r="Q409" s="522" t="n"/>
      <c r="R409" s="522" t="n"/>
      <c r="S409" s="527" t="n"/>
    </row>
    <row r="410" ht="22.2" customHeight="1" s="375">
      <c r="A410" s="154" t="inlineStr">
        <is>
          <t>ผู้ตรวจ</t>
        </is>
      </c>
      <c r="B410" s="153" t="n"/>
      <c r="C410" s="153" t="n"/>
      <c r="D410" s="153" t="n"/>
      <c r="E410" s="153" t="n"/>
      <c r="F410" s="153" t="n"/>
      <c r="G410" s="153" t="n"/>
      <c r="H410" s="153" t="n"/>
      <c r="I410" s="135" t="n"/>
      <c r="J410" s="154" t="inlineStr">
        <is>
          <t>ผู้เห็นชอบ</t>
        </is>
      </c>
      <c r="K410" s="153" t="n"/>
      <c r="L410" s="153" t="n"/>
      <c r="M410" s="153" t="n"/>
      <c r="N410" s="153" t="n"/>
      <c r="O410" s="153" t="n"/>
      <c r="P410" s="153" t="n"/>
      <c r="Q410" s="153" t="n"/>
      <c r="R410" s="153" t="n"/>
      <c r="S410" s="135" t="n"/>
    </row>
    <row r="411" ht="22.2" customHeight="1" s="375">
      <c r="A411" s="334" t="inlineStr">
        <is>
          <t>ลงชื่อ……………………………………………</t>
        </is>
      </c>
      <c r="I411" s="374" t="n"/>
      <c r="J411" s="334" t="inlineStr">
        <is>
          <t>ลงชื่อ……………………………………………</t>
        </is>
      </c>
      <c r="S411" s="374" t="n"/>
    </row>
    <row r="412" ht="22.2" customHeight="1" s="375">
      <c r="A412" s="11" t="n"/>
      <c r="B412" s="324">
        <f>B44</f>
        <v/>
      </c>
      <c r="I412" s="326" t="n"/>
      <c r="J412" s="25" t="n"/>
      <c r="K412" s="25" t="n"/>
      <c r="L412" s="324">
        <f>L44</f>
        <v/>
      </c>
      <c r="R412" s="25" t="n"/>
      <c r="S412" s="12" t="n"/>
    </row>
    <row r="413" ht="22.2" customHeight="1" s="375">
      <c r="A413" s="54" t="inlineStr">
        <is>
          <t>ตำแหน่งครู  หัวหน้างานพัฒนาหลักสูตร ฯ</t>
        </is>
      </c>
      <c r="I413" s="374" t="n"/>
      <c r="J413" s="54" t="inlineStr">
        <is>
          <t>ตำแหน่ง  รองผู้อำนวยการฝ่ายวิชาการ</t>
        </is>
      </c>
      <c r="S413" s="374" t="n"/>
    </row>
    <row r="414" ht="22.2" customHeight="1" s="375">
      <c r="A414" s="336" t="inlineStr">
        <is>
          <t>วันที่.......เดือน..........................พ.ศ..............</t>
        </is>
      </c>
      <c r="B414" s="522" t="n"/>
      <c r="C414" s="522" t="n"/>
      <c r="D414" s="522" t="n"/>
      <c r="E414" s="522" t="n"/>
      <c r="F414" s="522" t="n"/>
      <c r="G414" s="522" t="n"/>
      <c r="H414" s="522" t="n"/>
      <c r="I414" s="527" t="n"/>
      <c r="J414" s="336" t="inlineStr">
        <is>
          <t>วันที่.......เดือน..........................พ.ศ..............</t>
        </is>
      </c>
      <c r="K414" s="522" t="n"/>
      <c r="L414" s="522" t="n"/>
      <c r="M414" s="522" t="n"/>
      <c r="N414" s="522" t="n"/>
      <c r="O414" s="522" t="n"/>
      <c r="P414" s="522" t="n"/>
      <c r="Q414" s="522" t="n"/>
      <c r="R414" s="522" t="n"/>
      <c r="S414" s="527" t="n"/>
    </row>
    <row r="415" ht="22.2" customHeight="1" s="375">
      <c r="A415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75">
      <c r="A416" s="365" t="inlineStr">
        <is>
          <t>แผนกวิชาช่างยนต์</t>
        </is>
      </c>
    </row>
    <row r="417" ht="22.2" customHeight="1" s="375">
      <c r="A417" s="366" t="inlineStr">
        <is>
          <t xml:space="preserve">    ระหว่างวันที่</t>
        </is>
      </c>
      <c r="D417" s="365">
        <f>D3</f>
        <v/>
      </c>
      <c r="E417" s="365" t="inlineStr">
        <is>
          <t xml:space="preserve">   เดือน  </t>
        </is>
      </c>
      <c r="F417" s="365">
        <f>F3</f>
        <v/>
      </c>
      <c r="H417" s="365">
        <f>H3</f>
        <v/>
      </c>
      <c r="I417" s="365" t="inlineStr">
        <is>
          <t xml:space="preserve">     ถึง วันที่</t>
        </is>
      </c>
      <c r="J417" s="365">
        <f>J3</f>
        <v/>
      </c>
      <c r="K417" s="365" t="inlineStr">
        <is>
          <t xml:space="preserve">   เดือน </t>
        </is>
      </c>
      <c r="L417" s="365">
        <f>L3</f>
        <v/>
      </c>
      <c r="N417" s="365">
        <f>N3</f>
        <v/>
      </c>
      <c r="P417" s="365" t="n"/>
      <c r="R417" s="365" t="n"/>
    </row>
    <row r="418" ht="22.2" customHeight="1" s="375">
      <c r="G418" s="51" t="inlineStr">
        <is>
          <t>ü</t>
        </is>
      </c>
      <c r="H418" s="351" t="inlineStr">
        <is>
          <t>ครู</t>
        </is>
      </c>
      <c r="I418" s="322" t="inlineStr">
        <is>
          <t>หน้าที่พิเศษ</t>
        </is>
      </c>
      <c r="J418" t="inlineStr">
        <is>
          <t>ผู้ช่วยงานส่งเสริมการวิจัย นวัตกรรม และสิ่งประดิษฐ์, ปกครองและความปลอดภัยนักเรียน</t>
        </is>
      </c>
    </row>
    <row r="419" ht="22.2" customHeight="1" s="375">
      <c r="A419" s="24" t="inlineStr">
        <is>
          <t>ที่</t>
        </is>
      </c>
      <c r="B419" s="24" t="inlineStr">
        <is>
          <t>ชื่อ-สกุล</t>
        </is>
      </c>
      <c r="C419" s="153" t="n"/>
      <c r="D419" s="135" t="n"/>
      <c r="E419" s="15" t="inlineStr">
        <is>
          <t>ตำแหน่ง</t>
        </is>
      </c>
      <c r="F419" s="16" t="inlineStr">
        <is>
          <t>ระยะเวลาที่สอน</t>
        </is>
      </c>
      <c r="G419" s="432" t="n"/>
      <c r="H419" s="16" t="inlineStr">
        <is>
          <t>รหัสวิชา</t>
        </is>
      </c>
      <c r="I419" s="362" t="inlineStr">
        <is>
          <t>ชั้น,แผนก,ห้อง</t>
        </is>
      </c>
      <c r="J419" s="16" t="inlineStr">
        <is>
          <t>เวลาสอน</t>
        </is>
      </c>
      <c r="K419" s="135" t="n"/>
      <c r="L419" s="16" t="inlineStr">
        <is>
          <t>ปวช.(คาบ)</t>
        </is>
      </c>
      <c r="M419" s="432" t="n"/>
      <c r="N419" s="354" t="inlineStr">
        <is>
          <t>เงิน</t>
        </is>
      </c>
      <c r="O419" s="362" t="inlineStr">
        <is>
          <t>ยอดเงิน</t>
        </is>
      </c>
      <c r="P419" s="524" t="inlineStr">
        <is>
          <t>ปวส.(คาบ)</t>
        </is>
      </c>
      <c r="Q419" s="432" t="n"/>
      <c r="R419" s="354" t="inlineStr">
        <is>
          <t>เงิน</t>
        </is>
      </c>
      <c r="S419" s="362" t="inlineStr">
        <is>
          <t>ยอดเงิน</t>
        </is>
      </c>
    </row>
    <row r="420" ht="22.2" customHeight="1" s="375">
      <c r="A420" s="52" t="n"/>
      <c r="B420" s="8" t="n"/>
      <c r="C420" s="9" t="n"/>
      <c r="D420" s="13" t="n"/>
      <c r="E420" s="10" t="n"/>
      <c r="F420" s="336" t="inlineStr">
        <is>
          <t>ส.</t>
        </is>
      </c>
      <c r="G420" s="336" t="inlineStr">
        <is>
          <t>วดป.</t>
        </is>
      </c>
      <c r="H420" s="525" t="n"/>
      <c r="I420" s="336" t="n"/>
      <c r="J420" s="526" t="n"/>
      <c r="K420" s="527" t="n"/>
      <c r="L420" s="336" t="inlineStr">
        <is>
          <t>ใน</t>
        </is>
      </c>
      <c r="M420" s="336" t="inlineStr">
        <is>
          <t>นอก</t>
        </is>
      </c>
      <c r="N420" s="336" t="inlineStr">
        <is>
          <t>ต่อ ชม.</t>
        </is>
      </c>
      <c r="O420" s="336" t="inlineStr">
        <is>
          <t>(บาท)</t>
        </is>
      </c>
      <c r="P420" s="52" t="inlineStr">
        <is>
          <t>ใน</t>
        </is>
      </c>
      <c r="Q420" s="52" t="inlineStr">
        <is>
          <t>นอก</t>
        </is>
      </c>
      <c r="R420" s="336" t="inlineStr">
        <is>
          <t>ต่อ ชม.</t>
        </is>
      </c>
      <c r="S420" s="336" t="inlineStr">
        <is>
          <t>(บาท)</t>
        </is>
      </c>
    </row>
    <row r="421" ht="22.2" customHeight="1" s="375">
      <c r="A421" s="362" t="n">
        <v>10</v>
      </c>
      <c r="B421" s="528">
        <f>AB12</f>
        <v/>
      </c>
      <c r="C421" s="153" t="n"/>
      <c r="D421" s="135" t="n"/>
      <c r="E421" s="362" t="inlineStr">
        <is>
          <t>ครู</t>
        </is>
      </c>
      <c r="F421" s="5" t="n">
        <v>4</v>
      </c>
      <c r="G421" s="529" t="inlineStr">
        <is>
          <t>จันทร์</t>
        </is>
      </c>
      <c r="H421" s="376" t="inlineStr">
        <is>
          <t>20101-2009</t>
        </is>
      </c>
      <c r="I421" s="376" t="inlineStr">
        <is>
          <t>ชย.2/2 (26)</t>
        </is>
      </c>
      <c r="J421" s="334" t="inlineStr">
        <is>
          <t>08:10 - 12:10</t>
        </is>
      </c>
      <c r="K421" s="374" t="n"/>
      <c r="L421" s="367" t="n">
        <v>4</v>
      </c>
      <c r="M421" s="381" t="inlineStr"/>
      <c r="N421" s="381" t="inlineStr"/>
      <c r="O421" s="354" t="inlineStr"/>
      <c r="P421" s="381" t="inlineStr"/>
      <c r="Q421" s="367" t="inlineStr"/>
      <c r="R421" s="381" t="inlineStr"/>
      <c r="S421" s="354" t="inlineStr"/>
      <c r="T421" t="inlineStr"/>
      <c r="U421" t="inlineStr"/>
    </row>
    <row r="422" ht="22.2" customHeight="1" s="375">
      <c r="A422" s="3" t="n"/>
      <c r="B422" s="313" t="n"/>
      <c r="D422" s="314" t="n"/>
      <c r="E422" s="46" t="n"/>
      <c r="F422" s="322" t="n"/>
      <c r="G422" s="535" t="inlineStr">
        <is>
          <t>5 ต.ค.69</t>
        </is>
      </c>
      <c r="H422" s="376" t="inlineStr">
        <is>
          <t>20101-2009</t>
        </is>
      </c>
      <c r="I422" s="376" t="inlineStr">
        <is>
          <t>ชย.2/1 (26)</t>
        </is>
      </c>
      <c r="J422" s="334" t="inlineStr">
        <is>
          <t>13:10 - 17:10</t>
        </is>
      </c>
      <c r="K422" s="374" t="n"/>
      <c r="L422" s="334" t="n">
        <v>4</v>
      </c>
      <c r="M422" s="334" t="inlineStr"/>
      <c r="N422" s="334" t="inlineStr"/>
      <c r="O422" s="354" t="inlineStr"/>
      <c r="P422" s="334" t="inlineStr"/>
      <c r="Q422" s="334" t="inlineStr"/>
      <c r="R422" s="334" t="inlineStr"/>
      <c r="S422" s="354" t="inlineStr"/>
      <c r="T422" t="inlineStr"/>
      <c r="U422" t="inlineStr"/>
    </row>
    <row r="423" ht="22.2" customHeight="1" s="375">
      <c r="A423" s="3" t="n"/>
      <c r="E423" s="3" t="n"/>
      <c r="F423" s="322" t="n"/>
      <c r="G423" s="321" t="inlineStr"/>
      <c r="H423" s="376" t="inlineStr"/>
      <c r="I423" s="376" t="inlineStr"/>
      <c r="J423" s="334" t="inlineStr"/>
      <c r="K423" s="374" t="n"/>
      <c r="L423" s="334" t="inlineStr"/>
      <c r="M423" s="334" t="inlineStr"/>
      <c r="N423" s="334" t="inlineStr"/>
      <c r="O423" s="354" t="inlineStr"/>
      <c r="P423" s="334" t="inlineStr"/>
      <c r="Q423" s="334" t="inlineStr"/>
      <c r="R423" s="334" t="inlineStr"/>
      <c r="S423" s="354" t="inlineStr"/>
      <c r="T423" t="inlineStr"/>
      <c r="U423" t="inlineStr"/>
    </row>
    <row r="424" ht="22.2" customHeight="1" s="375">
      <c r="A424" s="3" t="n"/>
      <c r="D424" s="7" t="inlineStr">
        <is>
          <t> </t>
        </is>
      </c>
      <c r="E424" s="3" t="n"/>
      <c r="F424" s="322" t="n"/>
      <c r="G424" s="321" t="inlineStr"/>
      <c r="H424" s="334" t="inlineStr"/>
      <c r="I424" s="334" t="inlineStr"/>
      <c r="J424" s="334" t="inlineStr"/>
      <c r="K424" s="374" t="n"/>
      <c r="L424" s="334" t="inlineStr"/>
      <c r="M424" s="334" t="inlineStr"/>
      <c r="N424" s="334" t="inlineStr"/>
      <c r="O424" s="354" t="inlineStr"/>
      <c r="P424" s="334" t="inlineStr"/>
      <c r="Q424" s="334" t="inlineStr"/>
      <c r="R424" s="334" t="inlineStr"/>
      <c r="S424" s="354" t="inlineStr"/>
      <c r="T424" t="inlineStr"/>
      <c r="U424" t="inlineStr"/>
    </row>
    <row r="425" ht="22.2" customHeight="1" s="375">
      <c r="A425" s="3" t="n"/>
      <c r="E425" s="3" t="n"/>
      <c r="G425" s="344" t="inlineStr"/>
      <c r="H425" s="336" t="inlineStr"/>
      <c r="I425" s="336" t="inlineStr"/>
      <c r="J425" s="336" t="inlineStr"/>
      <c r="K425" s="527" t="n"/>
      <c r="L425" s="334" t="inlineStr"/>
      <c r="M425" s="334" t="inlineStr"/>
      <c r="N425" s="334" t="inlineStr"/>
      <c r="O425" s="354" t="inlineStr"/>
      <c r="P425" s="334" t="inlineStr"/>
      <c r="Q425" s="334" t="inlineStr"/>
      <c r="R425" s="334" t="inlineStr"/>
      <c r="S425" s="354" t="inlineStr"/>
      <c r="T425" t="inlineStr"/>
      <c r="U425" t="inlineStr"/>
    </row>
    <row r="426" ht="22.2" customHeight="1" s="375">
      <c r="A426" s="3" t="n"/>
      <c r="B426" s="321" t="n"/>
      <c r="C426" s="322" t="n"/>
      <c r="D426" s="322" t="n"/>
      <c r="E426" s="334" t="n"/>
      <c r="G426" s="533" t="inlineStr">
        <is>
          <t>อังคาร</t>
        </is>
      </c>
      <c r="H426" s="376" t="inlineStr">
        <is>
          <t>20101-2009</t>
        </is>
      </c>
      <c r="I426" s="376" t="inlineStr">
        <is>
          <t>ชย.2/4 (26)</t>
        </is>
      </c>
      <c r="J426" s="381" t="inlineStr">
        <is>
          <t>08:10 - 12:10</t>
        </is>
      </c>
      <c r="K426" s="135" t="n"/>
      <c r="L426" s="367" t="n">
        <v>4</v>
      </c>
      <c r="M426" s="381" t="inlineStr"/>
      <c r="N426" s="381" t="inlineStr"/>
      <c r="O426" s="354" t="inlineStr"/>
      <c r="P426" s="381" t="inlineStr"/>
      <c r="Q426" s="367" t="inlineStr"/>
      <c r="R426" s="381" t="inlineStr"/>
      <c r="S426" s="354" t="inlineStr"/>
      <c r="T426" t="inlineStr"/>
      <c r="U426" t="inlineStr"/>
    </row>
    <row r="427" ht="22.2" customHeight="1" s="375">
      <c r="A427" s="3" t="n"/>
      <c r="B427" s="313" t="n"/>
      <c r="D427" s="314" t="n"/>
      <c r="E427" s="314" t="n"/>
      <c r="G427" s="535" t="inlineStr">
        <is>
          <t>6 ต.ค.69</t>
        </is>
      </c>
      <c r="H427" s="376" t="inlineStr">
        <is>
          <t>20101-2009</t>
        </is>
      </c>
      <c r="I427" s="376" t="inlineStr">
        <is>
          <t>ชย.2/3 (26)</t>
        </is>
      </c>
      <c r="J427" s="334" t="inlineStr">
        <is>
          <t>13:10 - 17:10</t>
        </is>
      </c>
      <c r="K427" s="374" t="n"/>
      <c r="L427" s="334" t="n">
        <v>4</v>
      </c>
      <c r="M427" s="334" t="inlineStr"/>
      <c r="N427" s="334" t="inlineStr"/>
      <c r="O427" s="354" t="inlineStr"/>
      <c r="P427" s="334" t="inlineStr"/>
      <c r="Q427" s="334" t="inlineStr"/>
      <c r="R427" s="334" t="inlineStr"/>
      <c r="S427" s="354" t="inlineStr"/>
      <c r="T427" t="inlineStr"/>
      <c r="U427" t="inlineStr"/>
    </row>
    <row r="428" ht="22.2" customHeight="1" s="375">
      <c r="A428" s="3" t="n"/>
      <c r="B428" s="313" t="n"/>
      <c r="D428" s="314" t="n"/>
      <c r="E428" s="314" t="n"/>
      <c r="G428" s="334" t="inlineStr"/>
      <c r="H428" s="376" t="inlineStr"/>
      <c r="I428" s="376" t="inlineStr"/>
      <c r="J428" s="334" t="inlineStr"/>
      <c r="K428" s="374" t="n"/>
      <c r="L428" s="334" t="inlineStr"/>
      <c r="M428" s="334" t="inlineStr"/>
      <c r="N428" s="334" t="inlineStr"/>
      <c r="O428" s="354" t="inlineStr"/>
      <c r="P428" s="334" t="inlineStr"/>
      <c r="Q428" s="334" t="inlineStr"/>
      <c r="R428" s="334" t="inlineStr"/>
      <c r="S428" s="354" t="inlineStr"/>
      <c r="T428" t="inlineStr"/>
      <c r="U428" t="inlineStr"/>
    </row>
    <row r="429" ht="22.2" customHeight="1" s="375">
      <c r="A429" s="3" t="n"/>
      <c r="E429" s="3" t="n"/>
      <c r="G429" s="54" t="inlineStr"/>
      <c r="H429" s="322" t="inlineStr"/>
      <c r="I429" s="334" t="inlineStr"/>
      <c r="J429" s="334" t="inlineStr"/>
      <c r="K429" s="374" t="n"/>
      <c r="L429" s="334" t="inlineStr"/>
      <c r="M429" s="334" t="inlineStr"/>
      <c r="N429" s="334" t="inlineStr"/>
      <c r="O429" s="354" t="inlineStr"/>
      <c r="P429" s="334" t="inlineStr"/>
      <c r="Q429" s="334" t="inlineStr"/>
      <c r="R429" s="334" t="inlineStr"/>
      <c r="S429" s="354" t="inlineStr"/>
      <c r="T429" t="inlineStr"/>
      <c r="U429" t="inlineStr"/>
    </row>
    <row r="430" ht="22.2" customHeight="1" s="375">
      <c r="A430" s="3" t="n"/>
      <c r="D430" s="7" t="inlineStr">
        <is>
          <t> </t>
        </is>
      </c>
      <c r="E430" s="3" t="n"/>
      <c r="G430" s="55" t="inlineStr"/>
      <c r="H430" s="336" t="inlineStr"/>
      <c r="I430" s="336" t="inlineStr"/>
      <c r="J430" s="336" t="inlineStr"/>
      <c r="K430" s="527" t="n"/>
      <c r="L430" s="334" t="inlineStr"/>
      <c r="M430" s="334" t="inlineStr"/>
      <c r="N430" s="334" t="inlineStr"/>
      <c r="O430" s="354" t="inlineStr"/>
      <c r="P430" s="334" t="inlineStr"/>
      <c r="Q430" s="334" t="inlineStr"/>
      <c r="R430" s="334" t="inlineStr"/>
      <c r="S430" s="354" t="inlineStr"/>
      <c r="T430" t="inlineStr"/>
      <c r="U430" t="inlineStr"/>
    </row>
    <row r="431" ht="22.2" customHeight="1" s="375">
      <c r="A431" s="3" t="n"/>
      <c r="E431" s="3" t="n"/>
      <c r="G431" s="535" t="inlineStr">
        <is>
          <t>พุธ</t>
        </is>
      </c>
      <c r="H431" s="376" t="inlineStr">
        <is>
          <t>20100-1007</t>
        </is>
      </c>
      <c r="I431" s="376" t="inlineStr">
        <is>
          <t>ชย.2/1 (26)</t>
        </is>
      </c>
      <c r="J431" s="381" t="inlineStr">
        <is>
          <t>08:10 - 12:10</t>
        </is>
      </c>
      <c r="K431" s="135" t="n"/>
      <c r="L431" s="367" t="n">
        <v>4</v>
      </c>
      <c r="M431" s="381" t="inlineStr"/>
      <c r="N431" s="381" t="inlineStr"/>
      <c r="O431" s="354" t="inlineStr"/>
      <c r="P431" s="381" t="inlineStr"/>
      <c r="Q431" s="367" t="inlineStr"/>
      <c r="R431" s="381" t="inlineStr"/>
      <c r="S431" s="354" t="inlineStr"/>
      <c r="T431" t="inlineStr"/>
      <c r="U431" t="inlineStr"/>
    </row>
    <row r="432" ht="22.2" customHeight="1" s="375">
      <c r="A432" s="3" t="n"/>
      <c r="B432" s="321" t="n"/>
      <c r="C432" s="322" t="n"/>
      <c r="D432" s="322" t="n"/>
      <c r="E432" s="334" t="n"/>
      <c r="G432" s="535" t="inlineStr">
        <is>
          <t>7 ต.ค.69</t>
        </is>
      </c>
      <c r="H432" s="376" t="inlineStr">
        <is>
          <t>20100-1007</t>
        </is>
      </c>
      <c r="I432" s="376" t="inlineStr">
        <is>
          <t>ชย.2/2 (26)</t>
        </is>
      </c>
      <c r="J432" s="334" t="inlineStr">
        <is>
          <t>13:10 - 17:10</t>
        </is>
      </c>
      <c r="K432" s="374" t="n"/>
      <c r="L432" s="334" t="inlineStr"/>
      <c r="M432" s="334" t="n">
        <v>4</v>
      </c>
      <c r="N432" s="334" t="n">
        <v>200</v>
      </c>
      <c r="O432" s="354">
        <f>M432*N432</f>
        <v/>
      </c>
      <c r="P432" s="334" t="inlineStr"/>
      <c r="Q432" s="334" t="inlineStr"/>
      <c r="R432" s="334" t="inlineStr"/>
      <c r="S432" s="354" t="inlineStr"/>
      <c r="T432" t="inlineStr"/>
      <c r="U432" t="inlineStr"/>
    </row>
    <row r="433" ht="22.2" customHeight="1" s="375">
      <c r="A433" s="3" t="n"/>
      <c r="B433" s="313" t="n"/>
      <c r="D433" s="314" t="n"/>
      <c r="E433" s="314" t="n"/>
      <c r="G433" s="334" t="inlineStr"/>
      <c r="H433" s="376" t="inlineStr"/>
      <c r="I433" s="376" t="inlineStr"/>
      <c r="J433" s="334" t="inlineStr"/>
      <c r="K433" s="374" t="n"/>
      <c r="L433" s="334" t="inlineStr"/>
      <c r="M433" s="334" t="inlineStr"/>
      <c r="N433" s="334" t="inlineStr"/>
      <c r="O433" s="354" t="inlineStr"/>
      <c r="P433" s="334" t="inlineStr"/>
      <c r="Q433" s="334" t="inlineStr"/>
      <c r="R433" s="334" t="inlineStr"/>
      <c r="S433" s="354" t="inlineStr"/>
      <c r="T433" t="inlineStr"/>
      <c r="U433" t="inlineStr"/>
    </row>
    <row r="434" ht="22.2" customHeight="1" s="375">
      <c r="A434" s="3" t="n"/>
      <c r="E434" s="3" t="n"/>
      <c r="G434" s="321" t="inlineStr"/>
      <c r="H434" s="334" t="inlineStr"/>
      <c r="I434" s="334" t="inlineStr"/>
      <c r="J434" s="334" t="inlineStr"/>
      <c r="K434" s="374" t="n"/>
      <c r="L434" s="334" t="inlineStr"/>
      <c r="M434" s="334" t="inlineStr"/>
      <c r="N434" s="334" t="inlineStr"/>
      <c r="O434" s="354" t="inlineStr"/>
      <c r="P434" s="334" t="inlineStr"/>
      <c r="Q434" s="334" t="inlineStr"/>
      <c r="R434" s="334" t="inlineStr"/>
      <c r="S434" s="354" t="inlineStr"/>
      <c r="T434" t="inlineStr"/>
      <c r="U434" t="inlineStr"/>
    </row>
    <row r="435" ht="22.2" customHeight="1" s="375">
      <c r="A435" s="3" t="n"/>
      <c r="E435" s="3" t="n"/>
      <c r="G435" s="327" t="inlineStr"/>
      <c r="H435" s="336" t="inlineStr"/>
      <c r="I435" s="336" t="inlineStr"/>
      <c r="J435" s="336" t="inlineStr"/>
      <c r="K435" s="527" t="n"/>
      <c r="L435" s="336" t="inlineStr"/>
      <c r="M435" s="336" t="inlineStr"/>
      <c r="N435" s="336" t="inlineStr"/>
      <c r="O435" s="354" t="inlineStr"/>
      <c r="P435" s="336" t="inlineStr"/>
      <c r="Q435" s="336" t="inlineStr"/>
      <c r="R435" s="336" t="inlineStr"/>
      <c r="S435" s="354" t="inlineStr"/>
      <c r="T435" t="inlineStr"/>
      <c r="U435" t="inlineStr"/>
    </row>
    <row r="436" ht="22.2" customHeight="1" s="375">
      <c r="A436" s="3" t="n"/>
      <c r="E436" s="3" t="n"/>
      <c r="G436" s="533" t="inlineStr">
        <is>
          <t>พฤหัส</t>
        </is>
      </c>
      <c r="H436" s="376" t="inlineStr">
        <is>
          <t>20100-1007</t>
        </is>
      </c>
      <c r="I436" s="376" t="inlineStr">
        <is>
          <t>ชย.2/3 (26)</t>
        </is>
      </c>
      <c r="J436" s="381" t="inlineStr">
        <is>
          <t>08:10 - 12:10</t>
        </is>
      </c>
      <c r="K436" s="135" t="n"/>
      <c r="L436" s="334" t="inlineStr"/>
      <c r="M436" s="334" t="n">
        <v>4</v>
      </c>
      <c r="N436" s="334" t="n">
        <v>200</v>
      </c>
      <c r="O436" s="354">
        <f>M436*N436</f>
        <v/>
      </c>
      <c r="P436" s="334" t="inlineStr"/>
      <c r="Q436" s="362" t="inlineStr"/>
      <c r="R436" s="362" t="inlineStr"/>
      <c r="S436" s="354" t="inlineStr"/>
      <c r="T436" s="6" t="inlineStr"/>
      <c r="U436" s="22" t="inlineStr"/>
      <c r="V436" s="57" t="n"/>
      <c r="W436" s="21" t="n"/>
      <c r="X436" s="21" t="n"/>
    </row>
    <row r="437" ht="22.2" customHeight="1" s="375">
      <c r="A437" s="3" t="n"/>
      <c r="E437" s="3" t="n"/>
      <c r="G437" s="535" t="inlineStr">
        <is>
          <t>8 ต.ค.69</t>
        </is>
      </c>
      <c r="H437" s="376" t="inlineStr">
        <is>
          <t>20000-2002</t>
        </is>
      </c>
      <c r="I437" s="376" t="inlineStr">
        <is>
          <t>ชย.1/7,ชย.1/8 (26)</t>
        </is>
      </c>
      <c r="J437" s="334" t="inlineStr">
        <is>
          <t>13:10 - 15:10</t>
        </is>
      </c>
      <c r="K437" s="374" t="n"/>
      <c r="L437" s="334" t="n">
        <v>2</v>
      </c>
      <c r="M437" s="334" t="inlineStr"/>
      <c r="N437" s="334" t="inlineStr"/>
      <c r="O437" s="354" t="inlineStr"/>
      <c r="P437" s="334" t="inlineStr"/>
      <c r="Q437" s="334" t="inlineStr"/>
      <c r="R437" s="334" t="inlineStr"/>
      <c r="S437" s="354" t="inlineStr"/>
      <c r="T437" s="21" t="inlineStr"/>
      <c r="U437" s="22" t="inlineStr"/>
      <c r="V437" s="57" t="n"/>
      <c r="W437" s="21" t="n"/>
      <c r="X437" s="21" t="n"/>
    </row>
    <row r="438" ht="22.2" customHeight="1" s="375">
      <c r="A438" s="3" t="n"/>
      <c r="B438" s="313" t="n"/>
      <c r="E438" s="3" t="n"/>
      <c r="G438" s="334" t="inlineStr"/>
      <c r="H438" s="376" t="inlineStr"/>
      <c r="I438" s="376" t="inlineStr"/>
      <c r="J438" s="334" t="inlineStr"/>
      <c r="K438" s="374" t="n"/>
      <c r="L438" s="376" t="inlineStr"/>
      <c r="M438" s="376" t="inlineStr"/>
      <c r="N438" s="376" t="inlineStr"/>
      <c r="O438" s="354" t="inlineStr"/>
      <c r="P438" s="376" t="inlineStr"/>
      <c r="Q438" s="376" t="inlineStr"/>
      <c r="R438" s="376" t="inlineStr"/>
      <c r="S438" s="354" t="inlineStr"/>
      <c r="T438" t="inlineStr"/>
      <c r="U438" t="inlineStr"/>
    </row>
    <row r="439" ht="22.2" customHeight="1" s="375">
      <c r="A439" s="3" t="n"/>
      <c r="E439" s="3" t="n"/>
      <c r="G439" s="334" t="inlineStr"/>
      <c r="H439" s="334" t="inlineStr"/>
      <c r="I439" s="334" t="inlineStr"/>
      <c r="J439" s="334" t="inlineStr"/>
      <c r="K439" s="374" t="n"/>
      <c r="L439" s="334" t="inlineStr"/>
      <c r="M439" s="334" t="inlineStr"/>
      <c r="N439" s="334" t="inlineStr"/>
      <c r="O439" s="354" t="inlineStr"/>
      <c r="P439" s="334" t="inlineStr"/>
      <c r="Q439" s="334" t="inlineStr"/>
      <c r="R439" s="334" t="inlineStr"/>
      <c r="S439" s="354" t="inlineStr"/>
      <c r="T439" t="inlineStr"/>
      <c r="U439" t="inlineStr"/>
    </row>
    <row r="440" ht="22.2" customHeight="1" s="375">
      <c r="A440" s="3" t="n"/>
      <c r="E440" s="3" t="n"/>
      <c r="G440" s="336" t="inlineStr"/>
      <c r="H440" s="328" t="inlineStr"/>
      <c r="I440" s="336" t="inlineStr"/>
      <c r="J440" s="336" t="inlineStr"/>
      <c r="K440" s="527" t="n"/>
      <c r="L440" s="336" t="inlineStr"/>
      <c r="M440" s="336" t="inlineStr"/>
      <c r="N440" s="336" t="inlineStr"/>
      <c r="O440" s="354" t="inlineStr"/>
      <c r="P440" s="336" t="inlineStr"/>
      <c r="Q440" s="336" t="inlineStr"/>
      <c r="R440" s="336" t="inlineStr"/>
      <c r="S440" s="354" t="inlineStr"/>
      <c r="T440" t="inlineStr"/>
      <c r="U440" t="inlineStr"/>
    </row>
    <row r="441" ht="22.2" customHeight="1" s="375">
      <c r="A441" s="3" t="n"/>
      <c r="E441" s="3" t="n"/>
      <c r="G441" s="533" t="inlineStr">
        <is>
          <t>ศุกร์</t>
        </is>
      </c>
      <c r="H441" s="376" t="inlineStr">
        <is>
          <t>20101-2009</t>
        </is>
      </c>
      <c r="I441" s="376" t="inlineStr">
        <is>
          <t>ชยฟ.2/1 (26)</t>
        </is>
      </c>
      <c r="J441" s="381" t="inlineStr">
        <is>
          <t>08:10 - 12:10</t>
        </is>
      </c>
      <c r="K441" s="135" t="n"/>
      <c r="L441" s="334" t="inlineStr"/>
      <c r="M441" s="334" t="n">
        <v>4</v>
      </c>
      <c r="N441" s="334" t="n">
        <v>200</v>
      </c>
      <c r="O441" s="354">
        <f>M441*N441</f>
        <v/>
      </c>
      <c r="P441" s="381" t="inlineStr"/>
      <c r="Q441" s="367" t="inlineStr"/>
      <c r="R441" s="381" t="inlineStr"/>
      <c r="S441" s="354" t="inlineStr"/>
      <c r="T441" t="inlineStr"/>
      <c r="U441" t="inlineStr"/>
    </row>
    <row r="442" ht="22.2" customHeight="1" s="375">
      <c r="A442" s="3" t="n"/>
      <c r="E442" s="3" t="n"/>
      <c r="G442" s="535" t="inlineStr">
        <is>
          <t>9 ต.ค.69</t>
        </is>
      </c>
      <c r="H442" s="376" t="inlineStr"/>
      <c r="I442" s="376" t="inlineStr"/>
      <c r="J442" s="334" t="inlineStr"/>
      <c r="K442" s="374" t="n"/>
      <c r="L442" s="334" t="inlineStr"/>
      <c r="M442" s="334" t="inlineStr"/>
      <c r="N442" s="334" t="inlineStr"/>
      <c r="O442" s="354" t="inlineStr"/>
      <c r="P442" s="334" t="inlineStr"/>
      <c r="Q442" s="334" t="inlineStr"/>
      <c r="R442" s="334" t="inlineStr"/>
      <c r="S442" s="354" t="inlineStr"/>
      <c r="T442" t="inlineStr"/>
      <c r="U442" t="inlineStr"/>
    </row>
    <row r="443" ht="22.2" customHeight="1" s="375">
      <c r="A443" s="3" t="n"/>
      <c r="E443" s="3" t="n"/>
      <c r="G443" s="334" t="inlineStr"/>
      <c r="H443" s="334" t="inlineStr"/>
      <c r="I443" s="334" t="inlineStr"/>
      <c r="J443" s="334" t="inlineStr"/>
      <c r="K443" s="374" t="n"/>
      <c r="L443" s="334" t="inlineStr"/>
      <c r="M443" s="334" t="inlineStr"/>
      <c r="N443" s="334" t="inlineStr"/>
      <c r="O443" s="354" t="inlineStr"/>
      <c r="P443" s="334" t="inlineStr"/>
      <c r="Q443" s="334" t="inlineStr"/>
      <c r="R443" s="334" t="inlineStr"/>
      <c r="S443" s="354" t="inlineStr"/>
      <c r="T443" t="inlineStr"/>
      <c r="U443" t="inlineStr"/>
    </row>
    <row r="444" ht="22.2" customHeight="1" s="375">
      <c r="A444" s="3" t="n"/>
      <c r="E444" s="3" t="n"/>
      <c r="G444" s="334" t="inlineStr"/>
      <c r="H444" s="322" t="inlineStr"/>
      <c r="I444" s="334" t="inlineStr"/>
      <c r="J444" s="334" t="inlineStr"/>
      <c r="K444" s="374" t="n"/>
      <c r="L444" s="334" t="inlineStr"/>
      <c r="M444" s="334" t="inlineStr"/>
      <c r="N444" s="334" t="inlineStr"/>
      <c r="O444" s="354" t="inlineStr"/>
      <c r="P444" s="334" t="inlineStr"/>
      <c r="Q444" s="334" t="inlineStr"/>
      <c r="R444" s="334" t="inlineStr"/>
      <c r="S444" s="354" t="inlineStr"/>
      <c r="T444" t="inlineStr"/>
      <c r="U444" t="inlineStr"/>
    </row>
    <row r="445" ht="22.2" customHeight="1" s="375">
      <c r="A445" s="3" t="n"/>
      <c r="E445" s="3" t="n"/>
      <c r="F445" s="3" t="n"/>
      <c r="G445" s="329" t="inlineStr"/>
      <c r="H445" s="328" t="inlineStr"/>
      <c r="I445" s="336" t="inlineStr"/>
      <c r="J445" s="336" t="inlineStr"/>
      <c r="K445" s="527" t="n"/>
      <c r="L445" s="336" t="inlineStr"/>
      <c r="M445" s="336" t="inlineStr"/>
      <c r="N445" s="336" t="inlineStr"/>
      <c r="O445" s="354" t="inlineStr"/>
      <c r="P445" s="336" t="inlineStr"/>
      <c r="Q445" s="336" t="inlineStr"/>
      <c r="R445" s="336" t="inlineStr"/>
      <c r="S445" s="354" t="inlineStr"/>
      <c r="T445" t="inlineStr"/>
      <c r="U445" t="inlineStr"/>
    </row>
    <row r="446" ht="22.2" customHeight="1" s="375">
      <c r="A446" s="3" t="n"/>
      <c r="E446" s="3" t="n"/>
      <c r="F446" s="3" t="n"/>
      <c r="G446" s="16" t="inlineStr">
        <is>
          <t>รวมขั่วโมงที่สอนแยก ภาระงาน/ เกินภาระงาน</t>
        </is>
      </c>
      <c r="H446" s="518" t="n"/>
      <c r="I446" s="518" t="n"/>
      <c r="J446" s="518" t="n"/>
      <c r="K446" s="432" t="n"/>
      <c r="L446" s="16">
        <f>SUM(L421:L445)</f>
        <v/>
      </c>
      <c r="M446" s="16">
        <f>SUM(M421:M445)</f>
        <v/>
      </c>
      <c r="N446" s="16" t="n"/>
      <c r="O446" s="16" t="n"/>
      <c r="P446" s="16">
        <f>SUM(P421:P445)</f>
        <v/>
      </c>
      <c r="Q446" s="16">
        <f>SUM(Q421:Q445)</f>
        <v/>
      </c>
      <c r="R446" s="349" t="n"/>
      <c r="S446" s="16" t="n"/>
    </row>
    <row r="447" ht="22.2" customHeight="1" s="375">
      <c r="A447" s="3" t="n"/>
      <c r="E447" s="3" t="n"/>
      <c r="F447" s="3" t="n"/>
      <c r="G447" s="16" t="inlineStr">
        <is>
          <t>รวมจำนวนชั่วโมงสอนคาบต่อสับดาห์</t>
        </is>
      </c>
      <c r="H447" s="518" t="n"/>
      <c r="I447" s="518" t="n"/>
      <c r="J447" s="518" t="n"/>
      <c r="K447" s="432" t="n"/>
      <c r="L447" s="16">
        <f>L446+M446</f>
        <v/>
      </c>
      <c r="M447" s="432" t="n"/>
      <c r="N447" s="348" t="n"/>
      <c r="O447" s="16" t="n"/>
      <c r="P447" s="16">
        <f>P446+Q446</f>
        <v/>
      </c>
      <c r="Q447" s="432" t="n"/>
      <c r="R447" s="329" t="n"/>
      <c r="S447" s="336" t="n"/>
    </row>
    <row r="448" ht="22.2" customHeight="1" s="375">
      <c r="A448" s="3" t="n"/>
      <c r="E448" s="3" t="n"/>
      <c r="F448" s="3" t="n"/>
      <c r="G448" s="16" t="inlineStr">
        <is>
          <t>จำนวนชั่วโมงสอนตามภาระงานสอน</t>
        </is>
      </c>
      <c r="H448" s="518" t="n"/>
      <c r="I448" s="518" t="n"/>
      <c r="J448" s="518" t="n"/>
      <c r="K448" s="432" t="n"/>
      <c r="L448" s="541" t="n">
        <v>18</v>
      </c>
      <c r="M448" s="432" t="n"/>
      <c r="N448" s="129" t="n"/>
      <c r="O448" s="132" t="n"/>
      <c r="P448" s="131" t="n">
        <v>0</v>
      </c>
      <c r="Q448" s="432" t="n"/>
      <c r="R448" s="322" t="n"/>
      <c r="S448" s="334" t="n"/>
    </row>
    <row r="449" ht="22.2" customHeight="1" s="375" thickBot="1">
      <c r="A449" s="3" t="n"/>
      <c r="E449" s="3" t="n"/>
      <c r="F449" s="14" t="n"/>
      <c r="G449" s="16" t="inlineStr">
        <is>
          <t>จำนวนชั่วโมงบิกเกินภาระงานสอน/ค่าสอน</t>
        </is>
      </c>
      <c r="H449" s="518" t="n"/>
      <c r="I449" s="518" t="n"/>
      <c r="J449" s="518" t="n"/>
      <c r="K449" s="432" t="n"/>
      <c r="L449" s="17" t="n">
        <v>0</v>
      </c>
      <c r="M449" s="17">
        <f>SUM(M421:M445)</f>
        <v/>
      </c>
      <c r="N449" s="17" t="n"/>
      <c r="O449" s="17">
        <f>SUM(O421:O445)</f>
        <v/>
      </c>
      <c r="P449" s="17" t="n">
        <v>0</v>
      </c>
      <c r="Q449" s="17">
        <f>SUM(Q421:Q445)</f>
        <v/>
      </c>
      <c r="R449" s="18" t="n"/>
      <c r="S449" s="17">
        <f>SUM(S421:S445)</f>
        <v/>
      </c>
    </row>
    <row r="450" ht="22.2" customHeight="1" s="375" thickTop="1">
      <c r="A450" s="337" t="inlineStr">
        <is>
          <t>รวมจำนวนหน่วยชั่วโมงที่ขอเบิกค่าสอน ….</t>
        </is>
      </c>
      <c r="B450" s="518" t="n"/>
      <c r="C450" s="518" t="n"/>
      <c r="D450" s="518" t="n"/>
      <c r="E450" s="518" t="n"/>
      <c r="F450" s="518" t="n"/>
      <c r="G450" s="518" t="n"/>
      <c r="H450" s="348">
        <f>M449+Q449</f>
        <v/>
      </c>
      <c r="I450" s="348" t="inlineStr">
        <is>
          <t>….ชั่วโมง</t>
        </is>
      </c>
      <c r="J450" s="348" t="n"/>
      <c r="K450" s="328" t="inlineStr">
        <is>
          <t>ยอดเงินรวม</t>
        </is>
      </c>
      <c r="L450" s="522" t="n"/>
      <c r="M450" s="522" t="n"/>
      <c r="N450" s="328" t="n"/>
      <c r="O450" s="328" t="n"/>
      <c r="P450" s="339">
        <f>S449+O449</f>
        <v/>
      </c>
      <c r="Q450" s="538" t="n"/>
      <c r="R450" s="20" t="n"/>
      <c r="S450" s="19" t="inlineStr">
        <is>
          <t>..บาท</t>
        </is>
      </c>
    </row>
    <row r="451" ht="22.2" customHeight="1" s="375">
      <c r="A451" s="154" t="inlineStr">
        <is>
          <t>ผู้ขอเบิก</t>
        </is>
      </c>
      <c r="B451" s="153" t="n"/>
      <c r="C451" s="153" t="n"/>
      <c r="D451" s="153" t="n"/>
      <c r="E451" s="153" t="n"/>
      <c r="F451" s="153" t="n"/>
      <c r="G451" s="135" t="n"/>
      <c r="H451" s="154" t="inlineStr">
        <is>
          <t>ผู้รับรอง</t>
        </is>
      </c>
      <c r="I451" s="153" t="n"/>
      <c r="J451" s="153" t="n"/>
      <c r="K451" s="153" t="n"/>
      <c r="L451" s="135" t="n"/>
      <c r="M451" s="154" t="inlineStr">
        <is>
          <t>ผู้ตรวจ</t>
        </is>
      </c>
      <c r="N451" s="153" t="n"/>
      <c r="O451" s="153" t="n"/>
      <c r="P451" s="153" t="n"/>
      <c r="Q451" s="153" t="n"/>
      <c r="R451" s="153" t="n"/>
      <c r="S451" s="135" t="n"/>
    </row>
    <row r="452" ht="22.2" customHeight="1" s="375">
      <c r="A452" s="334" t="inlineStr">
        <is>
          <t>ลงชื่อ……………………………………………</t>
        </is>
      </c>
      <c r="G452" s="374" t="n"/>
      <c r="H452" s="334" t="inlineStr">
        <is>
          <t>ลงชื่อ……………………………………………</t>
        </is>
      </c>
      <c r="L452" s="374" t="n"/>
      <c r="M452" s="334" t="inlineStr">
        <is>
          <t>ลงชื่อ……………………………………………</t>
        </is>
      </c>
      <c r="S452" s="374" t="n"/>
    </row>
    <row r="453" ht="22.2" customHeight="1" s="375">
      <c r="A453" s="11" t="inlineStr">
        <is>
          <t>(</t>
        </is>
      </c>
      <c r="B453" s="324">
        <f>B421</f>
        <v/>
      </c>
      <c r="G453" s="326" t="inlineStr">
        <is>
          <t>)</t>
        </is>
      </c>
      <c r="H453" s="324" t="inlineStr">
        <is>
          <t>(</t>
        </is>
      </c>
      <c r="I453" s="340">
        <f>I407</f>
        <v/>
      </c>
      <c r="L453" s="12" t="inlineStr">
        <is>
          <t>)</t>
        </is>
      </c>
      <c r="M453" s="53" t="inlineStr">
        <is>
          <t>(</t>
        </is>
      </c>
      <c r="N453" s="53" t="n"/>
      <c r="O453" s="324">
        <f>O39</f>
        <v/>
      </c>
      <c r="R453" s="25" t="n"/>
      <c r="S453" s="326" t="inlineStr">
        <is>
          <t>)</t>
        </is>
      </c>
    </row>
    <row r="454" ht="22.2" customHeight="1" s="375">
      <c r="A454" s="540" t="inlineStr">
        <is>
          <t xml:space="preserve">                         ตำแหน่ง  ครู</t>
        </is>
      </c>
      <c r="G454" s="374" t="n"/>
      <c r="H454" s="54" t="inlineStr">
        <is>
          <t>ตำแหน่ง หัวหน้าแผนก</t>
        </is>
      </c>
      <c r="L454" s="374" t="n"/>
      <c r="M454" s="54" t="inlineStr">
        <is>
          <t>ตำแหน่ง   ผู้ตรวจสอบ</t>
        </is>
      </c>
      <c r="S454" s="374" t="n"/>
    </row>
    <row r="455" ht="22.2" customHeight="1" s="375">
      <c r="A455" s="55" t="inlineStr">
        <is>
          <t>วันที่ 12 เดือน ตุลาคม  พ.ศ.2569</t>
        </is>
      </c>
      <c r="B455" s="522" t="n"/>
      <c r="C455" s="522" t="n"/>
      <c r="D455" s="522" t="n"/>
      <c r="E455" s="522" t="n"/>
      <c r="F455" s="522" t="n"/>
      <c r="G455" s="527" t="n"/>
      <c r="H455" s="54">
        <f>A41</f>
        <v/>
      </c>
      <c r="L455" s="374" t="n"/>
      <c r="M455" s="55">
        <f>A41</f>
        <v/>
      </c>
      <c r="N455" s="522" t="n"/>
      <c r="O455" s="522" t="n"/>
      <c r="P455" s="522" t="n"/>
      <c r="Q455" s="522" t="n"/>
      <c r="R455" s="522" t="n"/>
      <c r="S455" s="527" t="n"/>
    </row>
    <row r="456" ht="22.2" customHeight="1" s="375">
      <c r="A456" s="154" t="inlineStr">
        <is>
          <t>ผู้ตรวจ</t>
        </is>
      </c>
      <c r="B456" s="153" t="n"/>
      <c r="C456" s="153" t="n"/>
      <c r="D456" s="153" t="n"/>
      <c r="E456" s="153" t="n"/>
      <c r="F456" s="153" t="n"/>
      <c r="G456" s="153" t="n"/>
      <c r="H456" s="153" t="n"/>
      <c r="I456" s="135" t="n"/>
      <c r="J456" s="154" t="inlineStr">
        <is>
          <t>ผู้เห็นชอบ</t>
        </is>
      </c>
      <c r="K456" s="153" t="n"/>
      <c r="L456" s="153" t="n"/>
      <c r="M456" s="153" t="n"/>
      <c r="N456" s="153" t="n"/>
      <c r="O456" s="153" t="n"/>
      <c r="P456" s="153" t="n"/>
      <c r="Q456" s="153" t="n"/>
      <c r="R456" s="153" t="n"/>
      <c r="S456" s="135" t="n"/>
    </row>
    <row r="457" ht="22.2" customHeight="1" s="375">
      <c r="A457" s="334" t="inlineStr">
        <is>
          <t>ลงชื่อ……………………………………………</t>
        </is>
      </c>
      <c r="I457" s="374" t="n"/>
      <c r="J457" s="334" t="inlineStr">
        <is>
          <t>ลงชื่อ……………………………………………</t>
        </is>
      </c>
      <c r="S457" s="374" t="n"/>
    </row>
    <row r="458" ht="22.2" customHeight="1" s="375">
      <c r="A458" s="11" t="n"/>
      <c r="B458" s="324">
        <f>B44</f>
        <v/>
      </c>
      <c r="I458" s="326" t="n"/>
      <c r="J458" s="25" t="n"/>
      <c r="K458" s="25" t="n"/>
      <c r="L458" s="324">
        <f>L44</f>
        <v/>
      </c>
      <c r="R458" s="25" t="n"/>
      <c r="S458" s="12" t="n"/>
    </row>
    <row r="459" ht="22.2" customHeight="1" s="375">
      <c r="A459" s="54" t="inlineStr">
        <is>
          <t>ตำแหน่งครู  หัวหน้างานพัฒนาหลักสูตร ฯ</t>
        </is>
      </c>
      <c r="I459" s="374" t="n"/>
      <c r="J459" s="54" t="inlineStr">
        <is>
          <t>ตำแหน่ง  รองผู้อำนวยการฝ่ายวิชาการ</t>
        </is>
      </c>
      <c r="S459" s="374" t="n"/>
    </row>
    <row r="460" ht="22.2" customHeight="1" s="375">
      <c r="A460" s="336" t="inlineStr">
        <is>
          <t>วันที่.......เดือน..........................พ.ศ..............</t>
        </is>
      </c>
      <c r="B460" s="522" t="n"/>
      <c r="C460" s="522" t="n"/>
      <c r="D460" s="522" t="n"/>
      <c r="E460" s="522" t="n"/>
      <c r="F460" s="522" t="n"/>
      <c r="G460" s="522" t="n"/>
      <c r="H460" s="522" t="n"/>
      <c r="I460" s="527" t="n"/>
      <c r="J460" s="336" t="inlineStr">
        <is>
          <t>วันที่.......เดือน..........................พ.ศ..............</t>
        </is>
      </c>
      <c r="K460" s="522" t="n"/>
      <c r="L460" s="522" t="n"/>
      <c r="M460" s="522" t="n"/>
      <c r="N460" s="522" t="n"/>
      <c r="O460" s="522" t="n"/>
      <c r="P460" s="522" t="n"/>
      <c r="Q460" s="522" t="n"/>
      <c r="R460" s="522" t="n"/>
      <c r="S460" s="527" t="n"/>
    </row>
    <row r="461" ht="22.2" customHeight="1" s="375">
      <c r="A461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75">
      <c r="A462" s="365" t="inlineStr">
        <is>
          <t>แผนกวิชาช่างยนต์</t>
        </is>
      </c>
    </row>
    <row r="463" ht="22.2" customHeight="1" s="375">
      <c r="A463" s="366" t="inlineStr">
        <is>
          <t xml:space="preserve">    ระหว่างวันที่</t>
        </is>
      </c>
      <c r="D463" s="365">
        <f>D3</f>
        <v/>
      </c>
      <c r="E463" s="365" t="inlineStr">
        <is>
          <t xml:space="preserve">   เดือน  </t>
        </is>
      </c>
      <c r="F463" s="365">
        <f>F3</f>
        <v/>
      </c>
      <c r="H463" s="365">
        <f>H3</f>
        <v/>
      </c>
      <c r="I463" s="365" t="inlineStr">
        <is>
          <t xml:space="preserve">     ถึง วันที่</t>
        </is>
      </c>
      <c r="J463" s="365">
        <f>J3</f>
        <v/>
      </c>
      <c r="K463" s="365" t="inlineStr">
        <is>
          <t xml:space="preserve">   เดือน </t>
        </is>
      </c>
      <c r="L463" s="365">
        <f>L3</f>
        <v/>
      </c>
      <c r="N463" s="365">
        <f>N3</f>
        <v/>
      </c>
      <c r="P463" s="365" t="n"/>
      <c r="R463" s="365" t="n"/>
    </row>
    <row r="464" ht="22.2" customHeight="1" s="375">
      <c r="G464" s="51" t="inlineStr">
        <is>
          <t>ü</t>
        </is>
      </c>
      <c r="H464" s="351" t="inlineStr">
        <is>
          <t>ครู</t>
        </is>
      </c>
      <c r="I464" s="322" t="inlineStr">
        <is>
          <t>หน้าที่พิเศษ</t>
        </is>
      </c>
      <c r="J464" s="351" t="inlineStr">
        <is>
          <t>ผู้ช่วยงานมาตราฐานและการประกันคุณภาพการศึกษา</t>
        </is>
      </c>
    </row>
    <row r="465" ht="22.2" customHeight="1" s="375">
      <c r="A465" s="24" t="inlineStr">
        <is>
          <t>ที่</t>
        </is>
      </c>
      <c r="B465" s="24" t="inlineStr">
        <is>
          <t>ชื่อ-สกุล</t>
        </is>
      </c>
      <c r="C465" s="153" t="n"/>
      <c r="D465" s="135" t="n"/>
      <c r="E465" s="15" t="inlineStr">
        <is>
          <t>ตำแหน่ง</t>
        </is>
      </c>
      <c r="F465" s="16" t="inlineStr">
        <is>
          <t>ระยะเวลาที่สอน</t>
        </is>
      </c>
      <c r="G465" s="432" t="n"/>
      <c r="H465" s="16" t="inlineStr">
        <is>
          <t>รหัสวิชา</t>
        </is>
      </c>
      <c r="I465" s="362" t="inlineStr">
        <is>
          <t>ชั้น,แผนก,ห้อง</t>
        </is>
      </c>
      <c r="J465" s="16" t="inlineStr">
        <is>
          <t>เวลาสอน</t>
        </is>
      </c>
      <c r="K465" s="135" t="n"/>
      <c r="L465" s="16" t="inlineStr">
        <is>
          <t>ปวช.(คาบ)</t>
        </is>
      </c>
      <c r="M465" s="432" t="n"/>
      <c r="N465" s="354" t="inlineStr">
        <is>
          <t>เงิน</t>
        </is>
      </c>
      <c r="O465" s="362" t="inlineStr">
        <is>
          <t>ยอดเงิน</t>
        </is>
      </c>
      <c r="P465" s="524" t="inlineStr">
        <is>
          <t>ปวส.(คาบ)</t>
        </is>
      </c>
      <c r="Q465" s="432" t="n"/>
      <c r="R465" s="354" t="inlineStr">
        <is>
          <t>เงิน</t>
        </is>
      </c>
      <c r="S465" s="362" t="inlineStr">
        <is>
          <t>ยอดเงิน</t>
        </is>
      </c>
    </row>
    <row r="466" ht="22.2" customHeight="1" s="375">
      <c r="A466" s="52" t="n"/>
      <c r="B466" s="8" t="n"/>
      <c r="C466" s="9" t="n"/>
      <c r="D466" s="13" t="n"/>
      <c r="E466" s="10" t="n"/>
      <c r="F466" s="336" t="inlineStr">
        <is>
          <t>ส.</t>
        </is>
      </c>
      <c r="G466" s="336" t="inlineStr">
        <is>
          <t>วดป.</t>
        </is>
      </c>
      <c r="H466" s="525" t="n"/>
      <c r="I466" s="336" t="n"/>
      <c r="J466" s="526" t="n"/>
      <c r="K466" s="527" t="n"/>
      <c r="L466" s="336" t="inlineStr">
        <is>
          <t>ใน</t>
        </is>
      </c>
      <c r="M466" s="336" t="inlineStr">
        <is>
          <t>นอก</t>
        </is>
      </c>
      <c r="N466" s="336" t="inlineStr">
        <is>
          <t>ต่อ ชม.</t>
        </is>
      </c>
      <c r="O466" s="336" t="inlineStr">
        <is>
          <t>(บาท)</t>
        </is>
      </c>
      <c r="P466" s="52" t="inlineStr">
        <is>
          <t>ใน</t>
        </is>
      </c>
      <c r="Q466" s="52" t="inlineStr">
        <is>
          <t>นอก</t>
        </is>
      </c>
      <c r="R466" s="336" t="inlineStr">
        <is>
          <t>ต่อ ชม.</t>
        </is>
      </c>
      <c r="S466" s="336" t="inlineStr">
        <is>
          <t>(บาท)</t>
        </is>
      </c>
    </row>
    <row r="467" ht="22.2" customHeight="1" s="375">
      <c r="A467" s="362" t="n">
        <v>11</v>
      </c>
      <c r="B467" s="528">
        <f>AB13</f>
        <v/>
      </c>
      <c r="C467" s="153" t="n"/>
      <c r="D467" s="135" t="n"/>
      <c r="E467" s="362" t="inlineStr">
        <is>
          <t>ครู</t>
        </is>
      </c>
      <c r="F467" s="5" t="n">
        <v>4</v>
      </c>
      <c r="G467" s="529" t="inlineStr">
        <is>
          <t>จันทร์</t>
        </is>
      </c>
      <c r="H467" s="376" t="inlineStr">
        <is>
          <t>20101-2010</t>
        </is>
      </c>
      <c r="I467" s="376" t="inlineStr">
        <is>
          <t>ชย.ทวิ 2/9 (26)</t>
        </is>
      </c>
      <c r="J467" s="334" t="inlineStr">
        <is>
          <t>08:10 - 12:10</t>
        </is>
      </c>
      <c r="K467" s="374" t="n"/>
      <c r="L467" s="367" t="n">
        <v>4</v>
      </c>
      <c r="M467" s="381" t="inlineStr"/>
      <c r="N467" s="381" t="inlineStr"/>
      <c r="O467" s="354" t="inlineStr"/>
      <c r="P467" s="381" t="inlineStr"/>
      <c r="Q467" s="367" t="inlineStr"/>
      <c r="R467" s="381" t="inlineStr"/>
      <c r="S467" s="354" t="inlineStr"/>
      <c r="T467" t="inlineStr"/>
      <c r="U467" t="inlineStr"/>
    </row>
    <row r="468" ht="22.2" customHeight="1" s="375">
      <c r="A468" s="3" t="n"/>
      <c r="B468" s="530" t="n"/>
      <c r="D468" s="374" t="n"/>
      <c r="E468" s="46" t="n"/>
      <c r="F468" s="322" t="n"/>
      <c r="G468" s="535" t="inlineStr">
        <is>
          <t>5 ต.ค.69</t>
        </is>
      </c>
      <c r="H468" s="376" t="inlineStr">
        <is>
          <t>20101-2010</t>
        </is>
      </c>
      <c r="I468" s="376" t="inlineStr">
        <is>
          <t>ชย.ทวิ 2/9 (26)</t>
        </is>
      </c>
      <c r="J468" s="334" t="inlineStr">
        <is>
          <t>13:10 - 16:10</t>
        </is>
      </c>
      <c r="K468" s="374" t="n"/>
      <c r="L468" s="334" t="n">
        <v>3</v>
      </c>
      <c r="M468" s="334" t="inlineStr"/>
      <c r="N468" s="334" t="inlineStr"/>
      <c r="O468" s="354" t="inlineStr"/>
      <c r="P468" s="334" t="inlineStr"/>
      <c r="Q468" s="334" t="inlineStr"/>
      <c r="R468" s="334" t="inlineStr"/>
      <c r="S468" s="354" t="inlineStr"/>
      <c r="T468" t="inlineStr"/>
      <c r="U468" t="inlineStr"/>
    </row>
    <row r="469" ht="22.2" customHeight="1" s="375">
      <c r="A469" s="3" t="n"/>
      <c r="B469" s="313" t="n"/>
      <c r="D469" s="314" t="n"/>
      <c r="E469" s="314" t="n"/>
      <c r="F469" s="322" t="n"/>
      <c r="G469" s="321" t="inlineStr"/>
      <c r="H469" s="376" t="inlineStr"/>
      <c r="I469" s="376" t="inlineStr"/>
      <c r="J469" s="334" t="inlineStr"/>
      <c r="K469" s="374" t="n"/>
      <c r="L469" s="334" t="inlineStr"/>
      <c r="M469" s="334" t="inlineStr"/>
      <c r="N469" s="334" t="inlineStr"/>
      <c r="O469" s="354" t="inlineStr"/>
      <c r="P469" s="334" t="inlineStr"/>
      <c r="Q469" s="334" t="inlineStr"/>
      <c r="R469" s="334" t="inlineStr"/>
      <c r="S469" s="354" t="inlineStr"/>
      <c r="T469" t="inlineStr"/>
      <c r="U469" t="inlineStr"/>
    </row>
    <row r="470" ht="22.2" customHeight="1" s="375">
      <c r="A470" s="3" t="n"/>
      <c r="B470" s="313" t="n"/>
      <c r="E470" s="3" t="n"/>
      <c r="F470" s="322" t="n"/>
      <c r="G470" s="321" t="inlineStr"/>
      <c r="H470" s="334" t="inlineStr"/>
      <c r="I470" s="334" t="inlineStr"/>
      <c r="J470" s="334" t="inlineStr"/>
      <c r="K470" s="374" t="n"/>
      <c r="L470" s="334" t="inlineStr"/>
      <c r="M470" s="334" t="inlineStr"/>
      <c r="N470" s="334" t="inlineStr"/>
      <c r="O470" s="354" t="inlineStr"/>
      <c r="P470" s="334" t="inlineStr"/>
      <c r="Q470" s="334" t="inlineStr"/>
      <c r="R470" s="334" t="inlineStr"/>
      <c r="S470" s="354" t="inlineStr"/>
      <c r="T470" t="inlineStr"/>
      <c r="U470" t="inlineStr"/>
    </row>
    <row r="471" ht="22.2" customHeight="1" s="375">
      <c r="A471" s="3" t="n"/>
      <c r="E471" s="3" t="n"/>
      <c r="G471" s="344" t="inlineStr"/>
      <c r="H471" s="336" t="inlineStr"/>
      <c r="I471" s="336" t="inlineStr"/>
      <c r="J471" s="336" t="inlineStr"/>
      <c r="K471" s="527" t="n"/>
      <c r="L471" s="334" t="inlineStr"/>
      <c r="M471" s="334" t="inlineStr"/>
      <c r="N471" s="334" t="inlineStr"/>
      <c r="O471" s="354" t="inlineStr"/>
      <c r="P471" s="334" t="inlineStr"/>
      <c r="Q471" s="334" t="inlineStr"/>
      <c r="R471" s="334" t="inlineStr"/>
      <c r="S471" s="354" t="inlineStr"/>
      <c r="T471" t="inlineStr"/>
      <c r="U471" t="inlineStr"/>
    </row>
    <row r="472" ht="22.2" customHeight="1" s="375">
      <c r="A472" s="3" t="n"/>
      <c r="D472" s="374" t="n"/>
      <c r="E472" s="251" t="n"/>
      <c r="G472" s="533" t="inlineStr">
        <is>
          <t>อังคาร</t>
        </is>
      </c>
      <c r="H472" s="376" t="inlineStr">
        <is>
          <t>20101-2016</t>
        </is>
      </c>
      <c r="I472" s="376" t="inlineStr">
        <is>
          <t>ชย.1/3,ชย.1/4 (26)</t>
        </is>
      </c>
      <c r="J472" s="334" t="inlineStr">
        <is>
          <t>08:10 - 10:10</t>
        </is>
      </c>
      <c r="K472" s="374" t="n"/>
      <c r="L472" s="367" t="n">
        <v>2</v>
      </c>
      <c r="M472" s="381" t="inlineStr"/>
      <c r="N472" s="381" t="inlineStr"/>
      <c r="O472" s="354" t="inlineStr"/>
      <c r="P472" s="381" t="inlineStr"/>
      <c r="Q472" s="367" t="inlineStr"/>
      <c r="R472" s="381" t="inlineStr"/>
      <c r="S472" s="354" t="inlineStr"/>
      <c r="T472" s="6" t="inlineStr"/>
      <c r="U472" s="22" t="inlineStr"/>
      <c r="V472" s="57" t="n"/>
      <c r="W472" s="21" t="n"/>
      <c r="X472" s="21" t="n"/>
    </row>
    <row r="473" ht="22.2" customHeight="1" s="375">
      <c r="A473" s="3" t="n"/>
      <c r="D473" s="314" t="n"/>
      <c r="E473" s="314" t="n"/>
      <c r="G473" s="535" t="inlineStr">
        <is>
          <t>6 ต.ค.69</t>
        </is>
      </c>
      <c r="H473" s="376" t="inlineStr">
        <is>
          <t>20101-2006</t>
        </is>
      </c>
      <c r="I473" s="376" t="inlineStr">
        <is>
          <t>ชย.1/3,ชย.1/4 (26)</t>
        </is>
      </c>
      <c r="J473" s="334" t="inlineStr">
        <is>
          <t>10:10 - 12:10</t>
        </is>
      </c>
      <c r="K473" s="374" t="n"/>
      <c r="L473" s="334" t="n">
        <v>2</v>
      </c>
      <c r="M473" s="334" t="inlineStr"/>
      <c r="N473" s="334" t="inlineStr"/>
      <c r="O473" s="354" t="inlineStr"/>
      <c r="P473" s="334" t="inlineStr"/>
      <c r="Q473" s="334" t="inlineStr"/>
      <c r="R473" s="334" t="inlineStr"/>
      <c r="S473" s="354" t="inlineStr"/>
      <c r="T473" s="21" t="inlineStr"/>
      <c r="U473" s="22" t="inlineStr"/>
      <c r="V473" s="57" t="n"/>
      <c r="W473" s="21" t="n"/>
      <c r="X473" s="21" t="n"/>
    </row>
    <row r="474" ht="22.2" customHeight="1" s="375">
      <c r="A474" s="3" t="n"/>
      <c r="B474" s="313" t="n"/>
      <c r="D474" s="314" t="n"/>
      <c r="E474" s="314" t="n"/>
      <c r="G474" s="334" t="inlineStr"/>
      <c r="H474" s="334" t="inlineStr">
        <is>
          <t>20101-2007</t>
        </is>
      </c>
      <c r="I474" s="334" t="inlineStr">
        <is>
          <t>ชย.1/7,ชย.1/8 (26)</t>
        </is>
      </c>
      <c r="J474" s="334" t="inlineStr">
        <is>
          <t>13:10 - 15:10</t>
        </is>
      </c>
      <c r="K474" s="374" t="n"/>
      <c r="L474" s="334" t="n">
        <v>2</v>
      </c>
      <c r="M474" s="334" t="inlineStr"/>
      <c r="N474" s="334" t="inlineStr"/>
      <c r="O474" s="354" t="inlineStr"/>
      <c r="P474" s="334" t="inlineStr"/>
      <c r="Q474" s="334" t="inlineStr"/>
      <c r="R474" s="334" t="inlineStr"/>
      <c r="S474" s="354" t="inlineStr"/>
      <c r="T474" t="inlineStr"/>
      <c r="U474" t="inlineStr"/>
    </row>
    <row r="475" ht="22.2" customHeight="1" s="375">
      <c r="A475" s="3" t="n"/>
      <c r="E475" s="3" t="n"/>
      <c r="G475" s="54" t="inlineStr"/>
      <c r="H475" s="322" t="inlineStr">
        <is>
          <t>20101-2007</t>
        </is>
      </c>
      <c r="I475" s="334" t="inlineStr">
        <is>
          <t>ชย.1/5,ชย.1/6 (26)</t>
        </is>
      </c>
      <c r="J475" s="334" t="inlineStr">
        <is>
          <t>15:10 - 17:10</t>
        </is>
      </c>
      <c r="K475" s="374" t="n"/>
      <c r="L475" s="334" t="n">
        <v>2</v>
      </c>
      <c r="M475" s="334" t="inlineStr"/>
      <c r="N475" s="334" t="inlineStr"/>
      <c r="O475" s="354" t="inlineStr"/>
      <c r="P475" s="334" t="inlineStr"/>
      <c r="Q475" s="334" t="inlineStr"/>
      <c r="R475" s="334" t="inlineStr"/>
      <c r="S475" s="354" t="inlineStr"/>
      <c r="T475" t="inlineStr"/>
      <c r="U475" t="inlineStr"/>
    </row>
    <row r="476" ht="22.2" customHeight="1" s="375">
      <c r="A476" s="3" t="n"/>
      <c r="D476" s="7" t="inlineStr">
        <is>
          <t> </t>
        </is>
      </c>
      <c r="E476" s="3" t="n"/>
      <c r="G476" s="55" t="inlineStr"/>
      <c r="H476" s="336" t="inlineStr"/>
      <c r="I476" s="336" t="inlineStr"/>
      <c r="J476" s="336" t="inlineStr"/>
      <c r="K476" s="527" t="n"/>
      <c r="L476" s="334" t="inlineStr"/>
      <c r="M476" s="334" t="inlineStr"/>
      <c r="N476" s="334" t="inlineStr"/>
      <c r="O476" s="354" t="inlineStr"/>
      <c r="P476" s="334" t="inlineStr"/>
      <c r="Q476" s="334" t="inlineStr"/>
      <c r="R476" s="334" t="inlineStr"/>
      <c r="S476" s="354" t="inlineStr"/>
      <c r="T476" t="inlineStr"/>
      <c r="U476" t="inlineStr"/>
    </row>
    <row r="477" ht="22.2" customHeight="1" s="375">
      <c r="A477" s="3" t="n"/>
      <c r="E477" s="3" t="n"/>
      <c r="G477" s="535" t="inlineStr">
        <is>
          <t>พุธ</t>
        </is>
      </c>
      <c r="H477" s="376" t="inlineStr">
        <is>
          <t>20143-2010</t>
        </is>
      </c>
      <c r="I477" s="376" t="inlineStr">
        <is>
          <t>ชยฟ.3/1 (26)</t>
        </is>
      </c>
      <c r="J477" s="381" t="inlineStr">
        <is>
          <t>08:10 - 10:10</t>
        </is>
      </c>
      <c r="K477" s="135" t="n"/>
      <c r="L477" s="367" t="n">
        <v>2</v>
      </c>
      <c r="M477" s="381" t="inlineStr"/>
      <c r="N477" s="381" t="inlineStr"/>
      <c r="O477" s="354" t="inlineStr"/>
      <c r="P477" s="381" t="inlineStr"/>
      <c r="Q477" s="367" t="inlineStr"/>
      <c r="R477" s="381" t="inlineStr"/>
      <c r="S477" s="354" t="inlineStr"/>
      <c r="T477" t="inlineStr"/>
      <c r="U477" t="inlineStr"/>
    </row>
    <row r="478" ht="22.2" customHeight="1" s="375">
      <c r="A478" s="3" t="n"/>
      <c r="B478" s="321" t="n"/>
      <c r="C478" s="322" t="n"/>
      <c r="D478" s="322" t="n"/>
      <c r="E478" s="334" t="n"/>
      <c r="G478" s="535" t="inlineStr">
        <is>
          <t>7 ต.ค.69</t>
        </is>
      </c>
      <c r="H478" s="376" t="inlineStr">
        <is>
          <t>20101-2006</t>
        </is>
      </c>
      <c r="I478" s="376" t="inlineStr">
        <is>
          <t>ชย.1/1,ชย.1/2 (26)</t>
        </is>
      </c>
      <c r="J478" s="334" t="inlineStr">
        <is>
          <t>10:10 - 12:10</t>
        </is>
      </c>
      <c r="K478" s="374" t="n"/>
      <c r="L478" s="334" t="n">
        <v>2</v>
      </c>
      <c r="M478" s="334" t="inlineStr"/>
      <c r="N478" s="334" t="inlineStr"/>
      <c r="O478" s="354" t="inlineStr"/>
      <c r="P478" s="334" t="inlineStr"/>
      <c r="Q478" s="334" t="inlineStr"/>
      <c r="R478" s="334" t="inlineStr"/>
      <c r="S478" s="354" t="inlineStr"/>
      <c r="T478" t="inlineStr"/>
      <c r="U478" t="inlineStr"/>
    </row>
    <row r="479" ht="22.2" customHeight="1" s="375">
      <c r="A479" s="3" t="n"/>
      <c r="B479" s="313" t="n"/>
      <c r="D479" s="314" t="n"/>
      <c r="E479" s="314" t="n"/>
      <c r="G479" s="334" t="inlineStr"/>
      <c r="H479" s="376" t="inlineStr">
        <is>
          <t>20101-2007</t>
        </is>
      </c>
      <c r="I479" s="376" t="inlineStr">
        <is>
          <t>ชย.1/10,ชย.1/9 (26)</t>
        </is>
      </c>
      <c r="J479" s="334" t="inlineStr">
        <is>
          <t>13:10 - 15:10</t>
        </is>
      </c>
      <c r="K479" s="374" t="n"/>
      <c r="L479" s="334" t="n">
        <v>2</v>
      </c>
      <c r="M479" s="334" t="inlineStr"/>
      <c r="N479" s="334" t="inlineStr"/>
      <c r="O479" s="354" t="inlineStr"/>
      <c r="P479" s="334" t="inlineStr"/>
      <c r="Q479" s="334" t="inlineStr"/>
      <c r="R479" s="334" t="inlineStr"/>
      <c r="S479" s="354" t="inlineStr"/>
      <c r="T479" t="inlineStr"/>
      <c r="U479" t="inlineStr"/>
    </row>
    <row r="480" ht="22.2" customHeight="1" s="375">
      <c r="A480" s="3" t="n"/>
      <c r="E480" s="3" t="n"/>
      <c r="G480" s="321" t="inlineStr"/>
      <c r="H480" s="334" t="inlineStr">
        <is>
          <t>20101-2015</t>
        </is>
      </c>
      <c r="I480" s="334" t="inlineStr">
        <is>
          <t>ชย.3/3 (26)</t>
        </is>
      </c>
      <c r="J480" s="334" t="inlineStr">
        <is>
          <t>17:10 - 21:10</t>
        </is>
      </c>
      <c r="K480" s="374" t="n"/>
      <c r="L480" s="334" t="inlineStr"/>
      <c r="M480" s="334" t="n">
        <v>4</v>
      </c>
      <c r="N480" s="334" t="n">
        <v>200</v>
      </c>
      <c r="O480" s="354">
        <f>M480*N480</f>
        <v/>
      </c>
      <c r="P480" s="334" t="inlineStr"/>
      <c r="Q480" s="334" t="inlineStr"/>
      <c r="R480" s="334" t="inlineStr"/>
      <c r="S480" s="354" t="inlineStr"/>
      <c r="T480" t="inlineStr"/>
      <c r="U480" t="inlineStr"/>
    </row>
    <row r="481" ht="22.2" customHeight="1" s="375">
      <c r="A481" s="3" t="n"/>
      <c r="E481" s="3" t="n"/>
      <c r="G481" s="327" t="inlineStr"/>
      <c r="H481" s="336" t="inlineStr"/>
      <c r="I481" s="336" t="inlineStr"/>
      <c r="J481" s="336" t="inlineStr"/>
      <c r="K481" s="527" t="n"/>
      <c r="L481" s="336" t="inlineStr"/>
      <c r="M481" s="336" t="inlineStr"/>
      <c r="N481" s="336" t="inlineStr"/>
      <c r="O481" s="354" t="inlineStr"/>
      <c r="P481" s="336" t="inlineStr"/>
      <c r="Q481" s="336" t="inlineStr"/>
      <c r="R481" s="336" t="inlineStr"/>
      <c r="S481" s="354" t="inlineStr"/>
      <c r="T481" t="inlineStr"/>
      <c r="U481" t="inlineStr"/>
    </row>
    <row r="482" ht="22.2" customHeight="1" s="375">
      <c r="A482" s="3" t="n"/>
      <c r="D482" s="374" t="n"/>
      <c r="E482" s="251" t="n"/>
      <c r="G482" s="533" t="inlineStr">
        <is>
          <t>พฤหัส</t>
        </is>
      </c>
      <c r="H482" s="376" t="inlineStr">
        <is>
          <t>20000-2002</t>
        </is>
      </c>
      <c r="I482" s="376" t="inlineStr">
        <is>
          <t>ชย.1/1,ชย.1/2 (26)</t>
        </is>
      </c>
      <c r="J482" s="376" t="inlineStr">
        <is>
          <t>13:10 - 15:10</t>
        </is>
      </c>
      <c r="K482" s="374" t="n"/>
      <c r="L482" s="334" t="n">
        <v>2</v>
      </c>
      <c r="M482" s="334" t="inlineStr"/>
      <c r="N482" s="334" t="inlineStr"/>
      <c r="O482" s="354" t="inlineStr"/>
      <c r="P482" s="155" t="inlineStr"/>
      <c r="Q482" s="156" t="inlineStr"/>
      <c r="R482" s="156" t="inlineStr"/>
      <c r="S482" s="354" t="inlineStr"/>
      <c r="T482" t="inlineStr"/>
      <c r="U482" t="inlineStr"/>
    </row>
    <row r="483" ht="22.2" customHeight="1" s="375">
      <c r="A483" s="3" t="n"/>
      <c r="D483" s="314" t="n"/>
      <c r="E483" s="314" t="n"/>
      <c r="G483" s="535" t="inlineStr">
        <is>
          <t>8 ต.ค.69</t>
        </is>
      </c>
      <c r="H483" s="376" t="inlineStr"/>
      <c r="I483" s="376" t="inlineStr"/>
      <c r="J483" s="376" t="inlineStr"/>
      <c r="K483" s="374" t="n"/>
      <c r="L483" s="376" t="inlineStr"/>
      <c r="M483" s="334" t="inlineStr"/>
      <c r="N483" s="334" t="inlineStr"/>
      <c r="O483" s="354" t="inlineStr"/>
      <c r="P483" s="334" t="inlineStr"/>
      <c r="Q483" s="334" t="inlineStr"/>
      <c r="R483" s="334" t="inlineStr"/>
      <c r="S483" s="354" t="inlineStr"/>
      <c r="T483" t="inlineStr"/>
      <c r="U483" t="inlineStr"/>
    </row>
    <row r="484" ht="22.2" customHeight="1" s="375">
      <c r="A484" s="3" t="n"/>
      <c r="B484" s="313" t="n"/>
      <c r="E484" s="3" t="n"/>
      <c r="G484" s="334" t="inlineStr"/>
      <c r="H484" s="376" t="inlineStr"/>
      <c r="I484" s="376" t="inlineStr"/>
      <c r="J484" s="334" t="inlineStr"/>
      <c r="K484" s="374" t="n"/>
      <c r="L484" s="376" t="inlineStr"/>
      <c r="M484" s="376" t="inlineStr"/>
      <c r="N484" s="376" t="inlineStr"/>
      <c r="O484" s="354" t="inlineStr"/>
      <c r="P484" s="3" t="inlineStr"/>
      <c r="Q484" s="3" t="inlineStr"/>
      <c r="R484" s="3" t="inlineStr"/>
      <c r="S484" s="354" t="inlineStr"/>
      <c r="T484" t="inlineStr"/>
      <c r="U484" t="inlineStr"/>
    </row>
    <row r="485" ht="22.2" customHeight="1" s="375">
      <c r="A485" s="3" t="n"/>
      <c r="E485" s="3" t="n"/>
      <c r="G485" s="334" t="inlineStr"/>
      <c r="H485" s="334" t="inlineStr"/>
      <c r="I485" s="334" t="inlineStr"/>
      <c r="J485" s="334" t="inlineStr"/>
      <c r="K485" s="374" t="n"/>
      <c r="L485" s="334" t="inlineStr"/>
      <c r="M485" s="334" t="inlineStr"/>
      <c r="N485" s="334" t="inlineStr"/>
      <c r="O485" s="354" t="inlineStr"/>
      <c r="P485" s="334" t="inlineStr"/>
      <c r="Q485" s="334" t="inlineStr"/>
      <c r="R485" s="334" t="inlineStr"/>
      <c r="S485" s="354" t="inlineStr"/>
      <c r="T485" t="inlineStr"/>
      <c r="U485" t="inlineStr"/>
    </row>
    <row r="486" ht="22.2" customHeight="1" s="375">
      <c r="A486" s="3" t="n"/>
      <c r="E486" s="3" t="n"/>
      <c r="G486" s="336" t="inlineStr"/>
      <c r="H486" s="328" t="inlineStr"/>
      <c r="I486" s="336" t="inlineStr"/>
      <c r="J486" s="336" t="inlineStr"/>
      <c r="K486" s="527" t="n"/>
      <c r="L486" s="336" t="inlineStr"/>
      <c r="M486" s="336" t="inlineStr"/>
      <c r="N486" s="336" t="inlineStr"/>
      <c r="O486" s="354" t="inlineStr"/>
      <c r="P486" s="336" t="inlineStr"/>
      <c r="Q486" s="336" t="inlineStr"/>
      <c r="R486" s="336" t="inlineStr"/>
      <c r="S486" s="354" t="inlineStr"/>
      <c r="T486" t="inlineStr"/>
      <c r="U486" t="inlineStr"/>
    </row>
    <row r="487" ht="22.2" customHeight="1" s="375">
      <c r="A487" s="3" t="n"/>
      <c r="E487" s="3" t="n"/>
      <c r="G487" s="533" t="inlineStr">
        <is>
          <t>ศุกร์</t>
        </is>
      </c>
      <c r="H487" s="376" t="inlineStr">
        <is>
          <t>20001-1005</t>
        </is>
      </c>
      <c r="I487" s="376" t="inlineStr">
        <is>
          <t>ชย.2/5,ชย.2/6 (26)</t>
        </is>
      </c>
      <c r="J487" s="381" t="inlineStr">
        <is>
          <t>08:10 - 12:10</t>
        </is>
      </c>
      <c r="K487" s="135" t="n"/>
      <c r="L487" s="334" t="inlineStr"/>
      <c r="M487" s="334" t="n">
        <v>4</v>
      </c>
      <c r="N487" s="334" t="n">
        <v>200</v>
      </c>
      <c r="O487" s="354">
        <f>M487*N487</f>
        <v/>
      </c>
      <c r="P487" s="381" t="inlineStr"/>
      <c r="Q487" s="367" t="inlineStr"/>
      <c r="R487" s="381" t="inlineStr"/>
      <c r="S487" s="354" t="inlineStr"/>
      <c r="T487" t="inlineStr"/>
      <c r="U487" t="inlineStr"/>
    </row>
    <row r="488" ht="22.2" customHeight="1" s="375">
      <c r="A488" s="3" t="n"/>
      <c r="E488" s="3" t="n"/>
      <c r="G488" s="535" t="inlineStr">
        <is>
          <t>9 ต.ค.69</t>
        </is>
      </c>
      <c r="H488" s="376" t="inlineStr">
        <is>
          <t>20001-1005</t>
        </is>
      </c>
      <c r="I488" s="376" t="inlineStr">
        <is>
          <t>ชย.2/7,ชย.2/8,ชย.ทวิ 2/9 (26)</t>
        </is>
      </c>
      <c r="J488" s="334" t="inlineStr">
        <is>
          <t>13:10 - 17:10</t>
        </is>
      </c>
      <c r="K488" s="374" t="n"/>
      <c r="L488" s="334" t="inlineStr"/>
      <c r="M488" s="334" t="n">
        <v>4</v>
      </c>
      <c r="N488" s="334" t="n">
        <v>200</v>
      </c>
      <c r="O488" s="354">
        <f>M488*N488</f>
        <v/>
      </c>
      <c r="P488" s="334" t="inlineStr"/>
      <c r="Q488" s="334" t="inlineStr"/>
      <c r="R488" s="334" t="inlineStr"/>
      <c r="S488" s="354" t="inlineStr"/>
      <c r="T488" t="inlineStr"/>
      <c r="U488" t="inlineStr"/>
    </row>
    <row r="489" ht="22.2" customHeight="1" s="375">
      <c r="A489" s="3" t="n"/>
      <c r="E489" s="3" t="n"/>
      <c r="G489" s="334" t="inlineStr"/>
      <c r="H489" s="334" t="inlineStr"/>
      <c r="I489" s="334" t="inlineStr"/>
      <c r="J489" s="334" t="inlineStr"/>
      <c r="K489" s="374" t="n"/>
      <c r="L489" s="334" t="inlineStr"/>
      <c r="M489" s="334" t="inlineStr"/>
      <c r="N489" s="334" t="inlineStr"/>
      <c r="O489" s="354" t="inlineStr"/>
      <c r="P489" s="334" t="inlineStr"/>
      <c r="Q489" s="334" t="inlineStr"/>
      <c r="R489" s="334" t="inlineStr"/>
      <c r="S489" s="354" t="inlineStr"/>
      <c r="T489" t="inlineStr"/>
      <c r="U489" t="inlineStr"/>
    </row>
    <row r="490" ht="22.2" customHeight="1" s="375">
      <c r="A490" s="3" t="n"/>
      <c r="E490" s="3" t="n"/>
      <c r="G490" s="334" t="inlineStr"/>
      <c r="H490" s="322" t="inlineStr"/>
      <c r="I490" s="334" t="inlineStr"/>
      <c r="J490" s="334" t="inlineStr"/>
      <c r="K490" s="374" t="n"/>
      <c r="L490" s="334" t="inlineStr"/>
      <c r="M490" s="334" t="inlineStr"/>
      <c r="N490" s="334" t="inlineStr"/>
      <c r="O490" s="354" t="inlineStr"/>
      <c r="P490" s="334" t="inlineStr"/>
      <c r="Q490" s="334" t="inlineStr"/>
      <c r="R490" s="334" t="inlineStr"/>
      <c r="S490" s="354" t="inlineStr"/>
      <c r="T490" t="inlineStr"/>
      <c r="U490" t="inlineStr"/>
    </row>
    <row r="491" ht="22.2" customHeight="1" s="375">
      <c r="A491" s="3" t="n"/>
      <c r="E491" s="3" t="n"/>
      <c r="F491" s="3" t="n"/>
      <c r="G491" s="329" t="inlineStr"/>
      <c r="H491" s="328" t="inlineStr"/>
      <c r="I491" s="336" t="inlineStr"/>
      <c r="J491" s="336" t="inlineStr"/>
      <c r="K491" s="527" t="n"/>
      <c r="L491" s="336" t="inlineStr"/>
      <c r="M491" s="336" t="inlineStr"/>
      <c r="N491" s="336" t="inlineStr"/>
      <c r="O491" s="354" t="inlineStr"/>
      <c r="P491" s="336" t="inlineStr"/>
      <c r="Q491" s="336" t="inlineStr"/>
      <c r="R491" s="336" t="inlineStr"/>
      <c r="S491" s="354" t="inlineStr"/>
      <c r="T491" t="inlineStr"/>
      <c r="U491" t="inlineStr"/>
    </row>
    <row r="492" ht="22.2" customHeight="1" s="375">
      <c r="A492" s="3" t="n"/>
      <c r="E492" s="3" t="n"/>
      <c r="F492" s="3" t="n"/>
      <c r="G492" s="16" t="inlineStr">
        <is>
          <t>รวมขั่วโมงที่สอนแยก ภาระงาน/ เกินภาระงาน</t>
        </is>
      </c>
      <c r="H492" s="518" t="n"/>
      <c r="I492" s="518" t="n"/>
      <c r="J492" s="518" t="n"/>
      <c r="K492" s="432" t="n"/>
      <c r="L492" s="16">
        <f>SUM(L467:L491)</f>
        <v/>
      </c>
      <c r="M492" s="16">
        <f>SUM(M467:M491)</f>
        <v/>
      </c>
      <c r="N492" s="16" t="n"/>
      <c r="O492" s="16" t="n"/>
      <c r="P492" s="16">
        <f>SUM(P467:P491)</f>
        <v/>
      </c>
      <c r="Q492" s="16">
        <f>SUM(Q467:Q491)</f>
        <v/>
      </c>
      <c r="R492" s="349" t="n"/>
      <c r="S492" s="16" t="n"/>
    </row>
    <row r="493" ht="22.2" customHeight="1" s="375">
      <c r="A493" s="3" t="n"/>
      <c r="E493" s="3" t="n"/>
      <c r="F493" s="3" t="n"/>
      <c r="G493" s="16" t="inlineStr">
        <is>
          <t>รวมจำนวนชั่วโมงสอนคาบต่อสับดาห์</t>
        </is>
      </c>
      <c r="H493" s="518" t="n"/>
      <c r="I493" s="518" t="n"/>
      <c r="J493" s="518" t="n"/>
      <c r="K493" s="432" t="n"/>
      <c r="L493" s="16">
        <f>L492+M492</f>
        <v/>
      </c>
      <c r="M493" s="432" t="n"/>
      <c r="N493" s="16" t="n"/>
      <c r="O493" s="348" t="n"/>
      <c r="P493" s="16">
        <f>P492+Q492</f>
        <v/>
      </c>
      <c r="Q493" s="432" t="n"/>
      <c r="R493" s="329" t="n"/>
      <c r="S493" s="336" t="n"/>
    </row>
    <row r="494" ht="22.2" customHeight="1" s="375">
      <c r="A494" s="3" t="n"/>
      <c r="E494" s="3" t="n"/>
      <c r="F494" s="3" t="n"/>
      <c r="G494" s="16" t="inlineStr">
        <is>
          <t>จำนวนชั่วโมงสอนตามภาระงานสอน</t>
        </is>
      </c>
      <c r="H494" s="518" t="n"/>
      <c r="I494" s="518" t="n"/>
      <c r="J494" s="518" t="n"/>
      <c r="K494" s="432" t="n"/>
      <c r="L494" s="131" t="n">
        <v>18</v>
      </c>
      <c r="M494" s="432" t="n"/>
      <c r="N494" s="130" t="n"/>
      <c r="O494" s="131" t="n"/>
      <c r="P494" s="131" t="n">
        <v>0</v>
      </c>
      <c r="Q494" s="432" t="n"/>
      <c r="R494" s="322" t="n"/>
      <c r="S494" s="334" t="n"/>
    </row>
    <row r="495" ht="22.2" customHeight="1" s="375" thickBot="1">
      <c r="A495" s="3" t="n"/>
      <c r="E495" s="3" t="n"/>
      <c r="F495" s="14" t="n"/>
      <c r="G495" s="16" t="inlineStr">
        <is>
          <t>จำนวนชั่วโมงบิกเกินภาระงานสอน/ค่าสอน</t>
        </is>
      </c>
      <c r="H495" s="518" t="n"/>
      <c r="I495" s="518" t="n"/>
      <c r="J495" s="518" t="n"/>
      <c r="K495" s="432" t="n"/>
      <c r="L495" s="17" t="n">
        <v>0</v>
      </c>
      <c r="M495" s="17">
        <f>SUM(M467:M491)</f>
        <v/>
      </c>
      <c r="N495" s="17" t="n"/>
      <c r="O495" s="17">
        <f>SUM(O467:O491)</f>
        <v/>
      </c>
      <c r="P495" s="17" t="n">
        <v>0</v>
      </c>
      <c r="Q495" s="17">
        <f>SUM(Q467:Q491)</f>
        <v/>
      </c>
      <c r="R495" s="18" t="n"/>
      <c r="S495" s="17">
        <f>SUM(S467:S491)</f>
        <v/>
      </c>
    </row>
    <row r="496" ht="22.2" customHeight="1" s="375" thickTop="1">
      <c r="A496" s="337" t="inlineStr">
        <is>
          <t>รวมจำนวนหน่วยชั่วโมงที่ขอเบิกค่าสอน ….</t>
        </is>
      </c>
      <c r="B496" s="518" t="n"/>
      <c r="C496" s="518" t="n"/>
      <c r="D496" s="518" t="n"/>
      <c r="E496" s="518" t="n"/>
      <c r="F496" s="518" t="n"/>
      <c r="G496" s="518" t="n"/>
      <c r="H496" s="348">
        <f>M495+Q495</f>
        <v/>
      </c>
      <c r="I496" s="348" t="inlineStr">
        <is>
          <t>….ชั่วโมง</t>
        </is>
      </c>
      <c r="J496" s="348" t="n"/>
      <c r="K496" s="328" t="inlineStr">
        <is>
          <t>ยอดเงินรวม</t>
        </is>
      </c>
      <c r="L496" s="522" t="n"/>
      <c r="M496" s="522" t="n"/>
      <c r="N496" s="328" t="n"/>
      <c r="O496" s="328" t="n"/>
      <c r="P496" s="339">
        <f>S495+O495</f>
        <v/>
      </c>
      <c r="Q496" s="538" t="n"/>
      <c r="R496" s="20" t="n"/>
      <c r="S496" s="19" t="inlineStr">
        <is>
          <t>..บาท</t>
        </is>
      </c>
    </row>
    <row r="497" ht="22.2" customHeight="1" s="375">
      <c r="A497" s="154" t="inlineStr">
        <is>
          <t>ผู้ขอเบิก</t>
        </is>
      </c>
      <c r="B497" s="153" t="n"/>
      <c r="C497" s="153" t="n"/>
      <c r="D497" s="153" t="n"/>
      <c r="E497" s="153" t="n"/>
      <c r="F497" s="153" t="n"/>
      <c r="G497" s="135" t="n"/>
      <c r="H497" s="154" t="inlineStr">
        <is>
          <t>ผู้รับรอง</t>
        </is>
      </c>
      <c r="I497" s="153" t="n"/>
      <c r="J497" s="153" t="n"/>
      <c r="K497" s="153" t="n"/>
      <c r="L497" s="135" t="n"/>
      <c r="M497" s="154" t="inlineStr">
        <is>
          <t>ผู้ตรวจ</t>
        </is>
      </c>
      <c r="N497" s="153" t="n"/>
      <c r="O497" s="153" t="n"/>
      <c r="P497" s="153" t="n"/>
      <c r="Q497" s="153" t="n"/>
      <c r="R497" s="153" t="n"/>
      <c r="S497" s="135" t="n"/>
    </row>
    <row r="498" ht="22.2" customHeight="1" s="375">
      <c r="A498" s="334" t="inlineStr">
        <is>
          <t>ลงชื่อ……………………………………………</t>
        </is>
      </c>
      <c r="G498" s="374" t="n"/>
      <c r="H498" s="334" t="inlineStr">
        <is>
          <t>ลงชื่อ……………………………………………</t>
        </is>
      </c>
      <c r="L498" s="374" t="n"/>
      <c r="M498" s="334" t="inlineStr">
        <is>
          <t>ลงชื่อ……………………………………………</t>
        </is>
      </c>
      <c r="S498" s="374" t="n"/>
    </row>
    <row r="499" ht="22.2" customHeight="1" s="375">
      <c r="A499" s="11" t="inlineStr">
        <is>
          <t>(</t>
        </is>
      </c>
      <c r="B499" s="324">
        <f>B467</f>
        <v/>
      </c>
      <c r="G499" s="326" t="inlineStr">
        <is>
          <t>)</t>
        </is>
      </c>
      <c r="H499" s="324" t="inlineStr">
        <is>
          <t>(</t>
        </is>
      </c>
      <c r="I499" s="340">
        <f>I453</f>
        <v/>
      </c>
      <c r="L499" s="12" t="inlineStr">
        <is>
          <t>)</t>
        </is>
      </c>
      <c r="M499" s="53" t="inlineStr">
        <is>
          <t>(</t>
        </is>
      </c>
      <c r="N499" s="53" t="n"/>
      <c r="O499" s="324">
        <f>O39</f>
        <v/>
      </c>
      <c r="R499" s="25" t="n"/>
      <c r="S499" s="326" t="inlineStr">
        <is>
          <t>)</t>
        </is>
      </c>
    </row>
    <row r="500" ht="22.2" customHeight="1" s="375">
      <c r="A500" s="540" t="inlineStr">
        <is>
          <t xml:space="preserve">                         ตำแหน่ง  ครู</t>
        </is>
      </c>
      <c r="G500" s="374" t="n"/>
      <c r="H500" s="54" t="inlineStr">
        <is>
          <t>ตำแหน่ง หัวหน้าแผนก</t>
        </is>
      </c>
      <c r="L500" s="374" t="n"/>
      <c r="M500" s="54" t="inlineStr">
        <is>
          <t>ตำแหน่ง   ผู้ตรวจสอบ</t>
        </is>
      </c>
      <c r="S500" s="374" t="n"/>
    </row>
    <row r="501" ht="22.2" customHeight="1" s="375">
      <c r="A501" s="55" t="inlineStr">
        <is>
          <t>วันที่ 12 เดือน ตุลาคม  พ.ศ.2569</t>
        </is>
      </c>
      <c r="B501" s="522" t="n"/>
      <c r="C501" s="522" t="n"/>
      <c r="D501" s="522" t="n"/>
      <c r="E501" s="522" t="n"/>
      <c r="F501" s="522" t="n"/>
      <c r="G501" s="527" t="n"/>
      <c r="H501" s="54">
        <f>A41</f>
        <v/>
      </c>
      <c r="L501" s="374" t="n"/>
      <c r="M501" s="55">
        <f>A41</f>
        <v/>
      </c>
      <c r="N501" s="522" t="n"/>
      <c r="O501" s="522" t="n"/>
      <c r="P501" s="522" t="n"/>
      <c r="Q501" s="522" t="n"/>
      <c r="R501" s="522" t="n"/>
      <c r="S501" s="527" t="n"/>
    </row>
    <row r="502" ht="22.2" customHeight="1" s="375">
      <c r="A502" s="154" t="inlineStr">
        <is>
          <t>ผู้ตรวจ</t>
        </is>
      </c>
      <c r="B502" s="153" t="n"/>
      <c r="C502" s="153" t="n"/>
      <c r="D502" s="153" t="n"/>
      <c r="E502" s="153" t="n"/>
      <c r="F502" s="153" t="n"/>
      <c r="G502" s="153" t="n"/>
      <c r="H502" s="153" t="n"/>
      <c r="I502" s="135" t="n"/>
      <c r="J502" s="154" t="inlineStr">
        <is>
          <t>ผู้เห็นชอบ</t>
        </is>
      </c>
      <c r="K502" s="153" t="n"/>
      <c r="L502" s="153" t="n"/>
      <c r="M502" s="153" t="n"/>
      <c r="N502" s="153" t="n"/>
      <c r="O502" s="153" t="n"/>
      <c r="P502" s="153" t="n"/>
      <c r="Q502" s="153" t="n"/>
      <c r="R502" s="153" t="n"/>
      <c r="S502" s="135" t="n"/>
    </row>
    <row r="503" ht="22.2" customHeight="1" s="375">
      <c r="A503" s="334" t="inlineStr">
        <is>
          <t>ลงชื่อ……………………………………………</t>
        </is>
      </c>
      <c r="I503" s="374" t="n"/>
      <c r="J503" s="334" t="inlineStr">
        <is>
          <t>ลงชื่อ……………………………………………</t>
        </is>
      </c>
      <c r="S503" s="374" t="n"/>
    </row>
    <row r="504" ht="22.2" customHeight="1" s="375">
      <c r="A504" s="11" t="n"/>
      <c r="B504" s="324">
        <f>B44</f>
        <v/>
      </c>
      <c r="I504" s="326" t="n"/>
      <c r="J504" s="25" t="n"/>
      <c r="K504" s="25" t="n"/>
      <c r="L504" s="324">
        <f>L44</f>
        <v/>
      </c>
      <c r="R504" s="25" t="n"/>
      <c r="S504" s="12" t="n"/>
    </row>
    <row r="505" ht="22.2" customHeight="1" s="375">
      <c r="A505" s="54" t="inlineStr">
        <is>
          <t>ตำแหน่งครู  หัวหน้างานพัฒนาหลักสูตร ฯ</t>
        </is>
      </c>
      <c r="I505" s="374" t="n"/>
      <c r="J505" s="54" t="inlineStr">
        <is>
          <t>ตำแหน่ง  รองผู้อำนวยการฝ่ายวิชาการ</t>
        </is>
      </c>
      <c r="S505" s="374" t="n"/>
    </row>
    <row r="506" ht="22.2" customHeight="1" s="375">
      <c r="A506" s="336" t="inlineStr">
        <is>
          <t>วันที่.......เดือน..........................พ.ศ..............</t>
        </is>
      </c>
      <c r="B506" s="522" t="n"/>
      <c r="C506" s="522" t="n"/>
      <c r="D506" s="522" t="n"/>
      <c r="E506" s="522" t="n"/>
      <c r="F506" s="522" t="n"/>
      <c r="G506" s="522" t="n"/>
      <c r="H506" s="522" t="n"/>
      <c r="I506" s="527" t="n"/>
      <c r="J506" s="336" t="inlineStr">
        <is>
          <t>วันที่.......เดือน..........................พ.ศ..............</t>
        </is>
      </c>
      <c r="K506" s="522" t="n"/>
      <c r="L506" s="522" t="n"/>
      <c r="M506" s="522" t="n"/>
      <c r="N506" s="522" t="n"/>
      <c r="O506" s="522" t="n"/>
      <c r="P506" s="522" t="n"/>
      <c r="Q506" s="522" t="n"/>
      <c r="R506" s="522" t="n"/>
      <c r="S506" s="527" t="n"/>
    </row>
    <row r="507" ht="22.2" customHeight="1" s="375">
      <c r="A507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75">
      <c r="A508" s="365" t="inlineStr">
        <is>
          <t>แผนกวิชาช่างยนต์</t>
        </is>
      </c>
    </row>
    <row r="509" ht="22.2" customHeight="1" s="375">
      <c r="A509" s="366" t="inlineStr">
        <is>
          <t xml:space="preserve">    ระหว่างวันที่</t>
        </is>
      </c>
      <c r="D509" s="365">
        <f>D3</f>
        <v/>
      </c>
      <c r="E509" s="365" t="inlineStr">
        <is>
          <t xml:space="preserve">   เดือน  </t>
        </is>
      </c>
      <c r="F509" s="365">
        <f>F3</f>
        <v/>
      </c>
      <c r="H509" s="365">
        <f>H3</f>
        <v/>
      </c>
      <c r="I509" s="365" t="inlineStr">
        <is>
          <t xml:space="preserve">     ถึง วันที่</t>
        </is>
      </c>
      <c r="J509" s="365">
        <f>J3</f>
        <v/>
      </c>
      <c r="K509" s="365" t="inlineStr">
        <is>
          <t xml:space="preserve">   เดือน </t>
        </is>
      </c>
      <c r="L509" s="365">
        <f>L3</f>
        <v/>
      </c>
      <c r="N509" s="365">
        <f>N3</f>
        <v/>
      </c>
      <c r="P509" s="365" t="n"/>
      <c r="R509" s="365" t="n"/>
    </row>
    <row r="510" ht="22.2" customHeight="1" s="375">
      <c r="G510" s="51" t="inlineStr">
        <is>
          <t>ü</t>
        </is>
      </c>
      <c r="H510" s="351" t="inlineStr">
        <is>
          <t>ครู</t>
        </is>
      </c>
      <c r="I510" s="322" t="inlineStr">
        <is>
          <t>หน้าที่พิเศษ</t>
        </is>
      </c>
      <c r="J510" s="351" t="inlineStr">
        <is>
          <t>รหัสวิชา</t>
        </is>
      </c>
    </row>
    <row r="511" ht="22.2" customHeight="1" s="375">
      <c r="A511" s="24" t="inlineStr">
        <is>
          <t>ที่</t>
        </is>
      </c>
      <c r="B511" s="24" t="inlineStr">
        <is>
          <t>ชื่อ-สกุล</t>
        </is>
      </c>
      <c r="C511" s="153" t="n"/>
      <c r="D511" s="135" t="n"/>
      <c r="E511" s="15" t="inlineStr">
        <is>
          <t>ตำแหน่ง</t>
        </is>
      </c>
      <c r="F511" s="16" t="inlineStr">
        <is>
          <t>ระยะเวลาที่สอน</t>
        </is>
      </c>
      <c r="G511" s="432" t="n"/>
      <c r="H511" s="16" t="inlineStr">
        <is>
          <t>รหัสวิชา</t>
        </is>
      </c>
      <c r="I511" s="362" t="inlineStr">
        <is>
          <t>ชั้น,แผนก,ห้อง</t>
        </is>
      </c>
      <c r="J511" s="16" t="inlineStr">
        <is>
          <t>เวลาสอน</t>
        </is>
      </c>
      <c r="K511" s="135" t="n"/>
      <c r="L511" s="16" t="inlineStr">
        <is>
          <t>ปวช.(คาบ)</t>
        </is>
      </c>
      <c r="M511" s="432" t="n"/>
      <c r="N511" s="354" t="inlineStr">
        <is>
          <t>เงิน</t>
        </is>
      </c>
      <c r="O511" s="362" t="inlineStr">
        <is>
          <t>ยอดเงิน</t>
        </is>
      </c>
      <c r="P511" s="524" t="inlineStr">
        <is>
          <t>ปวส.(คาบ)</t>
        </is>
      </c>
      <c r="Q511" s="432" t="n"/>
      <c r="R511" s="354" t="inlineStr">
        <is>
          <t>เงิน</t>
        </is>
      </c>
      <c r="S511" s="362" t="inlineStr">
        <is>
          <t>ยอดเงิน</t>
        </is>
      </c>
    </row>
    <row r="512" ht="22.2" customHeight="1" s="375">
      <c r="A512" s="52" t="n"/>
      <c r="B512" s="8" t="n"/>
      <c r="C512" s="9" t="n"/>
      <c r="D512" s="13" t="n"/>
      <c r="E512" s="10" t="n"/>
      <c r="F512" s="336" t="inlineStr">
        <is>
          <t>ส.</t>
        </is>
      </c>
      <c r="G512" s="336" t="inlineStr">
        <is>
          <t>วดป.</t>
        </is>
      </c>
      <c r="H512" s="525" t="n"/>
      <c r="I512" s="336" t="n"/>
      <c r="J512" s="526" t="n"/>
      <c r="K512" s="527" t="n"/>
      <c r="L512" s="336" t="inlineStr">
        <is>
          <t>ใน</t>
        </is>
      </c>
      <c r="M512" s="336" t="inlineStr">
        <is>
          <t>นอก</t>
        </is>
      </c>
      <c r="N512" s="336" t="inlineStr">
        <is>
          <t>ต่อ ชม.</t>
        </is>
      </c>
      <c r="O512" s="336" t="inlineStr">
        <is>
          <t>(บาท)</t>
        </is>
      </c>
      <c r="P512" s="52" t="inlineStr">
        <is>
          <t>ใน</t>
        </is>
      </c>
      <c r="Q512" s="52" t="inlineStr">
        <is>
          <t>นอก</t>
        </is>
      </c>
      <c r="R512" s="336" t="inlineStr">
        <is>
          <t>ต่อ ชม.</t>
        </is>
      </c>
      <c r="S512" s="336" t="inlineStr">
        <is>
          <t>(บาท)</t>
        </is>
      </c>
    </row>
    <row r="513" ht="22.2" customHeight="1" s="375">
      <c r="A513" s="362" t="n">
        <v>12</v>
      </c>
      <c r="B513" s="528">
        <f>AB14</f>
        <v/>
      </c>
      <c r="C513" s="153" t="n"/>
      <c r="D513" s="135" t="n"/>
      <c r="E513" s="362" t="inlineStr">
        <is>
          <t>ครู</t>
        </is>
      </c>
      <c r="F513" s="5" t="n">
        <v>4</v>
      </c>
      <c r="G513" s="529" t="inlineStr">
        <is>
          <t>จันทร์</t>
        </is>
      </c>
      <c r="H513" s="376" t="inlineStr"/>
      <c r="I513" s="334" t="inlineStr"/>
      <c r="J513" s="381" t="inlineStr"/>
      <c r="K513" s="135" t="n"/>
      <c r="L513" s="367" t="inlineStr"/>
      <c r="M513" s="381" t="inlineStr"/>
      <c r="N513" s="381" t="inlineStr"/>
      <c r="O513" s="354" t="inlineStr"/>
      <c r="P513" s="381" t="inlineStr"/>
      <c r="Q513" s="367" t="inlineStr"/>
      <c r="R513" s="381" t="inlineStr"/>
      <c r="S513" s="354" t="inlineStr"/>
      <c r="T513" t="inlineStr"/>
      <c r="U513" t="inlineStr"/>
    </row>
    <row r="514" ht="22.2" customHeight="1" s="375">
      <c r="A514" s="3" t="n"/>
      <c r="B514" s="530" t="n"/>
      <c r="D514" s="374" t="n"/>
      <c r="E514" s="46" t="n"/>
      <c r="F514" s="322" t="n"/>
      <c r="G514" s="535" t="inlineStr">
        <is>
          <t>5 ต.ค.69</t>
        </is>
      </c>
      <c r="H514" s="376" t="inlineStr"/>
      <c r="I514" s="334" t="inlineStr"/>
      <c r="J514" s="334" t="inlineStr"/>
      <c r="K514" s="374" t="n"/>
      <c r="L514" s="334" t="inlineStr"/>
      <c r="M514" s="334" t="inlineStr"/>
      <c r="N514" s="334" t="inlineStr"/>
      <c r="O514" s="354" t="inlineStr"/>
      <c r="P514" s="334" t="inlineStr"/>
      <c r="Q514" s="334" t="inlineStr"/>
      <c r="R514" s="334" t="inlineStr"/>
      <c r="S514" s="354" t="inlineStr"/>
      <c r="T514" t="inlineStr"/>
      <c r="U514" t="inlineStr"/>
    </row>
    <row r="515" ht="22.2" customHeight="1" s="375">
      <c r="A515" s="3" t="n"/>
      <c r="B515" s="313" t="n"/>
      <c r="D515" s="314" t="n"/>
      <c r="E515" s="314" t="n"/>
      <c r="F515" s="322" t="n"/>
      <c r="G515" s="321" t="inlineStr"/>
      <c r="H515" s="376" t="inlineStr"/>
      <c r="I515" s="334" t="inlineStr"/>
      <c r="J515" s="334" t="inlineStr"/>
      <c r="K515" s="374" t="n"/>
      <c r="L515" s="334" t="inlineStr"/>
      <c r="M515" s="334" t="inlineStr"/>
      <c r="N515" s="334" t="inlineStr"/>
      <c r="O515" s="354" t="inlineStr"/>
      <c r="P515" s="334" t="inlineStr"/>
      <c r="Q515" s="334" t="inlineStr"/>
      <c r="R515" s="334" t="inlineStr"/>
      <c r="S515" s="354" t="inlineStr"/>
      <c r="T515" t="inlineStr"/>
      <c r="U515" t="inlineStr"/>
    </row>
    <row r="516" ht="22.2" customHeight="1" s="375">
      <c r="A516" s="3" t="n"/>
      <c r="B516" s="313" t="n"/>
      <c r="E516" s="3" t="n"/>
      <c r="F516" s="322" t="n"/>
      <c r="G516" s="321" t="inlineStr"/>
      <c r="H516" s="334" t="inlineStr"/>
      <c r="I516" s="334" t="inlineStr"/>
      <c r="J516" s="334" t="inlineStr"/>
      <c r="K516" s="374" t="n"/>
      <c r="L516" s="334" t="inlineStr"/>
      <c r="M516" s="334" t="inlineStr"/>
      <c r="N516" s="334" t="inlineStr"/>
      <c r="O516" s="354" t="inlineStr"/>
      <c r="P516" s="334" t="inlineStr"/>
      <c r="Q516" s="334" t="inlineStr"/>
      <c r="R516" s="334" t="inlineStr"/>
      <c r="S516" s="354" t="inlineStr"/>
      <c r="T516" t="inlineStr"/>
      <c r="U516" t="inlineStr"/>
    </row>
    <row r="517" ht="22.2" customHeight="1" s="375">
      <c r="A517" s="3" t="n"/>
      <c r="E517" s="3" t="n"/>
      <c r="G517" s="344" t="inlineStr"/>
      <c r="H517" s="336" t="inlineStr"/>
      <c r="I517" s="336" t="inlineStr"/>
      <c r="J517" s="336" t="inlineStr"/>
      <c r="K517" s="527" t="n"/>
      <c r="L517" s="334" t="inlineStr"/>
      <c r="M517" s="334" t="inlineStr"/>
      <c r="N517" s="334" t="inlineStr"/>
      <c r="O517" s="354" t="inlineStr"/>
      <c r="P517" s="334" t="inlineStr"/>
      <c r="Q517" s="334" t="inlineStr"/>
      <c r="R517" s="334" t="inlineStr"/>
      <c r="S517" s="354" t="inlineStr"/>
      <c r="T517" t="inlineStr"/>
      <c r="U517" t="inlineStr"/>
    </row>
    <row r="518" ht="22.2" customHeight="1" s="375">
      <c r="A518" s="3" t="n"/>
      <c r="E518" s="3" t="n"/>
      <c r="G518" s="533" t="inlineStr">
        <is>
          <t>อังคาร</t>
        </is>
      </c>
      <c r="H518" s="376" t="inlineStr">
        <is>
          <t>20101-2013</t>
        </is>
      </c>
      <c r="I518" s="334" t="inlineStr">
        <is>
          <t>ชย.3/7 (26)</t>
        </is>
      </c>
      <c r="J518" s="381" t="inlineStr">
        <is>
          <t>08:10 - 12:10</t>
        </is>
      </c>
      <c r="K518" s="135" t="n"/>
      <c r="L518" s="367" t="n">
        <v>4</v>
      </c>
      <c r="M518" s="381" t="inlineStr"/>
      <c r="N518" s="381" t="inlineStr"/>
      <c r="O518" s="354" t="inlineStr"/>
      <c r="P518" s="381" t="inlineStr"/>
      <c r="Q518" s="367" t="inlineStr"/>
      <c r="R518" s="381" t="inlineStr"/>
      <c r="S518" s="354" t="inlineStr"/>
      <c r="T518" t="inlineStr"/>
      <c r="U518" t="inlineStr"/>
    </row>
    <row r="519" ht="22.2" customHeight="1" s="375">
      <c r="A519" s="3" t="n"/>
      <c r="E519" s="3" t="n"/>
      <c r="G519" s="535" t="inlineStr">
        <is>
          <t>6 ต.ค.69</t>
        </is>
      </c>
      <c r="H519" s="376" t="inlineStr">
        <is>
          <t>20101-2013</t>
        </is>
      </c>
      <c r="I519" s="334" t="inlineStr">
        <is>
          <t>ชย.3/7 (26)</t>
        </is>
      </c>
      <c r="J519" s="376" t="inlineStr">
        <is>
          <t>13:10 - 16:10</t>
        </is>
      </c>
      <c r="K519" s="374" t="n"/>
      <c r="L519" s="334" t="n">
        <v>3</v>
      </c>
      <c r="M519" s="334" t="inlineStr"/>
      <c r="N519" s="334" t="inlineStr"/>
      <c r="O519" s="354" t="inlineStr"/>
      <c r="P519" s="334" t="inlineStr"/>
      <c r="Q519" s="334" t="inlineStr"/>
      <c r="R519" s="334" t="inlineStr"/>
      <c r="S519" s="354" t="inlineStr"/>
      <c r="T519" t="inlineStr"/>
      <c r="U519" t="inlineStr"/>
    </row>
    <row r="520" ht="22.2" customHeight="1" s="375">
      <c r="A520" s="3" t="n"/>
      <c r="B520" s="313" t="n"/>
      <c r="D520" s="314" t="n"/>
      <c r="E520" s="314" t="n"/>
      <c r="G520" s="334" t="inlineStr"/>
      <c r="H520" s="376" t="inlineStr">
        <is>
          <t>20101-2020</t>
        </is>
      </c>
      <c r="I520" s="376" t="inlineStr">
        <is>
          <t>ชย.3/1,ชย.3/2 (26)</t>
        </is>
      </c>
      <c r="J520" s="334" t="inlineStr">
        <is>
          <t>17:10 - 21:10</t>
        </is>
      </c>
      <c r="K520" s="374" t="n"/>
      <c r="L520" s="334" t="n">
        <v>4</v>
      </c>
      <c r="M520" s="334" t="inlineStr"/>
      <c r="N520" s="334" t="inlineStr"/>
      <c r="O520" s="354" t="inlineStr"/>
      <c r="P520" s="334" t="inlineStr"/>
      <c r="Q520" s="334" t="inlineStr"/>
      <c r="R520" s="334" t="inlineStr"/>
      <c r="S520" s="354" t="inlineStr"/>
      <c r="T520" t="inlineStr"/>
      <c r="U520" t="inlineStr"/>
    </row>
    <row r="521" ht="22.2" customHeight="1" s="375">
      <c r="A521" s="3" t="n"/>
      <c r="E521" s="3" t="n"/>
      <c r="G521" s="54" t="inlineStr"/>
      <c r="H521" s="322" t="inlineStr"/>
      <c r="I521" s="334" t="inlineStr"/>
      <c r="J521" s="334" t="inlineStr"/>
      <c r="K521" s="374" t="n"/>
      <c r="L521" s="334" t="inlineStr"/>
      <c r="M521" s="334" t="inlineStr"/>
      <c r="N521" s="334" t="inlineStr"/>
      <c r="O521" s="354" t="inlineStr"/>
      <c r="P521" s="334" t="inlineStr"/>
      <c r="Q521" s="334" t="inlineStr"/>
      <c r="R521" s="334" t="inlineStr"/>
      <c r="S521" s="354" t="inlineStr"/>
      <c r="T521" t="inlineStr"/>
      <c r="U521" t="inlineStr"/>
    </row>
    <row r="522" ht="22.2" customHeight="1" s="375">
      <c r="A522" s="3" t="n"/>
      <c r="D522" s="7" t="inlineStr">
        <is>
          <t> </t>
        </is>
      </c>
      <c r="E522" s="3" t="n"/>
      <c r="G522" s="55" t="inlineStr"/>
      <c r="H522" s="336" t="inlineStr"/>
      <c r="I522" s="336" t="inlineStr"/>
      <c r="J522" s="336" t="inlineStr"/>
      <c r="K522" s="527" t="n"/>
      <c r="L522" s="334" t="inlineStr"/>
      <c r="M522" s="334" t="inlineStr"/>
      <c r="N522" s="334" t="inlineStr"/>
      <c r="O522" s="354" t="inlineStr"/>
      <c r="P522" s="334" t="inlineStr"/>
      <c r="Q522" s="334" t="inlineStr"/>
      <c r="R522" s="334" t="inlineStr"/>
      <c r="S522" s="354" t="inlineStr"/>
      <c r="T522" t="inlineStr"/>
      <c r="U522" t="inlineStr"/>
    </row>
    <row r="523" ht="22.2" customHeight="1" s="375">
      <c r="A523" s="3" t="n"/>
      <c r="E523" s="3" t="n"/>
      <c r="G523" s="535" t="inlineStr">
        <is>
          <t>พุธ</t>
        </is>
      </c>
      <c r="H523" s="376" t="inlineStr">
        <is>
          <t>20101-2002</t>
        </is>
      </c>
      <c r="I523" s="376" t="inlineStr">
        <is>
          <t>ชย.1/5 (26)</t>
        </is>
      </c>
      <c r="J523" s="381" t="inlineStr">
        <is>
          <t>08:10 - 12:10</t>
        </is>
      </c>
      <c r="K523" s="135" t="n"/>
      <c r="L523" s="367" t="n">
        <v>4</v>
      </c>
      <c r="M523" s="381" t="inlineStr"/>
      <c r="N523" s="381" t="inlineStr"/>
      <c r="O523" s="354" t="inlineStr"/>
      <c r="P523" s="381" t="inlineStr"/>
      <c r="Q523" s="367" t="inlineStr"/>
      <c r="R523" s="381" t="inlineStr"/>
      <c r="S523" s="354" t="inlineStr"/>
      <c r="T523" t="inlineStr"/>
      <c r="U523" t="inlineStr"/>
    </row>
    <row r="524" ht="22.2" customHeight="1" s="375">
      <c r="A524" s="3" t="n"/>
      <c r="B524" s="321" t="n"/>
      <c r="C524" s="322" t="n"/>
      <c r="D524" s="322" t="n"/>
      <c r="E524" s="334" t="n"/>
      <c r="G524" s="535" t="inlineStr">
        <is>
          <t>7 ต.ค.69</t>
        </is>
      </c>
      <c r="H524" s="376" t="inlineStr">
        <is>
          <t>20101-2002</t>
        </is>
      </c>
      <c r="I524" s="376" t="inlineStr">
        <is>
          <t>ชย.1/5 (26)</t>
        </is>
      </c>
      <c r="J524" s="334" t="inlineStr">
        <is>
          <t>13:10 - 16:10</t>
        </is>
      </c>
      <c r="K524" s="374" t="n"/>
      <c r="L524" s="334" t="n">
        <v>3</v>
      </c>
      <c r="M524" s="334" t="inlineStr"/>
      <c r="N524" s="334" t="inlineStr"/>
      <c r="O524" s="354" t="inlineStr"/>
      <c r="P524" s="334" t="inlineStr"/>
      <c r="Q524" s="334" t="inlineStr"/>
      <c r="R524" s="334" t="inlineStr"/>
      <c r="S524" s="354" t="inlineStr"/>
      <c r="T524" t="inlineStr"/>
      <c r="U524" t="inlineStr"/>
    </row>
    <row r="525" ht="22.2" customHeight="1" s="375">
      <c r="A525" s="3" t="n"/>
      <c r="B525" s="313" t="n"/>
      <c r="D525" s="314" t="n"/>
      <c r="E525" s="314" t="n"/>
      <c r="G525" s="334" t="inlineStr"/>
      <c r="H525" s="376" t="inlineStr">
        <is>
          <t>20101-2020</t>
        </is>
      </c>
      <c r="I525" s="376" t="inlineStr">
        <is>
          <t>ชย.3/1,ชย.3/2 (26)</t>
        </is>
      </c>
      <c r="J525" s="334" t="inlineStr">
        <is>
          <t>17:10 - 21:10</t>
        </is>
      </c>
      <c r="K525" s="374" t="n"/>
      <c r="L525" s="334" t="n">
        <v>3</v>
      </c>
      <c r="M525" s="334" t="n">
        <v>1</v>
      </c>
      <c r="N525" s="334" t="n">
        <v>200</v>
      </c>
      <c r="O525" s="354">
        <f>M525*N525</f>
        <v/>
      </c>
      <c r="P525" s="334" t="inlineStr"/>
      <c r="Q525" s="334" t="inlineStr"/>
      <c r="R525" s="334" t="inlineStr"/>
      <c r="S525" s="354" t="inlineStr"/>
      <c r="T525" t="inlineStr"/>
      <c r="U525" t="inlineStr"/>
    </row>
    <row r="526" ht="22.2" customHeight="1" s="375">
      <c r="A526" s="3" t="n"/>
      <c r="E526" s="3" t="n"/>
      <c r="G526" s="321" t="inlineStr"/>
      <c r="H526" s="321" t="inlineStr"/>
      <c r="I526" s="334" t="inlineStr"/>
      <c r="J526" s="334" t="inlineStr"/>
      <c r="K526" s="374" t="n"/>
      <c r="L526" s="334" t="inlineStr"/>
      <c r="M526" s="334" t="inlineStr"/>
      <c r="N526" s="334" t="inlineStr"/>
      <c r="O526" s="354" t="inlineStr"/>
      <c r="P526" s="334" t="inlineStr"/>
      <c r="Q526" s="334" t="inlineStr"/>
      <c r="R526" s="334" t="inlineStr"/>
      <c r="S526" s="354" t="inlineStr"/>
      <c r="T526" t="inlineStr"/>
      <c r="U526" t="inlineStr"/>
    </row>
    <row r="527" ht="22.2" customHeight="1" s="375">
      <c r="A527" s="3" t="n"/>
      <c r="E527" s="3" t="n"/>
      <c r="G527" s="327" t="inlineStr"/>
      <c r="H527" s="327" t="inlineStr"/>
      <c r="I527" s="336" t="inlineStr"/>
      <c r="J527" s="336" t="inlineStr"/>
      <c r="K527" s="527" t="n"/>
      <c r="L527" s="336" t="inlineStr"/>
      <c r="M527" s="336" t="inlineStr"/>
      <c r="N527" s="336" t="inlineStr"/>
      <c r="O527" s="354" t="inlineStr"/>
      <c r="P527" s="336" t="inlineStr"/>
      <c r="Q527" s="336" t="inlineStr"/>
      <c r="R527" s="336" t="inlineStr"/>
      <c r="S527" s="354" t="inlineStr"/>
      <c r="T527" t="inlineStr"/>
      <c r="U527" t="inlineStr"/>
    </row>
    <row r="528" ht="22.2" customHeight="1" s="375">
      <c r="A528" s="3" t="n"/>
      <c r="E528" s="3" t="n"/>
      <c r="G528" s="533" t="inlineStr">
        <is>
          <t>พฤหัส</t>
        </is>
      </c>
      <c r="H528" s="376" t="inlineStr">
        <is>
          <t>20101-2002</t>
        </is>
      </c>
      <c r="I528" s="376" t="inlineStr">
        <is>
          <t>ชย.1/8 (26)</t>
        </is>
      </c>
      <c r="J528" s="381" t="inlineStr">
        <is>
          <t>08:10 - 12:10</t>
        </is>
      </c>
      <c r="K528" s="135" t="n"/>
      <c r="L528" s="362" t="inlineStr"/>
      <c r="M528" s="334" t="n">
        <v>4</v>
      </c>
      <c r="N528" s="334" t="n">
        <v>200</v>
      </c>
      <c r="O528" s="354">
        <f>M528*N528</f>
        <v/>
      </c>
      <c r="P528" s="334" t="inlineStr"/>
      <c r="Q528" s="362" t="inlineStr"/>
      <c r="R528" s="362" t="inlineStr"/>
      <c r="S528" s="354" t="inlineStr"/>
      <c r="T528" t="inlineStr"/>
      <c r="U528" t="inlineStr"/>
    </row>
    <row r="529" ht="22.2" customHeight="1" s="375">
      <c r="A529" s="3" t="n"/>
      <c r="E529" s="3" t="n"/>
      <c r="G529" s="535" t="inlineStr">
        <is>
          <t>8 ต.ค.69</t>
        </is>
      </c>
      <c r="H529" s="376" t="inlineStr">
        <is>
          <t>20000-2005</t>
        </is>
      </c>
      <c r="I529" s="334" t="inlineStr">
        <is>
          <t>ชยฟ.3/1 (26)</t>
        </is>
      </c>
      <c r="J529" s="334" t="inlineStr">
        <is>
          <t>13:10 - 15:10</t>
        </is>
      </c>
      <c r="K529" s="374" t="n"/>
      <c r="L529" s="376" t="n">
        <v>2</v>
      </c>
      <c r="M529" s="334" t="inlineStr"/>
      <c r="N529" s="334" t="inlineStr"/>
      <c r="O529" s="354" t="inlineStr"/>
      <c r="P529" s="334" t="inlineStr"/>
      <c r="Q529" s="334" t="inlineStr"/>
      <c r="R529" s="334" t="inlineStr"/>
      <c r="S529" s="354" t="inlineStr"/>
      <c r="T529" t="inlineStr"/>
      <c r="U529" t="inlineStr"/>
    </row>
    <row r="530" ht="22.2" customHeight="1" s="375">
      <c r="A530" s="3" t="n"/>
      <c r="B530" s="313" t="n"/>
      <c r="E530" s="3" t="n"/>
      <c r="G530" s="334" t="inlineStr"/>
      <c r="H530" s="376" t="inlineStr">
        <is>
          <t>20101-2002</t>
        </is>
      </c>
      <c r="I530" s="376" t="inlineStr">
        <is>
          <t>ชย.1/8 (26)</t>
        </is>
      </c>
      <c r="J530" s="376" t="inlineStr">
        <is>
          <t>15:10 - 18:10</t>
        </is>
      </c>
      <c r="K530" s="374" t="n"/>
      <c r="L530" s="376" t="inlineStr"/>
      <c r="M530" s="376" t="n">
        <v>3</v>
      </c>
      <c r="N530" s="376" t="n">
        <v>200</v>
      </c>
      <c r="O530" s="354">
        <f>M530*N530</f>
        <v/>
      </c>
      <c r="P530" s="376" t="inlineStr"/>
      <c r="Q530" s="376" t="inlineStr"/>
      <c r="R530" s="376" t="inlineStr"/>
      <c r="S530" s="354" t="inlineStr"/>
      <c r="T530" t="inlineStr"/>
      <c r="U530" t="inlineStr"/>
    </row>
    <row r="531" ht="22.2" customHeight="1" s="375">
      <c r="A531" s="3" t="n"/>
      <c r="E531" s="3" t="n"/>
      <c r="G531" s="334" t="inlineStr"/>
      <c r="H531" s="334" t="inlineStr">
        <is>
          <t>20101-2020</t>
        </is>
      </c>
      <c r="I531" s="334" t="inlineStr">
        <is>
          <t>ชย.3/1,ชย.3/2 (26)</t>
        </is>
      </c>
      <c r="J531" s="334" t="inlineStr">
        <is>
          <t>18:10 - 21:10</t>
        </is>
      </c>
      <c r="K531" s="374" t="n"/>
      <c r="L531" s="334" t="inlineStr"/>
      <c r="M531" s="334" t="n">
        <v>3</v>
      </c>
      <c r="N531" s="334" t="n">
        <v>200</v>
      </c>
      <c r="O531" s="354">
        <f>M531*N531</f>
        <v/>
      </c>
      <c r="P531" s="334" t="inlineStr"/>
      <c r="Q531" s="334" t="inlineStr"/>
      <c r="R531" s="334" t="inlineStr"/>
      <c r="S531" s="354" t="inlineStr"/>
      <c r="T531" t="inlineStr"/>
      <c r="U531" t="inlineStr"/>
    </row>
    <row r="532" ht="22.2" customHeight="1" s="375">
      <c r="A532" s="3" t="n"/>
      <c r="E532" s="3" t="n"/>
      <c r="G532" s="336" t="inlineStr"/>
      <c r="H532" s="328" t="inlineStr"/>
      <c r="I532" s="336" t="inlineStr"/>
      <c r="J532" s="336" t="inlineStr"/>
      <c r="K532" s="527" t="n"/>
      <c r="L532" s="336" t="inlineStr"/>
      <c r="M532" s="336" t="inlineStr"/>
      <c r="N532" s="336" t="inlineStr"/>
      <c r="O532" s="354" t="inlineStr"/>
      <c r="P532" s="336" t="inlineStr"/>
      <c r="Q532" s="336" t="inlineStr"/>
      <c r="R532" s="336" t="inlineStr"/>
      <c r="S532" s="354" t="inlineStr"/>
      <c r="T532" t="inlineStr"/>
      <c r="U532" t="inlineStr"/>
    </row>
    <row r="533" ht="22.2" customHeight="1" s="375">
      <c r="A533" s="3" t="n"/>
      <c r="E533" s="3" t="n"/>
      <c r="G533" s="533" t="inlineStr">
        <is>
          <t>ศุกร์</t>
        </is>
      </c>
      <c r="H533" s="376" t="inlineStr">
        <is>
          <t>20101-2020</t>
        </is>
      </c>
      <c r="I533" s="376" t="inlineStr">
        <is>
          <t>ชย.3/1,ชย.3/2 (26)</t>
        </is>
      </c>
      <c r="J533" s="381" t="inlineStr">
        <is>
          <t>17:10 - 18:10</t>
        </is>
      </c>
      <c r="K533" s="135" t="n"/>
      <c r="L533" s="367" t="inlineStr"/>
      <c r="M533" s="381" t="n">
        <v>1</v>
      </c>
      <c r="N533" s="381" t="n">
        <v>200</v>
      </c>
      <c r="O533" s="354">
        <f>M533*N533</f>
        <v/>
      </c>
      <c r="P533" s="381" t="inlineStr"/>
      <c r="Q533" s="367" t="inlineStr"/>
      <c r="R533" s="381" t="inlineStr"/>
      <c r="S533" s="354" t="inlineStr"/>
      <c r="T533" t="inlineStr"/>
      <c r="U533" t="inlineStr"/>
    </row>
    <row r="534" ht="22.2" customHeight="1" s="375">
      <c r="A534" s="3" t="n"/>
      <c r="E534" s="3" t="n"/>
      <c r="G534" s="535" t="inlineStr">
        <is>
          <t>9 ต.ค.69</t>
        </is>
      </c>
      <c r="H534" s="376" t="inlineStr"/>
      <c r="I534" s="376" t="inlineStr"/>
      <c r="J534" s="376" t="inlineStr"/>
      <c r="K534" s="374" t="n"/>
      <c r="L534" s="334" t="inlineStr"/>
      <c r="M534" s="334" t="inlineStr"/>
      <c r="N534" s="334" t="inlineStr"/>
      <c r="O534" s="354" t="inlineStr"/>
      <c r="P534" s="334" t="inlineStr"/>
      <c r="Q534" s="334" t="inlineStr"/>
      <c r="R534" s="334" t="inlineStr"/>
      <c r="S534" s="354" t="inlineStr"/>
      <c r="T534" t="inlineStr"/>
      <c r="U534" t="inlineStr"/>
    </row>
    <row r="535" ht="22.2" customHeight="1" s="375">
      <c r="A535" s="3" t="n"/>
      <c r="E535" s="3" t="n"/>
      <c r="G535" s="334" t="inlineStr"/>
      <c r="H535" s="376" t="inlineStr"/>
      <c r="I535" s="376" t="inlineStr"/>
      <c r="J535" s="376" t="inlineStr"/>
      <c r="K535" s="374" t="n"/>
      <c r="L535" s="334" t="inlineStr"/>
      <c r="M535" s="334" t="inlineStr"/>
      <c r="N535" s="334" t="inlineStr"/>
      <c r="O535" s="354" t="inlineStr"/>
      <c r="P535" s="334" t="inlineStr"/>
      <c r="Q535" s="334" t="inlineStr"/>
      <c r="R535" s="334" t="inlineStr"/>
      <c r="S535" s="354" t="inlineStr"/>
      <c r="T535" t="inlineStr"/>
      <c r="U535" t="inlineStr"/>
    </row>
    <row r="536" ht="22.2" customHeight="1" s="375">
      <c r="A536" s="3" t="n"/>
      <c r="E536" s="3" t="n"/>
      <c r="G536" s="334" t="inlineStr"/>
      <c r="H536" s="322" t="inlineStr"/>
      <c r="I536" s="334" t="inlineStr"/>
      <c r="J536" s="334" t="inlineStr"/>
      <c r="K536" s="374" t="n"/>
      <c r="L536" s="334" t="inlineStr"/>
      <c r="M536" s="334" t="inlineStr"/>
      <c r="N536" s="334" t="inlineStr"/>
      <c r="O536" s="354" t="inlineStr"/>
      <c r="P536" s="334" t="inlineStr"/>
      <c r="Q536" s="334" t="inlineStr"/>
      <c r="R536" s="334" t="inlineStr"/>
      <c r="S536" s="354" t="inlineStr"/>
      <c r="T536" t="inlineStr"/>
      <c r="U536" t="inlineStr"/>
    </row>
    <row r="537" ht="22.2" customHeight="1" s="375">
      <c r="A537" s="3" t="n"/>
      <c r="E537" s="3" t="n"/>
      <c r="F537" s="3" t="n"/>
      <c r="G537" s="329" t="inlineStr"/>
      <c r="H537" s="328" t="inlineStr"/>
      <c r="I537" s="336" t="inlineStr"/>
      <c r="J537" s="336" t="inlineStr"/>
      <c r="K537" s="527" t="n"/>
      <c r="L537" s="336" t="inlineStr"/>
      <c r="M537" s="336" t="inlineStr"/>
      <c r="N537" s="336" t="inlineStr"/>
      <c r="O537" s="354" t="inlineStr"/>
      <c r="P537" s="336" t="inlineStr"/>
      <c r="Q537" s="336" t="inlineStr"/>
      <c r="R537" s="336" t="inlineStr"/>
      <c r="S537" s="354" t="inlineStr"/>
      <c r="T537" t="inlineStr"/>
      <c r="U537" t="inlineStr"/>
    </row>
    <row r="538" ht="22.2" customHeight="1" s="375">
      <c r="A538" s="3" t="n"/>
      <c r="E538" s="3" t="n"/>
      <c r="F538" s="3" t="n"/>
      <c r="G538" s="16" t="inlineStr">
        <is>
          <t>รวมขั่วโมงที่สอนแยก ภาระงาน/ เกินภาระงาน</t>
        </is>
      </c>
      <c r="H538" s="518" t="n"/>
      <c r="I538" s="518" t="n"/>
      <c r="J538" s="518" t="n"/>
      <c r="K538" s="432" t="n"/>
      <c r="L538" s="16">
        <f>SUM(L513:L537)</f>
        <v/>
      </c>
      <c r="M538" s="16">
        <f>SUM(M513:M537)</f>
        <v/>
      </c>
      <c r="N538" s="16" t="n"/>
      <c r="O538" s="16" t="n"/>
      <c r="P538" s="16">
        <f>SUM(P513:P537)</f>
        <v/>
      </c>
      <c r="Q538" s="16">
        <f>SUM(Q513:Q537)</f>
        <v/>
      </c>
      <c r="R538" s="349" t="n"/>
      <c r="S538" s="16" t="n"/>
    </row>
    <row r="539" ht="22.2" customHeight="1" s="375">
      <c r="A539" s="3" t="n"/>
      <c r="E539" s="3" t="n"/>
      <c r="F539" s="3" t="n"/>
      <c r="G539" s="16" t="inlineStr">
        <is>
          <t>รวมจำนวนชั่วโมงสอนคาบต่อสับดาห์</t>
        </is>
      </c>
      <c r="H539" s="518" t="n"/>
      <c r="I539" s="518" t="n"/>
      <c r="J539" s="518" t="n"/>
      <c r="K539" s="432" t="n"/>
      <c r="L539" s="16">
        <f>L538+M538</f>
        <v/>
      </c>
      <c r="M539" s="432" t="n"/>
      <c r="N539" s="16" t="n"/>
      <c r="O539" s="348" t="n"/>
      <c r="P539" s="16">
        <f>P538+Q538</f>
        <v/>
      </c>
      <c r="Q539" s="432" t="n"/>
      <c r="R539" s="329" t="n"/>
      <c r="S539" s="336" t="n"/>
    </row>
    <row r="540" ht="22.2" customHeight="1" s="375">
      <c r="A540" s="3" t="n"/>
      <c r="E540" s="3" t="n"/>
      <c r="F540" s="3" t="n"/>
      <c r="G540" s="16" t="inlineStr">
        <is>
          <t>จำนวนชั่วโมงสอนตามภาระงานสอน</t>
        </is>
      </c>
      <c r="H540" s="518" t="n"/>
      <c r="I540" s="518" t="n"/>
      <c r="J540" s="518" t="n"/>
      <c r="K540" s="432" t="n"/>
      <c r="L540" s="131" t="n">
        <v>18</v>
      </c>
      <c r="M540" s="432" t="n"/>
      <c r="N540" s="130" t="n"/>
      <c r="O540" s="131" t="n"/>
      <c r="P540" s="131" t="n">
        <v>0</v>
      </c>
      <c r="Q540" s="432" t="n"/>
      <c r="R540" s="322" t="n"/>
      <c r="S540" s="334" t="n"/>
    </row>
    <row r="541" ht="22.2" customHeight="1" s="375" thickBot="1">
      <c r="A541" s="3" t="n"/>
      <c r="E541" s="3" t="n"/>
      <c r="F541" s="14" t="n"/>
      <c r="G541" s="16" t="inlineStr">
        <is>
          <t>จำนวนชั่วโมงบิกเกินภาระงานสอน/ค่าสอน</t>
        </is>
      </c>
      <c r="H541" s="518" t="n"/>
      <c r="I541" s="518" t="n"/>
      <c r="J541" s="518" t="n"/>
      <c r="K541" s="432" t="n"/>
      <c r="L541" s="17" t="n">
        <v>0</v>
      </c>
      <c r="M541" s="17">
        <f>SUM(M513:M537)</f>
        <v/>
      </c>
      <c r="N541" s="17" t="n"/>
      <c r="O541" s="17">
        <f>SUM(O513:O537)</f>
        <v/>
      </c>
      <c r="P541" s="17" t="n">
        <v>0</v>
      </c>
      <c r="Q541" s="17">
        <f>SUM(Q513:Q537)</f>
        <v/>
      </c>
      <c r="R541" s="18" t="n"/>
      <c r="S541" s="17">
        <f>SUM(S513:S537)</f>
        <v/>
      </c>
    </row>
    <row r="542" ht="22.2" customHeight="1" s="375" thickTop="1">
      <c r="A542" s="337" t="inlineStr">
        <is>
          <t>รวมจำนวนหน่วยชั่วโมงที่ขอเบิกค่าสอน ….</t>
        </is>
      </c>
      <c r="B542" s="518" t="n"/>
      <c r="C542" s="518" t="n"/>
      <c r="D542" s="518" t="n"/>
      <c r="E542" s="518" t="n"/>
      <c r="F542" s="518" t="n"/>
      <c r="G542" s="518" t="n"/>
      <c r="H542" s="348">
        <f>M541+Q541</f>
        <v/>
      </c>
      <c r="I542" s="348" t="inlineStr">
        <is>
          <t>….ชั่วโมง</t>
        </is>
      </c>
      <c r="J542" s="348" t="n"/>
      <c r="K542" s="328" t="inlineStr">
        <is>
          <t>ยอดเงินรวม</t>
        </is>
      </c>
      <c r="L542" s="522" t="n"/>
      <c r="M542" s="522" t="n"/>
      <c r="N542" s="328" t="n"/>
      <c r="O542" s="328" t="n"/>
      <c r="P542" s="339">
        <f>S541+O541</f>
        <v/>
      </c>
      <c r="Q542" s="538" t="n"/>
      <c r="R542" s="20" t="n"/>
      <c r="S542" s="19" t="inlineStr">
        <is>
          <t>..บาท</t>
        </is>
      </c>
    </row>
    <row r="543" ht="22.2" customHeight="1" s="375">
      <c r="A543" s="154" t="inlineStr">
        <is>
          <t>ผู้ขอเบิก</t>
        </is>
      </c>
      <c r="B543" s="153" t="n"/>
      <c r="C543" s="153" t="n"/>
      <c r="D543" s="153" t="n"/>
      <c r="E543" s="153" t="n"/>
      <c r="F543" s="153" t="n"/>
      <c r="G543" s="135" t="n"/>
      <c r="H543" s="154" t="inlineStr">
        <is>
          <t>ผู้รับรอง</t>
        </is>
      </c>
      <c r="I543" s="153" t="n"/>
      <c r="J543" s="153" t="n"/>
      <c r="K543" s="153" t="n"/>
      <c r="L543" s="135" t="n"/>
      <c r="M543" s="154" t="inlineStr">
        <is>
          <t>ผู้ตรวจ</t>
        </is>
      </c>
      <c r="N543" s="153" t="n"/>
      <c r="O543" s="153" t="n"/>
      <c r="P543" s="153" t="n"/>
      <c r="Q543" s="153" t="n"/>
      <c r="R543" s="153" t="n"/>
      <c r="S543" s="135" t="n"/>
    </row>
    <row r="544" ht="22.2" customHeight="1" s="375">
      <c r="A544" s="334" t="inlineStr">
        <is>
          <t>ลงชื่อ……………………………………………</t>
        </is>
      </c>
      <c r="G544" s="374" t="n"/>
      <c r="H544" s="334" t="inlineStr">
        <is>
          <t>ลงชื่อ……………………………………………</t>
        </is>
      </c>
      <c r="L544" s="374" t="n"/>
      <c r="M544" s="334" t="inlineStr">
        <is>
          <t>ลงชื่อ……………………………………………</t>
        </is>
      </c>
      <c r="S544" s="374" t="n"/>
    </row>
    <row r="545" ht="22.2" customHeight="1" s="375">
      <c r="A545" s="11" t="inlineStr">
        <is>
          <t>(</t>
        </is>
      </c>
      <c r="B545" s="324">
        <f>B513</f>
        <v/>
      </c>
      <c r="G545" s="326" t="inlineStr">
        <is>
          <t>)</t>
        </is>
      </c>
      <c r="H545" s="324" t="inlineStr">
        <is>
          <t>(</t>
        </is>
      </c>
      <c r="I545" s="340">
        <f>I499</f>
        <v/>
      </c>
      <c r="L545" s="12" t="inlineStr">
        <is>
          <t>)</t>
        </is>
      </c>
      <c r="M545" s="53" t="inlineStr">
        <is>
          <t>(</t>
        </is>
      </c>
      <c r="N545" s="53" t="n"/>
      <c r="O545" s="324">
        <f>O39</f>
        <v/>
      </c>
      <c r="R545" s="25" t="n"/>
      <c r="S545" s="326" t="inlineStr">
        <is>
          <t>)</t>
        </is>
      </c>
    </row>
    <row r="546" ht="22.2" customHeight="1" s="375">
      <c r="A546" s="540" t="inlineStr">
        <is>
          <t xml:space="preserve">                         ตำแหน่ง  ครู</t>
        </is>
      </c>
      <c r="G546" s="374" t="n"/>
      <c r="H546" s="54" t="inlineStr">
        <is>
          <t>ตำแหน่ง หัวหน้าแผนก</t>
        </is>
      </c>
      <c r="L546" s="374" t="n"/>
      <c r="M546" s="54" t="inlineStr">
        <is>
          <t>ตำแหน่ง   ผู้ตรวจสอบ</t>
        </is>
      </c>
      <c r="S546" s="374" t="n"/>
    </row>
    <row r="547" ht="22.2" customHeight="1" s="375">
      <c r="A547" s="55" t="inlineStr">
        <is>
          <t>วันที่ 12 เดือน ตุลาคม  พ.ศ.2569</t>
        </is>
      </c>
      <c r="B547" s="522" t="n"/>
      <c r="C547" s="522" t="n"/>
      <c r="D547" s="522" t="n"/>
      <c r="E547" s="522" t="n"/>
      <c r="F547" s="522" t="n"/>
      <c r="G547" s="527" t="n"/>
      <c r="H547" s="54">
        <f>A87</f>
        <v/>
      </c>
      <c r="L547" s="374" t="n"/>
      <c r="M547" s="55">
        <f>A87</f>
        <v/>
      </c>
      <c r="N547" s="522" t="n"/>
      <c r="O547" s="522" t="n"/>
      <c r="P547" s="522" t="n"/>
      <c r="Q547" s="522" t="n"/>
      <c r="R547" s="522" t="n"/>
      <c r="S547" s="527" t="n"/>
    </row>
    <row r="548" ht="22.2" customHeight="1" s="375">
      <c r="A548" s="154" t="inlineStr">
        <is>
          <t>ผู้ตรวจ</t>
        </is>
      </c>
      <c r="B548" s="153" t="n"/>
      <c r="C548" s="153" t="n"/>
      <c r="D548" s="153" t="n"/>
      <c r="E548" s="153" t="n"/>
      <c r="F548" s="153" t="n"/>
      <c r="G548" s="153" t="n"/>
      <c r="H548" s="153" t="n"/>
      <c r="I548" s="135" t="n"/>
      <c r="J548" s="154" t="inlineStr">
        <is>
          <t>ผู้เห็นชอบ</t>
        </is>
      </c>
      <c r="K548" s="153" t="n"/>
      <c r="L548" s="153" t="n"/>
      <c r="M548" s="153" t="n"/>
      <c r="N548" s="153" t="n"/>
      <c r="O548" s="153" t="n"/>
      <c r="P548" s="153" t="n"/>
      <c r="Q548" s="153" t="n"/>
      <c r="R548" s="153" t="n"/>
      <c r="S548" s="135" t="n"/>
    </row>
    <row r="549" ht="22.2" customHeight="1" s="375">
      <c r="A549" s="334" t="inlineStr">
        <is>
          <t>ลงชื่อ……………………………………………</t>
        </is>
      </c>
      <c r="I549" s="374" t="n"/>
      <c r="J549" s="334" t="inlineStr">
        <is>
          <t>ลงชื่อ……………………………………………</t>
        </is>
      </c>
      <c r="S549" s="374" t="n"/>
    </row>
    <row r="550" ht="22.2" customHeight="1" s="375">
      <c r="A550" s="11" t="n"/>
      <c r="B550" s="324">
        <f>B44</f>
        <v/>
      </c>
      <c r="I550" s="326" t="n"/>
      <c r="J550" s="25" t="n"/>
      <c r="K550" s="25" t="n"/>
      <c r="L550" s="324">
        <f>L44</f>
        <v/>
      </c>
      <c r="R550" s="25" t="n"/>
      <c r="S550" s="12" t="n"/>
    </row>
    <row r="551" ht="22.2" customHeight="1" s="375">
      <c r="A551" s="54" t="inlineStr">
        <is>
          <t>ตำแหน่งครู  หัวหน้างานพัฒนาหลักสูตร ฯ</t>
        </is>
      </c>
      <c r="I551" s="374" t="n"/>
      <c r="J551" s="54" t="inlineStr">
        <is>
          <t>ตำแหน่ง  รองผู้อำนวยการฝ่ายวิชาการ</t>
        </is>
      </c>
      <c r="S551" s="374" t="n"/>
    </row>
    <row r="552" ht="22.2" customHeight="1" s="375">
      <c r="A552" s="336" t="inlineStr">
        <is>
          <t>วันที่.......เดือน..........................พ.ศ..............</t>
        </is>
      </c>
      <c r="B552" s="522" t="n"/>
      <c r="C552" s="522" t="n"/>
      <c r="D552" s="522" t="n"/>
      <c r="E552" s="522" t="n"/>
      <c r="F552" s="522" t="n"/>
      <c r="G552" s="522" t="n"/>
      <c r="H552" s="522" t="n"/>
      <c r="I552" s="527" t="n"/>
      <c r="J552" s="336" t="inlineStr">
        <is>
          <t>วันที่.......เดือน..........................พ.ศ..............</t>
        </is>
      </c>
      <c r="K552" s="522" t="n"/>
      <c r="L552" s="522" t="n"/>
      <c r="M552" s="522" t="n"/>
      <c r="N552" s="522" t="n"/>
      <c r="O552" s="522" t="n"/>
      <c r="P552" s="522" t="n"/>
      <c r="Q552" s="522" t="n"/>
      <c r="R552" s="522" t="n"/>
      <c r="S552" s="527" t="n"/>
    </row>
    <row r="553" ht="22.2" customHeight="1" s="375">
      <c r="A553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75">
      <c r="A554" s="365" t="inlineStr">
        <is>
          <t>แผนกวิชาช่างยนต์</t>
        </is>
      </c>
    </row>
    <row r="555" ht="22.2" customHeight="1" s="375">
      <c r="A555" s="366" t="inlineStr">
        <is>
          <t xml:space="preserve">    ระหว่างวันที่</t>
        </is>
      </c>
      <c r="D555" s="365">
        <f>D3</f>
        <v/>
      </c>
      <c r="E555" s="365" t="inlineStr">
        <is>
          <t xml:space="preserve">   เดือน  </t>
        </is>
      </c>
      <c r="F555" s="365">
        <f>F3</f>
        <v/>
      </c>
      <c r="H555" s="365">
        <f>H3</f>
        <v/>
      </c>
      <c r="I555" s="365" t="inlineStr">
        <is>
          <t xml:space="preserve">     ถึง วันที่</t>
        </is>
      </c>
      <c r="J555" s="365">
        <f>J3</f>
        <v/>
      </c>
      <c r="K555" s="365" t="inlineStr">
        <is>
          <t xml:space="preserve">   เดือน </t>
        </is>
      </c>
      <c r="L555" s="365">
        <f>L3</f>
        <v/>
      </c>
      <c r="N555" s="365">
        <f>N3</f>
        <v/>
      </c>
      <c r="P555" s="365" t="n"/>
      <c r="R555" s="365" t="n"/>
    </row>
    <row r="556" ht="22.2" customHeight="1" s="375">
      <c r="G556" s="51" t="inlineStr">
        <is>
          <t>ü</t>
        </is>
      </c>
      <c r="H556" s="328" t="inlineStr">
        <is>
          <t>พนักงานราชการ</t>
        </is>
      </c>
      <c r="I556" s="328" t="inlineStr">
        <is>
          <t>หน้าที่พิเศษ</t>
        </is>
      </c>
      <c r="J556" s="351" t="inlineStr">
        <is>
          <t>ผู้ช่วยงานบริหารและพัฒนาทรัพยากรบุคคล, พัสดุ, ปกครองและความปลอดภัยนักเรียน</t>
        </is>
      </c>
      <c r="K556" s="351" t="n"/>
      <c r="L556" s="351" t="n"/>
      <c r="M556" s="351" t="n"/>
      <c r="N556" s="351" t="n"/>
      <c r="O556" s="351" t="n"/>
      <c r="P556" s="351" t="n"/>
      <c r="Q556" s="351" t="n"/>
      <c r="R556" s="351" t="n"/>
      <c r="S556" s="351" t="n"/>
    </row>
    <row r="557" ht="22.2" customHeight="1" s="375">
      <c r="A557" s="24" t="inlineStr">
        <is>
          <t>ที่</t>
        </is>
      </c>
      <c r="B557" s="24" t="inlineStr">
        <is>
          <t>ชื่อ-สกุล</t>
        </is>
      </c>
      <c r="C557" s="153" t="n"/>
      <c r="D557" s="135" t="n"/>
      <c r="E557" s="15" t="inlineStr">
        <is>
          <t>ตำแหน่ง</t>
        </is>
      </c>
      <c r="F557" s="16" t="inlineStr">
        <is>
          <t>ระยะเวลาที่สอน</t>
        </is>
      </c>
      <c r="G557" s="432" t="n"/>
      <c r="H557" s="16" t="inlineStr">
        <is>
          <t>รหัสวิชา</t>
        </is>
      </c>
      <c r="I557" s="362" t="inlineStr">
        <is>
          <t>ชั้น,แผนก,ห้อง</t>
        </is>
      </c>
      <c r="J557" s="16" t="inlineStr">
        <is>
          <t>เวลาสอน</t>
        </is>
      </c>
      <c r="K557" s="135" t="n"/>
      <c r="L557" s="16" t="inlineStr">
        <is>
          <t>ปวช.(คาบ)</t>
        </is>
      </c>
      <c r="M557" s="432" t="n"/>
      <c r="N557" s="354" t="inlineStr">
        <is>
          <t>เงิน</t>
        </is>
      </c>
      <c r="O557" s="362" t="inlineStr">
        <is>
          <t>ยอดเงิน</t>
        </is>
      </c>
      <c r="P557" s="524" t="inlineStr">
        <is>
          <t>ปวส.(คาบ)</t>
        </is>
      </c>
      <c r="Q557" s="432" t="n"/>
      <c r="R557" s="354" t="inlineStr">
        <is>
          <t>เงิน</t>
        </is>
      </c>
      <c r="S557" s="362" t="inlineStr">
        <is>
          <t>ยอดเงิน</t>
        </is>
      </c>
    </row>
    <row r="558" ht="22.2" customHeight="1" s="375">
      <c r="A558" s="52" t="n"/>
      <c r="B558" s="8" t="n"/>
      <c r="C558" s="9" t="n"/>
      <c r="D558" s="13" t="n"/>
      <c r="E558" s="10" t="n"/>
      <c r="F558" s="336" t="inlineStr">
        <is>
          <t>ส.</t>
        </is>
      </c>
      <c r="G558" s="336" t="inlineStr">
        <is>
          <t>วดป.</t>
        </is>
      </c>
      <c r="H558" s="525" t="n"/>
      <c r="I558" s="336" t="n"/>
      <c r="J558" s="526" t="n"/>
      <c r="K558" s="527" t="n"/>
      <c r="L558" s="336" t="inlineStr">
        <is>
          <t>ใน</t>
        </is>
      </c>
      <c r="M558" s="336" t="inlineStr">
        <is>
          <t>นอก</t>
        </is>
      </c>
      <c r="N558" s="336" t="inlineStr">
        <is>
          <t>ต่อ ชม.</t>
        </is>
      </c>
      <c r="O558" s="336" t="inlineStr">
        <is>
          <t>(บาท)</t>
        </is>
      </c>
      <c r="P558" s="52" t="inlineStr">
        <is>
          <t>ใน</t>
        </is>
      </c>
      <c r="Q558" s="52" t="inlineStr">
        <is>
          <t>นอก</t>
        </is>
      </c>
      <c r="R558" s="336" t="inlineStr">
        <is>
          <t>ต่อ ชม.</t>
        </is>
      </c>
      <c r="S558" s="336" t="inlineStr">
        <is>
          <t>(บาท)</t>
        </is>
      </c>
    </row>
    <row r="559" ht="22.2" customHeight="1" s="375">
      <c r="A559" s="362" t="n">
        <v>13</v>
      </c>
      <c r="B559" s="528">
        <f>AB15</f>
        <v/>
      </c>
      <c r="C559" s="153" t="n"/>
      <c r="D559" s="135" t="n"/>
      <c r="E559" s="362" t="inlineStr">
        <is>
          <t>พนักงานราชการ</t>
        </is>
      </c>
      <c r="F559" s="5" t="n">
        <v>4</v>
      </c>
      <c r="G559" s="529" t="inlineStr">
        <is>
          <t>จันทร์</t>
        </is>
      </c>
      <c r="H559" s="376" t="inlineStr">
        <is>
          <t>20101-2005</t>
        </is>
      </c>
      <c r="I559" s="376" t="inlineStr">
        <is>
          <t>ชย.2/7 (26)</t>
        </is>
      </c>
      <c r="J559" s="334" t="inlineStr">
        <is>
          <t>08:10 - 12:10</t>
        </is>
      </c>
      <c r="K559" s="374" t="n"/>
      <c r="L559" s="367" t="n">
        <v>4</v>
      </c>
      <c r="M559" s="381" t="inlineStr"/>
      <c r="N559" s="381" t="inlineStr"/>
      <c r="O559" s="354" t="inlineStr"/>
      <c r="P559" s="381" t="inlineStr"/>
      <c r="Q559" s="367" t="inlineStr"/>
      <c r="R559" s="381" t="inlineStr"/>
      <c r="S559" s="354" t="inlineStr"/>
      <c r="T559" t="inlineStr"/>
      <c r="U559" t="inlineStr"/>
    </row>
    <row r="560" ht="22.2" customHeight="1" s="375">
      <c r="A560" s="3" t="n"/>
      <c r="B560" s="530" t="n"/>
      <c r="D560" s="374" t="n"/>
      <c r="E560" s="334" t="n"/>
      <c r="F560" s="322" t="n"/>
      <c r="G560" s="535" t="inlineStr">
        <is>
          <t>5 ต.ค.69</t>
        </is>
      </c>
      <c r="H560" s="376" t="inlineStr">
        <is>
          <t>20101-2005</t>
        </is>
      </c>
      <c r="I560" s="376" t="inlineStr">
        <is>
          <t>ชย.2/7 (26)</t>
        </is>
      </c>
      <c r="J560" s="334" t="inlineStr">
        <is>
          <t>13:10 - 16:10</t>
        </is>
      </c>
      <c r="K560" s="374" t="n"/>
      <c r="L560" s="334" t="n">
        <v>3</v>
      </c>
      <c r="M560" s="334" t="inlineStr"/>
      <c r="N560" s="334" t="inlineStr"/>
      <c r="O560" s="354" t="inlineStr"/>
      <c r="P560" s="334" t="inlineStr"/>
      <c r="Q560" s="334" t="inlineStr"/>
      <c r="R560" s="334" t="inlineStr"/>
      <c r="S560" s="354" t="inlineStr"/>
      <c r="T560" s="351" t="inlineStr"/>
      <c r="U560" t="inlineStr"/>
    </row>
    <row r="561" ht="22.2" customHeight="1" s="375">
      <c r="A561" s="3" t="n"/>
      <c r="B561" s="313" t="n"/>
      <c r="D561" s="314" t="n"/>
      <c r="E561" s="314" t="n"/>
      <c r="F561" s="322" t="n"/>
      <c r="G561" s="321" t="inlineStr"/>
      <c r="H561" s="334" t="inlineStr"/>
      <c r="I561" s="376" t="inlineStr"/>
      <c r="J561" s="334" t="inlineStr"/>
      <c r="K561" s="374" t="n"/>
      <c r="L561" s="334" t="inlineStr"/>
      <c r="M561" s="334" t="inlineStr"/>
      <c r="N561" s="334" t="inlineStr"/>
      <c r="O561" s="354" t="inlineStr"/>
      <c r="P561" s="334" t="inlineStr"/>
      <c r="Q561" s="334" t="inlineStr"/>
      <c r="R561" s="334" t="inlineStr"/>
      <c r="S561" s="354" t="inlineStr"/>
      <c r="T561" t="inlineStr"/>
      <c r="U561" t="inlineStr"/>
    </row>
    <row r="562" ht="22.2" customHeight="1" s="375">
      <c r="A562" s="3" t="n"/>
      <c r="B562" s="313" t="n"/>
      <c r="E562" s="3" t="n"/>
      <c r="F562" s="322" t="n"/>
      <c r="G562" s="321" t="inlineStr"/>
      <c r="H562" s="334" t="inlineStr"/>
      <c r="I562" s="334" t="inlineStr"/>
      <c r="J562" s="334" t="inlineStr"/>
      <c r="K562" s="374" t="n"/>
      <c r="L562" s="334" t="inlineStr"/>
      <c r="M562" s="334" t="inlineStr"/>
      <c r="N562" s="334" t="inlineStr"/>
      <c r="O562" s="354" t="inlineStr"/>
      <c r="P562" s="334" t="inlineStr"/>
      <c r="Q562" s="334" t="inlineStr"/>
      <c r="R562" s="334" t="inlineStr"/>
      <c r="S562" s="354" t="inlineStr"/>
      <c r="T562" t="inlineStr"/>
      <c r="U562" t="inlineStr"/>
    </row>
    <row r="563" ht="22.2" customHeight="1" s="375">
      <c r="A563" s="3" t="n"/>
      <c r="E563" s="3" t="n"/>
      <c r="G563" s="344" t="inlineStr"/>
      <c r="H563" s="336" t="inlineStr"/>
      <c r="I563" s="336" t="inlineStr"/>
      <c r="J563" s="336" t="inlineStr"/>
      <c r="K563" s="527" t="n"/>
      <c r="L563" s="334" t="inlineStr"/>
      <c r="M563" s="334" t="inlineStr"/>
      <c r="N563" s="334" t="inlineStr"/>
      <c r="O563" s="354" t="inlineStr"/>
      <c r="P563" s="334" t="inlineStr"/>
      <c r="Q563" s="334" t="inlineStr"/>
      <c r="R563" s="334" t="inlineStr"/>
      <c r="S563" s="354" t="inlineStr"/>
      <c r="T563" t="inlineStr"/>
      <c r="U563" t="inlineStr"/>
    </row>
    <row r="564" ht="22.2" customHeight="1" s="375">
      <c r="A564" s="3" t="n"/>
      <c r="E564" s="3" t="n"/>
      <c r="G564" s="533" t="inlineStr">
        <is>
          <t>อังคาร</t>
        </is>
      </c>
      <c r="H564" s="376" t="inlineStr">
        <is>
          <t>20101-2005</t>
        </is>
      </c>
      <c r="I564" s="376" t="inlineStr">
        <is>
          <t>ชย.2/8 (26)</t>
        </is>
      </c>
      <c r="J564" s="334" t="inlineStr">
        <is>
          <t>08:10 - 12:10</t>
        </is>
      </c>
      <c r="K564" s="374" t="n"/>
      <c r="L564" s="367" t="n">
        <v>4</v>
      </c>
      <c r="M564" s="381" t="inlineStr"/>
      <c r="N564" s="381" t="inlineStr"/>
      <c r="O564" s="354" t="inlineStr"/>
      <c r="P564" s="381" t="inlineStr"/>
      <c r="Q564" s="367" t="inlineStr"/>
      <c r="R564" s="381" t="inlineStr"/>
      <c r="S564" s="354" t="inlineStr"/>
      <c r="T564" s="23" t="inlineStr"/>
      <c r="U564" s="23" t="inlineStr"/>
      <c r="V564" s="56" t="n"/>
      <c r="W564" s="23" t="n"/>
      <c r="X564" s="23" t="n"/>
    </row>
    <row r="565" ht="22.2" customHeight="1" s="375">
      <c r="A565" s="3" t="n"/>
      <c r="E565" s="3" t="n"/>
      <c r="G565" s="535" t="inlineStr">
        <is>
          <t>6 ต.ค.69</t>
        </is>
      </c>
      <c r="H565" s="376" t="inlineStr">
        <is>
          <t>20101-2005</t>
        </is>
      </c>
      <c r="I565" s="376" t="inlineStr">
        <is>
          <t>ชย.2/8 (26)</t>
        </is>
      </c>
      <c r="J565" s="334" t="inlineStr">
        <is>
          <t>13:10 - 16:10</t>
        </is>
      </c>
      <c r="K565" s="374" t="n"/>
      <c r="L565" s="334" t="n">
        <v>3</v>
      </c>
      <c r="M565" s="334" t="inlineStr"/>
      <c r="N565" s="334" t="inlineStr"/>
      <c r="O565" s="354" t="inlineStr"/>
      <c r="P565" s="334" t="inlineStr"/>
      <c r="Q565" s="334" t="inlineStr"/>
      <c r="R565" s="334" t="inlineStr"/>
      <c r="S565" s="354" t="inlineStr"/>
      <c r="T565" s="23" t="inlineStr"/>
      <c r="U565" s="23" t="inlineStr"/>
      <c r="V565" s="56" t="n"/>
      <c r="W565" s="23" t="n"/>
      <c r="X565" s="23" t="n"/>
    </row>
    <row r="566" ht="22.2" customHeight="1" s="375">
      <c r="A566" s="3" t="n"/>
      <c r="B566" s="313" t="n"/>
      <c r="D566" s="314" t="n"/>
      <c r="E566" s="314" t="n"/>
      <c r="G566" s="334" t="inlineStr"/>
      <c r="H566" s="376" t="inlineStr"/>
      <c r="I566" s="376" t="inlineStr"/>
      <c r="J566" s="334" t="inlineStr"/>
      <c r="K566" s="374" t="n"/>
      <c r="L566" s="334" t="inlineStr"/>
      <c r="M566" s="334" t="inlineStr"/>
      <c r="N566" s="334" t="inlineStr"/>
      <c r="O566" s="354" t="inlineStr"/>
      <c r="P566" s="334" t="inlineStr"/>
      <c r="Q566" s="334" t="inlineStr"/>
      <c r="R566" s="334" t="inlineStr"/>
      <c r="S566" s="354" t="inlineStr"/>
      <c r="T566" t="inlineStr"/>
      <c r="U566" t="inlineStr"/>
    </row>
    <row r="567" ht="22.2" customHeight="1" s="375">
      <c r="A567" s="3" t="n"/>
      <c r="E567" s="3" t="n"/>
      <c r="G567" s="54" t="inlineStr"/>
      <c r="H567" s="334" t="inlineStr"/>
      <c r="I567" s="376" t="inlineStr"/>
      <c r="J567" s="334" t="inlineStr"/>
      <c r="K567" s="374" t="n"/>
      <c r="L567" s="334" t="inlineStr"/>
      <c r="M567" s="334" t="inlineStr"/>
      <c r="N567" s="334" t="inlineStr"/>
      <c r="O567" s="354" t="inlineStr"/>
      <c r="P567" s="334" t="inlineStr"/>
      <c r="Q567" s="334" t="inlineStr"/>
      <c r="R567" s="334" t="inlineStr"/>
      <c r="S567" s="354" t="inlineStr"/>
      <c r="T567" t="inlineStr"/>
      <c r="U567" t="inlineStr"/>
    </row>
    <row r="568" ht="22.2" customHeight="1" s="375">
      <c r="A568" s="3" t="n"/>
      <c r="D568" s="7" t="inlineStr">
        <is>
          <t> </t>
        </is>
      </c>
      <c r="E568" s="3" t="n"/>
      <c r="G568" s="55" t="inlineStr"/>
      <c r="H568" s="336" t="inlineStr"/>
      <c r="I568" s="336" t="inlineStr"/>
      <c r="J568" s="336" t="inlineStr"/>
      <c r="K568" s="527" t="n"/>
      <c r="L568" s="334" t="inlineStr"/>
      <c r="M568" s="334" t="inlineStr"/>
      <c r="N568" s="334" t="inlineStr"/>
      <c r="O568" s="354" t="inlineStr"/>
      <c r="P568" s="336" t="inlineStr"/>
      <c r="Q568" s="336" t="inlineStr"/>
      <c r="R568" s="336" t="inlineStr"/>
      <c r="S568" s="354" t="inlineStr"/>
      <c r="T568" t="inlineStr"/>
      <c r="U568" t="inlineStr"/>
    </row>
    <row r="569" ht="22.2" customHeight="1" s="375">
      <c r="A569" s="3" t="n"/>
      <c r="E569" s="3" t="n"/>
      <c r="G569" s="535" t="inlineStr">
        <is>
          <t>พุธ</t>
        </is>
      </c>
      <c r="H569" s="376" t="inlineStr">
        <is>
          <t>20101-2005</t>
        </is>
      </c>
      <c r="I569" s="376" t="inlineStr">
        <is>
          <t>ชย.2/5 (26)</t>
        </is>
      </c>
      <c r="J569" s="381" t="inlineStr">
        <is>
          <t>08:10 - 12:10</t>
        </is>
      </c>
      <c r="K569" s="135" t="n"/>
      <c r="L569" s="367" t="n">
        <v>2</v>
      </c>
      <c r="M569" s="381" t="n">
        <v>2</v>
      </c>
      <c r="N569" s="381" t="n">
        <v>200</v>
      </c>
      <c r="O569" s="354">
        <f>M569*N569</f>
        <v/>
      </c>
      <c r="P569" s="148" t="inlineStr"/>
      <c r="Q569" s="148" t="inlineStr"/>
      <c r="R569" s="149" t="inlineStr"/>
      <c r="S569" s="354" t="inlineStr"/>
      <c r="T569" s="6" t="inlineStr"/>
      <c r="U569" s="22" t="inlineStr"/>
      <c r="V569" s="57" t="n"/>
      <c r="W569" s="21" t="n"/>
      <c r="X569" s="21" t="n"/>
    </row>
    <row r="570" ht="22.2" customHeight="1" s="375">
      <c r="A570" s="3" t="n"/>
      <c r="B570" s="321" t="n"/>
      <c r="C570" s="322" t="n"/>
      <c r="D570" s="322" t="n"/>
      <c r="E570" s="334" t="n"/>
      <c r="G570" s="535" t="inlineStr">
        <is>
          <t>7 ต.ค.69</t>
        </is>
      </c>
      <c r="H570" s="376" t="inlineStr">
        <is>
          <t>20101-2005</t>
        </is>
      </c>
      <c r="I570" s="376" t="inlineStr">
        <is>
          <t>ชย.2/5 (26)</t>
        </is>
      </c>
      <c r="J570" s="334" t="inlineStr">
        <is>
          <t>13:10 - 16:10</t>
        </is>
      </c>
      <c r="K570" s="374" t="n"/>
      <c r="L570" s="334" t="inlineStr"/>
      <c r="M570" s="334" t="n">
        <v>3</v>
      </c>
      <c r="N570" s="334" t="n">
        <v>200</v>
      </c>
      <c r="O570" s="354">
        <f>M570*N570</f>
        <v/>
      </c>
      <c r="P570" s="334" t="inlineStr"/>
      <c r="Q570" s="334" t="inlineStr"/>
      <c r="R570" s="334" t="inlineStr"/>
      <c r="S570" s="354" t="inlineStr"/>
      <c r="T570" s="21" t="inlineStr"/>
      <c r="U570" s="22" t="inlineStr"/>
      <c r="V570" s="57" t="n"/>
      <c r="W570" s="21" t="n"/>
      <c r="X570" s="21" t="n"/>
    </row>
    <row r="571" ht="22.2" customHeight="1" s="375">
      <c r="A571" s="3" t="n"/>
      <c r="B571" s="313" t="n"/>
      <c r="D571" s="314" t="n"/>
      <c r="E571" s="314" t="n"/>
      <c r="G571" s="334" t="inlineStr"/>
      <c r="H571" s="376" t="inlineStr"/>
      <c r="I571" s="376" t="inlineStr"/>
      <c r="J571" s="334" t="inlineStr"/>
      <c r="K571" s="374" t="n"/>
      <c r="L571" s="334" t="inlineStr"/>
      <c r="M571" s="334" t="inlineStr"/>
      <c r="N571" s="334" t="inlineStr"/>
      <c r="O571" s="354" t="inlineStr"/>
      <c r="P571" s="334" t="inlineStr"/>
      <c r="Q571" s="334" t="inlineStr"/>
      <c r="R571" s="334" t="inlineStr"/>
      <c r="S571" s="354" t="inlineStr"/>
      <c r="T571" t="inlineStr"/>
      <c r="U571" t="inlineStr"/>
    </row>
    <row r="572" ht="22.2" customHeight="1" s="375">
      <c r="A572" s="3" t="n"/>
      <c r="E572" s="3" t="n"/>
      <c r="G572" s="321" t="inlineStr"/>
      <c r="H572" s="321" t="inlineStr"/>
      <c r="I572" s="334" t="inlineStr"/>
      <c r="J572" s="334" t="inlineStr"/>
      <c r="K572" s="374" t="n"/>
      <c r="L572" t="inlineStr"/>
      <c r="M572" s="334" t="inlineStr"/>
      <c r="N572" s="334" t="inlineStr"/>
      <c r="O572" s="354" t="inlineStr"/>
      <c r="P572" s="334" t="inlineStr"/>
      <c r="Q572" s="334" t="inlineStr"/>
      <c r="R572" s="334" t="inlineStr"/>
      <c r="S572" s="354" t="inlineStr"/>
      <c r="T572" t="inlineStr"/>
      <c r="U572" t="inlineStr"/>
    </row>
    <row r="573" ht="22.2" customHeight="1" s="375">
      <c r="A573" s="3" t="n"/>
      <c r="E573" s="3" t="n"/>
      <c r="G573" s="327" t="inlineStr"/>
      <c r="H573" s="327" t="inlineStr"/>
      <c r="I573" s="336" t="inlineStr"/>
      <c r="J573" s="336" t="inlineStr"/>
      <c r="K573" s="527" t="n"/>
      <c r="L573" s="336" t="inlineStr"/>
      <c r="M573" s="336" t="inlineStr"/>
      <c r="N573" s="336" t="inlineStr"/>
      <c r="O573" s="354" t="inlineStr"/>
      <c r="P573" s="336" t="inlineStr"/>
      <c r="Q573" s="336" t="inlineStr"/>
      <c r="R573" s="336" t="inlineStr"/>
      <c r="S573" s="354" t="inlineStr"/>
      <c r="T573" t="inlineStr"/>
      <c r="U573" t="inlineStr"/>
    </row>
    <row r="574" ht="22.2" customHeight="1" s="375">
      <c r="A574" s="3" t="n"/>
      <c r="E574" s="3" t="n"/>
      <c r="G574" s="533" t="inlineStr">
        <is>
          <t>พฤหัส</t>
        </is>
      </c>
      <c r="H574" s="376" t="inlineStr">
        <is>
          <t>20101-2005</t>
        </is>
      </c>
      <c r="I574" s="376" t="inlineStr">
        <is>
          <t>ชย.2/6 (26)</t>
        </is>
      </c>
      <c r="J574" s="381" t="inlineStr">
        <is>
          <t>08:10 - 12:10</t>
        </is>
      </c>
      <c r="K574" s="135" t="n"/>
      <c r="L574" s="367" t="inlineStr"/>
      <c r="M574" s="334" t="n">
        <v>4</v>
      </c>
      <c r="N574" s="334" t="n">
        <v>200</v>
      </c>
      <c r="O574" s="354">
        <f>M574*N574</f>
        <v/>
      </c>
      <c r="P574" s="24" t="inlineStr"/>
      <c r="Q574" s="24" t="inlineStr"/>
      <c r="R574" s="24" t="inlineStr"/>
      <c r="S574" s="354" t="inlineStr"/>
      <c r="T574" t="inlineStr"/>
      <c r="U574" t="inlineStr"/>
    </row>
    <row r="575" ht="22.2" customHeight="1" s="375">
      <c r="A575" s="3" t="n"/>
      <c r="E575" s="3" t="n"/>
      <c r="G575" s="535" t="inlineStr">
        <is>
          <t>8 ต.ค.69</t>
        </is>
      </c>
      <c r="H575" s="250" t="inlineStr">
        <is>
          <t>20101-2005</t>
        </is>
      </c>
      <c r="I575" s="376" t="inlineStr">
        <is>
          <t>ชย.2/6 (26)</t>
        </is>
      </c>
      <c r="J575" s="313" t="inlineStr">
        <is>
          <t>15:10 - 18:10</t>
        </is>
      </c>
      <c r="K575" s="314" t="n"/>
      <c r="L575" s="334" t="inlineStr"/>
      <c r="M575" s="334" t="n">
        <v>3</v>
      </c>
      <c r="N575" s="334" t="n">
        <v>200</v>
      </c>
      <c r="O575" s="354">
        <f>M575*N575</f>
        <v/>
      </c>
      <c r="P575" s="334" t="inlineStr"/>
      <c r="Q575" s="251" t="inlineStr"/>
      <c r="R575" s="251" t="inlineStr"/>
      <c r="S575" s="16" t="inlineStr"/>
      <c r="T575" t="inlineStr"/>
      <c r="U575" t="inlineStr"/>
    </row>
    <row r="576" ht="22.2" customHeight="1" s="375">
      <c r="A576" s="3" t="n"/>
      <c r="B576" s="313" t="n"/>
      <c r="E576" s="3" t="n"/>
      <c r="G576" s="334" t="inlineStr"/>
      <c r="H576" s="376" t="inlineStr"/>
      <c r="I576" s="376" t="inlineStr"/>
      <c r="J576" s="334" t="inlineStr"/>
      <c r="K576" s="374" t="n"/>
      <c r="L576" s="376" t="inlineStr"/>
      <c r="M576" s="376" t="inlineStr"/>
      <c r="N576" s="376" t="inlineStr"/>
      <c r="O576" s="354" t="inlineStr"/>
      <c r="P576" s="334" t="inlineStr"/>
      <c r="Q576" s="251" t="inlineStr"/>
      <c r="R576" s="251" t="inlineStr"/>
      <c r="S576" s="525" t="n"/>
      <c r="T576" t="inlineStr"/>
      <c r="U576" t="inlineStr"/>
    </row>
    <row r="577" ht="22.2" customHeight="1" s="375">
      <c r="A577" s="3" t="n"/>
      <c r="E577" s="3" t="n"/>
      <c r="G577" s="334" t="inlineStr"/>
      <c r="H577" s="376" t="inlineStr"/>
      <c r="I577" s="376" t="inlineStr"/>
      <c r="J577" s="334" t="inlineStr"/>
      <c r="K577" s="374" t="n"/>
      <c r="L577" s="334" t="inlineStr"/>
      <c r="M577" s="334" t="inlineStr"/>
      <c r="N577" s="334" t="inlineStr"/>
      <c r="O577" s="354" t="inlineStr"/>
      <c r="P577" s="334" t="inlineStr"/>
      <c r="Q577" s="334" t="inlineStr"/>
      <c r="R577" s="334" t="inlineStr"/>
      <c r="S577" s="354" t="inlineStr"/>
      <c r="T577" t="inlineStr"/>
      <c r="U577" t="inlineStr"/>
    </row>
    <row r="578" ht="22.2" customHeight="1" s="375">
      <c r="A578" s="3" t="n"/>
      <c r="E578" s="3" t="n"/>
      <c r="G578" s="336" t="inlineStr"/>
      <c r="H578" s="328" t="inlineStr"/>
      <c r="I578" s="336" t="inlineStr"/>
      <c r="J578" s="336" t="inlineStr"/>
      <c r="K578" s="527" t="n"/>
      <c r="L578" s="336" t="inlineStr"/>
      <c r="M578" s="336" t="inlineStr"/>
      <c r="N578" s="336" t="inlineStr"/>
      <c r="O578" s="354" t="inlineStr"/>
      <c r="P578" s="336" t="inlineStr"/>
      <c r="Q578" s="336" t="inlineStr"/>
      <c r="R578" s="336" t="inlineStr"/>
      <c r="S578" s="354" t="inlineStr"/>
      <c r="T578" t="inlineStr"/>
      <c r="U578" t="inlineStr"/>
    </row>
    <row r="579" ht="22.2" customHeight="1" s="375">
      <c r="A579" s="3" t="n"/>
      <c r="E579" s="3" t="n"/>
      <c r="G579" s="533" t="inlineStr">
        <is>
          <t>ศุกร์</t>
        </is>
      </c>
      <c r="H579" s="376" t="inlineStr"/>
      <c r="I579" s="376" t="inlineStr"/>
      <c r="J579" s="381" t="inlineStr"/>
      <c r="K579" s="135" t="n"/>
      <c r="L579" s="334" t="inlineStr"/>
      <c r="M579" s="381" t="inlineStr"/>
      <c r="N579" s="381" t="inlineStr"/>
      <c r="O579" s="354" t="inlineStr"/>
      <c r="P579" s="381" t="inlineStr"/>
      <c r="Q579" s="367" t="inlineStr"/>
      <c r="R579" s="381" t="inlineStr"/>
      <c r="S579" s="354" t="inlineStr"/>
      <c r="T579" t="inlineStr"/>
      <c r="U579" t="inlineStr"/>
    </row>
    <row r="580" ht="22.2" customHeight="1" s="375">
      <c r="A580" s="3" t="n"/>
      <c r="E580" s="3" t="n"/>
      <c r="G580" s="535" t="inlineStr">
        <is>
          <t>9 ต.ค.69</t>
        </is>
      </c>
      <c r="H580" s="376" t="inlineStr"/>
      <c r="I580" s="376" t="inlineStr"/>
      <c r="J580" s="334" t="inlineStr"/>
      <c r="K580" s="374" t="n"/>
      <c r="L580" s="334" t="inlineStr"/>
      <c r="M580" s="334" t="inlineStr"/>
      <c r="N580" s="334" t="inlineStr"/>
      <c r="O580" s="354" t="inlineStr"/>
      <c r="P580" s="334" t="inlineStr"/>
      <c r="Q580" s="334" t="inlineStr"/>
      <c r="R580" s="334" t="inlineStr"/>
      <c r="S580" s="354" t="inlineStr"/>
      <c r="T580" t="inlineStr"/>
      <c r="U580" t="inlineStr"/>
    </row>
    <row r="581" ht="22.2" customHeight="1" s="375">
      <c r="A581" s="3" t="n"/>
      <c r="E581" s="3" t="n"/>
      <c r="G581" s="334" t="inlineStr"/>
      <c r="H581" s="376" t="inlineStr"/>
      <c r="I581" s="376" t="inlineStr"/>
      <c r="J581" s="334" t="inlineStr"/>
      <c r="K581" s="374" t="n"/>
      <c r="L581" s="334" t="inlineStr"/>
      <c r="M581" s="334" t="inlineStr"/>
      <c r="N581" s="334" t="inlineStr"/>
      <c r="O581" s="354" t="inlineStr"/>
      <c r="P581" s="334" t="inlineStr"/>
      <c r="Q581" s="334" t="inlineStr"/>
      <c r="R581" s="334" t="inlineStr"/>
      <c r="S581" s="354" t="inlineStr"/>
      <c r="T581" t="inlineStr"/>
      <c r="U581" t="inlineStr"/>
    </row>
    <row r="582" ht="22.2" customHeight="1" s="375">
      <c r="A582" s="3" t="n"/>
      <c r="E582" s="3" t="n"/>
      <c r="G582" s="334" t="inlineStr"/>
      <c r="H582" s="322" t="inlineStr"/>
      <c r="I582" s="334" t="inlineStr"/>
      <c r="J582" s="334" t="inlineStr"/>
      <c r="K582" s="374" t="n"/>
      <c r="L582" s="334" t="inlineStr"/>
      <c r="M582" s="334" t="inlineStr"/>
      <c r="N582" s="334" t="inlineStr"/>
      <c r="O582" s="354" t="inlineStr"/>
      <c r="P582" s="334" t="inlineStr"/>
      <c r="Q582" s="334" t="inlineStr"/>
      <c r="R582" s="334" t="inlineStr"/>
      <c r="S582" s="354" t="inlineStr"/>
      <c r="T582" t="inlineStr"/>
      <c r="U582" t="inlineStr"/>
    </row>
    <row r="583" ht="22.2" customHeight="1" s="375">
      <c r="A583" s="3" t="n"/>
      <c r="E583" s="3" t="n"/>
      <c r="F583" s="3" t="n"/>
      <c r="G583" s="329" t="inlineStr"/>
      <c r="H583" s="328" t="inlineStr"/>
      <c r="I583" s="336" t="inlineStr"/>
      <c r="J583" s="336" t="inlineStr"/>
      <c r="K583" s="527" t="n"/>
      <c r="L583" s="336" t="inlineStr"/>
      <c r="M583" s="336" t="inlineStr"/>
      <c r="N583" s="336" t="inlineStr"/>
      <c r="O583" s="354" t="inlineStr"/>
      <c r="P583" s="336" t="inlineStr"/>
      <c r="Q583" s="336" t="inlineStr"/>
      <c r="R583" s="336" t="inlineStr"/>
      <c r="S583" s="354" t="inlineStr"/>
      <c r="T583" t="inlineStr"/>
      <c r="U583" t="inlineStr"/>
    </row>
    <row r="584" ht="22.2" customHeight="1" s="375">
      <c r="A584" s="3" t="n"/>
      <c r="E584" s="3" t="n"/>
      <c r="F584" s="3" t="n"/>
      <c r="G584" s="16" t="inlineStr">
        <is>
          <t>รวมขั่วโมงที่สอนแยก ภาระงาน/ เกินภาระงาน</t>
        </is>
      </c>
      <c r="H584" s="518" t="n"/>
      <c r="I584" s="518" t="n"/>
      <c r="J584" s="518" t="n"/>
      <c r="K584" s="432" t="n"/>
      <c r="L584" s="16">
        <f>SUM(L559:L583)</f>
        <v/>
      </c>
      <c r="M584" s="16">
        <f>SUM(M559:M583)</f>
        <v/>
      </c>
      <c r="N584" s="16" t="n"/>
      <c r="O584" s="16" t="n"/>
      <c r="P584" s="16">
        <f>SUM(P559:P583)</f>
        <v/>
      </c>
      <c r="Q584" s="16">
        <f>SUM(Q559:Q583)</f>
        <v/>
      </c>
      <c r="R584" s="349" t="n"/>
      <c r="S584" s="16" t="n"/>
      <c r="T584" s="23" t="n"/>
      <c r="U584" s="23" t="inlineStr">
        <is>
          <t>สอน ป.ตรี</t>
        </is>
      </c>
      <c r="V584" s="56" t="n"/>
      <c r="W584" s="23" t="n"/>
      <c r="X584" s="23" t="n"/>
    </row>
    <row r="585" ht="22.2" customHeight="1" s="375">
      <c r="A585" s="3" t="n"/>
      <c r="E585" s="3" t="n"/>
      <c r="F585" s="3" t="n"/>
      <c r="G585" s="16" t="inlineStr">
        <is>
          <t>รวมจำนวนชั่วโมงสอนคาบต่อสับดาห์</t>
        </is>
      </c>
      <c r="H585" s="518" t="n"/>
      <c r="I585" s="518" t="n"/>
      <c r="J585" s="518" t="n"/>
      <c r="K585" s="432" t="n"/>
      <c r="L585" s="16">
        <f>L584+M584</f>
        <v/>
      </c>
      <c r="M585" s="432" t="n"/>
      <c r="N585" s="348" t="n"/>
      <c r="O585" s="16" t="n"/>
      <c r="P585" s="16">
        <f>P584+Q584</f>
        <v/>
      </c>
      <c r="Q585" s="432" t="n"/>
      <c r="R585" s="329" t="n"/>
      <c r="S585" s="336" t="n"/>
      <c r="T585" s="23" t="n"/>
      <c r="U585" s="23" t="inlineStr">
        <is>
          <t>17.10-20.10</t>
        </is>
      </c>
      <c r="V585" s="56" t="n"/>
      <c r="W585" s="23" t="n"/>
      <c r="X585" s="23" t="n"/>
    </row>
    <row r="586" ht="22.2" customHeight="1" s="375">
      <c r="A586" s="3" t="n"/>
      <c r="E586" s="3" t="n"/>
      <c r="F586" s="3" t="n"/>
      <c r="G586" s="16" t="inlineStr">
        <is>
          <t>จำนวนชั่วโมงสอนตามภาระงานสอน</t>
        </is>
      </c>
      <c r="H586" s="518" t="n"/>
      <c r="I586" s="518" t="n"/>
      <c r="J586" s="518" t="n"/>
      <c r="K586" s="432" t="n"/>
      <c r="L586" s="16" t="n">
        <v>12</v>
      </c>
      <c r="M586" s="432" t="n"/>
      <c r="N586" s="348" t="n"/>
      <c r="O586" s="16" t="n"/>
      <c r="P586" s="16" t="n">
        <v>0</v>
      </c>
      <c r="Q586" s="432" t="n"/>
      <c r="R586" s="322" t="n"/>
      <c r="S586" s="334" t="n"/>
    </row>
    <row r="587" ht="22.2" customHeight="1" s="375" thickBot="1">
      <c r="A587" s="3" t="n"/>
      <c r="E587" s="3" t="n"/>
      <c r="F587" s="14" t="n"/>
      <c r="G587" s="16" t="inlineStr">
        <is>
          <t>จำนวนชั่วโมงบิกเกินภาระงานสอน/ค่าสอน</t>
        </is>
      </c>
      <c r="H587" s="518" t="n"/>
      <c r="I587" s="518" t="n"/>
      <c r="J587" s="518" t="n"/>
      <c r="K587" s="432" t="n"/>
      <c r="L587" s="17" t="n">
        <v>0</v>
      </c>
      <c r="M587" s="17">
        <f>SUM(M559:M583)</f>
        <v/>
      </c>
      <c r="N587" s="17" t="n"/>
      <c r="O587" s="17">
        <f>SUM(O559:O583)</f>
        <v/>
      </c>
      <c r="P587" s="17" t="n">
        <v>0</v>
      </c>
      <c r="Q587" s="17">
        <f>SUM(Q559:Q583)</f>
        <v/>
      </c>
      <c r="R587" s="18" t="n"/>
      <c r="S587" s="17">
        <f>SUM(S559:S583)</f>
        <v/>
      </c>
    </row>
    <row r="588" ht="22.2" customHeight="1" s="375" thickTop="1">
      <c r="A588" s="337" t="inlineStr">
        <is>
          <t>รวมจำนวนหน่วยชั่วโมงที่ขอเบิกค่าสอน ….</t>
        </is>
      </c>
      <c r="B588" s="518" t="n"/>
      <c r="C588" s="518" t="n"/>
      <c r="D588" s="518" t="n"/>
      <c r="E588" s="518" t="n"/>
      <c r="F588" s="518" t="n"/>
      <c r="G588" s="518" t="n"/>
      <c r="H588" s="348">
        <f>M587+Q587</f>
        <v/>
      </c>
      <c r="I588" s="348" t="inlineStr">
        <is>
          <t>….ชั่วโมง</t>
        </is>
      </c>
      <c r="J588" s="348" t="n"/>
      <c r="K588" s="328" t="inlineStr">
        <is>
          <t>ยอดเงินรวม</t>
        </is>
      </c>
      <c r="L588" s="522" t="n"/>
      <c r="M588" s="522" t="n"/>
      <c r="N588" s="328" t="n"/>
      <c r="O588" s="328" t="n"/>
      <c r="P588" s="339">
        <f>S587+O587</f>
        <v/>
      </c>
      <c r="Q588" s="538" t="n"/>
      <c r="R588" s="20" t="n"/>
      <c r="S588" s="19" t="inlineStr">
        <is>
          <t>..บาท</t>
        </is>
      </c>
    </row>
    <row r="589" ht="22.2" customHeight="1" s="375">
      <c r="A589" s="154" t="inlineStr">
        <is>
          <t>ผู้ขอเบิก</t>
        </is>
      </c>
      <c r="B589" s="153" t="n"/>
      <c r="C589" s="153" t="n"/>
      <c r="D589" s="153" t="n"/>
      <c r="E589" s="153" t="n"/>
      <c r="F589" s="153" t="n"/>
      <c r="G589" s="135" t="n"/>
      <c r="H589" s="154" t="inlineStr">
        <is>
          <t>ผู้รับรอง</t>
        </is>
      </c>
      <c r="I589" s="153" t="n"/>
      <c r="J589" s="153" t="n"/>
      <c r="K589" s="153" t="n"/>
      <c r="L589" s="135" t="n"/>
      <c r="M589" s="154" t="inlineStr">
        <is>
          <t>ผู้ตรวจ</t>
        </is>
      </c>
      <c r="N589" s="153" t="n"/>
      <c r="O589" s="153" t="n"/>
      <c r="P589" s="153" t="n"/>
      <c r="Q589" s="153" t="n"/>
      <c r="R589" s="153" t="n"/>
      <c r="S589" s="135" t="n"/>
    </row>
    <row r="590" ht="22.2" customHeight="1" s="375">
      <c r="A590" s="334" t="inlineStr">
        <is>
          <t>ลงชื่อ……………………………………………</t>
        </is>
      </c>
      <c r="G590" s="374" t="n"/>
      <c r="H590" s="334" t="inlineStr">
        <is>
          <t>ลงชื่อ……………………………………………</t>
        </is>
      </c>
      <c r="L590" s="374" t="n"/>
      <c r="M590" s="334" t="inlineStr">
        <is>
          <t>ลงชื่อ……………………………………………</t>
        </is>
      </c>
      <c r="S590" s="374" t="n"/>
    </row>
    <row r="591" ht="22.2" customHeight="1" s="375">
      <c r="A591" s="11" t="inlineStr">
        <is>
          <t>(</t>
        </is>
      </c>
      <c r="B591" s="324">
        <f>B559</f>
        <v/>
      </c>
      <c r="G591" s="326" t="inlineStr">
        <is>
          <t>)</t>
        </is>
      </c>
      <c r="H591" s="324" t="inlineStr">
        <is>
          <t>(</t>
        </is>
      </c>
      <c r="I591" s="340">
        <f>I545</f>
        <v/>
      </c>
      <c r="L591" s="12" t="inlineStr">
        <is>
          <t>)</t>
        </is>
      </c>
      <c r="M591" s="53" t="inlineStr">
        <is>
          <t>(</t>
        </is>
      </c>
      <c r="N591" s="53" t="n"/>
      <c r="O591" s="324">
        <f>O39</f>
        <v/>
      </c>
      <c r="R591" s="25" t="n"/>
      <c r="S591" s="326" t="inlineStr">
        <is>
          <t>)</t>
        </is>
      </c>
    </row>
    <row r="592" ht="22.2" customHeight="1" s="375">
      <c r="A592" s="540" t="inlineStr">
        <is>
          <t xml:space="preserve">                         ตำแหน่ง  ครู</t>
        </is>
      </c>
      <c r="G592" s="374" t="n"/>
      <c r="H592" s="54" t="inlineStr">
        <is>
          <t>ตำแหน่ง หัวหน้าแผนก</t>
        </is>
      </c>
      <c r="L592" s="374" t="n"/>
      <c r="M592" s="54" t="inlineStr">
        <is>
          <t>ตำแหน่ง   ผู้ตรวจสอบ</t>
        </is>
      </c>
      <c r="S592" s="374" t="n"/>
    </row>
    <row r="593" ht="22.2" customHeight="1" s="375">
      <c r="A593" s="55" t="inlineStr">
        <is>
          <t>วันที่ 12 เดือน ตุลาคม  พ.ศ.2569</t>
        </is>
      </c>
      <c r="B593" s="522" t="n"/>
      <c r="C593" s="522" t="n"/>
      <c r="D593" s="522" t="n"/>
      <c r="E593" s="522" t="n"/>
      <c r="F593" s="522" t="n"/>
      <c r="G593" s="527" t="n"/>
      <c r="H593" s="54">
        <f>A41</f>
        <v/>
      </c>
      <c r="L593" s="374" t="n"/>
      <c r="M593" s="55">
        <f>A41</f>
        <v/>
      </c>
      <c r="N593" s="522" t="n"/>
      <c r="O593" s="522" t="n"/>
      <c r="P593" s="522" t="n"/>
      <c r="Q593" s="522" t="n"/>
      <c r="R593" s="522" t="n"/>
      <c r="S593" s="527" t="n"/>
    </row>
    <row r="594" ht="22.2" customHeight="1" s="375">
      <c r="A594" s="154" t="inlineStr">
        <is>
          <t>ผู้ตรวจ</t>
        </is>
      </c>
      <c r="B594" s="153" t="n"/>
      <c r="C594" s="153" t="n"/>
      <c r="D594" s="153" t="n"/>
      <c r="E594" s="153" t="n"/>
      <c r="F594" s="153" t="n"/>
      <c r="G594" s="153" t="n"/>
      <c r="H594" s="153" t="n"/>
      <c r="I594" s="135" t="n"/>
      <c r="J594" s="154" t="inlineStr">
        <is>
          <t>ผู้เห็นชอบ</t>
        </is>
      </c>
      <c r="K594" s="153" t="n"/>
      <c r="L594" s="153" t="n"/>
      <c r="M594" s="153" t="n"/>
      <c r="N594" s="153" t="n"/>
      <c r="O594" s="153" t="n"/>
      <c r="P594" s="153" t="n"/>
      <c r="Q594" s="153" t="n"/>
      <c r="R594" s="153" t="n"/>
      <c r="S594" s="135" t="n"/>
    </row>
    <row r="595" ht="22.2" customHeight="1" s="375">
      <c r="A595" s="334" t="inlineStr">
        <is>
          <t>ลงชื่อ……………………………………………</t>
        </is>
      </c>
      <c r="I595" s="374" t="n"/>
      <c r="J595" s="334" t="inlineStr">
        <is>
          <t>ลงชื่อ……………………………………………</t>
        </is>
      </c>
      <c r="S595" s="374" t="n"/>
    </row>
    <row r="596" ht="22.2" customHeight="1" s="375">
      <c r="A596" s="11" t="n"/>
      <c r="B596" s="324">
        <f>B44</f>
        <v/>
      </c>
      <c r="I596" s="326" t="n"/>
      <c r="J596" s="25" t="n"/>
      <c r="K596" s="25" t="n"/>
      <c r="L596" s="324">
        <f>L44</f>
        <v/>
      </c>
      <c r="R596" s="25" t="n"/>
      <c r="S596" s="12" t="n"/>
    </row>
    <row r="597" ht="22.2" customHeight="1" s="375">
      <c r="A597" s="54" t="inlineStr">
        <is>
          <t>ตำแหน่งครู  หัวหน้างานพัฒนาหลักสูตร ฯ</t>
        </is>
      </c>
      <c r="I597" s="374" t="n"/>
      <c r="J597" s="54" t="inlineStr">
        <is>
          <t>ตำแหน่ง  รองผู้อำนวยการฝ่ายวิชาการ</t>
        </is>
      </c>
      <c r="S597" s="374" t="n"/>
    </row>
    <row r="598" ht="22.2" customHeight="1" s="375">
      <c r="A598" s="336" t="inlineStr">
        <is>
          <t>วันที่.......เดือน..........................พ.ศ..............</t>
        </is>
      </c>
      <c r="B598" s="522" t="n"/>
      <c r="C598" s="522" t="n"/>
      <c r="D598" s="522" t="n"/>
      <c r="E598" s="522" t="n"/>
      <c r="F598" s="522" t="n"/>
      <c r="G598" s="522" t="n"/>
      <c r="H598" s="522" t="n"/>
      <c r="I598" s="527" t="n"/>
      <c r="J598" s="336" t="inlineStr">
        <is>
          <t>วันที่.......เดือน..........................พ.ศ..............</t>
        </is>
      </c>
      <c r="K598" s="522" t="n"/>
      <c r="L598" s="522" t="n"/>
      <c r="M598" s="522" t="n"/>
      <c r="N598" s="522" t="n"/>
      <c r="O598" s="522" t="n"/>
      <c r="P598" s="522" t="n"/>
      <c r="Q598" s="522" t="n"/>
      <c r="R598" s="522" t="n"/>
      <c r="S598" s="527" t="n"/>
    </row>
    <row r="599" ht="22.2" customHeight="1" s="375"/>
    <row r="600" ht="22.2" customHeight="1" s="375"/>
    <row r="601" ht="22.2" customHeight="1" s="375"/>
    <row r="602" ht="22.2" customHeight="1" s="375"/>
    <row r="603" ht="22.2" customHeight="1" s="375"/>
    <row r="604" ht="22.2" customHeight="1" s="375"/>
    <row r="605" ht="22.2" customHeight="1" s="375"/>
    <row r="606" ht="22.2" customHeight="1" s="375"/>
    <row r="607" ht="22.2" customHeight="1" s="375"/>
    <row r="608" ht="22.2" customHeight="1" s="375"/>
    <row r="609" ht="22.2" customHeight="1" s="375"/>
    <row r="610" ht="22.2" customHeight="1" s="375"/>
    <row r="611" ht="22.2" customHeight="1" s="375"/>
    <row r="612" ht="22.2" customHeight="1" s="375"/>
    <row r="613" ht="22.2" customHeight="1" s="375"/>
    <row r="614" ht="22.2" customHeight="1" s="375"/>
    <row r="615" ht="22.2" customHeight="1" s="375"/>
    <row r="616" ht="22.2" customHeight="1" s="375"/>
    <row r="617" ht="22.2" customHeight="1" s="375"/>
    <row r="618" ht="22.2" customHeight="1" s="375"/>
    <row r="619" ht="22.2" customHeight="1" s="375"/>
    <row r="620" ht="22.2" customHeight="1" s="375"/>
    <row r="621" ht="22.2" customHeight="1" s="375"/>
    <row r="622" ht="22.2" customHeight="1" s="375"/>
    <row r="623" ht="22.2" customHeight="1" s="375"/>
    <row r="624" ht="22.2" customHeight="1" s="375"/>
    <row r="625" ht="22.2" customHeight="1" s="375"/>
    <row r="626" ht="22.2" customHeight="1" s="375"/>
    <row r="627" ht="22.2" customHeight="1" s="375"/>
    <row r="628" ht="22.2" customHeight="1" s="375"/>
    <row r="629" ht="22.2" customHeight="1" s="375"/>
    <row r="630" ht="22.2" customHeight="1" s="375"/>
    <row r="631" ht="22.2" customHeight="1" s="375"/>
    <row r="632" ht="22.2" customHeight="1" s="375"/>
    <row r="633" ht="22.2" customHeight="1" s="375" thickBot="1"/>
    <row r="634" ht="22.2" customHeight="1" s="375" thickTop="1"/>
    <row r="635" ht="22.2" customHeight="1" s="375"/>
    <row r="636" ht="22.2" customHeight="1" s="375"/>
    <row r="637" ht="22.2" customHeight="1" s="375"/>
    <row r="638" ht="22.2" customHeight="1" s="375"/>
    <row r="639" ht="22.2" customHeight="1" s="375"/>
    <row r="640" ht="22.2" customHeight="1" s="375"/>
    <row r="641" ht="22.2" customHeight="1" s="375"/>
    <row r="642" ht="22.2" customHeight="1" s="375"/>
    <row r="643" ht="22.2" customHeight="1" s="375"/>
    <row r="644" ht="22.2" customHeight="1" s="375"/>
    <row r="645" ht="22.2" customHeight="1" s="375"/>
    <row r="646" ht="22.2" customHeight="1" s="375"/>
    <row r="647" ht="22.2" customHeight="1" s="375"/>
    <row r="648" ht="22.2" customHeight="1" s="375"/>
    <row r="649" ht="22.2" customHeight="1" s="375"/>
    <row r="650" ht="22.2" customHeight="1" s="375"/>
    <row r="651" ht="22.2" customHeight="1" s="375"/>
    <row r="652" ht="22.2" customHeight="1" s="375"/>
    <row r="653" ht="22.2" customHeight="1" s="375"/>
    <row r="654" ht="22.2" customHeight="1" s="375"/>
    <row r="655" ht="22.2" customHeight="1" s="375"/>
    <row r="656" ht="22.2" customHeight="1" s="375"/>
    <row r="657" ht="22.2" customHeight="1" s="375"/>
    <row r="658" ht="22.2" customHeight="1" s="375"/>
    <row r="659" ht="22.2" customHeight="1" s="375"/>
    <row r="660" ht="22.2" customHeight="1" s="375"/>
    <row r="661" ht="22.2" customHeight="1" s="375"/>
    <row r="662" ht="22.2" customHeight="1" s="375"/>
    <row r="663" ht="22.2" customHeight="1" s="375"/>
    <row r="664" ht="22.2" customHeight="1" s="375"/>
    <row r="665" ht="22.2" customHeight="1" s="375"/>
    <row r="666" ht="22.2" customHeight="1" s="375"/>
    <row r="667" ht="22.2" customHeight="1" s="375"/>
    <row r="668" ht="22.2" customHeight="1" s="375"/>
    <row r="669" ht="22.2" customHeight="1" s="375"/>
    <row r="670" ht="22.2" customHeight="1" s="375"/>
    <row r="671" ht="22.2" customHeight="1" s="375"/>
    <row r="672" ht="22.2" customHeight="1" s="375"/>
    <row r="673" ht="22.2" customHeight="1" s="375"/>
    <row r="674" ht="22.2" customHeight="1" s="375"/>
    <row r="675" ht="22.2" customHeight="1" s="375"/>
    <row r="676" ht="22.2" customHeight="1" s="375"/>
    <row r="677" ht="22.2" customHeight="1" s="375"/>
    <row r="678" ht="22.2" customHeight="1" s="375"/>
    <row r="679" ht="22.2" customHeight="1" s="375" thickBot="1"/>
    <row r="680" ht="22.2" customHeight="1" s="375" thickTop="1"/>
    <row r="681" ht="22.2" customHeight="1" s="375"/>
    <row r="682" ht="22.2" customHeight="1" s="375"/>
    <row r="683" ht="22.2" customHeight="1" s="375"/>
    <row r="684" ht="22.2" customHeight="1" s="375"/>
    <row r="685" ht="22.2" customHeight="1" s="375"/>
    <row r="686" ht="22.2" customHeight="1" s="375"/>
    <row r="687" ht="22.2" customHeight="1" s="375"/>
    <row r="688" ht="22.2" customHeight="1" s="375"/>
    <row r="689" ht="22.2" customHeight="1" s="375"/>
    <row r="690" ht="22.2" customHeight="1" s="375"/>
    <row r="691" ht="22.2" customHeight="1" s="375"/>
    <row r="692" ht="22.2" customHeight="1" s="375"/>
    <row r="693" ht="22.2" customHeight="1" s="375"/>
    <row r="694" ht="22.2" customHeight="1" s="375"/>
    <row r="695" ht="22.2" customHeight="1" s="375"/>
    <row r="696" ht="22.2" customHeight="1" s="375"/>
    <row r="697" ht="22.2" customHeight="1" s="375"/>
    <row r="698" ht="22.2" customHeight="1" s="375"/>
    <row r="699" ht="22.2" customHeight="1" s="375"/>
    <row r="700" ht="22.2" customHeight="1" s="375"/>
    <row r="701" ht="22.2" customHeight="1" s="375"/>
    <row r="702" ht="22.2" customHeight="1" s="375"/>
    <row r="703" ht="22.2" customHeight="1" s="375"/>
    <row r="704" ht="22.2" customHeight="1" s="375"/>
    <row r="705" ht="22.2" customHeight="1" s="375"/>
    <row r="706" ht="22.2" customHeight="1" s="375"/>
    <row r="707" ht="22.2" customHeight="1" s="375"/>
    <row r="708" ht="22.2" customHeight="1" s="375"/>
    <row r="709" ht="22.2" customHeight="1" s="375"/>
    <row r="710" ht="22.2" customHeight="1" s="375"/>
    <row r="711" ht="22.2" customHeight="1" s="375"/>
    <row r="712" ht="22.2" customHeight="1" s="375"/>
    <row r="713" ht="22.2" customHeight="1" s="375"/>
    <row r="714" ht="22.2" customHeight="1" s="375"/>
    <row r="715" ht="22.2" customHeight="1" s="375"/>
    <row r="716" ht="22.2" customHeight="1" s="375"/>
    <row r="717" ht="22.2" customHeight="1" s="375"/>
    <row r="718" ht="22.2" customHeight="1" s="375"/>
    <row r="719" ht="22.2" customHeight="1" s="375"/>
    <row r="720" ht="22.2" customHeight="1" s="375"/>
    <row r="721" ht="22.2" customHeight="1" s="375"/>
    <row r="722" ht="22.2" customHeight="1" s="375"/>
    <row r="723" ht="22.2" customHeight="1" s="375"/>
    <row r="724" ht="22.2" customHeight="1" s="375"/>
    <row r="725" ht="22.2" customHeight="1" s="375" thickBot="1"/>
    <row r="726" ht="22.2" customHeight="1" s="375" thickTop="1"/>
    <row r="727" ht="22.2" customHeight="1" s="375"/>
    <row r="728" ht="22.2" customHeight="1" s="375"/>
    <row r="729" ht="22.2" customHeight="1" s="375"/>
    <row r="730" ht="22.2" customHeight="1" s="375"/>
    <row r="731" ht="22.2" customHeight="1" s="375"/>
    <row r="732" ht="22.2" customHeight="1" s="375"/>
    <row r="733" ht="22.2" customHeight="1" s="375"/>
    <row r="734" ht="22.2" customHeight="1" s="375"/>
    <row r="735" ht="22.2" customHeight="1" s="375"/>
    <row r="736" ht="22.2" customHeight="1" s="375"/>
    <row r="737" ht="22.2" customHeight="1" s="375"/>
    <row r="738" ht="22.2" customHeight="1" s="375"/>
    <row r="739" ht="22.2" customHeight="1" s="375"/>
    <row r="740" ht="22.2" customHeight="1" s="375"/>
    <row r="741" ht="22.2" customHeight="1" s="375"/>
    <row r="742" ht="22.2" customHeight="1" s="375"/>
    <row r="743" ht="22.2" customHeight="1" s="375"/>
    <row r="744" ht="22.2" customHeight="1" s="375"/>
    <row r="745" ht="22.2" customHeight="1" s="375"/>
    <row r="746" ht="22.2" customHeight="1" s="375"/>
    <row r="747" ht="22.2" customHeight="1" s="375"/>
    <row r="748" ht="22.2" customHeight="1" s="375"/>
    <row r="749" ht="22.2" customHeight="1" s="375"/>
    <row r="750" ht="22.2" customHeight="1" s="375"/>
    <row r="751" ht="22.2" customHeight="1" s="375"/>
    <row r="752" ht="22.2" customHeight="1" s="375"/>
    <row r="753" ht="22.2" customHeight="1" s="375"/>
    <row r="754" ht="22.2" customHeight="1" s="375"/>
    <row r="755" ht="22.2" customHeight="1" s="375"/>
    <row r="756" ht="22.2" customHeight="1" s="375"/>
    <row r="757" ht="22.2" customHeight="1" s="375"/>
    <row r="758" ht="22.2" customHeight="1" s="375"/>
    <row r="759" ht="22.2" customHeight="1" s="375"/>
    <row r="760" ht="22.2" customHeight="1" s="375"/>
    <row r="761" ht="22.2" customHeight="1" s="375"/>
    <row r="762" ht="22.2" customHeight="1" s="375"/>
    <row r="763" ht="22.2" customHeight="1" s="375"/>
    <row r="764" ht="22.2" customHeight="1" s="375"/>
    <row r="765" ht="22.2" customHeight="1" s="375"/>
    <row r="766" ht="22.2" customHeight="1" s="375"/>
    <row r="767" ht="22.2" customHeight="1" s="375"/>
    <row r="768" ht="22.2" customHeight="1" s="375"/>
    <row r="769" ht="22.2" customHeight="1" s="375"/>
    <row r="770" ht="22.2" customHeight="1" s="375"/>
    <row r="771" ht="22.2" customHeight="1" s="375" thickBot="1"/>
    <row r="772" ht="22.2" customHeight="1" s="375" thickTop="1"/>
    <row r="773" ht="22.2" customHeight="1" s="375"/>
    <row r="774" ht="22.2" customHeight="1" s="375"/>
    <row r="775" ht="22.2" customHeight="1" s="375"/>
    <row r="776" ht="22.2" customHeight="1" s="375"/>
    <row r="777" ht="22.2" customHeight="1" s="375"/>
    <row r="778" ht="22.2" customHeight="1" s="375"/>
    <row r="779" ht="22.2" customHeight="1" s="375"/>
    <row r="780" ht="22.2" customHeight="1" s="375"/>
    <row r="781" ht="22.2" customHeight="1" s="375"/>
    <row r="782" ht="22.2" customHeight="1" s="375"/>
    <row r="783" ht="22.2" customHeight="1" s="375"/>
    <row r="784" ht="22.2" customHeight="1" s="375"/>
    <row r="785" ht="22.2" customHeight="1" s="375"/>
    <row r="786" ht="22.2" customHeight="1" s="375"/>
    <row r="787" ht="22.2" customHeight="1" s="375"/>
    <row r="788" ht="22.2" customHeight="1" s="375"/>
    <row r="789" ht="22.2" customHeight="1" s="375"/>
    <row r="790" ht="22.2" customHeight="1" s="375"/>
    <row r="791" ht="22.2" customHeight="1" s="375"/>
    <row r="792" ht="22.2" customHeight="1" s="375"/>
    <row r="793" ht="22.2" customHeight="1" s="375"/>
    <row r="794" ht="22.2" customHeight="1" s="375"/>
    <row r="795" ht="22.2" customHeight="1" s="375"/>
    <row r="796" ht="22.2" customHeight="1" s="375"/>
    <row r="797" ht="22.2" customHeight="1" s="375"/>
    <row r="798" ht="22.2" customHeight="1" s="375"/>
    <row r="799" ht="22.2" customHeight="1" s="375"/>
    <row r="800" ht="22.2" customHeight="1" s="375"/>
    <row r="801" ht="22.2" customHeight="1" s="375"/>
    <row r="802" ht="22.2" customHeight="1" s="375"/>
    <row r="803" ht="22.2" customHeight="1" s="375"/>
    <row r="804" ht="22.2" customHeight="1" s="375"/>
    <row r="805" ht="22.2" customHeight="1" s="375"/>
    <row r="806" ht="22.2" customHeight="1" s="375"/>
    <row r="807" ht="22.2" customHeight="1" s="375"/>
    <row r="808" ht="22.2" customHeight="1" s="375"/>
    <row r="809" ht="22.2" customHeight="1" s="375"/>
    <row r="810" ht="22.2" customHeight="1" s="375"/>
    <row r="811" ht="22.2" customHeight="1" s="375"/>
    <row r="812" ht="22.2" customHeight="1" s="375"/>
    <row r="813" ht="22.2" customHeight="1" s="375"/>
    <row r="814" ht="22.2" customHeight="1" s="375"/>
    <row r="815" ht="22.2" customHeight="1" s="375"/>
    <row r="816" ht="22.2" customHeight="1" s="375"/>
    <row r="817" ht="22.2" customHeight="1" s="375" thickBot="1"/>
    <row r="818" ht="22.2" customHeight="1" s="375" thickTop="1"/>
    <row r="819" ht="22.2" customHeight="1" s="375"/>
    <row r="820" ht="22.2" customHeight="1" s="375"/>
    <row r="821" ht="22.2" customHeight="1" s="375"/>
    <row r="822" ht="22.2" customHeight="1" s="375"/>
    <row r="823" ht="22.2" customHeight="1" s="375"/>
    <row r="824" ht="22.2" customHeight="1" s="375"/>
    <row r="825" ht="22.2" customHeight="1" s="375"/>
    <row r="826" ht="22.2" customHeight="1" s="375"/>
    <row r="827" ht="22.2" customHeight="1" s="375"/>
    <row r="828" ht="22.2" customHeight="1" s="375"/>
    <row r="829" ht="22.2" customHeight="1" s="375"/>
    <row r="830" ht="22.2" customHeight="1" s="375"/>
    <row r="831" ht="22.2" customHeight="1" s="375"/>
    <row r="832" ht="22.2" customHeight="1" s="375"/>
    <row r="833" ht="22.2" customHeight="1" s="375"/>
    <row r="834" ht="22.2" customHeight="1" s="375"/>
    <row r="835" ht="22.2" customHeight="1" s="375"/>
    <row r="836" ht="22.2" customHeight="1" s="375"/>
    <row r="837" ht="22.2" customHeight="1" s="375"/>
    <row r="838" ht="22.2" customHeight="1" s="375"/>
    <row r="839" ht="22.2" customHeight="1" s="375"/>
    <row r="840" ht="22.2" customHeight="1" s="375"/>
    <row r="841" ht="22.2" customHeight="1" s="375"/>
    <row r="842" ht="22.2" customHeight="1" s="375"/>
    <row r="843" ht="22.2" customHeight="1" s="375"/>
    <row r="844" ht="22.2" customHeight="1" s="375"/>
    <row r="845" ht="22.2" customHeight="1" s="375"/>
    <row r="846" ht="22.2" customHeight="1" s="375"/>
    <row r="847" ht="22.2" customHeight="1" s="375"/>
    <row r="848" ht="22.2" customHeight="1" s="375"/>
    <row r="849" ht="22.2" customHeight="1" s="375"/>
    <row r="850" ht="22.2" customHeight="1" s="375"/>
    <row r="851" ht="22.2" customHeight="1" s="375"/>
    <row r="852" ht="22.2" customHeight="1" s="375"/>
    <row r="853" ht="22.2" customHeight="1" s="375"/>
    <row r="854" ht="22.2" customHeight="1" s="375"/>
    <row r="855" ht="22.2" customHeight="1" s="375"/>
    <row r="856" ht="22.2" customHeight="1" s="375"/>
    <row r="857" ht="22.2" customHeight="1" s="375"/>
    <row r="858" ht="22.2" customHeight="1" s="375"/>
    <row r="859" ht="22.2" customHeight="1" s="375"/>
    <row r="860" ht="22.2" customHeight="1" s="375"/>
    <row r="861" ht="22.2" customHeight="1" s="375"/>
    <row r="862" ht="22.2" customHeight="1" s="375"/>
    <row r="863" ht="22.2" customHeight="1" s="375" thickBot="1"/>
    <row r="864" ht="22.2" customHeight="1" s="375" thickTop="1"/>
    <row r="865" ht="22.2" customHeight="1" s="375"/>
    <row r="866" ht="22.2" customHeight="1" s="375"/>
    <row r="867" ht="22.2" customHeight="1" s="375"/>
    <row r="868" ht="22.2" customHeight="1" s="375"/>
    <row r="869" ht="22.2" customHeight="1" s="375"/>
    <row r="870" ht="22.2" customHeight="1" s="375"/>
    <row r="871" ht="22.2" customHeight="1" s="375"/>
    <row r="872" ht="22.2" customHeight="1" s="375"/>
    <row r="873" ht="22.2" customHeight="1" s="375"/>
    <row r="874" ht="22.2" customHeight="1" s="375"/>
    <row r="875" ht="22.2" customHeight="1" s="375"/>
    <row r="876" ht="22.2" customHeight="1" s="375"/>
    <row r="877" ht="22.2" customHeight="1" s="375"/>
    <row r="878" ht="22.2" customHeight="1" s="375"/>
    <row r="879" ht="22.2" customHeight="1" s="375"/>
    <row r="880" ht="22.2" customHeight="1" s="375"/>
    <row r="881" ht="22.2" customHeight="1" s="375"/>
    <row r="882" ht="22.2" customHeight="1" s="375"/>
    <row r="883" ht="22.2" customHeight="1" s="375"/>
    <row r="884" ht="22.2" customHeight="1" s="375"/>
    <row r="885" ht="22.2" customHeight="1" s="375"/>
    <row r="886" ht="22.2" customHeight="1" s="375"/>
    <row r="887" ht="22.2" customHeight="1" s="375"/>
    <row r="888" ht="22.2" customHeight="1" s="375"/>
    <row r="889" ht="22.2" customHeight="1" s="375"/>
    <row r="890" ht="22.2" customHeight="1" s="375"/>
    <row r="891" ht="22.2" customHeight="1" s="375"/>
    <row r="892" ht="22.2" customHeight="1" s="375"/>
    <row r="893" ht="22.2" customHeight="1" s="375"/>
    <row r="894" ht="22.2" customHeight="1" s="375"/>
    <row r="895" ht="22.2" customHeight="1" s="375"/>
    <row r="896" ht="22.2" customHeight="1" s="375"/>
    <row r="897" ht="22.2" customHeight="1" s="375"/>
    <row r="898" ht="22.2" customHeight="1" s="375"/>
    <row r="899" ht="22.2" customHeight="1" s="375"/>
    <row r="900" ht="22.2" customHeight="1" s="375"/>
    <row r="901" ht="22.2" customHeight="1" s="375"/>
    <row r="902" ht="22.2" customHeight="1" s="375"/>
    <row r="903" ht="22.2" customHeight="1" s="375"/>
    <row r="904" ht="22.2" customHeight="1" s="375"/>
    <row r="905" ht="22.2" customHeight="1" s="375"/>
    <row r="906" ht="22.2" customHeight="1" s="375"/>
    <row r="907" ht="22.2" customHeight="1" s="375"/>
    <row r="908" ht="22.2" customHeight="1" s="375"/>
    <row r="909" ht="22.2" customHeight="1" s="375" thickBot="1"/>
    <row r="910" ht="22.2" customHeight="1" s="375" thickTop="1"/>
    <row r="911" ht="22.2" customHeight="1" s="375"/>
    <row r="912" ht="22.2" customHeight="1" s="375"/>
    <row r="913" ht="22.2" customHeight="1" s="375"/>
    <row r="914" ht="22.2" customHeight="1" s="375"/>
    <row r="915" ht="22.2" customHeight="1" s="375"/>
    <row r="916" ht="22.2" customHeight="1" s="375"/>
    <row r="917" ht="22.2" customHeight="1" s="375"/>
    <row r="918" ht="22.2" customHeight="1" s="375"/>
    <row r="919" ht="22.2" customHeight="1" s="375"/>
    <row r="920" ht="22.2" customHeight="1" s="375"/>
    <row r="921" ht="22.2" customHeight="1" s="375"/>
    <row r="922" ht="22.2" customHeight="1" s="375"/>
    <row r="923" ht="22.2" customHeight="1" s="375"/>
    <row r="924" ht="22.2" customHeight="1" s="375"/>
    <row r="925" ht="22.2" customHeight="1" s="375"/>
    <row r="926" ht="22.2" customHeight="1" s="375"/>
    <row r="927" ht="22.2" customHeight="1" s="375"/>
    <row r="928" ht="22.2" customHeight="1" s="375"/>
    <row r="929" ht="22.2" customHeight="1" s="375"/>
    <row r="930" ht="22.2" customHeight="1" s="375"/>
    <row r="931" ht="22.2" customHeight="1" s="375"/>
    <row r="932" ht="22.2" customHeight="1" s="375"/>
    <row r="933" ht="22.2" customHeight="1" s="375"/>
    <row r="934" ht="22.2" customHeight="1" s="375"/>
    <row r="935" ht="22.2" customHeight="1" s="375"/>
    <row r="936" ht="22.2" customHeight="1" s="375"/>
    <row r="937" ht="22.2" customHeight="1" s="375"/>
    <row r="938" ht="22.2" customHeight="1" s="375"/>
    <row r="939" ht="22.2" customHeight="1" s="375"/>
    <row r="940" ht="22.2" customHeight="1" s="375"/>
    <row r="941" ht="22.2" customHeight="1" s="375"/>
    <row r="942" ht="22.2" customHeight="1" s="375"/>
    <row r="943" ht="22.2" customHeight="1" s="375"/>
    <row r="944" ht="22.2" customHeight="1" s="375"/>
    <row r="945" ht="22.2" customHeight="1" s="375"/>
    <row r="946" ht="22.2" customHeight="1" s="375"/>
    <row r="947" ht="22.2" customHeight="1" s="375"/>
    <row r="948" ht="22.2" customHeight="1" s="375"/>
    <row r="949" ht="22.2" customHeight="1" s="375"/>
    <row r="950" ht="22.2" customHeight="1" s="375"/>
    <row r="951" ht="22.2" customHeight="1" s="375"/>
    <row r="952" ht="22.2" customHeight="1" s="375"/>
    <row r="953" ht="22.2" customHeight="1" s="375"/>
    <row r="954" ht="22.2" customHeight="1" s="375"/>
    <row r="955" ht="22.2" customHeight="1" s="375" thickBot="1"/>
    <row r="956" ht="22.2" customHeight="1" s="375" thickTop="1"/>
    <row r="957" ht="22.2" customHeight="1" s="375"/>
    <row r="958" ht="22.2" customHeight="1" s="375"/>
    <row r="959" ht="22.2" customHeight="1" s="375"/>
    <row r="960" ht="22.2" customHeight="1" s="375"/>
    <row r="961" ht="22.2" customHeight="1" s="375"/>
    <row r="962" ht="22.2" customHeight="1" s="375"/>
    <row r="963" ht="22.2" customHeight="1" s="375"/>
    <row r="964" ht="22.2" customHeight="1" s="375"/>
    <row r="965" ht="22.2" customHeight="1" s="375"/>
    <row r="966" ht="22.2" customHeight="1" s="375"/>
    <row r="967" ht="22.2" customHeight="1" s="375"/>
    <row r="968" ht="22.2" customHeight="1" s="375"/>
    <row r="969" ht="22.2" customHeight="1" s="375"/>
    <row r="970" ht="22.2" customHeight="1" s="375"/>
    <row r="971" ht="22.2" customHeight="1" s="375"/>
    <row r="972" ht="22.2" customHeight="1" s="375"/>
    <row r="973" ht="22.2" customHeight="1" s="375"/>
    <row r="974" ht="22.2" customHeight="1" s="375"/>
    <row r="975" ht="22.2" customHeight="1" s="375"/>
    <row r="976" ht="22.2" customHeight="1" s="375"/>
    <row r="977" ht="22.2" customHeight="1" s="375"/>
    <row r="978" ht="22.2" customHeight="1" s="375"/>
    <row r="979" ht="22.2" customHeight="1" s="375"/>
    <row r="980" ht="22.2" customHeight="1" s="375"/>
    <row r="981" ht="22.2" customHeight="1" s="375"/>
    <row r="982" ht="22.2" customHeight="1" s="375"/>
    <row r="983" ht="22.2" customHeight="1" s="375"/>
    <row r="984" ht="22.2" customHeight="1" s="375"/>
    <row r="985" ht="22.2" customHeight="1" s="375"/>
    <row r="986" ht="22.2" customHeight="1" s="375"/>
    <row r="987" ht="22.2" customHeight="1" s="375"/>
    <row r="988" ht="22.2" customHeight="1" s="375"/>
    <row r="989" ht="22.2" customHeight="1" s="375"/>
    <row r="990" ht="22.2" customHeight="1" s="375"/>
    <row r="991" ht="22.2" customHeight="1" s="375"/>
    <row r="992" ht="22.2" customHeight="1" s="375"/>
    <row r="993" ht="22.2" customHeight="1" s="375"/>
    <row r="994" ht="22.2" customHeight="1" s="375"/>
    <row r="995" ht="22.2" customHeight="1" s="375"/>
    <row r="996" ht="22.2" customHeight="1" s="375"/>
    <row r="997" ht="22.2" customHeight="1" s="375"/>
    <row r="998" ht="22.2" customHeight="1" s="375"/>
    <row r="999" ht="22.2" customHeight="1" s="375"/>
    <row r="1000" ht="22.2" customHeight="1" s="375"/>
    <row r="1001" ht="22.2" customHeight="1" s="375" thickBot="1"/>
    <row r="1002" ht="22.2" customHeight="1" s="375" thickTop="1"/>
    <row r="1003" ht="22.2" customHeight="1" s="375"/>
    <row r="1004" ht="22.2" customHeight="1" s="375"/>
    <row r="1005" ht="22.2" customHeight="1" s="375"/>
    <row r="1006" ht="22.2" customHeight="1" s="375"/>
    <row r="1007" ht="22.2" customHeight="1" s="375"/>
    <row r="1008" ht="22.2" customHeight="1" s="375"/>
    <row r="1009" ht="22.2" customHeight="1" s="375"/>
    <row r="1010" ht="22.2" customHeight="1" s="375"/>
    <row r="1011" ht="22.2" customHeight="1" s="375"/>
    <row r="1012" ht="22.2" customHeight="1" s="375"/>
    <row r="1013" ht="22.2" customHeight="1" s="375"/>
    <row r="1014" ht="22.2" customHeight="1" s="375"/>
    <row r="1015" ht="22.2" customHeight="1" s="375"/>
    <row r="1016" ht="22.2" customHeight="1" s="375"/>
    <row r="1017" ht="22.2" customHeight="1" s="375"/>
    <row r="1018" ht="22.2" customHeight="1" s="375"/>
    <row r="1019" ht="22.2" customHeight="1" s="375"/>
    <row r="1020" ht="22.2" customHeight="1" s="375"/>
    <row r="1021" ht="22.2" customHeight="1" s="375"/>
    <row r="1022" ht="22.2" customHeight="1" s="375"/>
    <row r="1023" ht="22.2" customHeight="1" s="375"/>
    <row r="1024" ht="22.2" customHeight="1" s="375"/>
    <row r="1025" ht="22.2" customHeight="1" s="375"/>
    <row r="1026" ht="22.2" customHeight="1" s="375"/>
    <row r="1027" ht="22.2" customHeight="1" s="375"/>
    <row r="1028" ht="22.2" customHeight="1" s="375"/>
    <row r="1029" ht="22.2" customHeight="1" s="375"/>
    <row r="1030" ht="22.2" customHeight="1" s="375"/>
    <row r="1031" ht="22.2" customHeight="1" s="375"/>
    <row r="1032" ht="22.2" customHeight="1" s="375"/>
    <row r="1033" ht="22.2" customHeight="1" s="375"/>
    <row r="1034" ht="22.2" customHeight="1" s="375"/>
    <row r="1035" ht="22.2" customHeight="1" s="375"/>
    <row r="1036" ht="22.2" customHeight="1" s="375"/>
    <row r="1037" ht="22.2" customHeight="1" s="375"/>
    <row r="1038" ht="22.2" customHeight="1" s="375"/>
    <row r="1039" ht="22.2" customHeight="1" s="375"/>
    <row r="1040" ht="22.2" customHeight="1" s="375"/>
    <row r="1041" ht="22.2" customHeight="1" s="375"/>
    <row r="1042" ht="22.2" customHeight="1" s="375"/>
    <row r="1043" ht="22.2" customHeight="1" s="375"/>
    <row r="1044" ht="22.2" customHeight="1" s="375"/>
    <row r="1045" ht="22.2" customHeight="1" s="375"/>
    <row r="1046" ht="22.2" customHeight="1" s="375"/>
    <row r="1047" ht="22.2" customHeight="1" s="375" thickBot="1"/>
    <row r="1048" ht="22.2" customHeight="1" s="375" thickTop="1"/>
    <row r="1049" ht="22.2" customHeight="1" s="375"/>
    <row r="1050" ht="22.2" customHeight="1" s="375"/>
    <row r="1051" ht="22.2" customHeight="1" s="375"/>
    <row r="1052" ht="22.2" customHeight="1" s="375"/>
    <row r="1053" ht="22.2" customHeight="1" s="375"/>
    <row r="1054" ht="22.2" customHeight="1" s="375"/>
    <row r="1055" ht="22.2" customHeight="1" s="375"/>
    <row r="1056" ht="22.2" customHeight="1" s="375"/>
    <row r="1057" ht="22.2" customHeight="1" s="375"/>
    <row r="1058" ht="22.2" customHeight="1" s="375"/>
    <row r="1059" ht="22.2" customHeight="1" s="375"/>
    <row r="1060" ht="22.2" customHeight="1" s="375"/>
    <row r="1061" ht="22.2" customHeight="1" s="375"/>
    <row r="1062" ht="22.2" customHeight="1" s="375"/>
    <row r="1063" ht="22.2" customHeight="1" s="375"/>
    <row r="1064" ht="22.2" customHeight="1" s="375"/>
    <row r="1065" ht="22.2" customHeight="1" s="375"/>
    <row r="1066" ht="22.2" customHeight="1" s="375"/>
    <row r="1067" ht="22.2" customHeight="1" s="375"/>
    <row r="1068" ht="22.2" customHeight="1" s="375"/>
    <row r="1069" ht="22.2" customHeight="1" s="375"/>
    <row r="1070" ht="22.2" customHeight="1" s="375"/>
    <row r="1071" ht="22.2" customHeight="1" s="375"/>
    <row r="1072" ht="22.2" customHeight="1" s="375"/>
    <row r="1073" ht="22.2" customHeight="1" s="375"/>
    <row r="1074" ht="22.2" customHeight="1" s="375"/>
    <row r="1075" ht="22.2" customHeight="1" s="375"/>
    <row r="1076" ht="22.2" customHeight="1" s="375"/>
    <row r="1077" ht="22.2" customHeight="1" s="375"/>
    <row r="1078" ht="22.2" customHeight="1" s="375"/>
    <row r="1079" ht="22.2" customHeight="1" s="375"/>
    <row r="1080" ht="22.2" customHeight="1" s="375"/>
    <row r="1081" ht="22.2" customHeight="1" s="375"/>
    <row r="1082" ht="22.2" customHeight="1" s="375"/>
    <row r="1083" ht="22.2" customHeight="1" s="375"/>
    <row r="1084" ht="22.2" customHeight="1" s="375"/>
    <row r="1085" ht="22.2" customHeight="1" s="375"/>
    <row r="1086" ht="22.2" customHeight="1" s="375"/>
    <row r="1087" ht="22.2" customHeight="1" s="375"/>
    <row r="1088" ht="22.2" customHeight="1" s="375"/>
    <row r="1089" ht="22.2" customHeight="1" s="375"/>
    <row r="1090" ht="22.2" customHeight="1" s="375"/>
    <row r="1091" ht="22.2" customHeight="1" s="375"/>
    <row r="1092" ht="22.2" customHeight="1" s="375"/>
    <row r="1093" ht="22.2" customHeight="1" s="375" thickBot="1"/>
    <row r="1094" ht="22.2" customHeight="1" s="375" thickTop="1"/>
    <row r="1095" ht="22.2" customHeight="1" s="375"/>
    <row r="1096" ht="22.2" customHeight="1" s="375"/>
    <row r="1097" ht="22.2" customHeight="1" s="375"/>
    <row r="1098" ht="22.2" customHeight="1" s="375"/>
    <row r="1099" ht="22.2" customHeight="1" s="375"/>
    <row r="1100" ht="22.2" customHeight="1" s="375"/>
    <row r="1101" ht="22.2" customHeight="1" s="375"/>
    <row r="1102" ht="22.2" customHeight="1" s="375"/>
    <row r="1103" ht="22.2" customHeight="1" s="375"/>
    <row r="1104" ht="22.2" customHeight="1" s="375"/>
    <row r="1105" ht="22.2" customHeight="1" s="375"/>
    <row r="1106" ht="22.2" customHeight="1" s="375"/>
    <row r="1107" ht="22.2" customHeight="1" s="375"/>
    <row r="1108" ht="22.2" customHeight="1" s="375"/>
    <row r="1109" ht="22.2" customHeight="1" s="375"/>
    <row r="1110" ht="22.2" customHeight="1" s="375"/>
    <row r="1111" ht="22.2" customHeight="1" s="375"/>
    <row r="1112" ht="22.2" customHeight="1" s="375"/>
    <row r="1113" ht="22.2" customHeight="1" s="375"/>
    <row r="1114" ht="22.2" customHeight="1" s="375"/>
    <row r="1115" ht="22.2" customHeight="1" s="375"/>
    <row r="1116" ht="22.2" customHeight="1" s="375"/>
    <row r="1117" ht="22.2" customHeight="1" s="375"/>
    <row r="1118" ht="22.2" customHeight="1" s="375"/>
    <row r="1119" ht="22.2" customHeight="1" s="375"/>
    <row r="1120" ht="22.2" customHeight="1" s="375"/>
    <row r="1121" ht="22.2" customHeight="1" s="375"/>
    <row r="1122" ht="22.2" customHeight="1" s="375"/>
    <row r="1123" ht="22.2" customHeight="1" s="375"/>
    <row r="1124" ht="22.2" customHeight="1" s="375"/>
    <row r="1125" ht="22.2" customHeight="1" s="375"/>
    <row r="1126" ht="22.2" customHeight="1" s="375"/>
    <row r="1127" ht="22.2" customHeight="1" s="375"/>
    <row r="1128" ht="22.2" customHeight="1" s="375"/>
    <row r="1129" ht="22.2" customHeight="1" s="375"/>
    <row r="1130" ht="22.2" customHeight="1" s="375"/>
    <row r="1131" ht="22.2" customHeight="1" s="375"/>
    <row r="1132" ht="22.2" customHeight="1" s="375"/>
    <row r="1133" ht="22.2" customHeight="1" s="375"/>
    <row r="1134" ht="22.2" customHeight="1" s="375"/>
    <row r="1135" ht="22.2" customHeight="1" s="375"/>
    <row r="1136" ht="22.2" customHeight="1" s="375"/>
    <row r="1137" ht="22.2" customHeight="1" s="375"/>
    <row r="1138" ht="22.2" customHeight="1" s="375"/>
    <row r="1139" ht="22.2" customHeight="1" s="375" thickBot="1"/>
    <row r="1140" ht="22.2" customHeight="1" s="375" thickTop="1"/>
    <row r="1141" ht="22.2" customHeight="1" s="375"/>
    <row r="1142" ht="22.2" customHeight="1" s="375"/>
    <row r="1143" ht="22.2" customHeight="1" s="375"/>
    <row r="1144" ht="22.2" customHeight="1" s="375"/>
    <row r="1145" ht="22.2" customHeight="1" s="375"/>
    <row r="1146" ht="22.2" customHeight="1" s="375"/>
    <row r="1147" ht="22.2" customHeight="1" s="375"/>
    <row r="1148" ht="22.2" customHeight="1" s="375"/>
    <row r="1149" ht="22.2" customHeight="1" s="375"/>
    <row r="1150" ht="22.2" customHeight="1" s="375"/>
    <row r="1151" ht="22.2" customHeight="1" s="375"/>
    <row r="1152" ht="22.2" customHeight="1" s="375"/>
    <row r="1153" ht="22.2" customHeight="1" s="375"/>
    <row r="1154" ht="22.2" customHeight="1" s="375"/>
    <row r="1155" ht="22.2" customHeight="1" s="375"/>
    <row r="1156" ht="22.2" customHeight="1" s="375"/>
    <row r="1157" ht="22.2" customHeight="1" s="375"/>
    <row r="1158" ht="22.2" customHeight="1" s="375"/>
    <row r="1159" ht="22.2" customHeight="1" s="375"/>
    <row r="1160" ht="22.2" customHeight="1" s="375"/>
    <row r="1161" ht="22.2" customHeight="1" s="375"/>
    <row r="1162" ht="22.2" customHeight="1" s="375"/>
    <row r="1163" ht="22.2" customHeight="1" s="375"/>
    <row r="1164" ht="22.2" customHeight="1" s="375"/>
    <row r="1165" ht="22.2" customHeight="1" s="375"/>
    <row r="1166" ht="22.2" customHeight="1" s="375"/>
    <row r="1167" ht="22.2" customHeight="1" s="375"/>
    <row r="1168" ht="22.2" customHeight="1" s="375"/>
    <row r="1169" ht="22.2" customHeight="1" s="375"/>
    <row r="1170" ht="22.2" customHeight="1" s="375"/>
    <row r="1171" ht="22.2" customHeight="1" s="375"/>
    <row r="1172" ht="22.2" customHeight="1" s="375"/>
    <row r="1173" ht="22.2" customHeight="1" s="375"/>
    <row r="1174" ht="22.2" customHeight="1" s="375"/>
    <row r="1175" ht="22.2" customHeight="1" s="375"/>
    <row r="1176" ht="22.2" customHeight="1" s="375"/>
    <row r="1177" ht="22.2" customHeight="1" s="375"/>
    <row r="1178" ht="22.2" customHeight="1" s="375"/>
    <row r="1179" ht="22.2" customHeight="1" s="375"/>
    <row r="1180" ht="22.2" customHeight="1" s="375"/>
    <row r="1181" ht="22.2" customHeight="1" s="375"/>
    <row r="1182" ht="22.2" customHeight="1" s="375"/>
    <row r="1183" ht="22.2" customHeight="1" s="375"/>
    <row r="1184" ht="22.2" customHeight="1" s="375"/>
    <row r="1185" ht="22.2" customHeight="1" s="375" thickBot="1"/>
    <row r="1186" ht="22.2" customHeight="1" s="375" thickTop="1"/>
    <row r="1187" ht="22.2" customHeight="1" s="375"/>
    <row r="1188" ht="22.2" customHeight="1" s="375"/>
    <row r="1189" ht="22.2" customHeight="1" s="375"/>
    <row r="1190" ht="22.2" customHeight="1" s="375"/>
    <row r="1191" ht="22.2" customHeight="1" s="375"/>
    <row r="1192" ht="22.2" customHeight="1" s="375"/>
    <row r="1193" ht="22.2" customHeight="1" s="375"/>
    <row r="1194" ht="22.2" customHeight="1" s="375"/>
    <row r="1195" ht="22.2" customHeight="1" s="375"/>
    <row r="1196" ht="22.2" customHeight="1" s="375"/>
    <row r="1197" ht="22.2" customHeight="1" s="375"/>
    <row r="1198" ht="22.2" customHeight="1" s="375"/>
    <row r="1199" ht="22.2" customHeight="1" s="375"/>
    <row r="1200" ht="22.2" customHeight="1" s="375"/>
    <row r="1201" ht="22.2" customHeight="1" s="375"/>
    <row r="1202" ht="22.2" customHeight="1" s="375"/>
    <row r="1203" ht="22.2" customHeight="1" s="375"/>
    <row r="1204" ht="22.2" customHeight="1" s="375"/>
    <row r="1205" ht="22.2" customHeight="1" s="375"/>
    <row r="1206" ht="22.2" customHeight="1" s="375"/>
    <row r="1207" ht="22.2" customHeight="1" s="375"/>
    <row r="1208" ht="22.2" customHeight="1" s="375"/>
    <row r="1209" ht="22.2" customHeight="1" s="375"/>
    <row r="1210" ht="22.2" customHeight="1" s="375"/>
    <row r="1211" ht="22.2" customHeight="1" s="375"/>
    <row r="1212" ht="22.2" customHeight="1" s="375"/>
    <row r="1213" ht="22.2" customHeight="1" s="375"/>
    <row r="1214" ht="22.2" customHeight="1" s="375"/>
    <row r="1215" ht="22.2" customHeight="1" s="375"/>
    <row r="1216" ht="22.2" customHeight="1" s="375"/>
    <row r="1217" ht="22.2" customHeight="1" s="375"/>
    <row r="1218" ht="22.2" customHeight="1" s="375"/>
    <row r="1219" ht="22.2" customHeight="1" s="375"/>
    <row r="1220" ht="22.2" customHeight="1" s="375"/>
    <row r="1221" ht="22.2" customHeight="1" s="375"/>
    <row r="1222" ht="22.2" customHeight="1" s="375"/>
    <row r="1223" ht="22.2" customHeight="1" s="375"/>
    <row r="1224" ht="22.2" customHeight="1" s="375"/>
    <row r="1225" ht="22.2" customHeight="1" s="375"/>
    <row r="1226" ht="22.2" customHeight="1" s="375"/>
    <row r="1227" ht="22.2" customHeight="1" s="375"/>
    <row r="1228" ht="22.2" customHeight="1" s="375"/>
    <row r="1229" ht="22.2" customHeight="1" s="375"/>
    <row r="1230" ht="22.2" customHeight="1" s="375"/>
    <row r="1231" ht="22.2" customHeight="1" s="375" thickBot="1"/>
    <row r="1232" ht="22.2" customHeight="1" s="375" thickTop="1"/>
    <row r="1233" ht="22.2" customHeight="1" s="375"/>
    <row r="1234" ht="22.2" customHeight="1" s="375"/>
    <row r="1235" ht="22.2" customHeight="1" s="375"/>
    <row r="1236" ht="22.2" customHeight="1" s="375"/>
    <row r="1237" ht="22.2" customHeight="1" s="375"/>
    <row r="1238" ht="22.2" customHeight="1" s="375"/>
    <row r="1239" ht="22.2" customHeight="1" s="375"/>
    <row r="1240" ht="22.2" customHeight="1" s="375"/>
    <row r="1241" ht="22.2" customHeight="1" s="375"/>
    <row r="1242" ht="22.2" customHeight="1" s="375"/>
    <row r="1243" ht="22.2" customHeight="1" s="375"/>
    <row r="1244" ht="22.2" customHeight="1" s="375"/>
    <row r="1245" ht="22.2" customHeight="1" s="375"/>
    <row r="1246" ht="22.2" customHeight="1" s="375"/>
    <row r="1247" ht="22.2" customHeight="1" s="375"/>
    <row r="1248" ht="22.2" customHeight="1" s="375"/>
    <row r="1249" ht="22.2" customHeight="1" s="375"/>
    <row r="1250" ht="22.2" customHeight="1" s="375"/>
    <row r="1251" ht="22.2" customHeight="1" s="375"/>
    <row r="1252" ht="22.2" customHeight="1" s="375"/>
    <row r="1253" ht="22.2" customHeight="1" s="375"/>
    <row r="1254" ht="22.2" customHeight="1" s="375"/>
    <row r="1255" ht="22.2" customHeight="1" s="375"/>
    <row r="1256" ht="22.2" customHeight="1" s="375"/>
    <row r="1257" ht="22.2" customHeight="1" s="375"/>
    <row r="1258" ht="22.2" customHeight="1" s="375"/>
    <row r="1259" ht="22.2" customHeight="1" s="375"/>
    <row r="1260" ht="22.2" customHeight="1" s="375"/>
    <row r="1261" ht="22.2" customHeight="1" s="375"/>
    <row r="1262" ht="22.2" customHeight="1" s="375"/>
    <row r="1263" ht="22.2" customHeight="1" s="375"/>
    <row r="1264" ht="22.2" customHeight="1" s="375"/>
    <row r="1265" ht="22.2" customHeight="1" s="375"/>
    <row r="1266" ht="22.2" customHeight="1" s="375"/>
    <row r="1267" ht="22.2" customHeight="1" s="375"/>
    <row r="1268" ht="22.2" customHeight="1" s="375"/>
    <row r="1269" ht="22.2" customHeight="1" s="375"/>
    <row r="1270" ht="22.2" customHeight="1" s="375"/>
    <row r="1271" ht="22.2" customHeight="1" s="375"/>
    <row r="1272" ht="22.2" customHeight="1" s="375"/>
    <row r="1273" ht="22.2" customHeight="1" s="375"/>
    <row r="1274" ht="22.2" customHeight="1" s="375"/>
    <row r="1275" ht="22.2" customHeight="1" s="375"/>
    <row r="1276" ht="22.2" customHeight="1" s="375"/>
    <row r="1277" ht="22.2" customHeight="1" s="375" thickBot="1"/>
    <row r="1278" ht="22.2" customHeight="1" s="375" thickTop="1"/>
    <row r="1279" ht="22.2" customHeight="1" s="375"/>
    <row r="1280" ht="22.2" customHeight="1" s="375"/>
    <row r="1281" ht="22.2" customHeight="1" s="375"/>
    <row r="1282" ht="22.2" customHeight="1" s="375"/>
    <row r="1283" ht="22.2" customHeight="1" s="375"/>
    <row r="1284" ht="22.2" customHeight="1" s="375"/>
    <row r="1285" ht="22.2" customHeight="1" s="375"/>
    <row r="1286" ht="22.2" customHeight="1" s="375"/>
    <row r="1287" ht="22.2" customHeight="1" s="375"/>
    <row r="1288" ht="22.2" customHeight="1" s="375"/>
  </sheetData>
  <mergeCells count="1120">
    <mergeCell ref="H451:L451"/>
    <mergeCell ref="P496:Q496"/>
    <mergeCell ref="M221:S221"/>
    <mergeCell ref="AH27:AJ27"/>
    <mergeCell ref="J288:K288"/>
    <mergeCell ref="J207:K207"/>
    <mergeCell ref="L263:M263"/>
    <mergeCell ref="J5:K6"/>
    <mergeCell ref="AH22:AJ22"/>
    <mergeCell ref="H593:L593"/>
    <mergeCell ref="O269:Q269"/>
    <mergeCell ref="G492:K492"/>
    <mergeCell ref="J347:K347"/>
    <mergeCell ref="J349:K349"/>
    <mergeCell ref="P511:Q511"/>
    <mergeCell ref="L412:Q412"/>
    <mergeCell ref="J518:K518"/>
    <mergeCell ref="P542:Q542"/>
    <mergeCell ref="A83:G83"/>
    <mergeCell ref="J344:K344"/>
    <mergeCell ref="J520:K520"/>
    <mergeCell ref="J464:S464"/>
    <mergeCell ref="A186:S186"/>
    <mergeCell ref="J375:K375"/>
    <mergeCell ref="G539:K539"/>
    <mergeCell ref="P141:Q141"/>
    <mergeCell ref="J246:K246"/>
    <mergeCell ref="J459:S459"/>
    <mergeCell ref="I453:K453"/>
    <mergeCell ref="P143:Q143"/>
    <mergeCell ref="J248:K248"/>
    <mergeCell ref="A45:I45"/>
    <mergeCell ref="M313:S313"/>
    <mergeCell ref="J180:S180"/>
    <mergeCell ref="J292:K292"/>
    <mergeCell ref="J286:K286"/>
    <mergeCell ref="J302:K302"/>
    <mergeCell ref="A275:I275"/>
    <mergeCell ref="B550:H550"/>
    <mergeCell ref="J287:K287"/>
    <mergeCell ref="I499:K499"/>
    <mergeCell ref="J14:K14"/>
    <mergeCell ref="AH9:AJ9"/>
    <mergeCell ref="AE8:AG8"/>
    <mergeCell ref="I223:K223"/>
    <mergeCell ref="J13:K13"/>
    <mergeCell ref="A450:G450"/>
    <mergeCell ref="AE10:AG10"/>
    <mergeCell ref="AH11:AJ11"/>
    <mergeCell ref="J15:K15"/>
    <mergeCell ref="G494:K494"/>
    <mergeCell ref="H129:L129"/>
    <mergeCell ref="A589:G589"/>
    <mergeCell ref="J51:K52"/>
    <mergeCell ref="G34:K34"/>
    <mergeCell ref="A501:G501"/>
    <mergeCell ref="A279:C279"/>
    <mergeCell ref="F509:G509"/>
    <mergeCell ref="P264:Q264"/>
    <mergeCell ref="A592:G592"/>
    <mergeCell ref="B315:F315"/>
    <mergeCell ref="AE21:AG21"/>
    <mergeCell ref="J244:K244"/>
    <mergeCell ref="AE23:AG23"/>
    <mergeCell ref="J28:K28"/>
    <mergeCell ref="O591:Q591"/>
    <mergeCell ref="L3:M3"/>
    <mergeCell ref="J272:S272"/>
    <mergeCell ref="L5:M5"/>
    <mergeCell ref="B281:D281"/>
    <mergeCell ref="K358:M358"/>
    <mergeCell ref="J384:K384"/>
    <mergeCell ref="M129:S129"/>
    <mergeCell ref="A87:G87"/>
    <mergeCell ref="P125:Q125"/>
    <mergeCell ref="J255:K255"/>
    <mergeCell ref="G217:K217"/>
    <mergeCell ref="J511:K512"/>
    <mergeCell ref="J110:K110"/>
    <mergeCell ref="H501:L501"/>
    <mergeCell ref="L356:M356"/>
    <mergeCell ref="H38:L38"/>
    <mergeCell ref="A542:G542"/>
    <mergeCell ref="Z27:AA27"/>
    <mergeCell ref="G400:K400"/>
    <mergeCell ref="H40:L40"/>
    <mergeCell ref="A544:G544"/>
    <mergeCell ref="J99:K99"/>
    <mergeCell ref="G402:K402"/>
    <mergeCell ref="J397:K397"/>
    <mergeCell ref="A414:I414"/>
    <mergeCell ref="Z22:AA22"/>
    <mergeCell ref="AE6:AG6"/>
    <mergeCell ref="J101:K101"/>
    <mergeCell ref="J100:K100"/>
    <mergeCell ref="G32:K32"/>
    <mergeCell ref="M37:S37"/>
    <mergeCell ref="H97:H98"/>
    <mergeCell ref="O407:Q407"/>
    <mergeCell ref="J29:K29"/>
    <mergeCell ref="P51:Q51"/>
    <mergeCell ref="A588:G588"/>
    <mergeCell ref="AE17:AG17"/>
    <mergeCell ref="M38:S38"/>
    <mergeCell ref="J329:K329"/>
    <mergeCell ref="AE19:AG19"/>
    <mergeCell ref="J481:K481"/>
    <mergeCell ref="J552:S552"/>
    <mergeCell ref="J24:K24"/>
    <mergeCell ref="AH30:AJ30"/>
    <mergeCell ref="J26:K26"/>
    <mergeCell ref="L126:M126"/>
    <mergeCell ref="A43:I43"/>
    <mergeCell ref="J482:K482"/>
    <mergeCell ref="I591:K591"/>
    <mergeCell ref="J350:K350"/>
    <mergeCell ref="J386:K386"/>
    <mergeCell ref="J352:K352"/>
    <mergeCell ref="I407:K407"/>
    <mergeCell ref="B419:D419"/>
    <mergeCell ref="M451:S451"/>
    <mergeCell ref="P263:Q263"/>
    <mergeCell ref="J70:K70"/>
    <mergeCell ref="J235:K236"/>
    <mergeCell ref="J63:K63"/>
    <mergeCell ref="AB49:AD49"/>
    <mergeCell ref="J422:K422"/>
    <mergeCell ref="J424:K424"/>
    <mergeCell ref="AB50:AD50"/>
    <mergeCell ref="O499:Q499"/>
    <mergeCell ref="Z9:AA9"/>
    <mergeCell ref="H362:L362"/>
    <mergeCell ref="Z11:AA11"/>
    <mergeCell ref="J421:K421"/>
    <mergeCell ref="J579:K579"/>
    <mergeCell ref="B223:F223"/>
    <mergeCell ref="J152:K152"/>
    <mergeCell ref="A135:I135"/>
    <mergeCell ref="J147:K147"/>
    <mergeCell ref="O131:Q131"/>
    <mergeCell ref="H409:L409"/>
    <mergeCell ref="H235:H236"/>
    <mergeCell ref="J468:K468"/>
    <mergeCell ref="P373:Q373"/>
    <mergeCell ref="A417:C417"/>
    <mergeCell ref="P33:Q33"/>
    <mergeCell ref="L511:M511"/>
    <mergeCell ref="J163:K163"/>
    <mergeCell ref="J294:K294"/>
    <mergeCell ref="J365:S365"/>
    <mergeCell ref="A364:I364"/>
    <mergeCell ref="J165:K165"/>
    <mergeCell ref="J382:K382"/>
    <mergeCell ref="AB2:AD2"/>
    <mergeCell ref="J77:K77"/>
    <mergeCell ref="J348:K348"/>
    <mergeCell ref="L264:M264"/>
    <mergeCell ref="A181:I181"/>
    <mergeCell ref="L141:M141"/>
    <mergeCell ref="J522:K522"/>
    <mergeCell ref="A505:I505"/>
    <mergeCell ref="J524:K524"/>
    <mergeCell ref="M409:S409"/>
    <mergeCell ref="J61:K61"/>
    <mergeCell ref="H175:L175"/>
    <mergeCell ref="L125:M125"/>
    <mergeCell ref="A38:G38"/>
    <mergeCell ref="J519:K519"/>
    <mergeCell ref="AB48:AD48"/>
    <mergeCell ref="P404:Q404"/>
    <mergeCell ref="H176:L176"/>
    <mergeCell ref="Z7:AA7"/>
    <mergeCell ref="A40:G40"/>
    <mergeCell ref="G538:K538"/>
    <mergeCell ref="H178:L178"/>
    <mergeCell ref="L310:M310"/>
    <mergeCell ref="J237:K237"/>
    <mergeCell ref="G540:K540"/>
    <mergeCell ref="Z8:AA8"/>
    <mergeCell ref="J535:K535"/>
    <mergeCell ref="Z2:AA2"/>
    <mergeCell ref="F141:G141"/>
    <mergeCell ref="J239:K239"/>
    <mergeCell ref="J537:K537"/>
    <mergeCell ref="J118:K118"/>
    <mergeCell ref="M175:S175"/>
    <mergeCell ref="J563:K563"/>
    <mergeCell ref="J167:K167"/>
    <mergeCell ref="H133:L133"/>
    <mergeCell ref="M176:S176"/>
    <mergeCell ref="J162:K162"/>
    <mergeCell ref="L51:M51"/>
    <mergeCell ref="H547:L547"/>
    <mergeCell ref="AH13:AJ13"/>
    <mergeCell ref="J164:K164"/>
    <mergeCell ref="P171:Q171"/>
    <mergeCell ref="J372:S372"/>
    <mergeCell ref="J487:K487"/>
    <mergeCell ref="AH8:AJ8"/>
    <mergeCell ref="AB16:AD16"/>
    <mergeCell ref="J410:S410"/>
    <mergeCell ref="AH10:AJ10"/>
    <mergeCell ref="AB9:AD9"/>
    <mergeCell ref="J146:K146"/>
    <mergeCell ref="G449:K449"/>
    <mergeCell ref="J488:K488"/>
    <mergeCell ref="A503:I503"/>
    <mergeCell ref="AB11:AD11"/>
    <mergeCell ref="J515:K515"/>
    <mergeCell ref="J92:S92"/>
    <mergeCell ref="I545:K545"/>
    <mergeCell ref="B557:D557"/>
    <mergeCell ref="J331:K331"/>
    <mergeCell ref="AH28:AJ28"/>
    <mergeCell ref="P401:Q401"/>
    <mergeCell ref="P97:Q97"/>
    <mergeCell ref="J208:K208"/>
    <mergeCell ref="G79:K79"/>
    <mergeCell ref="J373:K374"/>
    <mergeCell ref="M547:S547"/>
    <mergeCell ref="AH21:AJ21"/>
    <mergeCell ref="J89:S89"/>
    <mergeCell ref="J201:K201"/>
    <mergeCell ref="AH23:AJ23"/>
    <mergeCell ref="O39:Q39"/>
    <mergeCell ref="A179:G179"/>
    <mergeCell ref="L596:Q596"/>
    <mergeCell ref="J203:K203"/>
    <mergeCell ref="K174:M174"/>
    <mergeCell ref="A89:I89"/>
    <mergeCell ref="J259:K259"/>
    <mergeCell ref="H500:L500"/>
    <mergeCell ref="B458:H458"/>
    <mergeCell ref="J261:K261"/>
    <mergeCell ref="J559:K559"/>
    <mergeCell ref="F5:G5"/>
    <mergeCell ref="J254:K254"/>
    <mergeCell ref="M270:S270"/>
    <mergeCell ref="J561:K561"/>
    <mergeCell ref="P126:Q126"/>
    <mergeCell ref="J256:K256"/>
    <mergeCell ref="A229:I229"/>
    <mergeCell ref="A409:G409"/>
    <mergeCell ref="J502:S502"/>
    <mergeCell ref="M497:S497"/>
    <mergeCell ref="H373:H374"/>
    <mergeCell ref="A404:G404"/>
    <mergeCell ref="J281:K282"/>
    <mergeCell ref="J432:K432"/>
    <mergeCell ref="B191:D191"/>
    <mergeCell ref="J503:S503"/>
    <mergeCell ref="H271:L271"/>
    <mergeCell ref="AH6:AJ6"/>
    <mergeCell ref="L373:M373"/>
    <mergeCell ref="L33:M33"/>
    <mergeCell ref="A130:G130"/>
    <mergeCell ref="B192:D192"/>
    <mergeCell ref="J486:K486"/>
    <mergeCell ref="A132:G132"/>
    <mergeCell ref="P493:Q493"/>
    <mergeCell ref="J300:K300"/>
    <mergeCell ref="H268:L268"/>
    <mergeCell ref="AH24:AJ24"/>
    <mergeCell ref="AH17:AJ17"/>
    <mergeCell ref="AH19:AJ19"/>
    <mergeCell ref="J199:K199"/>
    <mergeCell ref="F95:G95"/>
    <mergeCell ref="A176:G176"/>
    <mergeCell ref="F97:G97"/>
    <mergeCell ref="A178:G178"/>
    <mergeCell ref="J346:K346"/>
    <mergeCell ref="J340:K340"/>
    <mergeCell ref="J252:K252"/>
    <mergeCell ref="M268:S268"/>
    <mergeCell ref="J341:K341"/>
    <mergeCell ref="J377:K377"/>
    <mergeCell ref="N49:O49"/>
    <mergeCell ref="A185:S185"/>
    <mergeCell ref="J59:K59"/>
    <mergeCell ref="F143:G143"/>
    <mergeCell ref="A42:I42"/>
    <mergeCell ref="A411:I411"/>
    <mergeCell ref="J97:K98"/>
    <mergeCell ref="J184:S184"/>
    <mergeCell ref="A128:G128"/>
    <mergeCell ref="P309:Q309"/>
    <mergeCell ref="G584:K584"/>
    <mergeCell ref="A129:G129"/>
    <mergeCell ref="J439:K439"/>
    <mergeCell ref="K542:M542"/>
    <mergeCell ref="J510:S510"/>
    <mergeCell ref="H224:L224"/>
    <mergeCell ref="J291:K291"/>
    <mergeCell ref="J293:K293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P233:Q233"/>
    <mergeCell ref="AE7:AG7"/>
    <mergeCell ref="J469:K469"/>
    <mergeCell ref="J12:K12"/>
    <mergeCell ref="P235:Q235"/>
    <mergeCell ref="B85:F85"/>
    <mergeCell ref="J227:S227"/>
    <mergeCell ref="AE2:AG2"/>
    <mergeCell ref="J339:K339"/>
    <mergeCell ref="L401:M401"/>
    <mergeCell ref="B283:D283"/>
    <mergeCell ref="A500:G500"/>
    <mergeCell ref="J65:K65"/>
    <mergeCell ref="J480:K480"/>
    <mergeCell ref="J551:S551"/>
    <mergeCell ref="J399:K399"/>
    <mergeCell ref="J392:K392"/>
    <mergeCell ref="J25:K25"/>
    <mergeCell ref="N187:O187"/>
    <mergeCell ref="J394:K394"/>
    <mergeCell ref="P279:Q279"/>
    <mergeCell ref="Z6:AA6"/>
    <mergeCell ref="G81:K81"/>
    <mergeCell ref="J112:K112"/>
    <mergeCell ref="J383:K383"/>
    <mergeCell ref="J376:K376"/>
    <mergeCell ref="J419:K420"/>
    <mergeCell ref="J534:K534"/>
    <mergeCell ref="B329:D329"/>
    <mergeCell ref="J597:S597"/>
    <mergeCell ref="J107:K107"/>
    <mergeCell ref="J378:K378"/>
    <mergeCell ref="L172:M172"/>
    <mergeCell ref="L171:M171"/>
    <mergeCell ref="B330:D330"/>
    <mergeCell ref="A461:S461"/>
    <mergeCell ref="H37:L37"/>
    <mergeCell ref="A268:G268"/>
    <mergeCell ref="J438:K438"/>
    <mergeCell ref="B177:F177"/>
    <mergeCell ref="H406:L406"/>
    <mergeCell ref="J319:S319"/>
    <mergeCell ref="Z19:AA19"/>
    <mergeCell ref="AE3:AG3"/>
    <mergeCell ref="J8:K8"/>
    <mergeCell ref="G311:K311"/>
    <mergeCell ref="J10:K10"/>
    <mergeCell ref="A456:I456"/>
    <mergeCell ref="A93:S93"/>
    <mergeCell ref="H546:L546"/>
    <mergeCell ref="A371:C371"/>
    <mergeCell ref="A316:G316"/>
    <mergeCell ref="AE16:AG16"/>
    <mergeCell ref="AB15:AD15"/>
    <mergeCell ref="J478:K478"/>
    <mergeCell ref="J549:S549"/>
    <mergeCell ref="J21:K21"/>
    <mergeCell ref="AE18:AG18"/>
    <mergeCell ref="I361:K361"/>
    <mergeCell ref="J23:K23"/>
    <mergeCell ref="M406:S406"/>
    <mergeCell ref="A313:G313"/>
    <mergeCell ref="J479:K479"/>
    <mergeCell ref="J91:S91"/>
    <mergeCell ref="L448:M448"/>
    <mergeCell ref="A3:C3"/>
    <mergeCell ref="A323:S323"/>
    <mergeCell ref="K450:M450"/>
    <mergeCell ref="A91:I91"/>
    <mergeCell ref="M546:S546"/>
    <mergeCell ref="A180:I180"/>
    <mergeCell ref="AB28:AD28"/>
    <mergeCell ref="J103:K103"/>
    <mergeCell ref="P417:Q417"/>
    <mergeCell ref="AB30:AD30"/>
    <mergeCell ref="AB29:AD29"/>
    <mergeCell ref="A2:S2"/>
    <mergeCell ref="J321:S321"/>
    <mergeCell ref="J436:K436"/>
    <mergeCell ref="J429:K429"/>
    <mergeCell ref="L494:M494"/>
    <mergeCell ref="J431:K431"/>
    <mergeCell ref="L44:Q44"/>
    <mergeCell ref="L493:M493"/>
    <mergeCell ref="F325:G325"/>
    <mergeCell ref="L309:M309"/>
    <mergeCell ref="H359:L359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J121:K121"/>
    <mergeCell ref="J115:K115"/>
    <mergeCell ref="Z28:AA28"/>
    <mergeCell ref="A138:I138"/>
    <mergeCell ref="M498:S498"/>
    <mergeCell ref="J571:K571"/>
    <mergeCell ref="J150:K150"/>
    <mergeCell ref="Z30:AA30"/>
    <mergeCell ref="N95:O95"/>
    <mergeCell ref="J573:K573"/>
    <mergeCell ref="J116:K116"/>
    <mergeCell ref="A231:S231"/>
    <mergeCell ref="J477:K477"/>
    <mergeCell ref="L235:M235"/>
    <mergeCell ref="M87:S87"/>
    <mergeCell ref="J284:K284"/>
    <mergeCell ref="J364:S364"/>
    <mergeCell ref="M359:S359"/>
    <mergeCell ref="B237:D237"/>
    <mergeCell ref="AB26:AD26"/>
    <mergeCell ref="J76:K76"/>
    <mergeCell ref="N325:O325"/>
    <mergeCell ref="H454:L454"/>
    <mergeCell ref="AB27:AD27"/>
    <mergeCell ref="G219:K219"/>
    <mergeCell ref="J521:K521"/>
    <mergeCell ref="M224:S224"/>
    <mergeCell ref="L279:M279"/>
    <mergeCell ref="P80:Q80"/>
    <mergeCell ref="J514:K514"/>
    <mergeCell ref="J516:K516"/>
    <mergeCell ref="A1:S1"/>
    <mergeCell ref="J460:S460"/>
    <mergeCell ref="A506:I506"/>
    <mergeCell ref="A37:G37"/>
    <mergeCell ref="G448:K448"/>
    <mergeCell ref="A406:G406"/>
    <mergeCell ref="J58:K58"/>
    <mergeCell ref="J574:K574"/>
    <mergeCell ref="J457:S457"/>
    <mergeCell ref="J567:K567"/>
    <mergeCell ref="J569:K569"/>
    <mergeCell ref="M454:S454"/>
    <mergeCell ref="J440:K440"/>
    <mergeCell ref="F465:G465"/>
    <mergeCell ref="A546:G546"/>
    <mergeCell ref="A509:C509"/>
    <mergeCell ref="A276:I276"/>
    <mergeCell ref="B361:F361"/>
    <mergeCell ref="J159:K159"/>
    <mergeCell ref="B235:D235"/>
    <mergeCell ref="A553:S553"/>
    <mergeCell ref="J153:K153"/>
    <mergeCell ref="J290:K290"/>
    <mergeCell ref="J582:K582"/>
    <mergeCell ref="A273:I273"/>
    <mergeCell ref="L217:M217"/>
    <mergeCell ref="A451:G451"/>
    <mergeCell ref="B376:D376"/>
    <mergeCell ref="J285:K285"/>
    <mergeCell ref="A141:C141"/>
    <mergeCell ref="P49:Q49"/>
    <mergeCell ref="K588:M588"/>
    <mergeCell ref="AH7:AJ7"/>
    <mergeCell ref="M222:S222"/>
    <mergeCell ref="J301:K301"/>
    <mergeCell ref="B136:H136"/>
    <mergeCell ref="H267:L267"/>
    <mergeCell ref="A502:I502"/>
    <mergeCell ref="N463:O463"/>
    <mergeCell ref="F49:G49"/>
    <mergeCell ref="H592:L592"/>
    <mergeCell ref="A140:S140"/>
    <mergeCell ref="P95:Q95"/>
    <mergeCell ref="A359:G359"/>
    <mergeCell ref="L182:Q182"/>
    <mergeCell ref="J525:K525"/>
    <mergeCell ref="T104:X104"/>
    <mergeCell ref="J456:S456"/>
    <mergeCell ref="H497:L497"/>
    <mergeCell ref="J380:K380"/>
    <mergeCell ref="B453:F453"/>
    <mergeCell ref="J251:K251"/>
    <mergeCell ref="B182:H182"/>
    <mergeCell ref="J595:S595"/>
    <mergeCell ref="M267:S267"/>
    <mergeCell ref="H143:H144"/>
    <mergeCell ref="J253:K253"/>
    <mergeCell ref="M592:S592"/>
    <mergeCell ref="H41:L41"/>
    <mergeCell ref="G126:K126"/>
    <mergeCell ref="N233:O233"/>
    <mergeCell ref="J598:S598"/>
    <mergeCell ref="A225:G225"/>
    <mergeCell ref="J393:K393"/>
    <mergeCell ref="J188:O188"/>
    <mergeCell ref="AH3:AJ3"/>
    <mergeCell ref="J395:K395"/>
    <mergeCell ref="AH5:AJ5"/>
    <mergeCell ref="G173:K173"/>
    <mergeCell ref="A454:G454"/>
    <mergeCell ref="G170:K170"/>
    <mergeCell ref="P187:Q187"/>
    <mergeCell ref="P494:Q494"/>
    <mergeCell ref="AE13:AG13"/>
    <mergeCell ref="G172:K172"/>
    <mergeCell ref="A455:G455"/>
    <mergeCell ref="J27:K27"/>
    <mergeCell ref="A184:I184"/>
    <mergeCell ref="P189:Q189"/>
    <mergeCell ref="AH16:AJ16"/>
    <mergeCell ref="AE15:AG15"/>
    <mergeCell ref="L90:Q90"/>
    <mergeCell ref="J20:K20"/>
    <mergeCell ref="J196:K196"/>
    <mergeCell ref="P218:Q218"/>
    <mergeCell ref="B269:F269"/>
    <mergeCell ref="J22:K22"/>
    <mergeCell ref="L80:M80"/>
    <mergeCell ref="A175:G175"/>
    <mergeCell ref="J137:S137"/>
    <mergeCell ref="J338:K338"/>
    <mergeCell ref="J138:S138"/>
    <mergeCell ref="AE28:AG28"/>
    <mergeCell ref="L320:Q320"/>
    <mergeCell ref="B596:H596"/>
    <mergeCell ref="AE30:AG30"/>
    <mergeCell ref="B284:D284"/>
    <mergeCell ref="A221:G221"/>
    <mergeCell ref="J66:K66"/>
    <mergeCell ref="H360:L360"/>
    <mergeCell ref="J389:K389"/>
    <mergeCell ref="H465:H466"/>
    <mergeCell ref="G265:K265"/>
    <mergeCell ref="J122:K122"/>
    <mergeCell ref="A410:I410"/>
    <mergeCell ref="A324:S324"/>
    <mergeCell ref="I177:K177"/>
    <mergeCell ref="A48:S48"/>
    <mergeCell ref="J148:K148"/>
    <mergeCell ref="J104:K104"/>
    <mergeCell ref="J105:K105"/>
    <mergeCell ref="M360:S360"/>
    <mergeCell ref="A267:G267"/>
    <mergeCell ref="L49:M49"/>
    <mergeCell ref="H405:L405"/>
    <mergeCell ref="F187:G187"/>
    <mergeCell ref="J143:K144"/>
    <mergeCell ref="K404:M404"/>
    <mergeCell ref="B53:D53"/>
    <mergeCell ref="J430:K430"/>
    <mergeCell ref="J46:S46"/>
    <mergeCell ref="J9:K9"/>
    <mergeCell ref="A593:G593"/>
    <mergeCell ref="J161:K161"/>
    <mergeCell ref="P356:Q356"/>
    <mergeCell ref="AE24:AG24"/>
    <mergeCell ref="A94:S94"/>
    <mergeCell ref="AE26:AG26"/>
    <mergeCell ref="J31:K31"/>
    <mergeCell ref="A319:I319"/>
    <mergeCell ref="A497:G497"/>
    <mergeCell ref="K36:M36"/>
    <mergeCell ref="J62:K62"/>
    <mergeCell ref="J64:K64"/>
    <mergeCell ref="M316:S316"/>
    <mergeCell ref="B591:F591"/>
    <mergeCell ref="B8:D8"/>
    <mergeCell ref="M405:S405"/>
    <mergeCell ref="J276:S276"/>
    <mergeCell ref="J57:K57"/>
    <mergeCell ref="J391:K391"/>
    <mergeCell ref="J189:K190"/>
    <mergeCell ref="T114:X114"/>
    <mergeCell ref="B99:D99"/>
    <mergeCell ref="P586:Q586"/>
    <mergeCell ref="G264:K264"/>
    <mergeCell ref="Z3:AA3"/>
    <mergeCell ref="G78:K78"/>
    <mergeCell ref="A36:G36"/>
    <mergeCell ref="B5:D5"/>
    <mergeCell ref="P402:Q402"/>
    <mergeCell ref="Z5:AA5"/>
    <mergeCell ref="G80:K80"/>
    <mergeCell ref="J75:K75"/>
    <mergeCell ref="A363:G363"/>
    <mergeCell ref="A92:I92"/>
    <mergeCell ref="J531:K531"/>
    <mergeCell ref="J444:K444"/>
    <mergeCell ref="J533:K533"/>
    <mergeCell ref="A548:I548"/>
    <mergeCell ref="B145:D145"/>
    <mergeCell ref="J322:S322"/>
    <mergeCell ref="Z16:AA16"/>
    <mergeCell ref="I39:K39"/>
    <mergeCell ref="G308:K308"/>
    <mergeCell ref="A266:G266"/>
    <mergeCell ref="B499:F499"/>
    <mergeCell ref="P325:Q325"/>
    <mergeCell ref="Z18:AA18"/>
    <mergeCell ref="B51:D51"/>
    <mergeCell ref="J4:N4"/>
    <mergeCell ref="H189:H190"/>
    <mergeCell ref="G310:K310"/>
    <mergeCell ref="Z17:AA17"/>
    <mergeCell ref="P327:Q327"/>
    <mergeCell ref="L228:Q228"/>
    <mergeCell ref="H87:L87"/>
    <mergeCell ref="N279:O279"/>
    <mergeCell ref="H543:L543"/>
    <mergeCell ref="L218:M218"/>
    <mergeCell ref="AB12:AD12"/>
    <mergeCell ref="J475:K475"/>
    <mergeCell ref="F51:G51"/>
    <mergeCell ref="AB13:AD13"/>
    <mergeCell ref="J55:K55"/>
    <mergeCell ref="A232:S232"/>
    <mergeCell ref="AB7:AD7"/>
    <mergeCell ref="J476:K476"/>
    <mergeCell ref="J88:S88"/>
    <mergeCell ref="A459:I459"/>
    <mergeCell ref="L458:Q458"/>
    <mergeCell ref="P371:Q371"/>
    <mergeCell ref="B97:D97"/>
    <mergeCell ref="L417:M417"/>
    <mergeCell ref="AH18:AJ18"/>
    <mergeCell ref="A88:I88"/>
    <mergeCell ref="J204:K204"/>
    <mergeCell ref="J198:K198"/>
    <mergeCell ref="J548:S548"/>
    <mergeCell ref="M543:S543"/>
    <mergeCell ref="AB25:AD25"/>
    <mergeCell ref="J529:K529"/>
    <mergeCell ref="J327:K328"/>
    <mergeCell ref="O177:Q177"/>
    <mergeCell ref="J68:K68"/>
    <mergeCell ref="B143:D143"/>
    <mergeCell ref="I315:K315"/>
    <mergeCell ref="H281:H282"/>
    <mergeCell ref="J257:K257"/>
    <mergeCell ref="P419:Q419"/>
    <mergeCell ref="A230:I230"/>
    <mergeCell ref="H498:L498"/>
    <mergeCell ref="J242:K242"/>
    <mergeCell ref="Z13:AA13"/>
    <mergeCell ref="J428:K428"/>
    <mergeCell ref="B44:H44"/>
    <mergeCell ref="Z15:AA15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36:Q36"/>
    <mergeCell ref="P465:Q465"/>
    <mergeCell ref="L550:Q550"/>
    <mergeCell ref="J570:K570"/>
    <mergeCell ref="B189:D189"/>
    <mergeCell ref="L366:Q366"/>
    <mergeCell ref="AB3:AD3"/>
    <mergeCell ref="A547:G547"/>
    <mergeCell ref="AB5:AD5"/>
    <mergeCell ref="J169:K169"/>
    <mergeCell ref="T19:X19"/>
    <mergeCell ref="A457:I457"/>
    <mergeCell ref="AH20:AJ20"/>
    <mergeCell ref="J200:K200"/>
    <mergeCell ref="J50:P50"/>
    <mergeCell ref="J202:K202"/>
    <mergeCell ref="A554:S554"/>
    <mergeCell ref="AH15:AJ15"/>
    <mergeCell ref="J195:K195"/>
    <mergeCell ref="A597:I597"/>
    <mergeCell ref="P509:Q509"/>
    <mergeCell ref="J197:K197"/>
    <mergeCell ref="B560:D560"/>
    <mergeCell ref="P82:Q82"/>
    <mergeCell ref="AB18:AD18"/>
    <mergeCell ref="G216:K216"/>
    <mergeCell ref="A174:G174"/>
    <mergeCell ref="J342:K342"/>
    <mergeCell ref="P540:Q540"/>
    <mergeCell ref="G218:K218"/>
    <mergeCell ref="G541:K541"/>
    <mergeCell ref="J213:K213"/>
    <mergeCell ref="M133:S133"/>
    <mergeCell ref="H179:L179"/>
    <mergeCell ref="J215:K215"/>
    <mergeCell ref="L95:M95"/>
    <mergeCell ref="J337:K337"/>
    <mergeCell ref="J513:K513"/>
    <mergeCell ref="L402:M402"/>
    <mergeCell ref="O315:Q315"/>
    <mergeCell ref="L97:M97"/>
    <mergeCell ref="F233:G233"/>
    <mergeCell ref="J210:K210"/>
    <mergeCell ref="F235:G235"/>
    <mergeCell ref="P217:Q217"/>
    <mergeCell ref="J564:K564"/>
    <mergeCell ref="J566:K566"/>
    <mergeCell ref="J109:K109"/>
    <mergeCell ref="H327:H328"/>
    <mergeCell ref="A549:I549"/>
    <mergeCell ref="A543:G543"/>
    <mergeCell ref="L325:M325"/>
    <mergeCell ref="H225:L225"/>
    <mergeCell ref="A233:C233"/>
    <mergeCell ref="L327:M327"/>
    <mergeCell ref="F463:G463"/>
    <mergeCell ref="M179:S179"/>
    <mergeCell ref="P447:Q447"/>
    <mergeCell ref="G125:K125"/>
    <mergeCell ref="J437:K437"/>
    <mergeCell ref="H222:L222"/>
    <mergeCell ref="G127:K127"/>
    <mergeCell ref="O85:Q85"/>
    <mergeCell ref="J193:K193"/>
    <mergeCell ref="A370:S370"/>
    <mergeCell ref="J226:S226"/>
    <mergeCell ref="J305:K305"/>
    <mergeCell ref="J307:K307"/>
    <mergeCell ref="AH4:AJ4"/>
    <mergeCell ref="P79:Q79"/>
    <mergeCell ref="M225:S225"/>
    <mergeCell ref="L371:M371"/>
    <mergeCell ref="L274:Q274"/>
    <mergeCell ref="J465:K466"/>
    <mergeCell ref="J335:K335"/>
    <mergeCell ref="B375:D375"/>
    <mergeCell ref="AH26:AJ26"/>
    <mergeCell ref="P220:Q220"/>
    <mergeCell ref="J368:S368"/>
    <mergeCell ref="J206:K206"/>
    <mergeCell ref="A496:G496"/>
    <mergeCell ref="G354:K354"/>
    <mergeCell ref="P555:Q555"/>
    <mergeCell ref="H419:H420"/>
    <mergeCell ref="A498:G498"/>
    <mergeCell ref="G356:K356"/>
    <mergeCell ref="P557:Q557"/>
    <mergeCell ref="J351:K351"/>
    <mergeCell ref="A368:I368"/>
    <mergeCell ref="M271:S271"/>
    <mergeCell ref="J353:K353"/>
    <mergeCell ref="L419:M419"/>
    <mergeCell ref="F555:G555"/>
    <mergeCell ref="F557:G557"/>
    <mergeCell ref="A365:I365"/>
    <mergeCell ref="H314:L314"/>
    <mergeCell ref="H51:H52"/>
    <mergeCell ref="J379:K379"/>
    <mergeCell ref="A82:G82"/>
    <mergeCell ref="J74:K74"/>
    <mergeCell ref="J250:K250"/>
    <mergeCell ref="J594:S594"/>
    <mergeCell ref="A462:S462"/>
    <mergeCell ref="G586:K586"/>
    <mergeCell ref="B327:D327"/>
    <mergeCell ref="Z20:AA20"/>
    <mergeCell ref="S575:S576"/>
    <mergeCell ref="N555:O555"/>
    <mergeCell ref="M317:S317"/>
    <mergeCell ref="J303:K303"/>
    <mergeCell ref="A224:G224"/>
    <mergeCell ref="H544:L544"/>
    <mergeCell ref="J557:K558"/>
    <mergeCell ref="B467:D467"/>
    <mergeCell ref="J123:K123"/>
    <mergeCell ref="J304:K304"/>
    <mergeCell ref="A321:I321"/>
    <mergeCell ref="M314:S314"/>
    <mergeCell ref="J423:K423"/>
    <mergeCell ref="J306:K306"/>
    <mergeCell ref="J18:K18"/>
    <mergeCell ref="AE12:AG12"/>
    <mergeCell ref="J474:K474"/>
    <mergeCell ref="J17:K17"/>
    <mergeCell ref="AE14:AG14"/>
    <mergeCell ref="J19:K19"/>
    <mergeCell ref="L233:M233"/>
    <mergeCell ref="L540:M540"/>
    <mergeCell ref="O453:Q453"/>
    <mergeCell ref="M544:S544"/>
    <mergeCell ref="H316:L316"/>
    <mergeCell ref="H557:H558"/>
    <mergeCell ref="F373:G373"/>
    <mergeCell ref="P355:Q355"/>
    <mergeCell ref="G33:K33"/>
    <mergeCell ref="AE25:AG25"/>
    <mergeCell ref="AB24:AD24"/>
    <mergeCell ref="G35:K35"/>
    <mergeCell ref="J243:K243"/>
    <mergeCell ref="A46:I46"/>
    <mergeCell ref="L463:M463"/>
    <mergeCell ref="H363:L363"/>
    <mergeCell ref="G262:K262"/>
    <mergeCell ref="A220:G220"/>
    <mergeCell ref="L465:M465"/>
    <mergeCell ref="J117:K117"/>
    <mergeCell ref="J388:K388"/>
    <mergeCell ref="A222:G222"/>
    <mergeCell ref="P585:Q585"/>
    <mergeCell ref="J119:K119"/>
    <mergeCell ref="P281:Q281"/>
    <mergeCell ref="J390:K390"/>
    <mergeCell ref="G263:K263"/>
    <mergeCell ref="J427:K427"/>
    <mergeCell ref="P312:Q312"/>
    <mergeCell ref="H84:L84"/>
    <mergeCell ref="J114:K114"/>
    <mergeCell ref="J385:K385"/>
    <mergeCell ref="L447:M447"/>
    <mergeCell ref="Z4:AA4"/>
    <mergeCell ref="F279:G279"/>
    <mergeCell ref="J572:K572"/>
    <mergeCell ref="H86:L86"/>
    <mergeCell ref="J145:K145"/>
    <mergeCell ref="F281:G281"/>
    <mergeCell ref="J443:K443"/>
    <mergeCell ref="A47:S47"/>
    <mergeCell ref="J111:K111"/>
    <mergeCell ref="J445:K445"/>
    <mergeCell ref="Z26:AA26"/>
    <mergeCell ref="L509:M509"/>
    <mergeCell ref="AE5:AG5"/>
    <mergeCell ref="P358:Q358"/>
    <mergeCell ref="J158:K158"/>
    <mergeCell ref="J45:S45"/>
    <mergeCell ref="M84:S84"/>
    <mergeCell ref="J489:K489"/>
    <mergeCell ref="J160:K160"/>
    <mergeCell ref="M86:S86"/>
    <mergeCell ref="L555:M555"/>
    <mergeCell ref="H455:L455"/>
    <mergeCell ref="J491:K491"/>
    <mergeCell ref="AB22:AD22"/>
    <mergeCell ref="J72:K72"/>
    <mergeCell ref="L557:M557"/>
    <mergeCell ref="J484:K484"/>
    <mergeCell ref="A416:S416"/>
    <mergeCell ref="J30:K30"/>
    <mergeCell ref="I269:K269"/>
    <mergeCell ref="A314:G314"/>
    <mergeCell ref="H452:L452"/>
    <mergeCell ref="G171:K171"/>
    <mergeCell ref="J517:K517"/>
    <mergeCell ref="J54:K54"/>
    <mergeCell ref="G357:K357"/>
    <mergeCell ref="J212:K212"/>
    <mergeCell ref="B7:D7"/>
    <mergeCell ref="J56:K56"/>
    <mergeCell ref="J214:K214"/>
    <mergeCell ref="B465:D465"/>
    <mergeCell ref="B421:D421"/>
    <mergeCell ref="A139:S139"/>
    <mergeCell ref="P310:Q310"/>
    <mergeCell ref="J414:S414"/>
    <mergeCell ref="M455:S455"/>
    <mergeCell ref="J441:K441"/>
    <mergeCell ref="A362:G362"/>
    <mergeCell ref="J530:K530"/>
    <mergeCell ref="G401:K401"/>
    <mergeCell ref="J532:K532"/>
    <mergeCell ref="G403:K403"/>
    <mergeCell ref="O361:Q361"/>
    <mergeCell ref="P539:Q539"/>
    <mergeCell ref="M452:S452"/>
    <mergeCell ref="A49:C49"/>
    <mergeCell ref="A369:S369"/>
    <mergeCell ref="J154:K154"/>
    <mergeCell ref="J583:K583"/>
    <mergeCell ref="J120:K120"/>
    <mergeCell ref="A137:I137"/>
    <mergeCell ref="L136:Q136"/>
    <mergeCell ref="J156:K156"/>
    <mergeCell ref="J43:S43"/>
    <mergeCell ref="J155:K155"/>
    <mergeCell ref="J426:K426"/>
    <mergeCell ref="J578:K578"/>
    <mergeCell ref="J157:K157"/>
    <mergeCell ref="J151:K151"/>
    <mergeCell ref="AH2:AJ2"/>
    <mergeCell ref="G447:K447"/>
    <mergeCell ref="K128:M128"/>
    <mergeCell ref="J296:K296"/>
    <mergeCell ref="J367:S367"/>
    <mergeCell ref="J298:K298"/>
    <mergeCell ref="T83:Z83"/>
    <mergeCell ref="B513:D513"/>
    <mergeCell ref="J297:K297"/>
    <mergeCell ref="AB4:AD4"/>
    <mergeCell ref="A367:I367"/>
    <mergeCell ref="A183:I183"/>
    <mergeCell ref="J299:K299"/>
    <mergeCell ref="F371:G371"/>
    <mergeCell ref="L355:M355"/>
    <mergeCell ref="J326:M326"/>
    <mergeCell ref="B514:D514"/>
    <mergeCell ref="J381:K381"/>
    <mergeCell ref="H590:L590"/>
    <mergeCell ref="A358:G358"/>
    <mergeCell ref="J526:K526"/>
    <mergeCell ref="A360:G360"/>
    <mergeCell ref="J528:K528"/>
    <mergeCell ref="A84:G84"/>
    <mergeCell ref="A277:S277"/>
    <mergeCell ref="A86:G86"/>
    <mergeCell ref="J523:K523"/>
    <mergeCell ref="L281:M281"/>
    <mergeCell ref="L585:M585"/>
    <mergeCell ref="F417:G417"/>
    <mergeCell ref="M593:S593"/>
    <mergeCell ref="A278:S278"/>
    <mergeCell ref="J247:K247"/>
    <mergeCell ref="I131:K131"/>
    <mergeCell ref="F419:G419"/>
    <mergeCell ref="J249:K249"/>
    <mergeCell ref="J241:K241"/>
    <mergeCell ref="A598:I598"/>
    <mergeCell ref="N371:O371"/>
    <mergeCell ref="A507:S507"/>
    <mergeCell ref="J183:S183"/>
    <mergeCell ref="J289:K289"/>
    <mergeCell ref="H130:L130"/>
    <mergeCell ref="N3:O3"/>
    <mergeCell ref="J166:K166"/>
    <mergeCell ref="H132:L132"/>
    <mergeCell ref="B90:H90"/>
    <mergeCell ref="M363:S363"/>
    <mergeCell ref="T9:X9"/>
    <mergeCell ref="J191:K191"/>
    <mergeCell ref="A452:G452"/>
    <mergeCell ref="N417:O417"/>
    <mergeCell ref="G493:K493"/>
    <mergeCell ref="L79:M79"/>
    <mergeCell ref="G309:K309"/>
    <mergeCell ref="AH12:AJ12"/>
    <mergeCell ref="J192:K192"/>
    <mergeCell ref="G495:K495"/>
    <mergeCell ref="AH14:AJ14"/>
    <mergeCell ref="J194:K194"/>
    <mergeCell ref="F511:G511"/>
    <mergeCell ref="B559:D559"/>
    <mergeCell ref="J333:K333"/>
    <mergeCell ref="AE29:AG29"/>
    <mergeCell ref="A322:I322"/>
    <mergeCell ref="J135:S135"/>
    <mergeCell ref="J245:K245"/>
    <mergeCell ref="M130:S130"/>
    <mergeCell ref="J334:K334"/>
    <mergeCell ref="AH25:AJ25"/>
    <mergeCell ref="M132:S132"/>
    <mergeCell ref="B407:F407"/>
    <mergeCell ref="J205:K205"/>
    <mergeCell ref="J336:K336"/>
    <mergeCell ref="P588:Q588"/>
    <mergeCell ref="M590:S590"/>
    <mergeCell ref="V5:X5"/>
    <mergeCell ref="J275:S275"/>
    <mergeCell ref="A187:C187"/>
    <mergeCell ref="A551:I551"/>
    <mergeCell ref="P128:Q128"/>
    <mergeCell ref="J258:K258"/>
    <mergeCell ref="J565:K565"/>
    <mergeCell ref="B39:F39"/>
    <mergeCell ref="J181:S181"/>
    <mergeCell ref="J260:K260"/>
    <mergeCell ref="B511:D511"/>
    <mergeCell ref="J506:S506"/>
    <mergeCell ref="G585:K585"/>
    <mergeCell ref="K266:M266"/>
    <mergeCell ref="J434:K434"/>
    <mergeCell ref="J505:S505"/>
    <mergeCell ref="N141:O141"/>
    <mergeCell ref="H270:L270"/>
    <mergeCell ref="A590:G590"/>
    <mergeCell ref="A318:I318"/>
    <mergeCell ref="AE27:AG27"/>
    <mergeCell ref="J7:K7"/>
    <mergeCell ref="J330:K330"/>
    <mergeCell ref="AE20:AG20"/>
    <mergeCell ref="J332:K332"/>
    <mergeCell ref="AE22:AG22"/>
    <mergeCell ref="A415:S415"/>
    <mergeCell ref="B131:F131"/>
    <mergeCell ref="J60:K60"/>
    <mergeCell ref="J273:S273"/>
    <mergeCell ref="J234:O234"/>
    <mergeCell ref="J53:K53"/>
    <mergeCell ref="J387:K387"/>
    <mergeCell ref="J343:K343"/>
    <mergeCell ref="J345:K345"/>
    <mergeCell ref="H317:L317"/>
    <mergeCell ref="N509:O509"/>
    <mergeCell ref="A325:C325"/>
    <mergeCell ref="J71:K71"/>
    <mergeCell ref="J73:K73"/>
    <mergeCell ref="A413:I413"/>
    <mergeCell ref="J102:K102"/>
    <mergeCell ref="J425:K425"/>
    <mergeCell ref="J318:S318"/>
    <mergeCell ref="Z12:AA12"/>
    <mergeCell ref="B228:H228"/>
    <mergeCell ref="P172:Q172"/>
    <mergeCell ref="Z14:AA14"/>
    <mergeCell ref="A555:C555"/>
    <mergeCell ref="A133:G133"/>
    <mergeCell ref="J295:K295"/>
    <mergeCell ref="M40:S40"/>
    <mergeCell ref="O223:Q223"/>
    <mergeCell ref="G446:K446"/>
    <mergeCell ref="B373:D373"/>
    <mergeCell ref="AE9:AG9"/>
    <mergeCell ref="AB8:AD8"/>
    <mergeCell ref="J471:K471"/>
    <mergeCell ref="A460:I460"/>
    <mergeCell ref="AB10:AD10"/>
    <mergeCell ref="AE11:AG11"/>
    <mergeCell ref="J473:K473"/>
    <mergeCell ref="J16:K16"/>
    <mergeCell ref="J229:S229"/>
    <mergeCell ref="J168:K168"/>
    <mergeCell ref="J472:K472"/>
    <mergeCell ref="AE4:AG4"/>
    <mergeCell ref="L143:M143"/>
    <mergeCell ref="B545:F545"/>
    <mergeCell ref="B274:H274"/>
    <mergeCell ref="H313:L313"/>
    <mergeCell ref="J67:K67"/>
    <mergeCell ref="J413:S413"/>
    <mergeCell ref="J69:K69"/>
    <mergeCell ref="AB21:AD21"/>
    <mergeCell ref="G355:K355"/>
    <mergeCell ref="P266:Q266"/>
    <mergeCell ref="AB23:AD23"/>
    <mergeCell ref="J396:K396"/>
    <mergeCell ref="J527:K527"/>
    <mergeCell ref="J485:K485"/>
    <mergeCell ref="B320:H320"/>
    <mergeCell ref="K496:M496"/>
    <mergeCell ref="J398:K398"/>
    <mergeCell ref="A41:G41"/>
    <mergeCell ref="AB51:AD51"/>
    <mergeCell ref="A226:I226"/>
    <mergeCell ref="Z10:AA10"/>
    <mergeCell ref="L586:M586"/>
    <mergeCell ref="J238:K238"/>
    <mergeCell ref="J240:K240"/>
    <mergeCell ref="H83:L83"/>
    <mergeCell ref="K82:M82"/>
    <mergeCell ref="B366:H366"/>
    <mergeCell ref="H408:L408"/>
    <mergeCell ref="J108:K108"/>
    <mergeCell ref="Z21:AA21"/>
    <mergeCell ref="J442:K442"/>
    <mergeCell ref="A271:G271"/>
    <mergeCell ref="Z29:AA29"/>
    <mergeCell ref="M362:S362"/>
    <mergeCell ref="Z23:AA23"/>
    <mergeCell ref="M178:S178"/>
    <mergeCell ref="AB6:AD6"/>
    <mergeCell ref="B54:D54"/>
    <mergeCell ref="Z24:AA24"/>
    <mergeCell ref="J470:K470"/>
    <mergeCell ref="B468:D468"/>
    <mergeCell ref="O545:Q545"/>
    <mergeCell ref="J42:S42"/>
    <mergeCell ref="P174:Q174"/>
    <mergeCell ref="K312:M312"/>
    <mergeCell ref="AB17:AD17"/>
    <mergeCell ref="J411:S411"/>
    <mergeCell ref="M83:S83"/>
    <mergeCell ref="J490:K490"/>
    <mergeCell ref="AB19:AD19"/>
    <mergeCell ref="A594:I594"/>
    <mergeCell ref="M408:S408"/>
    <mergeCell ref="B412:H412"/>
    <mergeCell ref="B100:D100"/>
    <mergeCell ref="A317:G317"/>
    <mergeCell ref="AB20:AD20"/>
    <mergeCell ref="J483:K483"/>
    <mergeCell ref="AB14:AD14"/>
    <mergeCell ref="L539:M539"/>
    <mergeCell ref="A595:I595"/>
    <mergeCell ref="I85:K85"/>
    <mergeCell ref="A463:C463"/>
    <mergeCell ref="AH29:AJ29"/>
    <mergeCell ref="A312:G312"/>
    <mergeCell ref="J209:K209"/>
    <mergeCell ref="J211:K211"/>
    <mergeCell ref="J536:K536"/>
    <mergeCell ref="H589:L589"/>
    <mergeCell ref="J560:K560"/>
    <mergeCell ref="P3:Q3"/>
    <mergeCell ref="J106:K106"/>
    <mergeCell ref="J562:K562"/>
    <mergeCell ref="A552:I552"/>
    <mergeCell ref="P5:Q5"/>
    <mergeCell ref="J433:K433"/>
    <mergeCell ref="H221:L221"/>
    <mergeCell ref="J435:K435"/>
    <mergeCell ref="J134:S134"/>
    <mergeCell ref="L504:Q504"/>
    <mergeCell ref="F3:G3"/>
    <mergeCell ref="K220:M220"/>
    <mergeCell ref="P450:Q450"/>
    <mergeCell ref="J580:K580"/>
    <mergeCell ref="M500:S500"/>
    <mergeCell ref="A134:I134"/>
    <mergeCell ref="B504:H504"/>
    <mergeCell ref="M589:S589"/>
    <mergeCell ref="J283:K283"/>
    <mergeCell ref="J581:K581"/>
    <mergeCell ref="M501:S501"/>
    <mergeCell ref="L34:M34"/>
    <mergeCell ref="J577:K577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2" horizontalDpi="360" verticalDpi="360"/>
  <rowBreaks count="27" manualBreakCount="27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6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  <brk id="1242" min="0" max="34" man="1"/>
  </rowBreaks>
  <colBreaks count="1" manualBreakCount="1">
    <brk id="19" min="0" max="1199" man="1"/>
  </col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98"/>
  <sheetViews>
    <sheetView view="pageBreakPreview" zoomScaleNormal="115" zoomScaleSheetLayoutView="100" workbookViewId="0">
      <selection activeCell="H9" sqref="H9"/>
    </sheetView>
  </sheetViews>
  <sheetFormatPr baseColWidth="8" defaultColWidth="9.109375" defaultRowHeight="18"/>
  <cols>
    <col width="3.33203125" customWidth="1" style="7" min="1" max="1"/>
    <col width="5" customWidth="1" style="7" min="2" max="2"/>
    <col width="3.6640625" customWidth="1" style="7" min="3" max="3"/>
    <col width="12.44140625" customWidth="1" style="7" min="4" max="4"/>
    <col width="6.5546875" customWidth="1" style="7" min="5" max="5"/>
    <col width="3.44140625" customWidth="1" style="7" min="6" max="6"/>
    <col width="11.88671875" customWidth="1" style="7" min="7" max="7"/>
    <col width="10.44140625" customWidth="1" style="7" min="8" max="8"/>
    <col width="16.109375" customWidth="1" style="322" min="9" max="9"/>
    <col width="4.44140625" customWidth="1" style="7" min="10" max="10"/>
    <col width="6.5546875" customWidth="1" style="7" min="11" max="11"/>
    <col width="6.6640625" customWidth="1" style="7" min="12" max="13"/>
    <col width="8.6640625" customWidth="1" style="7" min="14" max="14"/>
    <col width="9.5546875" customWidth="1" style="7" min="15" max="15"/>
    <col width="6.6640625" customWidth="1" style="7" min="16" max="17"/>
    <col width="8.6640625" customWidth="1" style="7" min="18" max="18"/>
    <col width="9.6640625" customWidth="1" style="7" min="19" max="19"/>
    <col width="8.6640625" customWidth="1" style="7" min="20" max="20"/>
    <col width="3" customWidth="1" style="7" min="21" max="21"/>
    <col width="8.6640625" customWidth="1" style="7" min="22" max="22"/>
    <col width="3" customWidth="1" style="7" min="23" max="23"/>
    <col width="8.6640625" customWidth="1" style="7" min="24" max="24"/>
    <col width="3" customWidth="1" style="7" min="25" max="25"/>
    <col width="8.6640625" customWidth="1" style="7" min="26" max="26"/>
    <col width="3" customWidth="1" style="7" min="27" max="27"/>
    <col width="9.109375" customWidth="1" style="7" min="28" max="16384"/>
  </cols>
  <sheetData>
    <row r="1" ht="22.2" customHeight="1" s="375">
      <c r="A1" s="365" t="inlineStr">
        <is>
          <t>ใบเบิกจ่ายเงินค่าสอนพิเศษและค่าสอนเกินภาระงานสอนในสถานศึกษา</t>
        </is>
      </c>
      <c r="Z1" s="382" t="n"/>
      <c r="AA1" s="382" t="n"/>
    </row>
    <row r="2" ht="22.2" customHeight="1" s="375">
      <c r="A2" s="365" t="inlineStr">
        <is>
          <t>แผนกวิชาช่างยนต์</t>
        </is>
      </c>
      <c r="Y2" s="374" t="n"/>
      <c r="Z2" s="412" t="inlineStr">
        <is>
          <t>ลำดับ</t>
        </is>
      </c>
      <c r="AA2" s="432" t="n"/>
      <c r="AB2" s="409" t="inlineStr">
        <is>
          <t>รายชื่อ</t>
        </is>
      </c>
      <c r="AC2" s="518" t="n"/>
      <c r="AD2" s="518" t="n"/>
      <c r="AE2" s="412" t="inlineStr">
        <is>
          <t>รวม ชม./ ส.</t>
        </is>
      </c>
      <c r="AF2" s="518" t="n"/>
      <c r="AG2" s="432" t="n"/>
      <c r="AH2" s="412" t="inlineStr">
        <is>
          <t>รวม ค่าสอน / สัปดาห์</t>
        </is>
      </c>
      <c r="AI2" s="518" t="n"/>
      <c r="AJ2" s="432" t="n"/>
    </row>
    <row r="3" ht="22.2" customHeight="1" s="375">
      <c r="A3" s="366" t="inlineStr">
        <is>
          <t xml:space="preserve">    ระหว่างวันที่</t>
        </is>
      </c>
      <c r="D3" s="365" t="n">
        <v>12</v>
      </c>
      <c r="E3" s="365" t="inlineStr">
        <is>
          <t xml:space="preserve">   เดือน  </t>
        </is>
      </c>
      <c r="F3" s="365" t="inlineStr">
        <is>
          <t>ตุลาคม</t>
        </is>
      </c>
      <c r="H3" s="365" t="inlineStr">
        <is>
          <t>พ.ศ. 2569</t>
        </is>
      </c>
      <c r="I3" s="365" t="inlineStr">
        <is>
          <t xml:space="preserve">     ถึง วันที่</t>
        </is>
      </c>
      <c r="J3" s="365" t="n">
        <v>16</v>
      </c>
      <c r="K3" s="365" t="inlineStr">
        <is>
          <t xml:space="preserve">   เดือน </t>
        </is>
      </c>
      <c r="L3" s="365" t="inlineStr">
        <is>
          <t>ตุลาคม</t>
        </is>
      </c>
      <c r="N3" s="365" t="inlineStr">
        <is>
          <t>พ.ศ. 2569</t>
        </is>
      </c>
      <c r="P3" s="365" t="n"/>
      <c r="R3" s="365" t="n"/>
      <c r="Y3" s="374" t="n"/>
      <c r="Z3" s="519" t="n">
        <v>1</v>
      </c>
      <c r="AA3" s="135" t="n"/>
      <c r="AB3" s="520" t="inlineStr">
        <is>
          <t>นายชำนาญ แก้วจงประสิทธิ์</t>
        </is>
      </c>
      <c r="AD3" s="374" t="n"/>
      <c r="AE3" s="362" t="n">
        <v>12</v>
      </c>
      <c r="AF3" s="153" t="n"/>
      <c r="AG3" s="135" t="n"/>
      <c r="AH3" s="521" t="n">
        <v>2400</v>
      </c>
      <c r="AI3" s="153" t="n"/>
      <c r="AJ3" s="135" t="n"/>
    </row>
    <row r="4" ht="22.2" customHeight="1" s="375">
      <c r="G4" s="51" t="inlineStr">
        <is>
          <t>ü</t>
        </is>
      </c>
      <c r="H4" s="351" t="inlineStr">
        <is>
          <t>ครู</t>
        </is>
      </c>
      <c r="I4" s="322" t="inlineStr">
        <is>
          <t>หน้าที่พิเศษ</t>
        </is>
      </c>
      <c r="J4" s="380" t="inlineStr">
        <is>
          <t>หัวหน้าแผนกวิชาช่างยนต์</t>
        </is>
      </c>
      <c r="K4" s="522" t="n"/>
      <c r="L4" s="522" t="n"/>
      <c r="M4" s="522" t="n"/>
      <c r="N4" s="522" t="n"/>
      <c r="Y4" s="374" t="n"/>
      <c r="Z4" s="523" t="n">
        <v>2</v>
      </c>
      <c r="AA4" s="374" t="n"/>
      <c r="AB4" s="390" t="inlineStr">
        <is>
          <t>นายวัชรัศนิ์ ไชยศาสตร์</t>
        </is>
      </c>
      <c r="AE4" s="334" t="n">
        <v>12</v>
      </c>
      <c r="AG4" s="374" t="n"/>
      <c r="AH4" s="333" t="n">
        <v>2400</v>
      </c>
      <c r="AJ4" s="374" t="n"/>
    </row>
    <row r="5" ht="22.2" customHeight="1" s="375">
      <c r="A5" s="24" t="inlineStr">
        <is>
          <t>ที่</t>
        </is>
      </c>
      <c r="B5" s="24" t="inlineStr">
        <is>
          <t>ชื่อ-สกุล</t>
        </is>
      </c>
      <c r="C5" s="153" t="n"/>
      <c r="D5" s="135" t="n"/>
      <c r="E5" s="15" t="inlineStr">
        <is>
          <t>ตำแหน่ง</t>
        </is>
      </c>
      <c r="F5" s="16" t="inlineStr">
        <is>
          <t>ระยะเวลาที่สอน</t>
        </is>
      </c>
      <c r="G5" s="432" t="n"/>
      <c r="H5" s="16" t="inlineStr">
        <is>
          <t>รหัสวิชา</t>
        </is>
      </c>
      <c r="I5" s="362" t="inlineStr">
        <is>
          <t>ชั้น,แผนก,ห้อง</t>
        </is>
      </c>
      <c r="J5" s="16" t="inlineStr">
        <is>
          <t>เวลาสอน</t>
        </is>
      </c>
      <c r="K5" s="135" t="n"/>
      <c r="L5" s="16" t="inlineStr">
        <is>
          <t>ปวช.(คาบ)</t>
        </is>
      </c>
      <c r="M5" s="432" t="n"/>
      <c r="N5" s="354" t="inlineStr">
        <is>
          <t>เงิน</t>
        </is>
      </c>
      <c r="O5" s="362" t="inlineStr">
        <is>
          <t>ยอดเงิน</t>
        </is>
      </c>
      <c r="P5" s="524" t="inlineStr">
        <is>
          <t>ปวส.(คาบ)</t>
        </is>
      </c>
      <c r="Q5" s="432" t="n"/>
      <c r="R5" s="354" t="inlineStr">
        <is>
          <t>เงิน</t>
        </is>
      </c>
      <c r="S5" s="362" t="inlineStr">
        <is>
          <t>ยอดเงิน</t>
        </is>
      </c>
      <c r="V5" s="390" t="n"/>
      <c r="Y5" s="374" t="n"/>
      <c r="Z5" s="523" t="n">
        <v>3</v>
      </c>
      <c r="AA5" s="374" t="n"/>
      <c r="AB5" s="390" t="inlineStr">
        <is>
          <t>นายไพรัช น้อยแสง</t>
        </is>
      </c>
      <c r="AE5" s="334" t="n">
        <v>12</v>
      </c>
      <c r="AG5" s="374" t="n"/>
      <c r="AH5" s="333" t="n">
        <v>2400</v>
      </c>
      <c r="AJ5" s="374" t="n"/>
    </row>
    <row r="6" ht="22.2" customHeight="1" s="375">
      <c r="A6" s="52" t="n"/>
      <c r="B6" s="8" t="n"/>
      <c r="C6" s="9" t="n"/>
      <c r="D6" s="13" t="n"/>
      <c r="E6" s="10" t="n"/>
      <c r="F6" s="336" t="inlineStr">
        <is>
          <t>ส.</t>
        </is>
      </c>
      <c r="G6" s="336" t="inlineStr">
        <is>
          <t>วดป.</t>
        </is>
      </c>
      <c r="H6" s="525" t="n"/>
      <c r="I6" s="336" t="n"/>
      <c r="J6" s="526" t="n"/>
      <c r="K6" s="527" t="n"/>
      <c r="L6" s="336" t="inlineStr">
        <is>
          <t>ใน</t>
        </is>
      </c>
      <c r="M6" s="336" t="inlineStr">
        <is>
          <t>นอก</t>
        </is>
      </c>
      <c r="N6" s="336" t="inlineStr">
        <is>
          <t>ต่อ ชม.</t>
        </is>
      </c>
      <c r="O6" s="336" t="inlineStr">
        <is>
          <t>(บาท)</t>
        </is>
      </c>
      <c r="P6" s="52" t="inlineStr">
        <is>
          <t>ใน</t>
        </is>
      </c>
      <c r="Q6" s="52" t="inlineStr">
        <is>
          <t>นอก</t>
        </is>
      </c>
      <c r="R6" s="336" t="inlineStr">
        <is>
          <t>ต่อ ชม.</t>
        </is>
      </c>
      <c r="S6" s="336" t="inlineStr">
        <is>
          <t>(บาท)</t>
        </is>
      </c>
      <c r="Y6" s="374" t="n"/>
      <c r="Z6" s="523" t="n">
        <v>4</v>
      </c>
      <c r="AA6" s="374" t="n"/>
      <c r="AB6" s="392" t="inlineStr">
        <is>
          <t>นายจักรกฤษณ์ ปัญญา</t>
        </is>
      </c>
      <c r="AD6" s="374" t="n"/>
      <c r="AE6" s="334" t="n">
        <v>12</v>
      </c>
      <c r="AG6" s="374" t="n"/>
      <c r="AH6" s="333" t="n">
        <v>2400</v>
      </c>
      <c r="AJ6" s="374" t="n"/>
    </row>
    <row r="7" ht="22.2" customHeight="1" s="375">
      <c r="A7" s="362" t="n">
        <v>1</v>
      </c>
      <c r="B7" s="528">
        <f>AB3</f>
        <v/>
      </c>
      <c r="C7" s="153" t="n"/>
      <c r="D7" s="135" t="n"/>
      <c r="E7" s="362" t="inlineStr">
        <is>
          <t>ครู</t>
        </is>
      </c>
      <c r="F7" s="5" t="n">
        <v>5</v>
      </c>
      <c r="G7" s="529" t="inlineStr">
        <is>
          <t>จันทร์</t>
        </is>
      </c>
      <c r="H7" s="376" t="inlineStr">
        <is>
          <t>20101-2018</t>
        </is>
      </c>
      <c r="I7" s="376" t="inlineStr">
        <is>
          <t>ชย.3/3 (26)</t>
        </is>
      </c>
      <c r="J7" s="334" t="inlineStr">
        <is>
          <t>17:10 - 21:10</t>
        </is>
      </c>
      <c r="K7" s="374" t="n"/>
      <c r="L7" s="367" t="n">
        <v>4</v>
      </c>
      <c r="M7" s="367" t="inlineStr"/>
      <c r="N7" s="381" t="inlineStr"/>
      <c r="O7" s="354" t="inlineStr"/>
      <c r="P7" s="381" t="inlineStr"/>
      <c r="Q7" s="367" t="inlineStr"/>
      <c r="R7" s="381" t="inlineStr"/>
      <c r="S7" s="354" t="inlineStr"/>
      <c r="T7" t="inlineStr"/>
      <c r="U7" t="inlineStr"/>
      <c r="Y7" s="314" t="n"/>
      <c r="Z7" s="523" t="n">
        <v>5</v>
      </c>
      <c r="AA7" s="374" t="n"/>
      <c r="AB7" s="392" t="inlineStr">
        <is>
          <t>นายพลกฤต น้อยเกิด</t>
        </is>
      </c>
      <c r="AD7" s="374" t="n"/>
      <c r="AE7" s="334" t="n">
        <v>12</v>
      </c>
      <c r="AG7" s="374" t="n"/>
      <c r="AH7" s="333" t="n">
        <v>2400</v>
      </c>
      <c r="AJ7" s="374" t="n"/>
    </row>
    <row r="8" ht="22.2" customHeight="1" s="375">
      <c r="A8" s="3" t="n"/>
      <c r="B8" s="530" t="n"/>
      <c r="D8" s="374" t="n"/>
      <c r="E8" s="334" t="n"/>
      <c r="F8" s="322" t="n"/>
      <c r="G8" s="531" t="inlineStr">
        <is>
          <t>12 ต.ค.69</t>
        </is>
      </c>
      <c r="H8" s="376" t="inlineStr"/>
      <c r="I8" s="376" t="inlineStr"/>
      <c r="J8" s="334" t="inlineStr"/>
      <c r="K8" s="374" t="n"/>
      <c r="L8" s="334" t="inlineStr"/>
      <c r="M8" s="334" t="inlineStr"/>
      <c r="N8" s="334" t="inlineStr"/>
      <c r="O8" s="354" t="inlineStr"/>
      <c r="P8" s="334" t="inlineStr"/>
      <c r="Q8" s="334" t="inlineStr"/>
      <c r="R8" s="334" t="inlineStr"/>
      <c r="S8" s="354" t="inlineStr"/>
      <c r="T8" t="inlineStr"/>
      <c r="U8" t="inlineStr"/>
      <c r="Z8" s="523" t="n">
        <v>6</v>
      </c>
      <c r="AA8" s="374" t="n"/>
      <c r="AB8" s="532" t="inlineStr">
        <is>
          <t>นายพงษ์พัฒน์ พิมพ์ปรุ</t>
        </is>
      </c>
      <c r="AD8" s="374" t="n"/>
      <c r="AE8" s="334" t="n">
        <v>12</v>
      </c>
      <c r="AG8" s="374" t="n"/>
      <c r="AH8" s="333" t="n">
        <v>2400</v>
      </c>
      <c r="AJ8" s="374" t="n"/>
    </row>
    <row r="9" ht="22.2" customHeight="1" s="375">
      <c r="A9" s="3" t="n"/>
      <c r="B9" s="313" t="n"/>
      <c r="D9" s="314" t="n"/>
      <c r="E9" s="314" t="n"/>
      <c r="F9" s="322" t="n"/>
      <c r="G9" s="321" t="inlineStr"/>
      <c r="H9" s="376" t="inlineStr"/>
      <c r="I9" s="376" t="inlineStr"/>
      <c r="J9" s="334" t="inlineStr"/>
      <c r="K9" s="374" t="n"/>
      <c r="L9" s="334" t="inlineStr"/>
      <c r="M9" s="334" t="inlineStr"/>
      <c r="N9" s="334" t="inlineStr"/>
      <c r="O9" s="354" t="inlineStr"/>
      <c r="P9" s="334" t="inlineStr"/>
      <c r="Q9" s="334" t="inlineStr"/>
      <c r="R9" s="334" t="inlineStr"/>
      <c r="S9" s="354" t="inlineStr"/>
      <c r="T9" s="383" t="inlineStr"/>
      <c r="Y9" s="62" t="n"/>
      <c r="Z9" s="523" t="n">
        <v>7</v>
      </c>
      <c r="AA9" s="374" t="n"/>
      <c r="AB9" s="532" t="inlineStr">
        <is>
          <t>นายพงศ์ศิริ ธรรมาวุฒิ</t>
        </is>
      </c>
      <c r="AD9" s="374" t="n"/>
      <c r="AE9" s="334" t="n">
        <v>12</v>
      </c>
      <c r="AG9" s="374" t="n"/>
      <c r="AH9" s="333" t="n">
        <v>2400</v>
      </c>
      <c r="AJ9" s="374" t="n"/>
    </row>
    <row r="10" ht="22.2" customHeight="1" s="375">
      <c r="A10" s="3" t="n"/>
      <c r="B10" s="313" t="n"/>
      <c r="E10" s="3" t="n"/>
      <c r="F10" s="322" t="n"/>
      <c r="G10" s="321" t="inlineStr"/>
      <c r="H10" s="334" t="inlineStr"/>
      <c r="I10" s="334" t="inlineStr"/>
      <c r="J10" s="334" t="inlineStr"/>
      <c r="K10" s="374" t="n"/>
      <c r="L10" s="334" t="inlineStr"/>
      <c r="M10" s="334" t="inlineStr"/>
      <c r="N10" s="334" t="inlineStr"/>
      <c r="O10" s="354" t="inlineStr"/>
      <c r="P10" s="334" t="inlineStr"/>
      <c r="Q10" s="334" t="inlineStr"/>
      <c r="R10" s="334" t="inlineStr"/>
      <c r="S10" s="354" t="inlineStr"/>
      <c r="T10" s="23" t="inlineStr"/>
      <c r="U10" s="23" t="inlineStr"/>
      <c r="V10" s="56" t="n"/>
      <c r="W10" s="23" t="n"/>
      <c r="X10" s="23" t="n"/>
      <c r="Y10" s="63" t="n"/>
      <c r="Z10" s="523" t="n">
        <v>8</v>
      </c>
      <c r="AA10" s="374" t="n"/>
      <c r="AB10" s="520" t="inlineStr">
        <is>
          <t>นายศุภเดช เมืองเงิน</t>
        </is>
      </c>
      <c r="AD10" s="374" t="n"/>
      <c r="AE10" s="334" t="n">
        <v>12</v>
      </c>
      <c r="AG10" s="374" t="n"/>
      <c r="AH10" s="333" t="n">
        <v>2400</v>
      </c>
      <c r="AJ10" s="374" t="n"/>
    </row>
    <row r="11" ht="22.2" customHeight="1" s="375">
      <c r="A11" s="3" t="n"/>
      <c r="D11" s="61" t="n"/>
      <c r="E11" s="3" t="n"/>
      <c r="G11" s="344" t="inlineStr"/>
      <c r="H11" s="336" t="inlineStr"/>
      <c r="I11" s="336" t="inlineStr"/>
      <c r="J11" s="336" t="inlineStr"/>
      <c r="K11" s="527" t="n"/>
      <c r="L11" s="334" t="inlineStr"/>
      <c r="M11" s="334" t="inlineStr"/>
      <c r="N11" s="334" t="inlineStr"/>
      <c r="O11" s="354" t="inlineStr"/>
      <c r="P11" s="334" t="inlineStr"/>
      <c r="Q11" s="334" t="inlineStr"/>
      <c r="R11" s="334" t="inlineStr"/>
      <c r="S11" s="354" t="inlineStr"/>
      <c r="T11" t="inlineStr"/>
      <c r="U11" t="inlineStr"/>
      <c r="W11" s="63" t="n"/>
      <c r="X11" s="63" t="n"/>
      <c r="Y11" s="351" t="n"/>
      <c r="Z11" s="523" t="n">
        <v>9</v>
      </c>
      <c r="AA11" s="374" t="n"/>
      <c r="AB11" s="532" t="inlineStr">
        <is>
          <t>นายณัฐพงศ์ จันทร์แดง</t>
        </is>
      </c>
      <c r="AD11" s="374" t="n"/>
      <c r="AE11" s="334" t="n">
        <v>12</v>
      </c>
      <c r="AG11" s="374" t="n"/>
      <c r="AH11" s="333" t="n">
        <v>2400</v>
      </c>
      <c r="AJ11" s="374" t="n"/>
    </row>
    <row r="12" ht="22.2" customHeight="1" s="375">
      <c r="A12" s="3" t="n"/>
      <c r="E12" s="3" t="n"/>
      <c r="G12" s="533" t="inlineStr">
        <is>
          <t>อังคาร</t>
        </is>
      </c>
      <c r="H12" s="376" t="inlineStr">
        <is>
          <t>20101-2010</t>
        </is>
      </c>
      <c r="I12" s="376" t="inlineStr">
        <is>
          <t>ชย.2/7 (26)</t>
        </is>
      </c>
      <c r="J12" s="381" t="inlineStr">
        <is>
          <t>08:10 - 12:10</t>
        </is>
      </c>
      <c r="K12" s="135" t="n"/>
      <c r="L12" s="381" t="n">
        <v>4</v>
      </c>
      <c r="M12" s="381" t="inlineStr"/>
      <c r="N12" s="381" t="inlineStr"/>
      <c r="O12" s="354" t="inlineStr"/>
      <c r="P12" s="381" t="inlineStr"/>
      <c r="Q12" s="367" t="inlineStr"/>
      <c r="R12" s="381" t="inlineStr"/>
      <c r="S12" s="354" t="inlineStr"/>
      <c r="T12" t="inlineStr"/>
      <c r="U12" t="inlineStr"/>
      <c r="W12" s="62" t="n"/>
      <c r="X12" s="62" t="n"/>
      <c r="Y12" s="62" t="n"/>
      <c r="Z12" s="523" t="n">
        <v>10</v>
      </c>
      <c r="AA12" s="374" t="n"/>
      <c r="AB12" s="390" t="inlineStr">
        <is>
          <t>นายมนตรี ทิมสุข</t>
        </is>
      </c>
      <c r="AE12" s="333" t="n">
        <v>12</v>
      </c>
      <c r="AG12" s="374" t="n"/>
      <c r="AH12" s="333" t="n">
        <v>2400</v>
      </c>
      <c r="AJ12" s="374" t="n"/>
    </row>
    <row r="13" ht="22.2" customHeight="1" s="375">
      <c r="A13" s="3" t="n"/>
      <c r="E13" s="3" t="n"/>
      <c r="G13" s="531" t="inlineStr">
        <is>
          <t>13 ต.ค.69</t>
        </is>
      </c>
      <c r="H13" s="376" t="inlineStr">
        <is>
          <t>20101-2010</t>
        </is>
      </c>
      <c r="I13" s="376" t="inlineStr">
        <is>
          <t>ชย.2/7 (26)</t>
        </is>
      </c>
      <c r="J13" s="334" t="inlineStr">
        <is>
          <t>13:10 - 16:10</t>
        </is>
      </c>
      <c r="K13" s="374" t="n"/>
      <c r="L13" s="334" t="n">
        <v>3</v>
      </c>
      <c r="M13" s="334" t="inlineStr"/>
      <c r="N13" s="334" t="inlineStr"/>
      <c r="O13" s="354" t="inlineStr"/>
      <c r="P13" s="334" t="inlineStr"/>
      <c r="Q13" s="334" t="inlineStr"/>
      <c r="R13" s="334" t="inlineStr"/>
      <c r="S13" s="354" t="inlineStr"/>
      <c r="T13" t="inlineStr"/>
      <c r="U13" t="inlineStr"/>
      <c r="W13" s="62" t="n"/>
      <c r="X13" s="62" t="n"/>
      <c r="Y13" s="62" t="n"/>
      <c r="Z13" s="523" t="n">
        <v>11</v>
      </c>
      <c r="AA13" s="374" t="n"/>
      <c r="AB13" s="390" t="inlineStr">
        <is>
          <t>นางสาวจิราพร พิมเสน</t>
        </is>
      </c>
      <c r="AE13" s="333" t="n">
        <v>12</v>
      </c>
      <c r="AG13" s="374" t="n"/>
      <c r="AH13" s="333" t="n">
        <v>2400</v>
      </c>
      <c r="AJ13" s="374" t="n"/>
    </row>
    <row r="14" ht="22.2" customHeight="1" s="375">
      <c r="A14" s="3" t="n"/>
      <c r="B14" s="313" t="n"/>
      <c r="D14" s="314" t="n"/>
      <c r="E14" s="314" t="n"/>
      <c r="G14" s="334" t="inlineStr"/>
      <c r="H14" s="376" t="inlineStr">
        <is>
          <t>20101-2018</t>
        </is>
      </c>
      <c r="I14" s="376" t="inlineStr">
        <is>
          <t>ชย.3/3 (26)</t>
        </is>
      </c>
      <c r="J14" s="334" t="inlineStr">
        <is>
          <t>17:10 - 20:10</t>
        </is>
      </c>
      <c r="K14" s="374" t="n"/>
      <c r="L14" s="334" t="n">
        <v>3</v>
      </c>
      <c r="M14" s="334" t="inlineStr"/>
      <c r="N14" s="334" t="inlineStr"/>
      <c r="O14" s="354" t="inlineStr"/>
      <c r="P14" s="334" t="inlineStr"/>
      <c r="Q14" s="334" t="inlineStr"/>
      <c r="R14" s="334" t="inlineStr"/>
      <c r="S14" s="354" t="inlineStr"/>
      <c r="T14" t="inlineStr"/>
      <c r="U14" t="inlineStr"/>
      <c r="Y14" s="62" t="n"/>
      <c r="Z14" s="523" t="n">
        <v>12</v>
      </c>
      <c r="AA14" s="374" t="n"/>
      <c r="AB14" s="534" t="inlineStr">
        <is>
          <t>นายสมชาย อุประ</t>
        </is>
      </c>
      <c r="AD14" s="374" t="n"/>
      <c r="AE14" s="333" t="n">
        <v>12</v>
      </c>
      <c r="AG14" s="374" t="n"/>
      <c r="AH14" s="333" t="n">
        <v>2400</v>
      </c>
      <c r="AJ14" s="374" t="n"/>
    </row>
    <row r="15" ht="22.2" customHeight="1" s="375">
      <c r="A15" s="3" t="n"/>
      <c r="E15" s="3" t="n"/>
      <c r="G15" s="54" t="inlineStr"/>
      <c r="H15" s="322" t="inlineStr"/>
      <c r="I15" s="334" t="inlineStr"/>
      <c r="J15" s="334" t="inlineStr"/>
      <c r="K15" s="374" t="n"/>
      <c r="L15" s="334" t="inlineStr"/>
      <c r="M15" s="334" t="inlineStr"/>
      <c r="N15" s="334" t="inlineStr"/>
      <c r="O15" s="354" t="inlineStr"/>
      <c r="P15" s="334" t="inlineStr"/>
      <c r="Q15" s="334" t="inlineStr"/>
      <c r="R15" s="334" t="inlineStr"/>
      <c r="S15" s="354" t="inlineStr"/>
      <c r="T15" t="inlineStr"/>
      <c r="U15" t="inlineStr"/>
      <c r="W15" s="62" t="n"/>
      <c r="X15" s="62" t="n"/>
      <c r="Y15" s="62" t="n"/>
      <c r="Z15" s="523" t="n">
        <v>13</v>
      </c>
      <c r="AA15" s="374" t="n"/>
      <c r="AB15" s="534" t="inlineStr">
        <is>
          <t>นายสถาปนิก คุ้มสะอาด</t>
        </is>
      </c>
      <c r="AD15" s="374" t="n"/>
      <c r="AE15" s="333" t="n">
        <v>12</v>
      </c>
      <c r="AG15" s="374" t="n"/>
      <c r="AH15" s="333" t="n">
        <v>2400</v>
      </c>
      <c r="AJ15" s="374" t="n"/>
    </row>
    <row r="16" ht="22.2" customHeight="1" s="375">
      <c r="A16" s="3" t="n"/>
      <c r="D16" s="7" t="inlineStr">
        <is>
          <t> </t>
        </is>
      </c>
      <c r="E16" s="3" t="n"/>
      <c r="G16" s="55" t="inlineStr"/>
      <c r="H16" s="336" t="inlineStr"/>
      <c r="I16" s="336" t="inlineStr"/>
      <c r="J16" s="336" t="inlineStr"/>
      <c r="K16" s="527" t="n"/>
      <c r="L16" s="334" t="inlineStr"/>
      <c r="M16" s="334" t="inlineStr"/>
      <c r="N16" s="334" t="inlineStr"/>
      <c r="O16" s="354" t="inlineStr"/>
      <c r="P16" s="334" t="inlineStr"/>
      <c r="Q16" s="334" t="inlineStr"/>
      <c r="R16" s="334" t="inlineStr"/>
      <c r="S16" s="354" t="inlineStr"/>
      <c r="T16" t="inlineStr"/>
      <c r="U16" t="inlineStr"/>
      <c r="Y16" s="62" t="n"/>
      <c r="Z16" s="523" t="n"/>
      <c r="AA16" s="374" t="n"/>
      <c r="AB16" s="532" t="n"/>
      <c r="AD16" s="374" t="n"/>
      <c r="AE16" s="333" t="n"/>
      <c r="AG16" s="374" t="n"/>
      <c r="AH16" s="333" t="n"/>
      <c r="AJ16" s="374" t="n"/>
    </row>
    <row r="17" ht="22.2" customHeight="1" s="375">
      <c r="A17" s="3" t="n"/>
      <c r="E17" s="3" t="n"/>
      <c r="G17" s="535" t="inlineStr">
        <is>
          <t>พุธ</t>
        </is>
      </c>
      <c r="H17" s="376" t="inlineStr">
        <is>
          <t>20101-2010</t>
        </is>
      </c>
      <c r="I17" s="376" t="inlineStr">
        <is>
          <t>ชย.2/6 (26)</t>
        </is>
      </c>
      <c r="J17" s="381" t="inlineStr">
        <is>
          <t>08:10 - 12:10</t>
        </is>
      </c>
      <c r="K17" s="135" t="n"/>
      <c r="L17" s="367" t="n">
        <v>2</v>
      </c>
      <c r="M17" s="381" t="n">
        <v>2</v>
      </c>
      <c r="N17" s="381" t="n">
        <v>200</v>
      </c>
      <c r="O17" s="354">
        <f>M17*N17</f>
        <v/>
      </c>
      <c r="P17" s="381" t="inlineStr"/>
      <c r="Q17" s="367" t="inlineStr"/>
      <c r="R17" s="381" t="inlineStr"/>
      <c r="S17" s="354" t="inlineStr"/>
      <c r="T17" t="inlineStr"/>
      <c r="U17" t="inlineStr"/>
      <c r="Y17" s="62" t="n"/>
      <c r="Z17" s="523" t="n"/>
      <c r="AA17" s="374" t="n"/>
      <c r="AB17" s="532" t="n"/>
      <c r="AD17" s="374" t="n"/>
      <c r="AE17" s="333" t="n"/>
      <c r="AG17" s="374" t="n"/>
      <c r="AH17" s="333" t="n"/>
      <c r="AJ17" s="374" t="n"/>
    </row>
    <row r="18" ht="22.2" customHeight="1" s="375">
      <c r="A18" s="3" t="n"/>
      <c r="B18" s="321" t="n"/>
      <c r="C18" s="322" t="n"/>
      <c r="D18" s="322" t="n"/>
      <c r="E18" s="334" t="n"/>
      <c r="G18" s="531" t="inlineStr">
        <is>
          <t>14 ต.ค.69</t>
        </is>
      </c>
      <c r="H18" s="376" t="inlineStr">
        <is>
          <t>20101-2010</t>
        </is>
      </c>
      <c r="I18" s="376" t="inlineStr">
        <is>
          <t>ชย.2/6 (26)</t>
        </is>
      </c>
      <c r="J18" s="334" t="inlineStr">
        <is>
          <t>13:10 - 16:10</t>
        </is>
      </c>
      <c r="K18" s="374" t="n"/>
      <c r="L18" s="334" t="inlineStr"/>
      <c r="M18" s="334" t="n">
        <v>3</v>
      </c>
      <c r="N18" s="334" t="n">
        <v>200</v>
      </c>
      <c r="O18" s="354">
        <f>M18*N18</f>
        <v/>
      </c>
      <c r="P18" s="334" t="inlineStr"/>
      <c r="Q18" s="334" t="inlineStr"/>
      <c r="R18" s="334" t="inlineStr"/>
      <c r="S18" s="354" t="inlineStr"/>
      <c r="T18" t="inlineStr"/>
      <c r="U18" t="inlineStr"/>
      <c r="W18" s="62" t="n"/>
      <c r="X18" s="62" t="n"/>
      <c r="Z18" s="523" t="n"/>
      <c r="AA18" s="374" t="n"/>
      <c r="AB18" s="520" t="n"/>
      <c r="AD18" s="374" t="n"/>
      <c r="AE18" s="333" t="n"/>
      <c r="AG18" s="374" t="n"/>
      <c r="AH18" s="333" t="n"/>
      <c r="AJ18" s="374" t="n"/>
    </row>
    <row r="19" ht="22.2" customHeight="1" s="375">
      <c r="A19" s="3" t="n"/>
      <c r="B19" s="313" t="n"/>
      <c r="D19" s="314" t="n"/>
      <c r="E19" s="314" t="n"/>
      <c r="G19" s="334" t="inlineStr"/>
      <c r="H19" s="376" t="inlineStr"/>
      <c r="I19" s="376" t="inlineStr"/>
      <c r="J19" s="334" t="inlineStr"/>
      <c r="K19" s="374" t="n"/>
      <c r="L19" s="334" t="inlineStr"/>
      <c r="M19" s="334" t="inlineStr"/>
      <c r="N19" s="334" t="inlineStr"/>
      <c r="O19" s="354" t="inlineStr"/>
      <c r="P19" s="334" t="inlineStr"/>
      <c r="Q19" s="334" t="inlineStr"/>
      <c r="R19" s="334" t="inlineStr"/>
      <c r="S19" s="354" t="inlineStr"/>
      <c r="T19" s="383" t="inlineStr"/>
      <c r="Z19" s="523" t="n"/>
      <c r="AA19" s="374" t="n"/>
      <c r="AB19" s="520" t="n"/>
      <c r="AD19" s="374" t="n"/>
      <c r="AE19" s="333" t="n"/>
      <c r="AG19" s="374" t="n"/>
      <c r="AH19" s="333" t="n"/>
      <c r="AJ19" s="374" t="n"/>
    </row>
    <row r="20" ht="22.2" customHeight="1" s="375">
      <c r="A20" s="3" t="n"/>
      <c r="E20" s="3" t="n"/>
      <c r="G20" s="321" t="inlineStr"/>
      <c r="H20" s="321" t="inlineStr"/>
      <c r="I20" s="376" t="inlineStr"/>
      <c r="J20" s="334" t="inlineStr"/>
      <c r="K20" s="374" t="n"/>
      <c r="L20" s="334" t="inlineStr"/>
      <c r="M20" s="334" t="inlineStr"/>
      <c r="N20" s="334" t="inlineStr"/>
      <c r="O20" s="354" t="inlineStr"/>
      <c r="P20" s="334" t="inlineStr"/>
      <c r="Q20" s="334" t="inlineStr"/>
      <c r="R20" s="334" t="inlineStr"/>
      <c r="S20" s="354" t="inlineStr"/>
      <c r="T20" s="23" t="inlineStr"/>
      <c r="U20" s="23" t="inlineStr"/>
      <c r="V20" s="56" t="n"/>
      <c r="W20" s="23" t="n"/>
      <c r="X20" s="23" t="n"/>
      <c r="Y20" s="322" t="n"/>
      <c r="Z20" s="523" t="n"/>
      <c r="AA20" s="374" t="n"/>
      <c r="AB20" s="520" t="n"/>
      <c r="AD20" s="374" t="n"/>
      <c r="AE20" s="333" t="n"/>
      <c r="AG20" s="374" t="n"/>
      <c r="AH20" s="333" t="n"/>
      <c r="AJ20" s="374" t="n"/>
    </row>
    <row r="21" ht="22.2" customHeight="1" s="375">
      <c r="A21" s="3" t="n"/>
      <c r="E21" s="3" t="n"/>
      <c r="G21" s="327" t="inlineStr"/>
      <c r="H21" s="327" t="inlineStr"/>
      <c r="I21" s="336" t="inlineStr"/>
      <c r="J21" s="336" t="inlineStr"/>
      <c r="K21" s="527" t="n"/>
      <c r="L21" s="336" t="inlineStr"/>
      <c r="M21" s="336" t="inlineStr"/>
      <c r="N21" s="336" t="inlineStr"/>
      <c r="O21" s="354" t="inlineStr"/>
      <c r="P21" s="336" t="inlineStr"/>
      <c r="Q21" s="336" t="inlineStr"/>
      <c r="R21" s="336" t="inlineStr"/>
      <c r="S21" s="354" t="inlineStr"/>
      <c r="T21" t="inlineStr"/>
      <c r="U21" t="inlineStr"/>
      <c r="Y21" s="322" t="n"/>
      <c r="Z21" s="523" t="n"/>
      <c r="AA21" s="374" t="n"/>
      <c r="AB21" s="532" t="n"/>
      <c r="AD21" s="374" t="n"/>
      <c r="AE21" s="333" t="n"/>
      <c r="AG21" s="374" t="n"/>
      <c r="AH21" s="333" t="n"/>
      <c r="AJ21" s="374" t="n"/>
    </row>
    <row r="22" ht="22.2" customHeight="1" s="375">
      <c r="A22" s="3" t="n"/>
      <c r="E22" s="3" t="n"/>
      <c r="G22" s="533" t="inlineStr">
        <is>
          <t>พฤหัส</t>
        </is>
      </c>
      <c r="H22" s="376" t="inlineStr">
        <is>
          <t>20101-2010</t>
        </is>
      </c>
      <c r="I22" s="376" t="inlineStr">
        <is>
          <t>ชย.2/5 (26)</t>
        </is>
      </c>
      <c r="J22" s="381" t="inlineStr">
        <is>
          <t>08:10 - 12:10</t>
        </is>
      </c>
      <c r="K22" s="135" t="n"/>
      <c r="L22" s="334" t="inlineStr"/>
      <c r="M22" s="334" t="n">
        <v>4</v>
      </c>
      <c r="N22" s="334" t="n">
        <v>200</v>
      </c>
      <c r="O22" s="354">
        <f>M22*N22</f>
        <v/>
      </c>
      <c r="P22" s="381" t="inlineStr"/>
      <c r="Q22" s="367" t="inlineStr"/>
      <c r="R22" s="381" t="inlineStr"/>
      <c r="S22" s="354" t="inlineStr"/>
      <c r="T22" t="inlineStr"/>
      <c r="U22" t="inlineStr"/>
      <c r="Y22" s="322" t="n"/>
      <c r="Z22" s="523" t="n"/>
      <c r="AA22" s="374" t="n"/>
      <c r="AB22" s="532" t="n"/>
      <c r="AD22" s="374" t="n"/>
      <c r="AE22" s="333" t="n"/>
      <c r="AG22" s="374" t="n"/>
      <c r="AH22" s="333" t="n"/>
      <c r="AJ22" s="374" t="n"/>
    </row>
    <row r="23" ht="22.2" customHeight="1" s="375">
      <c r="A23" s="3" t="n"/>
      <c r="E23" s="3" t="n"/>
      <c r="G23" s="531" t="inlineStr">
        <is>
          <t>15 ต.ค.69</t>
        </is>
      </c>
      <c r="H23" s="376" t="inlineStr">
        <is>
          <t>20101-2010</t>
        </is>
      </c>
      <c r="I23" s="376" t="inlineStr">
        <is>
          <t>ชย.2/5 (26)</t>
        </is>
      </c>
      <c r="J23" s="334" t="inlineStr">
        <is>
          <t>15:10 - 18:10</t>
        </is>
      </c>
      <c r="K23" s="374" t="n"/>
      <c r="L23" s="334" t="inlineStr"/>
      <c r="M23" s="334" t="n">
        <v>3</v>
      </c>
      <c r="N23" s="334" t="n">
        <v>200</v>
      </c>
      <c r="O23" s="354">
        <f>M23*N23</f>
        <v/>
      </c>
      <c r="P23" s="334" t="inlineStr"/>
      <c r="Q23" s="334" t="inlineStr"/>
      <c r="R23" s="334" t="inlineStr"/>
      <c r="S23" s="354" t="inlineStr"/>
      <c r="T23" t="inlineStr"/>
      <c r="U23" s="322" t="inlineStr"/>
      <c r="V23" s="322" t="n"/>
      <c r="W23" s="322" t="n"/>
      <c r="X23" s="322" t="n"/>
      <c r="Y23" s="322" t="n"/>
      <c r="Z23" s="523" t="n"/>
      <c r="AA23" s="374" t="n"/>
      <c r="AB23" s="532" t="n"/>
      <c r="AD23" s="374" t="n"/>
      <c r="AE23" s="333" t="n"/>
      <c r="AG23" s="374" t="n"/>
      <c r="AH23" s="333" t="n"/>
      <c r="AJ23" s="374" t="n"/>
    </row>
    <row r="24" ht="22.2" customHeight="1" s="375">
      <c r="A24" s="3" t="n"/>
      <c r="B24" s="313" t="n"/>
      <c r="E24" s="3" t="n"/>
      <c r="G24" s="334" t="inlineStr"/>
      <c r="H24" s="376" t="inlineStr"/>
      <c r="I24" s="376" t="inlineStr"/>
      <c r="J24" s="334" t="inlineStr"/>
      <c r="K24" s="374" t="n"/>
      <c r="L24" s="376" t="inlineStr"/>
      <c r="M24" s="376" t="inlineStr"/>
      <c r="N24" s="376" t="inlineStr"/>
      <c r="O24" s="354" t="inlineStr"/>
      <c r="P24" s="334" t="inlineStr"/>
      <c r="Q24" s="334" t="inlineStr"/>
      <c r="R24" s="334" t="inlineStr"/>
      <c r="S24" s="354" t="inlineStr"/>
      <c r="T24" t="inlineStr"/>
      <c r="U24" t="inlineStr"/>
      <c r="Y24" s="322" t="n"/>
      <c r="Z24" s="523" t="n"/>
      <c r="AA24" s="374" t="n"/>
      <c r="AB24" s="532" t="n"/>
      <c r="AD24" s="374" t="n"/>
      <c r="AE24" s="333" t="n"/>
      <c r="AG24" s="374" t="n"/>
      <c r="AH24" s="333" t="n"/>
      <c r="AJ24" s="374" t="n"/>
    </row>
    <row r="25" ht="22.2" customHeight="1" s="375">
      <c r="A25" s="3" t="n"/>
      <c r="E25" s="3" t="n"/>
      <c r="G25" s="334" t="inlineStr"/>
      <c r="H25" s="376" t="inlineStr"/>
      <c r="I25" s="376" t="inlineStr"/>
      <c r="J25" s="334" t="inlineStr"/>
      <c r="K25" s="374" t="n"/>
      <c r="L25" s="334" t="inlineStr"/>
      <c r="M25" s="334" t="inlineStr"/>
      <c r="N25" s="334" t="inlineStr"/>
      <c r="O25" s="354" t="inlineStr"/>
      <c r="P25" s="334" t="inlineStr"/>
      <c r="Q25" s="334" t="inlineStr"/>
      <c r="R25" s="334" t="inlineStr"/>
      <c r="S25" s="354" t="inlineStr"/>
      <c r="T25" t="inlineStr"/>
      <c r="U25" t="inlineStr"/>
      <c r="Y25" s="322" t="n"/>
      <c r="Z25" s="523" t="n"/>
      <c r="AA25" s="374" t="n"/>
      <c r="AB25" s="532" t="n"/>
      <c r="AD25" s="374" t="n"/>
      <c r="AE25" s="333" t="n"/>
      <c r="AG25" s="374" t="n"/>
      <c r="AH25" s="333" t="n"/>
      <c r="AJ25" s="374" t="n"/>
    </row>
    <row r="26" ht="22.2" customHeight="1" s="375">
      <c r="A26" s="3" t="n"/>
      <c r="E26" s="3" t="n"/>
      <c r="G26" s="336" t="inlineStr"/>
      <c r="H26" s="328" t="inlineStr"/>
      <c r="I26" s="336" t="inlineStr"/>
      <c r="J26" s="336" t="inlineStr"/>
      <c r="K26" s="527" t="n"/>
      <c r="L26" s="336" t="inlineStr"/>
      <c r="M26" s="336" t="inlineStr"/>
      <c r="N26" s="336" t="inlineStr"/>
      <c r="O26" s="354" t="inlineStr"/>
      <c r="P26" s="336" t="inlineStr"/>
      <c r="Q26" s="336" t="inlineStr"/>
      <c r="R26" s="336" t="inlineStr"/>
      <c r="S26" s="354" t="inlineStr"/>
      <c r="T26" t="inlineStr"/>
      <c r="U26" t="inlineStr"/>
      <c r="Y26" s="322" t="n"/>
      <c r="Z26" s="523" t="n"/>
      <c r="AA26" s="374" t="n"/>
      <c r="AB26" s="536" t="n"/>
      <c r="AD26" s="374" t="n"/>
      <c r="AE26" s="333" t="n"/>
      <c r="AG26" s="374" t="n"/>
      <c r="AH26" s="333" t="n"/>
      <c r="AJ26" s="374" t="n"/>
    </row>
    <row r="27" ht="22.2" customHeight="1" s="375">
      <c r="A27" s="3" t="n"/>
      <c r="E27" s="3" t="n"/>
      <c r="G27" s="533" t="inlineStr">
        <is>
          <t>ศุกร์</t>
        </is>
      </c>
      <c r="H27" s="376" t="inlineStr"/>
      <c r="I27" s="376" t="inlineStr"/>
      <c r="J27" s="381" t="inlineStr"/>
      <c r="K27" s="135" t="n"/>
      <c r="L27" s="334" t="inlineStr"/>
      <c r="M27" s="381" t="inlineStr"/>
      <c r="N27" s="381" t="inlineStr"/>
      <c r="O27" s="354" t="inlineStr"/>
      <c r="P27" s="381" t="inlineStr"/>
      <c r="Q27" s="367" t="inlineStr"/>
      <c r="R27" s="381" t="inlineStr"/>
      <c r="S27" s="354" t="inlineStr"/>
      <c r="T27" t="inlineStr"/>
      <c r="U27" t="inlineStr"/>
      <c r="W27" s="322" t="n"/>
      <c r="X27" s="322" t="n"/>
      <c r="Y27" s="322" t="n"/>
      <c r="Z27" s="334" t="n"/>
      <c r="AA27" s="374" t="n"/>
      <c r="AB27" s="532" t="n"/>
      <c r="AD27" s="374" t="n"/>
      <c r="AE27" s="333" t="n"/>
      <c r="AG27" s="374" t="n"/>
      <c r="AH27" s="333" t="n"/>
      <c r="AJ27" s="374" t="n"/>
    </row>
    <row r="28" ht="22.2" customHeight="1" s="375">
      <c r="A28" s="3" t="n"/>
      <c r="E28" s="3" t="n"/>
      <c r="G28" s="531" t="inlineStr">
        <is>
          <t>16 ต.ค.69</t>
        </is>
      </c>
      <c r="H28" s="376" t="inlineStr"/>
      <c r="I28" s="376" t="inlineStr"/>
      <c r="J28" s="334" t="inlineStr"/>
      <c r="K28" s="374" t="n"/>
      <c r="L28" s="334" t="inlineStr"/>
      <c r="M28" s="334" t="inlineStr"/>
      <c r="N28" s="334" t="inlineStr"/>
      <c r="O28" s="354" t="inlineStr"/>
      <c r="P28" s="334" t="inlineStr"/>
      <c r="Q28" s="334" t="inlineStr"/>
      <c r="R28" s="334" t="inlineStr"/>
      <c r="S28" s="354" t="inlineStr"/>
      <c r="T28" s="322" t="inlineStr"/>
      <c r="U28" s="322" t="inlineStr"/>
      <c r="V28" s="322" t="n"/>
      <c r="W28" s="322" t="n"/>
      <c r="X28" s="322" t="n"/>
      <c r="Y28" s="323" t="n"/>
      <c r="Z28" s="334" t="n"/>
      <c r="AA28" s="374" t="n"/>
      <c r="AB28" s="532" t="n"/>
      <c r="AD28" s="374" t="n"/>
      <c r="AE28" s="333" t="n"/>
      <c r="AG28" s="374" t="n"/>
      <c r="AH28" s="333" t="n"/>
      <c r="AJ28" s="374" t="n"/>
    </row>
    <row r="29" ht="22.2" customHeight="1" s="375">
      <c r="A29" s="3" t="n"/>
      <c r="E29" s="3" t="n"/>
      <c r="G29" s="334" t="inlineStr"/>
      <c r="H29" s="334" t="inlineStr"/>
      <c r="I29" s="334" t="inlineStr"/>
      <c r="J29" s="334" t="inlineStr"/>
      <c r="K29" s="374" t="n"/>
      <c r="L29" s="334" t="inlineStr"/>
      <c r="M29" s="334" t="inlineStr"/>
      <c r="N29" s="334" t="inlineStr"/>
      <c r="O29" s="354" t="inlineStr"/>
      <c r="P29" s="334" t="inlineStr"/>
      <c r="Q29" s="334" t="inlineStr"/>
      <c r="R29" s="334" t="inlineStr"/>
      <c r="S29" s="354" t="inlineStr"/>
      <c r="T29" s="6" t="inlineStr"/>
      <c r="U29" s="22" t="inlineStr"/>
      <c r="V29" s="57" t="n"/>
      <c r="W29" s="21" t="n"/>
      <c r="X29" s="21" t="n"/>
      <c r="Y29" s="314" t="n"/>
      <c r="Z29" s="334" t="n"/>
      <c r="AA29" s="374" t="n"/>
      <c r="AB29" s="390" t="n"/>
      <c r="AE29" s="333" t="n"/>
      <c r="AG29" s="374" t="n"/>
      <c r="AH29" s="333" t="n"/>
      <c r="AJ29" s="374" t="n"/>
    </row>
    <row r="30" ht="22.2" customHeight="1" s="375">
      <c r="A30" s="3" t="n"/>
      <c r="E30" s="3" t="n"/>
      <c r="G30" s="334" t="inlineStr"/>
      <c r="H30" s="334" t="inlineStr"/>
      <c r="I30" s="334" t="inlineStr"/>
      <c r="J30" s="334" t="inlineStr"/>
      <c r="K30" s="374" t="n"/>
      <c r="L30" s="334" t="inlineStr"/>
      <c r="M30" s="334" t="inlineStr"/>
      <c r="N30" s="334" t="inlineStr"/>
      <c r="O30" s="354" t="inlineStr"/>
      <c r="P30" s="334" t="inlineStr"/>
      <c r="Q30" s="334" t="inlineStr"/>
      <c r="R30" s="334" t="inlineStr"/>
      <c r="S30" s="354" t="inlineStr"/>
      <c r="T30" s="21" t="inlineStr"/>
      <c r="U30" s="22" t="inlineStr"/>
      <c r="V30" s="57" t="n"/>
      <c r="W30" s="21" t="n"/>
      <c r="X30" s="21" t="n"/>
      <c r="Y30" s="314" t="n"/>
      <c r="Z30" s="336" t="n"/>
      <c r="AA30" s="527" t="n"/>
      <c r="AB30" s="537" t="n"/>
      <c r="AC30" s="522" t="n"/>
      <c r="AD30" s="527" t="n"/>
      <c r="AE30" s="333" t="n"/>
      <c r="AG30" s="374" t="n"/>
      <c r="AH30" s="335" t="n"/>
      <c r="AI30" s="522" t="n"/>
      <c r="AJ30" s="527" t="n"/>
    </row>
    <row r="31" ht="22.2" customHeight="1" s="375">
      <c r="A31" s="3" t="n"/>
      <c r="E31" s="3" t="n"/>
      <c r="F31" s="3" t="n"/>
      <c r="G31" s="329" t="inlineStr"/>
      <c r="H31" s="328" t="inlineStr"/>
      <c r="I31" s="336" t="inlineStr"/>
      <c r="J31" s="336" t="inlineStr"/>
      <c r="K31" s="527" t="n"/>
      <c r="L31" s="336" t="inlineStr"/>
      <c r="M31" s="336" t="inlineStr"/>
      <c r="N31" s="336" t="inlineStr"/>
      <c r="O31" s="354" t="inlineStr"/>
      <c r="P31" s="336" t="inlineStr"/>
      <c r="Q31" s="336" t="inlineStr"/>
      <c r="R31" s="336" t="inlineStr"/>
      <c r="S31" s="354" t="inlineStr"/>
      <c r="T31" t="inlineStr"/>
      <c r="U31" t="inlineStr"/>
      <c r="AE31" s="153" t="n"/>
      <c r="AF31" s="153" t="n"/>
      <c r="AG31" s="153" t="n"/>
    </row>
    <row r="32" ht="22.2" customHeight="1" s="375">
      <c r="A32" s="3" t="n"/>
      <c r="E32" s="3" t="n"/>
      <c r="F32" s="3" t="n"/>
      <c r="G32" s="16" t="inlineStr">
        <is>
          <t>รวมขั่วโมงที่สอนแยก ภาระงาน/ เกินภาระงาน</t>
        </is>
      </c>
      <c r="H32" s="518" t="n"/>
      <c r="I32" s="518" t="n"/>
      <c r="J32" s="518" t="n"/>
      <c r="K32" s="432" t="n"/>
      <c r="L32" s="16">
        <f>SUM(L7:L31)</f>
        <v/>
      </c>
      <c r="M32" s="16">
        <f>SUM(M7:M31)</f>
        <v/>
      </c>
      <c r="N32" s="16" t="n"/>
      <c r="O32" s="16" t="n"/>
      <c r="P32" s="16">
        <f>SUM(P7:P31)</f>
        <v/>
      </c>
      <c r="Q32" s="16">
        <f>SUM(Q7:Q31)</f>
        <v/>
      </c>
      <c r="R32" s="349" t="n"/>
      <c r="S32" s="16" t="n"/>
    </row>
    <row r="33" ht="22.2" customHeight="1" s="375">
      <c r="A33" s="3" t="n"/>
      <c r="E33" s="3" t="n"/>
      <c r="F33" s="3" t="n"/>
      <c r="G33" s="16" t="inlineStr">
        <is>
          <t>รวมจำนวนชั่วโมงสอนคาบต่อสับดาห์</t>
        </is>
      </c>
      <c r="H33" s="518" t="n"/>
      <c r="I33" s="518" t="n"/>
      <c r="J33" s="518" t="n"/>
      <c r="K33" s="432" t="n"/>
      <c r="L33" s="16">
        <f>L32+M32</f>
        <v/>
      </c>
      <c r="M33" s="432" t="n"/>
      <c r="N33" s="16" t="n"/>
      <c r="O33" s="348" t="n"/>
      <c r="P33" s="16">
        <f>P32+Q32</f>
        <v/>
      </c>
      <c r="Q33" s="432" t="n"/>
      <c r="R33" s="329" t="n"/>
      <c r="S33" s="336" t="n"/>
    </row>
    <row r="34" ht="22.2" customHeight="1" s="375">
      <c r="A34" s="3" t="n"/>
      <c r="E34" s="3" t="n"/>
      <c r="F34" s="3" t="n"/>
      <c r="G34" s="16" t="inlineStr">
        <is>
          <t>จำนวนชั่วโมงสอนตามภาระงานสอน</t>
        </is>
      </c>
      <c r="H34" s="518" t="n"/>
      <c r="I34" s="518" t="n"/>
      <c r="J34" s="518" t="n"/>
      <c r="K34" s="432" t="n"/>
      <c r="L34" s="131" t="n">
        <v>12</v>
      </c>
      <c r="M34" s="432" t="n"/>
      <c r="N34" s="131" t="n"/>
      <c r="O34" s="130" t="n"/>
      <c r="P34" s="131" t="n">
        <v>0</v>
      </c>
      <c r="Q34" s="432" t="n"/>
      <c r="R34" s="322" t="n"/>
      <c r="S34" s="334" t="n"/>
    </row>
    <row r="35" ht="22.2" customHeight="1" s="375" thickBot="1">
      <c r="A35" s="3" t="n"/>
      <c r="E35" s="3" t="n"/>
      <c r="F35" s="14" t="n"/>
      <c r="G35" s="16" t="inlineStr">
        <is>
          <t>จำนวนชั่วโมงบิกเกินภาระงานสอน/ค่าสอน</t>
        </is>
      </c>
      <c r="H35" s="518" t="n"/>
      <c r="I35" s="518" t="n"/>
      <c r="J35" s="518" t="n"/>
      <c r="K35" s="432" t="n"/>
      <c r="L35" s="17" t="n">
        <v>0</v>
      </c>
      <c r="M35" s="17">
        <f>SUM(M7:M31)</f>
        <v/>
      </c>
      <c r="N35" s="17" t="n"/>
      <c r="O35" s="17">
        <f>SUM(O7:O31)</f>
        <v/>
      </c>
      <c r="P35" s="17" t="n">
        <v>0</v>
      </c>
      <c r="Q35" s="17">
        <f>SUM(Q7:Q31)</f>
        <v/>
      </c>
      <c r="R35" s="18" t="n"/>
      <c r="S35" s="17">
        <f>SUM(S7:S31)</f>
        <v/>
      </c>
    </row>
    <row r="36" ht="22.2" customHeight="1" s="375" thickTop="1">
      <c r="A36" s="337" t="inlineStr">
        <is>
          <t>รวมจำนวนหน่วยชั่วโมงที่ขอเบิกค่าสอน ….</t>
        </is>
      </c>
      <c r="B36" s="518" t="n"/>
      <c r="C36" s="518" t="n"/>
      <c r="D36" s="518" t="n"/>
      <c r="E36" s="518" t="n"/>
      <c r="F36" s="518" t="n"/>
      <c r="G36" s="518" t="n"/>
      <c r="H36" s="348">
        <f>M35+Q35</f>
        <v/>
      </c>
      <c r="I36" s="348" t="inlineStr">
        <is>
          <t>….ชั่วโมง</t>
        </is>
      </c>
      <c r="J36" s="348" t="n"/>
      <c r="K36" s="328" t="inlineStr">
        <is>
          <t>ยอดเงินรวม</t>
        </is>
      </c>
      <c r="L36" s="522" t="n"/>
      <c r="M36" s="522" t="n"/>
      <c r="N36" s="328" t="n"/>
      <c r="O36" s="328" t="n"/>
      <c r="P36" s="339">
        <f>S35+O35</f>
        <v/>
      </c>
      <c r="Q36" s="538" t="n"/>
      <c r="R36" s="20" t="n"/>
      <c r="S36" s="19" t="inlineStr">
        <is>
          <t>..บาท</t>
        </is>
      </c>
    </row>
    <row r="37" ht="22.2" customHeight="1" s="375">
      <c r="A37" s="154" t="inlineStr">
        <is>
          <t>ผู้ขอเบิก</t>
        </is>
      </c>
      <c r="B37" s="153" t="n"/>
      <c r="C37" s="153" t="n"/>
      <c r="D37" s="153" t="n"/>
      <c r="E37" s="153" t="n"/>
      <c r="F37" s="153" t="n"/>
      <c r="G37" s="135" t="n"/>
      <c r="H37" s="154" t="inlineStr">
        <is>
          <t>ผู้รับรอง</t>
        </is>
      </c>
      <c r="I37" s="153" t="n"/>
      <c r="J37" s="153" t="n"/>
      <c r="K37" s="153" t="n"/>
      <c r="L37" s="135" t="n"/>
      <c r="M37" s="154" t="inlineStr">
        <is>
          <t>ผู้ตรวจ</t>
        </is>
      </c>
      <c r="N37" s="153" t="n"/>
      <c r="O37" s="153" t="n"/>
      <c r="P37" s="153" t="n"/>
      <c r="Q37" s="153" t="n"/>
      <c r="R37" s="153" t="n"/>
      <c r="S37" s="135" t="n"/>
    </row>
    <row r="38" ht="22.2" customHeight="1" s="375">
      <c r="A38" s="334" t="inlineStr">
        <is>
          <t>ลงชื่อ……………………………………………</t>
        </is>
      </c>
      <c r="G38" s="374" t="n"/>
      <c r="H38" s="334" t="inlineStr">
        <is>
          <t>ลงชื่อ……………………………………………</t>
        </is>
      </c>
      <c r="L38" s="374" t="n"/>
      <c r="M38" s="334" t="inlineStr">
        <is>
          <t>ลงชื่อ……………………………………………</t>
        </is>
      </c>
      <c r="S38" s="374" t="n"/>
    </row>
    <row r="39" ht="22.2" customHeight="1" s="375">
      <c r="A39" s="11" t="inlineStr">
        <is>
          <t>(</t>
        </is>
      </c>
      <c r="B39" s="324">
        <f>B7</f>
        <v/>
      </c>
      <c r="G39" s="326" t="inlineStr">
        <is>
          <t>)</t>
        </is>
      </c>
      <c r="H39" s="324" t="inlineStr">
        <is>
          <t>(</t>
        </is>
      </c>
      <c r="I39" s="340" t="inlineStr">
        <is>
          <t xml:space="preserve">  นายชำนาญ แก้วจงประสิทธิ์</t>
        </is>
      </c>
      <c r="L39" s="12" t="inlineStr">
        <is>
          <t>)</t>
        </is>
      </c>
      <c r="M39" s="53" t="inlineStr">
        <is>
          <t>(</t>
        </is>
      </c>
      <c r="N39" s="53" t="n"/>
      <c r="O39" s="324" t="inlineStr">
        <is>
          <t>นายทศวรรษ  คำสม</t>
        </is>
      </c>
      <c r="R39" s="25" t="n"/>
      <c r="S39" s="326" t="inlineStr">
        <is>
          <t>)</t>
        </is>
      </c>
    </row>
    <row r="40" ht="22.2" customHeight="1" s="375">
      <c r="A40" s="54" t="inlineStr">
        <is>
          <t>ตำแหน่ง  ครู</t>
        </is>
      </c>
      <c r="G40" s="374" t="n"/>
      <c r="H40" s="54" t="inlineStr">
        <is>
          <t>ตำแหน่ง หัวหน้าแผนก</t>
        </is>
      </c>
      <c r="L40" s="374" t="n"/>
      <c r="M40" s="54" t="inlineStr">
        <is>
          <t>ตำแหน่ง   ผู้ตรวจสอบ</t>
        </is>
      </c>
      <c r="S40" s="374" t="n"/>
    </row>
    <row r="41" ht="22.2" customHeight="1" s="375">
      <c r="A41" s="55" t="inlineStr">
        <is>
          <t>วันที่ 19 เดือน ตุลาคม  พ.ศ.2569</t>
        </is>
      </c>
      <c r="B41" s="522" t="n"/>
      <c r="C41" s="522" t="n"/>
      <c r="D41" s="522" t="n"/>
      <c r="E41" s="522" t="n"/>
      <c r="F41" s="522" t="n"/>
      <c r="G41" s="527" t="n"/>
      <c r="H41" s="54">
        <f>A41</f>
        <v/>
      </c>
      <c r="L41" s="374" t="n"/>
      <c r="M41" s="55">
        <f>A41</f>
        <v/>
      </c>
      <c r="N41" s="522" t="n"/>
      <c r="O41" s="522" t="n"/>
      <c r="P41" s="522" t="n"/>
      <c r="Q41" s="522" t="n"/>
      <c r="R41" s="522" t="n"/>
      <c r="S41" s="527" t="n"/>
    </row>
    <row r="42" ht="22.2" customHeight="1" s="375">
      <c r="A42" s="154" t="inlineStr">
        <is>
          <t>ผู้ตรวจ</t>
        </is>
      </c>
      <c r="B42" s="153" t="n"/>
      <c r="C42" s="153" t="n"/>
      <c r="D42" s="153" t="n"/>
      <c r="E42" s="153" t="n"/>
      <c r="F42" s="153" t="n"/>
      <c r="G42" s="153" t="n"/>
      <c r="H42" s="153" t="n"/>
      <c r="I42" s="135" t="n"/>
      <c r="J42" s="154" t="inlineStr">
        <is>
          <t>ผู้เห็นชอบ</t>
        </is>
      </c>
      <c r="K42" s="153" t="n"/>
      <c r="L42" s="153" t="n"/>
      <c r="M42" s="153" t="n"/>
      <c r="N42" s="153" t="n"/>
      <c r="O42" s="153" t="n"/>
      <c r="P42" s="153" t="n"/>
      <c r="Q42" s="153" t="n"/>
      <c r="R42" s="153" t="n"/>
      <c r="S42" s="135" t="n"/>
    </row>
    <row r="43" ht="22.2" customHeight="1" s="375">
      <c r="A43" s="334" t="inlineStr">
        <is>
          <t>ลงชื่อ……………………………………………</t>
        </is>
      </c>
      <c r="I43" s="374" t="n"/>
      <c r="J43" s="334" t="inlineStr">
        <is>
          <t>ลงชื่อ……………………………………………</t>
        </is>
      </c>
      <c r="S43" s="374" t="n"/>
    </row>
    <row r="44" ht="22.2" customHeight="1" s="375">
      <c r="A44" s="11" t="n"/>
      <c r="B44" s="324" t="inlineStr">
        <is>
          <t xml:space="preserve">                     (นายศิวรักษ์ บุญประเสริฐ)</t>
        </is>
      </c>
      <c r="I44" s="326" t="n"/>
      <c r="J44" s="25" t="n"/>
      <c r="K44" s="25" t="n"/>
      <c r="L44" s="324" t="inlineStr">
        <is>
          <t xml:space="preserve">            (นายฉัตรชัย งาหอม)</t>
        </is>
      </c>
      <c r="R44" s="25" t="n"/>
      <c r="S44" s="12" t="n"/>
    </row>
    <row r="45" ht="22.2" customHeight="1" s="375">
      <c r="A45" s="54" t="inlineStr">
        <is>
          <t>ตำแหน่งครู  หัวหน้างานพัฒนาหลักสูตร ฯ</t>
        </is>
      </c>
      <c r="I45" s="374" t="n"/>
      <c r="J45" s="54" t="inlineStr">
        <is>
          <t>ตำแหน่ง  รองผู้อำนวยการฝ่ายวิชาการ</t>
        </is>
      </c>
      <c r="S45" s="374" t="n"/>
    </row>
    <row r="46" ht="22.2" customHeight="1" s="375">
      <c r="A46" s="336" t="inlineStr">
        <is>
          <t>วันที่.......เดือน..........................พ.ศ..............</t>
        </is>
      </c>
      <c r="B46" s="522" t="n"/>
      <c r="C46" s="522" t="n"/>
      <c r="D46" s="522" t="n"/>
      <c r="E46" s="522" t="n"/>
      <c r="F46" s="522" t="n"/>
      <c r="G46" s="522" t="n"/>
      <c r="H46" s="522" t="n"/>
      <c r="I46" s="527" t="n"/>
      <c r="J46" s="336" t="inlineStr">
        <is>
          <t>วันที่.......เดือน..........................พ.ศ..............</t>
        </is>
      </c>
      <c r="K46" s="522" t="n"/>
      <c r="L46" s="522" t="n"/>
      <c r="M46" s="522" t="n"/>
      <c r="N46" s="522" t="n"/>
      <c r="O46" s="522" t="n"/>
      <c r="P46" s="522" t="n"/>
      <c r="Q46" s="522" t="n"/>
      <c r="R46" s="522" t="n"/>
      <c r="S46" s="527" t="n"/>
    </row>
    <row r="47" ht="22.2" customHeight="1" s="375">
      <c r="A47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48" ht="22.2" customHeight="1" s="375">
      <c r="A48" s="365" t="inlineStr">
        <is>
          <t>แผนกวิชาช่างยนต์</t>
        </is>
      </c>
      <c r="AB48" s="389" t="n"/>
    </row>
    <row r="49" ht="22.2" customHeight="1" s="375">
      <c r="A49" s="366" t="inlineStr">
        <is>
          <t xml:space="preserve">    ระหว่างวันที่</t>
        </is>
      </c>
      <c r="D49" s="365">
        <f>D3</f>
        <v/>
      </c>
      <c r="E49" s="365" t="inlineStr">
        <is>
          <t xml:space="preserve">   เดือน  </t>
        </is>
      </c>
      <c r="F49" s="365">
        <f>F3</f>
        <v/>
      </c>
      <c r="H49" s="365">
        <f>H3</f>
        <v/>
      </c>
      <c r="I49" s="365" t="inlineStr">
        <is>
          <t xml:space="preserve">     ถึง วันที่</t>
        </is>
      </c>
      <c r="J49" s="365">
        <f>J3</f>
        <v/>
      </c>
      <c r="K49" s="365" t="inlineStr">
        <is>
          <t xml:space="preserve">   เดือน </t>
        </is>
      </c>
      <c r="L49" s="365">
        <f>L3</f>
        <v/>
      </c>
      <c r="N49" s="365">
        <f>N3</f>
        <v/>
      </c>
      <c r="P49" s="365" t="n"/>
      <c r="R49" s="365" t="n"/>
      <c r="AB49" s="389" t="n"/>
    </row>
    <row r="50" ht="22.2" customHeight="1" s="375">
      <c r="G50" s="51" t="inlineStr">
        <is>
          <t>ü</t>
        </is>
      </c>
      <c r="H50" s="351" t="inlineStr">
        <is>
          <t>ครู</t>
        </is>
      </c>
      <c r="I50" s="322" t="inlineStr">
        <is>
          <t>หน้าที่พิเศษ</t>
        </is>
      </c>
      <c r="J50" s="382" t="inlineStr">
        <is>
          <t>หัวงานทวิภาคี</t>
        </is>
      </c>
      <c r="K50" s="522" t="n"/>
      <c r="L50" s="522" t="n"/>
      <c r="M50" s="522" t="n"/>
      <c r="N50" s="522" t="n"/>
      <c r="O50" s="522" t="n"/>
      <c r="P50" s="522" t="n"/>
      <c r="AB50" s="388" t="n"/>
    </row>
    <row r="51" ht="22.2" customHeight="1" s="375">
      <c r="A51" s="24" t="inlineStr">
        <is>
          <t>ที่</t>
        </is>
      </c>
      <c r="B51" s="24" t="inlineStr">
        <is>
          <t>ชื่อ-สกุล</t>
        </is>
      </c>
      <c r="C51" s="153" t="n"/>
      <c r="D51" s="135" t="n"/>
      <c r="E51" s="15" t="inlineStr">
        <is>
          <t>ตำแหน่ง</t>
        </is>
      </c>
      <c r="F51" s="16" t="inlineStr">
        <is>
          <t>ระยะเวลาที่สอน</t>
        </is>
      </c>
      <c r="G51" s="432" t="n"/>
      <c r="H51" s="16" t="inlineStr">
        <is>
          <t>รหัสวิชา</t>
        </is>
      </c>
      <c r="I51" s="362" t="inlineStr">
        <is>
          <t>ชั้น,แผนก,ห้อง</t>
        </is>
      </c>
      <c r="J51" s="16" t="inlineStr">
        <is>
          <t>เวลาสอน</t>
        </is>
      </c>
      <c r="K51" s="135" t="n"/>
      <c r="L51" s="16" t="inlineStr">
        <is>
          <t>ปวช.(คาบ)</t>
        </is>
      </c>
      <c r="M51" s="432" t="n"/>
      <c r="N51" s="362" t="inlineStr">
        <is>
          <t>เงิน</t>
        </is>
      </c>
      <c r="O51" s="362" t="inlineStr">
        <is>
          <t>ยอดเงิน</t>
        </is>
      </c>
      <c r="P51" s="524" t="inlineStr">
        <is>
          <t>ปวส.(คาบ)</t>
        </is>
      </c>
      <c r="Q51" s="432" t="n"/>
      <c r="R51" s="354" t="inlineStr">
        <is>
          <t>เงิน</t>
        </is>
      </c>
      <c r="S51" s="362" t="inlineStr">
        <is>
          <t>ยอดเงิน</t>
        </is>
      </c>
      <c r="AB51" s="389" t="n"/>
    </row>
    <row r="52" ht="22.2" customHeight="1" s="375">
      <c r="A52" s="52" t="n"/>
      <c r="B52" s="8" t="n"/>
      <c r="C52" s="9" t="n"/>
      <c r="D52" s="13" t="n"/>
      <c r="E52" s="10" t="n"/>
      <c r="F52" s="336" t="inlineStr">
        <is>
          <t>ส.</t>
        </is>
      </c>
      <c r="G52" s="336" t="inlineStr">
        <is>
          <t>วดป.</t>
        </is>
      </c>
      <c r="H52" s="525" t="n"/>
      <c r="I52" s="336" t="n"/>
      <c r="J52" s="526" t="n"/>
      <c r="K52" s="527" t="n"/>
      <c r="L52" s="336" t="inlineStr">
        <is>
          <t>ใน</t>
        </is>
      </c>
      <c r="M52" s="336" t="inlineStr">
        <is>
          <t>นอก</t>
        </is>
      </c>
      <c r="N52" s="336" t="inlineStr">
        <is>
          <t>ต่อ ชม.</t>
        </is>
      </c>
      <c r="O52" s="336" t="inlineStr">
        <is>
          <t>(บาท)</t>
        </is>
      </c>
      <c r="P52" s="52" t="inlineStr">
        <is>
          <t>ใน</t>
        </is>
      </c>
      <c r="Q52" s="52" t="inlineStr">
        <is>
          <t>นอก</t>
        </is>
      </c>
      <c r="R52" s="336" t="inlineStr">
        <is>
          <t>ต่อ ชม.</t>
        </is>
      </c>
      <c r="S52" s="336" t="inlineStr">
        <is>
          <t>(บาท)</t>
        </is>
      </c>
    </row>
    <row r="53" ht="22.2" customHeight="1" s="375">
      <c r="A53" s="362" t="n">
        <v>2</v>
      </c>
      <c r="B53" s="528">
        <f>AB4</f>
        <v/>
      </c>
      <c r="C53" s="153" t="n"/>
      <c r="D53" s="135" t="n"/>
      <c r="E53" s="362" t="inlineStr">
        <is>
          <t>ครู</t>
        </is>
      </c>
      <c r="F53" s="5" t="n">
        <v>5</v>
      </c>
      <c r="G53" s="529" t="inlineStr">
        <is>
          <t>จันทร์</t>
        </is>
      </c>
      <c r="H53" s="381" t="inlineStr">
        <is>
          <t>20100-1006</t>
        </is>
      </c>
      <c r="I53" s="376" t="inlineStr">
        <is>
          <t>ชย.1/6 (26)</t>
        </is>
      </c>
      <c r="J53" s="381" t="inlineStr">
        <is>
          <t>08:10 - 12:10</t>
        </is>
      </c>
      <c r="K53" s="135" t="n"/>
      <c r="L53" s="367" t="n">
        <v>4</v>
      </c>
      <c r="M53" s="381" t="inlineStr"/>
      <c r="N53" s="381" t="inlineStr"/>
      <c r="O53" s="354" t="inlineStr"/>
      <c r="P53" s="381" t="inlineStr"/>
      <c r="Q53" s="367" t="inlineStr"/>
      <c r="R53" s="381" t="inlineStr"/>
      <c r="S53" s="354" t="inlineStr"/>
      <c r="T53" t="inlineStr"/>
      <c r="U53" t="inlineStr"/>
    </row>
    <row r="54" ht="22.2" customHeight="1" s="375">
      <c r="A54" s="3" t="n"/>
      <c r="B54" s="530" t="n"/>
      <c r="D54" s="374" t="n"/>
      <c r="E54" s="334" t="n"/>
      <c r="F54" s="322" t="n"/>
      <c r="G54" s="535" t="inlineStr">
        <is>
          <t>12 ต.ค.69</t>
        </is>
      </c>
      <c r="H54" s="376" t="inlineStr">
        <is>
          <t>20101-2008</t>
        </is>
      </c>
      <c r="I54" s="376" t="inlineStr">
        <is>
          <t>ชย.2/2 (26)</t>
        </is>
      </c>
      <c r="J54" s="334" t="inlineStr">
        <is>
          <t>13:10 - 17:10</t>
        </is>
      </c>
      <c r="K54" s="374" t="n"/>
      <c r="L54" s="323" t="n">
        <v>4</v>
      </c>
      <c r="M54" s="334" t="inlineStr"/>
      <c r="N54" s="334" t="inlineStr"/>
      <c r="O54" s="354" t="inlineStr"/>
      <c r="P54" s="334" t="inlineStr"/>
      <c r="Q54" s="334" t="inlineStr"/>
      <c r="R54" s="376" t="inlineStr"/>
      <c r="S54" s="354" t="inlineStr"/>
      <c r="T54" t="inlineStr"/>
      <c r="U54" t="inlineStr"/>
    </row>
    <row r="55" ht="22.2" customHeight="1" s="375">
      <c r="A55" s="3" t="n"/>
      <c r="B55" s="313" t="n"/>
      <c r="D55" s="314" t="n"/>
      <c r="E55" s="314" t="n"/>
      <c r="F55" s="322" t="n"/>
      <c r="G55" s="321" t="inlineStr"/>
      <c r="H55" s="334" t="inlineStr"/>
      <c r="I55" s="376" t="inlineStr"/>
      <c r="J55" s="376" t="inlineStr"/>
      <c r="K55" s="374" t="n"/>
      <c r="L55" s="334" t="inlineStr"/>
      <c r="M55" s="334" t="inlineStr"/>
      <c r="N55" s="334" t="inlineStr"/>
      <c r="O55" s="354" t="inlineStr"/>
      <c r="P55" s="334" t="inlineStr"/>
      <c r="Q55" s="334" t="inlineStr"/>
      <c r="R55" s="334" t="inlineStr"/>
      <c r="S55" s="354" t="inlineStr"/>
      <c r="T55" t="inlineStr"/>
      <c r="U55" t="inlineStr"/>
    </row>
    <row r="56" ht="22.2" customHeight="1" s="375">
      <c r="A56" s="3" t="n"/>
      <c r="B56" s="313" t="n"/>
      <c r="E56" s="3" t="n"/>
      <c r="F56" s="322" t="n"/>
      <c r="G56" s="321" t="inlineStr"/>
      <c r="H56" s="1" t="inlineStr"/>
      <c r="I56" s="1" t="inlineStr"/>
      <c r="J56" s="334" t="inlineStr"/>
      <c r="K56" s="374" t="n"/>
      <c r="L56" s="334" t="inlineStr"/>
      <c r="M56" s="334" t="inlineStr"/>
      <c r="N56" s="334" t="inlineStr"/>
      <c r="O56" s="354" t="inlineStr"/>
      <c r="P56" s="334" t="inlineStr"/>
      <c r="Q56" s="334" t="inlineStr"/>
      <c r="R56" s="334" t="inlineStr"/>
      <c r="S56" s="354" t="inlineStr"/>
      <c r="T56" t="inlineStr"/>
      <c r="U56" t="inlineStr"/>
      <c r="Y56" s="62" t="n"/>
      <c r="Z56" s="62" t="n"/>
      <c r="AA56" s="62" t="n"/>
      <c r="AB56" s="62" t="n"/>
    </row>
    <row r="57" ht="22.2" customHeight="1" s="375">
      <c r="A57" s="3" t="n"/>
      <c r="E57" s="3" t="n"/>
      <c r="G57" s="344" t="inlineStr"/>
      <c r="H57" s="336" t="inlineStr"/>
      <c r="I57" s="336" t="inlineStr"/>
      <c r="J57" s="336" t="inlineStr"/>
      <c r="K57" s="527" t="n"/>
      <c r="L57" s="334" t="inlineStr"/>
      <c r="M57" s="334" t="inlineStr"/>
      <c r="N57" s="334" t="inlineStr"/>
      <c r="O57" s="354" t="inlineStr"/>
      <c r="P57" s="334" t="inlineStr"/>
      <c r="Q57" s="334" t="inlineStr"/>
      <c r="R57" s="334" t="inlineStr"/>
      <c r="S57" s="354" t="inlineStr"/>
      <c r="T57" t="inlineStr"/>
      <c r="U57" t="inlineStr"/>
      <c r="Y57" s="63" t="n"/>
      <c r="Z57" s="63" t="n"/>
      <c r="AA57" s="63" t="n"/>
      <c r="AB57" s="63" t="n"/>
    </row>
    <row r="58" ht="22.2" customHeight="1" s="375">
      <c r="A58" s="3" t="n"/>
      <c r="E58" s="3" t="n"/>
      <c r="G58" s="533" t="inlineStr">
        <is>
          <t>อังคาร</t>
        </is>
      </c>
      <c r="H58" s="381" t="inlineStr">
        <is>
          <t>20100-1006</t>
        </is>
      </c>
      <c r="I58" s="376" t="inlineStr">
        <is>
          <t>ชย.1/8 (26)</t>
        </is>
      </c>
      <c r="J58" s="381" t="inlineStr">
        <is>
          <t>08:10 - 12:10</t>
        </is>
      </c>
      <c r="K58" s="135" t="n"/>
      <c r="L58" s="367" t="n">
        <v>4</v>
      </c>
      <c r="M58" s="381" t="inlineStr"/>
      <c r="N58" s="381" t="inlineStr"/>
      <c r="O58" s="354" t="inlineStr"/>
      <c r="P58" s="381" t="inlineStr"/>
      <c r="Q58" s="367" t="inlineStr"/>
      <c r="R58" s="381" t="inlineStr"/>
      <c r="S58" s="354" t="inlineStr"/>
      <c r="T58" t="inlineStr"/>
      <c r="U58" t="inlineStr"/>
      <c r="W58" s="63" t="n"/>
      <c r="X58" s="63" t="n"/>
      <c r="Y58" s="351" t="n"/>
      <c r="Z58" s="63" t="n"/>
      <c r="AA58" s="351" t="n"/>
      <c r="AB58" s="63" t="n"/>
    </row>
    <row r="59" ht="22.2" customHeight="1" s="375">
      <c r="A59" s="3" t="n"/>
      <c r="E59" s="3" t="n"/>
      <c r="G59" s="535" t="inlineStr">
        <is>
          <t>13 ต.ค.69</t>
        </is>
      </c>
      <c r="H59" s="376" t="inlineStr"/>
      <c r="I59" s="376" t="inlineStr"/>
      <c r="J59" s="334" t="inlineStr"/>
      <c r="K59" s="374" t="n"/>
      <c r="L59" s="334" t="inlineStr"/>
      <c r="M59" s="334" t="inlineStr"/>
      <c r="N59" s="334" t="inlineStr"/>
      <c r="O59" s="354" t="inlineStr"/>
      <c r="P59" s="334" t="inlineStr"/>
      <c r="Q59" s="334" t="inlineStr"/>
      <c r="R59" s="376" t="inlineStr"/>
      <c r="S59" s="354" t="inlineStr"/>
      <c r="T59" t="inlineStr"/>
      <c r="U59" t="inlineStr"/>
      <c r="W59" s="62" t="n"/>
      <c r="X59" s="62" t="n"/>
      <c r="Y59" s="62" t="n"/>
      <c r="Z59" s="63" t="n"/>
      <c r="AA59" s="64" t="n"/>
      <c r="AB59" s="63" t="n"/>
    </row>
    <row r="60" ht="22.2" customHeight="1" s="375">
      <c r="A60" s="3" t="n"/>
      <c r="B60" s="313" t="n"/>
      <c r="D60" s="314" t="n"/>
      <c r="E60" s="314" t="n"/>
      <c r="G60" s="334" t="inlineStr"/>
      <c r="H60" s="376" t="inlineStr"/>
      <c r="I60" s="376" t="inlineStr"/>
      <c r="J60" s="334" t="inlineStr"/>
      <c r="K60" s="374" t="n"/>
      <c r="L60" s="334" t="inlineStr"/>
      <c r="M60" s="334" t="inlineStr"/>
      <c r="N60" s="334" t="inlineStr"/>
      <c r="O60" s="354" t="inlineStr"/>
      <c r="P60" s="334" t="inlineStr"/>
      <c r="Q60" s="334" t="inlineStr"/>
      <c r="R60" s="334" t="inlineStr"/>
      <c r="S60" s="354" t="inlineStr"/>
      <c r="T60" t="inlineStr"/>
      <c r="U60" t="inlineStr"/>
      <c r="W60" s="62" t="n"/>
      <c r="X60" s="62" t="n"/>
      <c r="Y60" s="62" t="n"/>
      <c r="Z60" s="63" t="n"/>
      <c r="AA60" s="64" t="n"/>
      <c r="AB60" s="63" t="n"/>
    </row>
    <row r="61" ht="22.2" customHeight="1" s="375">
      <c r="A61" s="3" t="n"/>
      <c r="E61" s="3" t="n"/>
      <c r="G61" s="54" t="inlineStr"/>
      <c r="H61" s="322" t="inlineStr"/>
      <c r="I61" s="334" t="inlineStr"/>
      <c r="J61" s="334" t="inlineStr"/>
      <c r="K61" s="374" t="n"/>
      <c r="L61" s="334" t="inlineStr"/>
      <c r="M61" s="334" t="inlineStr"/>
      <c r="N61" s="334" t="inlineStr"/>
      <c r="O61" s="354" t="inlineStr"/>
      <c r="P61" s="334" t="inlineStr"/>
      <c r="Q61" s="334" t="inlineStr"/>
      <c r="R61" s="334" t="inlineStr"/>
      <c r="S61" s="354" t="inlineStr"/>
      <c r="T61" s="6" t="inlineStr"/>
      <c r="U61" s="22" t="inlineStr"/>
      <c r="V61" s="57" t="n"/>
      <c r="W61" s="21" t="n"/>
      <c r="X61" s="21" t="n"/>
      <c r="Y61" s="62" t="n"/>
      <c r="Z61" s="63" t="n"/>
      <c r="AA61" s="64" t="n"/>
      <c r="AB61" s="63" t="n"/>
    </row>
    <row r="62" ht="22.2" customHeight="1" s="375">
      <c r="A62" s="3" t="n"/>
      <c r="D62" s="7" t="inlineStr">
        <is>
          <t> </t>
        </is>
      </c>
      <c r="E62" s="3" t="n"/>
      <c r="G62" s="55" t="inlineStr"/>
      <c r="H62" s="327" t="inlineStr"/>
      <c r="I62" s="336" t="inlineStr"/>
      <c r="J62" s="336" t="inlineStr"/>
      <c r="K62" s="527" t="n"/>
      <c r="L62" s="334" t="inlineStr"/>
      <c r="M62" s="334" t="inlineStr"/>
      <c r="N62" s="334" t="inlineStr"/>
      <c r="O62" s="354" t="inlineStr"/>
      <c r="P62" s="334" t="inlineStr"/>
      <c r="Q62" s="334" t="inlineStr"/>
      <c r="R62" s="334" t="inlineStr"/>
      <c r="S62" s="354" t="inlineStr"/>
      <c r="T62" s="21" t="inlineStr"/>
      <c r="U62" s="22" t="inlineStr"/>
      <c r="V62" s="57" t="n"/>
      <c r="W62" s="21" t="n"/>
      <c r="X62" s="21" t="n"/>
      <c r="Y62" s="62" t="n"/>
      <c r="Z62" s="62" t="n"/>
      <c r="AA62" s="62" t="n"/>
      <c r="AB62" s="62" t="n"/>
    </row>
    <row r="63" ht="22.2" customHeight="1" s="375">
      <c r="A63" s="3" t="n"/>
      <c r="D63" s="374" t="n"/>
      <c r="E63" s="251" t="n"/>
      <c r="G63" s="539" t="inlineStr">
        <is>
          <t>พุธ</t>
        </is>
      </c>
      <c r="H63" s="381" t="inlineStr">
        <is>
          <t>20101-2011</t>
        </is>
      </c>
      <c r="I63" s="376" t="inlineStr">
        <is>
          <t>ชย.2/7 (26)</t>
        </is>
      </c>
      <c r="J63" s="381" t="inlineStr">
        <is>
          <t>08:10 - 12:10</t>
        </is>
      </c>
      <c r="K63" s="135" t="n"/>
      <c r="L63" s="381" t="n">
        <v>4</v>
      </c>
      <c r="M63" s="381" t="inlineStr"/>
      <c r="N63" s="381" t="inlineStr"/>
      <c r="O63" s="354" t="inlineStr"/>
      <c r="P63" s="381" t="inlineStr"/>
      <c r="Q63" s="381" t="inlineStr"/>
      <c r="R63" s="381" t="inlineStr"/>
      <c r="S63" s="354" t="inlineStr"/>
      <c r="T63" t="inlineStr"/>
      <c r="U63" t="inlineStr"/>
      <c r="Y63" s="62" t="n"/>
      <c r="Z63" s="62" t="n"/>
      <c r="AA63" s="62" t="n"/>
      <c r="AB63" s="62" t="n"/>
    </row>
    <row r="64" ht="22.2" customHeight="1" s="375">
      <c r="A64" s="3" t="n"/>
      <c r="B64" s="321" t="n"/>
      <c r="C64" s="322" t="n"/>
      <c r="D64" s="322" t="n"/>
      <c r="E64" s="334" t="n"/>
      <c r="G64" s="533" t="inlineStr">
        <is>
          <t>14 ต.ค.69</t>
        </is>
      </c>
      <c r="H64" s="376" t="inlineStr">
        <is>
          <t>20101-2011</t>
        </is>
      </c>
      <c r="I64" s="376" t="inlineStr">
        <is>
          <t>ชย.2/7 (26)</t>
        </is>
      </c>
      <c r="J64" s="334" t="inlineStr">
        <is>
          <t>13:10 - 16:10</t>
        </is>
      </c>
      <c r="K64" s="374" t="n"/>
      <c r="L64" s="334" t="inlineStr"/>
      <c r="M64" s="334" t="n">
        <v>3</v>
      </c>
      <c r="N64" s="334" t="n">
        <v>200</v>
      </c>
      <c r="O64" s="354">
        <f>M64*N64</f>
        <v/>
      </c>
      <c r="P64" s="334" t="inlineStr"/>
      <c r="Q64" s="334" t="inlineStr"/>
      <c r="R64" s="334" t="inlineStr"/>
      <c r="S64" s="354" t="inlineStr"/>
      <c r="T64" t="inlineStr"/>
      <c r="U64" t="inlineStr"/>
      <c r="Y64" s="62" t="n"/>
      <c r="Z64" s="62" t="n"/>
      <c r="AA64" s="62" t="n"/>
      <c r="AB64" s="62" t="n"/>
    </row>
    <row r="65" ht="22.2" customHeight="1" s="375">
      <c r="A65" s="3" t="n"/>
      <c r="B65" s="313" t="n"/>
      <c r="D65" s="314" t="n"/>
      <c r="E65" s="314" t="n"/>
      <c r="G65" s="334" t="inlineStr"/>
      <c r="H65" s="376" t="inlineStr"/>
      <c r="I65" s="376" t="inlineStr"/>
      <c r="J65" s="334" t="inlineStr"/>
      <c r="K65" s="374" t="n"/>
      <c r="L65" s="334" t="inlineStr"/>
      <c r="M65" s="334" t="inlineStr"/>
      <c r="N65" s="334" t="inlineStr"/>
      <c r="O65" s="354" t="inlineStr"/>
      <c r="P65" s="334" t="inlineStr"/>
      <c r="Q65" s="334" t="inlineStr"/>
      <c r="R65" s="334" t="inlineStr"/>
      <c r="S65" s="354" t="inlineStr"/>
      <c r="T65" t="inlineStr"/>
      <c r="U65" t="inlineStr"/>
      <c r="W65" s="62" t="n"/>
      <c r="X65" s="62" t="n"/>
    </row>
    <row r="66" ht="22.2" customHeight="1" s="375">
      <c r="A66" s="3" t="n"/>
      <c r="E66" s="3" t="n"/>
      <c r="G66" s="321" t="inlineStr"/>
      <c r="H66" s="334" t="inlineStr"/>
      <c r="I66" s="376" t="inlineStr"/>
      <c r="J66" s="334" t="inlineStr"/>
      <c r="K66" s="374" t="n"/>
      <c r="L66" s="334" t="inlineStr"/>
      <c r="M66" s="334" t="inlineStr"/>
      <c r="N66" s="334" t="inlineStr"/>
      <c r="O66" s="354" t="inlineStr"/>
      <c r="P66" s="334" t="inlineStr"/>
      <c r="Q66" s="334" t="inlineStr"/>
      <c r="R66" s="334" t="inlineStr"/>
      <c r="S66" s="354" t="inlineStr"/>
      <c r="T66" t="inlineStr"/>
      <c r="U66" t="inlineStr"/>
      <c r="Z66" s="322" t="n"/>
      <c r="AA66" s="322" t="n"/>
      <c r="AB66" s="322" t="n"/>
    </row>
    <row r="67" ht="22.2" customHeight="1" s="375">
      <c r="A67" s="3" t="n"/>
      <c r="E67" s="3" t="n"/>
      <c r="G67" s="327" t="inlineStr"/>
      <c r="H67" s="336" t="inlineStr"/>
      <c r="I67" s="336" t="inlineStr"/>
      <c r="J67" s="336" t="inlineStr"/>
      <c r="K67" s="527" t="n"/>
      <c r="L67" s="336" t="inlineStr"/>
      <c r="M67" s="336" t="inlineStr"/>
      <c r="N67" s="336" t="inlineStr"/>
      <c r="O67" s="354" t="inlineStr"/>
      <c r="P67" s="336" t="inlineStr"/>
      <c r="Q67" s="336" t="inlineStr"/>
      <c r="R67" s="336" t="inlineStr"/>
      <c r="S67" s="354" t="inlineStr"/>
      <c r="T67" t="inlineStr"/>
      <c r="U67" t="inlineStr"/>
      <c r="Y67" s="322" t="n"/>
      <c r="Z67" s="322" t="n"/>
      <c r="AA67" s="322" t="n"/>
      <c r="AB67" s="322" t="n"/>
    </row>
    <row r="68" ht="22.2" customHeight="1" s="375">
      <c r="A68" s="3" t="n"/>
      <c r="E68" s="3" t="n"/>
      <c r="G68" s="533" t="inlineStr">
        <is>
          <t>พฤหัส</t>
        </is>
      </c>
      <c r="H68" s="381" t="inlineStr">
        <is>
          <t>20000-2008</t>
        </is>
      </c>
      <c r="I68" s="376" t="inlineStr">
        <is>
          <t>ชย.ทวิ 3/9 (26)</t>
        </is>
      </c>
      <c r="J68" s="381" t="inlineStr">
        <is>
          <t>13:10 - 15:10</t>
        </is>
      </c>
      <c r="K68" s="135" t="n"/>
      <c r="L68" s="334" t="n">
        <v>2</v>
      </c>
      <c r="M68" s="334" t="inlineStr"/>
      <c r="N68" s="334" t="inlineStr"/>
      <c r="O68" s="354" t="inlineStr"/>
      <c r="P68" s="334" t="inlineStr"/>
      <c r="Q68" s="362" t="inlineStr"/>
      <c r="R68" s="362" t="inlineStr"/>
      <c r="S68" s="354" t="inlineStr"/>
      <c r="T68" t="inlineStr"/>
      <c r="U68" t="inlineStr"/>
      <c r="Y68" s="322" t="n"/>
      <c r="Z68" s="322" t="n"/>
      <c r="AA68" s="322" t="n"/>
      <c r="AB68" s="322" t="n"/>
    </row>
    <row r="69" ht="22.2" customHeight="1" s="375">
      <c r="A69" s="3" t="n"/>
      <c r="E69" s="3" t="n"/>
      <c r="G69" s="535" t="inlineStr">
        <is>
          <t>15 ต.ค.69</t>
        </is>
      </c>
      <c r="H69" s="376" t="inlineStr">
        <is>
          <t>20101-2050</t>
        </is>
      </c>
      <c r="I69" s="376" t="inlineStr">
        <is>
          <t>ชย.ทวิ 3/9 (26)</t>
        </is>
      </c>
      <c r="J69" s="376" t="inlineStr">
        <is>
          <t>19:10 - 21:10</t>
        </is>
      </c>
      <c r="K69" s="374" t="n"/>
      <c r="L69" s="323" t="inlineStr"/>
      <c r="M69" s="334" t="n">
        <v>2</v>
      </c>
      <c r="N69" s="334" t="n">
        <v>200</v>
      </c>
      <c r="O69" s="354">
        <f>M69*N69</f>
        <v/>
      </c>
      <c r="P69" s="376" t="inlineStr"/>
      <c r="Q69" s="334" t="inlineStr"/>
      <c r="R69" s="334" t="inlineStr"/>
      <c r="S69" s="354" t="inlineStr"/>
      <c r="T69" t="inlineStr"/>
      <c r="U69" s="322" t="inlineStr"/>
      <c r="V69" s="322" t="n"/>
      <c r="X69" s="322" t="n"/>
      <c r="Y69" s="322" t="n"/>
      <c r="Z69" s="322" t="n"/>
    </row>
    <row r="70" ht="22.2" customHeight="1" s="375">
      <c r="A70" s="3" t="n"/>
      <c r="B70" s="313" t="n"/>
      <c r="E70" s="3" t="n"/>
      <c r="G70" s="334" t="inlineStr"/>
      <c r="H70" s="376" t="inlineStr"/>
      <c r="I70" s="376" t="inlineStr"/>
      <c r="J70" s="334" t="inlineStr"/>
      <c r="K70" s="374" t="n"/>
      <c r="L70" s="376" t="inlineStr"/>
      <c r="M70" s="376" t="inlineStr"/>
      <c r="N70" s="376" t="inlineStr"/>
      <c r="O70" s="354" t="inlineStr"/>
      <c r="P70" t="inlineStr"/>
      <c r="Q70" s="376" t="inlineStr"/>
      <c r="R70" s="376" t="inlineStr"/>
      <c r="S70" s="354" t="inlineStr"/>
      <c r="T70" t="inlineStr"/>
      <c r="U70" s="322" t="inlineStr"/>
      <c r="V70" s="322" t="n"/>
      <c r="W70" s="322" t="n"/>
      <c r="X70" s="322" t="n"/>
      <c r="Y70" s="322" t="n"/>
      <c r="Z70" s="322" t="n"/>
    </row>
    <row r="71" ht="22.2" customHeight="1" s="375">
      <c r="A71" s="3" t="n"/>
      <c r="E71" s="3" t="n"/>
      <c r="G71" s="334" t="inlineStr"/>
      <c r="H71" s="334" t="inlineStr"/>
      <c r="I71" s="376" t="inlineStr"/>
      <c r="J71" s="376" t="inlineStr"/>
      <c r="K71" s="374" t="n"/>
      <c r="L71" s="334" t="inlineStr"/>
      <c r="M71" s="334" t="inlineStr"/>
      <c r="N71" s="334" t="inlineStr"/>
      <c r="O71" s="354" t="inlineStr"/>
      <c r="P71" s="376" t="inlineStr"/>
      <c r="Q71" s="334" t="inlineStr"/>
      <c r="R71" s="334" t="inlineStr"/>
      <c r="S71" s="354" t="inlineStr"/>
      <c r="T71" t="inlineStr"/>
      <c r="U71" s="322" t="inlineStr"/>
      <c r="V71" s="322" t="n"/>
      <c r="W71" s="322" t="n"/>
      <c r="X71" s="322" t="n"/>
      <c r="Y71" s="322" t="n"/>
      <c r="Z71" s="322" t="n"/>
    </row>
    <row r="72" ht="22.2" customHeight="1" s="375">
      <c r="A72" s="3" t="n"/>
      <c r="E72" s="3" t="n"/>
      <c r="G72" s="336" t="inlineStr"/>
      <c r="H72" s="336" t="inlineStr"/>
      <c r="I72" s="136" t="inlineStr"/>
      <c r="J72" s="336" t="inlineStr"/>
      <c r="K72" s="527" t="n"/>
      <c r="L72" s="336" t="inlineStr"/>
      <c r="M72" s="336" t="inlineStr"/>
      <c r="N72" s="336" t="inlineStr"/>
      <c r="O72" s="354" t="inlineStr"/>
      <c r="P72" s="334" t="inlineStr"/>
      <c r="Q72" s="336" t="inlineStr"/>
      <c r="R72" s="336" t="inlineStr"/>
      <c r="S72" s="354" t="inlineStr"/>
      <c r="T72" s="322" t="inlineStr"/>
      <c r="U72" s="322" t="inlineStr"/>
      <c r="V72" s="322" t="n"/>
      <c r="W72" s="322" t="n"/>
      <c r="X72" s="322" t="n"/>
      <c r="Y72" s="322" t="n"/>
    </row>
    <row r="73" ht="22.2" customHeight="1" s="375">
      <c r="A73" s="3" t="n"/>
      <c r="B73" s="143" t="n"/>
      <c r="C73" s="144" t="n"/>
      <c r="D73" s="145" t="n"/>
      <c r="E73" s="146" t="n"/>
      <c r="F73" s="145" t="n"/>
      <c r="G73" s="533" t="inlineStr">
        <is>
          <t>ศุกร์</t>
        </is>
      </c>
      <c r="H73" s="381" t="inlineStr">
        <is>
          <t>20101-2017</t>
        </is>
      </c>
      <c r="I73" s="381" t="inlineStr">
        <is>
          <t>ชย.ทวิ 3/9 (26)</t>
        </is>
      </c>
      <c r="J73" s="381" t="inlineStr">
        <is>
          <t>17:10 - 21:10</t>
        </is>
      </c>
      <c r="K73" s="135" t="n"/>
      <c r="L73" s="334" t="inlineStr"/>
      <c r="M73" s="334" t="n">
        <v>4</v>
      </c>
      <c r="N73" s="334" t="n">
        <v>200</v>
      </c>
      <c r="O73" s="354">
        <f>M73*N73</f>
        <v/>
      </c>
      <c r="P73" s="362" t="inlineStr"/>
      <c r="Q73" s="367" t="inlineStr"/>
      <c r="R73" s="381" t="inlineStr"/>
      <c r="S73" s="354" t="inlineStr"/>
      <c r="T73" s="322" t="inlineStr"/>
      <c r="U73" s="322" t="inlineStr"/>
      <c r="V73" s="322" t="n"/>
      <c r="W73" s="322" t="n"/>
      <c r="X73" s="322" t="n"/>
      <c r="Y73" s="322" t="n"/>
    </row>
    <row r="74" ht="22.2" customHeight="1" s="375">
      <c r="A74" s="3" t="n"/>
      <c r="D74" s="314" t="n"/>
      <c r="E74" s="3" t="n"/>
      <c r="G74" s="535" t="inlineStr">
        <is>
          <t>16 ต.ค.69</t>
        </is>
      </c>
      <c r="H74" s="376" t="inlineStr"/>
      <c r="I74" s="376" t="inlineStr"/>
      <c r="J74" s="376" t="inlineStr"/>
      <c r="K74" s="374" t="n"/>
      <c r="L74" s="334" t="inlineStr"/>
      <c r="M74" s="334" t="inlineStr"/>
      <c r="N74" s="334" t="inlineStr"/>
      <c r="O74" s="354" t="inlineStr"/>
      <c r="P74" s="334" t="inlineStr"/>
      <c r="Q74" s="334" t="inlineStr"/>
      <c r="R74" s="334" t="inlineStr"/>
      <c r="S74" s="354" t="inlineStr"/>
      <c r="T74" t="inlineStr"/>
      <c r="U74" t="inlineStr"/>
      <c r="W74" s="322" t="n"/>
      <c r="X74" s="322" t="n"/>
      <c r="Y74" s="322" t="n"/>
    </row>
    <row r="75" ht="22.2" customHeight="1" s="375">
      <c r="A75" s="3" t="n"/>
      <c r="B75" s="143" t="n"/>
      <c r="C75" s="144" t="n"/>
      <c r="D75" s="145" t="n"/>
      <c r="E75" s="146" t="n"/>
      <c r="F75" s="145" t="n"/>
      <c r="G75" s="334" t="inlineStr"/>
      <c r="H75" s="376" t="inlineStr"/>
      <c r="I75" s="376" t="inlineStr"/>
      <c r="J75" s="376" t="inlineStr"/>
      <c r="K75" s="374" t="n"/>
      <c r="L75" s="334" t="inlineStr"/>
      <c r="M75" s="334" t="inlineStr"/>
      <c r="N75" s="334" t="inlineStr"/>
      <c r="O75" s="354" t="inlineStr"/>
      <c r="P75" s="334" t="inlineStr"/>
      <c r="Q75" s="334" t="inlineStr"/>
      <c r="R75" s="334" t="inlineStr"/>
      <c r="S75" s="354" t="inlineStr"/>
      <c r="T75" s="322" t="inlineStr"/>
      <c r="U75" s="322" t="inlineStr"/>
      <c r="V75" s="322" t="n"/>
      <c r="W75" s="322" t="n"/>
      <c r="X75" s="322" t="n"/>
      <c r="Y75" s="322" t="n"/>
    </row>
    <row r="76" ht="22.2" customHeight="1" s="375">
      <c r="A76" s="3" t="n"/>
      <c r="E76" s="3" t="n"/>
      <c r="G76" s="334" t="inlineStr"/>
      <c r="H76" s="334" t="inlineStr"/>
      <c r="I76" s="376" t="inlineStr"/>
      <c r="J76" s="376" t="inlineStr"/>
      <c r="K76" s="374" t="n"/>
      <c r="L76" s="334" t="inlineStr"/>
      <c r="M76" s="334" t="inlineStr"/>
      <c r="N76" s="334" t="inlineStr"/>
      <c r="O76" s="354" t="inlineStr"/>
      <c r="P76" s="334" t="inlineStr"/>
      <c r="Q76" s="334" t="inlineStr"/>
      <c r="R76" s="334" t="inlineStr"/>
      <c r="S76" s="354" t="inlineStr"/>
      <c r="T76" s="383" t="inlineStr"/>
    </row>
    <row r="77" ht="22.2" customHeight="1" s="375">
      <c r="A77" s="3" t="n"/>
      <c r="E77" s="3" t="n"/>
      <c r="F77" s="3" t="n"/>
      <c r="G77" s="329" t="inlineStr"/>
      <c r="H77" s="334" t="inlineStr"/>
      <c r="I77" s="376" t="inlineStr"/>
      <c r="J77" s="334" t="inlineStr"/>
      <c r="K77" s="374" t="n"/>
      <c r="L77" s="336" t="inlineStr"/>
      <c r="M77" s="336" t="inlineStr"/>
      <c r="N77" s="336" t="inlineStr"/>
      <c r="O77" s="354" t="inlineStr"/>
      <c r="P77" s="334" t="inlineStr"/>
      <c r="Q77" s="336" t="inlineStr"/>
      <c r="R77" s="336" t="inlineStr"/>
      <c r="S77" s="354" t="inlineStr"/>
      <c r="T77" s="23" t="inlineStr"/>
      <c r="U77" s="23" t="inlineStr"/>
      <c r="V77" s="56" t="n"/>
      <c r="W77" s="23" t="n"/>
      <c r="X77" s="23" t="n"/>
    </row>
    <row r="78" ht="22.2" customHeight="1" s="375">
      <c r="A78" s="3" t="n"/>
      <c r="E78" s="3" t="n"/>
      <c r="F78" s="3" t="n"/>
      <c r="G78" s="16" t="inlineStr">
        <is>
          <t>รวมขั่วโมงที่สอนแยก ภาระงาน/ เกินภาระงาน</t>
        </is>
      </c>
      <c r="H78" s="518" t="n"/>
      <c r="I78" s="518" t="n"/>
      <c r="J78" s="518" t="n"/>
      <c r="K78" s="432" t="n"/>
      <c r="L78" s="16">
        <f>SUM(L53:L77)</f>
        <v/>
      </c>
      <c r="M78" s="16">
        <f>SUM(M53:M77)</f>
        <v/>
      </c>
      <c r="N78" s="16" t="n"/>
      <c r="O78" s="16" t="n"/>
      <c r="P78" s="16">
        <f>SUM(P53:P77)</f>
        <v/>
      </c>
      <c r="Q78" s="16">
        <f>SUM(Q53:Q77)</f>
        <v/>
      </c>
      <c r="R78" s="349" t="n"/>
      <c r="S78" s="16" t="n"/>
    </row>
    <row r="79" ht="22.2" customHeight="1" s="375">
      <c r="A79" s="3" t="n"/>
      <c r="E79" s="3" t="n"/>
      <c r="F79" s="3" t="n"/>
      <c r="G79" s="16" t="inlineStr">
        <is>
          <t>รวมจำนวนชั่วโมงสอนคาบต่อสับดาห์</t>
        </is>
      </c>
      <c r="H79" s="518" t="n"/>
      <c r="I79" s="518" t="n"/>
      <c r="J79" s="518" t="n"/>
      <c r="K79" s="432" t="n"/>
      <c r="L79" s="16">
        <f>L78+M78</f>
        <v/>
      </c>
      <c r="M79" s="432" t="n"/>
      <c r="N79" s="16" t="n"/>
      <c r="O79" s="348" t="n"/>
      <c r="P79" s="16">
        <f>P78+Q78</f>
        <v/>
      </c>
      <c r="Q79" s="432" t="n"/>
      <c r="R79" s="329" t="n"/>
      <c r="S79" s="336" t="n"/>
    </row>
    <row r="80" ht="22.2" customHeight="1" s="375">
      <c r="A80" s="3" t="n"/>
      <c r="E80" s="3" t="n"/>
      <c r="F80" s="3" t="n"/>
      <c r="G80" s="16" t="inlineStr">
        <is>
          <t>จำนวนชั่วโมงสอนตามภาระงานสอน</t>
        </is>
      </c>
      <c r="H80" s="518" t="n"/>
      <c r="I80" s="518" t="n"/>
      <c r="J80" s="518" t="n"/>
      <c r="K80" s="432" t="n"/>
      <c r="L80" s="16" t="n">
        <v>12</v>
      </c>
      <c r="M80" s="432" t="n"/>
      <c r="N80" s="348" t="n"/>
      <c r="O80" s="16" t="n"/>
      <c r="P80" s="16" t="n">
        <v>0</v>
      </c>
      <c r="Q80" s="432" t="n"/>
      <c r="R80" s="322" t="n"/>
      <c r="S80" s="334" t="n"/>
    </row>
    <row r="81" ht="22.2" customHeight="1" s="375" thickBot="1">
      <c r="A81" s="3" t="n"/>
      <c r="E81" s="3" t="n"/>
      <c r="F81" s="14" t="n"/>
      <c r="G81" s="16" t="inlineStr">
        <is>
          <t>จำนวนชั่วโมงบิกเกินภาระงานสอน/ค่าสอน</t>
        </is>
      </c>
      <c r="H81" s="518" t="n"/>
      <c r="I81" s="518" t="n"/>
      <c r="J81" s="518" t="n"/>
      <c r="K81" s="432" t="n"/>
      <c r="L81" s="17" t="n">
        <v>0</v>
      </c>
      <c r="M81" s="17">
        <f>SUM(M53:M77)</f>
        <v/>
      </c>
      <c r="N81" s="17" t="n"/>
      <c r="O81" s="17">
        <f>SUM(O53:O77)</f>
        <v/>
      </c>
      <c r="P81" s="17" t="n">
        <v>0</v>
      </c>
      <c r="Q81" s="17">
        <f>SUM(Q53:Q77)</f>
        <v/>
      </c>
      <c r="R81" s="18" t="n"/>
      <c r="S81" s="17">
        <f>SUM(S53:S77)</f>
        <v/>
      </c>
    </row>
    <row r="82" ht="22.2" customHeight="1" s="375" thickTop="1">
      <c r="A82" s="337" t="inlineStr">
        <is>
          <t>รวมจำนวนหน่วยชั่วโมงที่ขอเบิกค่าสอน ….</t>
        </is>
      </c>
      <c r="B82" s="518" t="n"/>
      <c r="C82" s="518" t="n"/>
      <c r="D82" s="518" t="n"/>
      <c r="E82" s="518" t="n"/>
      <c r="F82" s="518" t="n"/>
      <c r="G82" s="518" t="n"/>
      <c r="H82" s="348">
        <f>M81+Q81</f>
        <v/>
      </c>
      <c r="I82" s="348" t="inlineStr">
        <is>
          <t>….ชั่วโมง</t>
        </is>
      </c>
      <c r="J82" s="348" t="n"/>
      <c r="K82" s="328" t="inlineStr">
        <is>
          <t>ยอดเงินรวม</t>
        </is>
      </c>
      <c r="L82" s="522" t="n"/>
      <c r="M82" s="522" t="n"/>
      <c r="N82" s="328" t="n"/>
      <c r="O82" s="328" t="n"/>
      <c r="P82" s="339">
        <f>S81+O81</f>
        <v/>
      </c>
      <c r="Q82" s="538" t="n"/>
      <c r="R82" s="20" t="n"/>
      <c r="S82" s="19" t="inlineStr">
        <is>
          <t>..บาท</t>
        </is>
      </c>
    </row>
    <row r="83" ht="22.2" customHeight="1" s="375">
      <c r="A83" s="154" t="inlineStr">
        <is>
          <t>ผู้ขอเบิก</t>
        </is>
      </c>
      <c r="B83" s="153" t="n"/>
      <c r="C83" s="153" t="n"/>
      <c r="D83" s="153" t="n"/>
      <c r="E83" s="153" t="n"/>
      <c r="F83" s="153" t="n"/>
      <c r="G83" s="135" t="n"/>
      <c r="H83" s="154" t="inlineStr">
        <is>
          <t>ผู้รับรอง</t>
        </is>
      </c>
      <c r="I83" s="153" t="n"/>
      <c r="J83" s="153" t="n"/>
      <c r="K83" s="153" t="n"/>
      <c r="L83" s="135" t="n"/>
      <c r="M83" s="154" t="inlineStr">
        <is>
          <t>ผู้ตรวจ</t>
        </is>
      </c>
      <c r="N83" s="153" t="n"/>
      <c r="O83" s="153" t="n"/>
      <c r="P83" s="153" t="n"/>
      <c r="Q83" s="153" t="n"/>
      <c r="R83" s="153" t="n"/>
      <c r="S83" s="135" t="n"/>
      <c r="T83" s="387" t="n"/>
    </row>
    <row r="84" ht="22.2" customHeight="1" s="375">
      <c r="A84" s="334" t="inlineStr">
        <is>
          <t>ลงชื่อ……………………………………………</t>
        </is>
      </c>
      <c r="G84" s="374" t="n"/>
      <c r="H84" s="334" t="inlineStr">
        <is>
          <t>ลงชื่อ……………………………………………</t>
        </is>
      </c>
      <c r="L84" s="374" t="n"/>
      <c r="M84" s="334" t="inlineStr">
        <is>
          <t>ลงชื่อ……………………………………………</t>
        </is>
      </c>
      <c r="S84" s="374" t="n"/>
    </row>
    <row r="85" ht="22.2" customHeight="1" s="375">
      <c r="A85" s="11" t="inlineStr">
        <is>
          <t>(</t>
        </is>
      </c>
      <c r="B85" s="324">
        <f>B53</f>
        <v/>
      </c>
      <c r="G85" s="326" t="inlineStr">
        <is>
          <t>)</t>
        </is>
      </c>
      <c r="H85" s="324" t="inlineStr">
        <is>
          <t>(</t>
        </is>
      </c>
      <c r="I85" s="340">
        <f>I39</f>
        <v/>
      </c>
      <c r="L85" s="12" t="inlineStr">
        <is>
          <t>)</t>
        </is>
      </c>
      <c r="M85" s="53" t="inlineStr">
        <is>
          <t>(</t>
        </is>
      </c>
      <c r="N85" s="53" t="n"/>
      <c r="O85" s="324">
        <f>O39</f>
        <v/>
      </c>
      <c r="R85" s="25" t="n"/>
      <c r="S85" s="326" t="inlineStr">
        <is>
          <t>)</t>
        </is>
      </c>
    </row>
    <row r="86" ht="22.2" customHeight="1" s="375">
      <c r="A86" s="540" t="inlineStr">
        <is>
          <t xml:space="preserve">                         ตำแหน่ง  ครู</t>
        </is>
      </c>
      <c r="G86" s="374" t="n"/>
      <c r="H86" s="54" t="inlineStr">
        <is>
          <t>ตำแหน่ง หัวหน้าแผนก</t>
        </is>
      </c>
      <c r="L86" s="374" t="n"/>
      <c r="M86" s="54" t="inlineStr">
        <is>
          <t>ตำแหน่ง   ผู้ตรวจสอบ</t>
        </is>
      </c>
      <c r="S86" s="374" t="n"/>
    </row>
    <row r="87" ht="22.2" customHeight="1" s="375">
      <c r="A87" s="55" t="inlineStr">
        <is>
          <t>วันที่ 19 เดือน ตุลาคม  พ.ศ.2569</t>
        </is>
      </c>
      <c r="B87" s="522" t="n"/>
      <c r="C87" s="522" t="n"/>
      <c r="D87" s="522" t="n"/>
      <c r="E87" s="522" t="n"/>
      <c r="F87" s="522" t="n"/>
      <c r="G87" s="527" t="n"/>
      <c r="H87" s="54">
        <f>A41</f>
        <v/>
      </c>
      <c r="L87" s="374" t="n"/>
      <c r="M87" s="55">
        <f>A41</f>
        <v/>
      </c>
      <c r="N87" s="522" t="n"/>
      <c r="O87" s="522" t="n"/>
      <c r="P87" s="522" t="n"/>
      <c r="Q87" s="522" t="n"/>
      <c r="R87" s="522" t="n"/>
      <c r="S87" s="527" t="n"/>
    </row>
    <row r="88" ht="22.2" customHeight="1" s="375">
      <c r="A88" s="154" t="inlineStr">
        <is>
          <t>ผู้ตรวจ</t>
        </is>
      </c>
      <c r="B88" s="153" t="n"/>
      <c r="C88" s="153" t="n"/>
      <c r="D88" s="153" t="n"/>
      <c r="E88" s="153" t="n"/>
      <c r="F88" s="153" t="n"/>
      <c r="G88" s="153" t="n"/>
      <c r="H88" s="153" t="n"/>
      <c r="I88" s="135" t="n"/>
      <c r="J88" s="154" t="inlineStr">
        <is>
          <t>ผู้เห็นชอบ</t>
        </is>
      </c>
      <c r="K88" s="153" t="n"/>
      <c r="L88" s="153" t="n"/>
      <c r="M88" s="153" t="n"/>
      <c r="N88" s="153" t="n"/>
      <c r="O88" s="153" t="n"/>
      <c r="P88" s="153" t="n"/>
      <c r="Q88" s="153" t="n"/>
      <c r="R88" s="153" t="n"/>
      <c r="S88" s="135" t="n"/>
    </row>
    <row r="89" ht="22.2" customHeight="1" s="375">
      <c r="A89" s="334" t="inlineStr">
        <is>
          <t>ลงชื่อ……………………………………………</t>
        </is>
      </c>
      <c r="I89" s="374" t="n"/>
      <c r="J89" s="334" t="inlineStr">
        <is>
          <t>ลงชื่อ……………………………………………</t>
        </is>
      </c>
      <c r="S89" s="374" t="n"/>
    </row>
    <row r="90" ht="22.2" customHeight="1" s="375">
      <c r="A90" s="11" t="n"/>
      <c r="B90" s="324">
        <f>B44</f>
        <v/>
      </c>
      <c r="I90" s="326" t="n"/>
      <c r="J90" s="25" t="n"/>
      <c r="K90" s="25" t="n"/>
      <c r="L90" s="324">
        <f>L44</f>
        <v/>
      </c>
      <c r="R90" s="25" t="n"/>
      <c r="S90" s="12" t="n"/>
    </row>
    <row r="91" ht="22.2" customHeight="1" s="375">
      <c r="A91" s="54" t="inlineStr">
        <is>
          <t>ตำแหน่งครู  หัวหน้างานพัฒนาหลักสูตร ฯ</t>
        </is>
      </c>
      <c r="I91" s="374" t="n"/>
      <c r="J91" s="54" t="inlineStr">
        <is>
          <t>ตำแหน่ง  รองผู้อำนวยการฝ่ายวิชาการ</t>
        </is>
      </c>
      <c r="S91" s="374" t="n"/>
    </row>
    <row r="92" ht="22.2" customHeight="1" s="375">
      <c r="A92" s="336" t="inlineStr">
        <is>
          <t>วันที่.......เดือน..........................พ.ศ..............</t>
        </is>
      </c>
      <c r="B92" s="522" t="n"/>
      <c r="C92" s="522" t="n"/>
      <c r="D92" s="522" t="n"/>
      <c r="E92" s="522" t="n"/>
      <c r="F92" s="522" t="n"/>
      <c r="G92" s="522" t="n"/>
      <c r="H92" s="522" t="n"/>
      <c r="I92" s="527" t="n"/>
      <c r="J92" s="336" t="inlineStr">
        <is>
          <t>วันที่.......เดือน..........................พ.ศ..............</t>
        </is>
      </c>
      <c r="K92" s="522" t="n"/>
      <c r="L92" s="522" t="n"/>
      <c r="M92" s="522" t="n"/>
      <c r="N92" s="522" t="n"/>
      <c r="O92" s="522" t="n"/>
      <c r="P92" s="522" t="n"/>
      <c r="Q92" s="522" t="n"/>
      <c r="R92" s="522" t="n"/>
      <c r="S92" s="527" t="n"/>
    </row>
    <row r="93" ht="22.2" customHeight="1" s="375">
      <c r="A93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75">
      <c r="A94" s="365" t="inlineStr">
        <is>
          <t>แผนกวิชาช่างยนต์</t>
        </is>
      </c>
    </row>
    <row r="95" ht="22.2" customHeight="1" s="375">
      <c r="A95" s="366" t="inlineStr">
        <is>
          <t xml:space="preserve">    ระหว่างวันที่</t>
        </is>
      </c>
      <c r="D95" s="365">
        <f>D3</f>
        <v/>
      </c>
      <c r="E95" s="365" t="inlineStr">
        <is>
          <t xml:space="preserve">   เดือน  </t>
        </is>
      </c>
      <c r="F95" s="365">
        <f>F3</f>
        <v/>
      </c>
      <c r="H95" s="365">
        <f>H3</f>
        <v/>
      </c>
      <c r="I95" s="365" t="inlineStr">
        <is>
          <t xml:space="preserve">     ถึง วันที่</t>
        </is>
      </c>
      <c r="J95" s="365">
        <f>J3</f>
        <v/>
      </c>
      <c r="K95" s="365" t="inlineStr">
        <is>
          <t xml:space="preserve">   เดือน </t>
        </is>
      </c>
      <c r="L95" s="365">
        <f>L3</f>
        <v/>
      </c>
      <c r="N95" s="365">
        <f>N3</f>
        <v/>
      </c>
      <c r="P95" s="365" t="n"/>
      <c r="R95" s="365" t="n"/>
    </row>
    <row r="96" ht="22.2" customHeight="1" s="375">
      <c r="G96" s="51" t="inlineStr">
        <is>
          <t>ü</t>
        </is>
      </c>
      <c r="H96" s="351" t="inlineStr">
        <is>
          <t>ครู</t>
        </is>
      </c>
      <c r="I96" s="322" t="inlineStr">
        <is>
          <t>หน้าที่พิเศษ</t>
        </is>
      </c>
      <c r="J96" s="7" t="inlineStr">
        <is>
          <t>ผู้ช่วยงานกิจกรรมนักเรียนนักศึกษา, โครงการพิเศษและการบริการสังคม,</t>
        </is>
      </c>
    </row>
    <row r="97" ht="22.2" customHeight="1" s="375">
      <c r="A97" s="24" t="inlineStr">
        <is>
          <t>ที่</t>
        </is>
      </c>
      <c r="B97" s="24" t="inlineStr">
        <is>
          <t>ชื่อ-สกุล</t>
        </is>
      </c>
      <c r="C97" s="153" t="n"/>
      <c r="D97" s="135" t="n"/>
      <c r="E97" s="15" t="inlineStr">
        <is>
          <t>ตำแหน่ง</t>
        </is>
      </c>
      <c r="F97" s="16" t="inlineStr">
        <is>
          <t>ระยะเวลาที่สอน</t>
        </is>
      </c>
      <c r="G97" s="432" t="n"/>
      <c r="H97" s="16" t="inlineStr">
        <is>
          <t>รหัสวิชา</t>
        </is>
      </c>
      <c r="I97" s="362" t="inlineStr">
        <is>
          <t>ชั้น,แผนก,ห้อง</t>
        </is>
      </c>
      <c r="J97" s="16" t="inlineStr">
        <is>
          <t>เวลาสอน</t>
        </is>
      </c>
      <c r="K97" s="135" t="n"/>
      <c r="L97" s="16" t="inlineStr">
        <is>
          <t>ปวช.(คาบ)</t>
        </is>
      </c>
      <c r="M97" s="432" t="n"/>
      <c r="N97" s="354" t="inlineStr">
        <is>
          <t>เงิน</t>
        </is>
      </c>
      <c r="O97" s="362" t="inlineStr">
        <is>
          <t>ยอดเงิน</t>
        </is>
      </c>
      <c r="P97" s="524" t="inlineStr">
        <is>
          <t>ปวส.(คาบ)</t>
        </is>
      </c>
      <c r="Q97" s="432" t="n"/>
      <c r="R97" s="354" t="inlineStr">
        <is>
          <t>เงิน</t>
        </is>
      </c>
      <c r="S97" s="362" t="inlineStr">
        <is>
          <t>ยอดเงิน</t>
        </is>
      </c>
    </row>
    <row r="98" ht="22.2" customHeight="1" s="375">
      <c r="A98" s="52" t="n"/>
      <c r="B98" s="8" t="n"/>
      <c r="C98" s="9" t="n"/>
      <c r="D98" s="13" t="n"/>
      <c r="E98" s="10" t="n"/>
      <c r="F98" s="336" t="inlineStr">
        <is>
          <t>ส.</t>
        </is>
      </c>
      <c r="G98" s="336" t="inlineStr">
        <is>
          <t>วดป.</t>
        </is>
      </c>
      <c r="H98" s="525" t="n"/>
      <c r="I98" s="336" t="n"/>
      <c r="J98" s="526" t="n"/>
      <c r="K98" s="527" t="n"/>
      <c r="L98" s="336" t="inlineStr">
        <is>
          <t>ใน</t>
        </is>
      </c>
      <c r="M98" s="336" t="inlineStr">
        <is>
          <t>นอก</t>
        </is>
      </c>
      <c r="N98" s="336" t="inlineStr">
        <is>
          <t>ต่อ ชม.</t>
        </is>
      </c>
      <c r="O98" s="336" t="inlineStr">
        <is>
          <t>(บาท)</t>
        </is>
      </c>
      <c r="P98" s="52" t="inlineStr">
        <is>
          <t>ใน</t>
        </is>
      </c>
      <c r="Q98" s="52" t="inlineStr">
        <is>
          <t>นอก</t>
        </is>
      </c>
      <c r="R98" s="336" t="inlineStr">
        <is>
          <t>ต่อ ชม.</t>
        </is>
      </c>
      <c r="S98" s="336" t="inlineStr">
        <is>
          <t>(บาท)</t>
        </is>
      </c>
    </row>
    <row r="99" ht="22.2" customHeight="1" s="375">
      <c r="A99" s="362" t="n">
        <v>3</v>
      </c>
      <c r="B99" s="528">
        <f>AB5</f>
        <v/>
      </c>
      <c r="C99" s="153" t="n"/>
      <c r="D99" s="135" t="n"/>
      <c r="E99" s="362" t="inlineStr">
        <is>
          <t>ครู</t>
        </is>
      </c>
      <c r="F99" s="5" t="n">
        <v>5</v>
      </c>
      <c r="G99" s="529" t="inlineStr">
        <is>
          <t>จันทร์</t>
        </is>
      </c>
      <c r="H99" s="381" t="inlineStr">
        <is>
          <t>20101-2008</t>
        </is>
      </c>
      <c r="I99" s="376" t="inlineStr">
        <is>
          <t>ชย.2/1 (26)</t>
        </is>
      </c>
      <c r="J99" s="381" t="inlineStr">
        <is>
          <t>08:10 - 12:10</t>
        </is>
      </c>
      <c r="K99" s="135" t="n"/>
      <c r="L99" s="367" t="n">
        <v>4</v>
      </c>
      <c r="M99" s="381" t="inlineStr"/>
      <c r="N99" s="381" t="inlineStr"/>
      <c r="O99" s="354" t="inlineStr"/>
      <c r="P99" s="381" t="inlineStr"/>
      <c r="Q99" s="367" t="inlineStr"/>
      <c r="R99" s="381" t="inlineStr"/>
      <c r="S99" s="354" t="inlineStr"/>
      <c r="T99" t="inlineStr"/>
      <c r="U99" t="inlineStr"/>
    </row>
    <row r="100" ht="22.2" customHeight="1" s="375">
      <c r="A100" s="3" t="n"/>
      <c r="B100" s="530" t="n"/>
      <c r="D100" s="374" t="n"/>
      <c r="E100" s="334" t="n"/>
      <c r="F100" s="322" t="n"/>
      <c r="G100" s="535" t="inlineStr">
        <is>
          <t>12 ต.ค.69</t>
        </is>
      </c>
      <c r="H100" s="376" t="inlineStr">
        <is>
          <t>20100-1005</t>
        </is>
      </c>
      <c r="I100" s="376" t="inlineStr">
        <is>
          <t>ชย.1/2 (26)</t>
        </is>
      </c>
      <c r="J100" s="376" t="inlineStr">
        <is>
          <t>13:10 - 17:10</t>
        </is>
      </c>
      <c r="K100" s="374" t="n"/>
      <c r="L100" s="334" t="n">
        <v>4</v>
      </c>
      <c r="M100" s="334" t="inlineStr"/>
      <c r="N100" s="334" t="inlineStr"/>
      <c r="O100" s="354" t="inlineStr"/>
      <c r="P100" s="334" t="inlineStr"/>
      <c r="Q100" s="334" t="inlineStr"/>
      <c r="R100" s="334" t="inlineStr"/>
      <c r="S100" s="354" t="inlineStr"/>
      <c r="T100" t="inlineStr"/>
      <c r="U100" t="inlineStr"/>
    </row>
    <row r="101" ht="22.2" customHeight="1" s="375">
      <c r="A101" s="3" t="n"/>
      <c r="B101" s="313" t="n"/>
      <c r="D101" s="47" t="n"/>
      <c r="E101" s="314" t="n"/>
      <c r="F101" s="322" t="n"/>
      <c r="G101" s="325" t="inlineStr"/>
      <c r="H101" s="376" t="inlineStr"/>
      <c r="I101" s="376" t="inlineStr"/>
      <c r="J101" s="376" t="inlineStr"/>
      <c r="K101" s="374" t="n"/>
      <c r="L101" s="334" t="inlineStr"/>
      <c r="M101" s="334" t="inlineStr"/>
      <c r="N101" s="334" t="inlineStr"/>
      <c r="O101" s="354" t="inlineStr"/>
      <c r="P101" s="334" t="inlineStr"/>
      <c r="Q101" s="334" t="inlineStr"/>
      <c r="R101" s="334" t="inlineStr"/>
      <c r="S101" s="354" t="inlineStr"/>
      <c r="T101" t="inlineStr"/>
      <c r="U101" t="inlineStr"/>
    </row>
    <row r="102" ht="22.2" customHeight="1" s="375">
      <c r="A102" s="3" t="n"/>
      <c r="B102" s="313" t="n"/>
      <c r="D102" s="61" t="n"/>
      <c r="E102" s="3" t="n"/>
      <c r="F102" s="322" t="n"/>
      <c r="G102" s="325" t="inlineStr"/>
      <c r="H102" s="334" t="inlineStr"/>
      <c r="I102" s="1" t="inlineStr"/>
      <c r="J102" s="1" t="inlineStr"/>
      <c r="K102" s="374" t="n"/>
      <c r="L102" s="334" t="inlineStr"/>
      <c r="M102" s="334" t="inlineStr"/>
      <c r="N102" s="334" t="inlineStr"/>
      <c r="O102" s="354" t="inlineStr"/>
      <c r="P102" s="334" t="inlineStr"/>
      <c r="Q102" s="334" t="inlineStr"/>
      <c r="R102" s="334" t="inlineStr"/>
      <c r="S102" s="354" t="inlineStr"/>
      <c r="T102" t="inlineStr"/>
      <c r="U102" t="inlineStr"/>
    </row>
    <row r="103" ht="22.2" customHeight="1" s="375">
      <c r="A103" s="3" t="n"/>
      <c r="E103" s="3" t="n"/>
      <c r="G103" s="55" t="inlineStr"/>
      <c r="H103" s="336" t="inlineStr"/>
      <c r="I103" s="336" t="inlineStr"/>
      <c r="J103" s="336" t="inlineStr"/>
      <c r="K103" s="527" t="n"/>
      <c r="L103" s="334" t="inlineStr"/>
      <c r="M103" s="334" t="inlineStr"/>
      <c r="N103" s="334" t="inlineStr"/>
      <c r="O103" s="354" t="inlineStr"/>
      <c r="P103" s="334" t="inlineStr"/>
      <c r="Q103" s="334" t="inlineStr"/>
      <c r="R103" s="334" t="inlineStr"/>
      <c r="S103" s="354" t="inlineStr"/>
      <c r="T103" t="inlineStr"/>
      <c r="U103" t="inlineStr"/>
    </row>
    <row r="104" ht="22.2" customHeight="1" s="375">
      <c r="A104" s="3" t="n"/>
      <c r="E104" s="3" t="n"/>
      <c r="G104" s="533" t="inlineStr">
        <is>
          <t>อังคาร</t>
        </is>
      </c>
      <c r="H104" s="381" t="inlineStr">
        <is>
          <t>20101-2008</t>
        </is>
      </c>
      <c r="I104" s="376" t="inlineStr">
        <is>
          <t>ชย.2/3 (26)</t>
        </is>
      </c>
      <c r="J104" s="381" t="inlineStr">
        <is>
          <t>08:10 - 12:10</t>
        </is>
      </c>
      <c r="K104" s="135" t="n"/>
      <c r="L104" s="176" t="n">
        <v>4</v>
      </c>
      <c r="M104" s="381" t="inlineStr"/>
      <c r="N104" s="381" t="inlineStr"/>
      <c r="O104" s="354" t="inlineStr"/>
      <c r="P104" s="381" t="inlineStr"/>
      <c r="Q104" s="367" t="inlineStr"/>
      <c r="R104" s="381" t="inlineStr"/>
      <c r="S104" s="354" t="inlineStr"/>
      <c r="T104" s="383" t="inlineStr"/>
    </row>
    <row r="105" ht="22.2" customHeight="1" s="375">
      <c r="A105" s="3" t="n"/>
      <c r="E105" s="3" t="n"/>
      <c r="G105" s="535" t="inlineStr">
        <is>
          <t>13 ต.ค.69</t>
        </is>
      </c>
      <c r="H105" s="376" t="inlineStr">
        <is>
          <t>20100-1005</t>
        </is>
      </c>
      <c r="I105" s="376" t="inlineStr">
        <is>
          <t>ชย.1/1 (26)</t>
        </is>
      </c>
      <c r="J105" s="376" t="inlineStr">
        <is>
          <t>13:10 - 17:10</t>
        </is>
      </c>
      <c r="K105" s="374" t="n"/>
      <c r="L105" s="334" t="n">
        <v>4</v>
      </c>
      <c r="M105" s="334" t="inlineStr"/>
      <c r="N105" s="334" t="inlineStr"/>
      <c r="O105" s="354" t="inlineStr"/>
      <c r="P105" s="334" t="inlineStr"/>
      <c r="Q105" s="334" t="inlineStr"/>
      <c r="R105" s="376" t="inlineStr"/>
      <c r="S105" s="354" t="inlineStr"/>
      <c r="T105" s="23" t="inlineStr"/>
      <c r="U105" s="23" t="inlineStr"/>
      <c r="V105" s="56" t="n"/>
      <c r="W105" s="23" t="n"/>
      <c r="X105" s="23" t="n"/>
    </row>
    <row r="106" ht="22.2" customHeight="1" s="375">
      <c r="A106" s="3" t="n"/>
      <c r="B106" s="313" t="n"/>
      <c r="D106" s="314" t="n"/>
      <c r="E106" s="314" t="n"/>
      <c r="G106" s="334" t="inlineStr"/>
      <c r="H106" s="376" t="inlineStr"/>
      <c r="I106" s="376" t="inlineStr"/>
      <c r="J106" s="376" t="inlineStr"/>
      <c r="K106" s="374" t="n"/>
      <c r="L106" s="334" t="inlineStr"/>
      <c r="M106" s="334" t="inlineStr"/>
      <c r="N106" s="334" t="inlineStr"/>
      <c r="O106" s="354" t="inlineStr"/>
      <c r="P106" s="334" t="inlineStr"/>
      <c r="Q106" s="334" t="inlineStr"/>
      <c r="R106" s="376" t="inlineStr"/>
      <c r="S106" s="354" t="inlineStr"/>
      <c r="T106" t="inlineStr"/>
      <c r="U106" t="inlineStr"/>
    </row>
    <row r="107" ht="22.2" customHeight="1" s="375">
      <c r="A107" s="3" t="n"/>
      <c r="B107" s="313" t="n"/>
      <c r="D107" s="314" t="n"/>
      <c r="E107" s="314" t="n"/>
      <c r="G107" s="54" t="inlineStr"/>
      <c r="H107" s="334" t="inlineStr"/>
      <c r="I107" s="334" t="inlineStr"/>
      <c r="J107" s="334" t="inlineStr"/>
      <c r="K107" s="374" t="n"/>
      <c r="L107" s="334" t="inlineStr"/>
      <c r="M107" s="334" t="inlineStr"/>
      <c r="N107" s="334" t="inlineStr"/>
      <c r="O107" s="354" t="inlineStr"/>
      <c r="P107" s="334" t="inlineStr"/>
      <c r="Q107" s="334" t="inlineStr"/>
      <c r="R107" s="334" t="inlineStr"/>
      <c r="S107" s="354" t="inlineStr"/>
      <c r="T107" t="inlineStr"/>
      <c r="U107" t="inlineStr"/>
    </row>
    <row r="108" ht="22.2" customHeight="1" s="375">
      <c r="A108" s="3" t="n"/>
      <c r="B108" s="313" t="n"/>
      <c r="E108" s="3" t="n"/>
      <c r="G108" s="55" t="inlineStr"/>
      <c r="H108" s="336" t="inlineStr"/>
      <c r="I108" s="336" t="inlineStr"/>
      <c r="J108" s="336" t="inlineStr"/>
      <c r="K108" s="527" t="n"/>
      <c r="L108" s="334" t="inlineStr"/>
      <c r="M108" s="334" t="inlineStr"/>
      <c r="N108" s="334" t="inlineStr"/>
      <c r="O108" s="354" t="inlineStr"/>
      <c r="P108" s="334" t="inlineStr"/>
      <c r="Q108" s="334" t="inlineStr"/>
      <c r="R108" s="334" t="inlineStr"/>
      <c r="S108" s="354" t="inlineStr"/>
      <c r="T108" t="inlineStr"/>
      <c r="U108" t="inlineStr"/>
    </row>
    <row r="109" ht="22.2" customHeight="1" s="375">
      <c r="A109" s="3" t="n"/>
      <c r="E109" s="3" t="n"/>
      <c r="G109" s="535" t="inlineStr">
        <is>
          <t>พุธ</t>
        </is>
      </c>
      <c r="H109" s="381" t="inlineStr">
        <is>
          <t>20100-1005</t>
        </is>
      </c>
      <c r="I109" s="376" t="inlineStr">
        <is>
          <t>ชย.1/4 (26)</t>
        </is>
      </c>
      <c r="J109" s="381" t="inlineStr">
        <is>
          <t>08:10 - 12:10</t>
        </is>
      </c>
      <c r="K109" s="135" t="n"/>
      <c r="L109" s="367" t="n">
        <v>3</v>
      </c>
      <c r="M109" s="381" t="n">
        <v>1</v>
      </c>
      <c r="N109" s="381" t="n">
        <v>200</v>
      </c>
      <c r="O109" s="354">
        <f>M109*N109</f>
        <v/>
      </c>
      <c r="P109" s="381" t="inlineStr"/>
      <c r="Q109" s="367" t="inlineStr"/>
      <c r="R109" s="381" t="inlineStr"/>
      <c r="S109" s="354" t="inlineStr"/>
      <c r="T109" t="inlineStr"/>
      <c r="U109" t="inlineStr"/>
    </row>
    <row r="110" ht="22.2" customHeight="1" s="375">
      <c r="A110" s="3" t="n"/>
      <c r="E110" s="3" t="n"/>
      <c r="G110" s="535" t="inlineStr">
        <is>
          <t>14 ต.ค.69</t>
        </is>
      </c>
      <c r="H110" s="376" t="inlineStr">
        <is>
          <t>20143-2015</t>
        </is>
      </c>
      <c r="I110" s="376" t="inlineStr">
        <is>
          <t>ชยฟ.3/1 (26)</t>
        </is>
      </c>
      <c r="J110" s="334" t="inlineStr">
        <is>
          <t>13:10 - 17:10</t>
        </is>
      </c>
      <c r="K110" s="374" t="n"/>
      <c r="L110" s="334" t="inlineStr"/>
      <c r="M110" s="334" t="n">
        <v>4</v>
      </c>
      <c r="N110" s="334" t="n">
        <v>200</v>
      </c>
      <c r="O110" s="354">
        <f>M110*N110</f>
        <v/>
      </c>
      <c r="P110" s="334" t="inlineStr"/>
      <c r="Q110" s="334" t="inlineStr"/>
      <c r="R110" s="334" t="inlineStr"/>
      <c r="S110" s="354" t="inlineStr"/>
      <c r="T110" t="inlineStr"/>
      <c r="U110" t="inlineStr"/>
    </row>
    <row r="111" ht="22.2" customHeight="1" s="375">
      <c r="A111" s="3" t="n"/>
      <c r="E111" s="3" t="n"/>
      <c r="G111" s="334" t="inlineStr"/>
      <c r="H111" s="376" t="inlineStr"/>
      <c r="I111" s="376" t="inlineStr"/>
      <c r="J111" s="376" t="inlineStr"/>
      <c r="K111" s="374" t="n"/>
      <c r="L111" s="334" t="inlineStr"/>
      <c r="M111" s="334" t="inlineStr"/>
      <c r="N111" s="334" t="inlineStr"/>
      <c r="O111" s="354" t="inlineStr"/>
      <c r="P111" s="334" t="inlineStr"/>
      <c r="Q111" s="334" t="inlineStr"/>
      <c r="R111" s="334" t="inlineStr"/>
      <c r="S111" s="354" t="inlineStr"/>
      <c r="T111" t="inlineStr"/>
      <c r="U111" t="inlineStr"/>
    </row>
    <row r="112" ht="22.2" customHeight="1" s="375">
      <c r="A112" s="3" t="n"/>
      <c r="B112" s="313" t="n"/>
      <c r="D112" s="314" t="n"/>
      <c r="E112" s="314" t="n"/>
      <c r="G112" s="321" t="inlineStr"/>
      <c r="H112" s="334" t="inlineStr"/>
      <c r="I112" s="376" t="inlineStr"/>
      <c r="J112" s="334" t="inlineStr"/>
      <c r="K112" s="374" t="n"/>
      <c r="L112" s="334" t="inlineStr"/>
      <c r="M112" s="334" t="inlineStr"/>
      <c r="N112" s="334" t="inlineStr"/>
      <c r="O112" s="354" t="inlineStr"/>
      <c r="P112" s="334" t="inlineStr"/>
      <c r="Q112" s="334" t="inlineStr"/>
      <c r="R112" s="334" t="inlineStr"/>
      <c r="S112" s="354" t="inlineStr"/>
      <c r="T112" t="inlineStr"/>
      <c r="U112" t="inlineStr"/>
    </row>
    <row r="113" ht="22.2" customHeight="1" s="375">
      <c r="A113" s="3" t="n"/>
      <c r="E113" s="3" t="n"/>
      <c r="G113" s="327" t="inlineStr"/>
      <c r="H113" s="336" t="inlineStr"/>
      <c r="I113" s="336" t="inlineStr"/>
      <c r="J113" s="336" t="inlineStr"/>
      <c r="K113" s="527" t="n"/>
      <c r="L113" s="336" t="inlineStr"/>
      <c r="M113" s="336" t="inlineStr"/>
      <c r="N113" s="336" t="inlineStr"/>
      <c r="O113" s="354" t="inlineStr"/>
      <c r="P113" s="336" t="inlineStr"/>
      <c r="Q113" s="336" t="inlineStr"/>
      <c r="R113" s="336" t="inlineStr"/>
      <c r="S113" s="354" t="inlineStr"/>
      <c r="T113" t="inlineStr"/>
      <c r="U113" t="inlineStr"/>
    </row>
    <row r="114" ht="22.2" customHeight="1" s="375">
      <c r="A114" s="3" t="n"/>
      <c r="D114" s="7" t="inlineStr">
        <is>
          <t> </t>
        </is>
      </c>
      <c r="E114" s="3" t="n"/>
      <c r="G114" s="533" t="inlineStr">
        <is>
          <t>พฤหัส</t>
        </is>
      </c>
      <c r="H114" s="381" t="inlineStr">
        <is>
          <t>20101-2003</t>
        </is>
      </c>
      <c r="I114" s="376" t="inlineStr">
        <is>
          <t>ชย.1/4 (26)</t>
        </is>
      </c>
      <c r="J114" s="381" t="inlineStr">
        <is>
          <t>08:10 - 12:10</t>
        </is>
      </c>
      <c r="K114" s="135" t="n"/>
      <c r="L114" s="334" t="inlineStr"/>
      <c r="M114" s="334" t="n">
        <v>4</v>
      </c>
      <c r="N114" s="334" t="n">
        <v>200</v>
      </c>
      <c r="O114" s="354">
        <f>M114*N114</f>
        <v/>
      </c>
      <c r="P114" s="334" t="inlineStr"/>
      <c r="Q114" s="362" t="inlineStr"/>
      <c r="R114" s="362" t="inlineStr"/>
      <c r="S114" s="354" t="inlineStr"/>
      <c r="T114" s="383" t="inlineStr"/>
    </row>
    <row r="115" ht="22.2" customHeight="1" s="375">
      <c r="A115" s="3" t="n"/>
      <c r="E115" s="3" t="n"/>
      <c r="G115" s="535" t="inlineStr">
        <is>
          <t>15 ต.ค.69</t>
        </is>
      </c>
      <c r="H115" s="376" t="inlineStr">
        <is>
          <t>20000-2004</t>
        </is>
      </c>
      <c r="I115" s="376" t="inlineStr">
        <is>
          <t>ชย.2/7,ชย.2/8,ชย.ทวิ 2/9 (26)</t>
        </is>
      </c>
      <c r="J115" s="376" t="inlineStr">
        <is>
          <t>13:10 - 15:10</t>
        </is>
      </c>
      <c r="K115" s="374" t="n"/>
      <c r="L115" s="323" t="n">
        <v>2</v>
      </c>
      <c r="M115" s="334" t="inlineStr"/>
      <c r="N115" s="334" t="inlineStr"/>
      <c r="O115" s="354" t="inlineStr"/>
      <c r="P115" s="334" t="inlineStr"/>
      <c r="Q115" s="334" t="inlineStr"/>
      <c r="R115" s="334" t="inlineStr"/>
      <c r="S115" s="354" t="inlineStr"/>
      <c r="T115" s="23" t="inlineStr"/>
      <c r="U115" s="23" t="inlineStr"/>
      <c r="V115" s="56" t="n"/>
      <c r="W115" s="23" t="n"/>
      <c r="X115" s="23" t="n"/>
    </row>
    <row r="116" ht="22.2" customHeight="1" s="375">
      <c r="A116" s="3" t="n"/>
      <c r="B116" s="313" t="n"/>
      <c r="E116" s="3" t="n"/>
      <c r="G116" s="334" t="inlineStr"/>
      <c r="H116" s="376" t="inlineStr">
        <is>
          <t>20101-2003</t>
        </is>
      </c>
      <c r="I116" s="376" t="inlineStr">
        <is>
          <t>ชย.1/4 (26)</t>
        </is>
      </c>
      <c r="J116" s="376" t="inlineStr">
        <is>
          <t>15:10 - 18:10</t>
        </is>
      </c>
      <c r="K116" s="374" t="n"/>
      <c r="L116" s="376" t="inlineStr"/>
      <c r="M116" s="376" t="n">
        <v>3</v>
      </c>
      <c r="N116" s="376" t="n">
        <v>200</v>
      </c>
      <c r="O116" s="354">
        <f>M116*N116</f>
        <v/>
      </c>
      <c r="P116" s="376" t="inlineStr"/>
      <c r="Q116" s="376" t="inlineStr"/>
      <c r="R116" s="376" t="inlineStr"/>
      <c r="S116" s="354" t="inlineStr"/>
      <c r="T116" t="inlineStr"/>
      <c r="U116" t="inlineStr"/>
    </row>
    <row r="117" ht="22.2" customHeight="1" s="375">
      <c r="A117" s="3" t="n"/>
      <c r="E117" s="3" t="n"/>
      <c r="G117" s="334" t="inlineStr"/>
      <c r="H117" s="334" t="inlineStr"/>
      <c r="I117" s="334" t="inlineStr"/>
      <c r="J117" s="334" t="inlineStr"/>
      <c r="K117" s="374" t="n"/>
      <c r="L117" s="334" t="inlineStr"/>
      <c r="M117" s="334" t="inlineStr"/>
      <c r="N117" s="334" t="inlineStr"/>
      <c r="O117" s="354" t="inlineStr"/>
      <c r="P117" s="334" t="inlineStr"/>
      <c r="Q117" s="334" t="inlineStr"/>
      <c r="R117" s="334" t="inlineStr"/>
      <c r="S117" s="354" t="inlineStr"/>
      <c r="T117" t="inlineStr"/>
      <c r="U117" t="inlineStr"/>
    </row>
    <row r="118" ht="22.2" customHeight="1" s="375">
      <c r="A118" s="3" t="n"/>
      <c r="E118" s="3" t="n"/>
      <c r="G118" s="336" t="inlineStr"/>
      <c r="H118" s="328" t="inlineStr"/>
      <c r="I118" s="336" t="inlineStr"/>
      <c r="J118" s="336" t="inlineStr"/>
      <c r="K118" s="527" t="n"/>
      <c r="L118" s="336" t="inlineStr"/>
      <c r="M118" s="336" t="inlineStr"/>
      <c r="N118" s="336" t="inlineStr"/>
      <c r="O118" s="354" t="inlineStr"/>
      <c r="P118" s="336" t="inlineStr"/>
      <c r="Q118" s="336" t="inlineStr"/>
      <c r="R118" s="336" t="inlineStr"/>
      <c r="S118" s="354" t="inlineStr"/>
      <c r="T118" t="inlineStr"/>
      <c r="U118" t="inlineStr"/>
    </row>
    <row r="119" ht="22.2" customHeight="1" s="375">
      <c r="A119" s="3" t="n"/>
      <c r="E119" s="3" t="n"/>
      <c r="G119" s="533" t="inlineStr">
        <is>
          <t>ศุกร์</t>
        </is>
      </c>
      <c r="H119" s="381" t="inlineStr"/>
      <c r="I119" s="376" t="inlineStr"/>
      <c r="J119" s="376" t="inlineStr"/>
      <c r="K119" s="374" t="n"/>
      <c r="L119" s="381" t="inlineStr"/>
      <c r="M119" s="362" t="inlineStr"/>
      <c r="N119" s="362" t="inlineStr"/>
      <c r="O119" s="354" t="inlineStr"/>
      <c r="P119" s="381" t="inlineStr"/>
      <c r="Q119" s="381" t="inlineStr"/>
      <c r="R119" s="381" t="inlineStr"/>
      <c r="S119" s="354" t="inlineStr"/>
      <c r="T119" t="inlineStr"/>
      <c r="U119" t="inlineStr"/>
    </row>
    <row r="120" ht="22.2" customHeight="1" s="375">
      <c r="A120" s="3" t="n"/>
      <c r="E120" s="3" t="n"/>
      <c r="G120" s="535" t="inlineStr">
        <is>
          <t>16 ต.ค.69</t>
        </is>
      </c>
      <c r="H120" s="376" t="inlineStr"/>
      <c r="I120" s="376" t="inlineStr"/>
      <c r="J120" s="376" t="inlineStr"/>
      <c r="K120" s="374" t="n"/>
      <c r="L120" s="334" t="inlineStr"/>
      <c r="M120" s="334" t="inlineStr"/>
      <c r="N120" s="334" t="inlineStr"/>
      <c r="O120" s="354" t="inlineStr"/>
      <c r="P120" s="334" t="inlineStr"/>
      <c r="Q120" s="334" t="inlineStr"/>
      <c r="R120" s="334" t="inlineStr"/>
      <c r="S120" s="354" t="inlineStr"/>
      <c r="T120" t="inlineStr"/>
      <c r="U120" t="inlineStr"/>
    </row>
    <row r="121" ht="22.2" customHeight="1" s="375">
      <c r="A121" s="3" t="n"/>
      <c r="E121" s="3" t="n"/>
      <c r="G121" s="334" t="inlineStr"/>
      <c r="H121" s="376" t="inlineStr"/>
      <c r="I121" s="376" t="inlineStr"/>
      <c r="J121" s="376" t="inlineStr"/>
      <c r="K121" s="374" t="n"/>
      <c r="L121" s="334" t="inlineStr"/>
      <c r="M121" s="334" t="inlineStr"/>
      <c r="N121" s="334" t="inlineStr"/>
      <c r="O121" s="354" t="inlineStr"/>
      <c r="P121" s="334" t="inlineStr"/>
      <c r="Q121" s="334" t="inlineStr"/>
      <c r="R121" s="334" t="inlineStr"/>
      <c r="S121" s="354" t="inlineStr"/>
      <c r="T121" t="inlineStr"/>
      <c r="U121" t="inlineStr"/>
    </row>
    <row r="122" ht="22.2" customHeight="1" s="375">
      <c r="A122" s="3" t="n"/>
      <c r="E122" s="3" t="n"/>
      <c r="G122" s="334" t="inlineStr"/>
      <c r="H122" s="334" t="inlineStr"/>
      <c r="I122" s="334" t="inlineStr"/>
      <c r="J122" s="323" t="inlineStr"/>
      <c r="K122" s="374" t="n"/>
      <c r="L122" s="334" t="inlineStr"/>
      <c r="M122" s="334" t="inlineStr"/>
      <c r="N122" s="334" t="inlineStr"/>
      <c r="O122" s="354" t="inlineStr"/>
      <c r="P122" s="334" t="inlineStr"/>
      <c r="Q122" s="334" t="inlineStr"/>
      <c r="R122" s="334" t="inlineStr"/>
      <c r="S122" s="354" t="inlineStr"/>
      <c r="T122" t="inlineStr"/>
      <c r="U122" t="inlineStr"/>
    </row>
    <row r="123" ht="22.2" customHeight="1" s="375">
      <c r="A123" s="3" t="n"/>
      <c r="E123" s="3" t="n"/>
      <c r="F123" s="3" t="n"/>
      <c r="G123" s="329" t="inlineStr"/>
      <c r="H123" s="336" t="inlineStr"/>
      <c r="I123" s="336" t="inlineStr"/>
      <c r="J123" s="336" t="inlineStr"/>
      <c r="K123" s="527" t="n"/>
      <c r="L123" s="336" t="inlineStr"/>
      <c r="M123" s="336" t="inlineStr"/>
      <c r="N123" s="336" t="inlineStr"/>
      <c r="O123" s="354" t="inlineStr"/>
      <c r="P123" s="336" t="inlineStr"/>
      <c r="Q123" s="336" t="inlineStr"/>
      <c r="R123" s="336" t="inlineStr"/>
      <c r="S123" s="354" t="inlineStr"/>
      <c r="T123" t="inlineStr"/>
      <c r="U123" t="inlineStr"/>
    </row>
    <row r="124" ht="22.2" customHeight="1" s="375">
      <c r="A124" s="3" t="n"/>
      <c r="E124" s="3" t="n"/>
      <c r="F124" s="3" t="n"/>
      <c r="G124" s="16" t="inlineStr">
        <is>
          <t>รวมขั่วโมงที่สอนแยก ภาระงาน/ เกินภาระงาน</t>
        </is>
      </c>
      <c r="H124" s="518" t="n"/>
      <c r="I124" s="518" t="n"/>
      <c r="J124" s="518" t="n"/>
      <c r="K124" s="432" t="n"/>
      <c r="L124" s="16">
        <f>SUM(L99:L123)</f>
        <v/>
      </c>
      <c r="M124" s="16">
        <f>SUM(M99:M123)</f>
        <v/>
      </c>
      <c r="N124" s="16" t="n"/>
      <c r="O124" s="16" t="n"/>
      <c r="P124" s="16">
        <f>SUM(P99:P123)</f>
        <v/>
      </c>
      <c r="Q124" s="16">
        <f>SUM(Q99:Q123)</f>
        <v/>
      </c>
      <c r="R124" s="349" t="n"/>
      <c r="S124" s="16" t="n"/>
    </row>
    <row r="125" ht="22.2" customHeight="1" s="375">
      <c r="A125" s="3" t="n"/>
      <c r="E125" s="3" t="n"/>
      <c r="F125" s="3" t="n"/>
      <c r="G125" s="16" t="inlineStr">
        <is>
          <t>รวมจำนวนชั่วโมงสอนคาบต่อสับดาห์</t>
        </is>
      </c>
      <c r="H125" s="518" t="n"/>
      <c r="I125" s="518" t="n"/>
      <c r="J125" s="518" t="n"/>
      <c r="K125" s="432" t="n"/>
      <c r="L125" s="16">
        <f>L124+M124</f>
        <v/>
      </c>
      <c r="M125" s="432" t="n"/>
      <c r="N125" s="348" t="n"/>
      <c r="O125" s="16" t="n"/>
      <c r="P125" s="16">
        <f>P124+Q124</f>
        <v/>
      </c>
      <c r="Q125" s="432" t="n"/>
      <c r="R125" s="329" t="n"/>
      <c r="S125" s="336" t="n"/>
    </row>
    <row r="126" ht="22.2" customHeight="1" s="375">
      <c r="A126" s="3" t="n"/>
      <c r="E126" s="3" t="n"/>
      <c r="F126" s="3" t="n"/>
      <c r="G126" s="16" t="inlineStr">
        <is>
          <t>จำนวนชั่วโมงสอนตามภาระงานสอน</t>
        </is>
      </c>
      <c r="H126" s="518" t="n"/>
      <c r="I126" s="518" t="n"/>
      <c r="J126" s="518" t="n"/>
      <c r="K126" s="432" t="n"/>
      <c r="L126" s="16" t="n">
        <v>18</v>
      </c>
      <c r="M126" s="432" t="n"/>
      <c r="N126" s="16" t="n"/>
      <c r="O126" s="348" t="n"/>
      <c r="P126" s="131" t="n">
        <v>0</v>
      </c>
      <c r="Q126" s="432" t="n"/>
      <c r="R126" s="322" t="n"/>
      <c r="S126" s="334" t="n"/>
    </row>
    <row r="127" ht="22.2" customHeight="1" s="375" thickBot="1">
      <c r="A127" s="3" t="n"/>
      <c r="E127" s="3" t="n"/>
      <c r="F127" s="14" t="n"/>
      <c r="G127" s="16" t="inlineStr">
        <is>
          <t>จำนวนชั่วโมงบิกเกินภาระงานสอน/ค่าสอน</t>
        </is>
      </c>
      <c r="H127" s="518" t="n"/>
      <c r="I127" s="518" t="n"/>
      <c r="J127" s="518" t="n"/>
      <c r="K127" s="432" t="n"/>
      <c r="L127" s="17" t="n">
        <v>0</v>
      </c>
      <c r="M127" s="17">
        <f>SUM(M99:M123)</f>
        <v/>
      </c>
      <c r="N127" s="17" t="n"/>
      <c r="O127" s="17">
        <f>SUM(O99:O123)</f>
        <v/>
      </c>
      <c r="P127" s="17" t="n">
        <v>0</v>
      </c>
      <c r="Q127" s="17">
        <f>SUM(Q99:Q123)</f>
        <v/>
      </c>
      <c r="R127" s="18" t="n"/>
      <c r="S127" s="17">
        <f>SUM(S99:S123)</f>
        <v/>
      </c>
    </row>
    <row r="128" ht="22.2" customHeight="1" s="375" thickTop="1">
      <c r="A128" s="337" t="inlineStr">
        <is>
          <t>รวมจำนวนหน่วยชั่วโมงที่ขอเบิกค่าสอน ….</t>
        </is>
      </c>
      <c r="B128" s="518" t="n"/>
      <c r="C128" s="518" t="n"/>
      <c r="D128" s="518" t="n"/>
      <c r="E128" s="518" t="n"/>
      <c r="F128" s="518" t="n"/>
      <c r="G128" s="518" t="n"/>
      <c r="H128" s="348">
        <f>M127+Q127</f>
        <v/>
      </c>
      <c r="I128" s="348" t="inlineStr">
        <is>
          <t>….ชั่วโมง</t>
        </is>
      </c>
      <c r="J128" s="348" t="n"/>
      <c r="K128" s="328" t="inlineStr">
        <is>
          <t>ยอดเงินรวม</t>
        </is>
      </c>
      <c r="L128" s="522" t="n"/>
      <c r="M128" s="522" t="n"/>
      <c r="N128" s="328" t="n"/>
      <c r="O128" s="328" t="n"/>
      <c r="P128" s="339">
        <f>S127+O127</f>
        <v/>
      </c>
      <c r="Q128" s="538" t="n"/>
      <c r="R128" s="20" t="n"/>
      <c r="S128" s="19" t="inlineStr">
        <is>
          <t>..บาท</t>
        </is>
      </c>
    </row>
    <row r="129" ht="22.2" customHeight="1" s="375">
      <c r="A129" s="154" t="inlineStr">
        <is>
          <t>ผู้ขอเบิก</t>
        </is>
      </c>
      <c r="B129" s="153" t="n"/>
      <c r="C129" s="153" t="n"/>
      <c r="D129" s="153" t="n"/>
      <c r="E129" s="153" t="n"/>
      <c r="F129" s="153" t="n"/>
      <c r="G129" s="135" t="n"/>
      <c r="H129" s="154" t="inlineStr">
        <is>
          <t>ผู้รับรอง</t>
        </is>
      </c>
      <c r="I129" s="153" t="n"/>
      <c r="J129" s="153" t="n"/>
      <c r="K129" s="153" t="n"/>
      <c r="L129" s="135" t="n"/>
      <c r="M129" s="154" t="inlineStr">
        <is>
          <t>ผู้ตรวจ</t>
        </is>
      </c>
      <c r="N129" s="153" t="n"/>
      <c r="O129" s="153" t="n"/>
      <c r="P129" s="153" t="n"/>
      <c r="Q129" s="153" t="n"/>
      <c r="R129" s="153" t="n"/>
      <c r="S129" s="135" t="n"/>
    </row>
    <row r="130" ht="22.2" customHeight="1" s="375">
      <c r="A130" s="334" t="inlineStr">
        <is>
          <t>ลงชื่อ……………………………………………</t>
        </is>
      </c>
      <c r="G130" s="374" t="n"/>
      <c r="H130" s="334" t="inlineStr">
        <is>
          <t>ลงชื่อ……………………………………………</t>
        </is>
      </c>
      <c r="L130" s="374" t="n"/>
      <c r="M130" s="334" t="inlineStr">
        <is>
          <t>ลงชื่อ……………………………………………</t>
        </is>
      </c>
      <c r="S130" s="374" t="n"/>
    </row>
    <row r="131" ht="22.2" customHeight="1" s="375">
      <c r="A131" s="11" t="inlineStr">
        <is>
          <t>(</t>
        </is>
      </c>
      <c r="B131" s="324">
        <f>B99</f>
        <v/>
      </c>
      <c r="G131" s="326" t="inlineStr">
        <is>
          <t>)</t>
        </is>
      </c>
      <c r="H131" s="324" t="inlineStr">
        <is>
          <t>(</t>
        </is>
      </c>
      <c r="I131" s="340">
        <f>I85</f>
        <v/>
      </c>
      <c r="L131" s="12" t="inlineStr">
        <is>
          <t>)</t>
        </is>
      </c>
      <c r="M131" s="53" t="inlineStr">
        <is>
          <t>(</t>
        </is>
      </c>
      <c r="N131" s="53" t="n"/>
      <c r="O131" s="324">
        <f>O39</f>
        <v/>
      </c>
      <c r="R131" s="25" t="n"/>
      <c r="S131" s="326" t="inlineStr">
        <is>
          <t>)</t>
        </is>
      </c>
    </row>
    <row r="132" ht="22.2" customHeight="1" s="375">
      <c r="A132" s="540" t="inlineStr">
        <is>
          <t xml:space="preserve">                         ตำแหน่ง  ครู</t>
        </is>
      </c>
      <c r="G132" s="374" t="n"/>
      <c r="H132" s="54" t="inlineStr">
        <is>
          <t>ตำแหน่ง หัวหน้าแผนก</t>
        </is>
      </c>
      <c r="L132" s="374" t="n"/>
      <c r="M132" s="54" t="inlineStr">
        <is>
          <t>ตำแหน่ง   ผู้ตรวจสอบ</t>
        </is>
      </c>
      <c r="S132" s="374" t="n"/>
    </row>
    <row r="133" ht="22.2" customHeight="1" s="375">
      <c r="A133" s="55" t="inlineStr">
        <is>
          <t>วันที่ 19 เดือน ตุลาคม  พ.ศ.2569</t>
        </is>
      </c>
      <c r="B133" s="522" t="n"/>
      <c r="C133" s="522" t="n"/>
      <c r="D133" s="522" t="n"/>
      <c r="E133" s="522" t="n"/>
      <c r="F133" s="522" t="n"/>
      <c r="G133" s="527" t="n"/>
      <c r="H133" s="54">
        <f>A41</f>
        <v/>
      </c>
      <c r="L133" s="374" t="n"/>
      <c r="M133" s="55">
        <f>A41</f>
        <v/>
      </c>
      <c r="N133" s="522" t="n"/>
      <c r="O133" s="522" t="n"/>
      <c r="P133" s="522" t="n"/>
      <c r="Q133" s="522" t="n"/>
      <c r="R133" s="522" t="n"/>
      <c r="S133" s="527" t="n"/>
    </row>
    <row r="134" ht="22.2" customHeight="1" s="375">
      <c r="A134" s="154" t="inlineStr">
        <is>
          <t>ผู้ตรวจ</t>
        </is>
      </c>
      <c r="B134" s="153" t="n"/>
      <c r="C134" s="153" t="n"/>
      <c r="D134" s="153" t="n"/>
      <c r="E134" s="153" t="n"/>
      <c r="F134" s="153" t="n"/>
      <c r="G134" s="153" t="n"/>
      <c r="H134" s="153" t="n"/>
      <c r="I134" s="135" t="n"/>
      <c r="J134" s="154" t="inlineStr">
        <is>
          <t>ผู้เห็นชอบ</t>
        </is>
      </c>
      <c r="K134" s="153" t="n"/>
      <c r="L134" s="153" t="n"/>
      <c r="M134" s="153" t="n"/>
      <c r="N134" s="153" t="n"/>
      <c r="O134" s="153" t="n"/>
      <c r="P134" s="153" t="n"/>
      <c r="Q134" s="153" t="n"/>
      <c r="R134" s="153" t="n"/>
      <c r="S134" s="135" t="n"/>
    </row>
    <row r="135" ht="22.2" customHeight="1" s="375">
      <c r="A135" s="334" t="inlineStr">
        <is>
          <t>ลงชื่อ……………………………………………</t>
        </is>
      </c>
      <c r="I135" s="374" t="n"/>
      <c r="J135" s="334" t="inlineStr">
        <is>
          <t>ลงชื่อ……………………………………………</t>
        </is>
      </c>
      <c r="S135" s="374" t="n"/>
    </row>
    <row r="136" ht="22.2" customHeight="1" s="375">
      <c r="A136" s="11" t="n"/>
      <c r="B136" s="324">
        <f>B44</f>
        <v/>
      </c>
      <c r="I136" s="326" t="n"/>
      <c r="J136" s="25" t="n"/>
      <c r="K136" s="25" t="n"/>
      <c r="L136" s="324">
        <f>L44</f>
        <v/>
      </c>
      <c r="R136" s="25" t="n"/>
      <c r="S136" s="12" t="n"/>
    </row>
    <row r="137" ht="22.2" customHeight="1" s="375">
      <c r="A137" s="54" t="inlineStr">
        <is>
          <t>ตำแหน่งครู  หัวหน้างานพัฒนาหลักสูตร ฯ</t>
        </is>
      </c>
      <c r="I137" s="374" t="n"/>
      <c r="J137" s="54" t="inlineStr">
        <is>
          <t>ตำแหน่ง  รองผู้อำนวยการฝ่ายวิชาการ</t>
        </is>
      </c>
      <c r="S137" s="374" t="n"/>
    </row>
    <row r="138" ht="22.2" customHeight="1" s="375">
      <c r="A138" s="336" t="inlineStr">
        <is>
          <t>วันที่.......เดือน..........................พ.ศ..............</t>
        </is>
      </c>
      <c r="B138" s="522" t="n"/>
      <c r="C138" s="522" t="n"/>
      <c r="D138" s="522" t="n"/>
      <c r="E138" s="522" t="n"/>
      <c r="F138" s="522" t="n"/>
      <c r="G138" s="522" t="n"/>
      <c r="H138" s="522" t="n"/>
      <c r="I138" s="527" t="n"/>
      <c r="J138" s="336" t="inlineStr">
        <is>
          <t>วันที่.......เดือน..........................พ.ศ..............</t>
        </is>
      </c>
      <c r="K138" s="522" t="n"/>
      <c r="L138" s="522" t="n"/>
      <c r="M138" s="522" t="n"/>
      <c r="N138" s="522" t="n"/>
      <c r="O138" s="522" t="n"/>
      <c r="P138" s="522" t="n"/>
      <c r="Q138" s="522" t="n"/>
      <c r="R138" s="522" t="n"/>
      <c r="S138" s="527" t="n"/>
    </row>
    <row r="139" ht="22.2" customHeight="1" s="375">
      <c r="A139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75">
      <c r="A140" s="365" t="inlineStr">
        <is>
          <t>แผนกวิชาช่างยนต์</t>
        </is>
      </c>
    </row>
    <row r="141" ht="22.2" customHeight="1" s="375">
      <c r="A141" s="366" t="inlineStr">
        <is>
          <t xml:space="preserve">    ระหว่างวันที่</t>
        </is>
      </c>
      <c r="D141" s="365">
        <f>D3</f>
        <v/>
      </c>
      <c r="E141" s="365" t="inlineStr">
        <is>
          <t xml:space="preserve">   เดือน  </t>
        </is>
      </c>
      <c r="F141" s="365">
        <f>F3</f>
        <v/>
      </c>
      <c r="H141" s="365">
        <f>H3</f>
        <v/>
      </c>
      <c r="I141" s="365" t="inlineStr">
        <is>
          <t xml:space="preserve">     ถึง วันที่</t>
        </is>
      </c>
      <c r="J141" s="365">
        <f>J3</f>
        <v/>
      </c>
      <c r="K141" s="365" t="inlineStr">
        <is>
          <t xml:space="preserve">   เดือน </t>
        </is>
      </c>
      <c r="L141" s="365">
        <f>L3</f>
        <v/>
      </c>
      <c r="N141" s="365">
        <f>N3</f>
        <v/>
      </c>
      <c r="P141" s="365" t="n"/>
      <c r="R141" s="365" t="n"/>
    </row>
    <row r="142" ht="22.2" customHeight="1" s="375">
      <c r="G142" s="51" t="inlineStr">
        <is>
          <t>ü</t>
        </is>
      </c>
      <c r="H142" s="351" t="inlineStr">
        <is>
          <t>ครู</t>
        </is>
      </c>
      <c r="I142" s="322" t="inlineStr">
        <is>
          <t>หน้าที่พิเศษ</t>
        </is>
      </c>
      <c r="J142" t="inlineStr">
        <is>
          <t>รหัสวิชา</t>
        </is>
      </c>
    </row>
    <row r="143" ht="22.2" customHeight="1" s="375">
      <c r="A143" s="24" t="inlineStr">
        <is>
          <t>ที่</t>
        </is>
      </c>
      <c r="B143" s="24" t="inlineStr">
        <is>
          <t>ชื่อ-สกุล</t>
        </is>
      </c>
      <c r="C143" s="153" t="n"/>
      <c r="D143" s="135" t="n"/>
      <c r="E143" s="15" t="inlineStr">
        <is>
          <t>ตำแหน่ง</t>
        </is>
      </c>
      <c r="F143" s="16" t="inlineStr">
        <is>
          <t>ระยะเวลาที่สอน</t>
        </is>
      </c>
      <c r="G143" s="432" t="n"/>
      <c r="H143" s="16" t="inlineStr">
        <is>
          <t>รหัสวิชา</t>
        </is>
      </c>
      <c r="I143" s="362" t="inlineStr">
        <is>
          <t>ชั้น,แผนก,ห้อง</t>
        </is>
      </c>
      <c r="J143" s="16" t="inlineStr">
        <is>
          <t>เวลาสอน</t>
        </is>
      </c>
      <c r="K143" s="135" t="n"/>
      <c r="L143" s="16" t="inlineStr">
        <is>
          <t>ปวช.(คาบ)</t>
        </is>
      </c>
      <c r="M143" s="432" t="n"/>
      <c r="N143" s="354" t="inlineStr">
        <is>
          <t>เงิน</t>
        </is>
      </c>
      <c r="O143" s="362" t="inlineStr">
        <is>
          <t>ยอดเงิน</t>
        </is>
      </c>
      <c r="P143" s="524" t="inlineStr">
        <is>
          <t>ปวส.(คาบ)</t>
        </is>
      </c>
      <c r="Q143" s="432" t="n"/>
      <c r="R143" s="354" t="inlineStr">
        <is>
          <t>เงิน</t>
        </is>
      </c>
      <c r="S143" s="362" t="inlineStr">
        <is>
          <t>ยอดเงิน</t>
        </is>
      </c>
    </row>
    <row r="144" ht="22.2" customHeight="1" s="375">
      <c r="A144" s="52" t="n"/>
      <c r="B144" s="8" t="n"/>
      <c r="C144" s="9" t="n"/>
      <c r="D144" s="13" t="n"/>
      <c r="E144" s="10" t="n"/>
      <c r="F144" s="336" t="inlineStr">
        <is>
          <t>ส.</t>
        </is>
      </c>
      <c r="G144" s="336" t="inlineStr">
        <is>
          <t>วดป.</t>
        </is>
      </c>
      <c r="H144" s="525" t="n"/>
      <c r="I144" s="336" t="n"/>
      <c r="J144" s="526" t="n"/>
      <c r="K144" s="527" t="n"/>
      <c r="L144" s="336" t="inlineStr">
        <is>
          <t>ใน</t>
        </is>
      </c>
      <c r="M144" s="336" t="inlineStr">
        <is>
          <t>นอก</t>
        </is>
      </c>
      <c r="N144" s="336" t="inlineStr">
        <is>
          <t>ต่อ ชม.</t>
        </is>
      </c>
      <c r="O144" s="336" t="inlineStr">
        <is>
          <t>(บาท)</t>
        </is>
      </c>
      <c r="P144" s="52" t="inlineStr">
        <is>
          <t>ใน</t>
        </is>
      </c>
      <c r="Q144" s="52" t="inlineStr">
        <is>
          <t>นอก</t>
        </is>
      </c>
      <c r="R144" s="336" t="inlineStr">
        <is>
          <t>ต่อ ชม.</t>
        </is>
      </c>
      <c r="S144" s="336" t="inlineStr">
        <is>
          <t>(บาท)</t>
        </is>
      </c>
    </row>
    <row r="145" ht="22.2" customHeight="1" s="375">
      <c r="A145" s="362" t="n">
        <v>4</v>
      </c>
      <c r="B145" s="528">
        <f>AB6</f>
        <v/>
      </c>
      <c r="C145" s="153" t="n"/>
      <c r="D145" s="135" t="n"/>
      <c r="E145" s="362" t="inlineStr">
        <is>
          <t>ครู</t>
        </is>
      </c>
      <c r="F145" s="5" t="n">
        <v>5</v>
      </c>
      <c r="G145" s="529" t="inlineStr">
        <is>
          <t>จันทร์</t>
        </is>
      </c>
      <c r="H145" s="381" t="inlineStr"/>
      <c r="I145" s="334" t="inlineStr"/>
      <c r="J145" s="381" t="inlineStr"/>
      <c r="K145" s="135" t="n"/>
      <c r="L145" s="367" t="inlineStr"/>
      <c r="M145" s="381" t="inlineStr"/>
      <c r="N145" s="381" t="inlineStr"/>
      <c r="O145" s="354" t="inlineStr"/>
      <c r="P145" s="367" t="inlineStr"/>
      <c r="Q145" s="381" t="inlineStr"/>
      <c r="R145" s="381" t="inlineStr"/>
      <c r="S145" s="354" t="inlineStr"/>
      <c r="T145" t="inlineStr"/>
      <c r="U145" t="inlineStr"/>
    </row>
    <row r="146" ht="22.2" customHeight="1" s="375">
      <c r="A146" s="3" t="n"/>
      <c r="E146" s="334" t="n"/>
      <c r="F146" s="322" t="n"/>
      <c r="G146" s="535" t="inlineStr">
        <is>
          <t>12 ต.ค.69</t>
        </is>
      </c>
      <c r="H146" s="376" t="inlineStr"/>
      <c r="I146" s="334" t="inlineStr"/>
      <c r="J146" s="334" t="inlineStr"/>
      <c r="K146" s="374" t="n"/>
      <c r="L146" s="334" t="inlineStr"/>
      <c r="M146" s="334" t="inlineStr"/>
      <c r="N146" s="334" t="inlineStr"/>
      <c r="O146" s="354" t="inlineStr"/>
      <c r="P146" s="334" t="inlineStr"/>
      <c r="Q146" s="334" t="inlineStr"/>
      <c r="R146" s="334" t="inlineStr"/>
      <c r="S146" s="354" t="inlineStr"/>
      <c r="T146" t="inlineStr"/>
      <c r="U146" t="inlineStr"/>
    </row>
    <row r="147" ht="22.2" customHeight="1" s="375">
      <c r="A147" s="3" t="n"/>
      <c r="B147" s="313" t="n"/>
      <c r="D147" s="314" t="n"/>
      <c r="E147" s="314" t="n"/>
      <c r="F147" s="322" t="n"/>
      <c r="G147" s="321" t="inlineStr"/>
      <c r="H147" s="376" t="inlineStr"/>
      <c r="I147" s="334" t="inlineStr"/>
      <c r="J147" s="334" t="inlineStr"/>
      <c r="K147" s="374" t="n"/>
      <c r="L147" s="334" t="inlineStr"/>
      <c r="M147" s="334" t="inlineStr"/>
      <c r="N147" s="334" t="inlineStr"/>
      <c r="O147" s="354" t="inlineStr"/>
      <c r="P147" s="334" t="inlineStr"/>
      <c r="Q147" s="334" t="inlineStr"/>
      <c r="R147" s="334" t="inlineStr"/>
      <c r="S147" s="354" t="inlineStr"/>
      <c r="T147" t="inlineStr"/>
      <c r="U147" t="inlineStr"/>
    </row>
    <row r="148" ht="22.2" customHeight="1" s="375">
      <c r="A148" s="3" t="n"/>
      <c r="B148" s="313" t="n"/>
      <c r="E148" s="3" t="n"/>
      <c r="F148" s="322" t="n"/>
      <c r="G148" s="321" t="inlineStr"/>
      <c r="H148" s="334" t="inlineStr"/>
      <c r="I148" s="334" t="inlineStr"/>
      <c r="J148" s="334" t="inlineStr"/>
      <c r="K148" s="374" t="n"/>
      <c r="L148" s="334" t="inlineStr"/>
      <c r="M148" s="334" t="inlineStr"/>
      <c r="N148" s="334" t="inlineStr"/>
      <c r="O148" s="354" t="inlineStr"/>
      <c r="P148" s="334" t="inlineStr"/>
      <c r="Q148" s="334" t="inlineStr"/>
      <c r="R148" s="334" t="inlineStr"/>
      <c r="S148" s="354" t="inlineStr"/>
      <c r="T148" t="inlineStr"/>
      <c r="U148" t="inlineStr"/>
    </row>
    <row r="149" ht="22.2" customHeight="1" s="375">
      <c r="A149" s="3" t="n"/>
      <c r="E149" s="3" t="n"/>
      <c r="G149" s="344" t="inlineStr"/>
      <c r="H149" s="336" t="inlineStr"/>
      <c r="I149" s="336" t="inlineStr"/>
      <c r="J149" s="336" t="inlineStr"/>
      <c r="K149" s="527" t="n"/>
      <c r="L149" s="334" t="inlineStr"/>
      <c r="M149" s="334" t="inlineStr"/>
      <c r="N149" s="334" t="inlineStr"/>
      <c r="O149" s="354" t="inlineStr"/>
      <c r="P149" s="334" t="inlineStr"/>
      <c r="Q149" s="334" t="inlineStr"/>
      <c r="R149" s="334" t="inlineStr"/>
      <c r="S149" s="354" t="inlineStr"/>
      <c r="T149" t="inlineStr"/>
      <c r="U149" t="inlineStr"/>
    </row>
    <row r="150" ht="22.2" customHeight="1" s="375">
      <c r="A150" s="3" t="n"/>
      <c r="E150" s="3" t="n"/>
      <c r="G150" s="533" t="inlineStr">
        <is>
          <t>อังคาร</t>
        </is>
      </c>
      <c r="H150" s="376" t="inlineStr">
        <is>
          <t>20101-2002</t>
        </is>
      </c>
      <c r="I150" s="376" t="inlineStr">
        <is>
          <t>ชย.1/10 (26)</t>
        </is>
      </c>
      <c r="J150" s="381" t="inlineStr">
        <is>
          <t>08:10 - 12:10</t>
        </is>
      </c>
      <c r="K150" s="135" t="n"/>
      <c r="L150" s="367" t="n">
        <v>4</v>
      </c>
      <c r="M150" s="381" t="inlineStr"/>
      <c r="N150" s="381" t="inlineStr"/>
      <c r="O150" s="354" t="inlineStr"/>
      <c r="P150" s="367" t="inlineStr"/>
      <c r="Q150" s="381" t="inlineStr"/>
      <c r="R150" s="381" t="inlineStr"/>
      <c r="S150" s="354" t="inlineStr"/>
      <c r="T150" s="6" t="inlineStr"/>
      <c r="U150" s="22" t="inlineStr"/>
      <c r="V150" s="57" t="n"/>
      <c r="W150" s="21" t="n"/>
      <c r="X150" s="21" t="n"/>
    </row>
    <row r="151" ht="22.2" customHeight="1" s="375">
      <c r="A151" s="3" t="n"/>
      <c r="E151" s="3" t="n"/>
      <c r="G151" s="535" t="inlineStr">
        <is>
          <t>13 ต.ค.69</t>
        </is>
      </c>
      <c r="H151" s="376" t="inlineStr">
        <is>
          <t>20101-2002</t>
        </is>
      </c>
      <c r="I151" s="376" t="inlineStr">
        <is>
          <t>ชย.1/10 (26)</t>
        </is>
      </c>
      <c r="J151" s="334" t="inlineStr">
        <is>
          <t>13:10 - 16:10</t>
        </is>
      </c>
      <c r="K151" s="374" t="n"/>
      <c r="L151" s="334" t="n">
        <v>3</v>
      </c>
      <c r="M151" s="334" t="inlineStr"/>
      <c r="N151" s="334" t="inlineStr"/>
      <c r="O151" s="354" t="inlineStr"/>
      <c r="P151" s="334" t="inlineStr"/>
      <c r="Q151" s="334" t="inlineStr"/>
      <c r="R151" s="334" t="inlineStr"/>
      <c r="S151" s="354" t="inlineStr"/>
      <c r="T151" s="21" t="inlineStr"/>
      <c r="U151" s="22" t="inlineStr"/>
      <c r="V151" s="57" t="n"/>
      <c r="W151" s="21" t="n"/>
      <c r="X151" s="21" t="n"/>
    </row>
    <row r="152" ht="22.2" customHeight="1" s="375">
      <c r="A152" s="3" t="n"/>
      <c r="B152" s="313" t="n"/>
      <c r="D152" s="314" t="n"/>
      <c r="E152" s="314" t="n"/>
      <c r="G152" s="334" t="inlineStr"/>
      <c r="H152" s="376" t="inlineStr"/>
      <c r="I152" s="376" t="inlineStr"/>
      <c r="J152" s="376" t="inlineStr"/>
      <c r="K152" s="374" t="n"/>
      <c r="L152" s="334" t="inlineStr"/>
      <c r="M152" s="334" t="inlineStr"/>
      <c r="N152" s="334" t="inlineStr"/>
      <c r="O152" s="354" t="inlineStr"/>
      <c r="P152" s="334" t="inlineStr"/>
      <c r="Q152" s="334" t="inlineStr"/>
      <c r="R152" s="334" t="inlineStr"/>
      <c r="S152" s="354" t="inlineStr"/>
      <c r="T152" t="inlineStr"/>
      <c r="U152" t="inlineStr"/>
    </row>
    <row r="153" ht="22.2" customHeight="1" s="375">
      <c r="A153" s="3" t="n"/>
      <c r="E153" s="3" t="n"/>
      <c r="G153" s="54" t="inlineStr"/>
      <c r="H153" s="334" t="inlineStr"/>
      <c r="I153" s="334" t="inlineStr"/>
      <c r="J153" s="334" t="inlineStr"/>
      <c r="K153" s="374" t="n"/>
      <c r="L153" s="334" t="inlineStr"/>
      <c r="M153" s="334" t="inlineStr"/>
      <c r="N153" s="334" t="inlineStr"/>
      <c r="O153" s="354" t="inlineStr"/>
      <c r="P153" s="334" t="inlineStr"/>
      <c r="Q153" s="334" t="inlineStr"/>
      <c r="R153" s="334" t="inlineStr"/>
      <c r="S153" s="354" t="inlineStr"/>
      <c r="T153" t="inlineStr"/>
      <c r="U153" t="inlineStr"/>
    </row>
    <row r="154" ht="22.2" customHeight="1" s="375">
      <c r="A154" s="3" t="n"/>
      <c r="D154" s="7" t="inlineStr">
        <is>
          <t> </t>
        </is>
      </c>
      <c r="E154" s="3" t="n"/>
      <c r="G154" s="55" t="inlineStr"/>
      <c r="H154" s="336" t="inlineStr"/>
      <c r="I154" s="336" t="inlineStr"/>
      <c r="J154" s="336" t="inlineStr"/>
      <c r="K154" s="527" t="n"/>
      <c r="L154" s="334" t="inlineStr"/>
      <c r="M154" s="334" t="inlineStr"/>
      <c r="N154" s="334" t="inlineStr"/>
      <c r="O154" s="354" t="inlineStr"/>
      <c r="P154" s="334" t="inlineStr"/>
      <c r="Q154" s="334" t="inlineStr"/>
      <c r="R154" s="334" t="inlineStr"/>
      <c r="S154" s="354" t="inlineStr"/>
      <c r="T154" t="inlineStr"/>
      <c r="U154" t="inlineStr"/>
    </row>
    <row r="155" ht="22.2" customHeight="1" s="375">
      <c r="A155" s="3" t="n"/>
      <c r="E155" s="3" t="n"/>
      <c r="G155" s="535" t="inlineStr">
        <is>
          <t>พุธ</t>
        </is>
      </c>
      <c r="H155" s="376" t="inlineStr">
        <is>
          <t>20101-2002</t>
        </is>
      </c>
      <c r="I155" s="376" t="inlineStr">
        <is>
          <t>ชย.1/6 (26)</t>
        </is>
      </c>
      <c r="J155" s="381" t="inlineStr">
        <is>
          <t>08:10 - 12:10</t>
        </is>
      </c>
      <c r="K155" s="135" t="n"/>
      <c r="L155" s="367" t="n">
        <v>4</v>
      </c>
      <c r="M155" s="381" t="inlineStr"/>
      <c r="N155" s="381" t="inlineStr"/>
      <c r="O155" s="354" t="inlineStr"/>
      <c r="P155" s="367" t="inlineStr"/>
      <c r="Q155" s="381" t="inlineStr"/>
      <c r="R155" s="381" t="inlineStr"/>
      <c r="S155" s="354" t="inlineStr"/>
      <c r="T155" t="inlineStr"/>
      <c r="U155" t="inlineStr"/>
    </row>
    <row r="156" ht="22.2" customHeight="1" s="375">
      <c r="A156" s="3" t="n"/>
      <c r="E156" s="3" t="n"/>
      <c r="G156" s="535" t="inlineStr">
        <is>
          <t>14 ต.ค.69</t>
        </is>
      </c>
      <c r="H156" s="376" t="inlineStr">
        <is>
          <t>20101-2002</t>
        </is>
      </c>
      <c r="I156" s="376" t="inlineStr">
        <is>
          <t>ชย.1/6 (26)</t>
        </is>
      </c>
      <c r="J156" s="334" t="inlineStr">
        <is>
          <t>13:10 - 16:10</t>
        </is>
      </c>
      <c r="K156" s="374" t="n"/>
      <c r="L156" s="334" t="n">
        <v>3</v>
      </c>
      <c r="M156" s="334" t="inlineStr"/>
      <c r="N156" s="334" t="inlineStr"/>
      <c r="O156" s="354" t="inlineStr"/>
      <c r="P156" s="334" t="inlineStr"/>
      <c r="Q156" s="334" t="inlineStr"/>
      <c r="R156" s="334" t="inlineStr"/>
      <c r="S156" s="354" t="inlineStr"/>
      <c r="T156" t="inlineStr"/>
      <c r="U156" t="inlineStr"/>
    </row>
    <row r="157" ht="22.2" customHeight="1" s="375">
      <c r="A157" s="3" t="n"/>
      <c r="B157" s="313" t="n"/>
      <c r="D157" s="314" t="n"/>
      <c r="E157" s="314" t="n"/>
      <c r="G157" s="334" t="inlineStr"/>
      <c r="H157" s="376" t="inlineStr"/>
      <c r="I157" s="334" t="inlineStr"/>
      <c r="J157" s="334" t="inlineStr"/>
      <c r="K157" s="374" t="n"/>
      <c r="L157" s="334" t="inlineStr"/>
      <c r="M157" s="334" t="inlineStr"/>
      <c r="N157" s="334" t="inlineStr"/>
      <c r="O157" s="354" t="inlineStr"/>
      <c r="P157" s="334" t="inlineStr"/>
      <c r="Q157" s="334" t="inlineStr"/>
      <c r="R157" s="334" t="inlineStr"/>
      <c r="S157" s="354" t="inlineStr"/>
      <c r="T157" t="inlineStr"/>
      <c r="U157" t="inlineStr"/>
    </row>
    <row r="158" ht="22.2" customHeight="1" s="375">
      <c r="A158" s="3" t="n"/>
      <c r="E158" s="3" t="n"/>
      <c r="G158" s="321" t="inlineStr"/>
      <c r="H158" s="334" t="inlineStr"/>
      <c r="I158" s="334" t="inlineStr"/>
      <c r="J158" s="334" t="inlineStr"/>
      <c r="K158" s="374" t="n"/>
      <c r="L158" s="334" t="inlineStr"/>
      <c r="M158" s="334" t="inlineStr"/>
      <c r="N158" s="334" t="inlineStr"/>
      <c r="O158" s="354" t="inlineStr"/>
      <c r="P158" s="334" t="inlineStr"/>
      <c r="Q158" s="334" t="inlineStr"/>
      <c r="R158" s="334" t="inlineStr"/>
      <c r="S158" s="354" t="inlineStr"/>
      <c r="T158" t="inlineStr"/>
      <c r="U158" t="inlineStr"/>
    </row>
    <row r="159" ht="22.2" customHeight="1" s="375">
      <c r="A159" s="3" t="n"/>
      <c r="E159" s="3" t="n"/>
      <c r="G159" s="327" t="inlineStr"/>
      <c r="H159" s="336" t="inlineStr"/>
      <c r="I159" s="336" t="inlineStr"/>
      <c r="J159" s="336" t="inlineStr"/>
      <c r="K159" s="527" t="n"/>
      <c r="L159" s="336" t="inlineStr"/>
      <c r="M159" s="336" t="inlineStr"/>
      <c r="N159" s="336" t="inlineStr"/>
      <c r="O159" s="354" t="inlineStr"/>
      <c r="P159" s="336" t="inlineStr"/>
      <c r="Q159" s="336" t="inlineStr"/>
      <c r="R159" s="336" t="inlineStr"/>
      <c r="S159" s="16" t="inlineStr"/>
      <c r="T159" t="inlineStr"/>
      <c r="U159" t="inlineStr"/>
    </row>
    <row r="160" ht="22.2" customHeight="1" s="375">
      <c r="A160" s="3" t="n"/>
      <c r="E160" s="3" t="n"/>
      <c r="G160" s="533" t="inlineStr">
        <is>
          <t>พฤหัส</t>
        </is>
      </c>
      <c r="H160" s="376" t="inlineStr">
        <is>
          <t>20101-2002</t>
        </is>
      </c>
      <c r="I160" s="334" t="inlineStr">
        <is>
          <t>ชย.1/7 (26)</t>
        </is>
      </c>
      <c r="J160" s="381" t="inlineStr">
        <is>
          <t>08:10 - 12:10</t>
        </is>
      </c>
      <c r="K160" s="135" t="n"/>
      <c r="L160" s="334" t="n">
        <v>2</v>
      </c>
      <c r="M160" s="148" t="n">
        <v>2</v>
      </c>
      <c r="N160" s="148" t="n">
        <v>200</v>
      </c>
      <c r="O160" s="354">
        <f>M160*N160</f>
        <v/>
      </c>
      <c r="P160" s="334" t="inlineStr"/>
      <c r="Q160" s="148" t="inlineStr"/>
      <c r="R160" s="148" t="inlineStr"/>
      <c r="S160" s="16" t="inlineStr"/>
      <c r="T160" t="inlineStr"/>
      <c r="U160" t="inlineStr"/>
    </row>
    <row r="161" ht="22.2" customHeight="1" s="375">
      <c r="A161" s="3" t="n"/>
      <c r="E161" s="3" t="n"/>
      <c r="G161" s="535" t="inlineStr">
        <is>
          <t>15 ต.ค.69</t>
        </is>
      </c>
      <c r="H161" s="376" t="inlineStr">
        <is>
          <t>20101-2002</t>
        </is>
      </c>
      <c r="I161" s="334" t="inlineStr">
        <is>
          <t>ชย.1/7 (26)</t>
        </is>
      </c>
      <c r="J161" s="334" t="inlineStr">
        <is>
          <t>15:10 - 18:10</t>
        </is>
      </c>
      <c r="K161" s="374" t="n"/>
      <c r="L161" s="334" t="inlineStr"/>
      <c r="M161" s="251" t="n">
        <v>3</v>
      </c>
      <c r="N161" s="251" t="n">
        <v>200</v>
      </c>
      <c r="O161" s="354">
        <f>M161*N161</f>
        <v/>
      </c>
      <c r="P161" s="334" t="inlineStr"/>
      <c r="Q161" s="251" t="inlineStr"/>
      <c r="R161" s="149" t="inlineStr"/>
      <c r="S161" s="16" t="inlineStr"/>
      <c r="T161" t="inlineStr"/>
      <c r="U161" t="inlineStr"/>
    </row>
    <row r="162" ht="22.2" customHeight="1" s="375">
      <c r="A162" s="3" t="n"/>
      <c r="B162" s="313" t="n"/>
      <c r="E162" s="3" t="n"/>
      <c r="G162" s="334" t="inlineStr"/>
      <c r="H162" s="376" t="inlineStr"/>
      <c r="I162" s="334" t="inlineStr"/>
      <c r="J162" s="334" t="inlineStr"/>
      <c r="K162" s="374" t="n"/>
      <c r="L162" s="376" t="inlineStr"/>
      <c r="M162" s="251" t="inlineStr"/>
      <c r="N162" s="251" t="inlineStr"/>
      <c r="O162" s="354" t="inlineStr"/>
      <c r="P162" s="376" t="inlineStr"/>
      <c r="Q162" s="251" t="inlineStr"/>
      <c r="R162" s="149" t="inlineStr"/>
      <c r="S162" s="16" t="inlineStr"/>
      <c r="T162" t="inlineStr"/>
      <c r="U162" t="inlineStr"/>
    </row>
    <row r="163" ht="22.2" customHeight="1" s="375">
      <c r="A163" s="3" t="n"/>
      <c r="E163" s="3" t="n"/>
      <c r="G163" s="334" t="inlineStr"/>
      <c r="H163" s="334" t="inlineStr"/>
      <c r="I163" s="334" t="inlineStr"/>
      <c r="J163" s="334" t="inlineStr"/>
      <c r="K163" s="374" t="n"/>
      <c r="L163" s="334" t="inlineStr"/>
      <c r="M163" s="334" t="inlineStr"/>
      <c r="N163" s="334" t="inlineStr"/>
      <c r="O163" s="354" t="inlineStr"/>
      <c r="P163" s="334" t="inlineStr"/>
      <c r="Q163" s="334" t="inlineStr"/>
      <c r="R163" s="334" t="inlineStr"/>
      <c r="S163" s="354" t="inlineStr"/>
      <c r="T163" t="inlineStr"/>
      <c r="U163" t="inlineStr"/>
    </row>
    <row r="164" ht="22.2" customHeight="1" s="375">
      <c r="A164" s="3" t="n"/>
      <c r="E164" s="3" t="n"/>
      <c r="G164" s="336" t="inlineStr"/>
      <c r="H164" s="328" t="inlineStr"/>
      <c r="I164" s="336" t="inlineStr"/>
      <c r="J164" s="336" t="inlineStr"/>
      <c r="K164" s="527" t="n"/>
      <c r="L164" s="336" t="inlineStr"/>
      <c r="M164" s="336" t="inlineStr"/>
      <c r="N164" s="336" t="inlineStr"/>
      <c r="O164" s="354" t="inlineStr"/>
      <c r="P164" s="336" t="inlineStr"/>
      <c r="Q164" s="336" t="inlineStr"/>
      <c r="R164" s="336" t="inlineStr"/>
      <c r="S164" s="354" t="inlineStr"/>
      <c r="T164" t="inlineStr"/>
      <c r="U164" t="inlineStr"/>
    </row>
    <row r="165" ht="22.2" customHeight="1" s="375">
      <c r="A165" s="3" t="n"/>
      <c r="D165" s="374" t="n"/>
      <c r="E165" s="251" t="n"/>
      <c r="G165" s="533" t="inlineStr">
        <is>
          <t>ศุกร์</t>
        </is>
      </c>
      <c r="H165" s="376" t="inlineStr">
        <is>
          <t>20101-2002</t>
        </is>
      </c>
      <c r="I165" s="376" t="inlineStr">
        <is>
          <t>ชย.1/9 (26)</t>
        </is>
      </c>
      <c r="J165" s="381" t="inlineStr">
        <is>
          <t>08:10 - 12:10</t>
        </is>
      </c>
      <c r="K165" s="135" t="n"/>
      <c r="L165" s="334" t="inlineStr"/>
      <c r="M165" s="24" t="n">
        <v>4</v>
      </c>
      <c r="N165" s="360" t="n">
        <v>200</v>
      </c>
      <c r="O165" s="354">
        <f>M165*N165</f>
        <v/>
      </c>
      <c r="P165" s="367" t="inlineStr"/>
      <c r="Q165" s="362" t="inlineStr"/>
      <c r="R165" s="354" t="inlineStr"/>
      <c r="S165" s="16" t="inlineStr"/>
      <c r="T165" t="inlineStr"/>
      <c r="U165" t="inlineStr"/>
    </row>
    <row r="166" ht="22.2" customHeight="1" s="375">
      <c r="A166" s="3" t="n"/>
      <c r="D166" s="314" t="n"/>
      <c r="E166" s="3" t="n"/>
      <c r="G166" s="535" t="inlineStr">
        <is>
          <t>16 ต.ค.69</t>
        </is>
      </c>
      <c r="H166" s="376" t="inlineStr">
        <is>
          <t>20101-2002</t>
        </is>
      </c>
      <c r="I166" s="376" t="inlineStr">
        <is>
          <t>ชย.1/9 (26)</t>
        </is>
      </c>
      <c r="J166" s="334" t="inlineStr">
        <is>
          <t>13:10 - 16:10</t>
        </is>
      </c>
      <c r="K166" s="374" t="n"/>
      <c r="L166" s="334" t="inlineStr"/>
      <c r="M166" s="251" t="n">
        <v>3</v>
      </c>
      <c r="N166" s="374" t="n">
        <v>200</v>
      </c>
      <c r="O166" s="354">
        <f>M166*N166</f>
        <v/>
      </c>
      <c r="P166" s="334" t="inlineStr"/>
      <c r="Q166" s="251" t="inlineStr"/>
      <c r="R166" s="251" t="inlineStr"/>
      <c r="S166" s="16" t="inlineStr"/>
      <c r="T166" t="inlineStr"/>
      <c r="U166" t="inlineStr"/>
    </row>
    <row r="167" ht="22.2" customHeight="1" s="375">
      <c r="A167" s="3" t="n"/>
      <c r="E167" s="3" t="n"/>
      <c r="G167" s="334" t="inlineStr"/>
      <c r="H167" s="376" t="inlineStr"/>
      <c r="I167" s="334" t="inlineStr"/>
      <c r="J167" s="334" t="inlineStr"/>
      <c r="K167" s="374" t="n"/>
      <c r="L167" s="334" t="inlineStr"/>
      <c r="M167" s="334" t="inlineStr"/>
      <c r="N167" s="334" t="inlineStr"/>
      <c r="O167" s="354" t="inlineStr"/>
      <c r="P167" s="334" t="inlineStr"/>
      <c r="Q167" s="334" t="inlineStr"/>
      <c r="R167" s="334" t="inlineStr"/>
      <c r="S167" s="354" t="inlineStr"/>
      <c r="T167" t="inlineStr"/>
      <c r="U167" t="inlineStr"/>
    </row>
    <row r="168" ht="22.2" customHeight="1" s="375">
      <c r="A168" s="3" t="n"/>
      <c r="E168" s="3" t="n"/>
      <c r="G168" s="334" t="inlineStr"/>
      <c r="H168" s="334" t="inlineStr"/>
      <c r="I168" s="334" t="inlineStr"/>
      <c r="J168" s="334" t="inlineStr"/>
      <c r="K168" s="374" t="n"/>
      <c r="L168" s="334" t="inlineStr"/>
      <c r="M168" s="334" t="inlineStr"/>
      <c r="N168" s="334" t="inlineStr"/>
      <c r="O168" s="354" t="inlineStr"/>
      <c r="P168" s="334" t="inlineStr"/>
      <c r="Q168" s="334" t="inlineStr"/>
      <c r="R168" s="334" t="inlineStr"/>
      <c r="S168" s="354" t="inlineStr"/>
      <c r="T168" t="inlineStr"/>
      <c r="U168" t="inlineStr"/>
    </row>
    <row r="169" ht="22.2" customHeight="1" s="375">
      <c r="A169" s="3" t="n"/>
      <c r="E169" s="3" t="n"/>
      <c r="F169" s="3" t="n"/>
      <c r="G169" s="329" t="inlineStr"/>
      <c r="H169" s="328" t="inlineStr"/>
      <c r="I169" s="336" t="inlineStr"/>
      <c r="J169" s="336" t="inlineStr"/>
      <c r="K169" s="527" t="n"/>
      <c r="L169" s="336" t="inlineStr"/>
      <c r="M169" s="336" t="inlineStr"/>
      <c r="N169" s="336" t="inlineStr"/>
      <c r="O169" s="354" t="inlineStr"/>
      <c r="P169" s="336" t="inlineStr"/>
      <c r="Q169" s="336" t="inlineStr"/>
      <c r="R169" s="336" t="inlineStr"/>
      <c r="S169" s="354" t="inlineStr"/>
      <c r="T169" t="inlineStr"/>
      <c r="U169" t="inlineStr"/>
    </row>
    <row r="170" ht="22.2" customHeight="1" s="375">
      <c r="A170" s="3" t="n"/>
      <c r="E170" s="3" t="n"/>
      <c r="F170" s="3" t="n"/>
      <c r="G170" s="16" t="inlineStr">
        <is>
          <t>รวมขั่วโมงที่สอนแยก ภาระงาน/ เกินภาระงาน</t>
        </is>
      </c>
      <c r="H170" s="518" t="n"/>
      <c r="I170" s="518" t="n"/>
      <c r="J170" s="518" t="n"/>
      <c r="K170" s="432" t="n"/>
      <c r="L170" s="16">
        <f>SUM(L145:L169)</f>
        <v/>
      </c>
      <c r="M170" s="16">
        <f>SUM(M145:M169)</f>
        <v/>
      </c>
      <c r="N170" s="16" t="n"/>
      <c r="O170" s="16" t="n"/>
      <c r="P170" s="16">
        <f>SUM(P145:P169)</f>
        <v/>
      </c>
      <c r="Q170" s="16">
        <f>SUM(Q145:Q169)</f>
        <v/>
      </c>
      <c r="R170" s="349" t="n"/>
      <c r="S170" s="16" t="n"/>
      <c r="T170" s="23" t="n"/>
      <c r="U170" s="23" t="inlineStr">
        <is>
          <t>สอน ป.ตรี</t>
        </is>
      </c>
      <c r="V170" s="56" t="n"/>
      <c r="W170" s="23" t="n"/>
      <c r="X170" s="23" t="n"/>
    </row>
    <row r="171" ht="22.2" customHeight="1" s="375">
      <c r="A171" s="3" t="n"/>
      <c r="E171" s="3" t="n"/>
      <c r="F171" s="3" t="n"/>
      <c r="G171" s="16" t="inlineStr">
        <is>
          <t>รวมจำนวนชั่วโมงสอนคาบต่อสับดาห์</t>
        </is>
      </c>
      <c r="H171" s="518" t="n"/>
      <c r="I171" s="518" t="n"/>
      <c r="J171" s="518" t="n"/>
      <c r="K171" s="432" t="n"/>
      <c r="L171" s="16">
        <f>L170+M170</f>
        <v/>
      </c>
      <c r="M171" s="432" t="n"/>
      <c r="N171" s="16" t="n"/>
      <c r="O171" s="348" t="n"/>
      <c r="P171" s="16">
        <f>P170+Q170</f>
        <v/>
      </c>
      <c r="Q171" s="432" t="n"/>
      <c r="R171" s="329" t="n"/>
      <c r="S171" s="336" t="n"/>
      <c r="T171" s="23" t="n"/>
      <c r="U171" s="23" t="inlineStr">
        <is>
          <t>17.10-20.10</t>
        </is>
      </c>
      <c r="V171" s="56" t="n"/>
      <c r="W171" s="23" t="n"/>
      <c r="X171" s="23" t="n"/>
    </row>
    <row r="172" ht="22.2" customHeight="1" s="375">
      <c r="A172" s="3" t="n"/>
      <c r="E172" s="3" t="n"/>
      <c r="F172" s="3" t="n"/>
      <c r="G172" s="16" t="inlineStr">
        <is>
          <t>จำนวนชั่วโมงสอนตามภาระงานสอน</t>
        </is>
      </c>
      <c r="H172" s="518" t="n"/>
      <c r="I172" s="518" t="n"/>
      <c r="J172" s="518" t="n"/>
      <c r="K172" s="432" t="n"/>
      <c r="L172" s="541" t="n">
        <v>12</v>
      </c>
      <c r="M172" s="432" t="n"/>
      <c r="N172" s="129" t="n"/>
      <c r="O172" s="132" t="n"/>
      <c r="P172" s="541" t="n">
        <v>0</v>
      </c>
      <c r="Q172" s="432" t="n"/>
      <c r="R172" s="322" t="n"/>
      <c r="S172" s="334" t="n"/>
    </row>
    <row r="173" ht="22.2" customHeight="1" s="375" thickBot="1">
      <c r="A173" s="3" t="n"/>
      <c r="E173" s="3" t="n"/>
      <c r="F173" s="14" t="n"/>
      <c r="G173" s="16" t="inlineStr">
        <is>
          <t>จำนวนชั่วโมงบิกเกินภาระงานสอน/ค่าสอน</t>
        </is>
      </c>
      <c r="H173" s="518" t="n"/>
      <c r="I173" s="518" t="n"/>
      <c r="J173" s="518" t="n"/>
      <c r="K173" s="432" t="n"/>
      <c r="L173" s="17" t="n">
        <v>0</v>
      </c>
      <c r="M173" s="17">
        <f>SUM(M145:M169)</f>
        <v/>
      </c>
      <c r="N173" s="17" t="n"/>
      <c r="O173" s="17">
        <f>SUM(O145:O169)</f>
        <v/>
      </c>
      <c r="P173" s="17" t="n">
        <v>0</v>
      </c>
      <c r="Q173" s="17">
        <f>SUM(Q145:Q169)</f>
        <v/>
      </c>
      <c r="R173" s="18" t="n"/>
      <c r="S173" s="17">
        <f>SUM(S145:S169)</f>
        <v/>
      </c>
    </row>
    <row r="174" ht="22.2" customHeight="1" s="375" thickTop="1">
      <c r="A174" s="337" t="inlineStr">
        <is>
          <t>รวมจำนวนหน่วยชั่วโมงที่ขอเบิกค่าสอน ….</t>
        </is>
      </c>
      <c r="B174" s="518" t="n"/>
      <c r="C174" s="518" t="n"/>
      <c r="D174" s="518" t="n"/>
      <c r="E174" s="518" t="n"/>
      <c r="F174" s="518" t="n"/>
      <c r="G174" s="518" t="n"/>
      <c r="H174" s="348">
        <f>M173+Q173</f>
        <v/>
      </c>
      <c r="I174" s="348" t="inlineStr">
        <is>
          <t>….ชั่วโมง</t>
        </is>
      </c>
      <c r="J174" s="348" t="n"/>
      <c r="K174" s="328" t="inlineStr">
        <is>
          <t>ยอดเงินรวม</t>
        </is>
      </c>
      <c r="L174" s="522" t="n"/>
      <c r="M174" s="522" t="n"/>
      <c r="N174" s="328" t="n"/>
      <c r="O174" s="328" t="n"/>
      <c r="P174" s="339">
        <f>S173+O173</f>
        <v/>
      </c>
      <c r="Q174" s="538" t="n"/>
      <c r="R174" s="20" t="n"/>
      <c r="S174" s="19" t="inlineStr">
        <is>
          <t>..บาท</t>
        </is>
      </c>
    </row>
    <row r="175" ht="22.2" customHeight="1" s="375">
      <c r="A175" s="154" t="inlineStr">
        <is>
          <t>ผู้ขอเบิก</t>
        </is>
      </c>
      <c r="B175" s="153" t="n"/>
      <c r="C175" s="153" t="n"/>
      <c r="D175" s="153" t="n"/>
      <c r="E175" s="153" t="n"/>
      <c r="F175" s="153" t="n"/>
      <c r="G175" s="135" t="n"/>
      <c r="H175" s="154" t="inlineStr">
        <is>
          <t>ผู้รับรอง</t>
        </is>
      </c>
      <c r="I175" s="153" t="n"/>
      <c r="J175" s="153" t="n"/>
      <c r="K175" s="153" t="n"/>
      <c r="L175" s="135" t="n"/>
      <c r="M175" s="154" t="inlineStr">
        <is>
          <t>ผู้ตรวจ</t>
        </is>
      </c>
      <c r="N175" s="153" t="n"/>
      <c r="O175" s="153" t="n"/>
      <c r="P175" s="153" t="n"/>
      <c r="Q175" s="153" t="n"/>
      <c r="R175" s="153" t="n"/>
      <c r="S175" s="135" t="n"/>
    </row>
    <row r="176" ht="22.2" customHeight="1" s="375">
      <c r="A176" s="334" t="inlineStr">
        <is>
          <t>ลงชื่อ……………………………………………</t>
        </is>
      </c>
      <c r="G176" s="374" t="n"/>
      <c r="H176" s="334" t="inlineStr">
        <is>
          <t>ลงชื่อ……………………………………………</t>
        </is>
      </c>
      <c r="L176" s="374" t="n"/>
      <c r="M176" s="334" t="inlineStr">
        <is>
          <t>ลงชื่อ……………………………………………</t>
        </is>
      </c>
      <c r="S176" s="374" t="n"/>
    </row>
    <row r="177" ht="22.2" customHeight="1" s="375">
      <c r="A177" s="11" t="inlineStr">
        <is>
          <t>(</t>
        </is>
      </c>
      <c r="B177" s="324">
        <f>B145</f>
        <v/>
      </c>
      <c r="G177" s="326" t="inlineStr">
        <is>
          <t>)</t>
        </is>
      </c>
      <c r="H177" s="324" t="inlineStr">
        <is>
          <t>(</t>
        </is>
      </c>
      <c r="I177" s="340">
        <f>I131</f>
        <v/>
      </c>
      <c r="L177" s="12" t="inlineStr">
        <is>
          <t>)</t>
        </is>
      </c>
      <c r="M177" s="53" t="inlineStr">
        <is>
          <t>(</t>
        </is>
      </c>
      <c r="N177" s="53" t="n"/>
      <c r="O177" s="324">
        <f>O39</f>
        <v/>
      </c>
      <c r="R177" s="25" t="n"/>
      <c r="S177" s="326" t="inlineStr">
        <is>
          <t>)</t>
        </is>
      </c>
    </row>
    <row r="178" ht="22.2" customHeight="1" s="375">
      <c r="A178" s="540" t="inlineStr">
        <is>
          <t xml:space="preserve">                        ตำแหน่ง  ครู</t>
        </is>
      </c>
      <c r="G178" s="374" t="n"/>
      <c r="H178" s="54" t="inlineStr">
        <is>
          <t>ตำแหน่ง หัวหน้าแผนก</t>
        </is>
      </c>
      <c r="L178" s="374" t="n"/>
      <c r="M178" s="54" t="inlineStr">
        <is>
          <t>ตำแหน่ง   ผู้ตรวจสอบ</t>
        </is>
      </c>
      <c r="S178" s="374" t="n"/>
    </row>
    <row r="179" ht="22.2" customHeight="1" s="375">
      <c r="A179" s="55" t="inlineStr">
        <is>
          <t>วันที่ 19 เดือน ตุลาคม  พ.ศ.2569</t>
        </is>
      </c>
      <c r="B179" s="522" t="n"/>
      <c r="C179" s="522" t="n"/>
      <c r="D179" s="522" t="n"/>
      <c r="E179" s="522" t="n"/>
      <c r="F179" s="522" t="n"/>
      <c r="G179" s="527" t="n"/>
      <c r="H179" s="54">
        <f>A41</f>
        <v/>
      </c>
      <c r="L179" s="374" t="n"/>
      <c r="M179" s="55">
        <f>A41</f>
        <v/>
      </c>
      <c r="N179" s="522" t="n"/>
      <c r="O179" s="522" t="n"/>
      <c r="P179" s="522" t="n"/>
      <c r="Q179" s="522" t="n"/>
      <c r="R179" s="522" t="n"/>
      <c r="S179" s="527" t="n"/>
    </row>
    <row r="180" ht="22.2" customHeight="1" s="375">
      <c r="A180" s="154" t="inlineStr">
        <is>
          <t>ผู้ตรวจ</t>
        </is>
      </c>
      <c r="B180" s="153" t="n"/>
      <c r="C180" s="153" t="n"/>
      <c r="D180" s="153" t="n"/>
      <c r="E180" s="153" t="n"/>
      <c r="F180" s="153" t="n"/>
      <c r="G180" s="153" t="n"/>
      <c r="H180" s="153" t="n"/>
      <c r="I180" s="135" t="n"/>
      <c r="J180" s="154" t="inlineStr">
        <is>
          <t>ผู้เห็นชอบ</t>
        </is>
      </c>
      <c r="K180" s="153" t="n"/>
      <c r="L180" s="153" t="n"/>
      <c r="M180" s="153" t="n"/>
      <c r="N180" s="153" t="n"/>
      <c r="O180" s="153" t="n"/>
      <c r="P180" s="153" t="n"/>
      <c r="Q180" s="153" t="n"/>
      <c r="R180" s="153" t="n"/>
      <c r="S180" s="135" t="n"/>
    </row>
    <row r="181" ht="22.2" customHeight="1" s="375">
      <c r="A181" s="334" t="inlineStr">
        <is>
          <t>ลงชื่อ……………………………………………</t>
        </is>
      </c>
      <c r="I181" s="374" t="n"/>
      <c r="J181" s="334" t="inlineStr">
        <is>
          <t>ลงชื่อ……………………………………………</t>
        </is>
      </c>
      <c r="S181" s="374" t="n"/>
    </row>
    <row r="182" ht="22.2" customHeight="1" s="375">
      <c r="A182" s="11" t="n"/>
      <c r="B182" s="324">
        <f>B44</f>
        <v/>
      </c>
      <c r="I182" s="326" t="n"/>
      <c r="J182" s="25" t="n"/>
      <c r="K182" s="25" t="n"/>
      <c r="L182" s="324">
        <f>L44</f>
        <v/>
      </c>
      <c r="R182" s="25" t="n"/>
      <c r="S182" s="12" t="n"/>
    </row>
    <row r="183" ht="22.2" customHeight="1" s="375">
      <c r="A183" s="54" t="inlineStr">
        <is>
          <t>ตำแหน่งครู  หัวหน้างานพัฒนาหลักสูตร ฯ</t>
        </is>
      </c>
      <c r="I183" s="374" t="n"/>
      <c r="J183" s="54" t="inlineStr">
        <is>
          <t>ตำแหน่ง  รองผู้อำนวยการฝ่ายวิชาการ</t>
        </is>
      </c>
      <c r="S183" s="374" t="n"/>
    </row>
    <row r="184" ht="22.2" customHeight="1" s="375">
      <c r="A184" s="336" t="inlineStr">
        <is>
          <t>วันที่.......เดือน..........................พ.ศ..............</t>
        </is>
      </c>
      <c r="B184" s="522" t="n"/>
      <c r="C184" s="522" t="n"/>
      <c r="D184" s="522" t="n"/>
      <c r="E184" s="522" t="n"/>
      <c r="F184" s="522" t="n"/>
      <c r="G184" s="522" t="n"/>
      <c r="H184" s="522" t="n"/>
      <c r="I184" s="527" t="n"/>
      <c r="J184" s="336" t="inlineStr">
        <is>
          <t>วันที่.......เดือน..........................พ.ศ..............</t>
        </is>
      </c>
      <c r="K184" s="522" t="n"/>
      <c r="L184" s="522" t="n"/>
      <c r="M184" s="522" t="n"/>
      <c r="N184" s="522" t="n"/>
      <c r="O184" s="522" t="n"/>
      <c r="P184" s="522" t="n"/>
      <c r="Q184" s="522" t="n"/>
      <c r="R184" s="522" t="n"/>
      <c r="S184" s="527" t="n"/>
    </row>
    <row r="185" ht="22.2" customHeight="1" s="375">
      <c r="A185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75">
      <c r="A186" s="365" t="inlineStr">
        <is>
          <t>แผนกวิชาช่างยนต์</t>
        </is>
      </c>
    </row>
    <row r="187" ht="22.2" customHeight="1" s="375">
      <c r="A187" s="366" t="inlineStr">
        <is>
          <t xml:space="preserve">    ระหว่างวันที่</t>
        </is>
      </c>
      <c r="D187" s="365">
        <f>D3</f>
        <v/>
      </c>
      <c r="E187" s="365" t="inlineStr">
        <is>
          <t xml:space="preserve">   เดือน  </t>
        </is>
      </c>
      <c r="F187" s="365">
        <f>F3</f>
        <v/>
      </c>
      <c r="H187" s="365">
        <f>H3</f>
        <v/>
      </c>
      <c r="I187" s="365" t="inlineStr">
        <is>
          <t xml:space="preserve">     ถึง วันที่</t>
        </is>
      </c>
      <c r="J187" s="365">
        <f>J3</f>
        <v/>
      </c>
      <c r="K187" s="365" t="inlineStr">
        <is>
          <t xml:space="preserve">   เดือน </t>
        </is>
      </c>
      <c r="L187" s="365">
        <f>L3</f>
        <v/>
      </c>
      <c r="N187" s="365">
        <f>N3</f>
        <v/>
      </c>
      <c r="P187" s="365" t="n"/>
      <c r="R187" s="365" t="n"/>
    </row>
    <row r="188" ht="22.2" customHeight="1" s="375">
      <c r="G188" s="51" t="inlineStr">
        <is>
          <t>ü</t>
        </is>
      </c>
      <c r="H188" s="351" t="inlineStr">
        <is>
          <t>ครู</t>
        </is>
      </c>
      <c r="I188" s="322" t="inlineStr">
        <is>
          <t>หน้าที่พิเศษ</t>
        </is>
      </c>
      <c r="J188" s="382" t="inlineStr">
        <is>
          <t>ผู้ช่วยงานบริหารและพัฒนาทรัพยากรบุคคล, สวัสดิการนักเรียนนักศึกษา,</t>
        </is>
      </c>
      <c r="K188" s="522" t="n"/>
      <c r="L188" s="522" t="n"/>
      <c r="M188" s="522" t="n"/>
      <c r="N188" s="522" t="n"/>
      <c r="O188" s="522" t="n"/>
    </row>
    <row r="189" ht="22.2" customHeight="1" s="375">
      <c r="A189" s="24" t="inlineStr">
        <is>
          <t>ที่</t>
        </is>
      </c>
      <c r="B189" s="24" t="inlineStr">
        <is>
          <t>ชื่อ-สกุล</t>
        </is>
      </c>
      <c r="C189" s="153" t="n"/>
      <c r="D189" s="135" t="n"/>
      <c r="E189" s="15" t="inlineStr">
        <is>
          <t>ตำแหน่ง</t>
        </is>
      </c>
      <c r="F189" s="16" t="inlineStr">
        <is>
          <t>ระยะเวลาที่สอน</t>
        </is>
      </c>
      <c r="G189" s="432" t="n"/>
      <c r="H189" s="16" t="inlineStr">
        <is>
          <t>รหัสวิชา</t>
        </is>
      </c>
      <c r="I189" s="362" t="inlineStr">
        <is>
          <t>ชั้น,แผนก,ห้อง</t>
        </is>
      </c>
      <c r="J189" s="16" t="inlineStr">
        <is>
          <t>เวลาสอน</t>
        </is>
      </c>
      <c r="K189" s="135" t="n"/>
      <c r="L189" s="16" t="inlineStr">
        <is>
          <t>ปวช.(คาบ)</t>
        </is>
      </c>
      <c r="M189" s="432" t="n"/>
      <c r="N189" s="354" t="inlineStr">
        <is>
          <t>เงิน</t>
        </is>
      </c>
      <c r="O189" s="362" t="inlineStr">
        <is>
          <t>ยอดเงิน</t>
        </is>
      </c>
      <c r="P189" s="524" t="inlineStr">
        <is>
          <t>ปวส.(คาบ)</t>
        </is>
      </c>
      <c r="Q189" s="432" t="n"/>
      <c r="R189" s="354" t="inlineStr">
        <is>
          <t>เงิน</t>
        </is>
      </c>
      <c r="S189" s="362" t="inlineStr">
        <is>
          <t>ยอดเงิน</t>
        </is>
      </c>
    </row>
    <row r="190" ht="22.2" customHeight="1" s="375">
      <c r="A190" s="52" t="n"/>
      <c r="B190" s="8" t="n"/>
      <c r="C190" s="9" t="n"/>
      <c r="D190" s="13" t="n"/>
      <c r="E190" s="10" t="n"/>
      <c r="F190" s="336" t="inlineStr">
        <is>
          <t>ส.</t>
        </is>
      </c>
      <c r="G190" s="336" t="inlineStr">
        <is>
          <t>วดป.</t>
        </is>
      </c>
      <c r="H190" s="525" t="n"/>
      <c r="I190" s="336" t="n"/>
      <c r="J190" s="526" t="n"/>
      <c r="K190" s="527" t="n"/>
      <c r="L190" s="336" t="inlineStr">
        <is>
          <t>ใน</t>
        </is>
      </c>
      <c r="M190" s="336" t="inlineStr">
        <is>
          <t>นอก</t>
        </is>
      </c>
      <c r="N190" s="336" t="inlineStr">
        <is>
          <t>ต่อ ชม.</t>
        </is>
      </c>
      <c r="O190" s="336" t="inlineStr">
        <is>
          <t>(บาท)</t>
        </is>
      </c>
      <c r="P190" s="52" t="inlineStr">
        <is>
          <t>ใน</t>
        </is>
      </c>
      <c r="Q190" s="52" t="inlineStr">
        <is>
          <t>นอก</t>
        </is>
      </c>
      <c r="R190" s="336" t="inlineStr">
        <is>
          <t>ต่อ ชม.</t>
        </is>
      </c>
      <c r="S190" s="336" t="inlineStr">
        <is>
          <t>(บาท)</t>
        </is>
      </c>
    </row>
    <row r="191" ht="22.2" customHeight="1" s="375">
      <c r="A191" s="362" t="n">
        <v>5</v>
      </c>
      <c r="B191" s="528">
        <f>AB7</f>
        <v/>
      </c>
      <c r="C191" s="153" t="n"/>
      <c r="D191" s="135" t="n"/>
      <c r="E191" s="362" t="inlineStr">
        <is>
          <t>ครู</t>
        </is>
      </c>
      <c r="F191" s="5" t="n">
        <v>5</v>
      </c>
      <c r="G191" s="529" t="inlineStr">
        <is>
          <t>จันทร์</t>
        </is>
      </c>
      <c r="H191" s="376" t="inlineStr">
        <is>
          <t>20101-2029</t>
        </is>
      </c>
      <c r="I191" s="376" t="inlineStr">
        <is>
          <t>ชย.3/7 (26)</t>
        </is>
      </c>
      <c r="J191" s="381" t="inlineStr">
        <is>
          <t>08:10 - 12:10</t>
        </is>
      </c>
      <c r="K191" s="135" t="n"/>
      <c r="L191" s="367" t="n">
        <v>4</v>
      </c>
      <c r="M191" s="381" t="inlineStr"/>
      <c r="N191" s="381" t="inlineStr"/>
      <c r="O191" s="354" t="inlineStr"/>
      <c r="P191" s="381" t="inlineStr"/>
      <c r="Q191" s="367" t="inlineStr"/>
      <c r="R191" s="381" t="inlineStr"/>
      <c r="S191" s="354" t="inlineStr"/>
      <c r="T191" t="inlineStr"/>
      <c r="U191" t="inlineStr"/>
    </row>
    <row r="192" ht="22.2" customHeight="1" s="375">
      <c r="A192" s="3" t="n"/>
      <c r="B192" s="530" t="n"/>
      <c r="D192" s="374" t="n"/>
      <c r="E192" s="334" t="n"/>
      <c r="F192" s="322" t="n"/>
      <c r="G192" s="535" t="inlineStr">
        <is>
          <t>12 ต.ค.69</t>
        </is>
      </c>
      <c r="H192" s="376" t="inlineStr">
        <is>
          <t>20101-2029</t>
        </is>
      </c>
      <c r="I192" s="376" t="inlineStr">
        <is>
          <t>ชย.3/7 (26)</t>
        </is>
      </c>
      <c r="J192" s="334" t="inlineStr">
        <is>
          <t>13:10 - 16:10</t>
        </is>
      </c>
      <c r="K192" s="374" t="n"/>
      <c r="L192" s="334" t="n">
        <v>3</v>
      </c>
      <c r="M192" s="334" t="inlineStr"/>
      <c r="N192" s="334" t="inlineStr"/>
      <c r="O192" s="354" t="inlineStr"/>
      <c r="P192" s="334" t="inlineStr"/>
      <c r="Q192" s="334" t="inlineStr"/>
      <c r="R192" s="334" t="inlineStr"/>
      <c r="S192" s="354" t="inlineStr"/>
      <c r="T192" t="inlineStr"/>
      <c r="U192" t="inlineStr"/>
    </row>
    <row r="193" ht="22.2" customHeight="1" s="375">
      <c r="A193" s="3" t="n"/>
      <c r="B193" s="313" t="n"/>
      <c r="D193" s="314" t="n"/>
      <c r="E193" s="314" t="n"/>
      <c r="F193" s="322" t="n"/>
      <c r="G193" s="321" t="inlineStr"/>
      <c r="H193" s="376" t="inlineStr"/>
      <c r="I193" s="376" t="inlineStr"/>
      <c r="J193" s="334" t="inlineStr"/>
      <c r="K193" s="374" t="n"/>
      <c r="L193" s="334" t="inlineStr"/>
      <c r="M193" s="334" t="inlineStr"/>
      <c r="N193" s="334" t="inlineStr"/>
      <c r="O193" s="354" t="inlineStr"/>
      <c r="P193" s="334" t="inlineStr"/>
      <c r="Q193" s="334" t="inlineStr"/>
      <c r="R193" s="334" t="inlineStr"/>
      <c r="S193" s="354" t="inlineStr"/>
      <c r="T193" t="inlineStr"/>
      <c r="U193" t="inlineStr"/>
    </row>
    <row r="194" ht="22.2" customHeight="1" s="375">
      <c r="A194" s="3" t="n"/>
      <c r="B194" s="313" t="n"/>
      <c r="E194" s="3" t="n"/>
      <c r="F194" s="322" t="n"/>
      <c r="G194" s="321" t="inlineStr"/>
      <c r="H194" s="334" t="inlineStr"/>
      <c r="I194" s="334" t="inlineStr"/>
      <c r="J194" s="334" t="inlineStr"/>
      <c r="K194" s="374" t="n"/>
      <c r="L194" s="334" t="inlineStr"/>
      <c r="M194" s="334" t="inlineStr"/>
      <c r="N194" s="334" t="inlineStr"/>
      <c r="O194" s="354" t="inlineStr"/>
      <c r="P194" s="334" t="inlineStr"/>
      <c r="Q194" s="334" t="inlineStr"/>
      <c r="R194" s="334" t="inlineStr"/>
      <c r="S194" s="354" t="inlineStr"/>
      <c r="T194" t="inlineStr"/>
      <c r="U194" t="inlineStr"/>
    </row>
    <row r="195" ht="22.2" customHeight="1" s="375">
      <c r="A195" s="3" t="n"/>
      <c r="E195" s="3" t="n"/>
      <c r="G195" s="344" t="inlineStr"/>
      <c r="H195" s="336" t="inlineStr"/>
      <c r="I195" s="336" t="inlineStr"/>
      <c r="J195" s="336" t="inlineStr"/>
      <c r="K195" s="527" t="n"/>
      <c r="L195" s="334" t="inlineStr"/>
      <c r="M195" s="334" t="inlineStr"/>
      <c r="N195" s="334" t="inlineStr"/>
      <c r="O195" s="354" t="inlineStr"/>
      <c r="P195" s="334" t="inlineStr"/>
      <c r="Q195" s="334" t="inlineStr"/>
      <c r="R195" s="334" t="inlineStr"/>
      <c r="S195" s="354" t="inlineStr"/>
      <c r="T195" t="inlineStr"/>
      <c r="U195" t="inlineStr"/>
    </row>
    <row r="196" ht="22.2" customHeight="1" s="375">
      <c r="A196" s="3" t="n"/>
      <c r="B196" s="143" t="n"/>
      <c r="C196" s="144" t="n"/>
      <c r="D196" s="145" t="n"/>
      <c r="E196" s="146" t="n"/>
      <c r="F196" s="145" t="n"/>
      <c r="G196" s="533" t="inlineStr">
        <is>
          <t>อังคาร</t>
        </is>
      </c>
      <c r="H196" s="381" t="inlineStr">
        <is>
          <t>20101-2029</t>
        </is>
      </c>
      <c r="I196" s="376" t="inlineStr">
        <is>
          <t>ชย.3/5 (26)</t>
        </is>
      </c>
      <c r="J196" s="381" t="inlineStr">
        <is>
          <t>08:10 - 12:10</t>
        </is>
      </c>
      <c r="K196" s="135" t="n"/>
      <c r="L196" s="367" t="n">
        <v>4</v>
      </c>
      <c r="M196" s="381" t="inlineStr"/>
      <c r="N196" s="381" t="inlineStr"/>
      <c r="O196" s="354" t="inlineStr"/>
      <c r="P196" s="381" t="inlineStr"/>
      <c r="Q196" s="367" t="inlineStr"/>
      <c r="R196" s="381" t="inlineStr"/>
      <c r="S196" s="354" t="inlineStr"/>
      <c r="T196" t="inlineStr"/>
      <c r="U196" t="inlineStr"/>
    </row>
    <row r="197" ht="22.2" customHeight="1" s="375">
      <c r="A197" s="3" t="n"/>
      <c r="D197" s="314" t="n"/>
      <c r="E197" s="3" t="n"/>
      <c r="G197" s="535" t="inlineStr">
        <is>
          <t>13 ต.ค.69</t>
        </is>
      </c>
      <c r="H197" s="376" t="inlineStr">
        <is>
          <t>20101-2029</t>
        </is>
      </c>
      <c r="I197" s="376" t="inlineStr">
        <is>
          <t>ชย.3/5 (26)</t>
        </is>
      </c>
      <c r="J197" s="334" t="inlineStr">
        <is>
          <t>13:10 - 16:10</t>
        </is>
      </c>
      <c r="K197" s="374" t="n"/>
      <c r="L197" s="334" t="n">
        <v>3</v>
      </c>
      <c r="M197" s="334" t="inlineStr"/>
      <c r="N197" s="334" t="inlineStr"/>
      <c r="O197" s="354" t="inlineStr"/>
      <c r="P197" s="334" t="inlineStr"/>
      <c r="Q197" s="334" t="inlineStr"/>
      <c r="R197" s="334" t="inlineStr"/>
      <c r="S197" s="354" t="inlineStr"/>
      <c r="T197" t="inlineStr"/>
      <c r="U197" t="inlineStr"/>
    </row>
    <row r="198" ht="22.2" customHeight="1" s="375">
      <c r="A198" s="3" t="n"/>
      <c r="B198" s="313" t="n"/>
      <c r="D198" s="314" t="n"/>
      <c r="E198" s="314" t="n"/>
      <c r="G198" s="334" t="inlineStr"/>
      <c r="H198" s="376" t="inlineStr"/>
      <c r="I198" s="376" t="inlineStr"/>
      <c r="J198" s="334" t="inlineStr"/>
      <c r="K198" s="374" t="n"/>
      <c r="L198" s="334" t="inlineStr"/>
      <c r="M198" s="334" t="inlineStr"/>
      <c r="N198" s="334" t="inlineStr"/>
      <c r="O198" s="354" t="inlineStr"/>
      <c r="P198" s="334" t="inlineStr"/>
      <c r="Q198" s="334" t="inlineStr"/>
      <c r="R198" s="334" t="inlineStr"/>
      <c r="S198" s="354" t="inlineStr"/>
      <c r="T198" t="inlineStr"/>
      <c r="U198" t="inlineStr"/>
    </row>
    <row r="199" ht="22.2" customHeight="1" s="375">
      <c r="A199" s="3" t="n"/>
      <c r="E199" s="3" t="n"/>
      <c r="G199" s="54" t="inlineStr"/>
      <c r="H199" s="334" t="inlineStr"/>
      <c r="I199" s="334" t="inlineStr"/>
      <c r="J199" s="334" t="inlineStr"/>
      <c r="K199" s="374" t="n"/>
      <c r="L199" s="334" t="inlineStr"/>
      <c r="M199" s="334" t="inlineStr"/>
      <c r="N199" s="334" t="inlineStr"/>
      <c r="O199" s="354" t="inlineStr"/>
      <c r="P199" s="334" t="inlineStr"/>
      <c r="Q199" s="334" t="inlineStr"/>
      <c r="R199" s="334" t="inlineStr"/>
      <c r="S199" s="354" t="inlineStr"/>
      <c r="T199" t="inlineStr"/>
      <c r="U199" t="inlineStr"/>
    </row>
    <row r="200" ht="22.2" customHeight="1" s="375">
      <c r="A200" s="3" t="n"/>
      <c r="D200" s="7" t="inlineStr">
        <is>
          <t> </t>
        </is>
      </c>
      <c r="E200" s="3" t="n"/>
      <c r="G200" s="55" t="inlineStr"/>
      <c r="H200" s="336" t="inlineStr"/>
      <c r="I200" s="336" t="inlineStr"/>
      <c r="J200" s="336" t="inlineStr"/>
      <c r="K200" s="527" t="n"/>
      <c r="L200" s="334" t="inlineStr"/>
      <c r="M200" s="334" t="inlineStr"/>
      <c r="N200" s="334" t="inlineStr"/>
      <c r="O200" s="354" t="inlineStr"/>
      <c r="P200" s="334" t="inlineStr"/>
      <c r="Q200" s="334" t="inlineStr"/>
      <c r="R200" s="334" t="inlineStr"/>
      <c r="S200" s="354" t="inlineStr"/>
      <c r="T200" t="inlineStr"/>
      <c r="U200" t="inlineStr"/>
    </row>
    <row r="201" ht="22.2" customHeight="1" s="375">
      <c r="A201" s="3" t="n"/>
      <c r="E201" s="3" t="n"/>
      <c r="G201" s="535" t="inlineStr">
        <is>
          <t>พุธ</t>
        </is>
      </c>
      <c r="H201" s="376" t="inlineStr">
        <is>
          <t>20101-2029</t>
        </is>
      </c>
      <c r="I201" s="376" t="inlineStr">
        <is>
          <t>ชย.3/8 (26)</t>
        </is>
      </c>
      <c r="J201" s="381" t="inlineStr">
        <is>
          <t>08:10 - 12:10</t>
        </is>
      </c>
      <c r="K201" s="135" t="n"/>
      <c r="L201" s="367" t="n">
        <v>4</v>
      </c>
      <c r="M201" s="381" t="inlineStr"/>
      <c r="N201" s="381" t="inlineStr"/>
      <c r="O201" s="354" t="inlineStr"/>
      <c r="P201" s="381" t="inlineStr"/>
      <c r="Q201" s="367" t="inlineStr"/>
      <c r="R201" s="381" t="inlineStr"/>
      <c r="S201" s="354" t="inlineStr"/>
      <c r="T201" s="23" t="inlineStr"/>
      <c r="U201" s="23" t="inlineStr"/>
      <c r="V201" s="56" t="n"/>
      <c r="W201" s="23" t="n"/>
      <c r="X201" s="23" t="n"/>
    </row>
    <row r="202" ht="22.2" customHeight="1" s="375">
      <c r="A202" s="3" t="n"/>
      <c r="B202" s="321" t="n"/>
      <c r="C202" s="322" t="n"/>
      <c r="D202" s="322" t="n"/>
      <c r="E202" s="334" t="n"/>
      <c r="G202" s="535" t="inlineStr">
        <is>
          <t>14 ต.ค.69</t>
        </is>
      </c>
      <c r="H202" s="376" t="inlineStr">
        <is>
          <t>20101-2029</t>
        </is>
      </c>
      <c r="I202" s="376" t="inlineStr">
        <is>
          <t>ชย.3/8 (26)</t>
        </is>
      </c>
      <c r="J202" s="334" t="inlineStr">
        <is>
          <t>13:10 - 16:10</t>
        </is>
      </c>
      <c r="K202" s="374" t="n"/>
      <c r="L202" s="334" t="inlineStr"/>
      <c r="M202" s="334" t="n">
        <v>3</v>
      </c>
      <c r="N202" s="334" t="n">
        <v>200</v>
      </c>
      <c r="O202" s="354">
        <f>M202*N202</f>
        <v/>
      </c>
      <c r="P202" s="334" t="inlineStr"/>
      <c r="Q202" s="334" t="inlineStr"/>
      <c r="R202" s="334" t="inlineStr"/>
      <c r="S202" s="354" t="inlineStr"/>
      <c r="T202" s="23" t="inlineStr"/>
      <c r="U202" s="23" t="inlineStr"/>
      <c r="V202" s="56" t="n"/>
      <c r="W202" s="23" t="n"/>
      <c r="X202" s="23" t="n"/>
    </row>
    <row r="203" ht="22.2" customHeight="1" s="375">
      <c r="A203" s="3" t="n"/>
      <c r="B203" s="313" t="n"/>
      <c r="D203" s="314" t="n"/>
      <c r="E203" s="314" t="n"/>
      <c r="G203" s="334" t="inlineStr"/>
      <c r="H203" s="376" t="inlineStr"/>
      <c r="I203" s="376" t="inlineStr"/>
      <c r="J203" s="334" t="inlineStr"/>
      <c r="K203" s="374" t="n"/>
      <c r="L203" s="334" t="inlineStr"/>
      <c r="M203" s="334" t="inlineStr"/>
      <c r="N203" s="334" t="inlineStr"/>
      <c r="O203" s="354" t="inlineStr"/>
      <c r="P203" s="334" t="inlineStr"/>
      <c r="Q203" s="334" t="inlineStr"/>
      <c r="R203" s="334" t="inlineStr"/>
      <c r="S203" s="354" t="inlineStr"/>
      <c r="T203" t="inlineStr"/>
      <c r="U203" t="inlineStr"/>
    </row>
    <row r="204" ht="22.2" customHeight="1" s="375">
      <c r="A204" s="3" t="n"/>
      <c r="E204" s="3" t="n"/>
      <c r="G204" s="321" t="inlineStr"/>
      <c r="H204" s="321" t="inlineStr"/>
      <c r="I204" s="334" t="inlineStr"/>
      <c r="J204" s="334" t="inlineStr"/>
      <c r="K204" s="374" t="n"/>
      <c r="L204" s="334" t="inlineStr"/>
      <c r="M204" s="334" t="inlineStr"/>
      <c r="N204" s="334" t="inlineStr"/>
      <c r="O204" s="354" t="inlineStr"/>
      <c r="P204" s="334" t="inlineStr"/>
      <c r="Q204" s="334" t="inlineStr"/>
      <c r="R204" s="334" t="inlineStr"/>
      <c r="S204" s="354" t="inlineStr"/>
      <c r="T204" t="inlineStr"/>
      <c r="U204" t="inlineStr"/>
    </row>
    <row r="205" ht="22.2" customHeight="1" s="375">
      <c r="A205" s="3" t="n"/>
      <c r="E205" s="3" t="n"/>
      <c r="G205" s="327" t="inlineStr"/>
      <c r="H205" s="327" t="inlineStr"/>
      <c r="I205" s="336" t="inlineStr"/>
      <c r="J205" s="336" t="inlineStr"/>
      <c r="K205" s="527" t="n"/>
      <c r="L205" s="336" t="inlineStr"/>
      <c r="M205" s="336" t="inlineStr"/>
      <c r="N205" s="336" t="inlineStr"/>
      <c r="O205" s="354" t="inlineStr"/>
      <c r="P205" s="336" t="inlineStr"/>
      <c r="Q205" s="336" t="inlineStr"/>
      <c r="R205" s="336" t="inlineStr"/>
      <c r="S205" s="354" t="inlineStr"/>
      <c r="T205" t="inlineStr"/>
      <c r="U205" t="inlineStr"/>
    </row>
    <row r="206" ht="22.2" customHeight="1" s="375">
      <c r="A206" s="3" t="n"/>
      <c r="E206" s="3" t="n"/>
      <c r="G206" s="533" t="inlineStr">
        <is>
          <t>พฤหัส</t>
        </is>
      </c>
      <c r="H206" s="376" t="inlineStr">
        <is>
          <t>20101-2016</t>
        </is>
      </c>
      <c r="I206" s="376" t="inlineStr">
        <is>
          <t>ชย.1/1,ชย.1/2 (26)</t>
        </is>
      </c>
      <c r="J206" s="381" t="inlineStr">
        <is>
          <t>08:10 - 10:10</t>
        </is>
      </c>
      <c r="K206" s="135" t="n"/>
      <c r="L206" s="334" t="inlineStr"/>
      <c r="M206" s="334" t="n">
        <v>2</v>
      </c>
      <c r="N206" s="334" t="n">
        <v>200</v>
      </c>
      <c r="O206" s="354">
        <f>M206*N206</f>
        <v/>
      </c>
      <c r="P206" s="334" t="inlineStr"/>
      <c r="Q206" s="367" t="inlineStr"/>
      <c r="R206" s="381" t="inlineStr"/>
      <c r="S206" s="354" t="inlineStr"/>
      <c r="T206" t="inlineStr"/>
      <c r="U206" t="inlineStr"/>
    </row>
    <row r="207" ht="22.2" customHeight="1" s="375">
      <c r="A207" s="3" t="n"/>
      <c r="E207" s="3" t="n"/>
      <c r="G207" s="535" t="inlineStr">
        <is>
          <t>15 ต.ค.69</t>
        </is>
      </c>
      <c r="H207" s="334" t="inlineStr">
        <is>
          <t>20000-2007</t>
        </is>
      </c>
      <c r="I207" s="376" t="inlineStr">
        <is>
          <t>ชย.3/1,ชย.3/2,ชย.3/3 (26)</t>
        </is>
      </c>
      <c r="J207" s="334" t="inlineStr">
        <is>
          <t>13:10 - 15:10</t>
        </is>
      </c>
      <c r="K207" s="374" t="n"/>
      <c r="L207" s="334" t="n">
        <v>2</v>
      </c>
      <c r="M207" s="334" t="inlineStr"/>
      <c r="N207" s="334" t="inlineStr"/>
      <c r="O207" s="354" t="inlineStr"/>
      <c r="P207" s="334" t="inlineStr"/>
      <c r="Q207" s="334" t="inlineStr"/>
      <c r="R207" s="334" t="inlineStr"/>
      <c r="S207" s="354" t="inlineStr"/>
      <c r="T207" t="inlineStr"/>
      <c r="U207" t="inlineStr"/>
    </row>
    <row r="208" ht="22.2" customHeight="1" s="375">
      <c r="A208" s="3" t="n"/>
      <c r="E208" s="3" t="n"/>
      <c r="G208" s="334" t="inlineStr"/>
      <c r="H208" s="376" t="inlineStr"/>
      <c r="I208" s="376" t="inlineStr"/>
      <c r="J208" s="376" t="inlineStr"/>
      <c r="K208" s="374" t="n"/>
      <c r="L208" s="376" t="inlineStr"/>
      <c r="M208" s="376" t="inlineStr"/>
      <c r="N208" s="376" t="inlineStr"/>
      <c r="O208" s="354" t="inlineStr"/>
      <c r="P208" s="376" t="inlineStr"/>
      <c r="Q208" s="376" t="inlineStr"/>
      <c r="R208" s="376" t="inlineStr"/>
      <c r="S208" s="354" t="inlineStr"/>
      <c r="T208" t="inlineStr"/>
      <c r="U208" t="inlineStr"/>
    </row>
    <row r="209" ht="22.2" customHeight="1" s="375">
      <c r="A209" s="3" t="n"/>
      <c r="E209" s="3" t="n"/>
      <c r="G209" s="334" t="inlineStr"/>
      <c r="H209" s="334" t="inlineStr"/>
      <c r="I209" s="334" t="inlineStr"/>
      <c r="J209" s="334" t="inlineStr"/>
      <c r="K209" s="374" t="n"/>
      <c r="L209" s="334" t="inlineStr"/>
      <c r="M209" s="334" t="inlineStr"/>
      <c r="N209" s="334" t="inlineStr"/>
      <c r="O209" s="354" t="inlineStr"/>
      <c r="P209" s="334" t="inlineStr"/>
      <c r="Q209" s="334" t="inlineStr"/>
      <c r="R209" s="334" t="inlineStr"/>
      <c r="S209" s="354" t="inlineStr"/>
      <c r="T209" t="inlineStr"/>
      <c r="U209" t="inlineStr"/>
    </row>
    <row r="210" ht="22.2" customHeight="1" s="375">
      <c r="A210" s="3" t="n"/>
      <c r="E210" s="3" t="n"/>
      <c r="G210" s="336" t="inlineStr"/>
      <c r="H210" s="328" t="inlineStr"/>
      <c r="I210" s="336" t="inlineStr"/>
      <c r="J210" s="336" t="inlineStr"/>
      <c r="K210" s="527" t="n"/>
      <c r="L210" s="336" t="inlineStr"/>
      <c r="M210" s="336" t="inlineStr"/>
      <c r="N210" s="336" t="inlineStr"/>
      <c r="O210" s="354" t="inlineStr"/>
      <c r="P210" s="336" t="inlineStr"/>
      <c r="Q210" s="336" t="inlineStr"/>
      <c r="R210" s="336" t="inlineStr"/>
      <c r="S210" s="354" t="inlineStr"/>
      <c r="T210" t="inlineStr"/>
      <c r="U210" t="inlineStr"/>
    </row>
    <row r="211" ht="22.2" customHeight="1" s="375">
      <c r="A211" s="3" t="n"/>
      <c r="E211" s="3" t="n"/>
      <c r="G211" s="533" t="inlineStr">
        <is>
          <t>ศุกร์</t>
        </is>
      </c>
      <c r="H211" s="376" t="inlineStr">
        <is>
          <t>20101-2018</t>
        </is>
      </c>
      <c r="I211" s="376" t="inlineStr">
        <is>
          <t>ชย.3/1,ชย.3/2 (26)</t>
        </is>
      </c>
      <c r="J211" s="381" t="inlineStr">
        <is>
          <t>18:10 - 21:10</t>
        </is>
      </c>
      <c r="K211" s="135" t="n"/>
      <c r="L211" s="334" t="inlineStr"/>
      <c r="M211" s="334" t="n">
        <v>3</v>
      </c>
      <c r="N211" s="334" t="n">
        <v>200</v>
      </c>
      <c r="O211" s="354">
        <f>M211*N211</f>
        <v/>
      </c>
      <c r="P211" s="381" t="inlineStr"/>
      <c r="Q211" s="367" t="inlineStr"/>
      <c r="R211" s="381" t="inlineStr"/>
      <c r="S211" s="354" t="inlineStr"/>
      <c r="T211" t="inlineStr"/>
      <c r="U211" t="inlineStr"/>
    </row>
    <row r="212" ht="22.2" customHeight="1" s="375">
      <c r="A212" s="3" t="n"/>
      <c r="B212" s="143" t="n"/>
      <c r="C212" s="144" t="n"/>
      <c r="D212" s="145" t="n"/>
      <c r="E212" s="146" t="n"/>
      <c r="F212" s="145" t="n"/>
      <c r="G212" s="535" t="inlineStr">
        <is>
          <t>16 ต.ค.69</t>
        </is>
      </c>
      <c r="H212" s="376" t="inlineStr"/>
      <c r="I212" s="376" t="inlineStr"/>
      <c r="J212" s="334" t="inlineStr"/>
      <c r="K212" s="374" t="n"/>
      <c r="L212" s="334" t="inlineStr"/>
      <c r="M212" s="334" t="inlineStr"/>
      <c r="N212" s="334" t="inlineStr"/>
      <c r="O212" s="354" t="inlineStr"/>
      <c r="P212" s="334" t="inlineStr"/>
      <c r="Q212" s="334" t="inlineStr"/>
      <c r="R212" s="334" t="inlineStr"/>
      <c r="S212" s="354" t="inlineStr"/>
      <c r="T212" t="inlineStr"/>
      <c r="U212" t="inlineStr"/>
    </row>
    <row r="213" ht="22.2" customHeight="1" s="375">
      <c r="A213" s="3" t="n"/>
      <c r="E213" s="3" t="n"/>
      <c r="G213" s="334" t="inlineStr"/>
      <c r="H213" s="376" t="inlineStr"/>
      <c r="I213" s="376" t="inlineStr"/>
      <c r="J213" s="334" t="inlineStr"/>
      <c r="K213" s="374" t="n"/>
      <c r="L213" s="334" t="inlineStr"/>
      <c r="M213" s="334" t="inlineStr"/>
      <c r="N213" s="334" t="inlineStr"/>
      <c r="O213" s="354" t="inlineStr"/>
      <c r="P213" s="334" t="inlineStr"/>
      <c r="Q213" s="334" t="inlineStr"/>
      <c r="R213" s="334" t="inlineStr"/>
      <c r="S213" s="354" t="inlineStr"/>
      <c r="T213" t="inlineStr"/>
      <c r="U213" t="inlineStr"/>
    </row>
    <row r="214" ht="22.2" customHeight="1" s="375">
      <c r="A214" s="3" t="n"/>
      <c r="E214" s="3" t="n"/>
      <c r="G214" s="334" t="inlineStr"/>
      <c r="H214" s="334" t="inlineStr"/>
      <c r="I214" s="334" t="inlineStr"/>
      <c r="J214" s="334" t="inlineStr"/>
      <c r="K214" s="374" t="n"/>
      <c r="L214" s="334" t="inlineStr"/>
      <c r="M214" s="334" t="inlineStr"/>
      <c r="N214" s="334" t="inlineStr"/>
      <c r="O214" s="354" t="inlineStr"/>
      <c r="P214" s="334" t="inlineStr"/>
      <c r="Q214" s="334" t="inlineStr"/>
      <c r="R214" s="334" t="inlineStr"/>
      <c r="S214" s="354" t="inlineStr"/>
      <c r="T214" t="inlineStr"/>
      <c r="U214" t="inlineStr"/>
    </row>
    <row r="215" ht="22.2" customHeight="1" s="375">
      <c r="A215" s="3" t="n"/>
      <c r="E215" s="3" t="n"/>
      <c r="F215" s="3" t="n"/>
      <c r="G215" s="329" t="inlineStr"/>
      <c r="H215" s="328" t="inlineStr"/>
      <c r="I215" s="336" t="inlineStr"/>
      <c r="J215" s="336" t="inlineStr"/>
      <c r="K215" s="527" t="n"/>
      <c r="L215" s="336" t="inlineStr"/>
      <c r="M215" s="336" t="inlineStr"/>
      <c r="N215" s="336" t="inlineStr"/>
      <c r="O215" s="354" t="inlineStr"/>
      <c r="P215" s="336" t="inlineStr"/>
      <c r="Q215" s="336" t="inlineStr"/>
      <c r="R215" s="336" t="inlineStr"/>
      <c r="S215" s="354" t="inlineStr"/>
      <c r="T215" t="inlineStr"/>
      <c r="U215" t="inlineStr"/>
    </row>
    <row r="216" ht="22.2" customHeight="1" s="375">
      <c r="A216" s="3" t="n"/>
      <c r="E216" s="3" t="n"/>
      <c r="F216" s="3" t="n"/>
      <c r="G216" s="16" t="inlineStr">
        <is>
          <t>รวมขั่วโมงที่สอนแยก ภาระงาน/ เกินภาระงาน</t>
        </is>
      </c>
      <c r="H216" s="518" t="n"/>
      <c r="I216" s="518" t="n"/>
      <c r="J216" s="518" t="n"/>
      <c r="K216" s="432" t="n"/>
      <c r="L216" s="16">
        <f>SUM(L191:L215)</f>
        <v/>
      </c>
      <c r="M216" s="16">
        <f>SUM(M191:M215)</f>
        <v/>
      </c>
      <c r="N216" s="16" t="n"/>
      <c r="O216" s="16" t="n"/>
      <c r="P216" s="16">
        <f>SUM(P191:P215)</f>
        <v/>
      </c>
      <c r="Q216" s="16">
        <f>SUM(Q191:Q215)</f>
        <v/>
      </c>
      <c r="R216" s="349" t="n"/>
      <c r="S216" s="16" t="n"/>
    </row>
    <row r="217" ht="22.2" customHeight="1" s="375">
      <c r="A217" s="3" t="n"/>
      <c r="E217" s="3" t="n"/>
      <c r="F217" s="3" t="n"/>
      <c r="G217" s="16" t="inlineStr">
        <is>
          <t>รวมจำนวนชั่วโมงสอนคาบต่อสับดาห์</t>
        </is>
      </c>
      <c r="H217" s="518" t="n"/>
      <c r="I217" s="518" t="n"/>
      <c r="J217" s="518" t="n"/>
      <c r="K217" s="432" t="n"/>
      <c r="L217" s="16">
        <f>L216+M216</f>
        <v/>
      </c>
      <c r="M217" s="432" t="n"/>
      <c r="N217" s="16" t="n"/>
      <c r="O217" s="348" t="n"/>
      <c r="P217" s="16">
        <f>P216+Q216</f>
        <v/>
      </c>
      <c r="Q217" s="432" t="n"/>
      <c r="R217" s="329" t="n"/>
      <c r="S217" s="336" t="n"/>
    </row>
    <row r="218" ht="22.2" customHeight="1" s="375">
      <c r="A218" s="3" t="n"/>
      <c r="E218" s="3" t="n"/>
      <c r="F218" s="3" t="n"/>
      <c r="G218" s="16" t="inlineStr">
        <is>
          <t>จำนวนชั่วโมงสอนตามภาระงานสอน</t>
        </is>
      </c>
      <c r="H218" s="518" t="n"/>
      <c r="I218" s="518" t="n"/>
      <c r="J218" s="518" t="n"/>
      <c r="K218" s="432" t="n"/>
      <c r="L218" s="16" t="n">
        <v>18</v>
      </c>
      <c r="M218" s="432" t="n"/>
      <c r="N218" s="348" t="n"/>
      <c r="O218" s="16" t="n"/>
      <c r="P218" s="16" t="n">
        <v>0</v>
      </c>
      <c r="Q218" s="432" t="n"/>
      <c r="R218" s="322" t="n"/>
      <c r="S218" s="334" t="n"/>
    </row>
    <row r="219" ht="22.2" customHeight="1" s="375" thickBot="1">
      <c r="A219" s="3" t="n"/>
      <c r="E219" s="3" t="n"/>
      <c r="F219" s="14" t="n"/>
      <c r="G219" s="16" t="inlineStr">
        <is>
          <t>จำนวนชั่วโมงบิกเกินภาระงานสอน/ค่าสอน</t>
        </is>
      </c>
      <c r="H219" s="518" t="n"/>
      <c r="I219" s="518" t="n"/>
      <c r="J219" s="518" t="n"/>
      <c r="K219" s="432" t="n"/>
      <c r="L219" s="17" t="n">
        <v>0</v>
      </c>
      <c r="M219" s="17">
        <f>SUM(M191:M215)</f>
        <v/>
      </c>
      <c r="N219" s="17" t="n"/>
      <c r="O219" s="17">
        <f>SUM(O191:O215)</f>
        <v/>
      </c>
      <c r="P219" s="17" t="n">
        <v>0</v>
      </c>
      <c r="Q219" s="17">
        <f>SUM(Q191:Q215)</f>
        <v/>
      </c>
      <c r="R219" s="18" t="n"/>
      <c r="S219" s="17">
        <f>SUM(S191:S215)</f>
        <v/>
      </c>
    </row>
    <row r="220" ht="22.2" customHeight="1" s="375" thickTop="1">
      <c r="A220" s="337" t="inlineStr">
        <is>
          <t>รวมจำนวนหน่วยชั่วโมงที่ขอเบิกค่าสอน ….</t>
        </is>
      </c>
      <c r="B220" s="518" t="n"/>
      <c r="C220" s="518" t="n"/>
      <c r="D220" s="518" t="n"/>
      <c r="E220" s="518" t="n"/>
      <c r="F220" s="518" t="n"/>
      <c r="G220" s="518" t="n"/>
      <c r="H220" s="348">
        <f>M219+Q219</f>
        <v/>
      </c>
      <c r="I220" s="348" t="inlineStr">
        <is>
          <t>….ชั่วโมง</t>
        </is>
      </c>
      <c r="J220" s="348" t="n"/>
      <c r="K220" s="328" t="inlineStr">
        <is>
          <t>ยอดเงินรวม</t>
        </is>
      </c>
      <c r="L220" s="522" t="n"/>
      <c r="M220" s="522" t="n"/>
      <c r="N220" s="328" t="n"/>
      <c r="O220" s="328" t="n"/>
      <c r="P220" s="339">
        <f>S219+O219</f>
        <v/>
      </c>
      <c r="Q220" s="538" t="n"/>
      <c r="R220" s="20" t="n"/>
      <c r="S220" s="19" t="inlineStr">
        <is>
          <t>..บาท</t>
        </is>
      </c>
    </row>
    <row r="221" ht="22.2" customHeight="1" s="375">
      <c r="A221" s="154" t="inlineStr">
        <is>
          <t>ผู้ขอเบิก</t>
        </is>
      </c>
      <c r="B221" s="153" t="n"/>
      <c r="C221" s="153" t="n"/>
      <c r="D221" s="153" t="n"/>
      <c r="E221" s="153" t="n"/>
      <c r="F221" s="153" t="n"/>
      <c r="G221" s="135" t="n"/>
      <c r="H221" s="154" t="inlineStr">
        <is>
          <t>ผู้รับรอง</t>
        </is>
      </c>
      <c r="I221" s="153" t="n"/>
      <c r="J221" s="153" t="n"/>
      <c r="K221" s="153" t="n"/>
      <c r="L221" s="135" t="n"/>
      <c r="M221" s="154" t="inlineStr">
        <is>
          <t>ผู้ตรวจ</t>
        </is>
      </c>
      <c r="N221" s="153" t="n"/>
      <c r="O221" s="153" t="n"/>
      <c r="P221" s="153" t="n"/>
      <c r="Q221" s="153" t="n"/>
      <c r="R221" s="153" t="n"/>
      <c r="S221" s="135" t="n"/>
    </row>
    <row r="222" ht="22.2" customHeight="1" s="375">
      <c r="A222" s="334" t="inlineStr">
        <is>
          <t>ลงชื่อ……………………………………………</t>
        </is>
      </c>
      <c r="G222" s="374" t="n"/>
      <c r="H222" s="334" t="inlineStr">
        <is>
          <t>ลงชื่อ……………………………………………</t>
        </is>
      </c>
      <c r="L222" s="374" t="n"/>
      <c r="M222" s="334" t="inlineStr">
        <is>
          <t>ลงชื่อ……………………………………………</t>
        </is>
      </c>
      <c r="S222" s="374" t="n"/>
    </row>
    <row r="223" ht="22.2" customHeight="1" s="375">
      <c r="A223" s="11" t="inlineStr">
        <is>
          <t>(</t>
        </is>
      </c>
      <c r="B223" s="324">
        <f>B191</f>
        <v/>
      </c>
      <c r="G223" s="326" t="inlineStr">
        <is>
          <t>)</t>
        </is>
      </c>
      <c r="H223" s="324" t="inlineStr">
        <is>
          <t>(</t>
        </is>
      </c>
      <c r="I223" s="340">
        <f>I177</f>
        <v/>
      </c>
      <c r="L223" s="12" t="inlineStr">
        <is>
          <t>)</t>
        </is>
      </c>
      <c r="M223" s="53" t="inlineStr">
        <is>
          <t>(</t>
        </is>
      </c>
      <c r="N223" s="53" t="n"/>
      <c r="O223" s="324">
        <f>O39</f>
        <v/>
      </c>
      <c r="R223" s="25" t="n"/>
      <c r="S223" s="326" t="inlineStr">
        <is>
          <t>)</t>
        </is>
      </c>
    </row>
    <row r="224" ht="22.2" customHeight="1" s="375">
      <c r="A224" s="540" t="inlineStr">
        <is>
          <t xml:space="preserve">                         ตำแหน่ง  ครู</t>
        </is>
      </c>
      <c r="G224" s="374" t="n"/>
      <c r="H224" s="54" t="inlineStr">
        <is>
          <t>ตำแหน่ง หัวหน้าแผนก</t>
        </is>
      </c>
      <c r="L224" s="374" t="n"/>
      <c r="M224" s="54" t="inlineStr">
        <is>
          <t>ตำแหน่ง   ผู้ตรวจสอบ</t>
        </is>
      </c>
      <c r="S224" s="374" t="n"/>
    </row>
    <row r="225" ht="22.2" customHeight="1" s="375">
      <c r="A225" s="55" t="inlineStr">
        <is>
          <t>วันที่ 19 เดือน ตุลาคม  พ.ศ.2569</t>
        </is>
      </c>
      <c r="B225" s="522" t="n"/>
      <c r="C225" s="522" t="n"/>
      <c r="D225" s="522" t="n"/>
      <c r="E225" s="522" t="n"/>
      <c r="F225" s="522" t="n"/>
      <c r="G225" s="527" t="n"/>
      <c r="H225" s="54">
        <f>A41</f>
        <v/>
      </c>
      <c r="L225" s="374" t="n"/>
      <c r="M225" s="55">
        <f>A41</f>
        <v/>
      </c>
      <c r="N225" s="522" t="n"/>
      <c r="O225" s="522" t="n"/>
      <c r="P225" s="522" t="n"/>
      <c r="Q225" s="522" t="n"/>
      <c r="R225" s="522" t="n"/>
      <c r="S225" s="527" t="n"/>
    </row>
    <row r="226" ht="22.2" customHeight="1" s="375">
      <c r="A226" s="154" t="inlineStr">
        <is>
          <t>ผู้ตรวจ</t>
        </is>
      </c>
      <c r="B226" s="153" t="n"/>
      <c r="C226" s="153" t="n"/>
      <c r="D226" s="153" t="n"/>
      <c r="E226" s="153" t="n"/>
      <c r="F226" s="153" t="n"/>
      <c r="G226" s="153" t="n"/>
      <c r="H226" s="153" t="n"/>
      <c r="I226" s="135" t="n"/>
      <c r="J226" s="154" t="inlineStr">
        <is>
          <t>ผู้เห็นชอบ</t>
        </is>
      </c>
      <c r="K226" s="153" t="n"/>
      <c r="L226" s="153" t="n"/>
      <c r="M226" s="153" t="n"/>
      <c r="N226" s="153" t="n"/>
      <c r="O226" s="153" t="n"/>
      <c r="P226" s="153" t="n"/>
      <c r="Q226" s="153" t="n"/>
      <c r="R226" s="153" t="n"/>
      <c r="S226" s="135" t="n"/>
    </row>
    <row r="227" ht="22.2" customHeight="1" s="375">
      <c r="A227" s="334" t="inlineStr">
        <is>
          <t>ลงชื่อ……………………………………………</t>
        </is>
      </c>
      <c r="I227" s="374" t="n"/>
      <c r="J227" s="334" t="inlineStr">
        <is>
          <t>ลงชื่อ……………………………………………</t>
        </is>
      </c>
      <c r="S227" s="374" t="n"/>
    </row>
    <row r="228" ht="22.2" customHeight="1" s="375">
      <c r="A228" s="11" t="n"/>
      <c r="B228" s="324">
        <f>B44</f>
        <v/>
      </c>
      <c r="I228" s="326" t="n"/>
      <c r="J228" s="25" t="n"/>
      <c r="K228" s="25" t="n"/>
      <c r="L228" s="324">
        <f>L44</f>
        <v/>
      </c>
      <c r="R228" s="25" t="n"/>
      <c r="S228" s="12" t="n"/>
    </row>
    <row r="229" ht="22.2" customHeight="1" s="375">
      <c r="A229" s="54" t="inlineStr">
        <is>
          <t>ตำแหน่งครู  หัวหน้างานพัฒนาหลักสูตร ฯ</t>
        </is>
      </c>
      <c r="I229" s="374" t="n"/>
      <c r="J229" s="54" t="inlineStr">
        <is>
          <t>ตำแหน่ง  รองผู้อำนวยการฝ่ายวิชาการ</t>
        </is>
      </c>
      <c r="S229" s="374" t="n"/>
    </row>
    <row r="230" ht="22.2" customHeight="1" s="375">
      <c r="A230" s="336" t="inlineStr">
        <is>
          <t>วันที่.......เดือน..........................พ.ศ..............</t>
        </is>
      </c>
      <c r="B230" s="522" t="n"/>
      <c r="C230" s="522" t="n"/>
      <c r="D230" s="522" t="n"/>
      <c r="E230" s="522" t="n"/>
      <c r="F230" s="522" t="n"/>
      <c r="G230" s="522" t="n"/>
      <c r="H230" s="522" t="n"/>
      <c r="I230" s="527" t="n"/>
      <c r="J230" s="336" t="inlineStr">
        <is>
          <t>วันที่.......เดือน..........................พ.ศ..............</t>
        </is>
      </c>
      <c r="K230" s="522" t="n"/>
      <c r="L230" s="522" t="n"/>
      <c r="M230" s="522" t="n"/>
      <c r="N230" s="522" t="n"/>
      <c r="O230" s="522" t="n"/>
      <c r="P230" s="522" t="n"/>
      <c r="Q230" s="522" t="n"/>
      <c r="R230" s="522" t="n"/>
      <c r="S230" s="527" t="n"/>
    </row>
    <row r="231" ht="22.2" customHeight="1" s="375">
      <c r="A231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75">
      <c r="A232" s="365" t="inlineStr">
        <is>
          <t>แผนกวิชาช่างยนต์</t>
        </is>
      </c>
    </row>
    <row r="233" ht="22.2" customHeight="1" s="375">
      <c r="A233" s="366" t="inlineStr">
        <is>
          <t xml:space="preserve">    ระหว่างวันที่</t>
        </is>
      </c>
      <c r="D233" s="365">
        <f>D3</f>
        <v/>
      </c>
      <c r="E233" s="365" t="inlineStr">
        <is>
          <t xml:space="preserve">   เดือน  </t>
        </is>
      </c>
      <c r="F233" s="365">
        <f>F3</f>
        <v/>
      </c>
      <c r="H233" s="365">
        <f>H3</f>
        <v/>
      </c>
      <c r="I233" s="365" t="inlineStr">
        <is>
          <t xml:space="preserve">     ถึง วันที่</t>
        </is>
      </c>
      <c r="J233" s="365">
        <f>J3</f>
        <v/>
      </c>
      <c r="K233" s="365" t="inlineStr">
        <is>
          <t xml:space="preserve">   เดือน </t>
        </is>
      </c>
      <c r="L233" s="365">
        <f>L3</f>
        <v/>
      </c>
      <c r="N233" s="365">
        <f>N3</f>
        <v/>
      </c>
      <c r="P233" s="365" t="n"/>
      <c r="R233" s="365" t="n"/>
    </row>
    <row r="234" ht="22.2" customHeight="1" s="375">
      <c r="G234" s="51" t="inlineStr">
        <is>
          <t>ü</t>
        </is>
      </c>
      <c r="H234" s="351" t="inlineStr">
        <is>
          <t>ครู</t>
        </is>
      </c>
      <c r="I234" s="322" t="inlineStr">
        <is>
          <t>หน้าที่พิเศษ</t>
        </is>
      </c>
      <c r="J234" s="382" t="inlineStr">
        <is>
          <t>ผู้ช่วยงานการเงิน, อาคารสถานที่, โครงการพิเศษและการบริการสังคม</t>
        </is>
      </c>
      <c r="K234" s="522" t="n"/>
      <c r="L234" s="522" t="n"/>
      <c r="M234" s="522" t="n"/>
      <c r="N234" s="522" t="n"/>
      <c r="O234" s="522" t="n"/>
    </row>
    <row r="235" ht="22.2" customHeight="1" s="375">
      <c r="A235" s="24" t="inlineStr">
        <is>
          <t>ที่</t>
        </is>
      </c>
      <c r="B235" s="24" t="inlineStr">
        <is>
          <t>ชื่อ-สกุล</t>
        </is>
      </c>
      <c r="C235" s="153" t="n"/>
      <c r="D235" s="135" t="n"/>
      <c r="E235" s="15" t="inlineStr">
        <is>
          <t>ตำแหน่ง</t>
        </is>
      </c>
      <c r="F235" s="16" t="inlineStr">
        <is>
          <t>ระยะเวลาที่สอน</t>
        </is>
      </c>
      <c r="G235" s="432" t="n"/>
      <c r="H235" s="16" t="inlineStr">
        <is>
          <t>รหัสวิชา</t>
        </is>
      </c>
      <c r="I235" s="362" t="inlineStr">
        <is>
          <t>ชั้น,แผนก,ห้อง</t>
        </is>
      </c>
      <c r="J235" s="16" t="inlineStr">
        <is>
          <t>เวลาสอน</t>
        </is>
      </c>
      <c r="K235" s="135" t="n"/>
      <c r="L235" s="16" t="inlineStr">
        <is>
          <t>ปวช.(คาบ)</t>
        </is>
      </c>
      <c r="M235" s="432" t="n"/>
      <c r="N235" s="354" t="inlineStr">
        <is>
          <t>เงิน</t>
        </is>
      </c>
      <c r="O235" s="362" t="inlineStr">
        <is>
          <t>ยอดเงิน</t>
        </is>
      </c>
      <c r="P235" s="524" t="inlineStr">
        <is>
          <t>ปวส.(คาบ)</t>
        </is>
      </c>
      <c r="Q235" s="432" t="n"/>
      <c r="R235" s="354" t="inlineStr">
        <is>
          <t>เงิน</t>
        </is>
      </c>
      <c r="S235" s="362" t="inlineStr">
        <is>
          <t>ยอดเงิน</t>
        </is>
      </c>
    </row>
    <row r="236" ht="22.2" customHeight="1" s="375">
      <c r="A236" s="52" t="n"/>
      <c r="B236" s="8" t="n"/>
      <c r="C236" s="9" t="n"/>
      <c r="D236" s="13" t="n"/>
      <c r="E236" s="10" t="n"/>
      <c r="F236" s="336" t="inlineStr">
        <is>
          <t>ส.</t>
        </is>
      </c>
      <c r="G236" s="336" t="inlineStr">
        <is>
          <t>วดป.</t>
        </is>
      </c>
      <c r="H236" s="525" t="n"/>
      <c r="I236" s="336" t="n"/>
      <c r="J236" s="526" t="n"/>
      <c r="K236" s="527" t="n"/>
      <c r="L236" s="336" t="inlineStr">
        <is>
          <t>ใน</t>
        </is>
      </c>
      <c r="M236" s="336" t="inlineStr">
        <is>
          <t>นอก</t>
        </is>
      </c>
      <c r="N236" s="336" t="inlineStr">
        <is>
          <t>ต่อ ชม.</t>
        </is>
      </c>
      <c r="O236" s="336" t="inlineStr">
        <is>
          <t>(บาท)</t>
        </is>
      </c>
      <c r="P236" s="52" t="inlineStr">
        <is>
          <t>ใน</t>
        </is>
      </c>
      <c r="Q236" s="52" t="inlineStr">
        <is>
          <t>นอก</t>
        </is>
      </c>
      <c r="R236" s="336" t="inlineStr">
        <is>
          <t>ต่อ ชม.</t>
        </is>
      </c>
      <c r="S236" s="336" t="inlineStr">
        <is>
          <t>(บาท)</t>
        </is>
      </c>
    </row>
    <row r="237" ht="22.2" customHeight="1" s="375">
      <c r="A237" s="362" t="n">
        <v>6</v>
      </c>
      <c r="B237" s="528">
        <f>AB8</f>
        <v/>
      </c>
      <c r="C237" s="153" t="n"/>
      <c r="D237" s="135" t="n"/>
      <c r="E237" s="362" t="inlineStr">
        <is>
          <t>ครู</t>
        </is>
      </c>
      <c r="F237" s="5" t="n">
        <v>5</v>
      </c>
      <c r="G237" s="539" t="inlineStr">
        <is>
          <t>จันทร์</t>
        </is>
      </c>
      <c r="H237" s="126" t="inlineStr">
        <is>
          <t>20143-2011</t>
        </is>
      </c>
      <c r="I237" s="128" t="inlineStr">
        <is>
          <t>ชย.3/5 (26)</t>
        </is>
      </c>
      <c r="J237" s="381" t="inlineStr">
        <is>
          <t>08:10 - 12:10</t>
        </is>
      </c>
      <c r="K237" s="135" t="n"/>
      <c r="L237" s="367" t="n">
        <v>4</v>
      </c>
      <c r="M237" s="381" t="inlineStr"/>
      <c r="N237" s="381" t="inlineStr"/>
      <c r="O237" s="354" t="inlineStr"/>
      <c r="P237" s="381" t="inlineStr"/>
      <c r="Q237" s="367" t="inlineStr"/>
      <c r="R237" s="381" t="inlineStr"/>
      <c r="S237" s="354" t="inlineStr"/>
      <c r="T237" t="inlineStr"/>
      <c r="U237" t="inlineStr"/>
    </row>
    <row r="238" ht="22.2" customHeight="1" s="375">
      <c r="A238" s="3" t="n"/>
      <c r="B238" s="313" t="n"/>
      <c r="D238" s="314" t="n"/>
      <c r="E238" s="314" t="n"/>
      <c r="F238" s="322" t="n"/>
      <c r="G238" s="533" t="inlineStr">
        <is>
          <t>12 ต.ค.69</t>
        </is>
      </c>
      <c r="H238" s="126" t="inlineStr">
        <is>
          <t>20143-2011</t>
        </is>
      </c>
      <c r="I238" s="128" t="inlineStr">
        <is>
          <t>ชย.3/5 (26)</t>
        </is>
      </c>
      <c r="J238" s="376" t="inlineStr">
        <is>
          <t>13:10 - 16:10</t>
        </is>
      </c>
      <c r="K238" s="374" t="n"/>
      <c r="L238" s="334" t="n">
        <v>3</v>
      </c>
      <c r="M238" s="334" t="inlineStr"/>
      <c r="N238" s="334" t="inlineStr"/>
      <c r="O238" s="354" t="inlineStr"/>
      <c r="P238" s="334" t="inlineStr"/>
      <c r="Q238" s="334" t="inlineStr"/>
      <c r="R238" s="334" t="inlineStr"/>
      <c r="S238" s="354" t="inlineStr"/>
      <c r="T238" t="inlineStr"/>
      <c r="U238" t="inlineStr"/>
    </row>
    <row r="239" ht="22.2" customHeight="1" s="375">
      <c r="A239" s="3" t="n"/>
      <c r="B239" s="313" t="n"/>
      <c r="D239" s="314" t="n"/>
      <c r="E239" s="314" t="n"/>
      <c r="F239" s="322" t="n"/>
      <c r="G239" s="334" t="inlineStr"/>
      <c r="H239" s="126" t="inlineStr"/>
      <c r="I239" s="149" t="inlineStr"/>
      <c r="J239" s="376" t="inlineStr"/>
      <c r="K239" s="374" t="n"/>
      <c r="L239" s="334" t="inlineStr"/>
      <c r="M239" s="334" t="inlineStr"/>
      <c r="N239" s="334" t="inlineStr"/>
      <c r="O239" s="354" t="inlineStr"/>
      <c r="P239" s="334" t="inlineStr"/>
      <c r="Q239" s="334" t="inlineStr"/>
      <c r="R239" s="334" t="inlineStr"/>
      <c r="S239" s="354" t="inlineStr"/>
      <c r="T239" t="inlineStr"/>
      <c r="U239" t="inlineStr"/>
    </row>
    <row r="240" ht="22.2" customHeight="1" s="375">
      <c r="A240" s="3" t="n"/>
      <c r="B240" s="313" t="n"/>
      <c r="E240" s="3" t="n"/>
      <c r="F240" s="322" t="n"/>
      <c r="G240" s="321" t="inlineStr"/>
      <c r="H240" s="334" t="inlineStr"/>
      <c r="I240" s="334" t="inlineStr"/>
      <c r="J240" s="334" t="inlineStr"/>
      <c r="K240" s="374" t="n"/>
      <c r="L240" s="334" t="inlineStr"/>
      <c r="M240" s="334" t="inlineStr"/>
      <c r="N240" s="334" t="inlineStr"/>
      <c r="O240" s="354" t="inlineStr"/>
      <c r="P240" s="334" t="inlineStr"/>
      <c r="Q240" s="334" t="inlineStr"/>
      <c r="R240" s="334" t="inlineStr"/>
      <c r="S240" s="354" t="inlineStr"/>
      <c r="T240" t="inlineStr"/>
      <c r="U240" t="inlineStr"/>
    </row>
    <row r="241" ht="22.2" customHeight="1" s="375">
      <c r="A241" s="3" t="n"/>
      <c r="E241" s="3" t="n"/>
      <c r="G241" s="344" t="inlineStr"/>
      <c r="H241" s="336" t="inlineStr"/>
      <c r="I241" s="336" t="inlineStr"/>
      <c r="J241" s="336" t="inlineStr"/>
      <c r="K241" s="527" t="n"/>
      <c r="L241" s="334" t="inlineStr"/>
      <c r="M241" s="334" t="inlineStr"/>
      <c r="N241" s="334" t="inlineStr"/>
      <c r="O241" s="354" t="inlineStr"/>
      <c r="P241" s="334" t="inlineStr"/>
      <c r="Q241" s="334" t="inlineStr"/>
      <c r="R241" s="334" t="inlineStr"/>
      <c r="S241" s="354" t="inlineStr"/>
      <c r="T241" t="inlineStr"/>
      <c r="U241" t="inlineStr"/>
    </row>
    <row r="242" ht="22.2" customHeight="1" s="375">
      <c r="A242" s="3" t="n"/>
      <c r="E242" s="3" t="n"/>
      <c r="G242" s="539" t="inlineStr">
        <is>
          <t>อังคาร</t>
        </is>
      </c>
      <c r="H242" s="126" t="inlineStr">
        <is>
          <t>20143-2004</t>
        </is>
      </c>
      <c r="I242" s="149" t="inlineStr">
        <is>
          <t>ชยฟ.1/1 (26)</t>
        </is>
      </c>
      <c r="J242" s="334" t="inlineStr">
        <is>
          <t>08:10 - 12:10</t>
        </is>
      </c>
      <c r="K242" s="374" t="n"/>
      <c r="L242" s="367" t="n">
        <v>4</v>
      </c>
      <c r="M242" s="381" t="inlineStr"/>
      <c r="N242" s="381" t="inlineStr"/>
      <c r="O242" s="354" t="inlineStr"/>
      <c r="P242" s="381" t="inlineStr"/>
      <c r="Q242" s="367" t="inlineStr"/>
      <c r="R242" s="381" t="inlineStr"/>
      <c r="S242" s="354" t="inlineStr"/>
      <c r="T242" s="6" t="inlineStr"/>
      <c r="U242" s="22" t="inlineStr"/>
      <c r="V242" s="57" t="n"/>
      <c r="W242" s="21" t="n"/>
      <c r="X242" s="21" t="n"/>
    </row>
    <row r="243" ht="22.2" customHeight="1" s="375">
      <c r="A243" s="3" t="n"/>
      <c r="E243" s="3" t="n"/>
      <c r="G243" s="533" t="inlineStr">
        <is>
          <t>13 ต.ค.69</t>
        </is>
      </c>
      <c r="H243" s="126" t="inlineStr">
        <is>
          <t>20143-2008</t>
        </is>
      </c>
      <c r="I243" s="149" t="inlineStr">
        <is>
          <t>ชยฟ.3/1 (26)</t>
        </is>
      </c>
      <c r="J243" s="376" t="inlineStr">
        <is>
          <t>13:10 - 17:10</t>
        </is>
      </c>
      <c r="K243" s="374" t="n"/>
      <c r="L243" s="334" t="n">
        <v>4</v>
      </c>
      <c r="M243" s="334" t="inlineStr"/>
      <c r="N243" s="334" t="inlineStr"/>
      <c r="O243" s="354" t="inlineStr"/>
      <c r="P243" s="334" t="inlineStr"/>
      <c r="Q243" s="334" t="inlineStr"/>
      <c r="R243" s="334" t="inlineStr"/>
      <c r="S243" s="354" t="inlineStr"/>
      <c r="T243" s="21" t="inlineStr"/>
      <c r="U243" s="22" t="inlineStr"/>
      <c r="V243" s="57" t="n"/>
      <c r="W243" s="21" t="n"/>
      <c r="X243" s="21" t="n"/>
    </row>
    <row r="244" ht="22.2" customHeight="1" s="375">
      <c r="A244" s="3" t="n"/>
      <c r="B244" s="313" t="n"/>
      <c r="D244" s="314" t="n"/>
      <c r="E244" s="314" t="n"/>
      <c r="G244" s="334" t="inlineStr"/>
      <c r="H244" s="126" t="inlineStr"/>
      <c r="I244" s="149" t="inlineStr"/>
      <c r="J244" s="334" t="inlineStr"/>
      <c r="K244" s="374" t="n"/>
      <c r="L244" s="334" t="inlineStr"/>
      <c r="M244" s="334" t="inlineStr"/>
      <c r="N244" s="334" t="inlineStr"/>
      <c r="O244" s="354" t="inlineStr"/>
      <c r="P244" s="334" t="inlineStr"/>
      <c r="Q244" s="334" t="inlineStr"/>
      <c r="R244" s="334" t="inlineStr"/>
      <c r="S244" s="354" t="inlineStr"/>
      <c r="T244" t="inlineStr"/>
      <c r="U244" t="inlineStr"/>
    </row>
    <row r="245" ht="22.2" customHeight="1" s="375">
      <c r="A245" s="3" t="n"/>
      <c r="E245" s="3" t="n"/>
      <c r="G245" s="54" t="inlineStr"/>
      <c r="H245" s="334" t="inlineStr"/>
      <c r="I245" s="323" t="inlineStr"/>
      <c r="J245" s="323" t="inlineStr"/>
      <c r="K245" s="374" t="n"/>
      <c r="L245" s="334" t="inlineStr"/>
      <c r="M245" s="334" t="inlineStr"/>
      <c r="N245" s="334" t="inlineStr"/>
      <c r="O245" s="354" t="inlineStr"/>
      <c r="P245" s="334" t="inlineStr"/>
      <c r="Q245" s="334" t="inlineStr"/>
      <c r="R245" s="334" t="inlineStr"/>
      <c r="S245" s="354" t="inlineStr"/>
      <c r="T245" t="inlineStr"/>
      <c r="U245" t="inlineStr"/>
    </row>
    <row r="246" ht="22.2" customHeight="1" s="375">
      <c r="A246" s="3" t="n"/>
      <c r="D246" s="7" t="inlineStr">
        <is>
          <t> </t>
        </is>
      </c>
      <c r="E246" s="3" t="n"/>
      <c r="G246" s="55" t="inlineStr"/>
      <c r="H246" s="336" t="inlineStr"/>
      <c r="I246" s="336" t="inlineStr"/>
      <c r="J246" s="336" t="inlineStr"/>
      <c r="K246" s="527" t="n"/>
      <c r="L246" s="334" t="inlineStr"/>
      <c r="M246" s="334" t="inlineStr"/>
      <c r="N246" s="334" t="inlineStr"/>
      <c r="O246" s="354" t="inlineStr"/>
      <c r="P246" s="334" t="inlineStr"/>
      <c r="Q246" s="334" t="inlineStr"/>
      <c r="R246" s="334" t="inlineStr"/>
      <c r="S246" s="354" t="inlineStr"/>
      <c r="T246" t="inlineStr"/>
      <c r="U246" t="inlineStr"/>
    </row>
    <row r="247" ht="22.2" customHeight="1" s="375">
      <c r="A247" s="3" t="n"/>
      <c r="E247" s="3" t="n"/>
      <c r="G247" s="539" t="inlineStr">
        <is>
          <t>พุธ</t>
        </is>
      </c>
      <c r="H247" s="126" t="inlineStr">
        <is>
          <t>20143-2011</t>
        </is>
      </c>
      <c r="I247" s="128" t="inlineStr">
        <is>
          <t>ชย.3/7 (26)</t>
        </is>
      </c>
      <c r="J247" s="381" t="inlineStr">
        <is>
          <t>08:10 - 12:10</t>
        </is>
      </c>
      <c r="K247" s="135" t="n"/>
      <c r="L247" s="367" t="n">
        <v>3</v>
      </c>
      <c r="M247" s="381" t="n">
        <v>1</v>
      </c>
      <c r="N247" s="381" t="n">
        <v>200</v>
      </c>
      <c r="O247" s="354">
        <f>M247*N247</f>
        <v/>
      </c>
      <c r="P247" s="381" t="inlineStr"/>
      <c r="Q247" s="367" t="inlineStr"/>
      <c r="R247" s="381" t="inlineStr"/>
      <c r="S247" s="354" t="inlineStr"/>
      <c r="T247" t="inlineStr"/>
      <c r="U247" t="inlineStr"/>
    </row>
    <row r="248" ht="22.2" customHeight="1" s="375">
      <c r="A248" s="3" t="n"/>
      <c r="B248" s="321" t="n"/>
      <c r="C248" s="322" t="n"/>
      <c r="D248" s="322" t="n"/>
      <c r="E248" s="334" t="n"/>
      <c r="G248" s="533" t="inlineStr">
        <is>
          <t>14 ต.ค.69</t>
        </is>
      </c>
      <c r="H248" s="126" t="inlineStr">
        <is>
          <t>20143-2011</t>
        </is>
      </c>
      <c r="I248" s="128" t="inlineStr">
        <is>
          <t>ชย.3/7 (26)</t>
        </is>
      </c>
      <c r="J248" s="376" t="inlineStr">
        <is>
          <t>13:10 - 16:10</t>
        </is>
      </c>
      <c r="K248" s="374" t="n"/>
      <c r="L248" s="334" t="inlineStr"/>
      <c r="M248" s="334" t="n">
        <v>3</v>
      </c>
      <c r="N248" s="334" t="n">
        <v>200</v>
      </c>
      <c r="O248" s="354">
        <f>M248*N248</f>
        <v/>
      </c>
      <c r="P248" s="334" t="inlineStr"/>
      <c r="Q248" s="334" t="inlineStr"/>
      <c r="R248" s="334" t="inlineStr"/>
      <c r="S248" s="354" t="inlineStr"/>
      <c r="T248" t="inlineStr"/>
      <c r="U248" t="inlineStr"/>
    </row>
    <row r="249" ht="22.2" customHeight="1" s="375">
      <c r="A249" s="3" t="n"/>
      <c r="B249" s="313" t="n"/>
      <c r="D249" s="314" t="n"/>
      <c r="E249" s="314" t="n"/>
      <c r="G249" s="334" t="inlineStr"/>
      <c r="H249" s="126" t="inlineStr"/>
      <c r="I249" s="376" t="inlineStr"/>
      <c r="J249" s="334" t="inlineStr"/>
      <c r="K249" s="374" t="n"/>
      <c r="L249" s="334" t="inlineStr"/>
      <c r="M249" s="334" t="inlineStr"/>
      <c r="N249" s="334" t="inlineStr"/>
      <c r="O249" s="354" t="inlineStr"/>
      <c r="P249" s="334" t="inlineStr"/>
      <c r="Q249" s="334" t="inlineStr"/>
      <c r="R249" s="334" t="inlineStr"/>
      <c r="S249" s="354" t="inlineStr"/>
      <c r="T249" t="inlineStr"/>
      <c r="U249" t="inlineStr"/>
    </row>
    <row r="250" ht="22.2" customHeight="1" s="375">
      <c r="A250" s="3" t="n"/>
      <c r="E250" s="3" t="n"/>
      <c r="G250" s="321" t="inlineStr"/>
      <c r="H250" s="334" t="inlineStr"/>
      <c r="I250" s="376" t="inlineStr"/>
      <c r="J250" s="323" t="inlineStr"/>
      <c r="K250" s="374" t="n"/>
      <c r="L250" s="334" t="inlineStr"/>
      <c r="M250" s="334" t="inlineStr"/>
      <c r="N250" s="334" t="inlineStr"/>
      <c r="O250" s="354" t="inlineStr"/>
      <c r="P250" s="334" t="inlineStr"/>
      <c r="Q250" s="334" t="inlineStr"/>
      <c r="R250" s="334" t="inlineStr"/>
      <c r="S250" s="354" t="inlineStr"/>
      <c r="T250" t="inlineStr"/>
      <c r="U250" t="inlineStr"/>
    </row>
    <row r="251" ht="22.2" customHeight="1" s="375">
      <c r="A251" s="3" t="n"/>
      <c r="E251" s="3" t="n"/>
      <c r="G251" s="327" t="inlineStr"/>
      <c r="H251" s="336" t="inlineStr"/>
      <c r="I251" s="336" t="inlineStr"/>
      <c r="J251" s="336" t="inlineStr"/>
      <c r="K251" s="527" t="n"/>
      <c r="L251" s="336" t="inlineStr"/>
      <c r="M251" s="336" t="inlineStr"/>
      <c r="N251" s="336" t="inlineStr"/>
      <c r="O251" s="354" t="inlineStr"/>
      <c r="P251" s="336" t="inlineStr"/>
      <c r="Q251" s="336" t="inlineStr"/>
      <c r="R251" s="336" t="inlineStr"/>
      <c r="S251" s="354" t="inlineStr"/>
      <c r="T251" t="inlineStr"/>
      <c r="U251" t="inlineStr"/>
    </row>
    <row r="252" ht="22.2" customHeight="1" s="375">
      <c r="A252" s="3" t="n"/>
      <c r="E252" s="3" t="n"/>
      <c r="G252" s="533" t="inlineStr">
        <is>
          <t>พฤหัส</t>
        </is>
      </c>
      <c r="H252" s="126" t="inlineStr">
        <is>
          <t>20100-1007</t>
        </is>
      </c>
      <c r="I252" s="128" t="inlineStr">
        <is>
          <t>ชยฟ.2/1 (26)</t>
        </is>
      </c>
      <c r="J252" s="381" t="inlineStr">
        <is>
          <t>08:10 - 12:10</t>
        </is>
      </c>
      <c r="K252" s="135" t="n"/>
      <c r="L252" s="334" t="inlineStr"/>
      <c r="M252" s="334" t="n">
        <v>4</v>
      </c>
      <c r="N252" s="334" t="n">
        <v>200</v>
      </c>
      <c r="O252" s="354">
        <f>M252*N252</f>
        <v/>
      </c>
      <c r="P252" s="334" t="inlineStr"/>
      <c r="Q252" s="362" t="inlineStr"/>
      <c r="R252" s="362" t="inlineStr"/>
      <c r="S252" s="354" t="inlineStr"/>
      <c r="T252" t="inlineStr"/>
      <c r="U252" t="inlineStr"/>
    </row>
    <row r="253" ht="22.2" customHeight="1" s="375">
      <c r="A253" s="3" t="n"/>
      <c r="E253" s="3" t="n"/>
      <c r="G253" s="535" t="inlineStr">
        <is>
          <t>15 ต.ค.69</t>
        </is>
      </c>
      <c r="H253" s="376" t="inlineStr">
        <is>
          <t>20000-2004</t>
        </is>
      </c>
      <c r="I253" s="128" t="inlineStr">
        <is>
          <t>ชย.2/5,ชย.2/6,ชยฟ.2/1 (26)</t>
        </is>
      </c>
      <c r="J253" s="376" t="inlineStr">
        <is>
          <t>13:10 - 15:10</t>
        </is>
      </c>
      <c r="K253" s="374" t="n"/>
      <c r="L253" s="334" t="n">
        <v>2</v>
      </c>
      <c r="M253" s="334" t="inlineStr"/>
      <c r="N253" s="334" t="inlineStr"/>
      <c r="O253" s="354" t="inlineStr"/>
      <c r="P253" s="334" t="inlineStr"/>
      <c r="Q253" s="334" t="inlineStr"/>
      <c r="R253" s="334" t="inlineStr"/>
      <c r="S253" s="354" t="inlineStr"/>
      <c r="T253" t="inlineStr"/>
      <c r="U253" t="inlineStr"/>
    </row>
    <row r="254" ht="22.2" customHeight="1" s="375">
      <c r="A254" s="3" t="n"/>
      <c r="B254" s="313" t="n"/>
      <c r="E254" s="3" t="n"/>
      <c r="G254" s="334" t="inlineStr"/>
      <c r="H254" s="126" t="inlineStr">
        <is>
          <t>20100-1007</t>
        </is>
      </c>
      <c r="I254" s="128" t="inlineStr">
        <is>
          <t>ชย.2/4 (26)</t>
        </is>
      </c>
      <c r="J254" s="376" t="inlineStr">
        <is>
          <t>15:10 - 19:10</t>
        </is>
      </c>
      <c r="K254" s="374" t="n"/>
      <c r="L254" s="376" t="inlineStr"/>
      <c r="M254" s="376" t="n">
        <v>4</v>
      </c>
      <c r="N254" s="376" t="n">
        <v>200</v>
      </c>
      <c r="O254" s="354">
        <f>M254*N254</f>
        <v/>
      </c>
      <c r="P254" s="376" t="inlineStr"/>
      <c r="Q254" s="376" t="inlineStr"/>
      <c r="R254" s="376" t="inlineStr"/>
      <c r="S254" s="354" t="inlineStr"/>
      <c r="T254" t="inlineStr"/>
      <c r="U254" t="inlineStr"/>
    </row>
    <row r="255" ht="22.2" customHeight="1" s="375">
      <c r="A255" s="3" t="n"/>
      <c r="E255" s="3" t="n"/>
      <c r="G255" s="334" t="inlineStr"/>
      <c r="H255" s="334" t="inlineStr"/>
      <c r="I255" s="334" t="inlineStr"/>
      <c r="J255" s="334" t="inlineStr"/>
      <c r="K255" s="374" t="n"/>
      <c r="L255" s="334" t="inlineStr"/>
      <c r="M255" s="334" t="inlineStr"/>
      <c r="N255" s="334" t="inlineStr"/>
      <c r="O255" s="354" t="inlineStr"/>
      <c r="P255" s="334" t="inlineStr"/>
      <c r="Q255" s="334" t="inlineStr"/>
      <c r="R255" s="334" t="inlineStr"/>
      <c r="S255" s="354" t="inlineStr"/>
      <c r="T255" t="inlineStr"/>
      <c r="U255" t="inlineStr"/>
    </row>
    <row r="256" ht="22.2" customHeight="1" s="375">
      <c r="A256" s="3" t="n"/>
      <c r="E256" s="3" t="n"/>
      <c r="G256" s="336" t="inlineStr"/>
      <c r="H256" s="336" t="inlineStr"/>
      <c r="I256" s="336" t="inlineStr"/>
      <c r="J256" s="336" t="inlineStr"/>
      <c r="K256" s="527" t="n"/>
      <c r="L256" s="336" t="inlineStr"/>
      <c r="M256" s="336" t="inlineStr"/>
      <c r="N256" s="336" t="inlineStr"/>
      <c r="O256" s="354" t="inlineStr"/>
      <c r="P256" s="336" t="inlineStr"/>
      <c r="Q256" s="336" t="inlineStr"/>
      <c r="R256" s="336" t="inlineStr"/>
      <c r="S256" s="354" t="inlineStr"/>
      <c r="T256" t="inlineStr"/>
      <c r="U256" t="inlineStr"/>
    </row>
    <row r="257" ht="22.2" customHeight="1" s="375">
      <c r="A257" s="3" t="n"/>
      <c r="D257" s="374" t="n"/>
      <c r="E257" s="251" t="n"/>
      <c r="G257" s="533" t="inlineStr">
        <is>
          <t>ศุกร์</t>
        </is>
      </c>
      <c r="H257" s="126" t="inlineStr"/>
      <c r="I257" s="149" t="inlineStr"/>
      <c r="J257" s="381" t="inlineStr"/>
      <c r="K257" s="135" t="n"/>
      <c r="L257" s="127" t="inlineStr"/>
      <c r="M257" s="60" t="inlineStr"/>
      <c r="N257" s="60" t="inlineStr"/>
      <c r="O257" s="354" t="inlineStr"/>
      <c r="P257" s="125" t="inlineStr"/>
      <c r="Q257" s="127" t="inlineStr"/>
      <c r="R257" s="125" t="inlineStr"/>
      <c r="S257" s="354" t="inlineStr"/>
      <c r="T257" s="23" t="inlineStr"/>
      <c r="U257" s="23" t="inlineStr"/>
      <c r="V257" s="56" t="n"/>
      <c r="W257" s="23" t="n"/>
      <c r="X257" s="23" t="n"/>
    </row>
    <row r="258" ht="22.2" customHeight="1" s="375">
      <c r="A258" s="3" t="n"/>
      <c r="E258" s="3" t="n"/>
      <c r="G258" s="535" t="inlineStr">
        <is>
          <t>16 ต.ค.69</t>
        </is>
      </c>
      <c r="H258" s="126" t="inlineStr"/>
      <c r="I258" s="149" t="inlineStr"/>
      <c r="J258" s="376" t="inlineStr"/>
      <c r="K258" s="374" t="n"/>
      <c r="L258" s="128" t="inlineStr"/>
      <c r="M258" s="59" t="inlineStr"/>
      <c r="N258" s="59" t="inlineStr"/>
      <c r="O258" s="354" t="inlineStr"/>
      <c r="P258" s="128" t="inlineStr"/>
      <c r="Q258" s="128" t="inlineStr"/>
      <c r="R258" s="128" t="inlineStr"/>
      <c r="S258" s="354" t="inlineStr"/>
      <c r="T258" s="23" t="inlineStr"/>
      <c r="U258" s="23" t="inlineStr"/>
      <c r="V258" s="56" t="n"/>
      <c r="W258" s="23" t="n"/>
      <c r="X258" s="23" t="n"/>
    </row>
    <row r="259" ht="22.2" customHeight="1" s="375">
      <c r="A259" s="3" t="n"/>
      <c r="E259" s="3" t="n"/>
      <c r="G259" s="334" t="inlineStr"/>
      <c r="H259" s="126" t="inlineStr"/>
      <c r="I259" s="149" t="inlineStr"/>
      <c r="J259" s="376" t="inlineStr"/>
      <c r="K259" s="374" t="n"/>
      <c r="L259" s="59" t="inlineStr"/>
      <c r="M259" s="59" t="inlineStr"/>
      <c r="N259" s="59" t="inlineStr"/>
      <c r="O259" s="354" t="inlineStr"/>
      <c r="P259" s="128" t="inlineStr"/>
      <c r="Q259" s="128" t="inlineStr"/>
      <c r="R259" s="128" t="inlineStr"/>
      <c r="S259" s="354" t="inlineStr"/>
      <c r="T259" t="inlineStr"/>
      <c r="U259" t="inlineStr"/>
    </row>
    <row r="260" ht="22.2" customHeight="1" s="375">
      <c r="A260" s="3" t="n"/>
      <c r="E260" s="3" t="n"/>
      <c r="G260" s="334" t="inlineStr"/>
      <c r="H260" s="334" t="inlineStr"/>
      <c r="I260" s="334" t="inlineStr"/>
      <c r="J260" s="334" t="inlineStr"/>
      <c r="K260" s="374" t="n"/>
      <c r="L260" s="334" t="inlineStr"/>
      <c r="M260" t="inlineStr"/>
      <c r="N260" s="334" t="inlineStr"/>
      <c r="O260" s="354" t="inlineStr"/>
      <c r="P260" s="334" t="inlineStr"/>
      <c r="Q260" s="334" t="inlineStr"/>
      <c r="R260" s="334" t="inlineStr"/>
      <c r="S260" s="354" t="inlineStr"/>
      <c r="T260" t="inlineStr"/>
      <c r="U260" t="inlineStr"/>
    </row>
    <row r="261" ht="22.2" customHeight="1" s="375">
      <c r="A261" s="3" t="n"/>
      <c r="E261" s="3" t="n"/>
      <c r="F261" s="3" t="n"/>
      <c r="G261" s="329" t="inlineStr"/>
      <c r="H261" s="328" t="inlineStr"/>
      <c r="I261" s="336" t="inlineStr"/>
      <c r="J261" s="336" t="inlineStr"/>
      <c r="K261" s="527" t="n"/>
      <c r="L261" s="336" t="inlineStr"/>
      <c r="M261" s="336" t="inlineStr"/>
      <c r="N261" s="336" t="inlineStr"/>
      <c r="O261" s="354" t="inlineStr"/>
      <c r="P261" s="336" t="inlineStr"/>
      <c r="Q261" s="336" t="inlineStr"/>
      <c r="R261" s="336" t="inlineStr"/>
      <c r="S261" s="354" t="inlineStr"/>
      <c r="T261" t="inlineStr"/>
      <c r="U261" t="inlineStr"/>
    </row>
    <row r="262" ht="22.2" customHeight="1" s="375">
      <c r="A262" s="3" t="n"/>
      <c r="E262" s="3" t="n"/>
      <c r="F262" s="3" t="n"/>
      <c r="G262" s="16" t="inlineStr">
        <is>
          <t>รวมขั่วโมงที่สอนแยก ภาระงาน/ เกินภาระงาน</t>
        </is>
      </c>
      <c r="H262" s="518" t="n"/>
      <c r="I262" s="518" t="n"/>
      <c r="J262" s="518" t="n"/>
      <c r="K262" s="432" t="n"/>
      <c r="L262" s="16">
        <f>SUM(L237:L261)</f>
        <v/>
      </c>
      <c r="M262" s="16">
        <f>SUM(M237:M261)</f>
        <v/>
      </c>
      <c r="N262" s="16" t="n"/>
      <c r="O262" s="16" t="n"/>
      <c r="P262" s="16">
        <f>SUM(P237:P261)</f>
        <v/>
      </c>
      <c r="Q262" s="16">
        <f>SUM(Q237:Q261)</f>
        <v/>
      </c>
      <c r="R262" s="349" t="n"/>
      <c r="S262" s="16" t="n"/>
    </row>
    <row r="263" ht="22.2" customHeight="1" s="375">
      <c r="A263" s="3" t="n"/>
      <c r="E263" s="3" t="n"/>
      <c r="F263" s="3" t="n"/>
      <c r="G263" s="16" t="inlineStr">
        <is>
          <t>รวมจำนวนชั่วโมงสอนคาบต่อสับดาห์</t>
        </is>
      </c>
      <c r="H263" s="518" t="n"/>
      <c r="I263" s="518" t="n"/>
      <c r="J263" s="518" t="n"/>
      <c r="K263" s="432" t="n"/>
      <c r="L263" s="16">
        <f>L262+M262</f>
        <v/>
      </c>
      <c r="M263" s="432" t="n"/>
      <c r="N263" s="348" t="n"/>
      <c r="O263" s="16" t="n"/>
      <c r="P263" s="16">
        <f>P262+Q262</f>
        <v/>
      </c>
      <c r="Q263" s="432" t="n"/>
      <c r="R263" s="329" t="n"/>
      <c r="S263" s="336" t="n"/>
    </row>
    <row r="264" ht="22.2" customHeight="1" s="375">
      <c r="A264" s="3" t="n"/>
      <c r="E264" s="3" t="n"/>
      <c r="F264" s="3" t="n"/>
      <c r="G264" s="16" t="inlineStr">
        <is>
          <t>จำนวนชั่วโมงสอนตามภาระงานสอน</t>
        </is>
      </c>
      <c r="H264" s="518" t="n"/>
      <c r="I264" s="518" t="n"/>
      <c r="J264" s="518" t="n"/>
      <c r="K264" s="432" t="n"/>
      <c r="L264" s="131" t="n">
        <v>18</v>
      </c>
      <c r="M264" s="432" t="n"/>
      <c r="N264" s="130" t="n"/>
      <c r="O264" s="131" t="n"/>
      <c r="P264" s="131" t="n">
        <v>0</v>
      </c>
      <c r="Q264" s="432" t="n"/>
      <c r="R264" s="322" t="n"/>
      <c r="S264" s="334" t="n"/>
    </row>
    <row r="265" ht="22.2" customHeight="1" s="375" thickBot="1">
      <c r="A265" s="3" t="n"/>
      <c r="E265" s="3" t="n"/>
      <c r="F265" s="14" t="n"/>
      <c r="G265" s="16" t="inlineStr">
        <is>
          <t>จำนวนชั่วโมงบิกเกินภาระงานสอน/ค่าสอน</t>
        </is>
      </c>
      <c r="H265" s="518" t="n"/>
      <c r="I265" s="518" t="n"/>
      <c r="J265" s="518" t="n"/>
      <c r="K265" s="432" t="n"/>
      <c r="L265" s="17" t="n">
        <v>0</v>
      </c>
      <c r="M265" s="17">
        <f>SUM(M237:M261)</f>
        <v/>
      </c>
      <c r="N265" s="17" t="n"/>
      <c r="O265" s="17">
        <f>SUM(O237:O261)</f>
        <v/>
      </c>
      <c r="P265" s="17" t="n">
        <v>0</v>
      </c>
      <c r="Q265" s="17">
        <f>SUM(Q237:Q261)</f>
        <v/>
      </c>
      <c r="R265" s="18" t="n"/>
      <c r="S265" s="17">
        <f>SUM(S237:S261)</f>
        <v/>
      </c>
    </row>
    <row r="266" ht="22.2" customHeight="1" s="375" thickTop="1">
      <c r="A266" s="337" t="inlineStr">
        <is>
          <t>รวมจำนวนหน่วยชั่วโมงที่ขอเบิกค่าสอน ….</t>
        </is>
      </c>
      <c r="B266" s="518" t="n"/>
      <c r="C266" s="518" t="n"/>
      <c r="D266" s="518" t="n"/>
      <c r="E266" s="518" t="n"/>
      <c r="F266" s="518" t="n"/>
      <c r="G266" s="518" t="n"/>
      <c r="H266" s="348">
        <f>M265+Q265</f>
        <v/>
      </c>
      <c r="I266" s="348" t="inlineStr">
        <is>
          <t>….ชั่วโมง</t>
        </is>
      </c>
      <c r="J266" s="348" t="n"/>
      <c r="K266" s="328" t="inlineStr">
        <is>
          <t>ยอดเงินรวม</t>
        </is>
      </c>
      <c r="L266" s="522" t="n"/>
      <c r="M266" s="522" t="n"/>
      <c r="N266" s="328" t="n"/>
      <c r="O266" s="328" t="n"/>
      <c r="P266" s="339">
        <f>S265+O265</f>
        <v/>
      </c>
      <c r="Q266" s="538" t="n"/>
      <c r="R266" s="20" t="n"/>
      <c r="S266" s="19" t="inlineStr">
        <is>
          <t>..บาท</t>
        </is>
      </c>
    </row>
    <row r="267" ht="22.2" customHeight="1" s="375">
      <c r="A267" s="154" t="inlineStr">
        <is>
          <t>ผู้ขอเบิก</t>
        </is>
      </c>
      <c r="B267" s="153" t="n"/>
      <c r="C267" s="153" t="n"/>
      <c r="D267" s="153" t="n"/>
      <c r="E267" s="153" t="n"/>
      <c r="F267" s="153" t="n"/>
      <c r="G267" s="135" t="n"/>
      <c r="H267" s="154" t="inlineStr">
        <is>
          <t>ผู้รับรอง</t>
        </is>
      </c>
      <c r="I267" s="153" t="n"/>
      <c r="J267" s="153" t="n"/>
      <c r="K267" s="153" t="n"/>
      <c r="L267" s="135" t="n"/>
      <c r="M267" s="154" t="inlineStr">
        <is>
          <t>ผู้ตรวจ</t>
        </is>
      </c>
      <c r="N267" s="153" t="n"/>
      <c r="O267" s="153" t="n"/>
      <c r="P267" s="153" t="n"/>
      <c r="Q267" s="153" t="n"/>
      <c r="R267" s="153" t="n"/>
      <c r="S267" s="135" t="n"/>
    </row>
    <row r="268" ht="22.2" customHeight="1" s="375">
      <c r="A268" s="334" t="inlineStr">
        <is>
          <t>ลงชื่อ……………………………………………</t>
        </is>
      </c>
      <c r="G268" s="374" t="n"/>
      <c r="H268" s="334" t="inlineStr">
        <is>
          <t>ลงชื่อ……………………………………………</t>
        </is>
      </c>
      <c r="L268" s="374" t="n"/>
      <c r="M268" s="334" t="inlineStr">
        <is>
          <t>ลงชื่อ……………………………………………</t>
        </is>
      </c>
      <c r="S268" s="374" t="n"/>
    </row>
    <row r="269" ht="22.2" customHeight="1" s="375">
      <c r="A269" s="11" t="inlineStr">
        <is>
          <t>(</t>
        </is>
      </c>
      <c r="B269" s="324">
        <f>B237</f>
        <v/>
      </c>
      <c r="G269" s="326" t="inlineStr">
        <is>
          <t>)</t>
        </is>
      </c>
      <c r="H269" s="324" t="inlineStr">
        <is>
          <t>(</t>
        </is>
      </c>
      <c r="I269" s="340">
        <f>I223</f>
        <v/>
      </c>
      <c r="L269" s="12" t="inlineStr">
        <is>
          <t>)</t>
        </is>
      </c>
      <c r="M269" s="53" t="inlineStr">
        <is>
          <t>(</t>
        </is>
      </c>
      <c r="N269" s="53" t="n"/>
      <c r="O269" s="324">
        <f>O39</f>
        <v/>
      </c>
      <c r="R269" s="25" t="n"/>
      <c r="S269" s="326" t="inlineStr">
        <is>
          <t>)</t>
        </is>
      </c>
    </row>
    <row r="270" ht="22.2" customHeight="1" s="375">
      <c r="A270" s="540" t="inlineStr">
        <is>
          <t xml:space="preserve">                         ตำแหน่ง  ครู</t>
        </is>
      </c>
      <c r="G270" s="374" t="n"/>
      <c r="H270" s="54" t="inlineStr">
        <is>
          <t>ตำแหน่ง หัวหน้าแผนก</t>
        </is>
      </c>
      <c r="L270" s="374" t="n"/>
      <c r="M270" s="54" t="inlineStr">
        <is>
          <t>ตำแหน่ง   ผู้ตรวจสอบ</t>
        </is>
      </c>
      <c r="S270" s="374" t="n"/>
    </row>
    <row r="271" ht="22.2" customHeight="1" s="375">
      <c r="A271" s="55" t="inlineStr">
        <is>
          <t>วันที่ 19 เดือน ตุลาคม  พ.ศ.2569</t>
        </is>
      </c>
      <c r="B271" s="522" t="n"/>
      <c r="C271" s="522" t="n"/>
      <c r="D271" s="522" t="n"/>
      <c r="E271" s="522" t="n"/>
      <c r="F271" s="522" t="n"/>
      <c r="G271" s="527" t="n"/>
      <c r="H271" s="54">
        <f>A41</f>
        <v/>
      </c>
      <c r="L271" s="374" t="n"/>
      <c r="M271" s="55">
        <f>A41</f>
        <v/>
      </c>
      <c r="N271" s="522" t="n"/>
      <c r="O271" s="522" t="n"/>
      <c r="P271" s="522" t="n"/>
      <c r="Q271" s="522" t="n"/>
      <c r="R271" s="522" t="n"/>
      <c r="S271" s="527" t="n"/>
    </row>
    <row r="272" ht="22.2" customHeight="1" s="375">
      <c r="A272" s="154" t="inlineStr">
        <is>
          <t>ผู้ตรวจ</t>
        </is>
      </c>
      <c r="B272" s="153" t="n"/>
      <c r="C272" s="153" t="n"/>
      <c r="D272" s="153" t="n"/>
      <c r="E272" s="153" t="n"/>
      <c r="F272" s="153" t="n"/>
      <c r="G272" s="153" t="n"/>
      <c r="H272" s="153" t="n"/>
      <c r="I272" s="135" t="n"/>
      <c r="J272" s="154" t="inlineStr">
        <is>
          <t>ผู้เห็นชอบ</t>
        </is>
      </c>
      <c r="K272" s="153" t="n"/>
      <c r="L272" s="153" t="n"/>
      <c r="M272" s="153" t="n"/>
      <c r="N272" s="153" t="n"/>
      <c r="O272" s="153" t="n"/>
      <c r="P272" s="153" t="n"/>
      <c r="Q272" s="153" t="n"/>
      <c r="R272" s="153" t="n"/>
      <c r="S272" s="135" t="n"/>
    </row>
    <row r="273" ht="22.2" customHeight="1" s="375">
      <c r="A273" s="334" t="inlineStr">
        <is>
          <t>ลงชื่อ……………………………………………</t>
        </is>
      </c>
      <c r="I273" s="374" t="n"/>
      <c r="J273" s="334" t="inlineStr">
        <is>
          <t>ลงชื่อ……………………………………………</t>
        </is>
      </c>
      <c r="S273" s="374" t="n"/>
    </row>
    <row r="274" ht="22.2" customHeight="1" s="375">
      <c r="A274" s="11" t="n"/>
      <c r="B274" s="324">
        <f>B44</f>
        <v/>
      </c>
      <c r="I274" s="326" t="n"/>
      <c r="J274" s="25" t="n"/>
      <c r="K274" s="25" t="n"/>
      <c r="L274" s="324">
        <f>L44</f>
        <v/>
      </c>
      <c r="R274" s="25" t="n"/>
      <c r="S274" s="12" t="n"/>
    </row>
    <row r="275" ht="22.2" customHeight="1" s="375">
      <c r="A275" s="54" t="inlineStr">
        <is>
          <t>ตำแหน่งครู  หัวหน้างานพัฒนาหลักสูตร ฯ</t>
        </is>
      </c>
      <c r="I275" s="374" t="n"/>
      <c r="J275" s="54" t="inlineStr">
        <is>
          <t>ตำแหน่ง  รองผู้อำนวยการฝ่ายวิชาการ</t>
        </is>
      </c>
      <c r="S275" s="374" t="n"/>
    </row>
    <row r="276" ht="22.2" customHeight="1" s="375">
      <c r="A276" s="336" t="inlineStr">
        <is>
          <t>วันที่.......เดือน..........................พ.ศ..............</t>
        </is>
      </c>
      <c r="B276" s="522" t="n"/>
      <c r="C276" s="522" t="n"/>
      <c r="D276" s="522" t="n"/>
      <c r="E276" s="522" t="n"/>
      <c r="F276" s="522" t="n"/>
      <c r="G276" s="522" t="n"/>
      <c r="H276" s="522" t="n"/>
      <c r="I276" s="527" t="n"/>
      <c r="J276" s="336" t="inlineStr">
        <is>
          <t>วันที่.......เดือน..........................พ.ศ..............</t>
        </is>
      </c>
      <c r="K276" s="522" t="n"/>
      <c r="L276" s="522" t="n"/>
      <c r="M276" s="522" t="n"/>
      <c r="N276" s="522" t="n"/>
      <c r="O276" s="522" t="n"/>
      <c r="P276" s="522" t="n"/>
      <c r="Q276" s="522" t="n"/>
      <c r="R276" s="522" t="n"/>
      <c r="S276" s="527" t="n"/>
    </row>
    <row r="277" ht="22.2" customHeight="1" s="375">
      <c r="A277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75">
      <c r="A278" s="365" t="inlineStr">
        <is>
          <t>แผนกวิชาช่างยนต์</t>
        </is>
      </c>
    </row>
    <row r="279" ht="22.2" customHeight="1" s="375">
      <c r="A279" s="366" t="inlineStr">
        <is>
          <t xml:space="preserve">    ระหว่างวันที่</t>
        </is>
      </c>
      <c r="D279" s="365">
        <f>D3</f>
        <v/>
      </c>
      <c r="E279" s="365" t="inlineStr">
        <is>
          <t xml:space="preserve">   เดือน  </t>
        </is>
      </c>
      <c r="F279" s="365">
        <f>F3</f>
        <v/>
      </c>
      <c r="H279" s="365">
        <f>H3</f>
        <v/>
      </c>
      <c r="I279" s="365" t="inlineStr">
        <is>
          <t xml:space="preserve">     ถึง วันที่</t>
        </is>
      </c>
      <c r="J279" s="365">
        <f>J3</f>
        <v/>
      </c>
      <c r="K279" s="365" t="inlineStr">
        <is>
          <t xml:space="preserve">   เดือน </t>
        </is>
      </c>
      <c r="L279" s="365">
        <f>L3</f>
        <v/>
      </c>
      <c r="N279" s="365">
        <f>N3</f>
        <v/>
      </c>
      <c r="P279" s="365" t="n"/>
      <c r="R279" s="365" t="n"/>
    </row>
    <row r="280" ht="25.5" customHeight="1" s="375">
      <c r="G280" s="51" t="inlineStr">
        <is>
          <t>ü</t>
        </is>
      </c>
      <c r="H280" s="351" t="inlineStr">
        <is>
          <t>ครู</t>
        </is>
      </c>
      <c r="I280" s="322" t="inlineStr">
        <is>
          <t>หน้าที่พิเศษ</t>
        </is>
      </c>
      <c r="J280" t="inlineStr">
        <is>
          <t>ผู้ช่วยงานกิจกรรมนักเรียนนักศึกษา, โครงการพิเศษและการบริการสังคม</t>
        </is>
      </c>
    </row>
    <row r="281" ht="22.2" customHeight="1" s="375">
      <c r="A281" s="24" t="inlineStr">
        <is>
          <t>ที่</t>
        </is>
      </c>
      <c r="B281" s="24" t="inlineStr">
        <is>
          <t>ชื่อ-สกุล</t>
        </is>
      </c>
      <c r="C281" s="153" t="n"/>
      <c r="D281" s="135" t="n"/>
      <c r="E281" s="15" t="inlineStr">
        <is>
          <t>ตำแหน่ง</t>
        </is>
      </c>
      <c r="F281" s="16" t="inlineStr">
        <is>
          <t>ระยะเวลาที่สอน</t>
        </is>
      </c>
      <c r="G281" s="432" t="n"/>
      <c r="H281" s="16" t="inlineStr">
        <is>
          <t>รหัสวิชา</t>
        </is>
      </c>
      <c r="I281" s="362" t="inlineStr">
        <is>
          <t>ชั้น,แผนก,ห้อง</t>
        </is>
      </c>
      <c r="J281" s="16" t="inlineStr">
        <is>
          <t>เวลาสอน</t>
        </is>
      </c>
      <c r="K281" s="135" t="n"/>
      <c r="L281" s="16" t="inlineStr">
        <is>
          <t>ปวช.(คาบ)</t>
        </is>
      </c>
      <c r="M281" s="432" t="n"/>
      <c r="N281" s="354" t="inlineStr">
        <is>
          <t>เงิน</t>
        </is>
      </c>
      <c r="O281" s="362" t="inlineStr">
        <is>
          <t>ยอดเงิน</t>
        </is>
      </c>
      <c r="P281" s="524" t="inlineStr">
        <is>
          <t>ปวส.(คาบ)</t>
        </is>
      </c>
      <c r="Q281" s="432" t="n"/>
      <c r="R281" s="354" t="inlineStr">
        <is>
          <t>เงิน</t>
        </is>
      </c>
      <c r="S281" s="362" t="inlineStr">
        <is>
          <t>ยอดเงิน</t>
        </is>
      </c>
    </row>
    <row r="282" ht="22.2" customHeight="1" s="375">
      <c r="A282" s="52" t="n"/>
      <c r="B282" s="8" t="n"/>
      <c r="C282" s="9" t="n"/>
      <c r="D282" s="13" t="n"/>
      <c r="E282" s="10" t="n"/>
      <c r="F282" s="336" t="inlineStr">
        <is>
          <t>ส.</t>
        </is>
      </c>
      <c r="G282" s="336" t="inlineStr">
        <is>
          <t>วดป.</t>
        </is>
      </c>
      <c r="H282" s="525" t="n"/>
      <c r="I282" s="336" t="n"/>
      <c r="J282" s="526" t="n"/>
      <c r="K282" s="527" t="n"/>
      <c r="L282" s="336" t="inlineStr">
        <is>
          <t>ใน</t>
        </is>
      </c>
      <c r="M282" s="336" t="inlineStr">
        <is>
          <t>นอก</t>
        </is>
      </c>
      <c r="N282" s="336" t="inlineStr">
        <is>
          <t>ต่อ ชม.</t>
        </is>
      </c>
      <c r="O282" s="336" t="inlineStr">
        <is>
          <t>(บาท)</t>
        </is>
      </c>
      <c r="P282" s="52" t="inlineStr">
        <is>
          <t>ใน</t>
        </is>
      </c>
      <c r="Q282" s="52" t="inlineStr">
        <is>
          <t>นอก</t>
        </is>
      </c>
      <c r="R282" s="336" t="inlineStr">
        <is>
          <t>ต่อ ชม.</t>
        </is>
      </c>
      <c r="S282" s="336" t="inlineStr">
        <is>
          <t>(บาท)</t>
        </is>
      </c>
    </row>
    <row r="283" ht="22.2" customHeight="1" s="375">
      <c r="A283" s="362" t="n">
        <v>7</v>
      </c>
      <c r="B283" s="528">
        <f>AB9</f>
        <v/>
      </c>
      <c r="C283" s="153" t="n"/>
      <c r="D283" s="135" t="n"/>
      <c r="E283" s="362" t="inlineStr">
        <is>
          <t>ครู</t>
        </is>
      </c>
      <c r="F283" s="5" t="n">
        <v>5</v>
      </c>
      <c r="G283" s="529" t="inlineStr">
        <is>
          <t>จันทร์</t>
        </is>
      </c>
      <c r="H283" s="376" t="inlineStr">
        <is>
          <t>20101-2011</t>
        </is>
      </c>
      <c r="I283" s="376" t="inlineStr">
        <is>
          <t>ชย.2/5 (26)</t>
        </is>
      </c>
      <c r="J283" s="381" t="inlineStr">
        <is>
          <t>08:10 - 12:10</t>
        </is>
      </c>
      <c r="K283" s="135" t="n"/>
      <c r="L283" s="367" t="n">
        <v>4</v>
      </c>
      <c r="M283" s="381" t="inlineStr"/>
      <c r="N283" s="381" t="inlineStr"/>
      <c r="O283" s="354" t="inlineStr"/>
      <c r="P283" s="381" t="inlineStr"/>
      <c r="Q283" s="367" t="inlineStr"/>
      <c r="R283" s="381" t="inlineStr"/>
      <c r="S283" s="354" t="inlineStr"/>
      <c r="T283" t="inlineStr"/>
      <c r="U283" t="inlineStr"/>
    </row>
    <row r="284" ht="22.2" customHeight="1" s="375">
      <c r="A284" s="3" t="n"/>
      <c r="B284" s="530" t="n"/>
      <c r="D284" s="374" t="n"/>
      <c r="E284" s="334" t="n"/>
      <c r="F284" s="322" t="n"/>
      <c r="G284" s="535" t="inlineStr">
        <is>
          <t>12 ต.ค.69</t>
        </is>
      </c>
      <c r="H284" s="376" t="inlineStr">
        <is>
          <t>20101-2011</t>
        </is>
      </c>
      <c r="I284" s="376" t="inlineStr">
        <is>
          <t>ชย.2/5 (26)</t>
        </is>
      </c>
      <c r="J284" s="334" t="inlineStr">
        <is>
          <t>13:10 - 16:10</t>
        </is>
      </c>
      <c r="K284" s="374" t="n"/>
      <c r="L284" s="334" t="n">
        <v>3</v>
      </c>
      <c r="M284" s="334" t="inlineStr"/>
      <c r="N284" s="334" t="inlineStr"/>
      <c r="O284" s="354" t="inlineStr"/>
      <c r="P284" s="334" t="inlineStr"/>
      <c r="Q284" s="334" t="inlineStr"/>
      <c r="R284" s="334" t="inlineStr"/>
      <c r="S284" s="354" t="inlineStr"/>
      <c r="T284" t="inlineStr"/>
      <c r="U284" t="inlineStr"/>
    </row>
    <row r="285" ht="22.2" customHeight="1" s="375">
      <c r="A285" s="3" t="n"/>
      <c r="B285" s="313" t="n"/>
      <c r="D285" s="314" t="n"/>
      <c r="E285" s="314" t="n"/>
      <c r="F285" s="322" t="n"/>
      <c r="G285" s="321" t="inlineStr"/>
      <c r="H285" s="376" t="inlineStr"/>
      <c r="I285" s="376" t="inlineStr"/>
      <c r="J285" s="334" t="inlineStr"/>
      <c r="K285" s="374" t="n"/>
      <c r="L285" s="334" t="inlineStr"/>
      <c r="M285" s="334" t="inlineStr"/>
      <c r="N285" s="334" t="inlineStr"/>
      <c r="O285" s="354" t="inlineStr"/>
      <c r="P285" s="334" t="inlineStr"/>
      <c r="Q285" s="334" t="inlineStr"/>
      <c r="R285" s="334" t="inlineStr"/>
      <c r="S285" s="354" t="inlineStr"/>
      <c r="T285" t="inlineStr"/>
      <c r="U285" t="inlineStr"/>
    </row>
    <row r="286" ht="22.2" customHeight="1" s="375">
      <c r="A286" s="3" t="n"/>
      <c r="B286" s="313" t="n"/>
      <c r="E286" s="3" t="n"/>
      <c r="F286" s="322" t="n"/>
      <c r="G286" s="321" t="inlineStr"/>
      <c r="H286" s="334" t="inlineStr"/>
      <c r="I286" s="334" t="inlineStr"/>
      <c r="J286" s="334" t="inlineStr"/>
      <c r="K286" s="374" t="n"/>
      <c r="L286" s="334" t="inlineStr"/>
      <c r="M286" s="334" t="inlineStr"/>
      <c r="N286" s="334" t="inlineStr"/>
      <c r="O286" s="354" t="inlineStr"/>
      <c r="P286" s="334" t="inlineStr"/>
      <c r="Q286" s="334" t="inlineStr"/>
      <c r="R286" s="334" t="inlineStr"/>
      <c r="S286" s="354" t="inlineStr"/>
      <c r="T286" t="inlineStr"/>
      <c r="U286" t="inlineStr"/>
    </row>
    <row r="287" ht="22.2" customHeight="1" s="375">
      <c r="A287" s="3" t="n"/>
      <c r="E287" s="3" t="n"/>
      <c r="G287" s="344" t="inlineStr"/>
      <c r="H287" s="336" t="inlineStr"/>
      <c r="I287" s="336" t="inlineStr"/>
      <c r="J287" s="336" t="inlineStr"/>
      <c r="K287" s="527" t="n"/>
      <c r="L287" s="334" t="inlineStr"/>
      <c r="M287" s="334" t="inlineStr"/>
      <c r="N287" s="334" t="inlineStr"/>
      <c r="O287" s="354" t="inlineStr"/>
      <c r="P287" s="334" t="inlineStr"/>
      <c r="Q287" s="334" t="inlineStr"/>
      <c r="R287" s="334" t="inlineStr"/>
      <c r="S287" s="354" t="inlineStr"/>
      <c r="T287" t="inlineStr"/>
      <c r="U287" t="inlineStr"/>
    </row>
    <row r="288" ht="22.2" customHeight="1" s="375">
      <c r="A288" s="3" t="n"/>
      <c r="E288" s="3" t="n"/>
      <c r="G288" s="533" t="inlineStr">
        <is>
          <t>อังคาร</t>
        </is>
      </c>
      <c r="H288" s="376" t="inlineStr">
        <is>
          <t>20101-2008</t>
        </is>
      </c>
      <c r="I288" s="376" t="inlineStr">
        <is>
          <t>ชย.2/4 (26)</t>
        </is>
      </c>
      <c r="J288" s="381" t="inlineStr">
        <is>
          <t>13:10 - 17:10</t>
        </is>
      </c>
      <c r="K288" s="135" t="n"/>
      <c r="L288" s="367" t="n">
        <v>4</v>
      </c>
      <c r="M288" s="381" t="inlineStr"/>
      <c r="N288" s="381" t="inlineStr"/>
      <c r="O288" s="354" t="inlineStr"/>
      <c r="P288" s="381" t="inlineStr"/>
      <c r="Q288" s="367" t="inlineStr"/>
      <c r="R288" s="381" t="inlineStr"/>
      <c r="S288" s="354" t="inlineStr"/>
      <c r="T288" t="inlineStr"/>
      <c r="U288" t="inlineStr"/>
    </row>
    <row r="289" ht="22.2" customHeight="1" s="375">
      <c r="A289" s="3" t="n"/>
      <c r="E289" s="3" t="n"/>
      <c r="G289" s="535" t="inlineStr">
        <is>
          <t>13 ต.ค.69</t>
        </is>
      </c>
      <c r="H289" s="376" t="inlineStr">
        <is>
          <t>20101-2013</t>
        </is>
      </c>
      <c r="I289" s="376" t="inlineStr">
        <is>
          <t>ชย.ทวิ 3/9 (26)</t>
        </is>
      </c>
      <c r="J289" s="334" t="inlineStr">
        <is>
          <t>18:10 - 21:10</t>
        </is>
      </c>
      <c r="K289" s="374" t="n"/>
      <c r="L289" s="334" t="n">
        <v>3</v>
      </c>
      <c r="M289" s="334" t="inlineStr"/>
      <c r="N289" s="334" t="inlineStr"/>
      <c r="O289" s="354" t="inlineStr"/>
      <c r="P289" s="334" t="inlineStr"/>
      <c r="Q289" s="334" t="inlineStr"/>
      <c r="R289" s="334" t="inlineStr"/>
      <c r="S289" s="354" t="inlineStr"/>
      <c r="T289" t="inlineStr"/>
      <c r="U289" t="inlineStr"/>
    </row>
    <row r="290" ht="22.2" customHeight="1" s="375">
      <c r="A290" s="3" t="n"/>
      <c r="B290" s="313" t="n"/>
      <c r="D290" s="314" t="n"/>
      <c r="E290" s="314" t="n"/>
      <c r="G290" s="334" t="inlineStr"/>
      <c r="H290" s="376" t="inlineStr"/>
      <c r="I290" s="376" t="inlineStr"/>
      <c r="J290" s="334" t="inlineStr"/>
      <c r="K290" s="374" t="n"/>
      <c r="L290" s="334" t="inlineStr"/>
      <c r="M290" s="334" t="inlineStr"/>
      <c r="N290" s="334" t="inlineStr"/>
      <c r="O290" s="354" t="inlineStr"/>
      <c r="P290" s="334" t="inlineStr"/>
      <c r="Q290" s="334" t="inlineStr"/>
      <c r="R290" s="334" t="inlineStr"/>
      <c r="S290" s="354" t="inlineStr"/>
      <c r="T290" t="inlineStr"/>
      <c r="U290" t="inlineStr"/>
    </row>
    <row r="291" ht="22.2" customHeight="1" s="375">
      <c r="A291" s="3" t="n"/>
      <c r="E291" s="3" t="n"/>
      <c r="G291" s="54" t="inlineStr"/>
      <c r="H291" s="334" t="inlineStr"/>
      <c r="I291" s="334" t="inlineStr"/>
      <c r="J291" s="334" t="inlineStr"/>
      <c r="K291" s="374" t="n"/>
      <c r="L291" s="334" t="inlineStr"/>
      <c r="M291" s="334" t="inlineStr"/>
      <c r="N291" s="334" t="inlineStr"/>
      <c r="O291" s="354" t="inlineStr"/>
      <c r="P291" s="334" t="inlineStr"/>
      <c r="Q291" s="334" t="inlineStr"/>
      <c r="R291" s="334" t="inlineStr"/>
      <c r="S291" s="354" t="inlineStr"/>
      <c r="T291" t="inlineStr"/>
      <c r="U291" t="inlineStr"/>
    </row>
    <row r="292" ht="22.2" customHeight="1" s="375">
      <c r="A292" s="3" t="n"/>
      <c r="D292" s="7" t="inlineStr">
        <is>
          <t> </t>
        </is>
      </c>
      <c r="E292" s="3" t="n"/>
      <c r="G292" s="55" t="inlineStr"/>
      <c r="H292" s="336" t="inlineStr"/>
      <c r="I292" s="336" t="inlineStr"/>
      <c r="J292" s="336" t="inlineStr"/>
      <c r="K292" s="527" t="n"/>
      <c r="L292" s="334" t="inlineStr"/>
      <c r="M292" s="334" t="inlineStr"/>
      <c r="N292" s="334" t="inlineStr"/>
      <c r="O292" s="354" t="inlineStr"/>
      <c r="P292" s="334" t="inlineStr"/>
      <c r="Q292" s="334" t="inlineStr"/>
      <c r="R292" s="334" t="inlineStr"/>
      <c r="S292" s="354" t="inlineStr"/>
      <c r="T292" t="inlineStr"/>
      <c r="U292" t="inlineStr"/>
    </row>
    <row r="293" ht="22.2" customHeight="1" s="375">
      <c r="A293" s="3" t="n"/>
      <c r="E293" s="3" t="n"/>
      <c r="G293" s="535" t="inlineStr">
        <is>
          <t>พุธ</t>
        </is>
      </c>
      <c r="H293" s="376" t="inlineStr">
        <is>
          <t>20101-2011</t>
        </is>
      </c>
      <c r="I293" s="376" t="inlineStr">
        <is>
          <t>ชย.2/8 (26)</t>
        </is>
      </c>
      <c r="J293" s="381" t="inlineStr">
        <is>
          <t>08:10 - 12:10</t>
        </is>
      </c>
      <c r="K293" s="135" t="n"/>
      <c r="L293" s="367" t="n">
        <v>4</v>
      </c>
      <c r="M293" s="381" t="inlineStr"/>
      <c r="N293" s="381" t="inlineStr"/>
      <c r="O293" s="354" t="inlineStr"/>
      <c r="P293" s="381" t="inlineStr"/>
      <c r="Q293" s="367" t="inlineStr"/>
      <c r="R293" s="381" t="inlineStr"/>
      <c r="S293" s="354" t="inlineStr"/>
      <c r="T293" s="23" t="inlineStr"/>
      <c r="U293" s="23" t="inlineStr"/>
      <c r="V293" s="56" t="n"/>
      <c r="W293" s="23" t="n"/>
      <c r="X293" s="23" t="n"/>
    </row>
    <row r="294" ht="22.2" customHeight="1" s="375">
      <c r="A294" s="3" t="n"/>
      <c r="B294" s="48" t="n"/>
      <c r="C294" s="58" t="n"/>
      <c r="D294" s="49" t="n"/>
      <c r="E294" s="49" t="n"/>
      <c r="G294" s="535" t="inlineStr">
        <is>
          <t>14 ต.ค.69</t>
        </is>
      </c>
      <c r="H294" s="376" t="inlineStr">
        <is>
          <t>20101-2011</t>
        </is>
      </c>
      <c r="I294" s="376" t="inlineStr">
        <is>
          <t>ชย.2/8 (26)</t>
        </is>
      </c>
      <c r="J294" s="334" t="inlineStr">
        <is>
          <t>13:10 - 16:10</t>
        </is>
      </c>
      <c r="K294" s="374" t="n"/>
      <c r="L294" s="334" t="n">
        <v>3</v>
      </c>
      <c r="M294" s="334" t="inlineStr"/>
      <c r="N294" s="334" t="inlineStr"/>
      <c r="O294" s="354" t="inlineStr"/>
      <c r="P294" s="334" t="inlineStr"/>
      <c r="Q294" s="334" t="inlineStr"/>
      <c r="R294" s="334" t="inlineStr"/>
      <c r="S294" s="354" t="inlineStr"/>
      <c r="T294" s="23" t="inlineStr"/>
      <c r="U294" s="23" t="inlineStr"/>
      <c r="V294" s="56" t="n"/>
      <c r="W294" s="23" t="n"/>
      <c r="X294" s="23" t="n"/>
    </row>
    <row r="295" ht="22.2" customHeight="1" s="375">
      <c r="A295" s="3" t="n"/>
      <c r="B295" s="48" t="n"/>
      <c r="C295" s="58" t="n"/>
      <c r="D295" s="49" t="n"/>
      <c r="E295" s="49" t="n"/>
      <c r="G295" s="334" t="inlineStr"/>
      <c r="H295" s="376" t="inlineStr">
        <is>
          <t>20101-2013</t>
        </is>
      </c>
      <c r="I295" s="376" t="inlineStr">
        <is>
          <t>ชย.ทวิ 3/9 (26)</t>
        </is>
      </c>
      <c r="J295" s="334" t="inlineStr">
        <is>
          <t>17:10 - 21:10</t>
        </is>
      </c>
      <c r="K295" s="374" t="n"/>
      <c r="L295" s="334" t="n">
        <v>4</v>
      </c>
      <c r="M295" s="334" t="inlineStr"/>
      <c r="N295" s="334" t="inlineStr"/>
      <c r="O295" s="354" t="inlineStr"/>
      <c r="P295" s="334" t="inlineStr"/>
      <c r="Q295" s="334" t="inlineStr"/>
      <c r="R295" s="334" t="inlineStr"/>
      <c r="S295" s="354" t="inlineStr"/>
      <c r="T295" t="inlineStr"/>
      <c r="U295" t="inlineStr"/>
    </row>
    <row r="296" ht="22.2" customHeight="1" s="375">
      <c r="A296" s="3" t="n"/>
      <c r="B296" s="48" t="n"/>
      <c r="C296" s="58" t="n"/>
      <c r="D296" s="49" t="n"/>
      <c r="E296" s="49" t="n"/>
      <c r="G296" s="321" t="inlineStr"/>
      <c r="H296" s="321" t="inlineStr"/>
      <c r="I296" s="334" t="inlineStr"/>
      <c r="J296" s="334" t="inlineStr"/>
      <c r="K296" s="374" t="n"/>
      <c r="L296" s="334" t="inlineStr"/>
      <c r="M296" s="334" t="inlineStr"/>
      <c r="N296" s="334" t="inlineStr"/>
      <c r="O296" s="354" t="inlineStr"/>
      <c r="P296" s="334" t="inlineStr"/>
      <c r="Q296" s="334" t="inlineStr"/>
      <c r="R296" s="334" t="inlineStr"/>
      <c r="S296" s="354" t="inlineStr"/>
      <c r="T296" t="inlineStr"/>
      <c r="U296" t="inlineStr"/>
    </row>
    <row r="297" ht="22.2" customHeight="1" s="375">
      <c r="A297" s="3" t="n"/>
      <c r="D297" s="314" t="n"/>
      <c r="E297" s="314" t="n"/>
      <c r="G297" s="327" t="inlineStr"/>
      <c r="H297" s="327" t="inlineStr"/>
      <c r="I297" s="336" t="inlineStr"/>
      <c r="J297" s="336" t="inlineStr"/>
      <c r="K297" s="527" t="n"/>
      <c r="L297" s="336" t="inlineStr"/>
      <c r="M297" s="336" t="inlineStr"/>
      <c r="N297" s="336" t="inlineStr"/>
      <c r="O297" s="354" t="inlineStr"/>
      <c r="P297" s="336" t="inlineStr"/>
      <c r="Q297" s="336" t="inlineStr"/>
      <c r="R297" s="336" t="inlineStr"/>
      <c r="S297" s="354" t="inlineStr"/>
      <c r="T297" t="inlineStr"/>
      <c r="U297" t="inlineStr"/>
    </row>
    <row r="298" ht="22.2" customHeight="1" s="375">
      <c r="A298" s="3" t="n"/>
      <c r="E298" s="3" t="n"/>
      <c r="G298" s="533" t="inlineStr">
        <is>
          <t>พฤหัส</t>
        </is>
      </c>
      <c r="H298" s="376" t="inlineStr">
        <is>
          <t>20101-2020</t>
        </is>
      </c>
      <c r="I298" s="376" t="inlineStr">
        <is>
          <t>ชย.3/3 (26)</t>
        </is>
      </c>
      <c r="J298" s="334" t="inlineStr">
        <is>
          <t>08:10 - 12:10</t>
        </is>
      </c>
      <c r="K298" s="374" t="n"/>
      <c r="L298" s="334" t="inlineStr"/>
      <c r="M298" s="334" t="n">
        <v>4</v>
      </c>
      <c r="N298" s="334" t="n">
        <v>200</v>
      </c>
      <c r="O298" s="354">
        <f>M298*N298</f>
        <v/>
      </c>
      <c r="P298" s="334" t="inlineStr"/>
      <c r="Q298" s="362" t="inlineStr"/>
      <c r="R298" s="362" t="inlineStr"/>
      <c r="S298" s="354" t="inlineStr"/>
      <c r="T298" t="inlineStr"/>
      <c r="U298" t="inlineStr"/>
    </row>
    <row r="299" ht="22.2" customHeight="1" s="375">
      <c r="A299" s="3" t="n"/>
      <c r="E299" s="3" t="n"/>
      <c r="G299" s="535" t="inlineStr">
        <is>
          <t>15 ต.ค.69</t>
        </is>
      </c>
      <c r="H299" s="376" t="inlineStr">
        <is>
          <t>20101-2020</t>
        </is>
      </c>
      <c r="I299" s="376" t="inlineStr">
        <is>
          <t>ชย.3/3 (26)</t>
        </is>
      </c>
      <c r="J299" s="334" t="inlineStr">
        <is>
          <t>15:10 - 21:10</t>
        </is>
      </c>
      <c r="K299" s="374" t="n"/>
      <c r="L299" s="334" t="inlineStr"/>
      <c r="M299" s="334" t="n">
        <v>6</v>
      </c>
      <c r="N299" s="334" t="n">
        <v>200</v>
      </c>
      <c r="O299" s="354">
        <f>M299*N299</f>
        <v/>
      </c>
      <c r="P299" s="334" t="inlineStr"/>
      <c r="Q299" s="334" t="inlineStr"/>
      <c r="R299" s="334" t="inlineStr"/>
      <c r="S299" s="354" t="inlineStr"/>
      <c r="T299" t="inlineStr"/>
      <c r="U299" t="inlineStr"/>
    </row>
    <row r="300" ht="22.2" customHeight="1" s="375">
      <c r="A300" s="3" t="n"/>
      <c r="B300" s="313" t="n"/>
      <c r="E300" s="3" t="n"/>
      <c r="G300" s="334" t="inlineStr"/>
      <c r="H300" s="376" t="inlineStr"/>
      <c r="I300" s="376" t="inlineStr"/>
      <c r="J300" s="334" t="inlineStr"/>
      <c r="K300" s="374" t="n"/>
      <c r="L300" s="376" t="inlineStr"/>
      <c r="M300" s="376" t="inlineStr"/>
      <c r="N300" s="376" t="inlineStr"/>
      <c r="O300" s="354" t="inlineStr"/>
      <c r="P300" s="376" t="inlineStr"/>
      <c r="Q300" s="376" t="inlineStr"/>
      <c r="R300" s="376" t="inlineStr"/>
      <c r="S300" s="354" t="inlineStr"/>
      <c r="T300" t="inlineStr"/>
      <c r="U300" t="inlineStr"/>
    </row>
    <row r="301" ht="22.2" customHeight="1" s="375">
      <c r="A301" s="3" t="n"/>
      <c r="E301" s="3" t="n"/>
      <c r="G301" s="334" t="inlineStr"/>
      <c r="H301" s="334" t="inlineStr"/>
      <c r="I301" s="323" t="inlineStr"/>
      <c r="J301" s="334" t="inlineStr"/>
      <c r="K301" s="374" t="n"/>
      <c r="L301" s="334" t="inlineStr"/>
      <c r="M301" s="334" t="inlineStr"/>
      <c r="N301" s="334" t="inlineStr"/>
      <c r="O301" s="354" t="inlineStr"/>
      <c r="P301" s="334" t="inlineStr"/>
      <c r="Q301" s="334" t="inlineStr"/>
      <c r="R301" s="334" t="inlineStr"/>
      <c r="S301" s="354" t="inlineStr"/>
      <c r="T301" t="inlineStr"/>
      <c r="U301" t="inlineStr"/>
    </row>
    <row r="302" ht="22.2" customHeight="1" s="375">
      <c r="A302" s="3" t="n"/>
      <c r="E302" s="3" t="n"/>
      <c r="G302" s="336" t="inlineStr"/>
      <c r="H302" s="328" t="inlineStr"/>
      <c r="I302" s="336" t="inlineStr"/>
      <c r="J302" s="336" t="inlineStr"/>
      <c r="K302" s="527" t="n"/>
      <c r="L302" s="336" t="inlineStr"/>
      <c r="M302" s="336" t="inlineStr"/>
      <c r="N302" s="336" t="inlineStr"/>
      <c r="O302" s="354" t="inlineStr"/>
      <c r="P302" s="336" t="inlineStr"/>
      <c r="Q302" s="336" t="inlineStr"/>
      <c r="R302" s="336" t="inlineStr"/>
      <c r="S302" s="354" t="inlineStr"/>
      <c r="T302" t="inlineStr"/>
      <c r="U302" t="inlineStr"/>
    </row>
    <row r="303" ht="22.2" customHeight="1" s="375">
      <c r="A303" s="3" t="n"/>
      <c r="E303" s="3" t="n"/>
      <c r="G303" s="533" t="inlineStr">
        <is>
          <t>ศุกร์</t>
        </is>
      </c>
      <c r="H303" s="376" t="inlineStr"/>
      <c r="I303" s="376" t="inlineStr"/>
      <c r="J303" s="381" t="inlineStr"/>
      <c r="K303" s="135" t="n"/>
      <c r="L303" s="334" t="inlineStr"/>
      <c r="M303" s="334" t="inlineStr"/>
      <c r="N303" s="334" t="inlineStr"/>
      <c r="O303" s="354" t="inlineStr"/>
      <c r="P303" s="381" t="inlineStr"/>
      <c r="Q303" s="367" t="inlineStr"/>
      <c r="R303" s="381" t="inlineStr"/>
      <c r="S303" s="354" t="inlineStr"/>
      <c r="T303" s="23" t="inlineStr"/>
      <c r="U303" s="23" t="inlineStr"/>
      <c r="V303" s="56" t="n"/>
      <c r="W303" s="23" t="n"/>
      <c r="X303" s="23" t="n"/>
    </row>
    <row r="304" ht="22.2" customHeight="1" s="375">
      <c r="A304" s="3" t="n"/>
      <c r="E304" s="3" t="n"/>
      <c r="G304" s="535" t="inlineStr">
        <is>
          <t>16 ต.ค.69</t>
        </is>
      </c>
      <c r="H304" s="376" t="inlineStr"/>
      <c r="I304" s="376" t="inlineStr"/>
      <c r="J304" s="334" t="inlineStr"/>
      <c r="K304" s="374" t="n"/>
      <c r="L304" s="334" t="inlineStr"/>
      <c r="M304" s="334" t="inlineStr"/>
      <c r="N304" s="334" t="inlineStr"/>
      <c r="O304" s="354" t="inlineStr"/>
      <c r="P304" s="334" t="inlineStr"/>
      <c r="Q304" s="334" t="inlineStr"/>
      <c r="R304" s="334" t="inlineStr"/>
      <c r="S304" s="354" t="inlineStr"/>
      <c r="T304" s="23" t="inlineStr"/>
      <c r="U304" s="23" t="inlineStr"/>
      <c r="V304" s="56" t="n"/>
      <c r="W304" s="23" t="n"/>
      <c r="X304" s="23" t="n"/>
    </row>
    <row r="305" ht="22.2" customHeight="1" s="375">
      <c r="A305" s="3" t="n"/>
      <c r="E305" s="3" t="n"/>
      <c r="G305" s="334" t="inlineStr"/>
      <c r="H305" s="376" t="inlineStr"/>
      <c r="I305" s="376" t="inlineStr"/>
      <c r="J305" s="334" t="inlineStr"/>
      <c r="K305" s="374" t="n"/>
      <c r="L305" s="334" t="inlineStr"/>
      <c r="M305" s="334" t="inlineStr"/>
      <c r="N305" s="334" t="inlineStr"/>
      <c r="O305" s="354" t="inlineStr"/>
      <c r="P305" s="334" t="inlineStr"/>
      <c r="Q305" s="334" t="inlineStr"/>
      <c r="R305" s="334" t="inlineStr"/>
      <c r="S305" s="354" t="inlineStr"/>
      <c r="T305" t="inlineStr"/>
      <c r="U305" t="inlineStr"/>
    </row>
    <row r="306" ht="22.2" customHeight="1" s="375">
      <c r="A306" s="3" t="n"/>
      <c r="E306" s="3" t="n"/>
      <c r="G306" s="334" t="inlineStr"/>
      <c r="H306" s="147" t="inlineStr"/>
      <c r="I306" s="3" t="inlineStr"/>
      <c r="J306" s="334" t="inlineStr"/>
      <c r="K306" s="374" t="n"/>
      <c r="L306" s="334" t="inlineStr"/>
      <c r="M306" s="334" t="inlineStr"/>
      <c r="N306" s="334" t="inlineStr"/>
      <c r="O306" s="354" t="inlineStr"/>
      <c r="P306" s="334" t="inlineStr"/>
      <c r="Q306" s="334" t="inlineStr"/>
      <c r="R306" s="334" t="inlineStr"/>
      <c r="S306" s="354" t="inlineStr"/>
      <c r="T306" t="inlineStr"/>
      <c r="U306" t="inlineStr"/>
    </row>
    <row r="307" ht="22.2" customHeight="1" s="375">
      <c r="A307" s="3" t="n"/>
      <c r="E307" s="3" t="n"/>
      <c r="F307" s="3" t="n"/>
      <c r="G307" s="329" t="inlineStr"/>
      <c r="H307" s="336" t="inlineStr"/>
      <c r="I307" s="329" t="inlineStr"/>
      <c r="J307" s="336" t="inlineStr"/>
      <c r="K307" s="527" t="n"/>
      <c r="L307" s="336" t="inlineStr"/>
      <c r="M307" s="336" t="inlineStr"/>
      <c r="N307" s="336" t="inlineStr"/>
      <c r="O307" s="354" t="inlineStr"/>
      <c r="P307" s="336" t="inlineStr"/>
      <c r="Q307" s="336" t="inlineStr"/>
      <c r="R307" s="336" t="inlineStr"/>
      <c r="S307" s="354" t="inlineStr"/>
      <c r="T307" t="inlineStr"/>
      <c r="U307" t="inlineStr"/>
    </row>
    <row r="308" ht="22.2" customHeight="1" s="375">
      <c r="A308" s="3" t="n"/>
      <c r="E308" s="3" t="n"/>
      <c r="F308" s="3" t="n"/>
      <c r="G308" s="16" t="inlineStr">
        <is>
          <t>รวมขั่วโมงที่สอนแยก ภาระงาน/ เกินภาระงาน</t>
        </is>
      </c>
      <c r="H308" s="518" t="n"/>
      <c r="I308" s="518" t="n"/>
      <c r="J308" s="518" t="n"/>
      <c r="K308" s="432" t="n"/>
      <c r="L308" s="16">
        <f>SUM(L283:L307)</f>
        <v/>
      </c>
      <c r="M308" s="16">
        <f>SUM(M283:M307)</f>
        <v/>
      </c>
      <c r="N308" s="16" t="n"/>
      <c r="O308" s="16" t="n"/>
      <c r="P308" s="16">
        <f>SUM(P283:P307)</f>
        <v/>
      </c>
      <c r="Q308" s="16">
        <f>SUM(Q283:Q307)</f>
        <v/>
      </c>
      <c r="R308" s="349" t="n"/>
      <c r="S308" s="16" t="n"/>
    </row>
    <row r="309" ht="22.2" customHeight="1" s="375">
      <c r="A309" s="3" t="n"/>
      <c r="E309" s="3" t="n"/>
      <c r="F309" s="3" t="n"/>
      <c r="G309" s="16" t="inlineStr">
        <is>
          <t>รวมจำนวนชั่วโมงสอนคาบต่อสับดาห์</t>
        </is>
      </c>
      <c r="H309" s="518" t="n"/>
      <c r="I309" s="518" t="n"/>
      <c r="J309" s="518" t="n"/>
      <c r="K309" s="432" t="n"/>
      <c r="L309" s="16">
        <f>L308+M308</f>
        <v/>
      </c>
      <c r="M309" s="432" t="n"/>
      <c r="N309" s="16" t="n"/>
      <c r="O309" s="348" t="n"/>
      <c r="P309" s="16">
        <f>P308+Q308</f>
        <v/>
      </c>
      <c r="Q309" s="432" t="n"/>
      <c r="R309" s="329" t="n"/>
      <c r="S309" s="336" t="n"/>
    </row>
    <row r="310" ht="22.2" customHeight="1" s="375">
      <c r="A310" s="3" t="n"/>
      <c r="E310" s="3" t="n"/>
      <c r="F310" s="3" t="n"/>
      <c r="G310" s="16" t="inlineStr">
        <is>
          <t>จำนวนชั่วโมงสอนตามภาระงานสอน</t>
        </is>
      </c>
      <c r="H310" s="518" t="n"/>
      <c r="I310" s="518" t="n"/>
      <c r="J310" s="518" t="n"/>
      <c r="K310" s="432" t="n"/>
      <c r="L310" s="16" t="n">
        <v>18</v>
      </c>
      <c r="M310" s="432" t="n"/>
      <c r="N310" s="348" t="n"/>
      <c r="O310" s="16" t="n"/>
      <c r="P310" s="16" t="n">
        <v>0</v>
      </c>
      <c r="Q310" s="432" t="n"/>
      <c r="R310" s="322" t="n"/>
      <c r="S310" s="334" t="n"/>
    </row>
    <row r="311" ht="22.2" customHeight="1" s="375" thickBot="1">
      <c r="A311" s="3" t="n"/>
      <c r="E311" s="3" t="n"/>
      <c r="F311" s="14" t="n"/>
      <c r="G311" s="16" t="inlineStr">
        <is>
          <t>จำนวนชั่วโมงบิกเกินภาระงานสอน/ค่าสอน</t>
        </is>
      </c>
      <c r="H311" s="518" t="n"/>
      <c r="I311" s="518" t="n"/>
      <c r="J311" s="518" t="n"/>
      <c r="K311" s="432" t="n"/>
      <c r="L311" s="17" t="n">
        <v>0</v>
      </c>
      <c r="M311" s="17">
        <f>SUM(M283:M307)</f>
        <v/>
      </c>
      <c r="N311" s="17" t="n"/>
      <c r="O311" s="17">
        <f>SUM(O283:O307)</f>
        <v/>
      </c>
      <c r="P311" s="17" t="n">
        <v>0</v>
      </c>
      <c r="Q311" s="17">
        <f>SUM(Q283:Q307)</f>
        <v/>
      </c>
      <c r="R311" s="18" t="n"/>
      <c r="S311" s="17">
        <f>SUM(S283:S307)</f>
        <v/>
      </c>
    </row>
    <row r="312" ht="22.2" customHeight="1" s="375" thickTop="1">
      <c r="A312" s="337" t="inlineStr">
        <is>
          <t>รวมจำนวนหน่วยชั่วโมงที่ขอเบิกค่าสอน ….</t>
        </is>
      </c>
      <c r="B312" s="518" t="n"/>
      <c r="C312" s="518" t="n"/>
      <c r="D312" s="518" t="n"/>
      <c r="E312" s="518" t="n"/>
      <c r="F312" s="518" t="n"/>
      <c r="G312" s="518" t="n"/>
      <c r="H312" s="348">
        <f>M311+Q311</f>
        <v/>
      </c>
      <c r="I312" s="348" t="inlineStr">
        <is>
          <t>….ชั่วโมง</t>
        </is>
      </c>
      <c r="J312" s="348" t="n"/>
      <c r="K312" s="328" t="inlineStr">
        <is>
          <t>ยอดเงินรวม</t>
        </is>
      </c>
      <c r="L312" s="522" t="n"/>
      <c r="M312" s="522" t="n"/>
      <c r="N312" s="328" t="n"/>
      <c r="O312" s="328" t="n"/>
      <c r="P312" s="339">
        <f>S311+O311</f>
        <v/>
      </c>
      <c r="Q312" s="538" t="n"/>
      <c r="R312" s="20" t="n"/>
      <c r="S312" s="19" t="inlineStr">
        <is>
          <t>..บาท</t>
        </is>
      </c>
    </row>
    <row r="313" ht="22.2" customHeight="1" s="375">
      <c r="A313" s="154" t="inlineStr">
        <is>
          <t>ผู้ขอเบิก</t>
        </is>
      </c>
      <c r="B313" s="153" t="n"/>
      <c r="C313" s="153" t="n"/>
      <c r="D313" s="153" t="n"/>
      <c r="E313" s="153" t="n"/>
      <c r="F313" s="153" t="n"/>
      <c r="G313" s="135" t="n"/>
      <c r="H313" s="154" t="inlineStr">
        <is>
          <t>ผู้รับรอง</t>
        </is>
      </c>
      <c r="I313" s="153" t="n"/>
      <c r="J313" s="153" t="n"/>
      <c r="K313" s="153" t="n"/>
      <c r="L313" s="135" t="n"/>
      <c r="M313" s="154" t="inlineStr">
        <is>
          <t>ผู้ตรวจ</t>
        </is>
      </c>
      <c r="N313" s="153" t="n"/>
      <c r="O313" s="153" t="n"/>
      <c r="P313" s="153" t="n"/>
      <c r="Q313" s="153" t="n"/>
      <c r="R313" s="153" t="n"/>
      <c r="S313" s="135" t="n"/>
    </row>
    <row r="314" ht="22.2" customHeight="1" s="375">
      <c r="A314" s="334" t="inlineStr">
        <is>
          <t>ลงชื่อ……………………………………………</t>
        </is>
      </c>
      <c r="G314" s="374" t="n"/>
      <c r="H314" s="334" t="inlineStr">
        <is>
          <t>ลงชื่อ……………………………………………</t>
        </is>
      </c>
      <c r="L314" s="374" t="n"/>
      <c r="M314" s="334" t="inlineStr">
        <is>
          <t>ลงชื่อ……………………………………………</t>
        </is>
      </c>
      <c r="S314" s="374" t="n"/>
    </row>
    <row r="315" ht="22.2" customHeight="1" s="375">
      <c r="A315" s="11" t="inlineStr">
        <is>
          <t>(</t>
        </is>
      </c>
      <c r="B315" s="324">
        <f>B283</f>
        <v/>
      </c>
      <c r="G315" s="326" t="inlineStr">
        <is>
          <t>)</t>
        </is>
      </c>
      <c r="H315" s="324" t="inlineStr">
        <is>
          <t>(</t>
        </is>
      </c>
      <c r="I315" s="340">
        <f>I269</f>
        <v/>
      </c>
      <c r="L315" s="12" t="inlineStr">
        <is>
          <t>)</t>
        </is>
      </c>
      <c r="M315" s="53" t="inlineStr">
        <is>
          <t>(</t>
        </is>
      </c>
      <c r="N315" s="53" t="n"/>
      <c r="O315" s="324">
        <f>O39</f>
        <v/>
      </c>
      <c r="R315" s="25" t="n"/>
      <c r="S315" s="326" t="inlineStr">
        <is>
          <t>)</t>
        </is>
      </c>
    </row>
    <row r="316" ht="22.2" customHeight="1" s="375">
      <c r="A316" s="540" t="inlineStr">
        <is>
          <t xml:space="preserve">                         ตำแหน่ง  ครู</t>
        </is>
      </c>
      <c r="G316" s="374" t="n"/>
      <c r="H316" s="54" t="inlineStr">
        <is>
          <t>ตำแหน่ง หัวหน้าแผนก</t>
        </is>
      </c>
      <c r="L316" s="374" t="n"/>
      <c r="M316" s="54" t="inlineStr">
        <is>
          <t>ตำแหน่ง   ผู้ตรวจสอบ</t>
        </is>
      </c>
      <c r="S316" s="374" t="n"/>
    </row>
    <row r="317" ht="22.2" customHeight="1" s="375">
      <c r="A317" s="55" t="inlineStr">
        <is>
          <t>วันที่ 19 เดือน ตุลาคม  พ.ศ.2569</t>
        </is>
      </c>
      <c r="B317" s="522" t="n"/>
      <c r="C317" s="522" t="n"/>
      <c r="D317" s="522" t="n"/>
      <c r="E317" s="522" t="n"/>
      <c r="F317" s="522" t="n"/>
      <c r="G317" s="527" t="n"/>
      <c r="H317" s="54">
        <f>A41</f>
        <v/>
      </c>
      <c r="L317" s="374" t="n"/>
      <c r="M317" s="55">
        <f>A41</f>
        <v/>
      </c>
      <c r="N317" s="522" t="n"/>
      <c r="O317" s="522" t="n"/>
      <c r="P317" s="522" t="n"/>
      <c r="Q317" s="522" t="n"/>
      <c r="R317" s="522" t="n"/>
      <c r="S317" s="527" t="n"/>
    </row>
    <row r="318" ht="22.2" customHeight="1" s="375">
      <c r="A318" s="154" t="inlineStr">
        <is>
          <t>ผู้ตรวจ</t>
        </is>
      </c>
      <c r="B318" s="153" t="n"/>
      <c r="C318" s="153" t="n"/>
      <c r="D318" s="153" t="n"/>
      <c r="E318" s="153" t="n"/>
      <c r="F318" s="153" t="n"/>
      <c r="G318" s="153" t="n"/>
      <c r="H318" s="153" t="n"/>
      <c r="I318" s="135" t="n"/>
      <c r="J318" s="154" t="inlineStr">
        <is>
          <t>ผู้เห็นชอบ</t>
        </is>
      </c>
      <c r="K318" s="153" t="n"/>
      <c r="L318" s="153" t="n"/>
      <c r="M318" s="153" t="n"/>
      <c r="N318" s="153" t="n"/>
      <c r="O318" s="153" t="n"/>
      <c r="P318" s="153" t="n"/>
      <c r="Q318" s="153" t="n"/>
      <c r="R318" s="153" t="n"/>
      <c r="S318" s="135" t="n"/>
    </row>
    <row r="319" ht="22.2" customHeight="1" s="375">
      <c r="A319" s="334" t="inlineStr">
        <is>
          <t>ลงชื่อ……………………………………………</t>
        </is>
      </c>
      <c r="I319" s="374" t="n"/>
      <c r="J319" s="334" t="inlineStr">
        <is>
          <t>ลงชื่อ……………………………………………</t>
        </is>
      </c>
      <c r="S319" s="374" t="n"/>
    </row>
    <row r="320" ht="22.2" customHeight="1" s="375">
      <c r="A320" s="11" t="n"/>
      <c r="B320" s="324">
        <f>B44</f>
        <v/>
      </c>
      <c r="I320" s="326" t="n"/>
      <c r="J320" s="25" t="n"/>
      <c r="K320" s="25" t="n"/>
      <c r="L320" s="324">
        <f>L44</f>
        <v/>
      </c>
      <c r="R320" s="25" t="n"/>
      <c r="S320" s="12" t="n"/>
    </row>
    <row r="321" ht="22.2" customHeight="1" s="375">
      <c r="A321" s="54" t="inlineStr">
        <is>
          <t>ตำแหน่งครู  หัวหน้างานพัฒนาหลักสูตร ฯ</t>
        </is>
      </c>
      <c r="I321" s="374" t="n"/>
      <c r="J321" s="54" t="inlineStr">
        <is>
          <t>ตำแหน่ง  รองผู้อำนวยการฝ่ายวิชาการ</t>
        </is>
      </c>
      <c r="S321" s="374" t="n"/>
    </row>
    <row r="322" ht="22.2" customHeight="1" s="375">
      <c r="A322" s="336" t="inlineStr">
        <is>
          <t>วันที่.......เดือน..........................พ.ศ..............</t>
        </is>
      </c>
      <c r="B322" s="522" t="n"/>
      <c r="C322" s="522" t="n"/>
      <c r="D322" s="522" t="n"/>
      <c r="E322" s="522" t="n"/>
      <c r="F322" s="522" t="n"/>
      <c r="G322" s="522" t="n"/>
      <c r="H322" s="522" t="n"/>
      <c r="I322" s="527" t="n"/>
      <c r="J322" s="336" t="inlineStr">
        <is>
          <t>วันที่.......เดือน..........................พ.ศ..............</t>
        </is>
      </c>
      <c r="K322" s="522" t="n"/>
      <c r="L322" s="522" t="n"/>
      <c r="M322" s="522" t="n"/>
      <c r="N322" s="522" t="n"/>
      <c r="O322" s="522" t="n"/>
      <c r="P322" s="522" t="n"/>
      <c r="Q322" s="522" t="n"/>
      <c r="R322" s="522" t="n"/>
      <c r="S322" s="527" t="n"/>
    </row>
    <row r="323" ht="22.2" customHeight="1" s="375">
      <c r="A323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75">
      <c r="A324" s="365" t="inlineStr">
        <is>
          <t>แผนกวิชาช่างยนต์</t>
        </is>
      </c>
    </row>
    <row r="325" ht="22.2" customHeight="1" s="375">
      <c r="A325" s="366" t="inlineStr">
        <is>
          <t xml:space="preserve">    ระหว่างวันที่</t>
        </is>
      </c>
      <c r="D325" s="365">
        <f>D3</f>
        <v/>
      </c>
      <c r="E325" s="365" t="inlineStr">
        <is>
          <t xml:space="preserve">   เดือน  </t>
        </is>
      </c>
      <c r="F325" s="365">
        <f>F3</f>
        <v/>
      </c>
      <c r="H325" s="365">
        <f>H3</f>
        <v/>
      </c>
      <c r="I325" s="365" t="inlineStr">
        <is>
          <t xml:space="preserve">     ถึง วันที่</t>
        </is>
      </c>
      <c r="J325" s="365">
        <f>J3</f>
        <v/>
      </c>
      <c r="K325" s="365" t="inlineStr">
        <is>
          <t xml:space="preserve">   เดือน </t>
        </is>
      </c>
      <c r="L325" s="365">
        <f>L3</f>
        <v/>
      </c>
      <c r="N325" s="365">
        <f>N3</f>
        <v/>
      </c>
      <c r="P325" s="365" t="n"/>
      <c r="R325" s="365" t="n"/>
    </row>
    <row r="326" ht="22.2" customHeight="1" s="375">
      <c r="G326" s="51" t="inlineStr">
        <is>
          <t>ü</t>
        </is>
      </c>
      <c r="H326" s="351" t="inlineStr">
        <is>
          <t>ครู</t>
        </is>
      </c>
      <c r="I326" s="322" t="inlineStr">
        <is>
          <t>หน้าที่พิเศษ</t>
        </is>
      </c>
      <c r="J326" s="380" t="inlineStr">
        <is>
          <t>ผู้ช่วยงานโครงการพิเศษและการบริการสังคม</t>
        </is>
      </c>
      <c r="K326" s="522" t="n"/>
      <c r="L326" s="522" t="n"/>
      <c r="M326" s="522" t="n"/>
    </row>
    <row r="327" ht="22.2" customHeight="1" s="375">
      <c r="A327" s="24" t="inlineStr">
        <is>
          <t>ที่</t>
        </is>
      </c>
      <c r="B327" s="24" t="inlineStr">
        <is>
          <t>ชื่อ-สกุล</t>
        </is>
      </c>
      <c r="C327" s="153" t="n"/>
      <c r="D327" s="135" t="n"/>
      <c r="E327" s="15" t="inlineStr">
        <is>
          <t>ตำแหน่ง</t>
        </is>
      </c>
      <c r="F327" s="16" t="inlineStr">
        <is>
          <t>ระยะเวลาที่สอน</t>
        </is>
      </c>
      <c r="G327" s="432" t="n"/>
      <c r="H327" s="16" t="inlineStr">
        <is>
          <t>รหัสวิชา</t>
        </is>
      </c>
      <c r="I327" s="362" t="inlineStr">
        <is>
          <t>ชั้น,แผนก,ห้อง</t>
        </is>
      </c>
      <c r="J327" s="16" t="inlineStr">
        <is>
          <t>เวลาสอน</t>
        </is>
      </c>
      <c r="K327" s="135" t="n"/>
      <c r="L327" s="16" t="inlineStr">
        <is>
          <t>ปวช.(คาบ)</t>
        </is>
      </c>
      <c r="M327" s="432" t="n"/>
      <c r="N327" s="354" t="inlineStr">
        <is>
          <t>เงิน</t>
        </is>
      </c>
      <c r="O327" s="362" t="inlineStr">
        <is>
          <t>ยอดเงิน</t>
        </is>
      </c>
      <c r="P327" s="524" t="inlineStr">
        <is>
          <t>ปวส.(คาบ)</t>
        </is>
      </c>
      <c r="Q327" s="432" t="n"/>
      <c r="R327" s="354" t="inlineStr">
        <is>
          <t>เงิน</t>
        </is>
      </c>
      <c r="S327" s="362" t="inlineStr">
        <is>
          <t>ยอดเงิน</t>
        </is>
      </c>
    </row>
    <row r="328" ht="22.2" customHeight="1" s="375">
      <c r="A328" s="52" t="n"/>
      <c r="B328" s="8" t="n"/>
      <c r="C328" s="9" t="n"/>
      <c r="D328" s="13" t="n"/>
      <c r="E328" s="10" t="n"/>
      <c r="F328" s="336" t="inlineStr">
        <is>
          <t>ส.</t>
        </is>
      </c>
      <c r="G328" s="336" t="inlineStr">
        <is>
          <t>วดป.</t>
        </is>
      </c>
      <c r="H328" s="525" t="n"/>
      <c r="I328" s="336" t="n"/>
      <c r="J328" s="526" t="n"/>
      <c r="K328" s="527" t="n"/>
      <c r="L328" s="336" t="inlineStr">
        <is>
          <t>ใน</t>
        </is>
      </c>
      <c r="M328" s="336" t="inlineStr">
        <is>
          <t>นอก</t>
        </is>
      </c>
      <c r="N328" s="336" t="inlineStr">
        <is>
          <t>ต่อ ชม.</t>
        </is>
      </c>
      <c r="O328" s="336" t="inlineStr">
        <is>
          <t>(บาท)</t>
        </is>
      </c>
      <c r="P328" s="52" t="inlineStr">
        <is>
          <t>ใน</t>
        </is>
      </c>
      <c r="Q328" s="52" t="inlineStr">
        <is>
          <t>นอก</t>
        </is>
      </c>
      <c r="R328" s="336" t="inlineStr">
        <is>
          <t>ต่อ ชม.</t>
        </is>
      </c>
      <c r="S328" s="336" t="inlineStr">
        <is>
          <t>(บาท)</t>
        </is>
      </c>
    </row>
    <row r="329" ht="22.2" customHeight="1" s="375">
      <c r="A329" s="362" t="n">
        <v>8</v>
      </c>
      <c r="B329" s="528">
        <f>AB10</f>
        <v/>
      </c>
      <c r="C329" s="153" t="n"/>
      <c r="D329" s="135" t="n"/>
      <c r="E329" s="362" t="inlineStr">
        <is>
          <t>ครู</t>
        </is>
      </c>
      <c r="F329" s="5" t="n">
        <v>5</v>
      </c>
      <c r="G329" s="529" t="inlineStr">
        <is>
          <t>จันทร์</t>
        </is>
      </c>
      <c r="H329" s="376" t="inlineStr">
        <is>
          <t>20101-2015</t>
        </is>
      </c>
      <c r="I329" s="381" t="inlineStr">
        <is>
          <t>ชย.3/1,ชย.3/2 (26)</t>
        </is>
      </c>
      <c r="J329" s="381" t="inlineStr">
        <is>
          <t>17:10 - 21:10</t>
        </is>
      </c>
      <c r="K329" s="135" t="n"/>
      <c r="L329" s="381" t="n">
        <v>4</v>
      </c>
      <c r="M329" s="148" t="inlineStr"/>
      <c r="N329" s="150" t="inlineStr"/>
      <c r="O329" s="354" t="inlineStr"/>
      <c r="P329" s="134" t="inlineStr"/>
      <c r="Q329" s="134" t="inlineStr"/>
      <c r="R329" s="134" t="inlineStr"/>
      <c r="S329" s="354" t="inlineStr"/>
      <c r="T329" t="inlineStr"/>
      <c r="U329" t="inlineStr"/>
    </row>
    <row r="330" ht="22.2" customHeight="1" s="375">
      <c r="A330" s="3" t="n"/>
      <c r="B330" s="530" t="n"/>
      <c r="D330" s="374" t="n"/>
      <c r="E330" s="334" t="n"/>
      <c r="F330" s="322" t="n"/>
      <c r="G330" s="535" t="inlineStr">
        <is>
          <t>12 ต.ค.69</t>
        </is>
      </c>
      <c r="H330" s="376" t="inlineStr"/>
      <c r="I330" s="376" t="inlineStr"/>
      <c r="J330" s="376" t="inlineStr"/>
      <c r="K330" s="374" t="n"/>
      <c r="L330" s="376" t="inlineStr"/>
      <c r="M330" s="334" t="inlineStr"/>
      <c r="N330" s="323" t="inlineStr"/>
      <c r="O330" s="354" t="inlineStr"/>
      <c r="P330" s="334" t="inlineStr"/>
      <c r="Q330" s="334" t="inlineStr"/>
      <c r="R330" s="334" t="inlineStr"/>
      <c r="S330" s="354" t="inlineStr"/>
      <c r="T330" t="inlineStr"/>
      <c r="U330" t="inlineStr"/>
    </row>
    <row r="331" ht="22.2" customHeight="1" s="375">
      <c r="A331" s="3" t="n"/>
      <c r="B331" s="313" t="n"/>
      <c r="D331" s="314" t="n"/>
      <c r="E331" s="314" t="n"/>
      <c r="F331" s="322" t="n"/>
      <c r="G331" s="321" t="inlineStr"/>
      <c r="H331" s="334" t="inlineStr"/>
      <c r="I331" s="334" t="inlineStr"/>
      <c r="J331" s="334" t="inlineStr"/>
      <c r="K331" s="374" t="n"/>
      <c r="L331" s="334" t="inlineStr"/>
      <c r="M331" s="334" t="inlineStr"/>
      <c r="N331" s="334" t="inlineStr"/>
      <c r="O331" s="354" t="inlineStr"/>
      <c r="P331" s="334" t="inlineStr"/>
      <c r="Q331" s="334" t="inlineStr"/>
      <c r="R331" s="334" t="inlineStr"/>
      <c r="S331" s="354" t="inlineStr"/>
      <c r="T331" t="inlineStr"/>
      <c r="U331" t="inlineStr"/>
    </row>
    <row r="332" ht="22.2" customHeight="1" s="375">
      <c r="A332" s="3" t="n"/>
      <c r="B332" s="313" t="n"/>
      <c r="E332" s="3" t="n"/>
      <c r="F332" s="322" t="n"/>
      <c r="G332" s="321" t="inlineStr"/>
      <c r="H332" s="334" t="inlineStr"/>
      <c r="I332" s="334" t="inlineStr"/>
      <c r="J332" s="334" t="inlineStr"/>
      <c r="K332" s="374" t="n"/>
      <c r="L332" s="334" t="inlineStr"/>
      <c r="M332" s="334" t="inlineStr"/>
      <c r="N332" s="334" t="inlineStr"/>
      <c r="O332" s="354" t="inlineStr"/>
      <c r="P332" s="334" t="inlineStr"/>
      <c r="Q332" s="334" t="inlineStr"/>
      <c r="R332" s="334" t="inlineStr"/>
      <c r="S332" s="354" t="inlineStr"/>
      <c r="T332" t="inlineStr"/>
      <c r="U332" t="inlineStr"/>
    </row>
    <row r="333" ht="22.2" customHeight="1" s="375">
      <c r="A333" s="3" t="n"/>
      <c r="E333" s="3" t="n"/>
      <c r="G333" s="344" t="inlineStr"/>
      <c r="H333" s="336" t="inlineStr"/>
      <c r="I333" s="336" t="inlineStr"/>
      <c r="J333" s="336" t="inlineStr"/>
      <c r="K333" s="527" t="n"/>
      <c r="L333" s="336" t="inlineStr"/>
      <c r="M333" s="334" t="inlineStr"/>
      <c r="N333" s="334" t="inlineStr"/>
      <c r="O333" s="354" t="inlineStr"/>
      <c r="P333" s="334" t="inlineStr"/>
      <c r="Q333" s="334" t="inlineStr"/>
      <c r="R333" s="334" t="inlineStr"/>
      <c r="S333" s="354" t="inlineStr"/>
      <c r="T333" t="inlineStr"/>
      <c r="U333" t="inlineStr"/>
    </row>
    <row r="334" ht="22.2" customHeight="1" s="375">
      <c r="A334" s="3" t="n"/>
      <c r="D334" s="7" t="inlineStr">
        <is>
          <t> </t>
        </is>
      </c>
      <c r="E334" s="3" t="n"/>
      <c r="G334" s="533" t="inlineStr">
        <is>
          <t>อังคาร</t>
        </is>
      </c>
      <c r="H334" s="376" t="inlineStr">
        <is>
          <t>20101-2001</t>
        </is>
      </c>
      <c r="I334" s="381" t="inlineStr">
        <is>
          <t>ชย.1/9 (26)</t>
        </is>
      </c>
      <c r="J334" s="381" t="inlineStr">
        <is>
          <t>08:10 - 12:10</t>
        </is>
      </c>
      <c r="K334" s="135" t="n"/>
      <c r="L334" s="367" t="n">
        <v>4</v>
      </c>
      <c r="M334" s="381" t="inlineStr"/>
      <c r="N334" s="381" t="inlineStr"/>
      <c r="O334" s="354" t="inlineStr"/>
      <c r="P334" s="381" t="inlineStr"/>
      <c r="Q334" s="367" t="inlineStr"/>
      <c r="R334" s="381" t="inlineStr"/>
      <c r="S334" s="354" t="inlineStr"/>
      <c r="T334" t="inlineStr"/>
      <c r="U334" t="inlineStr"/>
    </row>
    <row r="335" ht="22.2" customHeight="1" s="375">
      <c r="A335" s="3" t="n"/>
      <c r="E335" s="3" t="n"/>
      <c r="G335" s="535" t="inlineStr">
        <is>
          <t>13 ต.ค.69</t>
        </is>
      </c>
      <c r="H335" s="376" t="inlineStr">
        <is>
          <t>20101-2001</t>
        </is>
      </c>
      <c r="I335" s="376" t="inlineStr">
        <is>
          <t>ชย.1/9 (26)</t>
        </is>
      </c>
      <c r="J335" s="376" t="inlineStr">
        <is>
          <t>13:10 - 16:10</t>
        </is>
      </c>
      <c r="K335" s="374" t="n"/>
      <c r="L335" s="334" t="n">
        <v>3</v>
      </c>
      <c r="M335" s="334" t="inlineStr"/>
      <c r="N335" s="334" t="inlineStr"/>
      <c r="O335" s="354" t="inlineStr"/>
      <c r="P335" s="334" t="inlineStr"/>
      <c r="Q335" s="334" t="inlineStr"/>
      <c r="R335" s="334" t="inlineStr"/>
      <c r="S335" s="354" t="inlineStr"/>
      <c r="T335" t="inlineStr"/>
      <c r="U335" t="inlineStr"/>
    </row>
    <row r="336" ht="22.2" customHeight="1" s="375">
      <c r="A336" s="3" t="n"/>
      <c r="B336" s="321" t="n"/>
      <c r="C336" s="322" t="n"/>
      <c r="D336" s="322" t="n"/>
      <c r="E336" s="334" t="n"/>
      <c r="G336" s="334" t="inlineStr"/>
      <c r="H336" s="376" t="inlineStr"/>
      <c r="I336" s="376" t="inlineStr"/>
      <c r="J336" s="376" t="inlineStr"/>
      <c r="K336" s="374" t="n"/>
      <c r="L336" s="334" t="inlineStr"/>
      <c r="M336" s="334" t="inlineStr"/>
      <c r="N336" s="334" t="inlineStr"/>
      <c r="O336" s="354" t="inlineStr"/>
      <c r="P336" s="334" t="inlineStr"/>
      <c r="Q336" s="334" t="inlineStr"/>
      <c r="R336" s="334" t="inlineStr"/>
      <c r="S336" s="354" t="inlineStr"/>
      <c r="T336" t="inlineStr"/>
      <c r="U336" t="inlineStr"/>
    </row>
    <row r="337" ht="22.2" customHeight="1" s="375">
      <c r="A337" s="3" t="n"/>
      <c r="B337" s="313" t="n"/>
      <c r="D337" s="314" t="n"/>
      <c r="E337" s="314" t="n"/>
      <c r="G337" s="54" t="inlineStr"/>
      <c r="H337" s="322" t="inlineStr"/>
      <c r="I337" s="334" t="inlineStr"/>
      <c r="J337" s="334" t="inlineStr"/>
      <c r="K337" s="374" t="n"/>
      <c r="L337" s="334" t="inlineStr"/>
      <c r="M337" s="334" t="inlineStr"/>
      <c r="N337" s="334" t="inlineStr"/>
      <c r="O337" s="354" t="inlineStr"/>
      <c r="P337" s="334" t="inlineStr"/>
      <c r="Q337" s="334" t="inlineStr"/>
      <c r="R337" s="334" t="inlineStr"/>
      <c r="S337" s="354" t="inlineStr"/>
      <c r="T337" t="inlineStr"/>
      <c r="U337" t="inlineStr"/>
    </row>
    <row r="338" ht="22.2" customHeight="1" s="375">
      <c r="A338" s="3" t="n"/>
      <c r="D338" s="7" t="inlineStr">
        <is>
          <t> </t>
        </is>
      </c>
      <c r="E338" s="3" t="n"/>
      <c r="G338" s="55" t="inlineStr"/>
      <c r="H338" s="336" t="inlineStr"/>
      <c r="I338" s="336" t="inlineStr"/>
      <c r="J338" s="336" t="inlineStr"/>
      <c r="K338" s="527" t="n"/>
      <c r="L338" s="334" t="inlineStr"/>
      <c r="M338" s="336" t="inlineStr"/>
      <c r="N338" s="336" t="inlineStr"/>
      <c r="O338" s="354" t="inlineStr"/>
      <c r="P338" s="336" t="inlineStr"/>
      <c r="Q338" s="336" t="inlineStr"/>
      <c r="R338" s="336" t="inlineStr"/>
      <c r="S338" s="354" t="inlineStr"/>
      <c r="T338" t="inlineStr"/>
      <c r="U338" t="inlineStr"/>
    </row>
    <row r="339" ht="22.2" customHeight="1" s="375">
      <c r="A339" s="3" t="n"/>
      <c r="E339" s="3" t="n"/>
      <c r="G339" s="535" t="inlineStr">
        <is>
          <t>พุธ</t>
        </is>
      </c>
      <c r="H339" s="376" t="inlineStr">
        <is>
          <t>20101-2001</t>
        </is>
      </c>
      <c r="I339" s="381" t="inlineStr">
        <is>
          <t>ชย.1/7 (26)</t>
        </is>
      </c>
      <c r="J339" s="381" t="inlineStr">
        <is>
          <t>08:10 - 12:10</t>
        </is>
      </c>
      <c r="K339" s="135" t="n"/>
      <c r="L339" s="381" t="n">
        <v>4</v>
      </c>
      <c r="M339" s="150" t="inlineStr"/>
      <c r="N339" s="148" t="inlineStr"/>
      <c r="O339" s="354" t="inlineStr"/>
      <c r="P339" s="134" t="inlineStr"/>
      <c r="Q339" s="135" t="inlineStr"/>
      <c r="R339" s="135" t="inlineStr"/>
      <c r="S339" s="354" t="inlineStr"/>
      <c r="T339" s="6" t="inlineStr"/>
      <c r="U339" s="22" t="inlineStr"/>
      <c r="V339" s="57" t="n"/>
      <c r="W339" s="21" t="n"/>
      <c r="X339" s="21" t="n"/>
    </row>
    <row r="340" ht="22.2" customHeight="1" s="375">
      <c r="A340" s="3" t="n"/>
      <c r="B340" s="321" t="n"/>
      <c r="C340" s="322" t="n"/>
      <c r="D340" s="322" t="n"/>
      <c r="E340" s="334" t="n"/>
      <c r="G340" s="535" t="inlineStr">
        <is>
          <t>14 ต.ค.69</t>
        </is>
      </c>
      <c r="H340" s="376" t="inlineStr">
        <is>
          <t>20101-2001</t>
        </is>
      </c>
      <c r="I340" s="376" t="inlineStr">
        <is>
          <t>ชย.1/7 (26)</t>
        </is>
      </c>
      <c r="J340" s="376" t="inlineStr">
        <is>
          <t>13:10 - 16:10</t>
        </is>
      </c>
      <c r="K340" s="374" t="n"/>
      <c r="L340" s="334" t="n">
        <v>3</v>
      </c>
      <c r="M340" s="157" t="inlineStr"/>
      <c r="N340" s="149" t="inlineStr"/>
      <c r="O340" s="354" t="inlineStr"/>
      <c r="P340" s="251" t="inlineStr"/>
      <c r="Q340" s="251" t="inlineStr"/>
      <c r="R340" s="374" t="inlineStr"/>
      <c r="S340" s="354" t="inlineStr"/>
      <c r="T340" s="21" t="inlineStr"/>
      <c r="U340" s="22" t="inlineStr"/>
      <c r="V340" s="57" t="n"/>
      <c r="W340" s="21" t="n"/>
      <c r="X340" s="21" t="n"/>
    </row>
    <row r="341" ht="22.2" customHeight="1" s="375">
      <c r="A341" s="3" t="n"/>
      <c r="B341" s="313" t="n"/>
      <c r="D341" s="314" t="n"/>
      <c r="E341" s="314" t="n"/>
      <c r="G341" s="334" t="inlineStr"/>
      <c r="H341" s="334" t="inlineStr"/>
      <c r="I341" s="334" t="inlineStr"/>
      <c r="J341" s="334" t="inlineStr"/>
      <c r="K341" s="374" t="n"/>
      <c r="L341" s="334" t="inlineStr"/>
      <c r="M341" s="334" t="inlineStr"/>
      <c r="N341" s="334" t="inlineStr"/>
      <c r="O341" s="362" t="inlineStr"/>
      <c r="P341" s="334" t="inlineStr"/>
      <c r="Q341" s="334" t="inlineStr"/>
      <c r="R341" s="334" t="inlineStr"/>
      <c r="S341" s="354" t="inlineStr"/>
      <c r="T341" t="inlineStr"/>
      <c r="U341" t="inlineStr"/>
    </row>
    <row r="342" ht="22.2" customHeight="1" s="375">
      <c r="A342" s="3" t="n"/>
      <c r="E342" s="3" t="n"/>
      <c r="G342" s="321" t="inlineStr"/>
      <c r="H342" s="321" t="inlineStr"/>
      <c r="I342" s="334" t="inlineStr"/>
      <c r="J342" s="334" t="inlineStr"/>
      <c r="K342" s="374" t="n"/>
      <c r="L342" s="334" t="inlineStr"/>
      <c r="M342" s="334" t="inlineStr"/>
      <c r="N342" s="334" t="inlineStr"/>
      <c r="O342" s="362" t="inlineStr"/>
      <c r="P342" s="334" t="inlineStr"/>
      <c r="Q342" s="334" t="inlineStr"/>
      <c r="R342" s="334" t="inlineStr"/>
      <c r="S342" s="354" t="inlineStr"/>
      <c r="T342" t="inlineStr"/>
      <c r="U342" t="inlineStr"/>
    </row>
    <row r="343" ht="22.2" customHeight="1" s="375">
      <c r="A343" s="3" t="n"/>
      <c r="E343" s="3" t="n"/>
      <c r="G343" s="327" t="inlineStr"/>
      <c r="H343" s="327" t="inlineStr"/>
      <c r="I343" s="336" t="inlineStr"/>
      <c r="J343" s="336" t="inlineStr"/>
      <c r="K343" s="527" t="n"/>
      <c r="L343" s="336" t="inlineStr"/>
      <c r="M343" s="336" t="inlineStr"/>
      <c r="N343" s="336" t="inlineStr"/>
      <c r="O343" s="354" t="inlineStr"/>
      <c r="P343" s="336" t="inlineStr"/>
      <c r="Q343" s="336" t="inlineStr"/>
      <c r="R343" s="336" t="inlineStr"/>
      <c r="S343" s="354" t="inlineStr"/>
      <c r="T343" t="inlineStr"/>
      <c r="U343" t="inlineStr"/>
    </row>
    <row r="344" ht="22.2" customHeight="1" s="375">
      <c r="A344" s="3" t="n"/>
      <c r="E344" s="3" t="n"/>
      <c r="G344" s="533" t="inlineStr">
        <is>
          <t>พฤหัส</t>
        </is>
      </c>
      <c r="H344" s="376" t="inlineStr">
        <is>
          <t>20101-2001</t>
        </is>
      </c>
      <c r="I344" s="376" t="inlineStr">
        <is>
          <t>ชย.1/6 (26)</t>
        </is>
      </c>
      <c r="J344" s="381" t="inlineStr">
        <is>
          <t>08:10 - 12:10</t>
        </is>
      </c>
      <c r="K344" s="135" t="n"/>
      <c r="L344" s="381" t="n">
        <v>2</v>
      </c>
      <c r="M344" s="150" t="n">
        <v>2</v>
      </c>
      <c r="N344" s="148" t="n">
        <v>200</v>
      </c>
      <c r="O344" s="354">
        <f>M344*N344</f>
        <v/>
      </c>
      <c r="P344" s="334" t="inlineStr"/>
      <c r="Q344" s="362" t="inlineStr"/>
      <c r="R344" s="362" t="inlineStr"/>
      <c r="S344" s="354" t="inlineStr"/>
      <c r="T344" t="inlineStr"/>
      <c r="U344" t="inlineStr"/>
    </row>
    <row r="345" ht="22.2" customHeight="1" s="375">
      <c r="A345" s="3" t="n"/>
      <c r="E345" s="3" t="n"/>
      <c r="G345" s="533" t="inlineStr">
        <is>
          <t>15 ต.ค.69</t>
        </is>
      </c>
      <c r="H345" s="376" t="inlineStr">
        <is>
          <t>20000-2004</t>
        </is>
      </c>
      <c r="I345" s="376" t="inlineStr">
        <is>
          <t>ชย.2/1,ชย.2/2 (26)</t>
        </is>
      </c>
      <c r="J345" s="376" t="inlineStr">
        <is>
          <t>13:10 - 15:10</t>
        </is>
      </c>
      <c r="K345" s="374" t="n"/>
      <c r="L345" s="334" t="n">
        <v>2</v>
      </c>
      <c r="M345" s="157" t="inlineStr"/>
      <c r="N345" s="149" t="inlineStr"/>
      <c r="O345" s="354" t="inlineStr"/>
      <c r="P345" s="334" t="inlineStr"/>
      <c r="Q345" s="334" t="inlineStr"/>
      <c r="R345" s="334" t="inlineStr"/>
      <c r="S345" s="354" t="inlineStr"/>
      <c r="T345" t="inlineStr"/>
      <c r="U345" t="inlineStr"/>
    </row>
    <row r="346" ht="22.2" customHeight="1" s="375">
      <c r="A346" s="3" t="n"/>
      <c r="B346" s="313" t="n"/>
      <c r="E346" s="3" t="n"/>
      <c r="G346" s="334" t="inlineStr"/>
      <c r="H346" s="376" t="inlineStr">
        <is>
          <t>20101-2001</t>
        </is>
      </c>
      <c r="I346" s="376" t="inlineStr">
        <is>
          <t>ชย.1/6 (26)</t>
        </is>
      </c>
      <c r="J346" s="376" t="inlineStr">
        <is>
          <t>15:10 - 18:10</t>
        </is>
      </c>
      <c r="K346" s="374" t="n"/>
      <c r="L346" s="376" t="inlineStr"/>
      <c r="M346" s="376" t="n">
        <v>3</v>
      </c>
      <c r="N346" s="370" t="n">
        <v>200</v>
      </c>
      <c r="O346" s="354">
        <f>M346*N346</f>
        <v/>
      </c>
      <c r="P346" s="376" t="inlineStr"/>
      <c r="Q346" s="370" t="inlineStr"/>
      <c r="R346" s="376" t="inlineStr"/>
      <c r="S346" s="354" t="inlineStr"/>
      <c r="T346" t="inlineStr"/>
      <c r="U346" t="inlineStr"/>
    </row>
    <row r="347" ht="22.2" customHeight="1" s="375">
      <c r="A347" s="3" t="n"/>
      <c r="E347" s="3" t="n"/>
      <c r="G347" s="334" t="inlineStr"/>
      <c r="H347" s="63" t="inlineStr"/>
      <c r="I347" s="376" t="inlineStr"/>
      <c r="J347" s="376" t="inlineStr"/>
      <c r="K347" s="374" t="n"/>
      <c r="L347" s="376" t="inlineStr"/>
      <c r="M347" s="376" t="inlineStr"/>
      <c r="N347" s="370" t="inlineStr"/>
      <c r="O347" s="354" t="inlineStr"/>
      <c r="P347" s="376" t="inlineStr"/>
      <c r="Q347" s="370" t="inlineStr"/>
      <c r="R347" s="376" t="inlineStr"/>
      <c r="S347" s="354" t="inlineStr"/>
      <c r="T347" t="inlineStr"/>
      <c r="U347" t="inlineStr"/>
    </row>
    <row r="348" ht="22.2" customHeight="1" s="375">
      <c r="A348" s="3" t="n"/>
      <c r="E348" s="3" t="n"/>
      <c r="G348" s="336" t="inlineStr"/>
      <c r="H348" s="328" t="inlineStr"/>
      <c r="I348" s="336" t="inlineStr"/>
      <c r="J348" s="336" t="inlineStr"/>
      <c r="K348" s="527" t="n"/>
      <c r="L348" s="336" t="inlineStr"/>
      <c r="M348" s="336" t="inlineStr"/>
      <c r="N348" s="336" t="inlineStr"/>
      <c r="O348" s="354" t="inlineStr"/>
      <c r="P348" s="336" t="inlineStr"/>
      <c r="Q348" s="336" t="inlineStr"/>
      <c r="R348" s="336" t="inlineStr"/>
      <c r="S348" s="354" t="inlineStr"/>
      <c r="T348" t="inlineStr"/>
      <c r="U348" t="inlineStr"/>
    </row>
    <row r="349" ht="22.2" customHeight="1" s="375">
      <c r="A349" s="3" t="n"/>
      <c r="E349" s="3" t="n"/>
      <c r="G349" s="533" t="inlineStr">
        <is>
          <t>ศุกร์</t>
        </is>
      </c>
      <c r="H349" s="376" t="inlineStr">
        <is>
          <t>20101-2001</t>
        </is>
      </c>
      <c r="I349" s="376" t="inlineStr">
        <is>
          <t>ชย.1/10 (26)</t>
        </is>
      </c>
      <c r="J349" s="381" t="inlineStr">
        <is>
          <t>08:10 - 12:10</t>
        </is>
      </c>
      <c r="K349" s="135" t="n"/>
      <c r="L349" s="334" t="inlineStr"/>
      <c r="M349" s="334" t="n">
        <v>4</v>
      </c>
      <c r="N349" s="334" t="n">
        <v>200</v>
      </c>
      <c r="O349" s="354">
        <f>M349*N349</f>
        <v/>
      </c>
      <c r="P349" s="381" t="inlineStr"/>
      <c r="Q349" s="367" t="inlineStr"/>
      <c r="R349" s="381" t="inlineStr"/>
      <c r="S349" s="354" t="inlineStr"/>
      <c r="T349" t="inlineStr"/>
      <c r="U349" t="inlineStr"/>
    </row>
    <row r="350" ht="22.2" customHeight="1" s="375">
      <c r="A350" s="3" t="n"/>
      <c r="E350" s="3" t="n"/>
      <c r="G350" s="533" t="inlineStr">
        <is>
          <t>16 ต.ค.69</t>
        </is>
      </c>
      <c r="H350" s="376" t="inlineStr">
        <is>
          <t>20101-2001</t>
        </is>
      </c>
      <c r="I350" s="376" t="inlineStr">
        <is>
          <t>ชย.1/10 (26)</t>
        </is>
      </c>
      <c r="J350" s="376" t="inlineStr">
        <is>
          <t>13:10 - 16:10</t>
        </is>
      </c>
      <c r="K350" s="374" t="n"/>
      <c r="L350" s="334" t="inlineStr"/>
      <c r="M350" s="334" t="n">
        <v>3</v>
      </c>
      <c r="N350" s="334" t="n">
        <v>200</v>
      </c>
      <c r="O350" s="354">
        <f>M350*N350</f>
        <v/>
      </c>
      <c r="P350" s="334" t="inlineStr"/>
      <c r="Q350" s="334" t="inlineStr"/>
      <c r="R350" s="334" t="inlineStr"/>
      <c r="S350" s="354" t="inlineStr"/>
      <c r="T350" t="inlineStr"/>
      <c r="U350" t="inlineStr"/>
    </row>
    <row r="351" ht="22.2" customHeight="1" s="375">
      <c r="A351" s="3" t="n"/>
      <c r="E351" s="3" t="n"/>
      <c r="G351" s="334" t="inlineStr"/>
      <c r="H351" s="334" t="inlineStr"/>
      <c r="I351" s="334" t="inlineStr"/>
      <c r="J351" s="334" t="inlineStr"/>
      <c r="K351" s="374" t="n"/>
      <c r="L351" s="334" t="inlineStr"/>
      <c r="M351" s="334" t="inlineStr"/>
      <c r="N351" s="334" t="inlineStr"/>
      <c r="O351" s="354" t="inlineStr"/>
      <c r="P351" s="334" t="inlineStr"/>
      <c r="Q351" s="334" t="inlineStr"/>
      <c r="R351" s="334" t="inlineStr"/>
      <c r="S351" s="354" t="inlineStr"/>
      <c r="T351" t="inlineStr"/>
      <c r="U351" t="inlineStr"/>
    </row>
    <row r="352" ht="22.2" customHeight="1" s="375">
      <c r="A352" s="3" t="n"/>
      <c r="E352" s="3" t="n"/>
      <c r="G352" s="334" t="inlineStr"/>
      <c r="H352" s="322" t="inlineStr"/>
      <c r="I352" s="334" t="inlineStr"/>
      <c r="J352" s="334" t="inlineStr"/>
      <c r="K352" s="374" t="n"/>
      <c r="L352" s="334" t="inlineStr"/>
      <c r="M352" s="334" t="inlineStr"/>
      <c r="N352" s="334" t="inlineStr"/>
      <c r="O352" s="354" t="inlineStr"/>
      <c r="P352" s="334" t="inlineStr"/>
      <c r="Q352" s="334" t="inlineStr"/>
      <c r="R352" s="334" t="inlineStr"/>
      <c r="S352" s="354" t="inlineStr"/>
      <c r="T352" t="inlineStr"/>
      <c r="U352" t="inlineStr"/>
    </row>
    <row r="353" ht="22.2" customHeight="1" s="375">
      <c r="A353" s="3" t="n"/>
      <c r="E353" s="3" t="n"/>
      <c r="F353" s="3" t="n"/>
      <c r="G353" s="329" t="inlineStr"/>
      <c r="H353" s="328" t="inlineStr"/>
      <c r="I353" s="336" t="inlineStr"/>
      <c r="J353" s="336" t="inlineStr"/>
      <c r="K353" s="527" t="n"/>
      <c r="L353" s="336" t="inlineStr"/>
      <c r="M353" s="336" t="inlineStr"/>
      <c r="N353" s="336" t="inlineStr"/>
      <c r="O353" s="354" t="inlineStr"/>
      <c r="P353" s="336" t="inlineStr"/>
      <c r="Q353" s="336" t="inlineStr"/>
      <c r="R353" s="336" t="inlineStr"/>
      <c r="S353" s="354" t="inlineStr"/>
      <c r="T353" t="inlineStr"/>
      <c r="U353" t="inlineStr"/>
    </row>
    <row r="354" ht="22.2" customHeight="1" s="375">
      <c r="A354" s="3" t="n"/>
      <c r="E354" s="3" t="n"/>
      <c r="F354" s="3" t="n"/>
      <c r="G354" s="16" t="inlineStr">
        <is>
          <t>รวมขั่วโมงที่สอนแยก ภาระงาน/ เกินภาระงาน</t>
        </is>
      </c>
      <c r="H354" s="518" t="n"/>
      <c r="I354" s="518" t="n"/>
      <c r="J354" s="518" t="n"/>
      <c r="K354" s="432" t="n"/>
      <c r="L354" s="16">
        <f>SUM(L329:L353)</f>
        <v/>
      </c>
      <c r="M354" s="16">
        <f>SUM(M329:M353)</f>
        <v/>
      </c>
      <c r="N354" s="16" t="n"/>
      <c r="O354" s="16" t="n"/>
      <c r="P354" s="16">
        <f>SUM(P329:P353)</f>
        <v/>
      </c>
      <c r="Q354" s="16">
        <f>SUM(Q329:Q353)</f>
        <v/>
      </c>
      <c r="R354" s="349" t="n"/>
      <c r="S354" s="16" t="n"/>
    </row>
    <row r="355" ht="22.2" customHeight="1" s="375">
      <c r="A355" s="3" t="n"/>
      <c r="E355" s="3" t="n"/>
      <c r="F355" s="3" t="n"/>
      <c r="G355" s="16" t="inlineStr">
        <is>
          <t>รวมจำนวนชั่วโมงสอนคาบต่อสับดาห์</t>
        </is>
      </c>
      <c r="H355" s="518" t="n"/>
      <c r="I355" s="518" t="n"/>
      <c r="J355" s="518" t="n"/>
      <c r="K355" s="432" t="n"/>
      <c r="L355" s="16">
        <f>L354+M354</f>
        <v/>
      </c>
      <c r="M355" s="432" t="n"/>
      <c r="N355" s="348" t="n"/>
      <c r="O355" s="16" t="n"/>
      <c r="P355" s="16">
        <f>P354+Q354</f>
        <v/>
      </c>
      <c r="Q355" s="432" t="n"/>
      <c r="R355" s="329" t="n"/>
      <c r="S355" s="336" t="n"/>
    </row>
    <row r="356" ht="22.2" customHeight="1" s="375">
      <c r="A356" s="3" t="n"/>
      <c r="E356" s="3" t="n"/>
      <c r="F356" s="3" t="n"/>
      <c r="G356" s="16" t="inlineStr">
        <is>
          <t>จำนวนชั่วโมงสอนตามภาระงานสอน</t>
        </is>
      </c>
      <c r="H356" s="518" t="n"/>
      <c r="I356" s="518" t="n"/>
      <c r="J356" s="518" t="n"/>
      <c r="K356" s="432" t="n"/>
      <c r="L356" s="16" t="n">
        <v>18</v>
      </c>
      <c r="M356" s="432" t="n"/>
      <c r="N356" s="348" t="n"/>
      <c r="O356" s="16" t="n"/>
      <c r="P356" s="16" t="n">
        <v>0</v>
      </c>
      <c r="Q356" s="432" t="n"/>
      <c r="R356" s="322" t="n"/>
      <c r="S356" s="334" t="n"/>
    </row>
    <row r="357" ht="22.2" customHeight="1" s="375" thickBot="1">
      <c r="A357" s="3" t="n"/>
      <c r="E357" s="3" t="n"/>
      <c r="F357" s="14" t="n"/>
      <c r="G357" s="16" t="inlineStr">
        <is>
          <t>จำนวนชั่วโมงบิกเกินภาระงานสอน/ค่าสอน</t>
        </is>
      </c>
      <c r="H357" s="518" t="n"/>
      <c r="I357" s="518" t="n"/>
      <c r="J357" s="518" t="n"/>
      <c r="K357" s="432" t="n"/>
      <c r="L357" s="17" t="n">
        <v>0</v>
      </c>
      <c r="M357" s="17">
        <f>SUM(M329:M353)</f>
        <v/>
      </c>
      <c r="N357" s="17" t="n"/>
      <c r="O357" s="17">
        <f>SUM(O329:O353)</f>
        <v/>
      </c>
      <c r="P357" s="17" t="n">
        <v>0</v>
      </c>
      <c r="Q357" s="17">
        <f>SUM(Q329:Q353)</f>
        <v/>
      </c>
      <c r="R357" s="18" t="n"/>
      <c r="S357" s="17">
        <f>SUM(S329:S353)</f>
        <v/>
      </c>
    </row>
    <row r="358" ht="22.2" customHeight="1" s="375" thickTop="1">
      <c r="A358" s="337" t="inlineStr">
        <is>
          <t>รวมจำนวนหน่วยชั่วโมงที่ขอเบิกค่าสอน ….</t>
        </is>
      </c>
      <c r="B358" s="518" t="n"/>
      <c r="C358" s="518" t="n"/>
      <c r="D358" s="518" t="n"/>
      <c r="E358" s="518" t="n"/>
      <c r="F358" s="518" t="n"/>
      <c r="G358" s="518" t="n"/>
      <c r="H358" s="348">
        <f>M357+Q357</f>
        <v/>
      </c>
      <c r="I358" s="348" t="inlineStr">
        <is>
          <t>….ชั่วโมง</t>
        </is>
      </c>
      <c r="J358" s="348" t="n"/>
      <c r="K358" s="328" t="inlineStr">
        <is>
          <t>ยอดเงินรวม</t>
        </is>
      </c>
      <c r="L358" s="522" t="n"/>
      <c r="M358" s="522" t="n"/>
      <c r="N358" s="328" t="n"/>
      <c r="O358" s="328" t="n"/>
      <c r="P358" s="339">
        <f>S357+O357</f>
        <v/>
      </c>
      <c r="Q358" s="538" t="n"/>
      <c r="R358" s="20" t="n"/>
      <c r="S358" s="19" t="inlineStr">
        <is>
          <t>..บาท</t>
        </is>
      </c>
    </row>
    <row r="359" ht="22.2" customHeight="1" s="375">
      <c r="A359" s="154" t="inlineStr">
        <is>
          <t>ผู้ขอเบิก</t>
        </is>
      </c>
      <c r="B359" s="153" t="n"/>
      <c r="C359" s="153" t="n"/>
      <c r="D359" s="153" t="n"/>
      <c r="E359" s="153" t="n"/>
      <c r="F359" s="153" t="n"/>
      <c r="G359" s="135" t="n"/>
      <c r="H359" s="154" t="inlineStr">
        <is>
          <t>ผู้รับรอง</t>
        </is>
      </c>
      <c r="I359" s="153" t="n"/>
      <c r="J359" s="153" t="n"/>
      <c r="K359" s="153" t="n"/>
      <c r="L359" s="135" t="n"/>
      <c r="M359" s="154" t="inlineStr">
        <is>
          <t>ผู้ตรวจ</t>
        </is>
      </c>
      <c r="N359" s="153" t="n"/>
      <c r="O359" s="153" t="n"/>
      <c r="P359" s="153" t="n"/>
      <c r="Q359" s="153" t="n"/>
      <c r="R359" s="153" t="n"/>
      <c r="S359" s="135" t="n"/>
    </row>
    <row r="360" ht="22.2" customHeight="1" s="375">
      <c r="A360" s="334" t="inlineStr">
        <is>
          <t>ลงชื่อ……………………………………………</t>
        </is>
      </c>
      <c r="G360" s="374" t="n"/>
      <c r="H360" s="334" t="inlineStr">
        <is>
          <t>ลงชื่อ……………………………………………</t>
        </is>
      </c>
      <c r="L360" s="374" t="n"/>
      <c r="M360" s="334" t="inlineStr">
        <is>
          <t>ลงชื่อ……………………………………………</t>
        </is>
      </c>
      <c r="S360" s="374" t="n"/>
    </row>
    <row r="361" ht="22.2" customHeight="1" s="375">
      <c r="A361" s="11" t="inlineStr">
        <is>
          <t>(</t>
        </is>
      </c>
      <c r="B361" s="324">
        <f>B329</f>
        <v/>
      </c>
      <c r="G361" s="326" t="inlineStr">
        <is>
          <t>)</t>
        </is>
      </c>
      <c r="H361" s="324" t="inlineStr">
        <is>
          <t>(</t>
        </is>
      </c>
      <c r="I361" s="340">
        <f>I315</f>
        <v/>
      </c>
      <c r="L361" s="12" t="inlineStr">
        <is>
          <t>)</t>
        </is>
      </c>
      <c r="M361" s="53" t="inlineStr">
        <is>
          <t>(</t>
        </is>
      </c>
      <c r="N361" s="53" t="n"/>
      <c r="O361" s="324">
        <f>O39</f>
        <v/>
      </c>
      <c r="R361" s="25" t="n"/>
      <c r="S361" s="326" t="inlineStr">
        <is>
          <t>)</t>
        </is>
      </c>
    </row>
    <row r="362" ht="22.2" customHeight="1" s="375">
      <c r="A362" s="540" t="inlineStr">
        <is>
          <t xml:space="preserve">                         ตำแหน่ง  ครู</t>
        </is>
      </c>
      <c r="G362" s="374" t="n"/>
      <c r="H362" s="54" t="inlineStr">
        <is>
          <t>ตำแหน่ง หัวหน้าแผนก</t>
        </is>
      </c>
      <c r="L362" s="374" t="n"/>
      <c r="M362" s="54" t="inlineStr">
        <is>
          <t>ตำแหน่ง   ผู้ตรวจสอบ</t>
        </is>
      </c>
      <c r="S362" s="374" t="n"/>
    </row>
    <row r="363" ht="22.2" customHeight="1" s="375">
      <c r="A363" s="55" t="inlineStr">
        <is>
          <t>วันที่ 19 เดือน ตุลาคม  พ.ศ.2569</t>
        </is>
      </c>
      <c r="B363" s="522" t="n"/>
      <c r="C363" s="522" t="n"/>
      <c r="D363" s="522" t="n"/>
      <c r="E363" s="522" t="n"/>
      <c r="F363" s="522" t="n"/>
      <c r="G363" s="527" t="n"/>
      <c r="H363" s="54">
        <f>A41</f>
        <v/>
      </c>
      <c r="L363" s="374" t="n"/>
      <c r="M363" s="55">
        <f>A41</f>
        <v/>
      </c>
      <c r="N363" s="522" t="n"/>
      <c r="O363" s="522" t="n"/>
      <c r="P363" s="522" t="n"/>
      <c r="Q363" s="522" t="n"/>
      <c r="R363" s="522" t="n"/>
      <c r="S363" s="527" t="n"/>
    </row>
    <row r="364" ht="22.2" customHeight="1" s="375">
      <c r="A364" s="154" t="inlineStr">
        <is>
          <t>ผู้ตรวจ</t>
        </is>
      </c>
      <c r="B364" s="153" t="n"/>
      <c r="C364" s="153" t="n"/>
      <c r="D364" s="153" t="n"/>
      <c r="E364" s="153" t="n"/>
      <c r="F364" s="153" t="n"/>
      <c r="G364" s="153" t="n"/>
      <c r="H364" s="153" t="n"/>
      <c r="I364" s="135" t="n"/>
      <c r="J364" s="154" t="inlineStr">
        <is>
          <t>ผู้เห็นชอบ</t>
        </is>
      </c>
      <c r="K364" s="153" t="n"/>
      <c r="L364" s="153" t="n"/>
      <c r="M364" s="153" t="n"/>
      <c r="N364" s="153" t="n"/>
      <c r="O364" s="153" t="n"/>
      <c r="P364" s="153" t="n"/>
      <c r="Q364" s="153" t="n"/>
      <c r="R364" s="153" t="n"/>
      <c r="S364" s="135" t="n"/>
    </row>
    <row r="365" ht="22.2" customHeight="1" s="375">
      <c r="A365" s="334" t="inlineStr">
        <is>
          <t>ลงชื่อ……………………………………………</t>
        </is>
      </c>
      <c r="I365" s="374" t="n"/>
      <c r="J365" s="334" t="inlineStr">
        <is>
          <t>ลงชื่อ……………………………………………</t>
        </is>
      </c>
      <c r="S365" s="374" t="n"/>
    </row>
    <row r="366" ht="22.2" customHeight="1" s="375">
      <c r="A366" s="11" t="n"/>
      <c r="B366" s="324">
        <f>B44</f>
        <v/>
      </c>
      <c r="I366" s="326" t="n"/>
      <c r="J366" s="25" t="n"/>
      <c r="K366" s="25" t="n"/>
      <c r="L366" s="324">
        <f>L44</f>
        <v/>
      </c>
      <c r="R366" s="25" t="n"/>
      <c r="S366" s="12" t="n"/>
    </row>
    <row r="367" ht="22.2" customHeight="1" s="375">
      <c r="A367" s="54" t="inlineStr">
        <is>
          <t>ตำแหน่งครู  หัวหน้างานพัฒนาหลักสูตร ฯ</t>
        </is>
      </c>
      <c r="I367" s="374" t="n"/>
      <c r="J367" s="54" t="inlineStr">
        <is>
          <t>ตำแหน่ง  รองผู้อำนวยการฝ่ายวิชาการ</t>
        </is>
      </c>
      <c r="S367" s="374" t="n"/>
    </row>
    <row r="368" ht="22.2" customHeight="1" s="375">
      <c r="A368" s="336" t="inlineStr">
        <is>
          <t>วันที่.......เดือน..........................พ.ศ..............</t>
        </is>
      </c>
      <c r="B368" s="522" t="n"/>
      <c r="C368" s="522" t="n"/>
      <c r="D368" s="522" t="n"/>
      <c r="E368" s="522" t="n"/>
      <c r="F368" s="522" t="n"/>
      <c r="G368" s="522" t="n"/>
      <c r="H368" s="522" t="n"/>
      <c r="I368" s="527" t="n"/>
      <c r="J368" s="336" t="inlineStr">
        <is>
          <t>วันที่.......เดือน..........................พ.ศ..............</t>
        </is>
      </c>
      <c r="K368" s="522" t="n"/>
      <c r="L368" s="522" t="n"/>
      <c r="M368" s="522" t="n"/>
      <c r="N368" s="522" t="n"/>
      <c r="O368" s="522" t="n"/>
      <c r="P368" s="522" t="n"/>
      <c r="Q368" s="522" t="n"/>
      <c r="R368" s="522" t="n"/>
      <c r="S368" s="527" t="n"/>
    </row>
    <row r="369" ht="22.2" customHeight="1" s="375">
      <c r="A369" s="379" t="inlineStr">
        <is>
          <t>ใบเบิกจ่ายเงินค่าสอนพิเศษและค่าสอนเกินภาระงานสอนในสถานศึกษา</t>
        </is>
      </c>
      <c r="B369" s="153" t="n"/>
      <c r="C369" s="153" t="n"/>
      <c r="D369" s="153" t="n"/>
      <c r="E369" s="153" t="n"/>
      <c r="F369" s="153" t="n"/>
      <c r="G369" s="153" t="n"/>
      <c r="H369" s="153" t="n"/>
      <c r="I369" s="153" t="n"/>
      <c r="J369" s="153" t="n"/>
      <c r="K369" s="153" t="n"/>
      <c r="L369" s="153" t="n"/>
      <c r="M369" s="153" t="n"/>
      <c r="N369" s="153" t="n"/>
      <c r="O369" s="153" t="n"/>
      <c r="P369" s="153" t="n"/>
      <c r="Q369" s="153" t="n"/>
      <c r="R369" s="153" t="n"/>
      <c r="S369" s="153" t="n"/>
    </row>
    <row r="370" ht="22.2" customHeight="1" s="375">
      <c r="A370" s="365" t="inlineStr">
        <is>
          <t>แผนกวิชาช่างยนต์</t>
        </is>
      </c>
    </row>
    <row r="371" ht="22.2" customHeight="1" s="375">
      <c r="A371" s="366" t="inlineStr">
        <is>
          <t xml:space="preserve">    ระหว่างวันที่</t>
        </is>
      </c>
      <c r="D371" s="365">
        <f>D3</f>
        <v/>
      </c>
      <c r="E371" s="365" t="inlineStr">
        <is>
          <t xml:space="preserve">   เดือน  </t>
        </is>
      </c>
      <c r="F371" s="365">
        <f>F3</f>
        <v/>
      </c>
      <c r="H371" s="365">
        <f>H3</f>
        <v/>
      </c>
      <c r="I371" s="365" t="inlineStr">
        <is>
          <t xml:space="preserve">     ถึง วันที่</t>
        </is>
      </c>
      <c r="J371" s="365">
        <f>J3</f>
        <v/>
      </c>
      <c r="K371" s="365" t="inlineStr">
        <is>
          <t xml:space="preserve">   เดือน </t>
        </is>
      </c>
      <c r="L371" s="365">
        <f>L3</f>
        <v/>
      </c>
      <c r="N371" s="365">
        <f>N3</f>
        <v/>
      </c>
      <c r="P371" s="365" t="n"/>
      <c r="R371" s="365" t="n"/>
    </row>
    <row r="372" ht="22.2" customHeight="1" s="375">
      <c r="G372" s="51" t="inlineStr">
        <is>
          <t>ü</t>
        </is>
      </c>
      <c r="H372" s="351" t="inlineStr">
        <is>
          <t>ครู</t>
        </is>
      </c>
      <c r="I372" s="322" t="inlineStr">
        <is>
          <t>หน้าที่พิเศษ</t>
        </is>
      </c>
      <c r="J372" s="351" t="inlineStr">
        <is>
          <t>ผู้ช่วยงานพัสดุ, โครงการพิเศษและการบริการสังคม</t>
        </is>
      </c>
    </row>
    <row r="373" ht="22.2" customHeight="1" s="375">
      <c r="A373" s="24" t="inlineStr">
        <is>
          <t>ที่</t>
        </is>
      </c>
      <c r="B373" s="24" t="inlineStr">
        <is>
          <t>ชื่อ-สกุล</t>
        </is>
      </c>
      <c r="C373" s="153" t="n"/>
      <c r="D373" s="135" t="n"/>
      <c r="E373" s="15" t="inlineStr">
        <is>
          <t>ตำแหน่ง</t>
        </is>
      </c>
      <c r="F373" s="16" t="inlineStr">
        <is>
          <t>ระยะเวลาที่สอน</t>
        </is>
      </c>
      <c r="G373" s="432" t="n"/>
      <c r="H373" s="16" t="inlineStr">
        <is>
          <t>รหัสวิชา</t>
        </is>
      </c>
      <c r="I373" s="362" t="inlineStr">
        <is>
          <t>ชั้น,แผนก,ห้อง</t>
        </is>
      </c>
      <c r="J373" s="16" t="inlineStr">
        <is>
          <t>เวลาสอน</t>
        </is>
      </c>
      <c r="K373" s="135" t="n"/>
      <c r="L373" s="16" t="inlineStr">
        <is>
          <t>ปวช.(คาบ)</t>
        </is>
      </c>
      <c r="M373" s="432" t="n"/>
      <c r="N373" s="354" t="inlineStr">
        <is>
          <t>เงิน</t>
        </is>
      </c>
      <c r="O373" s="362" t="inlineStr">
        <is>
          <t>ยอดเงิน</t>
        </is>
      </c>
      <c r="P373" s="524" t="inlineStr">
        <is>
          <t>ปวส.(คาบ)</t>
        </is>
      </c>
      <c r="Q373" s="432" t="n"/>
      <c r="R373" s="354" t="inlineStr">
        <is>
          <t>เงิน</t>
        </is>
      </c>
      <c r="S373" s="362" t="inlineStr">
        <is>
          <t>ยอดเงิน</t>
        </is>
      </c>
    </row>
    <row r="374" ht="22.2" customHeight="1" s="375">
      <c r="A374" s="52" t="n"/>
      <c r="B374" s="8" t="n"/>
      <c r="C374" s="9" t="n"/>
      <c r="D374" s="13" t="n"/>
      <c r="E374" s="10" t="n"/>
      <c r="F374" s="336" t="inlineStr">
        <is>
          <t>ส.</t>
        </is>
      </c>
      <c r="G374" s="336" t="inlineStr">
        <is>
          <t>วดป.</t>
        </is>
      </c>
      <c r="H374" s="525" t="n"/>
      <c r="I374" s="137" t="n"/>
      <c r="J374" s="526" t="n"/>
      <c r="K374" s="527" t="n"/>
      <c r="L374" s="336" t="inlineStr">
        <is>
          <t>ใน</t>
        </is>
      </c>
      <c r="M374" s="336" t="inlineStr">
        <is>
          <t>นอก</t>
        </is>
      </c>
      <c r="N374" s="336" t="inlineStr">
        <is>
          <t>ต่อ ชม.</t>
        </is>
      </c>
      <c r="O374" s="336" t="inlineStr">
        <is>
          <t>(บาท)</t>
        </is>
      </c>
      <c r="P374" s="52" t="inlineStr">
        <is>
          <t>ใน</t>
        </is>
      </c>
      <c r="Q374" s="52" t="inlineStr">
        <is>
          <t>นอก</t>
        </is>
      </c>
      <c r="R374" s="336" t="inlineStr">
        <is>
          <t>ต่อ ชม.</t>
        </is>
      </c>
      <c r="S374" s="336" t="inlineStr">
        <is>
          <t>(บาท)</t>
        </is>
      </c>
    </row>
    <row r="375" ht="22.2" customHeight="1" s="375">
      <c r="A375" s="334" t="n">
        <v>9</v>
      </c>
      <c r="B375" s="530">
        <f>AB11</f>
        <v/>
      </c>
      <c r="D375" s="374" t="n"/>
      <c r="E375" s="334" t="inlineStr">
        <is>
          <t>ครู</t>
        </is>
      </c>
      <c r="F375" s="334" t="n">
        <v>5</v>
      </c>
      <c r="G375" s="529" t="inlineStr">
        <is>
          <t>จันทร์</t>
        </is>
      </c>
      <c r="H375" s="376" t="inlineStr">
        <is>
          <t>20143-2011</t>
        </is>
      </c>
      <c r="I375" s="376" t="inlineStr">
        <is>
          <t>ชย.3/8 (26)</t>
        </is>
      </c>
      <c r="J375" s="381" t="inlineStr">
        <is>
          <t>08:10 - 12:10</t>
        </is>
      </c>
      <c r="K375" s="135" t="n"/>
      <c r="L375" s="367" t="n">
        <v>4</v>
      </c>
      <c r="M375" s="381" t="inlineStr"/>
      <c r="N375" s="381" t="inlineStr"/>
      <c r="O375" s="354" t="inlineStr"/>
      <c r="P375" s="381" t="inlineStr"/>
      <c r="Q375" s="367" t="inlineStr"/>
      <c r="R375" s="381" t="inlineStr"/>
      <c r="S375" s="354" t="inlineStr"/>
      <c r="T375" t="inlineStr"/>
      <c r="U375" t="inlineStr"/>
    </row>
    <row r="376" ht="22.2" customHeight="1" s="375">
      <c r="A376" s="3" t="n"/>
      <c r="B376" s="530" t="n"/>
      <c r="D376" s="374" t="n"/>
      <c r="E376" s="334" t="n"/>
      <c r="F376" s="322" t="n"/>
      <c r="G376" s="535" t="inlineStr">
        <is>
          <t>12 ต.ค.69</t>
        </is>
      </c>
      <c r="H376" s="376" t="inlineStr">
        <is>
          <t>20143-2011</t>
        </is>
      </c>
      <c r="I376" s="376" t="inlineStr">
        <is>
          <t>ชย.3/8 (26)</t>
        </is>
      </c>
      <c r="J376" s="334" t="inlineStr">
        <is>
          <t>13:10 - 16:10</t>
        </is>
      </c>
      <c r="K376" s="374" t="n"/>
      <c r="L376" s="334" t="n">
        <v>3</v>
      </c>
      <c r="M376" s="334" t="inlineStr"/>
      <c r="N376" s="334" t="inlineStr"/>
      <c r="O376" s="354" t="inlineStr"/>
      <c r="P376" s="334" t="inlineStr"/>
      <c r="Q376" s="334" t="inlineStr"/>
      <c r="R376" s="334" t="inlineStr"/>
      <c r="S376" s="354" t="inlineStr"/>
      <c r="T376" t="inlineStr"/>
      <c r="U376" t="inlineStr"/>
    </row>
    <row r="377" ht="22.2" customHeight="1" s="375">
      <c r="A377" s="3" t="n"/>
      <c r="B377" s="313" t="n"/>
      <c r="D377" s="314" t="n"/>
      <c r="E377" s="314" t="n"/>
      <c r="F377" s="322" t="n"/>
      <c r="G377" s="321" t="inlineStr"/>
      <c r="H377" s="376" t="inlineStr"/>
      <c r="I377" s="376" t="inlineStr"/>
      <c r="J377" s="334" t="inlineStr"/>
      <c r="K377" s="374" t="n"/>
      <c r="L377" s="334" t="inlineStr"/>
      <c r="M377" s="334" t="inlineStr"/>
      <c r="N377" s="334" t="inlineStr"/>
      <c r="O377" s="354" t="inlineStr"/>
      <c r="P377" s="334" t="inlineStr"/>
      <c r="Q377" s="334" t="inlineStr"/>
      <c r="R377" s="334" t="inlineStr"/>
      <c r="S377" s="354" t="inlineStr"/>
      <c r="T377" t="inlineStr"/>
      <c r="U377" t="inlineStr"/>
    </row>
    <row r="378" ht="22.2" customHeight="1" s="375">
      <c r="A378" s="3" t="n"/>
      <c r="D378" s="314" t="n"/>
      <c r="E378" s="314" t="n"/>
      <c r="F378" s="322" t="n"/>
      <c r="G378" s="321" t="inlineStr"/>
      <c r="H378" s="334" t="inlineStr"/>
      <c r="I378" s="334" t="inlineStr"/>
      <c r="J378" s="334" t="inlineStr"/>
      <c r="K378" s="374" t="n"/>
      <c r="L378" s="334" t="inlineStr"/>
      <c r="M378" s="334" t="inlineStr"/>
      <c r="N378" s="334" t="inlineStr"/>
      <c r="O378" s="354" t="inlineStr"/>
      <c r="P378" s="334" t="inlineStr"/>
      <c r="Q378" s="334" t="inlineStr"/>
      <c r="R378" s="334" t="inlineStr"/>
      <c r="S378" s="354" t="inlineStr"/>
      <c r="T378" t="inlineStr"/>
      <c r="U378" t="inlineStr"/>
    </row>
    <row r="379" ht="22.2" customHeight="1" s="375">
      <c r="A379" s="3" t="n"/>
      <c r="E379" s="3" t="n"/>
      <c r="G379" s="344" t="inlineStr"/>
      <c r="H379" s="336" t="inlineStr"/>
      <c r="I379" s="336" t="inlineStr"/>
      <c r="J379" s="336" t="inlineStr"/>
      <c r="K379" s="527" t="n"/>
      <c r="L379" s="334" t="inlineStr"/>
      <c r="M379" s="334" t="inlineStr"/>
      <c r="N379" s="334" t="inlineStr"/>
      <c r="O379" s="354" t="inlineStr"/>
      <c r="P379" s="334" t="inlineStr"/>
      <c r="Q379" s="334" t="inlineStr"/>
      <c r="R379" s="334" t="inlineStr"/>
      <c r="S379" s="354" t="inlineStr"/>
      <c r="T379" t="inlineStr"/>
      <c r="U379" t="inlineStr"/>
    </row>
    <row r="380" ht="22.2" customHeight="1" s="375">
      <c r="A380" s="3" t="n"/>
      <c r="E380" s="3" t="n"/>
      <c r="G380" s="533" t="inlineStr">
        <is>
          <t>อังคาร</t>
        </is>
      </c>
      <c r="H380" s="376" t="inlineStr">
        <is>
          <t>20143-2018</t>
        </is>
      </c>
      <c r="I380" s="376" t="inlineStr">
        <is>
          <t>ชยฟ.3/1 (26)</t>
        </is>
      </c>
      <c r="J380" s="381" t="inlineStr">
        <is>
          <t>08:10 - 12:10</t>
        </is>
      </c>
      <c r="K380" s="135" t="n"/>
      <c r="L380" s="367" t="n">
        <v>4</v>
      </c>
      <c r="M380" s="381" t="inlineStr"/>
      <c r="N380" s="381" t="inlineStr"/>
      <c r="O380" s="354" t="inlineStr"/>
      <c r="P380" s="381" t="inlineStr"/>
      <c r="Q380" s="367" t="inlineStr"/>
      <c r="R380" s="381" t="inlineStr"/>
      <c r="S380" s="354" t="inlineStr"/>
      <c r="T380" t="inlineStr"/>
      <c r="U380" t="inlineStr"/>
    </row>
    <row r="381" ht="22.2" customHeight="1" s="375">
      <c r="A381" s="3" t="n"/>
      <c r="E381" s="3" t="n"/>
      <c r="G381" s="535" t="inlineStr">
        <is>
          <t>13 ต.ค.69</t>
        </is>
      </c>
      <c r="H381" s="376" t="inlineStr"/>
      <c r="I381" s="376" t="inlineStr"/>
      <c r="J381" s="334" t="inlineStr"/>
      <c r="K381" s="374" t="n"/>
      <c r="L381" s="334" t="inlineStr"/>
      <c r="M381" s="334" t="inlineStr"/>
      <c r="N381" s="334" t="inlineStr"/>
      <c r="O381" s="354" t="inlineStr"/>
      <c r="P381" s="334" t="inlineStr"/>
      <c r="Q381" s="334" t="inlineStr"/>
      <c r="R381" s="334" t="inlineStr"/>
      <c r="S381" s="354" t="inlineStr"/>
      <c r="T381" t="inlineStr"/>
      <c r="U381" t="inlineStr"/>
    </row>
    <row r="382" ht="22.2" customHeight="1" s="375">
      <c r="A382" s="3" t="n"/>
      <c r="B382" s="313" t="n"/>
      <c r="D382" s="314" t="n"/>
      <c r="E382" s="314" t="n"/>
      <c r="G382" s="334" t="inlineStr"/>
      <c r="H382" s="334" t="inlineStr"/>
      <c r="I382" s="334" t="inlineStr"/>
      <c r="J382" s="334" t="inlineStr"/>
      <c r="K382" s="374" t="n"/>
      <c r="L382" s="334" t="inlineStr"/>
      <c r="M382" s="334" t="inlineStr"/>
      <c r="N382" s="334" t="inlineStr"/>
      <c r="O382" s="354" t="inlineStr"/>
      <c r="P382" s="334" t="inlineStr"/>
      <c r="Q382" s="334" t="inlineStr"/>
      <c r="R382" s="334" t="inlineStr"/>
      <c r="S382" s="354" t="inlineStr"/>
      <c r="T382" t="inlineStr"/>
      <c r="U382" t="inlineStr"/>
    </row>
    <row r="383" ht="22.2" customHeight="1" s="375">
      <c r="A383" s="3" t="n"/>
      <c r="D383" s="314" t="n"/>
      <c r="E383" s="314" t="n"/>
      <c r="G383" s="334" t="inlineStr"/>
      <c r="H383" s="322" t="inlineStr"/>
      <c r="I383" s="334" t="inlineStr"/>
      <c r="J383" s="334" t="inlineStr"/>
      <c r="K383" s="374" t="n"/>
      <c r="L383" s="334" t="inlineStr"/>
      <c r="M383" s="334" t="inlineStr"/>
      <c r="N383" s="334" t="inlineStr"/>
      <c r="O383" s="354" t="inlineStr"/>
      <c r="P383" s="334" t="inlineStr"/>
      <c r="Q383" s="334" t="inlineStr"/>
      <c r="R383" s="334" t="inlineStr"/>
      <c r="S383" s="354" t="inlineStr"/>
      <c r="T383" t="inlineStr"/>
      <c r="U383" t="inlineStr"/>
    </row>
    <row r="384" ht="22.2" customHeight="1" s="375">
      <c r="A384" s="3" t="n"/>
      <c r="D384" s="314" t="inlineStr">
        <is>
          <t> </t>
        </is>
      </c>
      <c r="E384" s="314" t="n"/>
      <c r="G384" s="55" t="inlineStr"/>
      <c r="H384" s="336" t="inlineStr"/>
      <c r="I384" s="336" t="inlineStr"/>
      <c r="J384" s="336" t="inlineStr"/>
      <c r="K384" s="527" t="n"/>
      <c r="L384" s="334" t="inlineStr"/>
      <c r="M384" s="334" t="inlineStr"/>
      <c r="N384" s="334" t="inlineStr"/>
      <c r="O384" s="354" t="inlineStr"/>
      <c r="P384" s="334" t="inlineStr"/>
      <c r="Q384" s="334" t="inlineStr"/>
      <c r="R384" s="334" t="inlineStr"/>
      <c r="S384" s="349" t="inlineStr"/>
      <c r="T384" t="inlineStr"/>
      <c r="U384" t="inlineStr"/>
    </row>
    <row r="385" ht="22.2" customHeight="1" s="375">
      <c r="A385" s="3" t="n"/>
      <c r="B385" s="143" t="n"/>
      <c r="C385" s="144" t="n"/>
      <c r="D385" s="145" t="n"/>
      <c r="E385" s="146" t="n"/>
      <c r="G385" s="535" t="inlineStr">
        <is>
          <t>พุธ</t>
        </is>
      </c>
      <c r="H385" s="376" t="inlineStr">
        <is>
          <t>20101-2012</t>
        </is>
      </c>
      <c r="I385" s="376" t="inlineStr">
        <is>
          <t>ชย.2/2 (26)</t>
        </is>
      </c>
      <c r="J385" s="381" t="inlineStr">
        <is>
          <t>08:10 - 12:10</t>
        </is>
      </c>
      <c r="K385" s="135" t="n"/>
      <c r="L385" s="367" t="n">
        <v>4</v>
      </c>
      <c r="M385" s="381" t="inlineStr"/>
      <c r="N385" s="381" t="inlineStr"/>
      <c r="O385" s="354" t="inlineStr"/>
      <c r="P385" s="381" t="inlineStr"/>
      <c r="Q385" s="367" t="inlineStr"/>
      <c r="R385" s="381" t="inlineStr"/>
      <c r="S385" s="349" t="inlineStr"/>
      <c r="T385" s="6" t="inlineStr"/>
      <c r="U385" s="22" t="inlineStr"/>
      <c r="V385" s="57" t="n"/>
      <c r="W385" s="21" t="n"/>
      <c r="X385" s="21" t="n"/>
    </row>
    <row r="386" ht="22.2" customHeight="1" s="375">
      <c r="A386" s="3" t="n"/>
      <c r="B386" s="321" t="n"/>
      <c r="C386" s="322" t="n"/>
      <c r="D386" s="323" t="n"/>
      <c r="E386" s="334" t="n"/>
      <c r="G386" s="535" t="inlineStr">
        <is>
          <t>14 ต.ค.69</t>
        </is>
      </c>
      <c r="H386" s="376" t="inlineStr">
        <is>
          <t>20101-2012</t>
        </is>
      </c>
      <c r="I386" s="376" t="inlineStr">
        <is>
          <t>ชย.2/1 (26)</t>
        </is>
      </c>
      <c r="J386" s="334" t="inlineStr">
        <is>
          <t>13:10 - 17:10</t>
        </is>
      </c>
      <c r="K386" s="374" t="n"/>
      <c r="L386" s="334" t="n">
        <v>4</v>
      </c>
      <c r="M386" s="334" t="inlineStr"/>
      <c r="N386" s="334" t="inlineStr"/>
      <c r="O386" s="354" t="inlineStr"/>
      <c r="P386" s="334" t="inlineStr"/>
      <c r="Q386" s="334" t="inlineStr"/>
      <c r="R386" s="334" t="inlineStr"/>
      <c r="S386" s="349" t="inlineStr"/>
      <c r="T386" s="21" t="inlineStr"/>
      <c r="U386" s="22" t="inlineStr"/>
      <c r="V386" s="57" t="n"/>
      <c r="W386" s="21" t="n"/>
      <c r="X386" s="21" t="n"/>
    </row>
    <row r="387" ht="22.2" customHeight="1" s="375">
      <c r="A387" s="3" t="n"/>
      <c r="B387" s="313" t="n"/>
      <c r="D387" s="314" t="n"/>
      <c r="E387" s="314" t="n"/>
      <c r="G387" s="334" t="inlineStr"/>
      <c r="H387" s="376" t="inlineStr"/>
      <c r="I387" s="376" t="inlineStr"/>
      <c r="J387" s="334" t="inlineStr"/>
      <c r="K387" s="374" t="n"/>
      <c r="L387" s="334" t="inlineStr"/>
      <c r="M387" s="334" t="inlineStr"/>
      <c r="N387" s="334" t="inlineStr"/>
      <c r="O387" s="354" t="inlineStr"/>
      <c r="P387" s="334" t="inlineStr"/>
      <c r="Q387" s="334" t="inlineStr"/>
      <c r="R387" s="334" t="inlineStr"/>
      <c r="S387" s="354" t="inlineStr"/>
      <c r="T387" t="inlineStr"/>
      <c r="U387" t="inlineStr"/>
    </row>
    <row r="388" ht="22.2" customHeight="1" s="375">
      <c r="A388" s="3" t="n"/>
      <c r="D388" s="314" t="n"/>
      <c r="E388" s="314" t="n"/>
      <c r="G388" s="321" t="inlineStr"/>
      <c r="H388" s="321" t="inlineStr"/>
      <c r="I388" s="334" t="inlineStr"/>
      <c r="J388" s="334" t="inlineStr"/>
      <c r="K388" s="374" t="n"/>
      <c r="L388" s="334" t="inlineStr"/>
      <c r="M388" s="334" t="inlineStr"/>
      <c r="N388" s="334" t="inlineStr"/>
      <c r="O388" s="354" t="inlineStr"/>
      <c r="P388" s="334" t="inlineStr"/>
      <c r="Q388" s="334" t="inlineStr"/>
      <c r="R388" s="334" t="inlineStr"/>
      <c r="S388" s="354" t="inlineStr"/>
      <c r="T388" t="inlineStr"/>
      <c r="U388" t="inlineStr"/>
    </row>
    <row r="389" ht="22.2" customHeight="1" s="375">
      <c r="A389" s="3" t="n"/>
      <c r="E389" s="3" t="n"/>
      <c r="G389" s="327" t="inlineStr"/>
      <c r="H389" s="327" t="inlineStr"/>
      <c r="I389" s="336" t="inlineStr"/>
      <c r="J389" s="336" t="inlineStr"/>
      <c r="K389" s="527" t="n"/>
      <c r="L389" s="336" t="inlineStr"/>
      <c r="M389" s="336" t="inlineStr"/>
      <c r="N389" s="336" t="inlineStr"/>
      <c r="O389" s="354" t="inlineStr"/>
      <c r="P389" s="336" t="inlineStr"/>
      <c r="Q389" s="336" t="inlineStr"/>
      <c r="R389" s="336" t="inlineStr"/>
      <c r="S389" s="354" t="inlineStr"/>
      <c r="T389" t="inlineStr"/>
      <c r="U389" t="inlineStr"/>
    </row>
    <row r="390" ht="22.2" customHeight="1" s="375">
      <c r="A390" s="3" t="n"/>
      <c r="E390" s="3" t="n"/>
      <c r="G390" s="533" t="inlineStr">
        <is>
          <t>พฤหัส</t>
        </is>
      </c>
      <c r="H390" s="376" t="inlineStr">
        <is>
          <t>20101-2012</t>
        </is>
      </c>
      <c r="I390" s="376" t="inlineStr">
        <is>
          <t>ชย.2/4 (26)</t>
        </is>
      </c>
      <c r="J390" s="381" t="inlineStr">
        <is>
          <t>08:10 - 12:10</t>
        </is>
      </c>
      <c r="K390" s="135" t="n"/>
      <c r="L390" s="367" t="inlineStr"/>
      <c r="M390" s="381" t="n">
        <v>4</v>
      </c>
      <c r="N390" s="376" t="n">
        <v>200</v>
      </c>
      <c r="O390" s="354">
        <f>M390*N390</f>
        <v/>
      </c>
      <c r="P390" s="156" t="inlineStr"/>
      <c r="Q390" s="156" t="inlineStr"/>
      <c r="R390" s="156" t="inlineStr"/>
      <c r="S390" s="354" t="inlineStr"/>
      <c r="T390" s="23" t="inlineStr"/>
      <c r="U390" s="23" t="inlineStr"/>
      <c r="V390" s="56" t="n"/>
      <c r="W390" s="23" t="n"/>
      <c r="X390" s="23" t="n"/>
    </row>
    <row r="391" ht="22.2" customHeight="1" s="375">
      <c r="A391" s="3" t="n"/>
      <c r="E391" s="3" t="n"/>
      <c r="G391" s="533" t="inlineStr">
        <is>
          <t>15 ต.ค.69</t>
        </is>
      </c>
      <c r="H391" s="376" t="inlineStr">
        <is>
          <t>20000-2002</t>
        </is>
      </c>
      <c r="I391" s="376" t="inlineStr">
        <is>
          <t>ชย.1/10,ชย.1/9 (26)</t>
        </is>
      </c>
      <c r="J391" s="334" t="inlineStr">
        <is>
          <t>13:10 - 15:10</t>
        </is>
      </c>
      <c r="K391" s="374" t="n"/>
      <c r="L391" s="334" t="n">
        <v>2</v>
      </c>
      <c r="M391" s="334" t="inlineStr"/>
      <c r="N391" s="334" t="inlineStr"/>
      <c r="O391" s="354" t="inlineStr"/>
      <c r="P391" s="3" t="inlineStr"/>
      <c r="Q391" s="3" t="inlineStr"/>
      <c r="R391" s="3" t="inlineStr"/>
      <c r="S391" s="354" t="inlineStr"/>
      <c r="T391" s="23" t="inlineStr"/>
      <c r="U391" s="23" t="inlineStr"/>
      <c r="V391" s="56" t="n"/>
      <c r="W391" s="23" t="n"/>
      <c r="X391" s="23" t="n"/>
    </row>
    <row r="392" ht="22.2" customHeight="1" s="375">
      <c r="A392" s="3" t="n"/>
      <c r="B392" s="313" t="n"/>
      <c r="E392" s="3" t="n"/>
      <c r="G392" s="334" t="inlineStr"/>
      <c r="H392" s="376" t="inlineStr">
        <is>
          <t>20101-2012</t>
        </is>
      </c>
      <c r="I392" s="376" t="inlineStr">
        <is>
          <t>ชย.2/3 (26)</t>
        </is>
      </c>
      <c r="J392" s="334" t="inlineStr">
        <is>
          <t>15:10 - 19:10</t>
        </is>
      </c>
      <c r="K392" s="374" t="n"/>
      <c r="L392" s="334" t="inlineStr"/>
      <c r="M392" s="334" t="n">
        <v>4</v>
      </c>
      <c r="N392" s="334" t="n">
        <v>200</v>
      </c>
      <c r="O392" s="354">
        <f>M392*N392</f>
        <v/>
      </c>
      <c r="P392" s="376" t="inlineStr"/>
      <c r="Q392" s="376" t="inlineStr"/>
      <c r="R392" s="376" t="inlineStr"/>
      <c r="S392" s="354" t="inlineStr"/>
      <c r="T392" t="inlineStr"/>
      <c r="U392" t="inlineStr"/>
    </row>
    <row r="393" ht="22.2" customHeight="1" s="375">
      <c r="A393" s="3" t="n"/>
      <c r="E393" s="3" t="n"/>
      <c r="G393" s="334" t="inlineStr"/>
      <c r="H393" s="334" t="inlineStr"/>
      <c r="I393" s="334" t="inlineStr"/>
      <c r="J393" s="334" t="inlineStr"/>
      <c r="K393" s="374" t="n"/>
      <c r="L393" s="334" t="inlineStr"/>
      <c r="M393" s="334" t="inlineStr"/>
      <c r="N393" s="334" t="inlineStr"/>
      <c r="O393" s="354" t="inlineStr"/>
      <c r="P393" s="334" t="inlineStr"/>
      <c r="Q393" s="334" t="inlineStr"/>
      <c r="R393" s="334" t="inlineStr"/>
      <c r="S393" s="354" t="inlineStr"/>
      <c r="T393" t="inlineStr"/>
      <c r="U393" t="inlineStr"/>
    </row>
    <row r="394" ht="22.2" customHeight="1" s="375">
      <c r="A394" s="3" t="n"/>
      <c r="E394" s="3" t="n"/>
      <c r="G394" s="336" t="inlineStr"/>
      <c r="H394" s="328" t="inlineStr"/>
      <c r="I394" s="336" t="inlineStr"/>
      <c r="J394" s="336" t="inlineStr"/>
      <c r="K394" s="527" t="n"/>
      <c r="L394" s="336" t="inlineStr"/>
      <c r="M394" s="336" t="inlineStr"/>
      <c r="N394" s="336" t="inlineStr"/>
      <c r="O394" s="354" t="inlineStr"/>
      <c r="P394" s="336" t="inlineStr"/>
      <c r="Q394" s="336" t="inlineStr"/>
      <c r="R394" s="336" t="inlineStr"/>
      <c r="S394" s="354" t="inlineStr"/>
      <c r="T394" t="inlineStr"/>
      <c r="U394" t="inlineStr"/>
    </row>
    <row r="395" ht="22.2" customHeight="1" s="375">
      <c r="A395" s="3" t="n"/>
      <c r="E395" s="3" t="n"/>
      <c r="G395" s="533" t="inlineStr">
        <is>
          <t>ศุกร์</t>
        </is>
      </c>
      <c r="H395" s="376" t="inlineStr">
        <is>
          <t>20101-2012</t>
        </is>
      </c>
      <c r="I395" s="376" t="inlineStr">
        <is>
          <t>ชยฟ.3/1 (26)</t>
        </is>
      </c>
      <c r="J395" s="381" t="inlineStr">
        <is>
          <t>13:10 - 17:10</t>
        </is>
      </c>
      <c r="K395" s="135" t="n"/>
      <c r="L395" s="334" t="inlineStr"/>
      <c r="M395" s="381" t="n">
        <v>4</v>
      </c>
      <c r="N395" s="381" t="n">
        <v>200</v>
      </c>
      <c r="O395" s="354">
        <f>M395*N395</f>
        <v/>
      </c>
      <c r="P395" s="381" t="inlineStr"/>
      <c r="Q395" s="367" t="inlineStr"/>
      <c r="R395" s="381" t="inlineStr"/>
      <c r="S395" s="354" t="inlineStr"/>
      <c r="T395" t="inlineStr"/>
      <c r="U395" t="inlineStr"/>
    </row>
    <row r="396" ht="22.2" customHeight="1" s="375">
      <c r="A396" s="3" t="n"/>
      <c r="E396" s="3" t="n"/>
      <c r="G396" s="533" t="inlineStr">
        <is>
          <t>16 ต.ค.69</t>
        </is>
      </c>
      <c r="H396" s="376" t="inlineStr"/>
      <c r="I396" s="376" t="inlineStr"/>
      <c r="J396" s="334" t="inlineStr"/>
      <c r="K396" s="374" t="n"/>
      <c r="L396" s="334" t="inlineStr"/>
      <c r="M396" s="334" t="inlineStr"/>
      <c r="N396" s="334" t="inlineStr"/>
      <c r="O396" s="354" t="inlineStr"/>
      <c r="P396" s="334" t="inlineStr"/>
      <c r="Q396" s="334" t="inlineStr"/>
      <c r="R396" s="334" t="inlineStr"/>
      <c r="S396" s="354" t="inlineStr"/>
      <c r="T396" t="inlineStr"/>
      <c r="U396" t="inlineStr"/>
    </row>
    <row r="397" ht="22.2" customHeight="1" s="375">
      <c r="A397" s="3" t="n"/>
      <c r="E397" s="3" t="n"/>
      <c r="G397" s="334" t="inlineStr"/>
      <c r="H397" s="334" t="inlineStr"/>
      <c r="I397" s="334" t="inlineStr"/>
      <c r="J397" s="334" t="inlineStr"/>
      <c r="K397" s="374" t="n"/>
      <c r="L397" s="334" t="inlineStr"/>
      <c r="M397" s="334" t="inlineStr"/>
      <c r="N397" s="334" t="inlineStr"/>
      <c r="O397" s="354" t="inlineStr"/>
      <c r="P397" s="334" t="inlineStr"/>
      <c r="Q397" s="334" t="inlineStr"/>
      <c r="R397" s="334" t="inlineStr"/>
      <c r="S397" s="354" t="inlineStr"/>
      <c r="T397" t="inlineStr"/>
      <c r="U397" t="inlineStr"/>
    </row>
    <row r="398" ht="22.2" customHeight="1" s="375">
      <c r="A398" s="3" t="n"/>
      <c r="E398" s="3" t="n"/>
      <c r="F398" s="3" t="n"/>
      <c r="G398" s="323" t="inlineStr"/>
      <c r="H398" s="322" t="inlineStr"/>
      <c r="I398" s="334" t="inlineStr"/>
      <c r="J398" s="334" t="inlineStr"/>
      <c r="K398" s="374" t="n"/>
      <c r="L398" s="334" t="inlineStr"/>
      <c r="M398" s="334" t="inlineStr"/>
      <c r="N398" s="334" t="inlineStr"/>
      <c r="O398" s="354" t="inlineStr"/>
      <c r="P398" s="334" t="inlineStr"/>
      <c r="Q398" s="334" t="inlineStr"/>
      <c r="R398" s="334" t="inlineStr"/>
      <c r="S398" s="354" t="inlineStr"/>
      <c r="T398" t="inlineStr"/>
      <c r="U398" t="inlineStr"/>
    </row>
    <row r="399" ht="22.2" customHeight="1" s="375">
      <c r="A399" s="3" t="n"/>
      <c r="E399" s="3" t="n"/>
      <c r="F399" s="3" t="n"/>
      <c r="G399" s="329" t="inlineStr"/>
      <c r="H399" s="328" t="inlineStr"/>
      <c r="I399" s="336" t="inlineStr"/>
      <c r="J399" s="336" t="inlineStr"/>
      <c r="K399" s="527" t="n"/>
      <c r="L399" s="336" t="inlineStr"/>
      <c r="M399" s="336" t="inlineStr"/>
      <c r="N399" s="336" t="inlineStr"/>
      <c r="O399" s="354" t="inlineStr"/>
      <c r="P399" s="336" t="inlineStr"/>
      <c r="Q399" s="336" t="inlineStr"/>
      <c r="R399" s="336" t="inlineStr"/>
      <c r="S399" s="354" t="inlineStr"/>
      <c r="T399" t="inlineStr"/>
      <c r="U399" t="inlineStr"/>
    </row>
    <row r="400" ht="22.2" customHeight="1" s="375">
      <c r="A400" s="3" t="n"/>
      <c r="E400" s="3" t="n"/>
      <c r="F400" s="3" t="n"/>
      <c r="G400" s="16" t="inlineStr">
        <is>
          <t>รวมขั่วโมงที่สอนแยก ภาระงาน/ เกินภาระงาน</t>
        </is>
      </c>
      <c r="H400" s="518" t="n"/>
      <c r="I400" s="518" t="n"/>
      <c r="J400" s="518" t="n"/>
      <c r="K400" s="432" t="n"/>
      <c r="L400" s="16">
        <f>SUM(L375:L399)</f>
        <v/>
      </c>
      <c r="M400" s="16">
        <f>SUM(M375:M399)</f>
        <v/>
      </c>
      <c r="N400" s="16" t="n"/>
      <c r="O400" s="16" t="n"/>
      <c r="P400" s="16">
        <f>SUM(P375:P399)</f>
        <v/>
      </c>
      <c r="Q400" s="16">
        <f>SUM(Q375:Q399)</f>
        <v/>
      </c>
      <c r="R400" s="349" t="n"/>
      <c r="S400" s="16" t="n"/>
    </row>
    <row r="401" ht="22.2" customHeight="1" s="375">
      <c r="A401" s="3" t="n"/>
      <c r="E401" s="3" t="n"/>
      <c r="F401" s="3" t="n"/>
      <c r="G401" s="16" t="inlineStr">
        <is>
          <t>รวมจำนวนชั่วโมงสอนคาบต่อสับดาห์</t>
        </is>
      </c>
      <c r="H401" s="518" t="n"/>
      <c r="I401" s="518" t="n"/>
      <c r="J401" s="518" t="n"/>
      <c r="K401" s="432" t="n"/>
      <c r="L401" s="16">
        <f>L400+M400</f>
        <v/>
      </c>
      <c r="M401" s="432" t="n"/>
      <c r="N401" s="348" t="n"/>
      <c r="O401" s="16" t="n"/>
      <c r="P401" s="16">
        <f>P400+Q400</f>
        <v/>
      </c>
      <c r="Q401" s="432" t="n"/>
      <c r="R401" s="329" t="n"/>
      <c r="S401" s="336" t="n"/>
    </row>
    <row r="402" ht="22.2" customHeight="1" s="375">
      <c r="A402" s="3" t="n"/>
      <c r="E402" s="3" t="n"/>
      <c r="F402" s="3" t="n"/>
      <c r="G402" s="16" t="inlineStr">
        <is>
          <t>จำนวนชั่วโมงสอนตามภาระงานสอน</t>
        </is>
      </c>
      <c r="H402" s="518" t="n"/>
      <c r="I402" s="518" t="n"/>
      <c r="J402" s="518" t="n"/>
      <c r="K402" s="432" t="n"/>
      <c r="L402" s="131" t="n">
        <v>18</v>
      </c>
      <c r="M402" s="432" t="n"/>
      <c r="N402" s="16" t="n"/>
      <c r="O402" s="348" t="n"/>
      <c r="P402" s="131" t="n">
        <v>0</v>
      </c>
      <c r="Q402" s="432" t="n"/>
      <c r="R402" s="322" t="n"/>
      <c r="S402" s="334" t="n"/>
    </row>
    <row r="403" ht="22.2" customHeight="1" s="375" thickBot="1">
      <c r="A403" s="3" t="n"/>
      <c r="E403" s="3" t="n"/>
      <c r="F403" s="14" t="n"/>
      <c r="G403" s="16" t="inlineStr">
        <is>
          <t>จำนวนชั่วโมงบิกเกินภาระงานสอน/ค่าสอน</t>
        </is>
      </c>
      <c r="H403" s="518" t="n"/>
      <c r="I403" s="518" t="n"/>
      <c r="J403" s="518" t="n"/>
      <c r="K403" s="432" t="n"/>
      <c r="L403" s="17" t="n">
        <v>0</v>
      </c>
      <c r="M403" s="17">
        <f>SUM(M375:M399)</f>
        <v/>
      </c>
      <c r="N403" s="17" t="n"/>
      <c r="O403" s="17">
        <f>SUM(O375:O399)</f>
        <v/>
      </c>
      <c r="P403" s="17" t="n">
        <v>0</v>
      </c>
      <c r="Q403" s="17">
        <f>SUM(Q375:Q399)</f>
        <v/>
      </c>
      <c r="R403" s="18" t="n"/>
      <c r="S403" s="17">
        <f>SUM(S375:S399)</f>
        <v/>
      </c>
    </row>
    <row r="404" ht="22.2" customHeight="1" s="375" thickTop="1">
      <c r="A404" s="337" t="inlineStr">
        <is>
          <t>รวมจำนวนหน่วยชั่วโมงที่ขอเบิกค่าสอน ….</t>
        </is>
      </c>
      <c r="B404" s="518" t="n"/>
      <c r="C404" s="518" t="n"/>
      <c r="D404" s="518" t="n"/>
      <c r="E404" s="518" t="n"/>
      <c r="F404" s="518" t="n"/>
      <c r="G404" s="518" t="n"/>
      <c r="H404" s="348">
        <f>M403+Q403</f>
        <v/>
      </c>
      <c r="I404" s="348" t="inlineStr">
        <is>
          <t>….ชั่วโมง</t>
        </is>
      </c>
      <c r="J404" s="348" t="n"/>
      <c r="K404" s="328" t="inlineStr">
        <is>
          <t>ยอดเงินรวม</t>
        </is>
      </c>
      <c r="L404" s="522" t="n"/>
      <c r="M404" s="522" t="n"/>
      <c r="N404" s="328" t="n"/>
      <c r="O404" s="328" t="n"/>
      <c r="P404" s="339">
        <f>S403+O403</f>
        <v/>
      </c>
      <c r="Q404" s="538" t="n"/>
      <c r="R404" s="20" t="n"/>
      <c r="S404" s="19" t="inlineStr">
        <is>
          <t>..บาท</t>
        </is>
      </c>
    </row>
    <row r="405" ht="22.2" customHeight="1" s="375">
      <c r="A405" s="154" t="inlineStr">
        <is>
          <t>ผู้ขอเบิก</t>
        </is>
      </c>
      <c r="B405" s="153" t="n"/>
      <c r="C405" s="153" t="n"/>
      <c r="D405" s="153" t="n"/>
      <c r="E405" s="153" t="n"/>
      <c r="F405" s="153" t="n"/>
      <c r="G405" s="135" t="n"/>
      <c r="H405" s="154" t="inlineStr">
        <is>
          <t>ผู้รับรอง</t>
        </is>
      </c>
      <c r="I405" s="153" t="n"/>
      <c r="J405" s="153" t="n"/>
      <c r="K405" s="153" t="n"/>
      <c r="L405" s="135" t="n"/>
      <c r="M405" s="154" t="inlineStr">
        <is>
          <t>ผู้ตรวจ</t>
        </is>
      </c>
      <c r="N405" s="153" t="n"/>
      <c r="O405" s="153" t="n"/>
      <c r="P405" s="153" t="n"/>
      <c r="Q405" s="153" t="n"/>
      <c r="R405" s="153" t="n"/>
      <c r="S405" s="135" t="n"/>
    </row>
    <row r="406" ht="22.2" customHeight="1" s="375">
      <c r="A406" s="334" t="inlineStr">
        <is>
          <t>ลงชื่อ……………………………………………</t>
        </is>
      </c>
      <c r="G406" s="374" t="n"/>
      <c r="H406" s="334" t="inlineStr">
        <is>
          <t>ลงชื่อ……………………………………………</t>
        </is>
      </c>
      <c r="L406" s="374" t="n"/>
      <c r="M406" s="334" t="inlineStr">
        <is>
          <t>ลงชื่อ……………………………………………</t>
        </is>
      </c>
      <c r="S406" s="374" t="n"/>
    </row>
    <row r="407" ht="22.2" customHeight="1" s="375">
      <c r="A407" s="11" t="inlineStr">
        <is>
          <t>(</t>
        </is>
      </c>
      <c r="B407" s="324">
        <f>B375</f>
        <v/>
      </c>
      <c r="G407" s="326" t="inlineStr">
        <is>
          <t>)</t>
        </is>
      </c>
      <c r="H407" s="324" t="inlineStr">
        <is>
          <t>(</t>
        </is>
      </c>
      <c r="I407" s="340">
        <f>I361</f>
        <v/>
      </c>
      <c r="L407" s="12" t="inlineStr">
        <is>
          <t>)</t>
        </is>
      </c>
      <c r="M407" s="53" t="inlineStr">
        <is>
          <t>(</t>
        </is>
      </c>
      <c r="N407" s="53" t="n"/>
      <c r="O407" s="324">
        <f>O39</f>
        <v/>
      </c>
      <c r="R407" s="25" t="n"/>
      <c r="S407" s="326" t="inlineStr">
        <is>
          <t>)</t>
        </is>
      </c>
    </row>
    <row r="408" ht="22.2" customHeight="1" s="375">
      <c r="A408" s="540" t="inlineStr">
        <is>
          <t xml:space="preserve">                         ตำแหน่ง  ครู</t>
        </is>
      </c>
      <c r="G408" s="374" t="n"/>
      <c r="H408" s="54" t="inlineStr">
        <is>
          <t>ตำแหน่ง หัวหน้าแผนก</t>
        </is>
      </c>
      <c r="L408" s="374" t="n"/>
      <c r="M408" s="54" t="inlineStr">
        <is>
          <t>ตำแหน่ง   ผู้ตรวจสอบ</t>
        </is>
      </c>
      <c r="S408" s="374" t="n"/>
    </row>
    <row r="409" ht="22.2" customHeight="1" s="375">
      <c r="A409" s="55" t="inlineStr">
        <is>
          <t>วันที่ 19 เดือน ตุลาคม  พ.ศ.2569</t>
        </is>
      </c>
      <c r="B409" s="522" t="n"/>
      <c r="C409" s="522" t="n"/>
      <c r="D409" s="522" t="n"/>
      <c r="E409" s="522" t="n"/>
      <c r="F409" s="522" t="n"/>
      <c r="G409" s="527" t="n"/>
      <c r="H409" s="54">
        <f>A41</f>
        <v/>
      </c>
      <c r="L409" s="374" t="n"/>
      <c r="M409" s="55">
        <f>A41</f>
        <v/>
      </c>
      <c r="N409" s="522" t="n"/>
      <c r="O409" s="522" t="n"/>
      <c r="P409" s="522" t="n"/>
      <c r="Q409" s="522" t="n"/>
      <c r="R409" s="522" t="n"/>
      <c r="S409" s="527" t="n"/>
    </row>
    <row r="410" ht="22.2" customHeight="1" s="375">
      <c r="A410" s="154" t="inlineStr">
        <is>
          <t>ผู้ตรวจ</t>
        </is>
      </c>
      <c r="B410" s="153" t="n"/>
      <c r="C410" s="153" t="n"/>
      <c r="D410" s="153" t="n"/>
      <c r="E410" s="153" t="n"/>
      <c r="F410" s="153" t="n"/>
      <c r="G410" s="153" t="n"/>
      <c r="H410" s="153" t="n"/>
      <c r="I410" s="135" t="n"/>
      <c r="J410" s="154" t="inlineStr">
        <is>
          <t>ผู้เห็นชอบ</t>
        </is>
      </c>
      <c r="K410" s="153" t="n"/>
      <c r="L410" s="153" t="n"/>
      <c r="M410" s="153" t="n"/>
      <c r="N410" s="153" t="n"/>
      <c r="O410" s="153" t="n"/>
      <c r="P410" s="153" t="n"/>
      <c r="Q410" s="153" t="n"/>
      <c r="R410" s="153" t="n"/>
      <c r="S410" s="135" t="n"/>
    </row>
    <row r="411" ht="22.2" customHeight="1" s="375">
      <c r="A411" s="334" t="inlineStr">
        <is>
          <t>ลงชื่อ……………………………………………</t>
        </is>
      </c>
      <c r="I411" s="374" t="n"/>
      <c r="J411" s="334" t="inlineStr">
        <is>
          <t>ลงชื่อ……………………………………………</t>
        </is>
      </c>
      <c r="S411" s="374" t="n"/>
    </row>
    <row r="412" ht="22.2" customHeight="1" s="375">
      <c r="A412" s="11" t="n"/>
      <c r="B412" s="324">
        <f>B44</f>
        <v/>
      </c>
      <c r="I412" s="326" t="n"/>
      <c r="J412" s="25" t="n"/>
      <c r="K412" s="25" t="n"/>
      <c r="L412" s="324">
        <f>L44</f>
        <v/>
      </c>
      <c r="R412" s="25" t="n"/>
      <c r="S412" s="12" t="n"/>
    </row>
    <row r="413" ht="22.2" customHeight="1" s="375">
      <c r="A413" s="54" t="inlineStr">
        <is>
          <t>ตำแหน่งครู  หัวหน้างานพัฒนาหลักสูตร ฯ</t>
        </is>
      </c>
      <c r="I413" s="374" t="n"/>
      <c r="J413" s="54" t="inlineStr">
        <is>
          <t>ตำแหน่ง  รองผู้อำนวยการฝ่ายวิชาการ</t>
        </is>
      </c>
      <c r="S413" s="374" t="n"/>
    </row>
    <row r="414" ht="22.2" customHeight="1" s="375">
      <c r="A414" s="336" t="inlineStr">
        <is>
          <t>วันที่.......เดือน..........................พ.ศ..............</t>
        </is>
      </c>
      <c r="B414" s="522" t="n"/>
      <c r="C414" s="522" t="n"/>
      <c r="D414" s="522" t="n"/>
      <c r="E414" s="522" t="n"/>
      <c r="F414" s="522" t="n"/>
      <c r="G414" s="522" t="n"/>
      <c r="H414" s="522" t="n"/>
      <c r="I414" s="527" t="n"/>
      <c r="J414" s="336" t="inlineStr">
        <is>
          <t>วันที่.......เดือน..........................พ.ศ..............</t>
        </is>
      </c>
      <c r="K414" s="522" t="n"/>
      <c r="L414" s="522" t="n"/>
      <c r="M414" s="522" t="n"/>
      <c r="N414" s="522" t="n"/>
      <c r="O414" s="522" t="n"/>
      <c r="P414" s="522" t="n"/>
      <c r="Q414" s="522" t="n"/>
      <c r="R414" s="522" t="n"/>
      <c r="S414" s="527" t="n"/>
    </row>
    <row r="415" ht="22.2" customHeight="1" s="375">
      <c r="A415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75">
      <c r="A416" s="365" t="inlineStr">
        <is>
          <t>แผนกวิชาช่างยนต์</t>
        </is>
      </c>
    </row>
    <row r="417" ht="22.2" customHeight="1" s="375">
      <c r="A417" s="366" t="inlineStr">
        <is>
          <t xml:space="preserve">    ระหว่างวันที่</t>
        </is>
      </c>
      <c r="D417" s="365">
        <f>D3</f>
        <v/>
      </c>
      <c r="E417" s="365" t="inlineStr">
        <is>
          <t xml:space="preserve">   เดือน  </t>
        </is>
      </c>
      <c r="F417" s="365">
        <f>F3</f>
        <v/>
      </c>
      <c r="H417" s="365">
        <f>H3</f>
        <v/>
      </c>
      <c r="I417" s="365" t="inlineStr">
        <is>
          <t xml:space="preserve">     ถึง วันที่</t>
        </is>
      </c>
      <c r="J417" s="365">
        <f>J3</f>
        <v/>
      </c>
      <c r="K417" s="365" t="inlineStr">
        <is>
          <t xml:space="preserve">   เดือน </t>
        </is>
      </c>
      <c r="L417" s="365">
        <f>L3</f>
        <v/>
      </c>
      <c r="N417" s="365">
        <f>N3</f>
        <v/>
      </c>
      <c r="P417" s="365" t="n"/>
      <c r="R417" s="365" t="n"/>
    </row>
    <row r="418" ht="22.2" customHeight="1" s="375">
      <c r="G418" s="51" t="inlineStr">
        <is>
          <t>ü</t>
        </is>
      </c>
      <c r="H418" s="351" t="inlineStr">
        <is>
          <t>ครู</t>
        </is>
      </c>
      <c r="I418" s="322" t="inlineStr">
        <is>
          <t>หน้าที่พิเศษ</t>
        </is>
      </c>
      <c r="J418" t="inlineStr">
        <is>
          <t>ผู้ช่วยงานส่งเสริมการวิจัย นวัตกรรม และสิ่งประดิษฐ์, ปกครองและความปลอดภัยนักเรียน</t>
        </is>
      </c>
    </row>
    <row r="419" ht="22.2" customHeight="1" s="375">
      <c r="A419" s="24" t="inlineStr">
        <is>
          <t>ที่</t>
        </is>
      </c>
      <c r="B419" s="24" t="inlineStr">
        <is>
          <t>ชื่อ-สกุล</t>
        </is>
      </c>
      <c r="C419" s="153" t="n"/>
      <c r="D419" s="135" t="n"/>
      <c r="E419" s="15" t="inlineStr">
        <is>
          <t>ตำแหน่ง</t>
        </is>
      </c>
      <c r="F419" s="16" t="inlineStr">
        <is>
          <t>ระยะเวลาที่สอน</t>
        </is>
      </c>
      <c r="G419" s="432" t="n"/>
      <c r="H419" s="16" t="inlineStr">
        <is>
          <t>รหัสวิชา</t>
        </is>
      </c>
      <c r="I419" s="362" t="inlineStr">
        <is>
          <t>ชั้น,แผนก,ห้อง</t>
        </is>
      </c>
      <c r="J419" s="16" t="inlineStr">
        <is>
          <t>เวลาสอน</t>
        </is>
      </c>
      <c r="K419" s="135" t="n"/>
      <c r="L419" s="16" t="inlineStr">
        <is>
          <t>ปวช.(คาบ)</t>
        </is>
      </c>
      <c r="M419" s="432" t="n"/>
      <c r="N419" s="354" t="inlineStr">
        <is>
          <t>เงิน</t>
        </is>
      </c>
      <c r="O419" s="362" t="inlineStr">
        <is>
          <t>ยอดเงิน</t>
        </is>
      </c>
      <c r="P419" s="524" t="inlineStr">
        <is>
          <t>ปวส.(คาบ)</t>
        </is>
      </c>
      <c r="Q419" s="432" t="n"/>
      <c r="R419" s="354" t="inlineStr">
        <is>
          <t>เงิน</t>
        </is>
      </c>
      <c r="S419" s="362" t="inlineStr">
        <is>
          <t>ยอดเงิน</t>
        </is>
      </c>
    </row>
    <row r="420" ht="22.2" customHeight="1" s="375">
      <c r="A420" s="52" t="n"/>
      <c r="B420" s="8" t="n"/>
      <c r="C420" s="9" t="n"/>
      <c r="D420" s="13" t="n"/>
      <c r="E420" s="10" t="n"/>
      <c r="F420" s="336" t="inlineStr">
        <is>
          <t>ส.</t>
        </is>
      </c>
      <c r="G420" s="336" t="inlineStr">
        <is>
          <t>วดป.</t>
        </is>
      </c>
      <c r="H420" s="525" t="n"/>
      <c r="I420" s="336" t="n"/>
      <c r="J420" s="526" t="n"/>
      <c r="K420" s="527" t="n"/>
      <c r="L420" s="336" t="inlineStr">
        <is>
          <t>ใน</t>
        </is>
      </c>
      <c r="M420" s="336" t="inlineStr">
        <is>
          <t>นอก</t>
        </is>
      </c>
      <c r="N420" s="336" t="inlineStr">
        <is>
          <t>ต่อ ชม.</t>
        </is>
      </c>
      <c r="O420" s="336" t="inlineStr">
        <is>
          <t>(บาท)</t>
        </is>
      </c>
      <c r="P420" s="52" t="inlineStr">
        <is>
          <t>ใน</t>
        </is>
      </c>
      <c r="Q420" s="52" t="inlineStr">
        <is>
          <t>นอก</t>
        </is>
      </c>
      <c r="R420" s="336" t="inlineStr">
        <is>
          <t>ต่อ ชม.</t>
        </is>
      </c>
      <c r="S420" s="336" t="inlineStr">
        <is>
          <t>(บาท)</t>
        </is>
      </c>
    </row>
    <row r="421" ht="22.2" customHeight="1" s="375">
      <c r="A421" s="362" t="n">
        <v>10</v>
      </c>
      <c r="B421" s="528">
        <f>AB12</f>
        <v/>
      </c>
      <c r="C421" s="153" t="n"/>
      <c r="D421" s="135" t="n"/>
      <c r="E421" s="362" t="inlineStr">
        <is>
          <t>ครู</t>
        </is>
      </c>
      <c r="F421" s="5" t="n">
        <v>5</v>
      </c>
      <c r="G421" s="529" t="inlineStr">
        <is>
          <t>จันทร์</t>
        </is>
      </c>
      <c r="H421" s="376" t="inlineStr">
        <is>
          <t>20101-2009</t>
        </is>
      </c>
      <c r="I421" s="376" t="inlineStr">
        <is>
          <t>ชย.2/2 (26)</t>
        </is>
      </c>
      <c r="J421" s="334" t="inlineStr">
        <is>
          <t>08:10 - 12:10</t>
        </is>
      </c>
      <c r="K421" s="374" t="n"/>
      <c r="L421" s="367" t="n">
        <v>4</v>
      </c>
      <c r="M421" s="381" t="inlineStr"/>
      <c r="N421" s="381" t="inlineStr"/>
      <c r="O421" s="354" t="inlineStr"/>
      <c r="P421" s="381" t="inlineStr"/>
      <c r="Q421" s="367" t="inlineStr"/>
      <c r="R421" s="381" t="inlineStr"/>
      <c r="S421" s="354" t="inlineStr"/>
      <c r="T421" t="inlineStr"/>
      <c r="U421" t="inlineStr"/>
    </row>
    <row r="422" ht="22.2" customHeight="1" s="375">
      <c r="A422" s="3" t="n"/>
      <c r="B422" s="313" t="n"/>
      <c r="D422" s="314" t="n"/>
      <c r="E422" s="46" t="n"/>
      <c r="F422" s="322" t="n"/>
      <c r="G422" s="535" t="inlineStr">
        <is>
          <t>12 ต.ค.69</t>
        </is>
      </c>
      <c r="H422" s="376" t="inlineStr">
        <is>
          <t>20101-2009</t>
        </is>
      </c>
      <c r="I422" s="376" t="inlineStr">
        <is>
          <t>ชย.2/1 (26)</t>
        </is>
      </c>
      <c r="J422" s="334" t="inlineStr">
        <is>
          <t>13:10 - 17:10</t>
        </is>
      </c>
      <c r="K422" s="374" t="n"/>
      <c r="L422" s="334" t="n">
        <v>4</v>
      </c>
      <c r="M422" s="334" t="inlineStr"/>
      <c r="N422" s="334" t="inlineStr"/>
      <c r="O422" s="354" t="inlineStr"/>
      <c r="P422" s="334" t="inlineStr"/>
      <c r="Q422" s="334" t="inlineStr"/>
      <c r="R422" s="334" t="inlineStr"/>
      <c r="S422" s="354" t="inlineStr"/>
      <c r="T422" t="inlineStr"/>
      <c r="U422" t="inlineStr"/>
    </row>
    <row r="423" ht="22.2" customHeight="1" s="375">
      <c r="A423" s="3" t="n"/>
      <c r="E423" s="3" t="n"/>
      <c r="F423" s="322" t="n"/>
      <c r="G423" s="321" t="inlineStr"/>
      <c r="H423" s="376" t="inlineStr"/>
      <c r="I423" s="376" t="inlineStr"/>
      <c r="J423" s="334" t="inlineStr"/>
      <c r="K423" s="374" t="n"/>
      <c r="L423" s="334" t="inlineStr"/>
      <c r="M423" s="334" t="inlineStr"/>
      <c r="N423" s="334" t="inlineStr"/>
      <c r="O423" s="354" t="inlineStr"/>
      <c r="P423" s="334" t="inlineStr"/>
      <c r="Q423" s="334" t="inlineStr"/>
      <c r="R423" s="334" t="inlineStr"/>
      <c r="S423" s="354" t="inlineStr"/>
      <c r="T423" t="inlineStr"/>
      <c r="U423" t="inlineStr"/>
    </row>
    <row r="424" ht="22.2" customHeight="1" s="375">
      <c r="A424" s="3" t="n"/>
      <c r="D424" s="7" t="inlineStr">
        <is>
          <t> </t>
        </is>
      </c>
      <c r="E424" s="3" t="n"/>
      <c r="F424" s="322" t="n"/>
      <c r="G424" s="321" t="inlineStr"/>
      <c r="H424" s="334" t="inlineStr"/>
      <c r="I424" s="334" t="inlineStr"/>
      <c r="J424" s="334" t="inlineStr"/>
      <c r="K424" s="374" t="n"/>
      <c r="L424" s="334" t="inlineStr"/>
      <c r="M424" s="334" t="inlineStr"/>
      <c r="N424" s="334" t="inlineStr"/>
      <c r="O424" s="354" t="inlineStr"/>
      <c r="P424" s="334" t="inlineStr"/>
      <c r="Q424" s="334" t="inlineStr"/>
      <c r="R424" s="334" t="inlineStr"/>
      <c r="S424" s="354" t="inlineStr"/>
      <c r="T424" t="inlineStr"/>
      <c r="U424" t="inlineStr"/>
    </row>
    <row r="425" ht="22.2" customHeight="1" s="375">
      <c r="A425" s="3" t="n"/>
      <c r="E425" s="3" t="n"/>
      <c r="G425" s="344" t="inlineStr"/>
      <c r="H425" s="336" t="inlineStr"/>
      <c r="I425" s="336" t="inlineStr"/>
      <c r="J425" s="336" t="inlineStr"/>
      <c r="K425" s="527" t="n"/>
      <c r="L425" s="334" t="inlineStr"/>
      <c r="M425" s="334" t="inlineStr"/>
      <c r="N425" s="334" t="inlineStr"/>
      <c r="O425" s="354" t="inlineStr"/>
      <c r="P425" s="334" t="inlineStr"/>
      <c r="Q425" s="334" t="inlineStr"/>
      <c r="R425" s="334" t="inlineStr"/>
      <c r="S425" s="354" t="inlineStr"/>
      <c r="T425" t="inlineStr"/>
      <c r="U425" t="inlineStr"/>
    </row>
    <row r="426" ht="22.2" customHeight="1" s="375">
      <c r="A426" s="3" t="n"/>
      <c r="B426" s="321" t="n"/>
      <c r="C426" s="322" t="n"/>
      <c r="D426" s="322" t="n"/>
      <c r="E426" s="334" t="n"/>
      <c r="G426" s="533" t="inlineStr">
        <is>
          <t>อังคาร</t>
        </is>
      </c>
      <c r="H426" s="376" t="inlineStr">
        <is>
          <t>20101-2009</t>
        </is>
      </c>
      <c r="I426" s="376" t="inlineStr">
        <is>
          <t>ชย.2/4 (26)</t>
        </is>
      </c>
      <c r="J426" s="381" t="inlineStr">
        <is>
          <t>08:10 - 12:10</t>
        </is>
      </c>
      <c r="K426" s="135" t="n"/>
      <c r="L426" s="367" t="n">
        <v>4</v>
      </c>
      <c r="M426" s="381" t="inlineStr"/>
      <c r="N426" s="381" t="inlineStr"/>
      <c r="O426" s="354" t="inlineStr"/>
      <c r="P426" s="381" t="inlineStr"/>
      <c r="Q426" s="367" t="inlineStr"/>
      <c r="R426" s="381" t="inlineStr"/>
      <c r="S426" s="354" t="inlineStr"/>
      <c r="T426" t="inlineStr"/>
      <c r="U426" t="inlineStr"/>
    </row>
    <row r="427" ht="22.2" customHeight="1" s="375">
      <c r="A427" s="3" t="n"/>
      <c r="B427" s="313" t="n"/>
      <c r="D427" s="314" t="n"/>
      <c r="E427" s="314" t="n"/>
      <c r="G427" s="535" t="inlineStr">
        <is>
          <t>13 ต.ค.69</t>
        </is>
      </c>
      <c r="H427" s="376" t="inlineStr">
        <is>
          <t>20101-2009</t>
        </is>
      </c>
      <c r="I427" s="376" t="inlineStr">
        <is>
          <t>ชย.2/3 (26)</t>
        </is>
      </c>
      <c r="J427" s="334" t="inlineStr">
        <is>
          <t>13:10 - 17:10</t>
        </is>
      </c>
      <c r="K427" s="374" t="n"/>
      <c r="L427" s="334" t="n">
        <v>4</v>
      </c>
      <c r="M427" s="334" t="inlineStr"/>
      <c r="N427" s="334" t="inlineStr"/>
      <c r="O427" s="354" t="inlineStr"/>
      <c r="P427" s="334" t="inlineStr"/>
      <c r="Q427" s="334" t="inlineStr"/>
      <c r="R427" s="334" t="inlineStr"/>
      <c r="S427" s="354" t="inlineStr"/>
      <c r="T427" t="inlineStr"/>
      <c r="U427" t="inlineStr"/>
    </row>
    <row r="428" ht="22.2" customHeight="1" s="375">
      <c r="A428" s="3" t="n"/>
      <c r="B428" s="313" t="n"/>
      <c r="D428" s="314" t="n"/>
      <c r="E428" s="314" t="n"/>
      <c r="G428" s="334" t="inlineStr"/>
      <c r="H428" s="376" t="inlineStr"/>
      <c r="I428" s="376" t="inlineStr"/>
      <c r="J428" s="334" t="inlineStr"/>
      <c r="K428" s="374" t="n"/>
      <c r="L428" s="334" t="inlineStr"/>
      <c r="M428" s="334" t="inlineStr"/>
      <c r="N428" s="334" t="inlineStr"/>
      <c r="O428" s="354" t="inlineStr"/>
      <c r="P428" s="334" t="inlineStr"/>
      <c r="Q428" s="334" t="inlineStr"/>
      <c r="R428" s="334" t="inlineStr"/>
      <c r="S428" s="354" t="inlineStr"/>
      <c r="T428" t="inlineStr"/>
      <c r="U428" t="inlineStr"/>
    </row>
    <row r="429" ht="22.2" customHeight="1" s="375">
      <c r="A429" s="3" t="n"/>
      <c r="E429" s="3" t="n"/>
      <c r="G429" s="54" t="inlineStr"/>
      <c r="H429" s="322" t="inlineStr"/>
      <c r="I429" s="334" t="inlineStr"/>
      <c r="J429" s="334" t="inlineStr"/>
      <c r="K429" s="374" t="n"/>
      <c r="L429" s="334" t="inlineStr"/>
      <c r="M429" s="334" t="inlineStr"/>
      <c r="N429" s="334" t="inlineStr"/>
      <c r="O429" s="354" t="inlineStr"/>
      <c r="P429" s="334" t="inlineStr"/>
      <c r="Q429" s="334" t="inlineStr"/>
      <c r="R429" s="334" t="inlineStr"/>
      <c r="S429" s="354" t="inlineStr"/>
      <c r="T429" t="inlineStr"/>
      <c r="U429" t="inlineStr"/>
    </row>
    <row r="430" ht="22.2" customHeight="1" s="375">
      <c r="A430" s="3" t="n"/>
      <c r="D430" s="7" t="inlineStr">
        <is>
          <t> </t>
        </is>
      </c>
      <c r="E430" s="3" t="n"/>
      <c r="G430" s="55" t="inlineStr"/>
      <c r="H430" s="336" t="inlineStr"/>
      <c r="I430" s="336" t="inlineStr"/>
      <c r="J430" s="336" t="inlineStr"/>
      <c r="K430" s="527" t="n"/>
      <c r="L430" s="334" t="inlineStr"/>
      <c r="M430" s="334" t="inlineStr"/>
      <c r="N430" s="334" t="inlineStr"/>
      <c r="O430" s="354" t="inlineStr"/>
      <c r="P430" s="334" t="inlineStr"/>
      <c r="Q430" s="334" t="inlineStr"/>
      <c r="R430" s="334" t="inlineStr"/>
      <c r="S430" s="354" t="inlineStr"/>
      <c r="T430" t="inlineStr"/>
      <c r="U430" t="inlineStr"/>
    </row>
    <row r="431" ht="22.2" customHeight="1" s="375">
      <c r="A431" s="3" t="n"/>
      <c r="E431" s="3" t="n"/>
      <c r="G431" s="535" t="inlineStr">
        <is>
          <t>พุธ</t>
        </is>
      </c>
      <c r="H431" s="376" t="inlineStr">
        <is>
          <t>20100-1007</t>
        </is>
      </c>
      <c r="I431" s="376" t="inlineStr">
        <is>
          <t>ชย.2/1 (26)</t>
        </is>
      </c>
      <c r="J431" s="381" t="inlineStr">
        <is>
          <t>08:10 - 12:10</t>
        </is>
      </c>
      <c r="K431" s="135" t="n"/>
      <c r="L431" s="367" t="n">
        <v>4</v>
      </c>
      <c r="M431" s="381" t="inlineStr"/>
      <c r="N431" s="381" t="inlineStr"/>
      <c r="O431" s="354" t="inlineStr"/>
      <c r="P431" s="381" t="inlineStr"/>
      <c r="Q431" s="367" t="inlineStr"/>
      <c r="R431" s="381" t="inlineStr"/>
      <c r="S431" s="354" t="inlineStr"/>
      <c r="T431" t="inlineStr"/>
      <c r="U431" t="inlineStr"/>
    </row>
    <row r="432" ht="22.2" customHeight="1" s="375">
      <c r="A432" s="3" t="n"/>
      <c r="B432" s="321" t="n"/>
      <c r="C432" s="322" t="n"/>
      <c r="D432" s="322" t="n"/>
      <c r="E432" s="334" t="n"/>
      <c r="G432" s="535" t="inlineStr">
        <is>
          <t>14 ต.ค.69</t>
        </is>
      </c>
      <c r="H432" s="376" t="inlineStr">
        <is>
          <t>20100-1007</t>
        </is>
      </c>
      <c r="I432" s="376" t="inlineStr">
        <is>
          <t>ชย.2/2 (26)</t>
        </is>
      </c>
      <c r="J432" s="334" t="inlineStr">
        <is>
          <t>13:10 - 17:10</t>
        </is>
      </c>
      <c r="K432" s="374" t="n"/>
      <c r="L432" s="334" t="inlineStr"/>
      <c r="M432" s="334" t="n">
        <v>4</v>
      </c>
      <c r="N432" s="334" t="n">
        <v>200</v>
      </c>
      <c r="O432" s="354">
        <f>M432*N432</f>
        <v/>
      </c>
      <c r="P432" s="334" t="inlineStr"/>
      <c r="Q432" s="334" t="inlineStr"/>
      <c r="R432" s="334" t="inlineStr"/>
      <c r="S432" s="354" t="inlineStr"/>
      <c r="T432" t="inlineStr"/>
      <c r="U432" t="inlineStr"/>
    </row>
    <row r="433" ht="22.2" customHeight="1" s="375">
      <c r="A433" s="3" t="n"/>
      <c r="B433" s="313" t="n"/>
      <c r="D433" s="314" t="n"/>
      <c r="E433" s="314" t="n"/>
      <c r="G433" s="334" t="inlineStr"/>
      <c r="H433" s="376" t="inlineStr"/>
      <c r="I433" s="376" t="inlineStr"/>
      <c r="J433" s="334" t="inlineStr"/>
      <c r="K433" s="374" t="n"/>
      <c r="L433" s="334" t="inlineStr"/>
      <c r="M433" s="334" t="inlineStr"/>
      <c r="N433" s="334" t="inlineStr"/>
      <c r="O433" s="354" t="inlineStr"/>
      <c r="P433" s="334" t="inlineStr"/>
      <c r="Q433" s="334" t="inlineStr"/>
      <c r="R433" s="334" t="inlineStr"/>
      <c r="S433" s="354" t="inlineStr"/>
      <c r="T433" t="inlineStr"/>
      <c r="U433" t="inlineStr"/>
    </row>
    <row r="434" ht="22.2" customHeight="1" s="375">
      <c r="A434" s="3" t="n"/>
      <c r="E434" s="3" t="n"/>
      <c r="G434" s="321" t="inlineStr"/>
      <c r="H434" s="334" t="inlineStr"/>
      <c r="I434" s="334" t="inlineStr"/>
      <c r="J434" s="334" t="inlineStr"/>
      <c r="K434" s="374" t="n"/>
      <c r="L434" s="334" t="inlineStr"/>
      <c r="M434" s="334" t="inlineStr"/>
      <c r="N434" s="334" t="inlineStr"/>
      <c r="O434" s="354" t="inlineStr"/>
      <c r="P434" s="334" t="inlineStr"/>
      <c r="Q434" s="334" t="inlineStr"/>
      <c r="R434" s="334" t="inlineStr"/>
      <c r="S434" s="354" t="inlineStr"/>
      <c r="T434" t="inlineStr"/>
      <c r="U434" t="inlineStr"/>
    </row>
    <row r="435" ht="22.2" customHeight="1" s="375">
      <c r="A435" s="3" t="n"/>
      <c r="E435" s="3" t="n"/>
      <c r="G435" s="327" t="inlineStr"/>
      <c r="H435" s="336" t="inlineStr"/>
      <c r="I435" s="336" t="inlineStr"/>
      <c r="J435" s="336" t="inlineStr"/>
      <c r="K435" s="527" t="n"/>
      <c r="L435" s="336" t="inlineStr"/>
      <c r="M435" s="336" t="inlineStr"/>
      <c r="N435" s="336" t="inlineStr"/>
      <c r="O435" s="354" t="inlineStr"/>
      <c r="P435" s="336" t="inlineStr"/>
      <c r="Q435" s="336" t="inlineStr"/>
      <c r="R435" s="336" t="inlineStr"/>
      <c r="S435" s="354" t="inlineStr"/>
      <c r="T435" t="inlineStr"/>
      <c r="U435" t="inlineStr"/>
    </row>
    <row r="436" ht="22.2" customHeight="1" s="375">
      <c r="A436" s="3" t="n"/>
      <c r="E436" s="3" t="n"/>
      <c r="G436" s="533" t="inlineStr">
        <is>
          <t>พฤหัส</t>
        </is>
      </c>
      <c r="H436" s="376" t="inlineStr">
        <is>
          <t>20100-1007</t>
        </is>
      </c>
      <c r="I436" s="376" t="inlineStr">
        <is>
          <t>ชย.2/3 (26)</t>
        </is>
      </c>
      <c r="J436" s="381" t="inlineStr">
        <is>
          <t>08:10 - 12:10</t>
        </is>
      </c>
      <c r="K436" s="135" t="n"/>
      <c r="L436" s="334" t="inlineStr"/>
      <c r="M436" s="334" t="n">
        <v>4</v>
      </c>
      <c r="N436" s="334" t="n">
        <v>200</v>
      </c>
      <c r="O436" s="354">
        <f>M436*N436</f>
        <v/>
      </c>
      <c r="P436" s="334" t="inlineStr"/>
      <c r="Q436" s="362" t="inlineStr"/>
      <c r="R436" s="362" t="inlineStr"/>
      <c r="S436" s="354" t="inlineStr"/>
      <c r="T436" s="6" t="inlineStr"/>
      <c r="U436" s="22" t="inlineStr"/>
      <c r="V436" s="57" t="n"/>
      <c r="W436" s="21" t="n"/>
      <c r="X436" s="21" t="n"/>
    </row>
    <row r="437" ht="22.2" customHeight="1" s="375">
      <c r="A437" s="3" t="n"/>
      <c r="E437" s="3" t="n"/>
      <c r="G437" s="535" t="inlineStr">
        <is>
          <t>15 ต.ค.69</t>
        </is>
      </c>
      <c r="H437" s="376" t="inlineStr">
        <is>
          <t>20000-2002</t>
        </is>
      </c>
      <c r="I437" s="376" t="inlineStr">
        <is>
          <t>ชย.1/7,ชย.1/8 (26)</t>
        </is>
      </c>
      <c r="J437" s="334" t="inlineStr">
        <is>
          <t>13:10 - 15:10</t>
        </is>
      </c>
      <c r="K437" s="374" t="n"/>
      <c r="L437" s="334" t="n">
        <v>2</v>
      </c>
      <c r="M437" s="334" t="inlineStr"/>
      <c r="N437" s="334" t="inlineStr"/>
      <c r="O437" s="354" t="inlineStr"/>
      <c r="P437" s="334" t="inlineStr"/>
      <c r="Q437" s="334" t="inlineStr"/>
      <c r="R437" s="334" t="inlineStr"/>
      <c r="S437" s="354" t="inlineStr"/>
      <c r="T437" s="21" t="inlineStr"/>
      <c r="U437" s="22" t="inlineStr"/>
      <c r="V437" s="57" t="n"/>
      <c r="W437" s="21" t="n"/>
      <c r="X437" s="21" t="n"/>
    </row>
    <row r="438" ht="22.2" customHeight="1" s="375">
      <c r="A438" s="3" t="n"/>
      <c r="B438" s="313" t="n"/>
      <c r="E438" s="3" t="n"/>
      <c r="G438" s="334" t="inlineStr"/>
      <c r="H438" s="376" t="inlineStr"/>
      <c r="I438" s="376" t="inlineStr"/>
      <c r="J438" s="334" t="inlineStr"/>
      <c r="K438" s="374" t="n"/>
      <c r="L438" s="376" t="inlineStr"/>
      <c r="M438" s="376" t="inlineStr"/>
      <c r="N438" s="376" t="inlineStr"/>
      <c r="O438" s="354" t="inlineStr"/>
      <c r="P438" s="376" t="inlineStr"/>
      <c r="Q438" s="376" t="inlineStr"/>
      <c r="R438" s="376" t="inlineStr"/>
      <c r="S438" s="354" t="inlineStr"/>
      <c r="T438" t="inlineStr"/>
      <c r="U438" t="inlineStr"/>
    </row>
    <row r="439" ht="22.2" customHeight="1" s="375">
      <c r="A439" s="3" t="n"/>
      <c r="E439" s="3" t="n"/>
      <c r="G439" s="334" t="inlineStr"/>
      <c r="H439" s="334" t="inlineStr"/>
      <c r="I439" s="334" t="inlineStr"/>
      <c r="J439" s="334" t="inlineStr"/>
      <c r="K439" s="374" t="n"/>
      <c r="L439" s="334" t="inlineStr"/>
      <c r="M439" s="334" t="inlineStr"/>
      <c r="N439" s="334" t="inlineStr"/>
      <c r="O439" s="354" t="inlineStr"/>
      <c r="P439" s="334" t="inlineStr"/>
      <c r="Q439" s="334" t="inlineStr"/>
      <c r="R439" s="334" t="inlineStr"/>
      <c r="S439" s="354" t="inlineStr"/>
      <c r="T439" t="inlineStr"/>
      <c r="U439" t="inlineStr"/>
    </row>
    <row r="440" ht="22.2" customHeight="1" s="375">
      <c r="A440" s="3" t="n"/>
      <c r="E440" s="3" t="n"/>
      <c r="G440" s="336" t="inlineStr"/>
      <c r="H440" s="328" t="inlineStr"/>
      <c r="I440" s="336" t="inlineStr"/>
      <c r="J440" s="336" t="inlineStr"/>
      <c r="K440" s="527" t="n"/>
      <c r="L440" s="336" t="inlineStr"/>
      <c r="M440" s="336" t="inlineStr"/>
      <c r="N440" s="336" t="inlineStr"/>
      <c r="O440" s="354" t="inlineStr"/>
      <c r="P440" s="336" t="inlineStr"/>
      <c r="Q440" s="336" t="inlineStr"/>
      <c r="R440" s="336" t="inlineStr"/>
      <c r="S440" s="354" t="inlineStr"/>
      <c r="T440" t="inlineStr"/>
      <c r="U440" t="inlineStr"/>
    </row>
    <row r="441" ht="22.2" customHeight="1" s="375">
      <c r="A441" s="3" t="n"/>
      <c r="E441" s="3" t="n"/>
      <c r="G441" s="533" t="inlineStr">
        <is>
          <t>ศุกร์</t>
        </is>
      </c>
      <c r="H441" s="376" t="inlineStr">
        <is>
          <t>20101-2009</t>
        </is>
      </c>
      <c r="I441" s="376" t="inlineStr">
        <is>
          <t>ชยฟ.2/1 (26)</t>
        </is>
      </c>
      <c r="J441" s="381" t="inlineStr">
        <is>
          <t>08:10 - 12:10</t>
        </is>
      </c>
      <c r="K441" s="135" t="n"/>
      <c r="L441" s="334" t="inlineStr"/>
      <c r="M441" s="334" t="n">
        <v>4</v>
      </c>
      <c r="N441" s="334" t="n">
        <v>200</v>
      </c>
      <c r="O441" s="354">
        <f>M441*N441</f>
        <v/>
      </c>
      <c r="P441" s="381" t="inlineStr"/>
      <c r="Q441" s="367" t="inlineStr"/>
      <c r="R441" s="381" t="inlineStr"/>
      <c r="S441" s="354" t="inlineStr"/>
      <c r="T441" t="inlineStr"/>
      <c r="U441" t="inlineStr"/>
    </row>
    <row r="442" ht="22.2" customHeight="1" s="375">
      <c r="A442" s="3" t="n"/>
      <c r="E442" s="3" t="n"/>
      <c r="G442" s="535" t="inlineStr">
        <is>
          <t>16 ต.ค.69</t>
        </is>
      </c>
      <c r="H442" s="376" t="inlineStr"/>
      <c r="I442" s="376" t="inlineStr"/>
      <c r="J442" s="334" t="inlineStr"/>
      <c r="K442" s="374" t="n"/>
      <c r="L442" s="334" t="inlineStr"/>
      <c r="M442" s="334" t="inlineStr"/>
      <c r="N442" s="334" t="inlineStr"/>
      <c r="O442" s="354" t="inlineStr"/>
      <c r="P442" s="334" t="inlineStr"/>
      <c r="Q442" s="334" t="inlineStr"/>
      <c r="R442" s="334" t="inlineStr"/>
      <c r="S442" s="354" t="inlineStr"/>
      <c r="T442" t="inlineStr"/>
      <c r="U442" t="inlineStr"/>
    </row>
    <row r="443" ht="22.2" customHeight="1" s="375">
      <c r="A443" s="3" t="n"/>
      <c r="E443" s="3" t="n"/>
      <c r="G443" s="334" t="inlineStr"/>
      <c r="H443" s="334" t="inlineStr"/>
      <c r="I443" s="334" t="inlineStr"/>
      <c r="J443" s="334" t="inlineStr"/>
      <c r="K443" s="374" t="n"/>
      <c r="L443" s="334" t="inlineStr"/>
      <c r="M443" s="334" t="inlineStr"/>
      <c r="N443" s="334" t="inlineStr"/>
      <c r="O443" s="354" t="inlineStr"/>
      <c r="P443" s="334" t="inlineStr"/>
      <c r="Q443" s="334" t="inlineStr"/>
      <c r="R443" s="334" t="inlineStr"/>
      <c r="S443" s="354" t="inlineStr"/>
      <c r="T443" t="inlineStr"/>
      <c r="U443" t="inlineStr"/>
    </row>
    <row r="444" ht="22.2" customHeight="1" s="375">
      <c r="A444" s="3" t="n"/>
      <c r="E444" s="3" t="n"/>
      <c r="G444" s="334" t="inlineStr"/>
      <c r="H444" s="322" t="inlineStr"/>
      <c r="I444" s="334" t="inlineStr"/>
      <c r="J444" s="334" t="inlineStr"/>
      <c r="K444" s="374" t="n"/>
      <c r="L444" s="334" t="inlineStr"/>
      <c r="M444" s="334" t="inlineStr"/>
      <c r="N444" s="334" t="inlineStr"/>
      <c r="O444" s="354" t="inlineStr"/>
      <c r="P444" s="334" t="inlineStr"/>
      <c r="Q444" s="334" t="inlineStr"/>
      <c r="R444" s="334" t="inlineStr"/>
      <c r="S444" s="354" t="inlineStr"/>
      <c r="T444" t="inlineStr"/>
      <c r="U444" t="inlineStr"/>
    </row>
    <row r="445" ht="22.2" customHeight="1" s="375">
      <c r="A445" s="3" t="n"/>
      <c r="E445" s="3" t="n"/>
      <c r="F445" s="3" t="n"/>
      <c r="G445" s="329" t="inlineStr"/>
      <c r="H445" s="328" t="inlineStr"/>
      <c r="I445" s="336" t="inlineStr"/>
      <c r="J445" s="336" t="inlineStr"/>
      <c r="K445" s="527" t="n"/>
      <c r="L445" s="336" t="inlineStr"/>
      <c r="M445" s="336" t="inlineStr"/>
      <c r="N445" s="336" t="inlineStr"/>
      <c r="O445" s="354" t="inlineStr"/>
      <c r="P445" s="336" t="inlineStr"/>
      <c r="Q445" s="336" t="inlineStr"/>
      <c r="R445" s="336" t="inlineStr"/>
      <c r="S445" s="354" t="inlineStr"/>
      <c r="T445" t="inlineStr"/>
      <c r="U445" t="inlineStr"/>
    </row>
    <row r="446" ht="22.2" customHeight="1" s="375">
      <c r="A446" s="3" t="n"/>
      <c r="E446" s="3" t="n"/>
      <c r="F446" s="3" t="n"/>
      <c r="G446" s="16" t="inlineStr">
        <is>
          <t>รวมขั่วโมงที่สอนแยก ภาระงาน/ เกินภาระงาน</t>
        </is>
      </c>
      <c r="H446" s="518" t="n"/>
      <c r="I446" s="518" t="n"/>
      <c r="J446" s="518" t="n"/>
      <c r="K446" s="432" t="n"/>
      <c r="L446" s="16">
        <f>SUM(L421:L445)</f>
        <v/>
      </c>
      <c r="M446" s="16">
        <f>SUM(M421:M445)</f>
        <v/>
      </c>
      <c r="N446" s="16" t="n"/>
      <c r="O446" s="16" t="n"/>
      <c r="P446" s="16">
        <f>SUM(P421:P445)</f>
        <v/>
      </c>
      <c r="Q446" s="16">
        <f>SUM(Q421:Q445)</f>
        <v/>
      </c>
      <c r="R446" s="349" t="n"/>
      <c r="S446" s="16" t="n"/>
    </row>
    <row r="447" ht="22.2" customHeight="1" s="375">
      <c r="A447" s="3" t="n"/>
      <c r="E447" s="3" t="n"/>
      <c r="F447" s="3" t="n"/>
      <c r="G447" s="16" t="inlineStr">
        <is>
          <t>รวมจำนวนชั่วโมงสอนคาบต่อสับดาห์</t>
        </is>
      </c>
      <c r="H447" s="518" t="n"/>
      <c r="I447" s="518" t="n"/>
      <c r="J447" s="518" t="n"/>
      <c r="K447" s="432" t="n"/>
      <c r="L447" s="16">
        <f>L446+M446</f>
        <v/>
      </c>
      <c r="M447" s="432" t="n"/>
      <c r="N447" s="348" t="n"/>
      <c r="O447" s="16" t="n"/>
      <c r="P447" s="16">
        <f>P446+Q446</f>
        <v/>
      </c>
      <c r="Q447" s="432" t="n"/>
      <c r="R447" s="329" t="n"/>
      <c r="S447" s="336" t="n"/>
    </row>
    <row r="448" ht="22.2" customHeight="1" s="375">
      <c r="A448" s="3" t="n"/>
      <c r="E448" s="3" t="n"/>
      <c r="F448" s="3" t="n"/>
      <c r="G448" s="16" t="inlineStr">
        <is>
          <t>จำนวนชั่วโมงสอนตามภาระงานสอน</t>
        </is>
      </c>
      <c r="H448" s="518" t="n"/>
      <c r="I448" s="518" t="n"/>
      <c r="J448" s="518" t="n"/>
      <c r="K448" s="432" t="n"/>
      <c r="L448" s="541" t="n">
        <v>18</v>
      </c>
      <c r="M448" s="432" t="n"/>
      <c r="N448" s="129" t="n"/>
      <c r="O448" s="132" t="n"/>
      <c r="P448" s="131" t="n">
        <v>0</v>
      </c>
      <c r="Q448" s="432" t="n"/>
      <c r="R448" s="322" t="n"/>
      <c r="S448" s="334" t="n"/>
    </row>
    <row r="449" ht="22.2" customHeight="1" s="375" thickBot="1">
      <c r="A449" s="3" t="n"/>
      <c r="E449" s="3" t="n"/>
      <c r="F449" s="14" t="n"/>
      <c r="G449" s="16" t="inlineStr">
        <is>
          <t>จำนวนชั่วโมงบิกเกินภาระงานสอน/ค่าสอน</t>
        </is>
      </c>
      <c r="H449" s="518" t="n"/>
      <c r="I449" s="518" t="n"/>
      <c r="J449" s="518" t="n"/>
      <c r="K449" s="432" t="n"/>
      <c r="L449" s="17" t="n">
        <v>0</v>
      </c>
      <c r="M449" s="17">
        <f>SUM(M421:M445)</f>
        <v/>
      </c>
      <c r="N449" s="17" t="n"/>
      <c r="O449" s="17">
        <f>SUM(O421:O445)</f>
        <v/>
      </c>
      <c r="P449" s="17" t="n">
        <v>0</v>
      </c>
      <c r="Q449" s="17">
        <f>SUM(Q421:Q445)</f>
        <v/>
      </c>
      <c r="R449" s="18" t="n"/>
      <c r="S449" s="17">
        <f>SUM(S421:S445)</f>
        <v/>
      </c>
    </row>
    <row r="450" ht="22.2" customHeight="1" s="375" thickTop="1">
      <c r="A450" s="337" t="inlineStr">
        <is>
          <t>รวมจำนวนหน่วยชั่วโมงที่ขอเบิกค่าสอน ….</t>
        </is>
      </c>
      <c r="B450" s="518" t="n"/>
      <c r="C450" s="518" t="n"/>
      <c r="D450" s="518" t="n"/>
      <c r="E450" s="518" t="n"/>
      <c r="F450" s="518" t="n"/>
      <c r="G450" s="518" t="n"/>
      <c r="H450" s="348">
        <f>M449+Q449</f>
        <v/>
      </c>
      <c r="I450" s="348" t="inlineStr">
        <is>
          <t>….ชั่วโมง</t>
        </is>
      </c>
      <c r="J450" s="348" t="n"/>
      <c r="K450" s="328" t="inlineStr">
        <is>
          <t>ยอดเงินรวม</t>
        </is>
      </c>
      <c r="L450" s="522" t="n"/>
      <c r="M450" s="522" t="n"/>
      <c r="N450" s="328" t="n"/>
      <c r="O450" s="328" t="n"/>
      <c r="P450" s="339">
        <f>S449+O449</f>
        <v/>
      </c>
      <c r="Q450" s="538" t="n"/>
      <c r="R450" s="20" t="n"/>
      <c r="S450" s="19" t="inlineStr">
        <is>
          <t>..บาท</t>
        </is>
      </c>
    </row>
    <row r="451" ht="22.2" customHeight="1" s="375">
      <c r="A451" s="154" t="inlineStr">
        <is>
          <t>ผู้ขอเบิก</t>
        </is>
      </c>
      <c r="B451" s="153" t="n"/>
      <c r="C451" s="153" t="n"/>
      <c r="D451" s="153" t="n"/>
      <c r="E451" s="153" t="n"/>
      <c r="F451" s="153" t="n"/>
      <c r="G451" s="135" t="n"/>
      <c r="H451" s="154" t="inlineStr">
        <is>
          <t>ผู้รับรอง</t>
        </is>
      </c>
      <c r="I451" s="153" t="n"/>
      <c r="J451" s="153" t="n"/>
      <c r="K451" s="153" t="n"/>
      <c r="L451" s="135" t="n"/>
      <c r="M451" s="154" t="inlineStr">
        <is>
          <t>ผู้ตรวจ</t>
        </is>
      </c>
      <c r="N451" s="153" t="n"/>
      <c r="O451" s="153" t="n"/>
      <c r="P451" s="153" t="n"/>
      <c r="Q451" s="153" t="n"/>
      <c r="R451" s="153" t="n"/>
      <c r="S451" s="135" t="n"/>
    </row>
    <row r="452" ht="22.2" customHeight="1" s="375">
      <c r="A452" s="334" t="inlineStr">
        <is>
          <t>ลงชื่อ……………………………………………</t>
        </is>
      </c>
      <c r="G452" s="374" t="n"/>
      <c r="H452" s="334" t="inlineStr">
        <is>
          <t>ลงชื่อ……………………………………………</t>
        </is>
      </c>
      <c r="L452" s="374" t="n"/>
      <c r="M452" s="334" t="inlineStr">
        <is>
          <t>ลงชื่อ……………………………………………</t>
        </is>
      </c>
      <c r="S452" s="374" t="n"/>
    </row>
    <row r="453" ht="22.2" customHeight="1" s="375">
      <c r="A453" s="11" t="inlineStr">
        <is>
          <t>(</t>
        </is>
      </c>
      <c r="B453" s="324">
        <f>B421</f>
        <v/>
      </c>
      <c r="G453" s="326" t="inlineStr">
        <is>
          <t>)</t>
        </is>
      </c>
      <c r="H453" s="324" t="inlineStr">
        <is>
          <t>(</t>
        </is>
      </c>
      <c r="I453" s="340">
        <f>I407</f>
        <v/>
      </c>
      <c r="L453" s="12" t="inlineStr">
        <is>
          <t>)</t>
        </is>
      </c>
      <c r="M453" s="53" t="inlineStr">
        <is>
          <t>(</t>
        </is>
      </c>
      <c r="N453" s="53" t="n"/>
      <c r="O453" s="324">
        <f>O39</f>
        <v/>
      </c>
      <c r="R453" s="25" t="n"/>
      <c r="S453" s="326" t="inlineStr">
        <is>
          <t>)</t>
        </is>
      </c>
    </row>
    <row r="454" ht="22.2" customHeight="1" s="375">
      <c r="A454" s="540" t="inlineStr">
        <is>
          <t xml:space="preserve">                         ตำแหน่ง  ครู</t>
        </is>
      </c>
      <c r="G454" s="374" t="n"/>
      <c r="H454" s="54" t="inlineStr">
        <is>
          <t>ตำแหน่ง หัวหน้าแผนก</t>
        </is>
      </c>
      <c r="L454" s="374" t="n"/>
      <c r="M454" s="54" t="inlineStr">
        <is>
          <t>ตำแหน่ง   ผู้ตรวจสอบ</t>
        </is>
      </c>
      <c r="S454" s="374" t="n"/>
    </row>
    <row r="455" ht="22.2" customHeight="1" s="375">
      <c r="A455" s="55" t="inlineStr">
        <is>
          <t>วันที่ 19 เดือน ตุลาคม  พ.ศ.2569</t>
        </is>
      </c>
      <c r="B455" s="522" t="n"/>
      <c r="C455" s="522" t="n"/>
      <c r="D455" s="522" t="n"/>
      <c r="E455" s="522" t="n"/>
      <c r="F455" s="522" t="n"/>
      <c r="G455" s="527" t="n"/>
      <c r="H455" s="54">
        <f>A41</f>
        <v/>
      </c>
      <c r="L455" s="374" t="n"/>
      <c r="M455" s="55">
        <f>A41</f>
        <v/>
      </c>
      <c r="N455" s="522" t="n"/>
      <c r="O455" s="522" t="n"/>
      <c r="P455" s="522" t="n"/>
      <c r="Q455" s="522" t="n"/>
      <c r="R455" s="522" t="n"/>
      <c r="S455" s="527" t="n"/>
    </row>
    <row r="456" ht="22.2" customHeight="1" s="375">
      <c r="A456" s="154" t="inlineStr">
        <is>
          <t>ผู้ตรวจ</t>
        </is>
      </c>
      <c r="B456" s="153" t="n"/>
      <c r="C456" s="153" t="n"/>
      <c r="D456" s="153" t="n"/>
      <c r="E456" s="153" t="n"/>
      <c r="F456" s="153" t="n"/>
      <c r="G456" s="153" t="n"/>
      <c r="H456" s="153" t="n"/>
      <c r="I456" s="135" t="n"/>
      <c r="J456" s="154" t="inlineStr">
        <is>
          <t>ผู้เห็นชอบ</t>
        </is>
      </c>
      <c r="K456" s="153" t="n"/>
      <c r="L456" s="153" t="n"/>
      <c r="M456" s="153" t="n"/>
      <c r="N456" s="153" t="n"/>
      <c r="O456" s="153" t="n"/>
      <c r="P456" s="153" t="n"/>
      <c r="Q456" s="153" t="n"/>
      <c r="R456" s="153" t="n"/>
      <c r="S456" s="135" t="n"/>
    </row>
    <row r="457" ht="22.2" customHeight="1" s="375">
      <c r="A457" s="334" t="inlineStr">
        <is>
          <t>ลงชื่อ……………………………………………</t>
        </is>
      </c>
      <c r="I457" s="374" t="n"/>
      <c r="J457" s="334" t="inlineStr">
        <is>
          <t>ลงชื่อ……………………………………………</t>
        </is>
      </c>
      <c r="S457" s="374" t="n"/>
    </row>
    <row r="458" ht="22.2" customHeight="1" s="375">
      <c r="A458" s="11" t="n"/>
      <c r="B458" s="324">
        <f>B44</f>
        <v/>
      </c>
      <c r="I458" s="326" t="n"/>
      <c r="J458" s="25" t="n"/>
      <c r="K458" s="25" t="n"/>
      <c r="L458" s="324">
        <f>L44</f>
        <v/>
      </c>
      <c r="R458" s="25" t="n"/>
      <c r="S458" s="12" t="n"/>
    </row>
    <row r="459" ht="22.2" customHeight="1" s="375">
      <c r="A459" s="54" t="inlineStr">
        <is>
          <t>ตำแหน่งครู  หัวหน้างานพัฒนาหลักสูตร ฯ</t>
        </is>
      </c>
      <c r="I459" s="374" t="n"/>
      <c r="J459" s="54" t="inlineStr">
        <is>
          <t>ตำแหน่ง  รองผู้อำนวยการฝ่ายวิชาการ</t>
        </is>
      </c>
      <c r="S459" s="374" t="n"/>
    </row>
    <row r="460" ht="22.2" customHeight="1" s="375">
      <c r="A460" s="336" t="inlineStr">
        <is>
          <t>วันที่.......เดือน..........................พ.ศ..............</t>
        </is>
      </c>
      <c r="B460" s="522" t="n"/>
      <c r="C460" s="522" t="n"/>
      <c r="D460" s="522" t="n"/>
      <c r="E460" s="522" t="n"/>
      <c r="F460" s="522" t="n"/>
      <c r="G460" s="522" t="n"/>
      <c r="H460" s="522" t="n"/>
      <c r="I460" s="527" t="n"/>
      <c r="J460" s="336" t="inlineStr">
        <is>
          <t>วันที่.......เดือน..........................พ.ศ..............</t>
        </is>
      </c>
      <c r="K460" s="522" t="n"/>
      <c r="L460" s="522" t="n"/>
      <c r="M460" s="522" t="n"/>
      <c r="N460" s="522" t="n"/>
      <c r="O460" s="522" t="n"/>
      <c r="P460" s="522" t="n"/>
      <c r="Q460" s="522" t="n"/>
      <c r="R460" s="522" t="n"/>
      <c r="S460" s="527" t="n"/>
    </row>
    <row r="461" ht="22.2" customHeight="1" s="375">
      <c r="A461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75">
      <c r="A462" s="365" t="inlineStr">
        <is>
          <t>แผนกวิชาช่างยนต์</t>
        </is>
      </c>
    </row>
    <row r="463" ht="22.2" customHeight="1" s="375">
      <c r="A463" s="366" t="inlineStr">
        <is>
          <t xml:space="preserve">    ระหว่างวันที่</t>
        </is>
      </c>
      <c r="D463" s="365">
        <f>D3</f>
        <v/>
      </c>
      <c r="E463" s="365" t="inlineStr">
        <is>
          <t xml:space="preserve">   เดือน  </t>
        </is>
      </c>
      <c r="F463" s="365">
        <f>F3</f>
        <v/>
      </c>
      <c r="H463" s="365">
        <f>H3</f>
        <v/>
      </c>
      <c r="I463" s="365" t="inlineStr">
        <is>
          <t xml:space="preserve">     ถึง วันที่</t>
        </is>
      </c>
      <c r="J463" s="365">
        <f>J3</f>
        <v/>
      </c>
      <c r="K463" s="365" t="inlineStr">
        <is>
          <t xml:space="preserve">   เดือน </t>
        </is>
      </c>
      <c r="L463" s="365">
        <f>L3</f>
        <v/>
      </c>
      <c r="N463" s="365">
        <f>N3</f>
        <v/>
      </c>
      <c r="P463" s="365" t="n"/>
      <c r="R463" s="365" t="n"/>
    </row>
    <row r="464" ht="22.2" customHeight="1" s="375">
      <c r="G464" s="51" t="inlineStr">
        <is>
          <t>ü</t>
        </is>
      </c>
      <c r="H464" s="351" t="inlineStr">
        <is>
          <t>ครู</t>
        </is>
      </c>
      <c r="I464" s="322" t="inlineStr">
        <is>
          <t>หน้าที่พิเศษ</t>
        </is>
      </c>
      <c r="J464" s="351" t="inlineStr">
        <is>
          <t>ผู้ช่วยงานมาตราฐานและการประกันคุณภาพการศึกษา</t>
        </is>
      </c>
    </row>
    <row r="465" ht="22.2" customHeight="1" s="375">
      <c r="A465" s="24" t="inlineStr">
        <is>
          <t>ที่</t>
        </is>
      </c>
      <c r="B465" s="24" t="inlineStr">
        <is>
          <t>ชื่อ-สกุล</t>
        </is>
      </c>
      <c r="C465" s="153" t="n"/>
      <c r="D465" s="135" t="n"/>
      <c r="E465" s="15" t="inlineStr">
        <is>
          <t>ตำแหน่ง</t>
        </is>
      </c>
      <c r="F465" s="16" t="inlineStr">
        <is>
          <t>ระยะเวลาที่สอน</t>
        </is>
      </c>
      <c r="G465" s="432" t="n"/>
      <c r="H465" s="16" t="inlineStr">
        <is>
          <t>รหัสวิชา</t>
        </is>
      </c>
      <c r="I465" s="362" t="inlineStr">
        <is>
          <t>ชั้น,แผนก,ห้อง</t>
        </is>
      </c>
      <c r="J465" s="16" t="inlineStr">
        <is>
          <t>เวลาสอน</t>
        </is>
      </c>
      <c r="K465" s="135" t="n"/>
      <c r="L465" s="16" t="inlineStr">
        <is>
          <t>ปวช.(คาบ)</t>
        </is>
      </c>
      <c r="M465" s="432" t="n"/>
      <c r="N465" s="354" t="inlineStr">
        <is>
          <t>เงิน</t>
        </is>
      </c>
      <c r="O465" s="362" t="inlineStr">
        <is>
          <t>ยอดเงิน</t>
        </is>
      </c>
      <c r="P465" s="524" t="inlineStr">
        <is>
          <t>ปวส.(คาบ)</t>
        </is>
      </c>
      <c r="Q465" s="432" t="n"/>
      <c r="R465" s="354" t="inlineStr">
        <is>
          <t>เงิน</t>
        </is>
      </c>
      <c r="S465" s="362" t="inlineStr">
        <is>
          <t>ยอดเงิน</t>
        </is>
      </c>
    </row>
    <row r="466" ht="22.2" customHeight="1" s="375">
      <c r="A466" s="52" t="n"/>
      <c r="B466" s="8" t="n"/>
      <c r="C466" s="9" t="n"/>
      <c r="D466" s="13" t="n"/>
      <c r="E466" s="10" t="n"/>
      <c r="F466" s="336" t="inlineStr">
        <is>
          <t>ส.</t>
        </is>
      </c>
      <c r="G466" s="336" t="inlineStr">
        <is>
          <t>วดป.</t>
        </is>
      </c>
      <c r="H466" s="525" t="n"/>
      <c r="I466" s="336" t="n"/>
      <c r="J466" s="526" t="n"/>
      <c r="K466" s="527" t="n"/>
      <c r="L466" s="336" t="inlineStr">
        <is>
          <t>ใน</t>
        </is>
      </c>
      <c r="M466" s="336" t="inlineStr">
        <is>
          <t>นอก</t>
        </is>
      </c>
      <c r="N466" s="336" t="inlineStr">
        <is>
          <t>ต่อ ชม.</t>
        </is>
      </c>
      <c r="O466" s="336" t="inlineStr">
        <is>
          <t>(บาท)</t>
        </is>
      </c>
      <c r="P466" s="52" t="inlineStr">
        <is>
          <t>ใน</t>
        </is>
      </c>
      <c r="Q466" s="52" t="inlineStr">
        <is>
          <t>นอก</t>
        </is>
      </c>
      <c r="R466" s="336" t="inlineStr">
        <is>
          <t>ต่อ ชม.</t>
        </is>
      </c>
      <c r="S466" s="336" t="inlineStr">
        <is>
          <t>(บาท)</t>
        </is>
      </c>
    </row>
    <row r="467" ht="22.2" customHeight="1" s="375">
      <c r="A467" s="362" t="n">
        <v>11</v>
      </c>
      <c r="B467" s="528">
        <f>AB13</f>
        <v/>
      </c>
      <c r="C467" s="153" t="n"/>
      <c r="D467" s="135" t="n"/>
      <c r="E467" s="362" t="inlineStr">
        <is>
          <t>ครู</t>
        </is>
      </c>
      <c r="F467" s="5" t="n">
        <v>5</v>
      </c>
      <c r="G467" s="529" t="inlineStr">
        <is>
          <t>จันทร์</t>
        </is>
      </c>
      <c r="H467" s="376" t="inlineStr">
        <is>
          <t>20101-2010</t>
        </is>
      </c>
      <c r="I467" s="376" t="inlineStr">
        <is>
          <t>ชย.ทวิ 2/9 (26)</t>
        </is>
      </c>
      <c r="J467" s="334" t="inlineStr">
        <is>
          <t>08:10 - 12:10</t>
        </is>
      </c>
      <c r="K467" s="374" t="n"/>
      <c r="L467" s="367" t="n">
        <v>4</v>
      </c>
      <c r="M467" s="381" t="inlineStr"/>
      <c r="N467" s="381" t="inlineStr"/>
      <c r="O467" s="354" t="inlineStr"/>
      <c r="P467" s="381" t="inlineStr"/>
      <c r="Q467" s="367" t="inlineStr"/>
      <c r="R467" s="381" t="inlineStr"/>
      <c r="S467" s="354" t="inlineStr"/>
      <c r="T467" t="inlineStr"/>
      <c r="U467" t="inlineStr"/>
    </row>
    <row r="468" ht="22.2" customHeight="1" s="375">
      <c r="A468" s="3" t="n"/>
      <c r="B468" s="530" t="n"/>
      <c r="D468" s="374" t="n"/>
      <c r="E468" s="46" t="n"/>
      <c r="F468" s="322" t="n"/>
      <c r="G468" s="535" t="inlineStr">
        <is>
          <t>12 ต.ค.69</t>
        </is>
      </c>
      <c r="H468" s="376" t="inlineStr">
        <is>
          <t>20101-2010</t>
        </is>
      </c>
      <c r="I468" s="376" t="inlineStr">
        <is>
          <t>ชย.ทวิ 2/9 (26)</t>
        </is>
      </c>
      <c r="J468" s="334" t="inlineStr">
        <is>
          <t>13:10 - 16:10</t>
        </is>
      </c>
      <c r="K468" s="374" t="n"/>
      <c r="L468" s="334" t="n">
        <v>3</v>
      </c>
      <c r="M468" s="334" t="inlineStr"/>
      <c r="N468" s="334" t="inlineStr"/>
      <c r="O468" s="354" t="inlineStr"/>
      <c r="P468" s="334" t="inlineStr"/>
      <c r="Q468" s="334" t="inlineStr"/>
      <c r="R468" s="334" t="inlineStr"/>
      <c r="S468" s="354" t="inlineStr"/>
      <c r="T468" t="inlineStr"/>
      <c r="U468" t="inlineStr"/>
    </row>
    <row r="469" ht="22.2" customHeight="1" s="375">
      <c r="A469" s="3" t="n"/>
      <c r="B469" s="313" t="n"/>
      <c r="D469" s="314" t="n"/>
      <c r="E469" s="314" t="n"/>
      <c r="F469" s="322" t="n"/>
      <c r="G469" s="321" t="inlineStr"/>
      <c r="H469" s="376" t="inlineStr"/>
      <c r="I469" s="376" t="inlineStr"/>
      <c r="J469" s="334" t="inlineStr"/>
      <c r="K469" s="374" t="n"/>
      <c r="L469" s="334" t="inlineStr"/>
      <c r="M469" s="334" t="inlineStr"/>
      <c r="N469" s="334" t="inlineStr"/>
      <c r="O469" s="354" t="inlineStr"/>
      <c r="P469" s="334" t="inlineStr"/>
      <c r="Q469" s="334" t="inlineStr"/>
      <c r="R469" s="334" t="inlineStr"/>
      <c r="S469" s="354" t="inlineStr"/>
      <c r="T469" t="inlineStr"/>
      <c r="U469" t="inlineStr"/>
    </row>
    <row r="470" ht="22.2" customHeight="1" s="375">
      <c r="A470" s="3" t="n"/>
      <c r="B470" s="313" t="n"/>
      <c r="E470" s="3" t="n"/>
      <c r="F470" s="322" t="n"/>
      <c r="G470" s="321" t="inlineStr"/>
      <c r="H470" s="334" t="inlineStr"/>
      <c r="I470" s="334" t="inlineStr"/>
      <c r="J470" s="334" t="inlineStr"/>
      <c r="K470" s="374" t="n"/>
      <c r="L470" s="334" t="inlineStr"/>
      <c r="M470" s="334" t="inlineStr"/>
      <c r="N470" s="334" t="inlineStr"/>
      <c r="O470" s="354" t="inlineStr"/>
      <c r="P470" s="334" t="inlineStr"/>
      <c r="Q470" s="334" t="inlineStr"/>
      <c r="R470" s="334" t="inlineStr"/>
      <c r="S470" s="354" t="inlineStr"/>
      <c r="T470" t="inlineStr"/>
      <c r="U470" t="inlineStr"/>
    </row>
    <row r="471" ht="22.2" customHeight="1" s="375">
      <c r="A471" s="3" t="n"/>
      <c r="E471" s="3" t="n"/>
      <c r="G471" s="344" t="inlineStr"/>
      <c r="H471" s="336" t="inlineStr"/>
      <c r="I471" s="336" t="inlineStr"/>
      <c r="J471" s="336" t="inlineStr"/>
      <c r="K471" s="527" t="n"/>
      <c r="L471" s="334" t="inlineStr"/>
      <c r="M471" s="334" t="inlineStr"/>
      <c r="N471" s="334" t="inlineStr"/>
      <c r="O471" s="354" t="inlineStr"/>
      <c r="P471" s="334" t="inlineStr"/>
      <c r="Q471" s="334" t="inlineStr"/>
      <c r="R471" s="334" t="inlineStr"/>
      <c r="S471" s="354" t="inlineStr"/>
      <c r="T471" t="inlineStr"/>
      <c r="U471" t="inlineStr"/>
    </row>
    <row r="472" ht="22.2" customHeight="1" s="375">
      <c r="A472" s="3" t="n"/>
      <c r="D472" s="374" t="n"/>
      <c r="E472" s="251" t="n"/>
      <c r="G472" s="533" t="inlineStr">
        <is>
          <t>อังคาร</t>
        </is>
      </c>
      <c r="H472" s="376" t="inlineStr">
        <is>
          <t>20101-2016</t>
        </is>
      </c>
      <c r="I472" s="376" t="inlineStr">
        <is>
          <t>ชย.1/3,ชย.1/4 (26)</t>
        </is>
      </c>
      <c r="J472" s="334" t="inlineStr">
        <is>
          <t>08:10 - 10:10</t>
        </is>
      </c>
      <c r="K472" s="374" t="n"/>
      <c r="L472" s="367" t="n">
        <v>2</v>
      </c>
      <c r="M472" s="381" t="inlineStr"/>
      <c r="N472" s="381" t="inlineStr"/>
      <c r="O472" s="354" t="inlineStr"/>
      <c r="P472" s="381" t="inlineStr"/>
      <c r="Q472" s="367" t="inlineStr"/>
      <c r="R472" s="381" t="inlineStr"/>
      <c r="S472" s="354" t="inlineStr"/>
      <c r="T472" s="6" t="inlineStr"/>
      <c r="U472" s="22" t="inlineStr"/>
      <c r="V472" s="57" t="n"/>
      <c r="W472" s="21" t="n"/>
      <c r="X472" s="21" t="n"/>
    </row>
    <row r="473" ht="22.2" customHeight="1" s="375">
      <c r="A473" s="3" t="n"/>
      <c r="D473" s="314" t="n"/>
      <c r="E473" s="314" t="n"/>
      <c r="G473" s="535" t="inlineStr">
        <is>
          <t>13 ต.ค.69</t>
        </is>
      </c>
      <c r="H473" s="376" t="inlineStr">
        <is>
          <t>20101-2006</t>
        </is>
      </c>
      <c r="I473" s="376" t="inlineStr">
        <is>
          <t>ชย.1/3,ชย.1/4 (26)</t>
        </is>
      </c>
      <c r="J473" s="334" t="inlineStr">
        <is>
          <t>10:10 - 12:10</t>
        </is>
      </c>
      <c r="K473" s="374" t="n"/>
      <c r="L473" s="334" t="n">
        <v>2</v>
      </c>
      <c r="M473" s="334" t="inlineStr"/>
      <c r="N473" s="334" t="inlineStr"/>
      <c r="O473" s="354" t="inlineStr"/>
      <c r="P473" s="334" t="inlineStr"/>
      <c r="Q473" s="334" t="inlineStr"/>
      <c r="R473" s="334" t="inlineStr"/>
      <c r="S473" s="354" t="inlineStr"/>
      <c r="T473" s="21" t="inlineStr"/>
      <c r="U473" s="22" t="inlineStr"/>
      <c r="V473" s="57" t="n"/>
      <c r="W473" s="21" t="n"/>
      <c r="X473" s="21" t="n"/>
    </row>
    <row r="474" ht="22.2" customHeight="1" s="375">
      <c r="A474" s="3" t="n"/>
      <c r="B474" s="313" t="n"/>
      <c r="D474" s="314" t="n"/>
      <c r="E474" s="314" t="n"/>
      <c r="G474" s="334" t="inlineStr"/>
      <c r="H474" s="334" t="inlineStr">
        <is>
          <t>20101-2007</t>
        </is>
      </c>
      <c r="I474" s="334" t="inlineStr">
        <is>
          <t>ชย.1/7,ชย.1/8 (26)</t>
        </is>
      </c>
      <c r="J474" s="334" t="inlineStr">
        <is>
          <t>13:10 - 15:10</t>
        </is>
      </c>
      <c r="K474" s="374" t="n"/>
      <c r="L474" s="334" t="n">
        <v>2</v>
      </c>
      <c r="M474" s="334" t="inlineStr"/>
      <c r="N474" s="334" t="inlineStr"/>
      <c r="O474" s="354" t="inlineStr"/>
      <c r="P474" s="334" t="inlineStr"/>
      <c r="Q474" s="334" t="inlineStr"/>
      <c r="R474" s="334" t="inlineStr"/>
      <c r="S474" s="354" t="inlineStr"/>
      <c r="T474" t="inlineStr"/>
      <c r="U474" t="inlineStr"/>
    </row>
    <row r="475" ht="22.2" customHeight="1" s="375">
      <c r="A475" s="3" t="n"/>
      <c r="E475" s="3" t="n"/>
      <c r="G475" s="54" t="inlineStr"/>
      <c r="H475" s="322" t="inlineStr">
        <is>
          <t>20101-2007</t>
        </is>
      </c>
      <c r="I475" s="334" t="inlineStr">
        <is>
          <t>ชย.1/5,ชย.1/6 (26)</t>
        </is>
      </c>
      <c r="J475" s="334" t="inlineStr">
        <is>
          <t>15:10 - 17:10</t>
        </is>
      </c>
      <c r="K475" s="374" t="n"/>
      <c r="L475" s="334" t="n">
        <v>2</v>
      </c>
      <c r="M475" s="334" t="inlineStr"/>
      <c r="N475" s="334" t="inlineStr"/>
      <c r="O475" s="354" t="inlineStr"/>
      <c r="P475" s="334" t="inlineStr"/>
      <c r="Q475" s="334" t="inlineStr"/>
      <c r="R475" s="334" t="inlineStr"/>
      <c r="S475" s="354" t="inlineStr"/>
      <c r="T475" t="inlineStr"/>
      <c r="U475" t="inlineStr"/>
    </row>
    <row r="476" ht="22.2" customHeight="1" s="375">
      <c r="A476" s="3" t="n"/>
      <c r="D476" s="7" t="inlineStr">
        <is>
          <t> </t>
        </is>
      </c>
      <c r="E476" s="3" t="n"/>
      <c r="G476" s="55" t="inlineStr"/>
      <c r="H476" s="336" t="inlineStr"/>
      <c r="I476" s="336" t="inlineStr"/>
      <c r="J476" s="336" t="inlineStr"/>
      <c r="K476" s="527" t="n"/>
      <c r="L476" s="334" t="inlineStr"/>
      <c r="M476" s="334" t="inlineStr"/>
      <c r="N476" s="334" t="inlineStr"/>
      <c r="O476" s="354" t="inlineStr"/>
      <c r="P476" s="334" t="inlineStr"/>
      <c r="Q476" s="334" t="inlineStr"/>
      <c r="R476" s="334" t="inlineStr"/>
      <c r="S476" s="354" t="inlineStr"/>
      <c r="T476" t="inlineStr"/>
      <c r="U476" t="inlineStr"/>
    </row>
    <row r="477" ht="22.2" customHeight="1" s="375">
      <c r="A477" s="3" t="n"/>
      <c r="E477" s="3" t="n"/>
      <c r="G477" s="535" t="inlineStr">
        <is>
          <t>พุธ</t>
        </is>
      </c>
      <c r="H477" s="376" t="inlineStr">
        <is>
          <t>20143-2010</t>
        </is>
      </c>
      <c r="I477" s="376" t="inlineStr">
        <is>
          <t>ชยฟ.3/1 (26)</t>
        </is>
      </c>
      <c r="J477" s="381" t="inlineStr">
        <is>
          <t>08:10 - 10:10</t>
        </is>
      </c>
      <c r="K477" s="135" t="n"/>
      <c r="L477" s="367" t="n">
        <v>2</v>
      </c>
      <c r="M477" s="381" t="inlineStr"/>
      <c r="N477" s="381" t="inlineStr"/>
      <c r="O477" s="354" t="inlineStr"/>
      <c r="P477" s="381" t="inlineStr"/>
      <c r="Q477" s="367" t="inlineStr"/>
      <c r="R477" s="381" t="inlineStr"/>
      <c r="S477" s="354" t="inlineStr"/>
      <c r="T477" t="inlineStr"/>
      <c r="U477" t="inlineStr"/>
    </row>
    <row r="478" ht="22.2" customHeight="1" s="375">
      <c r="A478" s="3" t="n"/>
      <c r="B478" s="321" t="n"/>
      <c r="C478" s="322" t="n"/>
      <c r="D478" s="322" t="n"/>
      <c r="E478" s="334" t="n"/>
      <c r="G478" s="535" t="inlineStr">
        <is>
          <t>14 ต.ค.69</t>
        </is>
      </c>
      <c r="H478" s="376" t="inlineStr">
        <is>
          <t>20101-2006</t>
        </is>
      </c>
      <c r="I478" s="376" t="inlineStr">
        <is>
          <t>ชย.1/1,ชย.1/2 (26)</t>
        </is>
      </c>
      <c r="J478" s="334" t="inlineStr">
        <is>
          <t>10:10 - 12:10</t>
        </is>
      </c>
      <c r="K478" s="374" t="n"/>
      <c r="L478" s="334" t="n">
        <v>2</v>
      </c>
      <c r="M478" s="334" t="inlineStr"/>
      <c r="N478" s="334" t="inlineStr"/>
      <c r="O478" s="354" t="inlineStr"/>
      <c r="P478" s="334" t="inlineStr"/>
      <c r="Q478" s="334" t="inlineStr"/>
      <c r="R478" s="334" t="inlineStr"/>
      <c r="S478" s="354" t="inlineStr"/>
      <c r="T478" t="inlineStr"/>
      <c r="U478" t="inlineStr"/>
    </row>
    <row r="479" ht="22.2" customHeight="1" s="375">
      <c r="A479" s="3" t="n"/>
      <c r="B479" s="313" t="n"/>
      <c r="D479" s="314" t="n"/>
      <c r="E479" s="314" t="n"/>
      <c r="G479" s="334" t="inlineStr"/>
      <c r="H479" s="376" t="inlineStr">
        <is>
          <t>20101-2007</t>
        </is>
      </c>
      <c r="I479" s="376" t="inlineStr">
        <is>
          <t>ชย.1/10,ชย.1/9 (26)</t>
        </is>
      </c>
      <c r="J479" s="334" t="inlineStr">
        <is>
          <t>13:10 - 15:10</t>
        </is>
      </c>
      <c r="K479" s="374" t="n"/>
      <c r="L479" s="334" t="n">
        <v>2</v>
      </c>
      <c r="M479" s="334" t="inlineStr"/>
      <c r="N479" s="334" t="inlineStr"/>
      <c r="O479" s="354" t="inlineStr"/>
      <c r="P479" s="334" t="inlineStr"/>
      <c r="Q479" s="334" t="inlineStr"/>
      <c r="R479" s="334" t="inlineStr"/>
      <c r="S479" s="354" t="inlineStr"/>
      <c r="T479" t="inlineStr"/>
      <c r="U479" t="inlineStr"/>
    </row>
    <row r="480" ht="22.2" customHeight="1" s="375">
      <c r="A480" s="3" t="n"/>
      <c r="E480" s="3" t="n"/>
      <c r="G480" s="321" t="inlineStr"/>
      <c r="H480" s="334" t="inlineStr">
        <is>
          <t>20101-2015</t>
        </is>
      </c>
      <c r="I480" s="334" t="inlineStr">
        <is>
          <t>ชย.3/3 (26)</t>
        </is>
      </c>
      <c r="J480" s="334" t="inlineStr">
        <is>
          <t>17:10 - 21:10</t>
        </is>
      </c>
      <c r="K480" s="374" t="n"/>
      <c r="L480" s="334" t="inlineStr"/>
      <c r="M480" s="334" t="n">
        <v>4</v>
      </c>
      <c r="N480" s="334" t="n">
        <v>200</v>
      </c>
      <c r="O480" s="354">
        <f>M480*N480</f>
        <v/>
      </c>
      <c r="P480" s="334" t="inlineStr"/>
      <c r="Q480" s="334" t="inlineStr"/>
      <c r="R480" s="334" t="inlineStr"/>
      <c r="S480" s="354" t="inlineStr"/>
      <c r="T480" t="inlineStr"/>
      <c r="U480" t="inlineStr"/>
    </row>
    <row r="481" ht="22.2" customHeight="1" s="375">
      <c r="A481" s="3" t="n"/>
      <c r="E481" s="3" t="n"/>
      <c r="G481" s="327" t="inlineStr"/>
      <c r="H481" s="336" t="inlineStr"/>
      <c r="I481" s="336" t="inlineStr"/>
      <c r="J481" s="336" t="inlineStr"/>
      <c r="K481" s="527" t="n"/>
      <c r="L481" s="336" t="inlineStr"/>
      <c r="M481" s="336" t="inlineStr"/>
      <c r="N481" s="336" t="inlineStr"/>
      <c r="O481" s="354" t="inlineStr"/>
      <c r="P481" s="336" t="inlineStr"/>
      <c r="Q481" s="336" t="inlineStr"/>
      <c r="R481" s="336" t="inlineStr"/>
      <c r="S481" s="354" t="inlineStr"/>
      <c r="T481" t="inlineStr"/>
      <c r="U481" t="inlineStr"/>
    </row>
    <row r="482" ht="22.2" customHeight="1" s="375">
      <c r="A482" s="3" t="n"/>
      <c r="D482" s="374" t="n"/>
      <c r="E482" s="251" t="n"/>
      <c r="G482" s="533" t="inlineStr">
        <is>
          <t>พฤหัส</t>
        </is>
      </c>
      <c r="H482" s="376" t="inlineStr">
        <is>
          <t>20000-2002</t>
        </is>
      </c>
      <c r="I482" s="376" t="inlineStr">
        <is>
          <t>ชย.1/1,ชย.1/2 (26)</t>
        </is>
      </c>
      <c r="J482" s="376" t="inlineStr">
        <is>
          <t>13:10 - 15:10</t>
        </is>
      </c>
      <c r="K482" s="374" t="n"/>
      <c r="L482" s="334" t="n">
        <v>2</v>
      </c>
      <c r="M482" s="334" t="inlineStr"/>
      <c r="N482" s="334" t="inlineStr"/>
      <c r="O482" s="354" t="inlineStr"/>
      <c r="P482" s="155" t="inlineStr"/>
      <c r="Q482" s="156" t="inlineStr"/>
      <c r="R482" s="156" t="inlineStr"/>
      <c r="S482" s="354" t="inlineStr"/>
      <c r="T482" t="inlineStr"/>
      <c r="U482" t="inlineStr"/>
    </row>
    <row r="483" ht="22.2" customHeight="1" s="375">
      <c r="A483" s="3" t="n"/>
      <c r="D483" s="314" t="n"/>
      <c r="E483" s="314" t="n"/>
      <c r="G483" s="535" t="inlineStr">
        <is>
          <t>15 ต.ค.69</t>
        </is>
      </c>
      <c r="H483" s="376" t="inlineStr"/>
      <c r="I483" s="376" t="inlineStr"/>
      <c r="J483" s="376" t="inlineStr"/>
      <c r="K483" s="374" t="n"/>
      <c r="L483" s="376" t="inlineStr"/>
      <c r="M483" s="334" t="inlineStr"/>
      <c r="N483" s="334" t="inlineStr"/>
      <c r="O483" s="354" t="inlineStr"/>
      <c r="P483" s="334" t="inlineStr"/>
      <c r="Q483" s="334" t="inlineStr"/>
      <c r="R483" s="334" t="inlineStr"/>
      <c r="S483" s="354" t="inlineStr"/>
      <c r="T483" t="inlineStr"/>
      <c r="U483" t="inlineStr"/>
    </row>
    <row r="484" ht="22.2" customHeight="1" s="375">
      <c r="A484" s="3" t="n"/>
      <c r="B484" s="313" t="n"/>
      <c r="E484" s="3" t="n"/>
      <c r="G484" s="334" t="inlineStr"/>
      <c r="H484" s="376" t="inlineStr"/>
      <c r="I484" s="376" t="inlineStr"/>
      <c r="J484" s="334" t="inlineStr"/>
      <c r="K484" s="374" t="n"/>
      <c r="L484" s="376" t="inlineStr"/>
      <c r="M484" s="376" t="inlineStr"/>
      <c r="N484" s="376" t="inlineStr"/>
      <c r="O484" s="354" t="inlineStr"/>
      <c r="P484" s="3" t="inlineStr"/>
      <c r="Q484" s="3" t="inlineStr"/>
      <c r="R484" s="3" t="inlineStr"/>
      <c r="S484" s="354" t="inlineStr"/>
      <c r="T484" t="inlineStr"/>
      <c r="U484" t="inlineStr"/>
    </row>
    <row r="485" ht="22.2" customHeight="1" s="375">
      <c r="A485" s="3" t="n"/>
      <c r="E485" s="3" t="n"/>
      <c r="G485" s="334" t="inlineStr"/>
      <c r="H485" s="334" t="inlineStr"/>
      <c r="I485" s="334" t="inlineStr"/>
      <c r="J485" s="334" t="inlineStr"/>
      <c r="K485" s="374" t="n"/>
      <c r="L485" s="334" t="inlineStr"/>
      <c r="M485" s="334" t="inlineStr"/>
      <c r="N485" s="334" t="inlineStr"/>
      <c r="O485" s="354" t="inlineStr"/>
      <c r="P485" s="334" t="inlineStr"/>
      <c r="Q485" s="334" t="inlineStr"/>
      <c r="R485" s="334" t="inlineStr"/>
      <c r="S485" s="354" t="inlineStr"/>
      <c r="T485" t="inlineStr"/>
      <c r="U485" t="inlineStr"/>
    </row>
    <row r="486" ht="22.2" customHeight="1" s="375">
      <c r="A486" s="3" t="n"/>
      <c r="E486" s="3" t="n"/>
      <c r="G486" s="336" t="inlineStr"/>
      <c r="H486" s="328" t="inlineStr"/>
      <c r="I486" s="336" t="inlineStr"/>
      <c r="J486" s="336" t="inlineStr"/>
      <c r="K486" s="527" t="n"/>
      <c r="L486" s="336" t="inlineStr"/>
      <c r="M486" s="336" t="inlineStr"/>
      <c r="N486" s="336" t="inlineStr"/>
      <c r="O486" s="354" t="inlineStr"/>
      <c r="P486" s="336" t="inlineStr"/>
      <c r="Q486" s="336" t="inlineStr"/>
      <c r="R486" s="336" t="inlineStr"/>
      <c r="S486" s="354" t="inlineStr"/>
      <c r="T486" t="inlineStr"/>
      <c r="U486" t="inlineStr"/>
    </row>
    <row r="487" ht="22.2" customHeight="1" s="375">
      <c r="A487" s="3" t="n"/>
      <c r="E487" s="3" t="n"/>
      <c r="G487" s="533" t="inlineStr">
        <is>
          <t>ศุกร์</t>
        </is>
      </c>
      <c r="H487" s="376" t="inlineStr">
        <is>
          <t>20001-1005</t>
        </is>
      </c>
      <c r="I487" s="376" t="inlineStr">
        <is>
          <t>ชย.2/5,ชย.2/6 (26)</t>
        </is>
      </c>
      <c r="J487" s="381" t="inlineStr">
        <is>
          <t>08:10 - 12:10</t>
        </is>
      </c>
      <c r="K487" s="135" t="n"/>
      <c r="L487" s="334" t="inlineStr"/>
      <c r="M487" s="334" t="n">
        <v>4</v>
      </c>
      <c r="N487" s="334" t="n">
        <v>200</v>
      </c>
      <c r="O487" s="354">
        <f>M487*N487</f>
        <v/>
      </c>
      <c r="P487" s="381" t="inlineStr"/>
      <c r="Q487" s="367" t="inlineStr"/>
      <c r="R487" s="381" t="inlineStr"/>
      <c r="S487" s="354" t="inlineStr"/>
      <c r="T487" t="inlineStr"/>
      <c r="U487" t="inlineStr"/>
    </row>
    <row r="488" ht="22.2" customHeight="1" s="375">
      <c r="A488" s="3" t="n"/>
      <c r="E488" s="3" t="n"/>
      <c r="G488" s="535" t="inlineStr">
        <is>
          <t>16 ต.ค.69</t>
        </is>
      </c>
      <c r="H488" s="376" t="inlineStr">
        <is>
          <t>20001-1005</t>
        </is>
      </c>
      <c r="I488" s="376" t="inlineStr">
        <is>
          <t>ชย.2/7,ชย.2/8,ชย.ทวิ 2/9 (26)</t>
        </is>
      </c>
      <c r="J488" s="334" t="inlineStr">
        <is>
          <t>13:10 - 17:10</t>
        </is>
      </c>
      <c r="K488" s="374" t="n"/>
      <c r="L488" s="334" t="inlineStr"/>
      <c r="M488" s="334" t="n">
        <v>4</v>
      </c>
      <c r="N488" s="334" t="n">
        <v>200</v>
      </c>
      <c r="O488" s="354">
        <f>M488*N488</f>
        <v/>
      </c>
      <c r="P488" s="334" t="inlineStr"/>
      <c r="Q488" s="334" t="inlineStr"/>
      <c r="R488" s="334" t="inlineStr"/>
      <c r="S488" s="354" t="inlineStr"/>
      <c r="T488" t="inlineStr"/>
      <c r="U488" t="inlineStr"/>
    </row>
    <row r="489" ht="22.2" customHeight="1" s="375">
      <c r="A489" s="3" t="n"/>
      <c r="E489" s="3" t="n"/>
      <c r="G489" s="334" t="inlineStr"/>
      <c r="H489" s="334" t="inlineStr"/>
      <c r="I489" s="334" t="inlineStr"/>
      <c r="J489" s="334" t="inlineStr"/>
      <c r="K489" s="374" t="n"/>
      <c r="L489" s="334" t="inlineStr"/>
      <c r="M489" s="334" t="inlineStr"/>
      <c r="N489" s="334" t="inlineStr"/>
      <c r="O489" s="354" t="inlineStr"/>
      <c r="P489" s="334" t="inlineStr"/>
      <c r="Q489" s="334" t="inlineStr"/>
      <c r="R489" s="334" t="inlineStr"/>
      <c r="S489" s="354" t="inlineStr"/>
      <c r="T489" t="inlineStr"/>
      <c r="U489" t="inlineStr"/>
    </row>
    <row r="490" ht="22.2" customHeight="1" s="375">
      <c r="A490" s="3" t="n"/>
      <c r="E490" s="3" t="n"/>
      <c r="G490" s="334" t="inlineStr"/>
      <c r="H490" s="322" t="inlineStr"/>
      <c r="I490" s="334" t="inlineStr"/>
      <c r="J490" s="334" t="inlineStr"/>
      <c r="K490" s="374" t="n"/>
      <c r="L490" s="334" t="inlineStr"/>
      <c r="M490" s="334" t="inlineStr"/>
      <c r="N490" s="334" t="inlineStr"/>
      <c r="O490" s="354" t="inlineStr"/>
      <c r="P490" s="334" t="inlineStr"/>
      <c r="Q490" s="334" t="inlineStr"/>
      <c r="R490" s="334" t="inlineStr"/>
      <c r="S490" s="354" t="inlineStr"/>
      <c r="T490" t="inlineStr"/>
      <c r="U490" t="inlineStr"/>
    </row>
    <row r="491" ht="22.2" customHeight="1" s="375">
      <c r="A491" s="3" t="n"/>
      <c r="E491" s="3" t="n"/>
      <c r="F491" s="3" t="n"/>
      <c r="G491" s="329" t="inlineStr"/>
      <c r="H491" s="328" t="inlineStr"/>
      <c r="I491" s="336" t="inlineStr"/>
      <c r="J491" s="336" t="inlineStr"/>
      <c r="K491" s="527" t="n"/>
      <c r="L491" s="336" t="inlineStr"/>
      <c r="M491" s="336" t="inlineStr"/>
      <c r="N491" s="336" t="inlineStr"/>
      <c r="O491" s="354" t="inlineStr"/>
      <c r="P491" s="336" t="inlineStr"/>
      <c r="Q491" s="336" t="inlineStr"/>
      <c r="R491" s="336" t="inlineStr"/>
      <c r="S491" s="354" t="inlineStr"/>
      <c r="T491" t="inlineStr"/>
      <c r="U491" t="inlineStr"/>
    </row>
    <row r="492" ht="22.2" customHeight="1" s="375">
      <c r="A492" s="3" t="n"/>
      <c r="E492" s="3" t="n"/>
      <c r="F492" s="3" t="n"/>
      <c r="G492" s="16" t="inlineStr">
        <is>
          <t>รวมขั่วโมงที่สอนแยก ภาระงาน/ เกินภาระงาน</t>
        </is>
      </c>
      <c r="H492" s="518" t="n"/>
      <c r="I492" s="518" t="n"/>
      <c r="J492" s="518" t="n"/>
      <c r="K492" s="432" t="n"/>
      <c r="L492" s="16">
        <f>SUM(L467:L491)</f>
        <v/>
      </c>
      <c r="M492" s="16">
        <f>SUM(M467:M491)</f>
        <v/>
      </c>
      <c r="N492" s="16" t="n"/>
      <c r="O492" s="16" t="n"/>
      <c r="P492" s="16">
        <f>SUM(P467:P491)</f>
        <v/>
      </c>
      <c r="Q492" s="16">
        <f>SUM(Q467:Q491)</f>
        <v/>
      </c>
      <c r="R492" s="349" t="n"/>
      <c r="S492" s="16" t="n"/>
    </row>
    <row r="493" ht="22.2" customHeight="1" s="375">
      <c r="A493" s="3" t="n"/>
      <c r="E493" s="3" t="n"/>
      <c r="F493" s="3" t="n"/>
      <c r="G493" s="16" t="inlineStr">
        <is>
          <t>รวมจำนวนชั่วโมงสอนคาบต่อสับดาห์</t>
        </is>
      </c>
      <c r="H493" s="518" t="n"/>
      <c r="I493" s="518" t="n"/>
      <c r="J493" s="518" t="n"/>
      <c r="K493" s="432" t="n"/>
      <c r="L493" s="16">
        <f>L492+M492</f>
        <v/>
      </c>
      <c r="M493" s="432" t="n"/>
      <c r="N493" s="16" t="n"/>
      <c r="O493" s="348" t="n"/>
      <c r="P493" s="16">
        <f>P492+Q492</f>
        <v/>
      </c>
      <c r="Q493" s="432" t="n"/>
      <c r="R493" s="329" t="n"/>
      <c r="S493" s="336" t="n"/>
    </row>
    <row r="494" ht="22.2" customHeight="1" s="375">
      <c r="A494" s="3" t="n"/>
      <c r="E494" s="3" t="n"/>
      <c r="F494" s="3" t="n"/>
      <c r="G494" s="16" t="inlineStr">
        <is>
          <t>จำนวนชั่วโมงสอนตามภาระงานสอน</t>
        </is>
      </c>
      <c r="H494" s="518" t="n"/>
      <c r="I494" s="518" t="n"/>
      <c r="J494" s="518" t="n"/>
      <c r="K494" s="432" t="n"/>
      <c r="L494" s="131" t="n">
        <v>18</v>
      </c>
      <c r="M494" s="432" t="n"/>
      <c r="N494" s="130" t="n"/>
      <c r="O494" s="131" t="n"/>
      <c r="P494" s="131" t="n">
        <v>0</v>
      </c>
      <c r="Q494" s="432" t="n"/>
      <c r="R494" s="322" t="n"/>
      <c r="S494" s="334" t="n"/>
    </row>
    <row r="495" ht="22.2" customHeight="1" s="375" thickBot="1">
      <c r="A495" s="3" t="n"/>
      <c r="E495" s="3" t="n"/>
      <c r="F495" s="14" t="n"/>
      <c r="G495" s="16" t="inlineStr">
        <is>
          <t>จำนวนชั่วโมงบิกเกินภาระงานสอน/ค่าสอน</t>
        </is>
      </c>
      <c r="H495" s="518" t="n"/>
      <c r="I495" s="518" t="n"/>
      <c r="J495" s="518" t="n"/>
      <c r="K495" s="432" t="n"/>
      <c r="L495" s="17" t="n">
        <v>0</v>
      </c>
      <c r="M495" s="17">
        <f>SUM(M467:M491)</f>
        <v/>
      </c>
      <c r="N495" s="17" t="n"/>
      <c r="O495" s="17">
        <f>SUM(O467:O491)</f>
        <v/>
      </c>
      <c r="P495" s="17" t="n">
        <v>0</v>
      </c>
      <c r="Q495" s="17">
        <f>SUM(Q467:Q491)</f>
        <v/>
      </c>
      <c r="R495" s="18" t="n"/>
      <c r="S495" s="17">
        <f>SUM(S467:S491)</f>
        <v/>
      </c>
    </row>
    <row r="496" ht="22.2" customHeight="1" s="375" thickTop="1">
      <c r="A496" s="337" t="inlineStr">
        <is>
          <t>รวมจำนวนหน่วยชั่วโมงที่ขอเบิกค่าสอน ….</t>
        </is>
      </c>
      <c r="B496" s="518" t="n"/>
      <c r="C496" s="518" t="n"/>
      <c r="D496" s="518" t="n"/>
      <c r="E496" s="518" t="n"/>
      <c r="F496" s="518" t="n"/>
      <c r="G496" s="518" t="n"/>
      <c r="H496" s="348">
        <f>M495+Q495</f>
        <v/>
      </c>
      <c r="I496" s="348" t="inlineStr">
        <is>
          <t>….ชั่วโมง</t>
        </is>
      </c>
      <c r="J496" s="348" t="n"/>
      <c r="K496" s="328" t="inlineStr">
        <is>
          <t>ยอดเงินรวม</t>
        </is>
      </c>
      <c r="L496" s="522" t="n"/>
      <c r="M496" s="522" t="n"/>
      <c r="N496" s="328" t="n"/>
      <c r="O496" s="328" t="n"/>
      <c r="P496" s="339">
        <f>S495+O495</f>
        <v/>
      </c>
      <c r="Q496" s="538" t="n"/>
      <c r="R496" s="20" t="n"/>
      <c r="S496" s="19" t="inlineStr">
        <is>
          <t>..บาท</t>
        </is>
      </c>
    </row>
    <row r="497" ht="22.2" customHeight="1" s="375">
      <c r="A497" s="154" t="inlineStr">
        <is>
          <t>ผู้ขอเบิก</t>
        </is>
      </c>
      <c r="B497" s="153" t="n"/>
      <c r="C497" s="153" t="n"/>
      <c r="D497" s="153" t="n"/>
      <c r="E497" s="153" t="n"/>
      <c r="F497" s="153" t="n"/>
      <c r="G497" s="135" t="n"/>
      <c r="H497" s="154" t="inlineStr">
        <is>
          <t>ผู้รับรอง</t>
        </is>
      </c>
      <c r="I497" s="153" t="n"/>
      <c r="J497" s="153" t="n"/>
      <c r="K497" s="153" t="n"/>
      <c r="L497" s="135" t="n"/>
      <c r="M497" s="154" t="inlineStr">
        <is>
          <t>ผู้ตรวจ</t>
        </is>
      </c>
      <c r="N497" s="153" t="n"/>
      <c r="O497" s="153" t="n"/>
      <c r="P497" s="153" t="n"/>
      <c r="Q497" s="153" t="n"/>
      <c r="R497" s="153" t="n"/>
      <c r="S497" s="135" t="n"/>
    </row>
    <row r="498" ht="22.2" customHeight="1" s="375">
      <c r="A498" s="334" t="inlineStr">
        <is>
          <t>ลงชื่อ……………………………………………</t>
        </is>
      </c>
      <c r="G498" s="374" t="n"/>
      <c r="H498" s="334" t="inlineStr">
        <is>
          <t>ลงชื่อ……………………………………………</t>
        </is>
      </c>
      <c r="L498" s="374" t="n"/>
      <c r="M498" s="334" t="inlineStr">
        <is>
          <t>ลงชื่อ……………………………………………</t>
        </is>
      </c>
      <c r="S498" s="374" t="n"/>
    </row>
    <row r="499" ht="22.2" customHeight="1" s="375">
      <c r="A499" s="11" t="inlineStr">
        <is>
          <t>(</t>
        </is>
      </c>
      <c r="B499" s="324">
        <f>B467</f>
        <v/>
      </c>
      <c r="G499" s="326" t="inlineStr">
        <is>
          <t>)</t>
        </is>
      </c>
      <c r="H499" s="324" t="inlineStr">
        <is>
          <t>(</t>
        </is>
      </c>
      <c r="I499" s="340">
        <f>I453</f>
        <v/>
      </c>
      <c r="L499" s="12" t="inlineStr">
        <is>
          <t>)</t>
        </is>
      </c>
      <c r="M499" s="53" t="inlineStr">
        <is>
          <t>(</t>
        </is>
      </c>
      <c r="N499" s="53" t="n"/>
      <c r="O499" s="324">
        <f>O39</f>
        <v/>
      </c>
      <c r="R499" s="25" t="n"/>
      <c r="S499" s="326" t="inlineStr">
        <is>
          <t>)</t>
        </is>
      </c>
    </row>
    <row r="500" ht="22.2" customHeight="1" s="375">
      <c r="A500" s="540" t="inlineStr">
        <is>
          <t xml:space="preserve">                         ตำแหน่ง  ครู</t>
        </is>
      </c>
      <c r="G500" s="374" t="n"/>
      <c r="H500" s="54" t="inlineStr">
        <is>
          <t>ตำแหน่ง หัวหน้าแผนก</t>
        </is>
      </c>
      <c r="L500" s="374" t="n"/>
      <c r="M500" s="54" t="inlineStr">
        <is>
          <t>ตำแหน่ง   ผู้ตรวจสอบ</t>
        </is>
      </c>
      <c r="S500" s="374" t="n"/>
    </row>
    <row r="501" ht="22.2" customHeight="1" s="375">
      <c r="A501" s="55" t="inlineStr">
        <is>
          <t>วันที่ 19 เดือน ตุลาคม  พ.ศ.2569</t>
        </is>
      </c>
      <c r="B501" s="522" t="n"/>
      <c r="C501" s="522" t="n"/>
      <c r="D501" s="522" t="n"/>
      <c r="E501" s="522" t="n"/>
      <c r="F501" s="522" t="n"/>
      <c r="G501" s="527" t="n"/>
      <c r="H501" s="54">
        <f>A41</f>
        <v/>
      </c>
      <c r="L501" s="374" t="n"/>
      <c r="M501" s="55">
        <f>A41</f>
        <v/>
      </c>
      <c r="N501" s="522" t="n"/>
      <c r="O501" s="522" t="n"/>
      <c r="P501" s="522" t="n"/>
      <c r="Q501" s="522" t="n"/>
      <c r="R501" s="522" t="n"/>
      <c r="S501" s="527" t="n"/>
    </row>
    <row r="502" ht="22.2" customHeight="1" s="375">
      <c r="A502" s="154" t="inlineStr">
        <is>
          <t>ผู้ตรวจ</t>
        </is>
      </c>
      <c r="B502" s="153" t="n"/>
      <c r="C502" s="153" t="n"/>
      <c r="D502" s="153" t="n"/>
      <c r="E502" s="153" t="n"/>
      <c r="F502" s="153" t="n"/>
      <c r="G502" s="153" t="n"/>
      <c r="H502" s="153" t="n"/>
      <c r="I502" s="135" t="n"/>
      <c r="J502" s="154" t="inlineStr">
        <is>
          <t>ผู้เห็นชอบ</t>
        </is>
      </c>
      <c r="K502" s="153" t="n"/>
      <c r="L502" s="153" t="n"/>
      <c r="M502" s="153" t="n"/>
      <c r="N502" s="153" t="n"/>
      <c r="O502" s="153" t="n"/>
      <c r="P502" s="153" t="n"/>
      <c r="Q502" s="153" t="n"/>
      <c r="R502" s="153" t="n"/>
      <c r="S502" s="135" t="n"/>
    </row>
    <row r="503" ht="22.2" customHeight="1" s="375">
      <c r="A503" s="334" t="inlineStr">
        <is>
          <t>ลงชื่อ……………………………………………</t>
        </is>
      </c>
      <c r="I503" s="374" t="n"/>
      <c r="J503" s="334" t="inlineStr">
        <is>
          <t>ลงชื่อ……………………………………………</t>
        </is>
      </c>
      <c r="S503" s="374" t="n"/>
    </row>
    <row r="504" ht="22.2" customHeight="1" s="375">
      <c r="A504" s="11" t="n"/>
      <c r="B504" s="324">
        <f>B44</f>
        <v/>
      </c>
      <c r="I504" s="326" t="n"/>
      <c r="J504" s="25" t="n"/>
      <c r="K504" s="25" t="n"/>
      <c r="L504" s="324">
        <f>L44</f>
        <v/>
      </c>
      <c r="R504" s="25" t="n"/>
      <c r="S504" s="12" t="n"/>
    </row>
    <row r="505" ht="22.2" customHeight="1" s="375">
      <c r="A505" s="54" t="inlineStr">
        <is>
          <t>ตำแหน่งครู  หัวหน้างานพัฒนาหลักสูตร ฯ</t>
        </is>
      </c>
      <c r="I505" s="374" t="n"/>
      <c r="J505" s="54" t="inlineStr">
        <is>
          <t>ตำแหน่ง  รองผู้อำนวยการฝ่ายวิชาการ</t>
        </is>
      </c>
      <c r="S505" s="374" t="n"/>
    </row>
    <row r="506" ht="22.2" customHeight="1" s="375">
      <c r="A506" s="336" t="inlineStr">
        <is>
          <t>วันที่.......เดือน..........................พ.ศ..............</t>
        </is>
      </c>
      <c r="B506" s="522" t="n"/>
      <c r="C506" s="522" t="n"/>
      <c r="D506" s="522" t="n"/>
      <c r="E506" s="522" t="n"/>
      <c r="F506" s="522" t="n"/>
      <c r="G506" s="522" t="n"/>
      <c r="H506" s="522" t="n"/>
      <c r="I506" s="527" t="n"/>
      <c r="J506" s="336" t="inlineStr">
        <is>
          <t>วันที่.......เดือน..........................พ.ศ..............</t>
        </is>
      </c>
      <c r="K506" s="522" t="n"/>
      <c r="L506" s="522" t="n"/>
      <c r="M506" s="522" t="n"/>
      <c r="N506" s="522" t="n"/>
      <c r="O506" s="522" t="n"/>
      <c r="P506" s="522" t="n"/>
      <c r="Q506" s="522" t="n"/>
      <c r="R506" s="522" t="n"/>
      <c r="S506" s="527" t="n"/>
    </row>
    <row r="507" ht="22.2" customHeight="1" s="375">
      <c r="A507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75">
      <c r="A508" s="365" t="inlineStr">
        <is>
          <t>แผนกวิชาช่างยนต์</t>
        </is>
      </c>
    </row>
    <row r="509" ht="22.2" customHeight="1" s="375">
      <c r="A509" s="366" t="inlineStr">
        <is>
          <t xml:space="preserve">    ระหว่างวันที่</t>
        </is>
      </c>
      <c r="D509" s="365">
        <f>D3</f>
        <v/>
      </c>
      <c r="E509" s="365" t="inlineStr">
        <is>
          <t xml:space="preserve">   เดือน  </t>
        </is>
      </c>
      <c r="F509" s="365">
        <f>F3</f>
        <v/>
      </c>
      <c r="H509" s="365">
        <f>H3</f>
        <v/>
      </c>
      <c r="I509" s="365" t="inlineStr">
        <is>
          <t xml:space="preserve">     ถึง วันที่</t>
        </is>
      </c>
      <c r="J509" s="365">
        <f>J3</f>
        <v/>
      </c>
      <c r="K509" s="365" t="inlineStr">
        <is>
          <t xml:space="preserve">   เดือน </t>
        </is>
      </c>
      <c r="L509" s="365">
        <f>L3</f>
        <v/>
      </c>
      <c r="N509" s="365">
        <f>N3</f>
        <v/>
      </c>
      <c r="P509" s="365" t="n"/>
      <c r="R509" s="365" t="n"/>
    </row>
    <row r="510" ht="22.2" customHeight="1" s="375">
      <c r="G510" s="51" t="inlineStr">
        <is>
          <t>ü</t>
        </is>
      </c>
      <c r="H510" s="351" t="inlineStr">
        <is>
          <t>ครู</t>
        </is>
      </c>
      <c r="I510" s="322" t="inlineStr">
        <is>
          <t>หน้าที่พิเศษ</t>
        </is>
      </c>
      <c r="J510" s="351" t="inlineStr">
        <is>
          <t>รหัสวิชา</t>
        </is>
      </c>
    </row>
    <row r="511" ht="22.2" customHeight="1" s="375">
      <c r="A511" s="24" t="inlineStr">
        <is>
          <t>ที่</t>
        </is>
      </c>
      <c r="B511" s="24" t="inlineStr">
        <is>
          <t>ชื่อ-สกุล</t>
        </is>
      </c>
      <c r="C511" s="153" t="n"/>
      <c r="D511" s="135" t="n"/>
      <c r="E511" s="15" t="inlineStr">
        <is>
          <t>ตำแหน่ง</t>
        </is>
      </c>
      <c r="F511" s="16" t="inlineStr">
        <is>
          <t>ระยะเวลาที่สอน</t>
        </is>
      </c>
      <c r="G511" s="432" t="n"/>
      <c r="H511" s="16" t="inlineStr">
        <is>
          <t>รหัสวิชา</t>
        </is>
      </c>
      <c r="I511" s="362" t="inlineStr">
        <is>
          <t>ชั้น,แผนก,ห้อง</t>
        </is>
      </c>
      <c r="J511" s="16" t="inlineStr">
        <is>
          <t>เวลาสอน</t>
        </is>
      </c>
      <c r="K511" s="135" t="n"/>
      <c r="L511" s="16" t="inlineStr">
        <is>
          <t>ปวช.(คาบ)</t>
        </is>
      </c>
      <c r="M511" s="432" t="n"/>
      <c r="N511" s="354" t="inlineStr">
        <is>
          <t>เงิน</t>
        </is>
      </c>
      <c r="O511" s="362" t="inlineStr">
        <is>
          <t>ยอดเงิน</t>
        </is>
      </c>
      <c r="P511" s="524" t="inlineStr">
        <is>
          <t>ปวส.(คาบ)</t>
        </is>
      </c>
      <c r="Q511" s="432" t="n"/>
      <c r="R511" s="354" t="inlineStr">
        <is>
          <t>เงิน</t>
        </is>
      </c>
      <c r="S511" s="362" t="inlineStr">
        <is>
          <t>ยอดเงิน</t>
        </is>
      </c>
    </row>
    <row r="512" ht="22.2" customHeight="1" s="375">
      <c r="A512" s="52" t="n"/>
      <c r="B512" s="8" t="n"/>
      <c r="C512" s="9" t="n"/>
      <c r="D512" s="13" t="n"/>
      <c r="E512" s="10" t="n"/>
      <c r="F512" s="336" t="inlineStr">
        <is>
          <t>ส.</t>
        </is>
      </c>
      <c r="G512" s="336" t="inlineStr">
        <is>
          <t>วดป.</t>
        </is>
      </c>
      <c r="H512" s="525" t="n"/>
      <c r="I512" s="336" t="n"/>
      <c r="J512" s="526" t="n"/>
      <c r="K512" s="527" t="n"/>
      <c r="L512" s="336" t="inlineStr">
        <is>
          <t>ใน</t>
        </is>
      </c>
      <c r="M512" s="336" t="inlineStr">
        <is>
          <t>นอก</t>
        </is>
      </c>
      <c r="N512" s="336" t="inlineStr">
        <is>
          <t>ต่อ ชม.</t>
        </is>
      </c>
      <c r="O512" s="336" t="inlineStr">
        <is>
          <t>(บาท)</t>
        </is>
      </c>
      <c r="P512" s="52" t="inlineStr">
        <is>
          <t>ใน</t>
        </is>
      </c>
      <c r="Q512" s="52" t="inlineStr">
        <is>
          <t>นอก</t>
        </is>
      </c>
      <c r="R512" s="336" t="inlineStr">
        <is>
          <t>ต่อ ชม.</t>
        </is>
      </c>
      <c r="S512" s="336" t="inlineStr">
        <is>
          <t>(บาท)</t>
        </is>
      </c>
    </row>
    <row r="513" ht="22.2" customHeight="1" s="375">
      <c r="A513" s="362" t="n">
        <v>12</v>
      </c>
      <c r="B513" s="528">
        <f>AB14</f>
        <v/>
      </c>
      <c r="C513" s="153" t="n"/>
      <c r="D513" s="135" t="n"/>
      <c r="E513" s="362" t="inlineStr">
        <is>
          <t>ครู</t>
        </is>
      </c>
      <c r="F513" s="5" t="n">
        <v>5</v>
      </c>
      <c r="G513" s="529" t="inlineStr">
        <is>
          <t>จันทร์</t>
        </is>
      </c>
      <c r="H513" s="376" t="inlineStr"/>
      <c r="I513" s="334" t="inlineStr"/>
      <c r="J513" s="381" t="inlineStr"/>
      <c r="K513" s="135" t="n"/>
      <c r="L513" s="367" t="inlineStr"/>
      <c r="M513" s="381" t="inlineStr"/>
      <c r="N513" s="381" t="inlineStr"/>
      <c r="O513" s="354" t="inlineStr"/>
      <c r="P513" s="381" t="inlineStr"/>
      <c r="Q513" s="367" t="inlineStr"/>
      <c r="R513" s="381" t="inlineStr"/>
      <c r="S513" s="354" t="inlineStr"/>
      <c r="T513" t="inlineStr"/>
      <c r="U513" t="inlineStr"/>
    </row>
    <row r="514" ht="22.2" customHeight="1" s="375">
      <c r="A514" s="3" t="n"/>
      <c r="B514" s="530" t="n"/>
      <c r="D514" s="374" t="n"/>
      <c r="E514" s="46" t="n"/>
      <c r="F514" s="322" t="n"/>
      <c r="G514" s="535" t="inlineStr">
        <is>
          <t>12 ต.ค.69</t>
        </is>
      </c>
      <c r="H514" s="376" t="inlineStr"/>
      <c r="I514" s="334" t="inlineStr"/>
      <c r="J514" s="334" t="inlineStr"/>
      <c r="K514" s="374" t="n"/>
      <c r="L514" s="334" t="inlineStr"/>
      <c r="M514" s="334" t="inlineStr"/>
      <c r="N514" s="334" t="inlineStr"/>
      <c r="O514" s="354" t="inlineStr"/>
      <c r="P514" s="334" t="inlineStr"/>
      <c r="Q514" s="334" t="inlineStr"/>
      <c r="R514" s="334" t="inlineStr"/>
      <c r="S514" s="354" t="inlineStr"/>
      <c r="T514" t="inlineStr"/>
      <c r="U514" t="inlineStr"/>
    </row>
    <row r="515" ht="22.2" customHeight="1" s="375">
      <c r="A515" s="3" t="n"/>
      <c r="B515" s="313" t="n"/>
      <c r="D515" s="314" t="n"/>
      <c r="E515" s="314" t="n"/>
      <c r="F515" s="322" t="n"/>
      <c r="G515" s="321" t="inlineStr"/>
      <c r="H515" s="376" t="inlineStr"/>
      <c r="I515" s="334" t="inlineStr"/>
      <c r="J515" s="334" t="inlineStr"/>
      <c r="K515" s="374" t="n"/>
      <c r="L515" s="334" t="inlineStr"/>
      <c r="M515" s="334" t="inlineStr"/>
      <c r="N515" s="334" t="inlineStr"/>
      <c r="O515" s="354" t="inlineStr"/>
      <c r="P515" s="334" t="inlineStr"/>
      <c r="Q515" s="334" t="inlineStr"/>
      <c r="R515" s="334" t="inlineStr"/>
      <c r="S515" s="354" t="inlineStr"/>
      <c r="T515" t="inlineStr"/>
      <c r="U515" t="inlineStr"/>
    </row>
    <row r="516" ht="22.2" customHeight="1" s="375">
      <c r="A516" s="3" t="n"/>
      <c r="B516" s="313" t="n"/>
      <c r="E516" s="3" t="n"/>
      <c r="F516" s="322" t="n"/>
      <c r="G516" s="321" t="inlineStr"/>
      <c r="H516" s="334" t="inlineStr"/>
      <c r="I516" s="334" t="inlineStr"/>
      <c r="J516" s="334" t="inlineStr"/>
      <c r="K516" s="374" t="n"/>
      <c r="L516" s="334" t="inlineStr"/>
      <c r="M516" s="334" t="inlineStr"/>
      <c r="N516" s="334" t="inlineStr"/>
      <c r="O516" s="354" t="inlineStr"/>
      <c r="P516" s="334" t="inlineStr"/>
      <c r="Q516" s="334" t="inlineStr"/>
      <c r="R516" s="334" t="inlineStr"/>
      <c r="S516" s="354" t="inlineStr"/>
      <c r="T516" t="inlineStr"/>
      <c r="U516" t="inlineStr"/>
    </row>
    <row r="517" ht="22.2" customHeight="1" s="375">
      <c r="A517" s="3" t="n"/>
      <c r="E517" s="3" t="n"/>
      <c r="G517" s="344" t="inlineStr"/>
      <c r="H517" s="336" t="inlineStr"/>
      <c r="I517" s="336" t="inlineStr"/>
      <c r="J517" s="336" t="inlineStr"/>
      <c r="K517" s="527" t="n"/>
      <c r="L517" s="334" t="inlineStr"/>
      <c r="M517" s="334" t="inlineStr"/>
      <c r="N517" s="334" t="inlineStr"/>
      <c r="O517" s="354" t="inlineStr"/>
      <c r="P517" s="334" t="inlineStr"/>
      <c r="Q517" s="334" t="inlineStr"/>
      <c r="R517" s="334" t="inlineStr"/>
      <c r="S517" s="354" t="inlineStr"/>
      <c r="T517" t="inlineStr"/>
      <c r="U517" t="inlineStr"/>
    </row>
    <row r="518" ht="22.2" customHeight="1" s="375">
      <c r="A518" s="3" t="n"/>
      <c r="E518" s="3" t="n"/>
      <c r="G518" s="533" t="inlineStr">
        <is>
          <t>อังคาร</t>
        </is>
      </c>
      <c r="H518" s="376" t="inlineStr">
        <is>
          <t>20101-2013</t>
        </is>
      </c>
      <c r="I518" s="334" t="inlineStr">
        <is>
          <t>ชย.3/7 (26)</t>
        </is>
      </c>
      <c r="J518" s="381" t="inlineStr">
        <is>
          <t>08:10 - 12:10</t>
        </is>
      </c>
      <c r="K518" s="135" t="n"/>
      <c r="L518" s="367" t="n">
        <v>4</v>
      </c>
      <c r="M518" s="381" t="inlineStr"/>
      <c r="N518" s="381" t="inlineStr"/>
      <c r="O518" s="354" t="inlineStr"/>
      <c r="P518" s="381" t="inlineStr"/>
      <c r="Q518" s="367" t="inlineStr"/>
      <c r="R518" s="381" t="inlineStr"/>
      <c r="S518" s="354" t="inlineStr"/>
      <c r="T518" t="inlineStr"/>
      <c r="U518" t="inlineStr"/>
    </row>
    <row r="519" ht="22.2" customHeight="1" s="375">
      <c r="A519" s="3" t="n"/>
      <c r="E519" s="3" t="n"/>
      <c r="G519" s="535" t="inlineStr">
        <is>
          <t>13 ต.ค.69</t>
        </is>
      </c>
      <c r="H519" s="376" t="inlineStr">
        <is>
          <t>20101-2013</t>
        </is>
      </c>
      <c r="I519" s="334" t="inlineStr">
        <is>
          <t>ชย.3/7 (26)</t>
        </is>
      </c>
      <c r="J519" s="376" t="inlineStr">
        <is>
          <t>13:10 - 16:10</t>
        </is>
      </c>
      <c r="K519" s="374" t="n"/>
      <c r="L519" s="334" t="n">
        <v>3</v>
      </c>
      <c r="M519" s="334" t="inlineStr"/>
      <c r="N519" s="334" t="inlineStr"/>
      <c r="O519" s="354" t="inlineStr"/>
      <c r="P519" s="334" t="inlineStr"/>
      <c r="Q519" s="334" t="inlineStr"/>
      <c r="R519" s="334" t="inlineStr"/>
      <c r="S519" s="354" t="inlineStr"/>
      <c r="T519" t="inlineStr"/>
      <c r="U519" t="inlineStr"/>
    </row>
    <row r="520" ht="22.2" customHeight="1" s="375">
      <c r="A520" s="3" t="n"/>
      <c r="B520" s="313" t="n"/>
      <c r="D520" s="314" t="n"/>
      <c r="E520" s="314" t="n"/>
      <c r="G520" s="334" t="inlineStr"/>
      <c r="H520" s="376" t="inlineStr">
        <is>
          <t>20101-2020</t>
        </is>
      </c>
      <c r="I520" s="376" t="inlineStr">
        <is>
          <t>ชย.3/1,ชย.3/2 (26)</t>
        </is>
      </c>
      <c r="J520" s="334" t="inlineStr">
        <is>
          <t>17:10 - 21:10</t>
        </is>
      </c>
      <c r="K520" s="374" t="n"/>
      <c r="L520" s="334" t="n">
        <v>4</v>
      </c>
      <c r="M520" s="334" t="inlineStr"/>
      <c r="N520" s="334" t="inlineStr"/>
      <c r="O520" s="354" t="inlineStr"/>
      <c r="P520" s="334" t="inlineStr"/>
      <c r="Q520" s="334" t="inlineStr"/>
      <c r="R520" s="334" t="inlineStr"/>
      <c r="S520" s="354" t="inlineStr"/>
      <c r="T520" t="inlineStr"/>
      <c r="U520" t="inlineStr"/>
    </row>
    <row r="521" ht="22.2" customHeight="1" s="375">
      <c r="A521" s="3" t="n"/>
      <c r="E521" s="3" t="n"/>
      <c r="G521" s="54" t="inlineStr"/>
      <c r="H521" s="322" t="inlineStr"/>
      <c r="I521" s="334" t="inlineStr"/>
      <c r="J521" s="334" t="inlineStr"/>
      <c r="K521" s="374" t="n"/>
      <c r="L521" s="334" t="inlineStr"/>
      <c r="M521" s="334" t="inlineStr"/>
      <c r="N521" s="334" t="inlineStr"/>
      <c r="O521" s="354" t="inlineStr"/>
      <c r="P521" s="334" t="inlineStr"/>
      <c r="Q521" s="334" t="inlineStr"/>
      <c r="R521" s="334" t="inlineStr"/>
      <c r="S521" s="354" t="inlineStr"/>
      <c r="T521" t="inlineStr"/>
      <c r="U521" t="inlineStr"/>
    </row>
    <row r="522" ht="22.2" customHeight="1" s="375">
      <c r="A522" s="3" t="n"/>
      <c r="D522" s="7" t="inlineStr">
        <is>
          <t> </t>
        </is>
      </c>
      <c r="E522" s="3" t="n"/>
      <c r="G522" s="55" t="inlineStr"/>
      <c r="H522" s="336" t="inlineStr"/>
      <c r="I522" s="336" t="inlineStr"/>
      <c r="J522" s="336" t="inlineStr"/>
      <c r="K522" s="527" t="n"/>
      <c r="L522" s="334" t="inlineStr"/>
      <c r="M522" s="334" t="inlineStr"/>
      <c r="N522" s="334" t="inlineStr"/>
      <c r="O522" s="354" t="inlineStr"/>
      <c r="P522" s="334" t="inlineStr"/>
      <c r="Q522" s="334" t="inlineStr"/>
      <c r="R522" s="334" t="inlineStr"/>
      <c r="S522" s="354" t="inlineStr"/>
      <c r="T522" t="inlineStr"/>
      <c r="U522" t="inlineStr"/>
    </row>
    <row r="523" ht="22.2" customHeight="1" s="375">
      <c r="A523" s="3" t="n"/>
      <c r="E523" s="3" t="n"/>
      <c r="G523" s="535" t="inlineStr">
        <is>
          <t>พุธ</t>
        </is>
      </c>
      <c r="H523" s="376" t="inlineStr">
        <is>
          <t>20101-2002</t>
        </is>
      </c>
      <c r="I523" s="376" t="inlineStr">
        <is>
          <t>ชย.1/5 (26)</t>
        </is>
      </c>
      <c r="J523" s="381" t="inlineStr">
        <is>
          <t>08:10 - 12:10</t>
        </is>
      </c>
      <c r="K523" s="135" t="n"/>
      <c r="L523" s="367" t="n">
        <v>4</v>
      </c>
      <c r="M523" s="381" t="inlineStr"/>
      <c r="N523" s="381" t="inlineStr"/>
      <c r="O523" s="354" t="inlineStr"/>
      <c r="P523" s="381" t="inlineStr"/>
      <c r="Q523" s="367" t="inlineStr"/>
      <c r="R523" s="381" t="inlineStr"/>
      <c r="S523" s="354" t="inlineStr"/>
      <c r="T523" t="inlineStr"/>
      <c r="U523" t="inlineStr"/>
    </row>
    <row r="524" ht="22.2" customHeight="1" s="375">
      <c r="A524" s="3" t="n"/>
      <c r="B524" s="321" t="n"/>
      <c r="C524" s="322" t="n"/>
      <c r="D524" s="322" t="n"/>
      <c r="E524" s="334" t="n"/>
      <c r="G524" s="535" t="inlineStr">
        <is>
          <t>14 ต.ค.69</t>
        </is>
      </c>
      <c r="H524" s="376" t="inlineStr">
        <is>
          <t>20101-2002</t>
        </is>
      </c>
      <c r="I524" s="376" t="inlineStr">
        <is>
          <t>ชย.1/5 (26)</t>
        </is>
      </c>
      <c r="J524" s="334" t="inlineStr">
        <is>
          <t>13:10 - 16:10</t>
        </is>
      </c>
      <c r="K524" s="374" t="n"/>
      <c r="L524" s="334" t="n">
        <v>3</v>
      </c>
      <c r="M524" s="334" t="inlineStr"/>
      <c r="N524" s="334" t="inlineStr"/>
      <c r="O524" s="354" t="inlineStr"/>
      <c r="P524" s="334" t="inlineStr"/>
      <c r="Q524" s="334" t="inlineStr"/>
      <c r="R524" s="334" t="inlineStr"/>
      <c r="S524" s="354" t="inlineStr"/>
      <c r="T524" t="inlineStr"/>
      <c r="U524" t="inlineStr"/>
    </row>
    <row r="525" ht="22.2" customHeight="1" s="375">
      <c r="A525" s="3" t="n"/>
      <c r="B525" s="313" t="n"/>
      <c r="D525" s="314" t="n"/>
      <c r="E525" s="314" t="n"/>
      <c r="G525" s="334" t="inlineStr"/>
      <c r="H525" s="376" t="inlineStr">
        <is>
          <t>20101-2020</t>
        </is>
      </c>
      <c r="I525" s="376" t="inlineStr">
        <is>
          <t>ชย.3/1,ชย.3/2 (26)</t>
        </is>
      </c>
      <c r="J525" s="334" t="inlineStr">
        <is>
          <t>17:10 - 21:10</t>
        </is>
      </c>
      <c r="K525" s="374" t="n"/>
      <c r="L525" s="334" t="n">
        <v>3</v>
      </c>
      <c r="M525" s="334" t="n">
        <v>1</v>
      </c>
      <c r="N525" s="334" t="n">
        <v>200</v>
      </c>
      <c r="O525" s="354">
        <f>M525*N525</f>
        <v/>
      </c>
      <c r="P525" s="334" t="inlineStr"/>
      <c r="Q525" s="334" t="inlineStr"/>
      <c r="R525" s="334" t="inlineStr"/>
      <c r="S525" s="354" t="inlineStr"/>
      <c r="T525" t="inlineStr"/>
      <c r="U525" t="inlineStr"/>
    </row>
    <row r="526" ht="22.2" customHeight="1" s="375">
      <c r="A526" s="3" t="n"/>
      <c r="E526" s="3" t="n"/>
      <c r="G526" s="321" t="inlineStr"/>
      <c r="H526" s="321" t="inlineStr"/>
      <c r="I526" s="334" t="inlineStr"/>
      <c r="J526" s="334" t="inlineStr"/>
      <c r="K526" s="374" t="n"/>
      <c r="L526" s="334" t="inlineStr"/>
      <c r="M526" s="334" t="inlineStr"/>
      <c r="N526" s="334" t="inlineStr"/>
      <c r="O526" s="354" t="inlineStr"/>
      <c r="P526" s="334" t="inlineStr"/>
      <c r="Q526" s="334" t="inlineStr"/>
      <c r="R526" s="334" t="inlineStr"/>
      <c r="S526" s="354" t="inlineStr"/>
      <c r="T526" t="inlineStr"/>
      <c r="U526" t="inlineStr"/>
    </row>
    <row r="527" ht="22.2" customHeight="1" s="375">
      <c r="A527" s="3" t="n"/>
      <c r="E527" s="3" t="n"/>
      <c r="G527" s="327" t="inlineStr"/>
      <c r="H527" s="327" t="inlineStr"/>
      <c r="I527" s="336" t="inlineStr"/>
      <c r="J527" s="336" t="inlineStr"/>
      <c r="K527" s="527" t="n"/>
      <c r="L527" s="336" t="inlineStr"/>
      <c r="M527" s="336" t="inlineStr"/>
      <c r="N527" s="336" t="inlineStr"/>
      <c r="O527" s="354" t="inlineStr"/>
      <c r="P527" s="336" t="inlineStr"/>
      <c r="Q527" s="336" t="inlineStr"/>
      <c r="R527" s="336" t="inlineStr"/>
      <c r="S527" s="354" t="inlineStr"/>
      <c r="T527" t="inlineStr"/>
      <c r="U527" t="inlineStr"/>
    </row>
    <row r="528" ht="22.2" customHeight="1" s="375">
      <c r="A528" s="3" t="n"/>
      <c r="E528" s="3" t="n"/>
      <c r="G528" s="533" t="inlineStr">
        <is>
          <t>พฤหัส</t>
        </is>
      </c>
      <c r="H528" s="376" t="inlineStr">
        <is>
          <t>20101-2002</t>
        </is>
      </c>
      <c r="I528" s="376" t="inlineStr">
        <is>
          <t>ชย.1/8 (26)</t>
        </is>
      </c>
      <c r="J528" s="381" t="inlineStr">
        <is>
          <t>08:10 - 12:10</t>
        </is>
      </c>
      <c r="K528" s="135" t="n"/>
      <c r="L528" s="362" t="inlineStr"/>
      <c r="M528" s="334" t="n">
        <v>4</v>
      </c>
      <c r="N528" s="334" t="n">
        <v>200</v>
      </c>
      <c r="O528" s="354">
        <f>M528*N528</f>
        <v/>
      </c>
      <c r="P528" s="334" t="inlineStr"/>
      <c r="Q528" s="362" t="inlineStr"/>
      <c r="R528" s="362" t="inlineStr"/>
      <c r="S528" s="354" t="inlineStr"/>
      <c r="T528" t="inlineStr"/>
      <c r="U528" t="inlineStr"/>
    </row>
    <row r="529" ht="22.2" customHeight="1" s="375">
      <c r="A529" s="3" t="n"/>
      <c r="E529" s="3" t="n"/>
      <c r="G529" s="535" t="inlineStr">
        <is>
          <t>15 ต.ค.69</t>
        </is>
      </c>
      <c r="H529" s="376" t="inlineStr">
        <is>
          <t>20000-2005</t>
        </is>
      </c>
      <c r="I529" s="334" t="inlineStr">
        <is>
          <t>ชยฟ.3/1 (26)</t>
        </is>
      </c>
      <c r="J529" s="334" t="inlineStr">
        <is>
          <t>13:10 - 15:10</t>
        </is>
      </c>
      <c r="K529" s="374" t="n"/>
      <c r="L529" s="376" t="n">
        <v>2</v>
      </c>
      <c r="M529" s="334" t="inlineStr"/>
      <c r="N529" s="334" t="inlineStr"/>
      <c r="O529" s="354" t="inlineStr"/>
      <c r="P529" s="334" t="inlineStr"/>
      <c r="Q529" s="334" t="inlineStr"/>
      <c r="R529" s="334" t="inlineStr"/>
      <c r="S529" s="354" t="inlineStr"/>
      <c r="T529" t="inlineStr"/>
      <c r="U529" t="inlineStr"/>
    </row>
    <row r="530" ht="22.2" customHeight="1" s="375">
      <c r="A530" s="3" t="n"/>
      <c r="B530" s="313" t="n"/>
      <c r="E530" s="3" t="n"/>
      <c r="G530" s="334" t="inlineStr"/>
      <c r="H530" s="376" t="inlineStr">
        <is>
          <t>20101-2002</t>
        </is>
      </c>
      <c r="I530" s="376" t="inlineStr">
        <is>
          <t>ชย.1/8 (26)</t>
        </is>
      </c>
      <c r="J530" s="376" t="inlineStr">
        <is>
          <t>15:10 - 18:10</t>
        </is>
      </c>
      <c r="K530" s="374" t="n"/>
      <c r="L530" s="376" t="inlineStr"/>
      <c r="M530" s="376" t="n">
        <v>3</v>
      </c>
      <c r="N530" s="376" t="n">
        <v>200</v>
      </c>
      <c r="O530" s="354">
        <f>M530*N530</f>
        <v/>
      </c>
      <c r="P530" s="376" t="inlineStr"/>
      <c r="Q530" s="376" t="inlineStr"/>
      <c r="R530" s="376" t="inlineStr"/>
      <c r="S530" s="354" t="inlineStr"/>
      <c r="T530" t="inlineStr"/>
      <c r="U530" t="inlineStr"/>
    </row>
    <row r="531" ht="22.2" customHeight="1" s="375">
      <c r="A531" s="3" t="n"/>
      <c r="E531" s="3" t="n"/>
      <c r="G531" s="334" t="inlineStr"/>
      <c r="H531" s="334" t="inlineStr">
        <is>
          <t>20101-2020</t>
        </is>
      </c>
      <c r="I531" s="334" t="inlineStr">
        <is>
          <t>ชย.3/1,ชย.3/2 (26)</t>
        </is>
      </c>
      <c r="J531" s="334" t="inlineStr">
        <is>
          <t>18:10 - 21:10</t>
        </is>
      </c>
      <c r="K531" s="374" t="n"/>
      <c r="L531" s="334" t="inlineStr"/>
      <c r="M531" s="334" t="n">
        <v>3</v>
      </c>
      <c r="N531" s="334" t="n">
        <v>200</v>
      </c>
      <c r="O531" s="354">
        <f>M531*N531</f>
        <v/>
      </c>
      <c r="P531" s="334" t="inlineStr"/>
      <c r="Q531" s="334" t="inlineStr"/>
      <c r="R531" s="334" t="inlineStr"/>
      <c r="S531" s="354" t="inlineStr"/>
      <c r="T531" t="inlineStr"/>
      <c r="U531" t="inlineStr"/>
    </row>
    <row r="532" ht="22.2" customHeight="1" s="375">
      <c r="A532" s="3" t="n"/>
      <c r="E532" s="3" t="n"/>
      <c r="G532" s="336" t="inlineStr"/>
      <c r="H532" s="328" t="inlineStr"/>
      <c r="I532" s="336" t="inlineStr"/>
      <c r="J532" s="336" t="inlineStr"/>
      <c r="K532" s="527" t="n"/>
      <c r="L532" s="336" t="inlineStr"/>
      <c r="M532" s="336" t="inlineStr"/>
      <c r="N532" s="336" t="inlineStr"/>
      <c r="O532" s="354" t="inlineStr"/>
      <c r="P532" s="336" t="inlineStr"/>
      <c r="Q532" s="336" t="inlineStr"/>
      <c r="R532" s="336" t="inlineStr"/>
      <c r="S532" s="354" t="inlineStr"/>
      <c r="T532" t="inlineStr"/>
      <c r="U532" t="inlineStr"/>
    </row>
    <row r="533" ht="22.2" customHeight="1" s="375">
      <c r="A533" s="3" t="n"/>
      <c r="E533" s="3" t="n"/>
      <c r="G533" s="533" t="inlineStr">
        <is>
          <t>ศุกร์</t>
        </is>
      </c>
      <c r="H533" s="376" t="inlineStr">
        <is>
          <t>20101-2020</t>
        </is>
      </c>
      <c r="I533" s="376" t="inlineStr">
        <is>
          <t>ชย.3/1,ชย.3/2 (26)</t>
        </is>
      </c>
      <c r="J533" s="381" t="inlineStr">
        <is>
          <t>17:10 - 18:10</t>
        </is>
      </c>
      <c r="K533" s="135" t="n"/>
      <c r="L533" s="367" t="inlineStr"/>
      <c r="M533" s="381" t="n">
        <v>1</v>
      </c>
      <c r="N533" s="381" t="n">
        <v>200</v>
      </c>
      <c r="O533" s="354">
        <f>M533*N533</f>
        <v/>
      </c>
      <c r="P533" s="381" t="inlineStr"/>
      <c r="Q533" s="367" t="inlineStr"/>
      <c r="R533" s="381" t="inlineStr"/>
      <c r="S533" s="354" t="inlineStr"/>
      <c r="T533" t="inlineStr"/>
      <c r="U533" t="inlineStr"/>
    </row>
    <row r="534" ht="22.2" customHeight="1" s="375">
      <c r="A534" s="3" t="n"/>
      <c r="E534" s="3" t="n"/>
      <c r="G534" s="535" t="inlineStr">
        <is>
          <t>16 ต.ค.69</t>
        </is>
      </c>
      <c r="H534" s="376" t="inlineStr"/>
      <c r="I534" s="376" t="inlineStr"/>
      <c r="J534" s="376" t="inlineStr"/>
      <c r="K534" s="374" t="n"/>
      <c r="L534" s="334" t="inlineStr"/>
      <c r="M534" s="334" t="inlineStr"/>
      <c r="N534" s="334" t="inlineStr"/>
      <c r="O534" s="354" t="inlineStr"/>
      <c r="P534" s="334" t="inlineStr"/>
      <c r="Q534" s="334" t="inlineStr"/>
      <c r="R534" s="334" t="inlineStr"/>
      <c r="S534" s="354" t="inlineStr"/>
      <c r="T534" t="inlineStr"/>
      <c r="U534" t="inlineStr"/>
    </row>
    <row r="535" ht="22.2" customHeight="1" s="375">
      <c r="A535" s="3" t="n"/>
      <c r="E535" s="3" t="n"/>
      <c r="G535" s="334" t="inlineStr"/>
      <c r="H535" s="376" t="inlineStr"/>
      <c r="I535" s="376" t="inlineStr"/>
      <c r="J535" s="376" t="inlineStr"/>
      <c r="K535" s="374" t="n"/>
      <c r="L535" s="334" t="inlineStr"/>
      <c r="M535" s="334" t="inlineStr"/>
      <c r="N535" s="334" t="inlineStr"/>
      <c r="O535" s="354" t="inlineStr"/>
      <c r="P535" s="334" t="inlineStr"/>
      <c r="Q535" s="334" t="inlineStr"/>
      <c r="R535" s="334" t="inlineStr"/>
      <c r="S535" s="354" t="inlineStr"/>
      <c r="T535" t="inlineStr"/>
      <c r="U535" t="inlineStr"/>
    </row>
    <row r="536" ht="22.2" customHeight="1" s="375">
      <c r="A536" s="3" t="n"/>
      <c r="E536" s="3" t="n"/>
      <c r="G536" s="334" t="inlineStr"/>
      <c r="H536" s="322" t="inlineStr"/>
      <c r="I536" s="334" t="inlineStr"/>
      <c r="J536" s="334" t="inlineStr"/>
      <c r="K536" s="374" t="n"/>
      <c r="L536" s="334" t="inlineStr"/>
      <c r="M536" s="334" t="inlineStr"/>
      <c r="N536" s="334" t="inlineStr"/>
      <c r="O536" s="354" t="inlineStr"/>
      <c r="P536" s="334" t="inlineStr"/>
      <c r="Q536" s="334" t="inlineStr"/>
      <c r="R536" s="334" t="inlineStr"/>
      <c r="S536" s="354" t="inlineStr"/>
      <c r="T536" t="inlineStr"/>
      <c r="U536" t="inlineStr"/>
    </row>
    <row r="537" ht="22.2" customHeight="1" s="375">
      <c r="A537" s="3" t="n"/>
      <c r="E537" s="3" t="n"/>
      <c r="F537" s="3" t="n"/>
      <c r="G537" s="329" t="inlineStr"/>
      <c r="H537" s="328" t="inlineStr"/>
      <c r="I537" s="336" t="inlineStr"/>
      <c r="J537" s="336" t="inlineStr"/>
      <c r="K537" s="527" t="n"/>
      <c r="L537" s="336" t="inlineStr"/>
      <c r="M537" s="336" t="inlineStr"/>
      <c r="N537" s="336" t="inlineStr"/>
      <c r="O537" s="354" t="inlineStr"/>
      <c r="P537" s="336" t="inlineStr"/>
      <c r="Q537" s="336" t="inlineStr"/>
      <c r="R537" s="336" t="inlineStr"/>
      <c r="S537" s="354" t="inlineStr"/>
      <c r="T537" t="inlineStr"/>
      <c r="U537" t="inlineStr"/>
    </row>
    <row r="538" ht="22.2" customHeight="1" s="375">
      <c r="A538" s="3" t="n"/>
      <c r="E538" s="3" t="n"/>
      <c r="F538" s="3" t="n"/>
      <c r="G538" s="16" t="inlineStr">
        <is>
          <t>รวมขั่วโมงที่สอนแยก ภาระงาน/ เกินภาระงาน</t>
        </is>
      </c>
      <c r="H538" s="518" t="n"/>
      <c r="I538" s="518" t="n"/>
      <c r="J538" s="518" t="n"/>
      <c r="K538" s="432" t="n"/>
      <c r="L538" s="16">
        <f>SUM(L513:L537)</f>
        <v/>
      </c>
      <c r="M538" s="16">
        <f>SUM(M513:M537)</f>
        <v/>
      </c>
      <c r="N538" s="16" t="n"/>
      <c r="O538" s="16" t="n"/>
      <c r="P538" s="16">
        <f>SUM(P513:P537)</f>
        <v/>
      </c>
      <c r="Q538" s="16">
        <f>SUM(Q513:Q537)</f>
        <v/>
      </c>
      <c r="R538" s="349" t="n"/>
      <c r="S538" s="16" t="n"/>
    </row>
    <row r="539" ht="22.2" customHeight="1" s="375">
      <c r="A539" s="3" t="n"/>
      <c r="E539" s="3" t="n"/>
      <c r="F539" s="3" t="n"/>
      <c r="G539" s="16" t="inlineStr">
        <is>
          <t>รวมจำนวนชั่วโมงสอนคาบต่อสับดาห์</t>
        </is>
      </c>
      <c r="H539" s="518" t="n"/>
      <c r="I539" s="518" t="n"/>
      <c r="J539" s="518" t="n"/>
      <c r="K539" s="432" t="n"/>
      <c r="L539" s="16">
        <f>L538+M538</f>
        <v/>
      </c>
      <c r="M539" s="432" t="n"/>
      <c r="N539" s="16" t="n"/>
      <c r="O539" s="348" t="n"/>
      <c r="P539" s="16">
        <f>P538+Q538</f>
        <v/>
      </c>
      <c r="Q539" s="432" t="n"/>
      <c r="R539" s="329" t="n"/>
      <c r="S539" s="336" t="n"/>
    </row>
    <row r="540" ht="22.2" customHeight="1" s="375">
      <c r="A540" s="3" t="n"/>
      <c r="E540" s="3" t="n"/>
      <c r="F540" s="3" t="n"/>
      <c r="G540" s="16" t="inlineStr">
        <is>
          <t>จำนวนชั่วโมงสอนตามภาระงานสอน</t>
        </is>
      </c>
      <c r="H540" s="518" t="n"/>
      <c r="I540" s="518" t="n"/>
      <c r="J540" s="518" t="n"/>
      <c r="K540" s="432" t="n"/>
      <c r="L540" s="131" t="n">
        <v>18</v>
      </c>
      <c r="M540" s="432" t="n"/>
      <c r="N540" s="130" t="n"/>
      <c r="O540" s="131" t="n"/>
      <c r="P540" s="131" t="n">
        <v>0</v>
      </c>
      <c r="Q540" s="432" t="n"/>
      <c r="R540" s="322" t="n"/>
      <c r="S540" s="334" t="n"/>
    </row>
    <row r="541" ht="22.2" customHeight="1" s="375" thickBot="1">
      <c r="A541" s="3" t="n"/>
      <c r="E541" s="3" t="n"/>
      <c r="F541" s="14" t="n"/>
      <c r="G541" s="16" t="inlineStr">
        <is>
          <t>จำนวนชั่วโมงบิกเกินภาระงานสอน/ค่าสอน</t>
        </is>
      </c>
      <c r="H541" s="518" t="n"/>
      <c r="I541" s="518" t="n"/>
      <c r="J541" s="518" t="n"/>
      <c r="K541" s="432" t="n"/>
      <c r="L541" s="17" t="n">
        <v>0</v>
      </c>
      <c r="M541" s="17">
        <f>SUM(M513:M537)</f>
        <v/>
      </c>
      <c r="N541" s="17" t="n"/>
      <c r="O541" s="17">
        <f>SUM(O513:O537)</f>
        <v/>
      </c>
      <c r="P541" s="17" t="n">
        <v>0</v>
      </c>
      <c r="Q541" s="17">
        <f>SUM(Q513:Q537)</f>
        <v/>
      </c>
      <c r="R541" s="18" t="n"/>
      <c r="S541" s="17">
        <f>SUM(S513:S537)</f>
        <v/>
      </c>
    </row>
    <row r="542" ht="22.2" customHeight="1" s="375" thickTop="1">
      <c r="A542" s="337" t="inlineStr">
        <is>
          <t>รวมจำนวนหน่วยชั่วโมงที่ขอเบิกค่าสอน ….</t>
        </is>
      </c>
      <c r="B542" s="518" t="n"/>
      <c r="C542" s="518" t="n"/>
      <c r="D542" s="518" t="n"/>
      <c r="E542" s="518" t="n"/>
      <c r="F542" s="518" t="n"/>
      <c r="G542" s="518" t="n"/>
      <c r="H542" s="348">
        <f>M541+Q541</f>
        <v/>
      </c>
      <c r="I542" s="348" t="inlineStr">
        <is>
          <t>….ชั่วโมง</t>
        </is>
      </c>
      <c r="J542" s="348" t="n"/>
      <c r="K542" s="328" t="inlineStr">
        <is>
          <t>ยอดเงินรวม</t>
        </is>
      </c>
      <c r="L542" s="522" t="n"/>
      <c r="M542" s="522" t="n"/>
      <c r="N542" s="328" t="n"/>
      <c r="O542" s="328" t="n"/>
      <c r="P542" s="339">
        <f>S541+O541</f>
        <v/>
      </c>
      <c r="Q542" s="538" t="n"/>
      <c r="R542" s="20" t="n"/>
      <c r="S542" s="19" t="inlineStr">
        <is>
          <t>..บาท</t>
        </is>
      </c>
    </row>
    <row r="543" ht="22.2" customHeight="1" s="375">
      <c r="A543" s="154" t="inlineStr">
        <is>
          <t>ผู้ขอเบิก</t>
        </is>
      </c>
      <c r="B543" s="153" t="n"/>
      <c r="C543" s="153" t="n"/>
      <c r="D543" s="153" t="n"/>
      <c r="E543" s="153" t="n"/>
      <c r="F543" s="153" t="n"/>
      <c r="G543" s="135" t="n"/>
      <c r="H543" s="154" t="inlineStr">
        <is>
          <t>ผู้รับรอง</t>
        </is>
      </c>
      <c r="I543" s="153" t="n"/>
      <c r="J543" s="153" t="n"/>
      <c r="K543" s="153" t="n"/>
      <c r="L543" s="135" t="n"/>
      <c r="M543" s="154" t="inlineStr">
        <is>
          <t>ผู้ตรวจ</t>
        </is>
      </c>
      <c r="N543" s="153" t="n"/>
      <c r="O543" s="153" t="n"/>
      <c r="P543" s="153" t="n"/>
      <c r="Q543" s="153" t="n"/>
      <c r="R543" s="153" t="n"/>
      <c r="S543" s="135" t="n"/>
    </row>
    <row r="544" ht="22.2" customHeight="1" s="375">
      <c r="A544" s="334" t="inlineStr">
        <is>
          <t>ลงชื่อ……………………………………………</t>
        </is>
      </c>
      <c r="G544" s="374" t="n"/>
      <c r="H544" s="334" t="inlineStr">
        <is>
          <t>ลงชื่อ……………………………………………</t>
        </is>
      </c>
      <c r="L544" s="374" t="n"/>
      <c r="M544" s="334" t="inlineStr">
        <is>
          <t>ลงชื่อ……………………………………………</t>
        </is>
      </c>
      <c r="S544" s="374" t="n"/>
    </row>
    <row r="545" ht="22.2" customHeight="1" s="375">
      <c r="A545" s="11" t="inlineStr">
        <is>
          <t>(</t>
        </is>
      </c>
      <c r="B545" s="324">
        <f>B513</f>
        <v/>
      </c>
      <c r="G545" s="326" t="inlineStr">
        <is>
          <t>)</t>
        </is>
      </c>
      <c r="H545" s="324" t="inlineStr">
        <is>
          <t>(</t>
        </is>
      </c>
      <c r="I545" s="340">
        <f>I499</f>
        <v/>
      </c>
      <c r="L545" s="12" t="inlineStr">
        <is>
          <t>)</t>
        </is>
      </c>
      <c r="M545" s="53" t="inlineStr">
        <is>
          <t>(</t>
        </is>
      </c>
      <c r="N545" s="53" t="n"/>
      <c r="O545" s="324">
        <f>O39</f>
        <v/>
      </c>
      <c r="R545" s="25" t="n"/>
      <c r="S545" s="326" t="inlineStr">
        <is>
          <t>)</t>
        </is>
      </c>
    </row>
    <row r="546" ht="22.2" customHeight="1" s="375">
      <c r="A546" s="540" t="inlineStr">
        <is>
          <t xml:space="preserve">                         ตำแหน่ง  ครู</t>
        </is>
      </c>
      <c r="G546" s="374" t="n"/>
      <c r="H546" s="54" t="inlineStr">
        <is>
          <t>ตำแหน่ง หัวหน้าแผนก</t>
        </is>
      </c>
      <c r="L546" s="374" t="n"/>
      <c r="M546" s="54" t="inlineStr">
        <is>
          <t>ตำแหน่ง   ผู้ตรวจสอบ</t>
        </is>
      </c>
      <c r="S546" s="374" t="n"/>
    </row>
    <row r="547" ht="22.2" customHeight="1" s="375">
      <c r="A547" s="55" t="inlineStr">
        <is>
          <t>วันที่ 19 เดือน ตุลาคม  พ.ศ.2569</t>
        </is>
      </c>
      <c r="B547" s="522" t="n"/>
      <c r="C547" s="522" t="n"/>
      <c r="D547" s="522" t="n"/>
      <c r="E547" s="522" t="n"/>
      <c r="F547" s="522" t="n"/>
      <c r="G547" s="527" t="n"/>
      <c r="H547" s="54">
        <f>A87</f>
        <v/>
      </c>
      <c r="L547" s="374" t="n"/>
      <c r="M547" s="55">
        <f>A87</f>
        <v/>
      </c>
      <c r="N547" s="522" t="n"/>
      <c r="O547" s="522" t="n"/>
      <c r="P547" s="522" t="n"/>
      <c r="Q547" s="522" t="n"/>
      <c r="R547" s="522" t="n"/>
      <c r="S547" s="527" t="n"/>
    </row>
    <row r="548" ht="22.2" customHeight="1" s="375">
      <c r="A548" s="154" t="inlineStr">
        <is>
          <t>ผู้ตรวจ</t>
        </is>
      </c>
      <c r="B548" s="153" t="n"/>
      <c r="C548" s="153" t="n"/>
      <c r="D548" s="153" t="n"/>
      <c r="E548" s="153" t="n"/>
      <c r="F548" s="153" t="n"/>
      <c r="G548" s="153" t="n"/>
      <c r="H548" s="153" t="n"/>
      <c r="I548" s="135" t="n"/>
      <c r="J548" s="154" t="inlineStr">
        <is>
          <t>ผู้เห็นชอบ</t>
        </is>
      </c>
      <c r="K548" s="153" t="n"/>
      <c r="L548" s="153" t="n"/>
      <c r="M548" s="153" t="n"/>
      <c r="N548" s="153" t="n"/>
      <c r="O548" s="153" t="n"/>
      <c r="P548" s="153" t="n"/>
      <c r="Q548" s="153" t="n"/>
      <c r="R548" s="153" t="n"/>
      <c r="S548" s="135" t="n"/>
    </row>
    <row r="549" ht="22.2" customHeight="1" s="375">
      <c r="A549" s="334" t="inlineStr">
        <is>
          <t>ลงชื่อ……………………………………………</t>
        </is>
      </c>
      <c r="I549" s="374" t="n"/>
      <c r="J549" s="334" t="inlineStr">
        <is>
          <t>ลงชื่อ……………………………………………</t>
        </is>
      </c>
      <c r="S549" s="374" t="n"/>
    </row>
    <row r="550" ht="22.2" customHeight="1" s="375">
      <c r="A550" s="11" t="n"/>
      <c r="B550" s="324">
        <f>B44</f>
        <v/>
      </c>
      <c r="I550" s="326" t="n"/>
      <c r="J550" s="25" t="n"/>
      <c r="K550" s="25" t="n"/>
      <c r="L550" s="324">
        <f>L44</f>
        <v/>
      </c>
      <c r="R550" s="25" t="n"/>
      <c r="S550" s="12" t="n"/>
    </row>
    <row r="551" ht="22.2" customHeight="1" s="375">
      <c r="A551" s="54" t="inlineStr">
        <is>
          <t>ตำแหน่งครู  หัวหน้างานพัฒนาหลักสูตร ฯ</t>
        </is>
      </c>
      <c r="I551" s="374" t="n"/>
      <c r="J551" s="54" t="inlineStr">
        <is>
          <t>ตำแหน่ง  รองผู้อำนวยการฝ่ายวิชาการ</t>
        </is>
      </c>
      <c r="S551" s="374" t="n"/>
    </row>
    <row r="552" ht="22.2" customHeight="1" s="375">
      <c r="A552" s="336" t="inlineStr">
        <is>
          <t>วันที่.......เดือน..........................พ.ศ..............</t>
        </is>
      </c>
      <c r="B552" s="522" t="n"/>
      <c r="C552" s="522" t="n"/>
      <c r="D552" s="522" t="n"/>
      <c r="E552" s="522" t="n"/>
      <c r="F552" s="522" t="n"/>
      <c r="G552" s="522" t="n"/>
      <c r="H552" s="522" t="n"/>
      <c r="I552" s="527" t="n"/>
      <c r="J552" s="336" t="inlineStr">
        <is>
          <t>วันที่.......เดือน..........................พ.ศ..............</t>
        </is>
      </c>
      <c r="K552" s="522" t="n"/>
      <c r="L552" s="522" t="n"/>
      <c r="M552" s="522" t="n"/>
      <c r="N552" s="522" t="n"/>
      <c r="O552" s="522" t="n"/>
      <c r="P552" s="522" t="n"/>
      <c r="Q552" s="522" t="n"/>
      <c r="R552" s="522" t="n"/>
      <c r="S552" s="527" t="n"/>
    </row>
    <row r="553" ht="22.2" customHeight="1" s="375">
      <c r="A553" s="365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75">
      <c r="A554" s="365" t="inlineStr">
        <is>
          <t>แผนกวิชาช่างยนต์</t>
        </is>
      </c>
    </row>
    <row r="555" ht="22.2" customHeight="1" s="375">
      <c r="A555" s="366" t="inlineStr">
        <is>
          <t xml:space="preserve">    ระหว่างวันที่</t>
        </is>
      </c>
      <c r="D555" s="365">
        <f>D3</f>
        <v/>
      </c>
      <c r="E555" s="365" t="inlineStr">
        <is>
          <t xml:space="preserve">   เดือน  </t>
        </is>
      </c>
      <c r="F555" s="365">
        <f>F3</f>
        <v/>
      </c>
      <c r="H555" s="365">
        <f>H3</f>
        <v/>
      </c>
      <c r="I555" s="365" t="inlineStr">
        <is>
          <t xml:space="preserve">     ถึง วันที่</t>
        </is>
      </c>
      <c r="J555" s="365">
        <f>J3</f>
        <v/>
      </c>
      <c r="K555" s="365" t="inlineStr">
        <is>
          <t xml:space="preserve">   เดือน </t>
        </is>
      </c>
      <c r="L555" s="365">
        <f>L3</f>
        <v/>
      </c>
      <c r="N555" s="365">
        <f>N3</f>
        <v/>
      </c>
      <c r="P555" s="365" t="n"/>
      <c r="R555" s="365" t="n"/>
    </row>
    <row r="556" ht="22.2" customHeight="1" s="375">
      <c r="G556" s="51" t="inlineStr">
        <is>
          <t>ü</t>
        </is>
      </c>
      <c r="H556" s="328" t="inlineStr">
        <is>
          <t>พนักงานราชการ</t>
        </is>
      </c>
      <c r="I556" s="328" t="inlineStr">
        <is>
          <t>หน้าที่พิเศษ</t>
        </is>
      </c>
      <c r="J556" s="351" t="inlineStr">
        <is>
          <t>ผู้ช่วยงานบริหารและพัฒนาทรัพยากรบุคคล, พัสดุ, ปกครองและความปลอดภัยนักเรียน</t>
        </is>
      </c>
      <c r="K556" s="351" t="n"/>
      <c r="L556" s="351" t="n"/>
      <c r="M556" s="351" t="n"/>
      <c r="N556" s="351" t="n"/>
      <c r="O556" s="351" t="n"/>
      <c r="P556" s="351" t="n"/>
      <c r="Q556" s="351" t="n"/>
      <c r="R556" s="351" t="n"/>
      <c r="S556" s="351" t="n"/>
    </row>
    <row r="557" ht="22.2" customHeight="1" s="375">
      <c r="A557" s="24" t="inlineStr">
        <is>
          <t>ที่</t>
        </is>
      </c>
      <c r="B557" s="24" t="inlineStr">
        <is>
          <t>ชื่อ-สกุล</t>
        </is>
      </c>
      <c r="C557" s="153" t="n"/>
      <c r="D557" s="135" t="n"/>
      <c r="E557" s="15" t="inlineStr">
        <is>
          <t>ตำแหน่ง</t>
        </is>
      </c>
      <c r="F557" s="16" t="inlineStr">
        <is>
          <t>ระยะเวลาที่สอน</t>
        </is>
      </c>
      <c r="G557" s="432" t="n"/>
      <c r="H557" s="16" t="inlineStr">
        <is>
          <t>รหัสวิชา</t>
        </is>
      </c>
      <c r="I557" s="362" t="inlineStr">
        <is>
          <t>ชั้น,แผนก,ห้อง</t>
        </is>
      </c>
      <c r="J557" s="16" t="inlineStr">
        <is>
          <t>เวลาสอน</t>
        </is>
      </c>
      <c r="K557" s="135" t="n"/>
      <c r="L557" s="16" t="inlineStr">
        <is>
          <t>ปวช.(คาบ)</t>
        </is>
      </c>
      <c r="M557" s="432" t="n"/>
      <c r="N557" s="354" t="inlineStr">
        <is>
          <t>เงิน</t>
        </is>
      </c>
      <c r="O557" s="362" t="inlineStr">
        <is>
          <t>ยอดเงิน</t>
        </is>
      </c>
      <c r="P557" s="524" t="inlineStr">
        <is>
          <t>ปวส.(คาบ)</t>
        </is>
      </c>
      <c r="Q557" s="432" t="n"/>
      <c r="R557" s="354" t="inlineStr">
        <is>
          <t>เงิน</t>
        </is>
      </c>
      <c r="S557" s="362" t="inlineStr">
        <is>
          <t>ยอดเงิน</t>
        </is>
      </c>
    </row>
    <row r="558" ht="22.2" customHeight="1" s="375">
      <c r="A558" s="52" t="n"/>
      <c r="B558" s="8" t="n"/>
      <c r="C558" s="9" t="n"/>
      <c r="D558" s="13" t="n"/>
      <c r="E558" s="10" t="n"/>
      <c r="F558" s="336" t="inlineStr">
        <is>
          <t>ส.</t>
        </is>
      </c>
      <c r="G558" s="336" t="inlineStr">
        <is>
          <t>วดป.</t>
        </is>
      </c>
      <c r="H558" s="525" t="n"/>
      <c r="I558" s="336" t="n"/>
      <c r="J558" s="526" t="n"/>
      <c r="K558" s="527" t="n"/>
      <c r="L558" s="336" t="inlineStr">
        <is>
          <t>ใน</t>
        </is>
      </c>
      <c r="M558" s="336" t="inlineStr">
        <is>
          <t>นอก</t>
        </is>
      </c>
      <c r="N558" s="336" t="inlineStr">
        <is>
          <t>ต่อ ชม.</t>
        </is>
      </c>
      <c r="O558" s="336" t="inlineStr">
        <is>
          <t>(บาท)</t>
        </is>
      </c>
      <c r="P558" s="52" t="inlineStr">
        <is>
          <t>ใน</t>
        </is>
      </c>
      <c r="Q558" s="52" t="inlineStr">
        <is>
          <t>นอก</t>
        </is>
      </c>
      <c r="R558" s="336" t="inlineStr">
        <is>
          <t>ต่อ ชม.</t>
        </is>
      </c>
      <c r="S558" s="336" t="inlineStr">
        <is>
          <t>(บาท)</t>
        </is>
      </c>
    </row>
    <row r="559" ht="22.2" customHeight="1" s="375">
      <c r="A559" s="362" t="n">
        <v>13</v>
      </c>
      <c r="B559" s="528">
        <f>AB15</f>
        <v/>
      </c>
      <c r="C559" s="153" t="n"/>
      <c r="D559" s="135" t="n"/>
      <c r="E559" s="362" t="inlineStr">
        <is>
          <t>พนักงานราชการ</t>
        </is>
      </c>
      <c r="F559" s="5" t="n">
        <v>5</v>
      </c>
      <c r="G559" s="529" t="inlineStr">
        <is>
          <t>จันทร์</t>
        </is>
      </c>
      <c r="H559" s="376" t="inlineStr">
        <is>
          <t>20101-2005</t>
        </is>
      </c>
      <c r="I559" s="376" t="inlineStr">
        <is>
          <t>ชย.2/7 (26)</t>
        </is>
      </c>
      <c r="J559" s="334" t="inlineStr">
        <is>
          <t>08:10 - 12:10</t>
        </is>
      </c>
      <c r="K559" s="374" t="n"/>
      <c r="L559" s="367" t="n">
        <v>4</v>
      </c>
      <c r="M559" s="381" t="inlineStr"/>
      <c r="N559" s="381" t="inlineStr"/>
      <c r="O559" s="354" t="inlineStr"/>
      <c r="P559" s="381" t="inlineStr"/>
      <c r="Q559" s="367" t="inlineStr"/>
      <c r="R559" s="381" t="inlineStr"/>
      <c r="S559" s="354" t="inlineStr"/>
      <c r="T559" t="inlineStr"/>
      <c r="U559" t="inlineStr"/>
    </row>
    <row r="560" ht="22.2" customHeight="1" s="375">
      <c r="A560" s="3" t="n"/>
      <c r="B560" s="530" t="n"/>
      <c r="D560" s="374" t="n"/>
      <c r="E560" s="334" t="n"/>
      <c r="F560" s="322" t="n"/>
      <c r="G560" s="535" t="inlineStr">
        <is>
          <t>12 ต.ค.69</t>
        </is>
      </c>
      <c r="H560" s="376" t="inlineStr">
        <is>
          <t>20101-2005</t>
        </is>
      </c>
      <c r="I560" s="376" t="inlineStr">
        <is>
          <t>ชย.2/7 (26)</t>
        </is>
      </c>
      <c r="J560" s="334" t="inlineStr">
        <is>
          <t>13:10 - 16:10</t>
        </is>
      </c>
      <c r="K560" s="374" t="n"/>
      <c r="L560" s="334" t="n">
        <v>3</v>
      </c>
      <c r="M560" s="334" t="inlineStr"/>
      <c r="N560" s="334" t="inlineStr"/>
      <c r="O560" s="354" t="inlineStr"/>
      <c r="P560" s="334" t="inlineStr"/>
      <c r="Q560" s="334" t="inlineStr"/>
      <c r="R560" s="334" t="inlineStr"/>
      <c r="S560" s="354" t="inlineStr"/>
      <c r="T560" s="351" t="inlineStr"/>
      <c r="U560" t="inlineStr"/>
    </row>
    <row r="561" ht="22.2" customHeight="1" s="375">
      <c r="A561" s="3" t="n"/>
      <c r="B561" s="313" t="n"/>
      <c r="D561" s="314" t="n"/>
      <c r="E561" s="314" t="n"/>
      <c r="F561" s="322" t="n"/>
      <c r="G561" s="321" t="inlineStr"/>
      <c r="H561" s="334" t="inlineStr"/>
      <c r="I561" s="376" t="inlineStr"/>
      <c r="J561" s="334" t="inlineStr"/>
      <c r="K561" s="374" t="n"/>
      <c r="L561" s="334" t="inlineStr"/>
      <c r="M561" s="334" t="inlineStr"/>
      <c r="N561" s="334" t="inlineStr"/>
      <c r="O561" s="354" t="inlineStr"/>
      <c r="P561" s="334" t="inlineStr"/>
      <c r="Q561" s="334" t="inlineStr"/>
      <c r="R561" s="334" t="inlineStr"/>
      <c r="S561" s="354" t="inlineStr"/>
      <c r="T561" t="inlineStr"/>
      <c r="U561" t="inlineStr"/>
    </row>
    <row r="562" ht="22.2" customHeight="1" s="375">
      <c r="A562" s="3" t="n"/>
      <c r="B562" s="313" t="n"/>
      <c r="E562" s="3" t="n"/>
      <c r="F562" s="322" t="n"/>
      <c r="G562" s="321" t="inlineStr"/>
      <c r="H562" s="334" t="inlineStr"/>
      <c r="I562" s="334" t="inlineStr"/>
      <c r="J562" s="334" t="inlineStr"/>
      <c r="K562" s="374" t="n"/>
      <c r="L562" s="334" t="inlineStr"/>
      <c r="M562" s="334" t="inlineStr"/>
      <c r="N562" s="334" t="inlineStr"/>
      <c r="O562" s="354" t="inlineStr"/>
      <c r="P562" s="334" t="inlineStr"/>
      <c r="Q562" s="334" t="inlineStr"/>
      <c r="R562" s="334" t="inlineStr"/>
      <c r="S562" s="354" t="inlineStr"/>
      <c r="T562" t="inlineStr"/>
      <c r="U562" t="inlineStr"/>
    </row>
    <row r="563" ht="22.2" customHeight="1" s="375">
      <c r="A563" s="3" t="n"/>
      <c r="E563" s="3" t="n"/>
      <c r="G563" s="344" t="inlineStr"/>
      <c r="H563" s="336" t="inlineStr"/>
      <c r="I563" s="336" t="inlineStr"/>
      <c r="J563" s="336" t="inlineStr"/>
      <c r="K563" s="527" t="n"/>
      <c r="L563" s="334" t="inlineStr"/>
      <c r="M563" s="334" t="inlineStr"/>
      <c r="N563" s="334" t="inlineStr"/>
      <c r="O563" s="354" t="inlineStr"/>
      <c r="P563" s="334" t="inlineStr"/>
      <c r="Q563" s="334" t="inlineStr"/>
      <c r="R563" s="334" t="inlineStr"/>
      <c r="S563" s="354" t="inlineStr"/>
      <c r="T563" t="inlineStr"/>
      <c r="U563" t="inlineStr"/>
    </row>
    <row r="564" ht="22.2" customHeight="1" s="375">
      <c r="A564" s="3" t="n"/>
      <c r="E564" s="3" t="n"/>
      <c r="G564" s="533" t="inlineStr">
        <is>
          <t>อังคาร</t>
        </is>
      </c>
      <c r="H564" s="376" t="inlineStr">
        <is>
          <t>20101-2005</t>
        </is>
      </c>
      <c r="I564" s="376" t="inlineStr">
        <is>
          <t>ชย.2/8 (26)</t>
        </is>
      </c>
      <c r="J564" s="334" t="inlineStr">
        <is>
          <t>08:10 - 12:10</t>
        </is>
      </c>
      <c r="K564" s="374" t="n"/>
      <c r="L564" s="367" t="n">
        <v>4</v>
      </c>
      <c r="M564" s="381" t="inlineStr"/>
      <c r="N564" s="381" t="inlineStr"/>
      <c r="O564" s="354" t="inlineStr"/>
      <c r="P564" s="381" t="inlineStr"/>
      <c r="Q564" s="367" t="inlineStr"/>
      <c r="R564" s="381" t="inlineStr"/>
      <c r="S564" s="354" t="inlineStr"/>
      <c r="T564" s="23" t="inlineStr"/>
      <c r="U564" s="23" t="inlineStr"/>
      <c r="V564" s="56" t="n"/>
      <c r="W564" s="23" t="n"/>
      <c r="X564" s="23" t="n"/>
    </row>
    <row r="565" ht="22.2" customHeight="1" s="375">
      <c r="A565" s="3" t="n"/>
      <c r="E565" s="3" t="n"/>
      <c r="G565" s="535" t="inlineStr">
        <is>
          <t>13 ต.ค.69</t>
        </is>
      </c>
      <c r="H565" s="376" t="inlineStr">
        <is>
          <t>20101-2005</t>
        </is>
      </c>
      <c r="I565" s="376" t="inlineStr">
        <is>
          <t>ชย.2/8 (26)</t>
        </is>
      </c>
      <c r="J565" s="334" t="inlineStr">
        <is>
          <t>13:10 - 16:10</t>
        </is>
      </c>
      <c r="K565" s="374" t="n"/>
      <c r="L565" s="334" t="n">
        <v>3</v>
      </c>
      <c r="M565" s="334" t="inlineStr"/>
      <c r="N565" s="334" t="inlineStr"/>
      <c r="O565" s="354" t="inlineStr"/>
      <c r="P565" s="334" t="inlineStr"/>
      <c r="Q565" s="334" t="inlineStr"/>
      <c r="R565" s="334" t="inlineStr"/>
      <c r="S565" s="354" t="inlineStr"/>
      <c r="T565" s="23" t="inlineStr"/>
      <c r="U565" s="23" t="inlineStr"/>
      <c r="V565" s="56" t="n"/>
      <c r="W565" s="23" t="n"/>
      <c r="X565" s="23" t="n"/>
    </row>
    <row r="566" ht="22.2" customHeight="1" s="375">
      <c r="A566" s="3" t="n"/>
      <c r="B566" s="313" t="n"/>
      <c r="D566" s="314" t="n"/>
      <c r="E566" s="314" t="n"/>
      <c r="G566" s="334" t="inlineStr"/>
      <c r="H566" s="376" t="inlineStr"/>
      <c r="I566" s="376" t="inlineStr"/>
      <c r="J566" s="334" t="inlineStr"/>
      <c r="K566" s="374" t="n"/>
      <c r="L566" s="334" t="inlineStr"/>
      <c r="M566" s="334" t="inlineStr"/>
      <c r="N566" s="334" t="inlineStr"/>
      <c r="O566" s="354" t="inlineStr"/>
      <c r="P566" s="334" t="inlineStr"/>
      <c r="Q566" s="334" t="inlineStr"/>
      <c r="R566" s="334" t="inlineStr"/>
      <c r="S566" s="354" t="inlineStr"/>
      <c r="T566" t="inlineStr"/>
      <c r="U566" t="inlineStr"/>
    </row>
    <row r="567" ht="22.2" customHeight="1" s="375">
      <c r="A567" s="3" t="n"/>
      <c r="E567" s="3" t="n"/>
      <c r="G567" s="54" t="inlineStr"/>
      <c r="H567" s="334" t="inlineStr"/>
      <c r="I567" s="376" t="inlineStr"/>
      <c r="J567" s="334" t="inlineStr"/>
      <c r="K567" s="374" t="n"/>
      <c r="L567" s="334" t="inlineStr"/>
      <c r="M567" s="334" t="inlineStr"/>
      <c r="N567" s="334" t="inlineStr"/>
      <c r="O567" s="354" t="inlineStr"/>
      <c r="P567" s="334" t="inlineStr"/>
      <c r="Q567" s="334" t="inlineStr"/>
      <c r="R567" s="334" t="inlineStr"/>
      <c r="S567" s="354" t="inlineStr"/>
      <c r="T567" t="inlineStr"/>
      <c r="U567" t="inlineStr"/>
    </row>
    <row r="568" ht="22.2" customHeight="1" s="375">
      <c r="A568" s="3" t="n"/>
      <c r="D568" s="7" t="inlineStr">
        <is>
          <t> </t>
        </is>
      </c>
      <c r="E568" s="3" t="n"/>
      <c r="G568" s="55" t="inlineStr"/>
      <c r="H568" s="336" t="inlineStr"/>
      <c r="I568" s="336" t="inlineStr"/>
      <c r="J568" s="336" t="inlineStr"/>
      <c r="K568" s="527" t="n"/>
      <c r="L568" s="334" t="inlineStr"/>
      <c r="M568" s="334" t="inlineStr"/>
      <c r="N568" s="334" t="inlineStr"/>
      <c r="O568" s="354" t="inlineStr"/>
      <c r="P568" s="336" t="inlineStr"/>
      <c r="Q568" s="336" t="inlineStr"/>
      <c r="R568" s="336" t="inlineStr"/>
      <c r="S568" s="354" t="inlineStr"/>
      <c r="T568" t="inlineStr"/>
      <c r="U568" t="inlineStr"/>
    </row>
    <row r="569" ht="22.2" customHeight="1" s="375">
      <c r="A569" s="3" t="n"/>
      <c r="E569" s="3" t="n"/>
      <c r="G569" s="535" t="inlineStr">
        <is>
          <t>พุธ</t>
        </is>
      </c>
      <c r="H569" s="376" t="inlineStr">
        <is>
          <t>20101-2005</t>
        </is>
      </c>
      <c r="I569" s="376" t="inlineStr">
        <is>
          <t>ชย.2/5 (26)</t>
        </is>
      </c>
      <c r="J569" s="381" t="inlineStr">
        <is>
          <t>08:10 - 12:10</t>
        </is>
      </c>
      <c r="K569" s="135" t="n"/>
      <c r="L569" s="367" t="n">
        <v>2</v>
      </c>
      <c r="M569" s="381" t="n">
        <v>2</v>
      </c>
      <c r="N569" s="381" t="n">
        <v>200</v>
      </c>
      <c r="O569" s="354">
        <f>M569*N569</f>
        <v/>
      </c>
      <c r="P569" s="148" t="inlineStr"/>
      <c r="Q569" s="148" t="inlineStr"/>
      <c r="R569" s="149" t="inlineStr"/>
      <c r="S569" s="354" t="inlineStr"/>
      <c r="T569" s="6" t="inlineStr"/>
      <c r="U569" s="22" t="inlineStr"/>
      <c r="V569" s="57" t="n"/>
      <c r="W569" s="21" t="n"/>
      <c r="X569" s="21" t="n"/>
    </row>
    <row r="570" ht="22.2" customHeight="1" s="375">
      <c r="A570" s="3" t="n"/>
      <c r="B570" s="321" t="n"/>
      <c r="C570" s="322" t="n"/>
      <c r="D570" s="322" t="n"/>
      <c r="E570" s="334" t="n"/>
      <c r="G570" s="535" t="inlineStr">
        <is>
          <t>14 ต.ค.69</t>
        </is>
      </c>
      <c r="H570" s="376" t="inlineStr">
        <is>
          <t>20101-2005</t>
        </is>
      </c>
      <c r="I570" s="376" t="inlineStr">
        <is>
          <t>ชย.2/5 (26)</t>
        </is>
      </c>
      <c r="J570" s="334" t="inlineStr">
        <is>
          <t>13:10 - 16:10</t>
        </is>
      </c>
      <c r="K570" s="374" t="n"/>
      <c r="L570" s="334" t="inlineStr"/>
      <c r="M570" s="334" t="n">
        <v>3</v>
      </c>
      <c r="N570" s="334" t="n">
        <v>200</v>
      </c>
      <c r="O570" s="354">
        <f>M570*N570</f>
        <v/>
      </c>
      <c r="P570" s="334" t="inlineStr"/>
      <c r="Q570" s="334" t="inlineStr"/>
      <c r="R570" s="334" t="inlineStr"/>
      <c r="S570" s="354" t="inlineStr"/>
      <c r="T570" s="21" t="inlineStr"/>
      <c r="U570" s="22" t="inlineStr"/>
      <c r="V570" s="57" t="n"/>
      <c r="W570" s="21" t="n"/>
      <c r="X570" s="21" t="n"/>
    </row>
    <row r="571" ht="22.2" customHeight="1" s="375">
      <c r="A571" s="3" t="n"/>
      <c r="B571" s="313" t="n"/>
      <c r="D571" s="314" t="n"/>
      <c r="E571" s="314" t="n"/>
      <c r="G571" s="334" t="inlineStr"/>
      <c r="H571" s="376" t="inlineStr"/>
      <c r="I571" s="376" t="inlineStr"/>
      <c r="J571" s="334" t="inlineStr"/>
      <c r="K571" s="374" t="n"/>
      <c r="L571" s="334" t="inlineStr"/>
      <c r="M571" s="334" t="inlineStr"/>
      <c r="N571" s="334" t="inlineStr"/>
      <c r="O571" s="354" t="inlineStr"/>
      <c r="P571" s="334" t="inlineStr"/>
      <c r="Q571" s="334" t="inlineStr"/>
      <c r="R571" s="334" t="inlineStr"/>
      <c r="S571" s="354" t="inlineStr"/>
      <c r="T571" t="inlineStr"/>
      <c r="U571" t="inlineStr"/>
    </row>
    <row r="572" ht="22.2" customHeight="1" s="375">
      <c r="A572" s="3" t="n"/>
      <c r="E572" s="3" t="n"/>
      <c r="G572" s="321" t="inlineStr"/>
      <c r="H572" s="321" t="inlineStr"/>
      <c r="I572" s="334" t="inlineStr"/>
      <c r="J572" s="334" t="inlineStr"/>
      <c r="K572" s="374" t="n"/>
      <c r="L572" t="inlineStr"/>
      <c r="M572" s="334" t="inlineStr"/>
      <c r="N572" s="334" t="inlineStr"/>
      <c r="O572" s="354" t="inlineStr"/>
      <c r="P572" s="334" t="inlineStr"/>
      <c r="Q572" s="334" t="inlineStr"/>
      <c r="R572" s="334" t="inlineStr"/>
      <c r="S572" s="354" t="inlineStr"/>
      <c r="T572" t="inlineStr"/>
      <c r="U572" t="inlineStr"/>
    </row>
    <row r="573" ht="22.2" customHeight="1" s="375">
      <c r="A573" s="3" t="n"/>
      <c r="E573" s="3" t="n"/>
      <c r="G573" s="327" t="inlineStr"/>
      <c r="H573" s="327" t="inlineStr"/>
      <c r="I573" s="336" t="inlineStr"/>
      <c r="J573" s="336" t="inlineStr"/>
      <c r="K573" s="527" t="n"/>
      <c r="L573" s="336" t="inlineStr"/>
      <c r="M573" s="336" t="inlineStr"/>
      <c r="N573" s="336" t="inlineStr"/>
      <c r="O573" s="354" t="inlineStr"/>
      <c r="P573" s="336" t="inlineStr"/>
      <c r="Q573" s="336" t="inlineStr"/>
      <c r="R573" s="336" t="inlineStr"/>
      <c r="S573" s="354" t="inlineStr"/>
      <c r="T573" t="inlineStr"/>
      <c r="U573" t="inlineStr"/>
    </row>
    <row r="574" ht="22.2" customHeight="1" s="375">
      <c r="A574" s="3" t="n"/>
      <c r="E574" s="3" t="n"/>
      <c r="G574" s="533" t="inlineStr">
        <is>
          <t>พฤหัส</t>
        </is>
      </c>
      <c r="H574" s="376" t="inlineStr">
        <is>
          <t>20101-2005</t>
        </is>
      </c>
      <c r="I574" s="376" t="inlineStr">
        <is>
          <t>ชย.2/6 (26)</t>
        </is>
      </c>
      <c r="J574" s="381" t="inlineStr">
        <is>
          <t>08:10 - 12:10</t>
        </is>
      </c>
      <c r="K574" s="135" t="n"/>
      <c r="L574" s="367" t="inlineStr"/>
      <c r="M574" s="334" t="n">
        <v>4</v>
      </c>
      <c r="N574" s="334" t="n">
        <v>200</v>
      </c>
      <c r="O574" s="354">
        <f>M574*N574</f>
        <v/>
      </c>
      <c r="P574" s="24" t="inlineStr"/>
      <c r="Q574" s="24" t="inlineStr"/>
      <c r="R574" s="24" t="inlineStr"/>
      <c r="S574" s="354" t="inlineStr"/>
      <c r="T574" t="inlineStr"/>
      <c r="U574" t="inlineStr"/>
    </row>
    <row r="575" ht="22.2" customHeight="1" s="375">
      <c r="A575" s="3" t="n"/>
      <c r="E575" s="3" t="n"/>
      <c r="G575" s="535" t="inlineStr">
        <is>
          <t>15 ต.ค.69</t>
        </is>
      </c>
      <c r="H575" s="250" t="inlineStr">
        <is>
          <t>20101-2005</t>
        </is>
      </c>
      <c r="I575" s="376" t="inlineStr">
        <is>
          <t>ชย.2/6 (26)</t>
        </is>
      </c>
      <c r="J575" s="313" t="inlineStr">
        <is>
          <t>15:10 - 18:10</t>
        </is>
      </c>
      <c r="K575" s="314" t="n"/>
      <c r="L575" s="334" t="inlineStr"/>
      <c r="M575" s="334" t="n">
        <v>3</v>
      </c>
      <c r="N575" s="334" t="n">
        <v>200</v>
      </c>
      <c r="O575" s="354">
        <f>M575*N575</f>
        <v/>
      </c>
      <c r="P575" s="334" t="inlineStr"/>
      <c r="Q575" s="251" t="inlineStr"/>
      <c r="R575" s="251" t="inlineStr"/>
      <c r="S575" s="16" t="inlineStr"/>
      <c r="T575" t="inlineStr"/>
      <c r="U575" t="inlineStr"/>
    </row>
    <row r="576" ht="22.2" customHeight="1" s="375">
      <c r="A576" s="3" t="n"/>
      <c r="B576" s="313" t="n"/>
      <c r="E576" s="3" t="n"/>
      <c r="G576" s="334" t="inlineStr"/>
      <c r="H576" s="376" t="inlineStr"/>
      <c r="I576" s="376" t="inlineStr"/>
      <c r="J576" s="334" t="inlineStr"/>
      <c r="K576" s="374" t="n"/>
      <c r="L576" s="376" t="inlineStr"/>
      <c r="M576" s="376" t="inlineStr"/>
      <c r="N576" s="376" t="inlineStr"/>
      <c r="O576" s="354" t="inlineStr"/>
      <c r="P576" s="334" t="inlineStr"/>
      <c r="Q576" s="251" t="inlineStr"/>
      <c r="R576" s="251" t="inlineStr"/>
      <c r="S576" s="525" t="n"/>
      <c r="T576" t="inlineStr"/>
      <c r="U576" t="inlineStr"/>
    </row>
    <row r="577" ht="22.2" customHeight="1" s="375">
      <c r="A577" s="3" t="n"/>
      <c r="E577" s="3" t="n"/>
      <c r="G577" s="334" t="inlineStr"/>
      <c r="H577" s="376" t="inlineStr"/>
      <c r="I577" s="376" t="inlineStr"/>
      <c r="J577" s="334" t="inlineStr"/>
      <c r="K577" s="374" t="n"/>
      <c r="L577" s="334" t="inlineStr"/>
      <c r="M577" s="334" t="inlineStr"/>
      <c r="N577" s="334" t="inlineStr"/>
      <c r="O577" s="354" t="inlineStr"/>
      <c r="P577" s="334" t="inlineStr"/>
      <c r="Q577" s="334" t="inlineStr"/>
      <c r="R577" s="334" t="inlineStr"/>
      <c r="S577" s="354" t="inlineStr"/>
      <c r="T577" t="inlineStr"/>
      <c r="U577" t="inlineStr"/>
    </row>
    <row r="578" ht="22.2" customHeight="1" s="375">
      <c r="A578" s="3" t="n"/>
      <c r="E578" s="3" t="n"/>
      <c r="G578" s="336" t="inlineStr"/>
      <c r="H578" s="328" t="inlineStr"/>
      <c r="I578" s="336" t="inlineStr"/>
      <c r="J578" s="336" t="inlineStr"/>
      <c r="K578" s="527" t="n"/>
      <c r="L578" s="336" t="inlineStr"/>
      <c r="M578" s="336" t="inlineStr"/>
      <c r="N578" s="336" t="inlineStr"/>
      <c r="O578" s="354" t="inlineStr"/>
      <c r="P578" s="336" t="inlineStr"/>
      <c r="Q578" s="336" t="inlineStr"/>
      <c r="R578" s="336" t="inlineStr"/>
      <c r="S578" s="354" t="inlineStr"/>
      <c r="T578" t="inlineStr"/>
      <c r="U578" t="inlineStr"/>
    </row>
    <row r="579" ht="22.2" customHeight="1" s="375">
      <c r="A579" s="3" t="n"/>
      <c r="E579" s="3" t="n"/>
      <c r="G579" s="533" t="inlineStr">
        <is>
          <t>ศุกร์</t>
        </is>
      </c>
      <c r="H579" s="376" t="inlineStr"/>
      <c r="I579" s="376" t="inlineStr"/>
      <c r="J579" s="381" t="inlineStr"/>
      <c r="K579" s="135" t="n"/>
      <c r="L579" s="334" t="inlineStr"/>
      <c r="M579" s="381" t="inlineStr"/>
      <c r="N579" s="381" t="inlineStr"/>
      <c r="O579" s="354" t="inlineStr"/>
      <c r="P579" s="381" t="inlineStr"/>
      <c r="Q579" s="367" t="inlineStr"/>
      <c r="R579" s="381" t="inlineStr"/>
      <c r="S579" s="354" t="inlineStr"/>
      <c r="T579" t="inlineStr"/>
      <c r="U579" t="inlineStr"/>
    </row>
    <row r="580" ht="22.2" customHeight="1" s="375">
      <c r="A580" s="3" t="n"/>
      <c r="E580" s="3" t="n"/>
      <c r="G580" s="535" t="inlineStr">
        <is>
          <t>16 ต.ค.69</t>
        </is>
      </c>
      <c r="H580" s="376" t="inlineStr"/>
      <c r="I580" s="376" t="inlineStr"/>
      <c r="J580" s="334" t="inlineStr"/>
      <c r="K580" s="374" t="n"/>
      <c r="L580" s="334" t="inlineStr"/>
      <c r="M580" s="334" t="inlineStr"/>
      <c r="N580" s="334" t="inlineStr"/>
      <c r="O580" s="354" t="inlineStr"/>
      <c r="P580" s="334" t="inlineStr"/>
      <c r="Q580" s="334" t="inlineStr"/>
      <c r="R580" s="334" t="inlineStr"/>
      <c r="S580" s="354" t="inlineStr"/>
      <c r="T580" t="inlineStr"/>
      <c r="U580" t="inlineStr"/>
    </row>
    <row r="581" ht="22.2" customHeight="1" s="375">
      <c r="A581" s="3" t="n"/>
      <c r="E581" s="3" t="n"/>
      <c r="G581" s="334" t="inlineStr"/>
      <c r="H581" s="376" t="inlineStr"/>
      <c r="I581" s="376" t="inlineStr"/>
      <c r="J581" s="334" t="inlineStr"/>
      <c r="K581" s="374" t="n"/>
      <c r="L581" s="334" t="inlineStr"/>
      <c r="M581" s="334" t="inlineStr"/>
      <c r="N581" s="334" t="inlineStr"/>
      <c r="O581" s="354" t="inlineStr"/>
      <c r="P581" s="334" t="inlineStr"/>
      <c r="Q581" s="334" t="inlineStr"/>
      <c r="R581" s="334" t="inlineStr"/>
      <c r="S581" s="354" t="inlineStr"/>
      <c r="T581" t="inlineStr"/>
      <c r="U581" t="inlineStr"/>
    </row>
    <row r="582" ht="22.2" customHeight="1" s="375">
      <c r="A582" s="3" t="n"/>
      <c r="E582" s="3" t="n"/>
      <c r="G582" s="334" t="inlineStr"/>
      <c r="H582" s="322" t="inlineStr"/>
      <c r="I582" s="334" t="inlineStr"/>
      <c r="J582" s="334" t="inlineStr"/>
      <c r="K582" s="374" t="n"/>
      <c r="L582" s="334" t="inlineStr"/>
      <c r="M582" s="334" t="inlineStr"/>
      <c r="N582" s="334" t="inlineStr"/>
      <c r="O582" s="354" t="inlineStr"/>
      <c r="P582" s="334" t="inlineStr"/>
      <c r="Q582" s="334" t="inlineStr"/>
      <c r="R582" s="334" t="inlineStr"/>
      <c r="S582" s="354" t="inlineStr"/>
      <c r="T582" t="inlineStr"/>
      <c r="U582" t="inlineStr"/>
    </row>
    <row r="583" ht="22.2" customHeight="1" s="375">
      <c r="A583" s="3" t="n"/>
      <c r="E583" s="3" t="n"/>
      <c r="F583" s="3" t="n"/>
      <c r="G583" s="329" t="inlineStr"/>
      <c r="H583" s="328" t="inlineStr"/>
      <c r="I583" s="336" t="inlineStr"/>
      <c r="J583" s="336" t="inlineStr"/>
      <c r="K583" s="527" t="n"/>
      <c r="L583" s="336" t="inlineStr"/>
      <c r="M583" s="336" t="inlineStr"/>
      <c r="N583" s="336" t="inlineStr"/>
      <c r="O583" s="354" t="inlineStr"/>
      <c r="P583" s="336" t="inlineStr"/>
      <c r="Q583" s="336" t="inlineStr"/>
      <c r="R583" s="336" t="inlineStr"/>
      <c r="S583" s="354" t="inlineStr"/>
      <c r="T583" t="inlineStr"/>
      <c r="U583" t="inlineStr"/>
    </row>
    <row r="584" ht="22.2" customHeight="1" s="375">
      <c r="A584" s="3" t="n"/>
      <c r="E584" s="3" t="n"/>
      <c r="F584" s="3" t="n"/>
      <c r="G584" s="16" t="inlineStr">
        <is>
          <t>รวมขั่วโมงที่สอนแยก ภาระงาน/ เกินภาระงาน</t>
        </is>
      </c>
      <c r="H584" s="518" t="n"/>
      <c r="I584" s="518" t="n"/>
      <c r="J584" s="518" t="n"/>
      <c r="K584" s="432" t="n"/>
      <c r="L584" s="16">
        <f>SUM(L559:L583)</f>
        <v/>
      </c>
      <c r="M584" s="16">
        <f>SUM(M559:M583)</f>
        <v/>
      </c>
      <c r="N584" s="16" t="n"/>
      <c r="O584" s="16" t="n"/>
      <c r="P584" s="16">
        <f>SUM(P559:P583)</f>
        <v/>
      </c>
      <c r="Q584" s="16">
        <f>SUM(Q559:Q583)</f>
        <v/>
      </c>
      <c r="R584" s="349" t="n"/>
      <c r="S584" s="16" t="n"/>
      <c r="T584" s="23" t="n"/>
      <c r="U584" s="23" t="inlineStr">
        <is>
          <t>สอน ป.ตรี</t>
        </is>
      </c>
      <c r="V584" s="56" t="n"/>
      <c r="W584" s="23" t="n"/>
      <c r="X584" s="23" t="n"/>
    </row>
    <row r="585" ht="22.2" customHeight="1" s="375">
      <c r="A585" s="3" t="n"/>
      <c r="E585" s="3" t="n"/>
      <c r="F585" s="3" t="n"/>
      <c r="G585" s="16" t="inlineStr">
        <is>
          <t>รวมจำนวนชั่วโมงสอนคาบต่อสับดาห์</t>
        </is>
      </c>
      <c r="H585" s="518" t="n"/>
      <c r="I585" s="518" t="n"/>
      <c r="J585" s="518" t="n"/>
      <c r="K585" s="432" t="n"/>
      <c r="L585" s="16">
        <f>L584+M584</f>
        <v/>
      </c>
      <c r="M585" s="432" t="n"/>
      <c r="N585" s="348" t="n"/>
      <c r="O585" s="16" t="n"/>
      <c r="P585" s="16">
        <f>P584+Q584</f>
        <v/>
      </c>
      <c r="Q585" s="432" t="n"/>
      <c r="R585" s="329" t="n"/>
      <c r="S585" s="336" t="n"/>
      <c r="T585" s="23" t="n"/>
      <c r="U585" s="23" t="inlineStr">
        <is>
          <t>17.10-20.10</t>
        </is>
      </c>
      <c r="V585" s="56" t="n"/>
      <c r="W585" s="23" t="n"/>
      <c r="X585" s="23" t="n"/>
    </row>
    <row r="586" ht="22.2" customHeight="1" s="375">
      <c r="A586" s="3" t="n"/>
      <c r="E586" s="3" t="n"/>
      <c r="F586" s="3" t="n"/>
      <c r="G586" s="16" t="inlineStr">
        <is>
          <t>จำนวนชั่วโมงสอนตามภาระงานสอน</t>
        </is>
      </c>
      <c r="H586" s="518" t="n"/>
      <c r="I586" s="518" t="n"/>
      <c r="J586" s="518" t="n"/>
      <c r="K586" s="432" t="n"/>
      <c r="L586" s="16" t="n">
        <v>12</v>
      </c>
      <c r="M586" s="432" t="n"/>
      <c r="N586" s="348" t="n"/>
      <c r="O586" s="16" t="n"/>
      <c r="P586" s="16" t="n">
        <v>0</v>
      </c>
      <c r="Q586" s="432" t="n"/>
      <c r="R586" s="322" t="n"/>
      <c r="S586" s="334" t="n"/>
    </row>
    <row r="587" ht="22.2" customHeight="1" s="375" thickBot="1">
      <c r="A587" s="3" t="n"/>
      <c r="E587" s="3" t="n"/>
      <c r="F587" s="14" t="n"/>
      <c r="G587" s="16" t="inlineStr">
        <is>
          <t>จำนวนชั่วโมงบิกเกินภาระงานสอน/ค่าสอน</t>
        </is>
      </c>
      <c r="H587" s="518" t="n"/>
      <c r="I587" s="518" t="n"/>
      <c r="J587" s="518" t="n"/>
      <c r="K587" s="432" t="n"/>
      <c r="L587" s="17" t="n">
        <v>0</v>
      </c>
      <c r="M587" s="17">
        <f>SUM(M559:M583)</f>
        <v/>
      </c>
      <c r="N587" s="17" t="n"/>
      <c r="O587" s="17">
        <f>SUM(O559:O583)</f>
        <v/>
      </c>
      <c r="P587" s="17" t="n">
        <v>0</v>
      </c>
      <c r="Q587" s="17">
        <f>SUM(Q559:Q583)</f>
        <v/>
      </c>
      <c r="R587" s="18" t="n"/>
      <c r="S587" s="17">
        <f>SUM(S559:S583)</f>
        <v/>
      </c>
    </row>
    <row r="588" ht="22.2" customHeight="1" s="375" thickTop="1">
      <c r="A588" s="337" t="inlineStr">
        <is>
          <t>รวมจำนวนหน่วยชั่วโมงที่ขอเบิกค่าสอน ….</t>
        </is>
      </c>
      <c r="B588" s="518" t="n"/>
      <c r="C588" s="518" t="n"/>
      <c r="D588" s="518" t="n"/>
      <c r="E588" s="518" t="n"/>
      <c r="F588" s="518" t="n"/>
      <c r="G588" s="518" t="n"/>
      <c r="H588" s="348">
        <f>M587+Q587</f>
        <v/>
      </c>
      <c r="I588" s="348" t="inlineStr">
        <is>
          <t>….ชั่วโมง</t>
        </is>
      </c>
      <c r="J588" s="348" t="n"/>
      <c r="K588" s="328" t="inlineStr">
        <is>
          <t>ยอดเงินรวม</t>
        </is>
      </c>
      <c r="L588" s="522" t="n"/>
      <c r="M588" s="522" t="n"/>
      <c r="N588" s="328" t="n"/>
      <c r="O588" s="328" t="n"/>
      <c r="P588" s="339">
        <f>S587+O587</f>
        <v/>
      </c>
      <c r="Q588" s="538" t="n"/>
      <c r="R588" s="20" t="n"/>
      <c r="S588" s="19" t="inlineStr">
        <is>
          <t>..บาท</t>
        </is>
      </c>
    </row>
    <row r="589" ht="22.2" customHeight="1" s="375">
      <c r="A589" s="154" t="inlineStr">
        <is>
          <t>ผู้ขอเบิก</t>
        </is>
      </c>
      <c r="B589" s="153" t="n"/>
      <c r="C589" s="153" t="n"/>
      <c r="D589" s="153" t="n"/>
      <c r="E589" s="153" t="n"/>
      <c r="F589" s="153" t="n"/>
      <c r="G589" s="135" t="n"/>
      <c r="H589" s="154" t="inlineStr">
        <is>
          <t>ผู้รับรอง</t>
        </is>
      </c>
      <c r="I589" s="153" t="n"/>
      <c r="J589" s="153" t="n"/>
      <c r="K589" s="153" t="n"/>
      <c r="L589" s="135" t="n"/>
      <c r="M589" s="154" t="inlineStr">
        <is>
          <t>ผู้ตรวจ</t>
        </is>
      </c>
      <c r="N589" s="153" t="n"/>
      <c r="O589" s="153" t="n"/>
      <c r="P589" s="153" t="n"/>
      <c r="Q589" s="153" t="n"/>
      <c r="R589" s="153" t="n"/>
      <c r="S589" s="135" t="n"/>
    </row>
    <row r="590" ht="22.2" customHeight="1" s="375">
      <c r="A590" s="334" t="inlineStr">
        <is>
          <t>ลงชื่อ……………………………………………</t>
        </is>
      </c>
      <c r="G590" s="374" t="n"/>
      <c r="H590" s="334" t="inlineStr">
        <is>
          <t>ลงชื่อ……………………………………………</t>
        </is>
      </c>
      <c r="L590" s="374" t="n"/>
      <c r="M590" s="334" t="inlineStr">
        <is>
          <t>ลงชื่อ……………………………………………</t>
        </is>
      </c>
      <c r="S590" s="374" t="n"/>
    </row>
    <row r="591" ht="22.2" customHeight="1" s="375">
      <c r="A591" s="11" t="inlineStr">
        <is>
          <t>(</t>
        </is>
      </c>
      <c r="B591" s="324">
        <f>B559</f>
        <v/>
      </c>
      <c r="G591" s="326" t="inlineStr">
        <is>
          <t>)</t>
        </is>
      </c>
      <c r="H591" s="324" t="inlineStr">
        <is>
          <t>(</t>
        </is>
      </c>
      <c r="I591" s="340">
        <f>I545</f>
        <v/>
      </c>
      <c r="L591" s="12" t="inlineStr">
        <is>
          <t>)</t>
        </is>
      </c>
      <c r="M591" s="53" t="inlineStr">
        <is>
          <t>(</t>
        </is>
      </c>
      <c r="N591" s="53" t="n"/>
      <c r="O591" s="324">
        <f>O39</f>
        <v/>
      </c>
      <c r="R591" s="25" t="n"/>
      <c r="S591" s="326" t="inlineStr">
        <is>
          <t>)</t>
        </is>
      </c>
    </row>
    <row r="592" ht="22.2" customHeight="1" s="375">
      <c r="A592" s="540" t="inlineStr">
        <is>
          <t xml:space="preserve">                         ตำแหน่ง  ครู</t>
        </is>
      </c>
      <c r="G592" s="374" t="n"/>
      <c r="H592" s="54" t="inlineStr">
        <is>
          <t>ตำแหน่ง หัวหน้าแผนก</t>
        </is>
      </c>
      <c r="L592" s="374" t="n"/>
      <c r="M592" s="54" t="inlineStr">
        <is>
          <t>ตำแหน่ง   ผู้ตรวจสอบ</t>
        </is>
      </c>
      <c r="S592" s="374" t="n"/>
    </row>
    <row r="593" ht="22.2" customHeight="1" s="375">
      <c r="A593" s="55" t="inlineStr">
        <is>
          <t>วันที่ 19 เดือน ตุลาคม  พ.ศ.2569</t>
        </is>
      </c>
      <c r="B593" s="522" t="n"/>
      <c r="C593" s="522" t="n"/>
      <c r="D593" s="522" t="n"/>
      <c r="E593" s="522" t="n"/>
      <c r="F593" s="522" t="n"/>
      <c r="G593" s="527" t="n"/>
      <c r="H593" s="54">
        <f>A41</f>
        <v/>
      </c>
      <c r="L593" s="374" t="n"/>
      <c r="M593" s="55">
        <f>A41</f>
        <v/>
      </c>
      <c r="N593" s="522" t="n"/>
      <c r="O593" s="522" t="n"/>
      <c r="P593" s="522" t="n"/>
      <c r="Q593" s="522" t="n"/>
      <c r="R593" s="522" t="n"/>
      <c r="S593" s="527" t="n"/>
    </row>
    <row r="594" ht="22.2" customHeight="1" s="375">
      <c r="A594" s="154" t="inlineStr">
        <is>
          <t>ผู้ตรวจ</t>
        </is>
      </c>
      <c r="B594" s="153" t="n"/>
      <c r="C594" s="153" t="n"/>
      <c r="D594" s="153" t="n"/>
      <c r="E594" s="153" t="n"/>
      <c r="F594" s="153" t="n"/>
      <c r="G594" s="153" t="n"/>
      <c r="H594" s="153" t="n"/>
      <c r="I594" s="135" t="n"/>
      <c r="J594" s="154" t="inlineStr">
        <is>
          <t>ผู้เห็นชอบ</t>
        </is>
      </c>
      <c r="K594" s="153" t="n"/>
      <c r="L594" s="153" t="n"/>
      <c r="M594" s="153" t="n"/>
      <c r="N594" s="153" t="n"/>
      <c r="O594" s="153" t="n"/>
      <c r="P594" s="153" t="n"/>
      <c r="Q594" s="153" t="n"/>
      <c r="R594" s="153" t="n"/>
      <c r="S594" s="135" t="n"/>
    </row>
    <row r="595" ht="22.2" customHeight="1" s="375">
      <c r="A595" s="334" t="inlineStr">
        <is>
          <t>ลงชื่อ……………………………………………</t>
        </is>
      </c>
      <c r="I595" s="374" t="n"/>
      <c r="J595" s="334" t="inlineStr">
        <is>
          <t>ลงชื่อ……………………………………………</t>
        </is>
      </c>
      <c r="S595" s="374" t="n"/>
    </row>
    <row r="596" ht="22.2" customHeight="1" s="375">
      <c r="A596" s="11" t="n"/>
      <c r="B596" s="324">
        <f>B44</f>
        <v/>
      </c>
      <c r="I596" s="326" t="n"/>
      <c r="J596" s="25" t="n"/>
      <c r="K596" s="25" t="n"/>
      <c r="L596" s="324">
        <f>L44</f>
        <v/>
      </c>
      <c r="R596" s="25" t="n"/>
      <c r="S596" s="12" t="n"/>
    </row>
    <row r="597" ht="22.2" customHeight="1" s="375">
      <c r="A597" s="54" t="inlineStr">
        <is>
          <t>ตำแหน่งครู  หัวหน้างานพัฒนาหลักสูตร ฯ</t>
        </is>
      </c>
      <c r="I597" s="374" t="n"/>
      <c r="J597" s="54" t="inlineStr">
        <is>
          <t>ตำแหน่ง  รองผู้อำนวยการฝ่ายวิชาการ</t>
        </is>
      </c>
      <c r="S597" s="374" t="n"/>
    </row>
    <row r="598" ht="22.2" customHeight="1" s="375">
      <c r="A598" s="336" t="inlineStr">
        <is>
          <t>วันที่.......เดือน..........................พ.ศ..............</t>
        </is>
      </c>
      <c r="B598" s="522" t="n"/>
      <c r="C598" s="522" t="n"/>
      <c r="D598" s="522" t="n"/>
      <c r="E598" s="522" t="n"/>
      <c r="F598" s="522" t="n"/>
      <c r="G598" s="522" t="n"/>
      <c r="H598" s="522" t="n"/>
      <c r="I598" s="527" t="n"/>
      <c r="J598" s="336" t="inlineStr">
        <is>
          <t>วันที่.......เดือน..........................พ.ศ..............</t>
        </is>
      </c>
      <c r="K598" s="522" t="n"/>
      <c r="L598" s="522" t="n"/>
      <c r="M598" s="522" t="n"/>
      <c r="N598" s="522" t="n"/>
      <c r="O598" s="522" t="n"/>
      <c r="P598" s="522" t="n"/>
      <c r="Q598" s="522" t="n"/>
      <c r="R598" s="522" t="n"/>
      <c r="S598" s="527" t="n"/>
    </row>
    <row r="599" ht="22.2" customHeight="1" s="375"/>
    <row r="600" ht="22.2" customHeight="1" s="375"/>
    <row r="601" ht="22.2" customHeight="1" s="375"/>
    <row r="602" ht="22.2" customHeight="1" s="375"/>
    <row r="603" ht="22.2" customHeight="1" s="375"/>
    <row r="604" ht="22.2" customHeight="1" s="375"/>
    <row r="605" ht="22.2" customHeight="1" s="375"/>
    <row r="606" ht="22.2" customHeight="1" s="375"/>
    <row r="607" ht="22.2" customHeight="1" s="375"/>
    <row r="608" ht="22.2" customHeight="1" s="375"/>
    <row r="609" ht="22.2" customHeight="1" s="375"/>
    <row r="610" ht="22.2" customHeight="1" s="375"/>
    <row r="611" ht="22.2" customHeight="1" s="375"/>
    <row r="612" ht="22.2" customHeight="1" s="375"/>
    <row r="613" ht="22.2" customHeight="1" s="375"/>
    <row r="614" ht="22.2" customHeight="1" s="375"/>
    <row r="615" ht="22.2" customHeight="1" s="375"/>
    <row r="616" ht="22.2" customHeight="1" s="375"/>
    <row r="617" ht="22.2" customHeight="1" s="375"/>
    <row r="618" ht="22.2" customHeight="1" s="375"/>
    <row r="619" ht="22.2" customHeight="1" s="375"/>
    <row r="620" ht="22.2" customHeight="1" s="375"/>
    <row r="621" ht="22.2" customHeight="1" s="375"/>
    <row r="622" ht="22.2" customHeight="1" s="375"/>
    <row r="623" ht="22.2" customHeight="1" s="375"/>
    <row r="624" ht="22.2" customHeight="1" s="375"/>
    <row r="625" ht="22.2" customHeight="1" s="375"/>
    <row r="626" ht="22.2" customHeight="1" s="375"/>
    <row r="627" ht="22.2" customHeight="1" s="375"/>
    <row r="628" ht="22.2" customHeight="1" s="375"/>
    <row r="629" ht="22.2" customHeight="1" s="375"/>
    <row r="630" ht="22.2" customHeight="1" s="375"/>
    <row r="631" ht="22.2" customHeight="1" s="375"/>
    <row r="632" ht="22.2" customHeight="1" s="375"/>
    <row r="633" ht="22.2" customHeight="1" s="375" thickBot="1"/>
    <row r="634" ht="22.2" customHeight="1" s="375" thickTop="1"/>
    <row r="635" ht="22.2" customHeight="1" s="375"/>
    <row r="636" ht="22.2" customHeight="1" s="375"/>
    <row r="637" ht="22.2" customHeight="1" s="375"/>
    <row r="638" ht="22.2" customHeight="1" s="375"/>
    <row r="639" ht="22.2" customHeight="1" s="375"/>
    <row r="640" ht="22.2" customHeight="1" s="375"/>
    <row r="641" ht="22.2" customHeight="1" s="375"/>
    <row r="642" ht="22.2" customHeight="1" s="375"/>
    <row r="643" ht="22.2" customHeight="1" s="375"/>
    <row r="644" ht="22.2" customHeight="1" s="375"/>
    <row r="645" ht="22.2" customHeight="1" s="375"/>
    <row r="646" ht="22.2" customHeight="1" s="375"/>
    <row r="647" ht="22.2" customHeight="1" s="375"/>
    <row r="648" ht="22.2" customHeight="1" s="375"/>
    <row r="649" ht="22.2" customHeight="1" s="375"/>
    <row r="650" ht="22.2" customHeight="1" s="375"/>
    <row r="651" ht="22.2" customHeight="1" s="375"/>
    <row r="652" ht="22.2" customHeight="1" s="375"/>
    <row r="653" ht="22.2" customHeight="1" s="375"/>
    <row r="654" ht="22.2" customHeight="1" s="375"/>
    <row r="655" ht="22.2" customHeight="1" s="375"/>
    <row r="656" ht="22.2" customHeight="1" s="375"/>
    <row r="657" ht="22.2" customHeight="1" s="375"/>
    <row r="658" ht="22.2" customHeight="1" s="375"/>
    <row r="659" ht="22.2" customHeight="1" s="375"/>
    <row r="660" ht="22.2" customHeight="1" s="375"/>
    <row r="661" ht="22.2" customHeight="1" s="375"/>
    <row r="662" ht="22.2" customHeight="1" s="375"/>
    <row r="663" ht="22.2" customHeight="1" s="375"/>
    <row r="664" ht="22.2" customHeight="1" s="375"/>
    <row r="665" ht="22.2" customHeight="1" s="375"/>
    <row r="666" ht="22.2" customHeight="1" s="375"/>
    <row r="667" ht="22.2" customHeight="1" s="375"/>
    <row r="668" ht="22.2" customHeight="1" s="375"/>
    <row r="669" ht="22.2" customHeight="1" s="375"/>
    <row r="670" ht="22.2" customHeight="1" s="375"/>
    <row r="671" ht="22.2" customHeight="1" s="375"/>
    <row r="672" ht="22.2" customHeight="1" s="375"/>
    <row r="673" ht="22.2" customHeight="1" s="375"/>
    <row r="674" ht="22.2" customHeight="1" s="375"/>
    <row r="675" ht="22.2" customHeight="1" s="375"/>
    <row r="676" ht="22.2" customHeight="1" s="375"/>
    <row r="677" ht="22.2" customHeight="1" s="375"/>
    <row r="678" ht="22.2" customHeight="1" s="375"/>
    <row r="679" ht="22.2" customHeight="1" s="375" thickBot="1"/>
    <row r="680" ht="22.2" customHeight="1" s="375" thickTop="1"/>
    <row r="681" ht="22.2" customHeight="1" s="375"/>
    <row r="682" ht="22.2" customHeight="1" s="375"/>
    <row r="683" ht="22.2" customHeight="1" s="375"/>
    <row r="684" ht="22.2" customHeight="1" s="375"/>
    <row r="685" ht="22.2" customHeight="1" s="375"/>
    <row r="686" ht="22.2" customHeight="1" s="375"/>
    <row r="687" ht="22.2" customHeight="1" s="375"/>
    <row r="688" ht="22.2" customHeight="1" s="375"/>
    <row r="689" ht="22.2" customHeight="1" s="375"/>
    <row r="690" ht="22.2" customHeight="1" s="375"/>
    <row r="691" ht="22.2" customHeight="1" s="375"/>
    <row r="692" ht="22.2" customHeight="1" s="375"/>
    <row r="693" ht="22.2" customHeight="1" s="375"/>
    <row r="694" ht="22.2" customHeight="1" s="375"/>
    <row r="695" ht="22.2" customHeight="1" s="375"/>
    <row r="696" ht="22.2" customHeight="1" s="375"/>
    <row r="697" ht="22.2" customHeight="1" s="375"/>
    <row r="698" ht="22.2" customHeight="1" s="375"/>
    <row r="699" ht="22.2" customHeight="1" s="375"/>
    <row r="700" ht="22.2" customHeight="1" s="375"/>
    <row r="701" ht="22.2" customHeight="1" s="375"/>
    <row r="702" ht="22.2" customHeight="1" s="375"/>
    <row r="703" ht="22.2" customHeight="1" s="375"/>
    <row r="704" ht="22.2" customHeight="1" s="375"/>
    <row r="705" ht="22.2" customHeight="1" s="375"/>
    <row r="706" ht="22.2" customHeight="1" s="375"/>
    <row r="707" ht="22.2" customHeight="1" s="375"/>
    <row r="708" ht="22.2" customHeight="1" s="375"/>
    <row r="709" ht="22.2" customHeight="1" s="375"/>
    <row r="710" ht="22.2" customHeight="1" s="375"/>
    <row r="711" ht="22.2" customHeight="1" s="375"/>
    <row r="712" ht="22.2" customHeight="1" s="375"/>
    <row r="713" ht="22.2" customHeight="1" s="375"/>
    <row r="714" ht="22.2" customHeight="1" s="375"/>
    <row r="715" ht="22.2" customHeight="1" s="375"/>
    <row r="716" ht="22.2" customHeight="1" s="375"/>
    <row r="717" ht="22.2" customHeight="1" s="375"/>
    <row r="718" ht="22.2" customHeight="1" s="375"/>
    <row r="719" ht="22.2" customHeight="1" s="375"/>
    <row r="720" ht="22.2" customHeight="1" s="375"/>
    <row r="721" ht="22.2" customHeight="1" s="375"/>
    <row r="722" ht="22.2" customHeight="1" s="375"/>
    <row r="723" ht="22.2" customHeight="1" s="375"/>
    <row r="724" ht="22.2" customHeight="1" s="375"/>
    <row r="725" ht="22.2" customHeight="1" s="375" thickBot="1"/>
    <row r="726" ht="22.2" customHeight="1" s="375" thickTop="1"/>
    <row r="727" ht="22.2" customHeight="1" s="375"/>
    <row r="728" ht="22.2" customHeight="1" s="375"/>
    <row r="729" ht="22.2" customHeight="1" s="375"/>
    <row r="730" ht="22.2" customHeight="1" s="375"/>
    <row r="731" ht="22.2" customHeight="1" s="375"/>
    <row r="732" ht="22.2" customHeight="1" s="375"/>
    <row r="733" ht="22.2" customHeight="1" s="375"/>
    <row r="734" ht="22.2" customHeight="1" s="375"/>
    <row r="735" ht="22.2" customHeight="1" s="375"/>
    <row r="736" ht="22.2" customHeight="1" s="375"/>
    <row r="737" ht="22.2" customHeight="1" s="375"/>
    <row r="738" ht="22.2" customHeight="1" s="375"/>
    <row r="739" ht="22.2" customHeight="1" s="375"/>
    <row r="740" ht="22.2" customHeight="1" s="375"/>
    <row r="741" ht="22.2" customHeight="1" s="375"/>
    <row r="742" ht="22.2" customHeight="1" s="375"/>
    <row r="743" ht="22.2" customHeight="1" s="375"/>
    <row r="744" ht="22.2" customHeight="1" s="375"/>
    <row r="745" ht="22.2" customHeight="1" s="375"/>
    <row r="746" ht="22.2" customHeight="1" s="375"/>
    <row r="747" ht="22.2" customHeight="1" s="375"/>
    <row r="748" ht="22.2" customHeight="1" s="375"/>
    <row r="749" ht="22.2" customHeight="1" s="375"/>
    <row r="750" ht="22.2" customHeight="1" s="375"/>
    <row r="751" ht="22.2" customHeight="1" s="375"/>
    <row r="752" ht="22.2" customHeight="1" s="375"/>
    <row r="753" ht="22.2" customHeight="1" s="375"/>
    <row r="754" ht="22.2" customHeight="1" s="375"/>
    <row r="755" ht="22.2" customHeight="1" s="375"/>
    <row r="756" ht="22.2" customHeight="1" s="375"/>
    <row r="757" ht="22.2" customHeight="1" s="375"/>
    <row r="758" ht="22.2" customHeight="1" s="375"/>
    <row r="759" ht="22.2" customHeight="1" s="375"/>
    <row r="760" ht="22.2" customHeight="1" s="375"/>
    <row r="761" ht="22.2" customHeight="1" s="375"/>
    <row r="762" ht="22.2" customHeight="1" s="375"/>
    <row r="763" ht="22.2" customHeight="1" s="375"/>
    <row r="764" ht="22.2" customHeight="1" s="375"/>
    <row r="765" ht="22.2" customHeight="1" s="375"/>
    <row r="766" ht="22.2" customHeight="1" s="375"/>
    <row r="767" ht="22.2" customHeight="1" s="375"/>
    <row r="768" ht="22.2" customHeight="1" s="375"/>
    <row r="769" ht="22.2" customHeight="1" s="375"/>
    <row r="770" ht="22.2" customHeight="1" s="375"/>
    <row r="771" ht="22.2" customHeight="1" s="375" thickBot="1"/>
    <row r="772" ht="22.2" customHeight="1" s="375" thickTop="1"/>
    <row r="773" ht="22.2" customHeight="1" s="375"/>
    <row r="774" ht="22.2" customHeight="1" s="375"/>
    <row r="775" ht="22.2" customHeight="1" s="375"/>
    <row r="776" ht="22.2" customHeight="1" s="375"/>
    <row r="777" ht="22.2" customHeight="1" s="375"/>
    <row r="778" ht="22.2" customHeight="1" s="375"/>
    <row r="779" ht="22.2" customHeight="1" s="375"/>
    <row r="780" ht="22.2" customHeight="1" s="375"/>
    <row r="781" ht="22.2" customHeight="1" s="375"/>
    <row r="782" ht="22.2" customHeight="1" s="375"/>
    <row r="783" ht="22.2" customHeight="1" s="375"/>
    <row r="784" ht="22.2" customHeight="1" s="375"/>
    <row r="785" ht="22.2" customHeight="1" s="375"/>
    <row r="786" ht="22.2" customHeight="1" s="375"/>
    <row r="787" ht="22.2" customHeight="1" s="375"/>
    <row r="788" ht="22.2" customHeight="1" s="375"/>
    <row r="789" ht="22.2" customHeight="1" s="375"/>
    <row r="790" ht="22.2" customHeight="1" s="375"/>
    <row r="791" ht="22.2" customHeight="1" s="375"/>
    <row r="792" ht="22.2" customHeight="1" s="375"/>
    <row r="793" ht="22.2" customHeight="1" s="375"/>
    <row r="794" ht="22.2" customHeight="1" s="375"/>
    <row r="795" ht="22.2" customHeight="1" s="375"/>
    <row r="796" ht="22.2" customHeight="1" s="375"/>
    <row r="797" ht="22.2" customHeight="1" s="375"/>
    <row r="798" ht="22.2" customHeight="1" s="375"/>
    <row r="799" ht="22.2" customHeight="1" s="375"/>
    <row r="800" ht="22.2" customHeight="1" s="375"/>
    <row r="801" ht="22.2" customHeight="1" s="375"/>
    <row r="802" ht="22.2" customHeight="1" s="375"/>
    <row r="803" ht="22.2" customHeight="1" s="375"/>
    <row r="804" ht="22.2" customHeight="1" s="375"/>
    <row r="805" ht="22.2" customHeight="1" s="375"/>
    <row r="806" ht="22.2" customHeight="1" s="375"/>
    <row r="807" ht="22.2" customHeight="1" s="375"/>
    <row r="808" ht="22.2" customHeight="1" s="375"/>
    <row r="809" ht="22.2" customHeight="1" s="375"/>
    <row r="810" ht="22.2" customHeight="1" s="375"/>
    <row r="811" ht="22.2" customHeight="1" s="375"/>
    <row r="812" ht="22.2" customHeight="1" s="375"/>
    <row r="813" ht="22.2" customHeight="1" s="375"/>
    <row r="814" ht="22.2" customHeight="1" s="375"/>
    <row r="815" ht="22.2" customHeight="1" s="375"/>
    <row r="816" ht="22.2" customHeight="1" s="375"/>
    <row r="817" ht="22.2" customHeight="1" s="375" thickBot="1"/>
    <row r="818" ht="22.2" customHeight="1" s="375" thickTop="1"/>
    <row r="819" ht="22.2" customHeight="1" s="375"/>
    <row r="820" ht="22.2" customHeight="1" s="375"/>
    <row r="821" ht="22.2" customHeight="1" s="375"/>
    <row r="822" ht="22.2" customHeight="1" s="375"/>
    <row r="823" ht="22.2" customHeight="1" s="375"/>
    <row r="824" ht="22.2" customHeight="1" s="375"/>
    <row r="825" ht="22.2" customHeight="1" s="375"/>
    <row r="826" ht="22.2" customHeight="1" s="375"/>
    <row r="827" ht="22.2" customHeight="1" s="375"/>
    <row r="828" ht="22.2" customHeight="1" s="375"/>
    <row r="829" ht="22.2" customHeight="1" s="375"/>
    <row r="830" ht="22.2" customHeight="1" s="375"/>
    <row r="831" ht="22.2" customHeight="1" s="375"/>
    <row r="832" ht="22.2" customHeight="1" s="375"/>
    <row r="833" ht="22.2" customHeight="1" s="375"/>
    <row r="834" ht="22.2" customHeight="1" s="375"/>
    <row r="835" ht="22.2" customHeight="1" s="375"/>
    <row r="836" ht="22.2" customHeight="1" s="375"/>
    <row r="837" ht="22.2" customHeight="1" s="375"/>
    <row r="838" ht="22.2" customHeight="1" s="375"/>
    <row r="839" ht="22.2" customHeight="1" s="375"/>
    <row r="840" ht="22.2" customHeight="1" s="375"/>
    <row r="841" ht="22.2" customHeight="1" s="375"/>
    <row r="842" ht="22.2" customHeight="1" s="375"/>
    <row r="843" ht="22.2" customHeight="1" s="375"/>
    <row r="844" ht="22.2" customHeight="1" s="375"/>
    <row r="845" ht="22.2" customHeight="1" s="375"/>
    <row r="846" ht="22.2" customHeight="1" s="375"/>
    <row r="847" ht="22.2" customHeight="1" s="375"/>
    <row r="848" ht="22.2" customHeight="1" s="375"/>
    <row r="849" ht="22.2" customHeight="1" s="375"/>
    <row r="850" ht="22.2" customHeight="1" s="375"/>
    <row r="851" ht="22.2" customHeight="1" s="375"/>
    <row r="852" ht="22.2" customHeight="1" s="375"/>
    <row r="853" ht="22.2" customHeight="1" s="375"/>
    <row r="854" ht="22.2" customHeight="1" s="375"/>
    <row r="855" ht="22.2" customHeight="1" s="375"/>
    <row r="856" ht="22.2" customHeight="1" s="375"/>
    <row r="857" ht="22.2" customHeight="1" s="375"/>
    <row r="858" ht="22.2" customHeight="1" s="375"/>
    <row r="859" ht="22.2" customHeight="1" s="375"/>
    <row r="860" ht="22.2" customHeight="1" s="375"/>
    <row r="861" ht="22.2" customHeight="1" s="375"/>
    <row r="862" ht="22.2" customHeight="1" s="375"/>
    <row r="863" ht="22.2" customHeight="1" s="375" thickBot="1"/>
    <row r="864" ht="22.2" customHeight="1" s="375" thickTop="1"/>
    <row r="865" ht="22.2" customHeight="1" s="375"/>
    <row r="866" ht="22.2" customHeight="1" s="375"/>
    <row r="867" ht="22.2" customHeight="1" s="375"/>
    <row r="868" ht="22.2" customHeight="1" s="375"/>
    <row r="869" ht="22.2" customHeight="1" s="375"/>
    <row r="870" ht="22.2" customHeight="1" s="375"/>
    <row r="871" ht="22.2" customHeight="1" s="375"/>
    <row r="872" ht="22.2" customHeight="1" s="375"/>
    <row r="873" ht="22.2" customHeight="1" s="375"/>
    <row r="874" ht="22.2" customHeight="1" s="375"/>
    <row r="875" ht="22.2" customHeight="1" s="375"/>
    <row r="876" ht="22.2" customHeight="1" s="375"/>
    <row r="877" ht="22.2" customHeight="1" s="375"/>
    <row r="878" ht="22.2" customHeight="1" s="375"/>
    <row r="879" ht="22.2" customHeight="1" s="375"/>
    <row r="880" ht="22.2" customHeight="1" s="375"/>
    <row r="881" ht="22.2" customHeight="1" s="375"/>
    <row r="882" ht="22.2" customHeight="1" s="375"/>
    <row r="883" ht="22.2" customHeight="1" s="375"/>
    <row r="884" ht="22.2" customHeight="1" s="375"/>
    <row r="885" ht="22.2" customHeight="1" s="375"/>
    <row r="886" ht="22.2" customHeight="1" s="375"/>
    <row r="887" ht="22.2" customHeight="1" s="375"/>
    <row r="888" ht="22.2" customHeight="1" s="375"/>
    <row r="889" ht="22.2" customHeight="1" s="375"/>
    <row r="890" ht="22.2" customHeight="1" s="375"/>
    <row r="891" ht="22.2" customHeight="1" s="375"/>
    <row r="892" ht="22.2" customHeight="1" s="375"/>
    <row r="893" ht="22.2" customHeight="1" s="375"/>
    <row r="894" ht="22.2" customHeight="1" s="375"/>
    <row r="895" ht="22.2" customHeight="1" s="375"/>
    <row r="896" ht="22.2" customHeight="1" s="375"/>
    <row r="897" ht="22.2" customHeight="1" s="375"/>
    <row r="898" ht="22.2" customHeight="1" s="375"/>
    <row r="899" ht="22.2" customHeight="1" s="375"/>
    <row r="900" ht="22.2" customHeight="1" s="375"/>
    <row r="901" ht="22.2" customHeight="1" s="375"/>
    <row r="902" ht="22.2" customHeight="1" s="375"/>
    <row r="903" ht="22.2" customHeight="1" s="375"/>
    <row r="904" ht="22.2" customHeight="1" s="375"/>
    <row r="905" ht="22.2" customHeight="1" s="375"/>
    <row r="906" ht="22.2" customHeight="1" s="375"/>
    <row r="907" ht="22.2" customHeight="1" s="375"/>
    <row r="908" ht="22.2" customHeight="1" s="375"/>
    <row r="909" ht="22.2" customHeight="1" s="375" thickBot="1"/>
    <row r="910" ht="22.2" customHeight="1" s="375" thickTop="1"/>
    <row r="911" ht="22.2" customHeight="1" s="375"/>
    <row r="912" ht="22.2" customHeight="1" s="375"/>
    <row r="913" ht="22.2" customHeight="1" s="375"/>
    <row r="914" ht="22.2" customHeight="1" s="375"/>
    <row r="915" ht="22.2" customHeight="1" s="375"/>
    <row r="916" ht="22.2" customHeight="1" s="375"/>
    <row r="917" ht="22.2" customHeight="1" s="375"/>
    <row r="918" ht="22.2" customHeight="1" s="375"/>
    <row r="919" ht="22.2" customHeight="1" s="375"/>
    <row r="920" ht="22.2" customHeight="1" s="375"/>
    <row r="921" ht="22.2" customHeight="1" s="375"/>
    <row r="922" ht="22.2" customHeight="1" s="375"/>
    <row r="923" ht="22.2" customHeight="1" s="375"/>
    <row r="924" ht="22.2" customHeight="1" s="375"/>
    <row r="925" ht="22.2" customHeight="1" s="375"/>
    <row r="926" ht="22.2" customHeight="1" s="375"/>
    <row r="927" ht="22.2" customHeight="1" s="375"/>
    <row r="928" ht="22.2" customHeight="1" s="375"/>
    <row r="929" ht="22.2" customHeight="1" s="375"/>
    <row r="930" ht="22.2" customHeight="1" s="375"/>
    <row r="931" ht="22.2" customHeight="1" s="375"/>
    <row r="932" ht="22.2" customHeight="1" s="375"/>
    <row r="933" ht="22.2" customHeight="1" s="375"/>
    <row r="934" ht="22.2" customHeight="1" s="375"/>
    <row r="935" ht="22.2" customHeight="1" s="375"/>
    <row r="936" ht="22.2" customHeight="1" s="375"/>
    <row r="937" ht="22.2" customHeight="1" s="375"/>
    <row r="938" ht="22.2" customHeight="1" s="375"/>
    <row r="939" ht="22.2" customHeight="1" s="375"/>
    <row r="940" ht="22.2" customHeight="1" s="375"/>
    <row r="941" ht="22.2" customHeight="1" s="375"/>
    <row r="942" ht="22.2" customHeight="1" s="375"/>
    <row r="943" ht="22.2" customHeight="1" s="375"/>
    <row r="944" ht="22.2" customHeight="1" s="375"/>
    <row r="945" ht="22.2" customHeight="1" s="375"/>
    <row r="946" ht="22.2" customHeight="1" s="375"/>
    <row r="947" ht="22.2" customHeight="1" s="375"/>
    <row r="948" ht="22.2" customHeight="1" s="375"/>
    <row r="949" ht="22.2" customHeight="1" s="375"/>
    <row r="950" ht="22.2" customHeight="1" s="375"/>
    <row r="951" ht="22.2" customHeight="1" s="375"/>
    <row r="952" ht="22.2" customHeight="1" s="375"/>
    <row r="953" ht="22.2" customHeight="1" s="375"/>
    <row r="954" ht="22.2" customHeight="1" s="375"/>
    <row r="955" ht="22.2" customHeight="1" s="375" thickBot="1"/>
    <row r="956" ht="22.2" customHeight="1" s="375" thickTop="1"/>
    <row r="957" ht="22.2" customHeight="1" s="375"/>
    <row r="958" ht="22.2" customHeight="1" s="375"/>
    <row r="959" ht="22.2" customHeight="1" s="375"/>
    <row r="960" ht="22.2" customHeight="1" s="375"/>
    <row r="961" ht="22.2" customHeight="1" s="375"/>
    <row r="962" ht="22.2" customHeight="1" s="375"/>
    <row r="963" ht="22.2" customHeight="1" s="375"/>
    <row r="964" ht="22.2" customHeight="1" s="375"/>
    <row r="965" ht="22.2" customHeight="1" s="375"/>
    <row r="966" ht="22.2" customHeight="1" s="375"/>
    <row r="967" ht="22.2" customHeight="1" s="375"/>
    <row r="968" ht="22.2" customHeight="1" s="375"/>
    <row r="969" ht="22.2" customHeight="1" s="375"/>
    <row r="970" ht="22.2" customHeight="1" s="375"/>
    <row r="971" ht="22.2" customHeight="1" s="375"/>
    <row r="972" ht="22.2" customHeight="1" s="375"/>
    <row r="973" ht="22.2" customHeight="1" s="375"/>
    <row r="974" ht="22.2" customHeight="1" s="375"/>
    <row r="975" ht="22.2" customHeight="1" s="375"/>
    <row r="976" ht="22.2" customHeight="1" s="375"/>
    <row r="977" ht="22.2" customHeight="1" s="375"/>
    <row r="978" ht="22.2" customHeight="1" s="375"/>
    <row r="979" ht="22.2" customHeight="1" s="375"/>
    <row r="980" ht="22.2" customHeight="1" s="375"/>
    <row r="981" ht="22.2" customHeight="1" s="375"/>
    <row r="982" ht="22.2" customHeight="1" s="375"/>
    <row r="983" ht="22.2" customHeight="1" s="375"/>
    <row r="984" ht="22.2" customHeight="1" s="375"/>
    <row r="985" ht="22.2" customHeight="1" s="375"/>
    <row r="986" ht="22.2" customHeight="1" s="375"/>
    <row r="987" ht="22.2" customHeight="1" s="375"/>
    <row r="988" ht="22.2" customHeight="1" s="375"/>
    <row r="989" ht="22.2" customHeight="1" s="375"/>
    <row r="990" ht="22.2" customHeight="1" s="375"/>
    <row r="991" ht="22.2" customHeight="1" s="375"/>
    <row r="992" ht="22.2" customHeight="1" s="375"/>
    <row r="993" ht="22.2" customHeight="1" s="375"/>
    <row r="994" ht="22.2" customHeight="1" s="375"/>
    <row r="995" ht="22.2" customHeight="1" s="375"/>
    <row r="996" ht="22.2" customHeight="1" s="375"/>
    <row r="997" ht="22.2" customHeight="1" s="375"/>
    <row r="998" ht="22.2" customHeight="1" s="375"/>
    <row r="999" ht="22.2" customHeight="1" s="375"/>
    <row r="1000" ht="22.2" customHeight="1" s="375"/>
    <row r="1001" ht="22.2" customHeight="1" s="375" thickBot="1"/>
    <row r="1002" ht="22.2" customHeight="1" s="375" thickTop="1"/>
    <row r="1003" ht="22.2" customHeight="1" s="375"/>
    <row r="1004" ht="22.2" customHeight="1" s="375"/>
    <row r="1005" ht="22.2" customHeight="1" s="375"/>
    <row r="1006" ht="22.2" customHeight="1" s="375"/>
    <row r="1007" ht="22.2" customHeight="1" s="375"/>
    <row r="1008" ht="22.2" customHeight="1" s="375"/>
    <row r="1009" ht="22.2" customHeight="1" s="375"/>
    <row r="1010" ht="22.2" customHeight="1" s="375"/>
    <row r="1011" ht="22.2" customHeight="1" s="375"/>
    <row r="1012" ht="22.2" customHeight="1" s="375"/>
    <row r="1013" ht="22.2" customHeight="1" s="375"/>
    <row r="1014" ht="22.2" customHeight="1" s="375"/>
    <row r="1015" ht="22.2" customHeight="1" s="375"/>
    <row r="1016" ht="22.2" customHeight="1" s="375"/>
    <row r="1017" ht="22.2" customHeight="1" s="375"/>
    <row r="1018" ht="22.2" customHeight="1" s="375"/>
    <row r="1019" ht="22.2" customHeight="1" s="375"/>
    <row r="1020" ht="22.2" customHeight="1" s="375"/>
    <row r="1021" ht="22.2" customHeight="1" s="375"/>
    <row r="1022" ht="22.2" customHeight="1" s="375"/>
    <row r="1023" ht="22.2" customHeight="1" s="375"/>
    <row r="1024" ht="22.2" customHeight="1" s="375"/>
    <row r="1025" ht="22.2" customHeight="1" s="375"/>
    <row r="1026" ht="22.2" customHeight="1" s="375"/>
    <row r="1027" ht="22.2" customHeight="1" s="375"/>
    <row r="1028" ht="22.2" customHeight="1" s="375"/>
    <row r="1029" ht="22.2" customHeight="1" s="375"/>
    <row r="1030" ht="22.2" customHeight="1" s="375"/>
    <row r="1031" ht="22.2" customHeight="1" s="375"/>
    <row r="1032" ht="22.2" customHeight="1" s="375"/>
    <row r="1033" ht="22.2" customHeight="1" s="375"/>
    <row r="1034" ht="22.2" customHeight="1" s="375"/>
    <row r="1035" ht="22.2" customHeight="1" s="375"/>
    <row r="1036" ht="22.2" customHeight="1" s="375"/>
    <row r="1037" ht="22.2" customHeight="1" s="375"/>
    <row r="1038" ht="22.2" customHeight="1" s="375"/>
    <row r="1039" ht="22.2" customHeight="1" s="375"/>
    <row r="1040" ht="22.2" customHeight="1" s="375"/>
    <row r="1041" ht="22.2" customHeight="1" s="375"/>
    <row r="1042" ht="22.2" customHeight="1" s="375"/>
    <row r="1043" ht="22.2" customHeight="1" s="375"/>
    <row r="1044" ht="22.2" customHeight="1" s="375"/>
    <row r="1045" ht="22.2" customHeight="1" s="375"/>
    <row r="1046" ht="22.2" customHeight="1" s="375"/>
    <row r="1047" ht="22.2" customHeight="1" s="375" thickBot="1"/>
    <row r="1048" ht="22.2" customHeight="1" s="375" thickTop="1"/>
    <row r="1049" ht="22.2" customHeight="1" s="375"/>
    <row r="1050" ht="22.2" customHeight="1" s="375"/>
    <row r="1051" ht="22.2" customHeight="1" s="375"/>
    <row r="1052" ht="22.2" customHeight="1" s="375"/>
    <row r="1053" ht="22.2" customHeight="1" s="375"/>
    <row r="1054" ht="22.2" customHeight="1" s="375"/>
    <row r="1055" ht="22.2" customHeight="1" s="375"/>
    <row r="1056" ht="22.2" customHeight="1" s="375"/>
    <row r="1057" ht="22.2" customHeight="1" s="375"/>
    <row r="1058" ht="22.2" customHeight="1" s="375"/>
    <row r="1059" ht="22.2" customHeight="1" s="375"/>
    <row r="1060" ht="22.2" customHeight="1" s="375"/>
    <row r="1061" ht="22.2" customHeight="1" s="375"/>
    <row r="1062" ht="22.2" customHeight="1" s="375"/>
    <row r="1063" ht="22.2" customHeight="1" s="375"/>
    <row r="1064" ht="22.2" customHeight="1" s="375"/>
    <row r="1065" ht="22.2" customHeight="1" s="375"/>
    <row r="1066" ht="22.2" customHeight="1" s="375"/>
    <row r="1067" ht="22.2" customHeight="1" s="375"/>
    <row r="1068" ht="22.2" customHeight="1" s="375"/>
    <row r="1069" ht="22.2" customHeight="1" s="375"/>
    <row r="1070" ht="22.2" customHeight="1" s="375"/>
    <row r="1071" ht="22.2" customHeight="1" s="375"/>
    <row r="1072" ht="22.2" customHeight="1" s="375"/>
    <row r="1073" ht="22.2" customHeight="1" s="375"/>
    <row r="1074" ht="22.2" customHeight="1" s="375"/>
    <row r="1075" ht="22.2" customHeight="1" s="375"/>
    <row r="1076" ht="22.2" customHeight="1" s="375"/>
    <row r="1077" ht="22.2" customHeight="1" s="375"/>
    <row r="1078" ht="22.2" customHeight="1" s="375"/>
    <row r="1079" ht="22.2" customHeight="1" s="375"/>
    <row r="1080" ht="22.2" customHeight="1" s="375"/>
    <row r="1081" ht="22.2" customHeight="1" s="375"/>
    <row r="1082" ht="22.2" customHeight="1" s="375"/>
    <row r="1083" ht="22.2" customHeight="1" s="375"/>
    <row r="1084" ht="22.2" customHeight="1" s="375"/>
    <row r="1085" ht="22.2" customHeight="1" s="375"/>
    <row r="1086" ht="22.2" customHeight="1" s="375"/>
    <row r="1087" ht="22.2" customHeight="1" s="375"/>
    <row r="1088" ht="22.2" customHeight="1" s="375"/>
    <row r="1089" ht="22.2" customHeight="1" s="375"/>
    <row r="1090" ht="22.2" customHeight="1" s="375"/>
    <row r="1091" ht="22.2" customHeight="1" s="375"/>
    <row r="1092" ht="22.2" customHeight="1" s="375"/>
    <row r="1093" ht="22.2" customHeight="1" s="375" thickBot="1"/>
    <row r="1094" ht="22.2" customHeight="1" s="375" thickTop="1"/>
    <row r="1095" ht="22.2" customHeight="1" s="375"/>
    <row r="1096" ht="22.2" customHeight="1" s="375"/>
    <row r="1097" ht="22.2" customHeight="1" s="375"/>
    <row r="1098" ht="22.2" customHeight="1" s="375"/>
    <row r="1099" ht="22.2" customHeight="1" s="375"/>
    <row r="1100" ht="22.2" customHeight="1" s="375"/>
    <row r="1101" ht="22.2" customHeight="1" s="375"/>
    <row r="1102" ht="22.2" customHeight="1" s="375"/>
    <row r="1103" ht="22.2" customHeight="1" s="375"/>
    <row r="1104" ht="22.2" customHeight="1" s="375"/>
    <row r="1105" ht="22.2" customHeight="1" s="375"/>
    <row r="1106" ht="22.2" customHeight="1" s="375"/>
    <row r="1107" ht="22.2" customHeight="1" s="375"/>
    <row r="1108" ht="22.2" customHeight="1" s="375"/>
    <row r="1109" ht="22.2" customHeight="1" s="375"/>
    <row r="1110" ht="22.2" customHeight="1" s="375"/>
    <row r="1111" ht="22.2" customHeight="1" s="375"/>
    <row r="1112" ht="22.2" customHeight="1" s="375"/>
    <row r="1113" ht="22.2" customHeight="1" s="375"/>
    <row r="1114" ht="22.2" customHeight="1" s="375"/>
    <row r="1115" ht="22.2" customHeight="1" s="375"/>
    <row r="1116" ht="22.2" customHeight="1" s="375"/>
    <row r="1117" ht="22.2" customHeight="1" s="375"/>
    <row r="1118" ht="22.2" customHeight="1" s="375"/>
    <row r="1119" ht="22.2" customHeight="1" s="375"/>
    <row r="1120" ht="22.2" customHeight="1" s="375"/>
    <row r="1121" ht="22.2" customHeight="1" s="375"/>
    <row r="1122" ht="22.2" customHeight="1" s="375"/>
    <row r="1123" ht="22.2" customHeight="1" s="375"/>
    <row r="1124" ht="22.2" customHeight="1" s="375"/>
    <row r="1125" ht="22.2" customHeight="1" s="375"/>
    <row r="1126" ht="22.2" customHeight="1" s="375"/>
    <row r="1127" ht="22.2" customHeight="1" s="375"/>
    <row r="1128" ht="22.2" customHeight="1" s="375"/>
    <row r="1129" ht="22.2" customHeight="1" s="375"/>
    <row r="1130" ht="22.2" customHeight="1" s="375"/>
    <row r="1131" ht="22.2" customHeight="1" s="375"/>
    <row r="1132" ht="22.2" customHeight="1" s="375"/>
    <row r="1133" ht="22.2" customHeight="1" s="375"/>
    <row r="1134" ht="22.2" customHeight="1" s="375"/>
    <row r="1135" ht="22.2" customHeight="1" s="375"/>
    <row r="1136" ht="22.2" customHeight="1" s="375"/>
    <row r="1137" ht="22.2" customHeight="1" s="375"/>
    <row r="1138" ht="22.2" customHeight="1" s="375"/>
    <row r="1139" ht="22.2" customHeight="1" s="375" thickBot="1"/>
    <row r="1140" ht="22.2" customHeight="1" s="375" thickTop="1"/>
    <row r="1141" ht="22.2" customHeight="1" s="375"/>
    <row r="1142" ht="22.2" customHeight="1" s="375"/>
    <row r="1143" ht="22.2" customHeight="1" s="375"/>
    <row r="1144" ht="22.2" customHeight="1" s="375"/>
    <row r="1145" ht="22.2" customHeight="1" s="375"/>
    <row r="1146" ht="22.2" customHeight="1" s="375"/>
    <row r="1147" ht="22.2" customHeight="1" s="375"/>
    <row r="1148" ht="22.2" customHeight="1" s="375"/>
    <row r="1149" ht="22.2" customHeight="1" s="375"/>
    <row r="1150" ht="22.2" customHeight="1" s="375"/>
    <row r="1151" ht="22.2" customHeight="1" s="375"/>
    <row r="1152" ht="22.2" customHeight="1" s="375"/>
    <row r="1153" ht="22.2" customHeight="1" s="375"/>
    <row r="1154" ht="22.2" customHeight="1" s="375"/>
    <row r="1155" ht="22.2" customHeight="1" s="375"/>
    <row r="1156" ht="22.2" customHeight="1" s="375"/>
    <row r="1157" ht="22.2" customHeight="1" s="375"/>
    <row r="1158" ht="22.2" customHeight="1" s="375"/>
    <row r="1159" ht="22.2" customHeight="1" s="375"/>
    <row r="1160" ht="22.2" customHeight="1" s="375"/>
    <row r="1161" ht="22.2" customHeight="1" s="375"/>
    <row r="1162" ht="22.2" customHeight="1" s="375"/>
    <row r="1163" ht="22.2" customHeight="1" s="375"/>
    <row r="1164" ht="22.2" customHeight="1" s="375"/>
    <row r="1165" ht="22.2" customHeight="1" s="375"/>
    <row r="1166" ht="22.2" customHeight="1" s="375"/>
    <row r="1167" ht="22.2" customHeight="1" s="375"/>
    <row r="1168" ht="22.2" customHeight="1" s="375"/>
    <row r="1169" ht="22.2" customHeight="1" s="375"/>
    <row r="1170" ht="22.2" customHeight="1" s="375"/>
    <row r="1171" ht="22.2" customHeight="1" s="375"/>
    <row r="1172" ht="22.2" customHeight="1" s="375"/>
    <row r="1173" ht="22.2" customHeight="1" s="375"/>
    <row r="1174" ht="22.2" customHeight="1" s="375"/>
    <row r="1175" ht="22.2" customHeight="1" s="375"/>
    <row r="1176" ht="22.2" customHeight="1" s="375"/>
    <row r="1177" ht="22.2" customHeight="1" s="375"/>
    <row r="1178" ht="22.2" customHeight="1" s="375"/>
    <row r="1179" ht="22.2" customHeight="1" s="375"/>
    <row r="1180" ht="22.2" customHeight="1" s="375"/>
    <row r="1181" ht="22.2" customHeight="1" s="375"/>
    <row r="1182" ht="22.2" customHeight="1" s="375"/>
    <row r="1183" ht="22.2" customHeight="1" s="375"/>
    <row r="1184" ht="22.2" customHeight="1" s="375"/>
    <row r="1185" ht="22.2" customHeight="1" s="375" thickBot="1"/>
    <row r="1186" ht="22.2" customHeight="1" s="375" thickTop="1"/>
    <row r="1187" ht="22.2" customHeight="1" s="375"/>
    <row r="1188" ht="22.2" customHeight="1" s="375"/>
    <row r="1189" ht="22.2" customHeight="1" s="375"/>
    <row r="1190" ht="22.2" customHeight="1" s="375"/>
    <row r="1191" ht="22.2" customHeight="1" s="375"/>
    <row r="1192" ht="22.2" customHeight="1" s="375"/>
    <row r="1193" ht="22.2" customHeight="1" s="375"/>
    <row r="1194" ht="22.2" customHeight="1" s="375"/>
    <row r="1195" ht="22.2" customHeight="1" s="375"/>
    <row r="1196" ht="22.2" customHeight="1" s="375"/>
    <row r="1197" ht="22.2" customHeight="1" s="375"/>
    <row r="1198" ht="22.2" customHeight="1" s="375"/>
    <row r="1199" ht="22.2" customHeight="1" s="375"/>
    <row r="1200" ht="22.2" customHeight="1" s="375"/>
    <row r="1201" ht="22.2" customHeight="1" s="375"/>
    <row r="1202" ht="22.2" customHeight="1" s="375"/>
    <row r="1203" ht="22.2" customHeight="1" s="375"/>
    <row r="1204" ht="22.2" customHeight="1" s="375"/>
    <row r="1205" ht="22.2" customHeight="1" s="375"/>
    <row r="1206" ht="22.2" customHeight="1" s="375"/>
    <row r="1207" ht="22.2" customHeight="1" s="375"/>
    <row r="1208" ht="22.2" customHeight="1" s="375"/>
    <row r="1209" ht="22.2" customHeight="1" s="375"/>
    <row r="1210" ht="22.2" customHeight="1" s="375"/>
    <row r="1211" ht="22.2" customHeight="1" s="375"/>
    <row r="1212" ht="22.2" customHeight="1" s="375"/>
    <row r="1213" ht="22.2" customHeight="1" s="375"/>
    <row r="1214" ht="22.2" customHeight="1" s="375"/>
    <row r="1215" ht="22.2" customHeight="1" s="375"/>
    <row r="1216" ht="22.2" customHeight="1" s="375"/>
    <row r="1217" ht="22.2" customHeight="1" s="375"/>
    <row r="1218" ht="22.2" customHeight="1" s="375"/>
    <row r="1219" ht="22.2" customHeight="1" s="375"/>
    <row r="1220" ht="22.2" customHeight="1" s="375"/>
    <row r="1221" ht="22.2" customHeight="1" s="375"/>
    <row r="1222" ht="22.2" customHeight="1" s="375"/>
    <row r="1223" ht="22.2" customHeight="1" s="375"/>
    <row r="1224" ht="22.2" customHeight="1" s="375"/>
    <row r="1225" ht="22.2" customHeight="1" s="375"/>
    <row r="1226" ht="22.2" customHeight="1" s="375"/>
    <row r="1227" ht="22.2" customHeight="1" s="375"/>
    <row r="1228" ht="22.2" customHeight="1" s="375"/>
    <row r="1229" ht="22.2" customHeight="1" s="375"/>
    <row r="1230" ht="22.2" customHeight="1" s="375"/>
    <row r="1231" ht="22.2" customHeight="1" s="375" thickBot="1"/>
    <row r="1232" ht="22.2" customHeight="1" s="375" thickTop="1"/>
    <row r="1233" ht="22.2" customHeight="1" s="375"/>
    <row r="1234" ht="22.2" customHeight="1" s="375"/>
    <row r="1235" ht="22.2" customHeight="1" s="375"/>
    <row r="1236" ht="22.2" customHeight="1" s="375"/>
    <row r="1237" ht="22.2" customHeight="1" s="375"/>
    <row r="1238" ht="22.2" customHeight="1" s="375"/>
    <row r="1239" ht="22.2" customHeight="1" s="375"/>
    <row r="1240" ht="22.2" customHeight="1" s="375"/>
    <row r="1241" ht="22.2" customHeight="1" s="375"/>
    <row r="1242" ht="22.2" customHeight="1" s="375"/>
    <row r="1243" ht="22.2" customHeight="1" s="375"/>
    <row r="1244" ht="22.2" customHeight="1" s="375"/>
    <row r="1245" ht="22.2" customHeight="1" s="375"/>
    <row r="1246" ht="22.2" customHeight="1" s="375"/>
    <row r="1247" ht="22.2" customHeight="1" s="375"/>
    <row r="1248" ht="22.2" customHeight="1" s="375"/>
    <row r="1249" ht="22.2" customHeight="1" s="375"/>
    <row r="1250" ht="22.2" customHeight="1" s="375"/>
    <row r="1251" ht="22.2" customHeight="1" s="375"/>
    <row r="1252" ht="22.2" customHeight="1" s="375"/>
    <row r="1253" ht="22.2" customHeight="1" s="375"/>
    <row r="1254" ht="22.2" customHeight="1" s="375"/>
    <row r="1255" ht="22.2" customHeight="1" s="375"/>
    <row r="1256" ht="22.2" customHeight="1" s="375"/>
    <row r="1257" ht="22.2" customHeight="1" s="375"/>
    <row r="1258" ht="22.2" customHeight="1" s="375"/>
    <row r="1259" ht="22.2" customHeight="1" s="375"/>
    <row r="1260" ht="22.2" customHeight="1" s="375"/>
    <row r="1261" ht="22.2" customHeight="1" s="375"/>
    <row r="1262" ht="22.2" customHeight="1" s="375"/>
    <row r="1263" ht="22.2" customHeight="1" s="375"/>
    <row r="1264" ht="22.2" customHeight="1" s="375"/>
    <row r="1265" ht="22.2" customHeight="1" s="375"/>
    <row r="1266" ht="22.2" customHeight="1" s="375"/>
    <row r="1267" ht="22.2" customHeight="1" s="375"/>
    <row r="1268" ht="22.2" customHeight="1" s="375"/>
    <row r="1269" ht="22.2" customHeight="1" s="375"/>
    <row r="1270" ht="22.2" customHeight="1" s="375"/>
    <row r="1271" ht="22.2" customHeight="1" s="375"/>
    <row r="1272" ht="22.2" customHeight="1" s="375"/>
    <row r="1273" ht="22.2" customHeight="1" s="375"/>
    <row r="1274" ht="22.2" customHeight="1" s="375"/>
    <row r="1275" ht="22.2" customHeight="1" s="375"/>
    <row r="1276" ht="22.2" customHeight="1" s="375"/>
    <row r="1277" ht="22.2" customHeight="1" s="375" thickBot="1"/>
    <row r="1278" ht="22.2" customHeight="1" s="375" thickTop="1"/>
    <row r="1279" ht="22.2" customHeight="1" s="375"/>
    <row r="1280" ht="22.2" customHeight="1" s="375"/>
    <row r="1281" ht="22.2" customHeight="1" s="375"/>
    <row r="1282" ht="22.2" customHeight="1" s="375"/>
    <row r="1283" ht="22.2" customHeight="1" s="375"/>
    <row r="1284" ht="22.2" customHeight="1" s="375"/>
    <row r="1285" ht="22.2" customHeight="1" s="375"/>
    <row r="1286" ht="22.2" customHeight="1" s="375"/>
    <row r="1287" ht="22.2" customHeight="1" s="375"/>
    <row r="1288" ht="22.2" customHeight="1" s="375"/>
  </sheetData>
  <mergeCells count="1120">
    <mergeCell ref="H451:L451"/>
    <mergeCell ref="P496:Q496"/>
    <mergeCell ref="M221:S221"/>
    <mergeCell ref="AH27:AJ27"/>
    <mergeCell ref="J288:K288"/>
    <mergeCell ref="J207:K207"/>
    <mergeCell ref="L263:M263"/>
    <mergeCell ref="J5:K6"/>
    <mergeCell ref="AH22:AJ22"/>
    <mergeCell ref="H593:L593"/>
    <mergeCell ref="O269:Q269"/>
    <mergeCell ref="G492:K492"/>
    <mergeCell ref="J347:K347"/>
    <mergeCell ref="J349:K349"/>
    <mergeCell ref="P511:Q511"/>
    <mergeCell ref="L412:Q412"/>
    <mergeCell ref="J518:K518"/>
    <mergeCell ref="P542:Q542"/>
    <mergeCell ref="A83:G83"/>
    <mergeCell ref="J344:K344"/>
    <mergeCell ref="J520:K520"/>
    <mergeCell ref="J464:S464"/>
    <mergeCell ref="A186:S186"/>
    <mergeCell ref="J375:K375"/>
    <mergeCell ref="G539:K539"/>
    <mergeCell ref="P141:Q141"/>
    <mergeCell ref="J246:K246"/>
    <mergeCell ref="J459:S459"/>
    <mergeCell ref="I453:K453"/>
    <mergeCell ref="P143:Q143"/>
    <mergeCell ref="J248:K248"/>
    <mergeCell ref="A45:I45"/>
    <mergeCell ref="M313:S313"/>
    <mergeCell ref="J180:S180"/>
    <mergeCell ref="J292:K292"/>
    <mergeCell ref="J286:K286"/>
    <mergeCell ref="J302:K302"/>
    <mergeCell ref="A275:I275"/>
    <mergeCell ref="B550:H550"/>
    <mergeCell ref="J287:K287"/>
    <mergeCell ref="I499:K499"/>
    <mergeCell ref="J14:K14"/>
    <mergeCell ref="AH9:AJ9"/>
    <mergeCell ref="AE8:AG8"/>
    <mergeCell ref="I223:K223"/>
    <mergeCell ref="J13:K13"/>
    <mergeCell ref="A450:G450"/>
    <mergeCell ref="AE10:AG10"/>
    <mergeCell ref="AH11:AJ11"/>
    <mergeCell ref="J15:K15"/>
    <mergeCell ref="G494:K494"/>
    <mergeCell ref="H129:L129"/>
    <mergeCell ref="A589:G589"/>
    <mergeCell ref="J51:K52"/>
    <mergeCell ref="G34:K34"/>
    <mergeCell ref="A501:G501"/>
    <mergeCell ref="A279:C279"/>
    <mergeCell ref="F509:G509"/>
    <mergeCell ref="P264:Q264"/>
    <mergeCell ref="A592:G592"/>
    <mergeCell ref="B315:F315"/>
    <mergeCell ref="AE21:AG21"/>
    <mergeCell ref="J244:K244"/>
    <mergeCell ref="AE23:AG23"/>
    <mergeCell ref="J28:K28"/>
    <mergeCell ref="O591:Q591"/>
    <mergeCell ref="L3:M3"/>
    <mergeCell ref="J272:S272"/>
    <mergeCell ref="L5:M5"/>
    <mergeCell ref="B281:D281"/>
    <mergeCell ref="K358:M358"/>
    <mergeCell ref="J384:K384"/>
    <mergeCell ref="M129:S129"/>
    <mergeCell ref="A87:G87"/>
    <mergeCell ref="P125:Q125"/>
    <mergeCell ref="J255:K255"/>
    <mergeCell ref="G217:K217"/>
    <mergeCell ref="J511:K512"/>
    <mergeCell ref="J110:K110"/>
    <mergeCell ref="H501:L501"/>
    <mergeCell ref="L356:M356"/>
    <mergeCell ref="H38:L38"/>
    <mergeCell ref="A542:G542"/>
    <mergeCell ref="Z27:AA27"/>
    <mergeCell ref="G400:K400"/>
    <mergeCell ref="H40:L40"/>
    <mergeCell ref="A544:G544"/>
    <mergeCell ref="J99:K99"/>
    <mergeCell ref="G402:K402"/>
    <mergeCell ref="J397:K397"/>
    <mergeCell ref="A414:I414"/>
    <mergeCell ref="Z22:AA22"/>
    <mergeCell ref="AE6:AG6"/>
    <mergeCell ref="J101:K101"/>
    <mergeCell ref="J100:K100"/>
    <mergeCell ref="G32:K32"/>
    <mergeCell ref="M37:S37"/>
    <mergeCell ref="H97:H98"/>
    <mergeCell ref="O407:Q407"/>
    <mergeCell ref="J29:K29"/>
    <mergeCell ref="P51:Q51"/>
    <mergeCell ref="A588:G588"/>
    <mergeCell ref="AE17:AG17"/>
    <mergeCell ref="M38:S38"/>
    <mergeCell ref="J329:K329"/>
    <mergeCell ref="AE19:AG19"/>
    <mergeCell ref="J481:K481"/>
    <mergeCell ref="J552:S552"/>
    <mergeCell ref="J24:K24"/>
    <mergeCell ref="AH30:AJ30"/>
    <mergeCell ref="J26:K26"/>
    <mergeCell ref="L126:M126"/>
    <mergeCell ref="A43:I43"/>
    <mergeCell ref="J482:K482"/>
    <mergeCell ref="I591:K591"/>
    <mergeCell ref="J350:K350"/>
    <mergeCell ref="J386:K386"/>
    <mergeCell ref="J352:K352"/>
    <mergeCell ref="I407:K407"/>
    <mergeCell ref="B419:D419"/>
    <mergeCell ref="M451:S451"/>
    <mergeCell ref="P263:Q263"/>
    <mergeCell ref="J70:K70"/>
    <mergeCell ref="J235:K236"/>
    <mergeCell ref="J63:K63"/>
    <mergeCell ref="AB49:AD49"/>
    <mergeCell ref="J422:K422"/>
    <mergeCell ref="J424:K424"/>
    <mergeCell ref="AB50:AD50"/>
    <mergeCell ref="O499:Q499"/>
    <mergeCell ref="Z9:AA9"/>
    <mergeCell ref="H362:L362"/>
    <mergeCell ref="Z11:AA11"/>
    <mergeCell ref="J421:K421"/>
    <mergeCell ref="J579:K579"/>
    <mergeCell ref="B223:F223"/>
    <mergeCell ref="J152:K152"/>
    <mergeCell ref="A135:I135"/>
    <mergeCell ref="J147:K147"/>
    <mergeCell ref="O131:Q131"/>
    <mergeCell ref="H409:L409"/>
    <mergeCell ref="H235:H236"/>
    <mergeCell ref="J468:K468"/>
    <mergeCell ref="P373:Q373"/>
    <mergeCell ref="A417:C417"/>
    <mergeCell ref="P33:Q33"/>
    <mergeCell ref="L511:M511"/>
    <mergeCell ref="J163:K163"/>
    <mergeCell ref="J294:K294"/>
    <mergeCell ref="J365:S365"/>
    <mergeCell ref="A364:I364"/>
    <mergeCell ref="J165:K165"/>
    <mergeCell ref="J382:K382"/>
    <mergeCell ref="AB2:AD2"/>
    <mergeCell ref="J77:K77"/>
    <mergeCell ref="J348:K348"/>
    <mergeCell ref="L264:M264"/>
    <mergeCell ref="A181:I181"/>
    <mergeCell ref="L141:M141"/>
    <mergeCell ref="J522:K522"/>
    <mergeCell ref="A505:I505"/>
    <mergeCell ref="J524:K524"/>
    <mergeCell ref="M409:S409"/>
    <mergeCell ref="J61:K61"/>
    <mergeCell ref="H175:L175"/>
    <mergeCell ref="L125:M125"/>
    <mergeCell ref="A38:G38"/>
    <mergeCell ref="J519:K519"/>
    <mergeCell ref="AB48:AD48"/>
    <mergeCell ref="P404:Q404"/>
    <mergeCell ref="H176:L176"/>
    <mergeCell ref="Z7:AA7"/>
    <mergeCell ref="A40:G40"/>
    <mergeCell ref="G538:K538"/>
    <mergeCell ref="H178:L178"/>
    <mergeCell ref="L310:M310"/>
    <mergeCell ref="J237:K237"/>
    <mergeCell ref="G540:K540"/>
    <mergeCell ref="Z8:AA8"/>
    <mergeCell ref="J535:K535"/>
    <mergeCell ref="Z2:AA2"/>
    <mergeCell ref="F141:G141"/>
    <mergeCell ref="J239:K239"/>
    <mergeCell ref="J537:K537"/>
    <mergeCell ref="J118:K118"/>
    <mergeCell ref="M175:S175"/>
    <mergeCell ref="J563:K563"/>
    <mergeCell ref="J167:K167"/>
    <mergeCell ref="H133:L133"/>
    <mergeCell ref="M176:S176"/>
    <mergeCell ref="J162:K162"/>
    <mergeCell ref="L51:M51"/>
    <mergeCell ref="H547:L547"/>
    <mergeCell ref="AH13:AJ13"/>
    <mergeCell ref="J164:K164"/>
    <mergeCell ref="P171:Q171"/>
    <mergeCell ref="J372:S372"/>
    <mergeCell ref="J487:K487"/>
    <mergeCell ref="AH8:AJ8"/>
    <mergeCell ref="AB16:AD16"/>
    <mergeCell ref="J410:S410"/>
    <mergeCell ref="AH10:AJ10"/>
    <mergeCell ref="AB9:AD9"/>
    <mergeCell ref="J146:K146"/>
    <mergeCell ref="G449:K449"/>
    <mergeCell ref="J488:K488"/>
    <mergeCell ref="A503:I503"/>
    <mergeCell ref="AB11:AD11"/>
    <mergeCell ref="J515:K515"/>
    <mergeCell ref="J92:S92"/>
    <mergeCell ref="I545:K545"/>
    <mergeCell ref="B557:D557"/>
    <mergeCell ref="J331:K331"/>
    <mergeCell ref="AH28:AJ28"/>
    <mergeCell ref="P401:Q401"/>
    <mergeCell ref="P97:Q97"/>
    <mergeCell ref="J208:K208"/>
    <mergeCell ref="G79:K79"/>
    <mergeCell ref="J373:K374"/>
    <mergeCell ref="M547:S547"/>
    <mergeCell ref="AH21:AJ21"/>
    <mergeCell ref="J89:S89"/>
    <mergeCell ref="J201:K201"/>
    <mergeCell ref="AH23:AJ23"/>
    <mergeCell ref="O39:Q39"/>
    <mergeCell ref="A179:G179"/>
    <mergeCell ref="L596:Q596"/>
    <mergeCell ref="J203:K203"/>
    <mergeCell ref="K174:M174"/>
    <mergeCell ref="A89:I89"/>
    <mergeCell ref="J259:K259"/>
    <mergeCell ref="H500:L500"/>
    <mergeCell ref="B458:H458"/>
    <mergeCell ref="J261:K261"/>
    <mergeCell ref="J559:K559"/>
    <mergeCell ref="F5:G5"/>
    <mergeCell ref="J254:K254"/>
    <mergeCell ref="M270:S270"/>
    <mergeCell ref="J561:K561"/>
    <mergeCell ref="P126:Q126"/>
    <mergeCell ref="J256:K256"/>
    <mergeCell ref="A229:I229"/>
    <mergeCell ref="A409:G409"/>
    <mergeCell ref="J502:S502"/>
    <mergeCell ref="M497:S497"/>
    <mergeCell ref="H373:H374"/>
    <mergeCell ref="A404:G404"/>
    <mergeCell ref="J281:K282"/>
    <mergeCell ref="J432:K432"/>
    <mergeCell ref="B191:D191"/>
    <mergeCell ref="J503:S503"/>
    <mergeCell ref="H271:L271"/>
    <mergeCell ref="AH6:AJ6"/>
    <mergeCell ref="L373:M373"/>
    <mergeCell ref="L33:M33"/>
    <mergeCell ref="A130:G130"/>
    <mergeCell ref="B192:D192"/>
    <mergeCell ref="J486:K486"/>
    <mergeCell ref="A132:G132"/>
    <mergeCell ref="P493:Q493"/>
    <mergeCell ref="J300:K300"/>
    <mergeCell ref="H268:L268"/>
    <mergeCell ref="AH24:AJ24"/>
    <mergeCell ref="AH17:AJ17"/>
    <mergeCell ref="AH19:AJ19"/>
    <mergeCell ref="J199:K199"/>
    <mergeCell ref="F95:G95"/>
    <mergeCell ref="A176:G176"/>
    <mergeCell ref="F97:G97"/>
    <mergeCell ref="A178:G178"/>
    <mergeCell ref="J346:K346"/>
    <mergeCell ref="J340:K340"/>
    <mergeCell ref="J252:K252"/>
    <mergeCell ref="M268:S268"/>
    <mergeCell ref="J341:K341"/>
    <mergeCell ref="J377:K377"/>
    <mergeCell ref="N49:O49"/>
    <mergeCell ref="A185:S185"/>
    <mergeCell ref="J59:K59"/>
    <mergeCell ref="F143:G143"/>
    <mergeCell ref="A42:I42"/>
    <mergeCell ref="A411:I411"/>
    <mergeCell ref="J97:K98"/>
    <mergeCell ref="J184:S184"/>
    <mergeCell ref="A128:G128"/>
    <mergeCell ref="P309:Q309"/>
    <mergeCell ref="G584:K584"/>
    <mergeCell ref="A129:G129"/>
    <mergeCell ref="J439:K439"/>
    <mergeCell ref="K542:M542"/>
    <mergeCell ref="J510:S510"/>
    <mergeCell ref="H224:L224"/>
    <mergeCell ref="J291:K291"/>
    <mergeCell ref="J293:K293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P233:Q233"/>
    <mergeCell ref="AE7:AG7"/>
    <mergeCell ref="J469:K469"/>
    <mergeCell ref="J12:K12"/>
    <mergeCell ref="P235:Q235"/>
    <mergeCell ref="B85:F85"/>
    <mergeCell ref="J227:S227"/>
    <mergeCell ref="AE2:AG2"/>
    <mergeCell ref="J339:K339"/>
    <mergeCell ref="L401:M401"/>
    <mergeCell ref="B283:D283"/>
    <mergeCell ref="A500:G500"/>
    <mergeCell ref="J65:K65"/>
    <mergeCell ref="J480:K480"/>
    <mergeCell ref="J551:S551"/>
    <mergeCell ref="J399:K399"/>
    <mergeCell ref="J392:K392"/>
    <mergeCell ref="J25:K25"/>
    <mergeCell ref="N187:O187"/>
    <mergeCell ref="J394:K394"/>
    <mergeCell ref="P279:Q279"/>
    <mergeCell ref="Z6:AA6"/>
    <mergeCell ref="G81:K81"/>
    <mergeCell ref="J112:K112"/>
    <mergeCell ref="J383:K383"/>
    <mergeCell ref="J376:K376"/>
    <mergeCell ref="J419:K420"/>
    <mergeCell ref="J534:K534"/>
    <mergeCell ref="B329:D329"/>
    <mergeCell ref="J597:S597"/>
    <mergeCell ref="J107:K107"/>
    <mergeCell ref="J378:K378"/>
    <mergeCell ref="L172:M172"/>
    <mergeCell ref="L171:M171"/>
    <mergeCell ref="B330:D330"/>
    <mergeCell ref="A461:S461"/>
    <mergeCell ref="H37:L37"/>
    <mergeCell ref="A268:G268"/>
    <mergeCell ref="J438:K438"/>
    <mergeCell ref="B177:F177"/>
    <mergeCell ref="H406:L406"/>
    <mergeCell ref="J319:S319"/>
    <mergeCell ref="Z19:AA19"/>
    <mergeCell ref="AE3:AG3"/>
    <mergeCell ref="J8:K8"/>
    <mergeCell ref="G311:K311"/>
    <mergeCell ref="J10:K10"/>
    <mergeCell ref="A456:I456"/>
    <mergeCell ref="A93:S93"/>
    <mergeCell ref="H546:L546"/>
    <mergeCell ref="A371:C371"/>
    <mergeCell ref="A316:G316"/>
    <mergeCell ref="AE16:AG16"/>
    <mergeCell ref="AB15:AD15"/>
    <mergeCell ref="J478:K478"/>
    <mergeCell ref="J549:S549"/>
    <mergeCell ref="J21:K21"/>
    <mergeCell ref="AE18:AG18"/>
    <mergeCell ref="I361:K361"/>
    <mergeCell ref="J23:K23"/>
    <mergeCell ref="M406:S406"/>
    <mergeCell ref="A313:G313"/>
    <mergeCell ref="J479:K479"/>
    <mergeCell ref="J91:S91"/>
    <mergeCell ref="L448:M448"/>
    <mergeCell ref="A3:C3"/>
    <mergeCell ref="A323:S323"/>
    <mergeCell ref="K450:M450"/>
    <mergeCell ref="A91:I91"/>
    <mergeCell ref="M546:S546"/>
    <mergeCell ref="A180:I180"/>
    <mergeCell ref="AB28:AD28"/>
    <mergeCell ref="J103:K103"/>
    <mergeCell ref="P417:Q417"/>
    <mergeCell ref="AB30:AD30"/>
    <mergeCell ref="AB29:AD29"/>
    <mergeCell ref="A2:S2"/>
    <mergeCell ref="J321:S321"/>
    <mergeCell ref="J436:K436"/>
    <mergeCell ref="J429:K429"/>
    <mergeCell ref="L494:M494"/>
    <mergeCell ref="J431:K431"/>
    <mergeCell ref="L44:Q44"/>
    <mergeCell ref="L493:M493"/>
    <mergeCell ref="F325:G325"/>
    <mergeCell ref="L309:M309"/>
    <mergeCell ref="H359:L359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J121:K121"/>
    <mergeCell ref="J115:K115"/>
    <mergeCell ref="Z28:AA28"/>
    <mergeCell ref="A138:I138"/>
    <mergeCell ref="M498:S498"/>
    <mergeCell ref="J571:K571"/>
    <mergeCell ref="J150:K150"/>
    <mergeCell ref="Z30:AA30"/>
    <mergeCell ref="N95:O95"/>
    <mergeCell ref="J573:K573"/>
    <mergeCell ref="J116:K116"/>
    <mergeCell ref="A231:S231"/>
    <mergeCell ref="J477:K477"/>
    <mergeCell ref="L235:M235"/>
    <mergeCell ref="M87:S87"/>
    <mergeCell ref="J284:K284"/>
    <mergeCell ref="J364:S364"/>
    <mergeCell ref="M359:S359"/>
    <mergeCell ref="B237:D237"/>
    <mergeCell ref="AB26:AD26"/>
    <mergeCell ref="J76:K76"/>
    <mergeCell ref="N325:O325"/>
    <mergeCell ref="H454:L454"/>
    <mergeCell ref="AB27:AD27"/>
    <mergeCell ref="G219:K219"/>
    <mergeCell ref="J521:K521"/>
    <mergeCell ref="M224:S224"/>
    <mergeCell ref="L279:M279"/>
    <mergeCell ref="P80:Q80"/>
    <mergeCell ref="J514:K514"/>
    <mergeCell ref="J516:K516"/>
    <mergeCell ref="A1:S1"/>
    <mergeCell ref="J460:S460"/>
    <mergeCell ref="A506:I506"/>
    <mergeCell ref="A37:G37"/>
    <mergeCell ref="G448:K448"/>
    <mergeCell ref="A406:G406"/>
    <mergeCell ref="J58:K58"/>
    <mergeCell ref="J574:K574"/>
    <mergeCell ref="J457:S457"/>
    <mergeCell ref="J567:K567"/>
    <mergeCell ref="J569:K569"/>
    <mergeCell ref="M454:S454"/>
    <mergeCell ref="J440:K440"/>
    <mergeCell ref="F465:G465"/>
    <mergeCell ref="A546:G546"/>
    <mergeCell ref="A509:C509"/>
    <mergeCell ref="A276:I276"/>
    <mergeCell ref="B361:F361"/>
    <mergeCell ref="J159:K159"/>
    <mergeCell ref="B235:D235"/>
    <mergeCell ref="A553:S553"/>
    <mergeCell ref="J153:K153"/>
    <mergeCell ref="J290:K290"/>
    <mergeCell ref="J582:K582"/>
    <mergeCell ref="A273:I273"/>
    <mergeCell ref="L217:M217"/>
    <mergeCell ref="A451:G451"/>
    <mergeCell ref="B376:D376"/>
    <mergeCell ref="J285:K285"/>
    <mergeCell ref="A141:C141"/>
    <mergeCell ref="P49:Q49"/>
    <mergeCell ref="K588:M588"/>
    <mergeCell ref="AH7:AJ7"/>
    <mergeCell ref="M222:S222"/>
    <mergeCell ref="J301:K301"/>
    <mergeCell ref="B136:H136"/>
    <mergeCell ref="H267:L267"/>
    <mergeCell ref="A502:I502"/>
    <mergeCell ref="N463:O463"/>
    <mergeCell ref="F49:G49"/>
    <mergeCell ref="H592:L592"/>
    <mergeCell ref="A140:S140"/>
    <mergeCell ref="P95:Q95"/>
    <mergeCell ref="A359:G359"/>
    <mergeCell ref="L182:Q182"/>
    <mergeCell ref="J525:K525"/>
    <mergeCell ref="T104:X104"/>
    <mergeCell ref="J456:S456"/>
    <mergeCell ref="H497:L497"/>
    <mergeCell ref="J380:K380"/>
    <mergeCell ref="B453:F453"/>
    <mergeCell ref="J251:K251"/>
    <mergeCell ref="B182:H182"/>
    <mergeCell ref="J595:S595"/>
    <mergeCell ref="M267:S267"/>
    <mergeCell ref="H143:H144"/>
    <mergeCell ref="J253:K253"/>
    <mergeCell ref="M592:S592"/>
    <mergeCell ref="H41:L41"/>
    <mergeCell ref="G126:K126"/>
    <mergeCell ref="N233:O233"/>
    <mergeCell ref="J598:S598"/>
    <mergeCell ref="A225:G225"/>
    <mergeCell ref="J393:K393"/>
    <mergeCell ref="J188:O188"/>
    <mergeCell ref="AH3:AJ3"/>
    <mergeCell ref="J395:K395"/>
    <mergeCell ref="AH5:AJ5"/>
    <mergeCell ref="G173:K173"/>
    <mergeCell ref="A454:G454"/>
    <mergeCell ref="G170:K170"/>
    <mergeCell ref="P187:Q187"/>
    <mergeCell ref="P494:Q494"/>
    <mergeCell ref="AE13:AG13"/>
    <mergeCell ref="G172:K172"/>
    <mergeCell ref="A455:G455"/>
    <mergeCell ref="J27:K27"/>
    <mergeCell ref="A184:I184"/>
    <mergeCell ref="P189:Q189"/>
    <mergeCell ref="AH16:AJ16"/>
    <mergeCell ref="AE15:AG15"/>
    <mergeCell ref="L90:Q90"/>
    <mergeCell ref="J20:K20"/>
    <mergeCell ref="J196:K196"/>
    <mergeCell ref="P218:Q218"/>
    <mergeCell ref="B269:F269"/>
    <mergeCell ref="J22:K22"/>
    <mergeCell ref="L80:M80"/>
    <mergeCell ref="A175:G175"/>
    <mergeCell ref="J137:S137"/>
    <mergeCell ref="J338:K338"/>
    <mergeCell ref="J138:S138"/>
    <mergeCell ref="AE28:AG28"/>
    <mergeCell ref="L320:Q320"/>
    <mergeCell ref="B596:H596"/>
    <mergeCell ref="AE30:AG30"/>
    <mergeCell ref="B284:D284"/>
    <mergeCell ref="A221:G221"/>
    <mergeCell ref="J66:K66"/>
    <mergeCell ref="H360:L360"/>
    <mergeCell ref="J389:K389"/>
    <mergeCell ref="H465:H466"/>
    <mergeCell ref="G265:K265"/>
    <mergeCell ref="J122:K122"/>
    <mergeCell ref="A410:I410"/>
    <mergeCell ref="A324:S324"/>
    <mergeCell ref="I177:K177"/>
    <mergeCell ref="A48:S48"/>
    <mergeCell ref="J148:K148"/>
    <mergeCell ref="J104:K104"/>
    <mergeCell ref="J105:K105"/>
    <mergeCell ref="M360:S360"/>
    <mergeCell ref="A267:G267"/>
    <mergeCell ref="L49:M49"/>
    <mergeCell ref="H405:L405"/>
    <mergeCell ref="F187:G187"/>
    <mergeCell ref="J143:K144"/>
    <mergeCell ref="K404:M404"/>
    <mergeCell ref="B53:D53"/>
    <mergeCell ref="J430:K430"/>
    <mergeCell ref="J46:S46"/>
    <mergeCell ref="J9:K9"/>
    <mergeCell ref="A593:G593"/>
    <mergeCell ref="J161:K161"/>
    <mergeCell ref="P356:Q356"/>
    <mergeCell ref="AE24:AG24"/>
    <mergeCell ref="A94:S94"/>
    <mergeCell ref="AE26:AG26"/>
    <mergeCell ref="J31:K31"/>
    <mergeCell ref="A319:I319"/>
    <mergeCell ref="A497:G497"/>
    <mergeCell ref="K36:M36"/>
    <mergeCell ref="J62:K62"/>
    <mergeCell ref="J64:K64"/>
    <mergeCell ref="M316:S316"/>
    <mergeCell ref="B591:F591"/>
    <mergeCell ref="B8:D8"/>
    <mergeCell ref="M405:S405"/>
    <mergeCell ref="J276:S276"/>
    <mergeCell ref="J57:K57"/>
    <mergeCell ref="J391:K391"/>
    <mergeCell ref="J189:K190"/>
    <mergeCell ref="T114:X114"/>
    <mergeCell ref="B99:D99"/>
    <mergeCell ref="P586:Q586"/>
    <mergeCell ref="G264:K264"/>
    <mergeCell ref="Z3:AA3"/>
    <mergeCell ref="G78:K78"/>
    <mergeCell ref="A36:G36"/>
    <mergeCell ref="B5:D5"/>
    <mergeCell ref="P402:Q402"/>
    <mergeCell ref="Z5:AA5"/>
    <mergeCell ref="G80:K80"/>
    <mergeCell ref="J75:K75"/>
    <mergeCell ref="A363:G363"/>
    <mergeCell ref="A92:I92"/>
    <mergeCell ref="J531:K531"/>
    <mergeCell ref="J444:K444"/>
    <mergeCell ref="J533:K533"/>
    <mergeCell ref="A548:I548"/>
    <mergeCell ref="B145:D145"/>
    <mergeCell ref="J322:S322"/>
    <mergeCell ref="Z16:AA16"/>
    <mergeCell ref="I39:K39"/>
    <mergeCell ref="G308:K308"/>
    <mergeCell ref="A266:G266"/>
    <mergeCell ref="B499:F499"/>
    <mergeCell ref="P325:Q325"/>
    <mergeCell ref="Z18:AA18"/>
    <mergeCell ref="B51:D51"/>
    <mergeCell ref="J4:N4"/>
    <mergeCell ref="H189:H190"/>
    <mergeCell ref="G310:K310"/>
    <mergeCell ref="Z17:AA17"/>
    <mergeCell ref="P327:Q327"/>
    <mergeCell ref="L228:Q228"/>
    <mergeCell ref="H87:L87"/>
    <mergeCell ref="N279:O279"/>
    <mergeCell ref="H543:L543"/>
    <mergeCell ref="L218:M218"/>
    <mergeCell ref="AB12:AD12"/>
    <mergeCell ref="J475:K475"/>
    <mergeCell ref="F51:G51"/>
    <mergeCell ref="AB13:AD13"/>
    <mergeCell ref="J55:K55"/>
    <mergeCell ref="A232:S232"/>
    <mergeCell ref="AB7:AD7"/>
    <mergeCell ref="J476:K476"/>
    <mergeCell ref="J88:S88"/>
    <mergeCell ref="A459:I459"/>
    <mergeCell ref="L458:Q458"/>
    <mergeCell ref="P371:Q371"/>
    <mergeCell ref="B97:D97"/>
    <mergeCell ref="L417:M417"/>
    <mergeCell ref="AH18:AJ18"/>
    <mergeCell ref="A88:I88"/>
    <mergeCell ref="J204:K204"/>
    <mergeCell ref="J198:K198"/>
    <mergeCell ref="J548:S548"/>
    <mergeCell ref="M543:S543"/>
    <mergeCell ref="AB25:AD25"/>
    <mergeCell ref="J529:K529"/>
    <mergeCell ref="J327:K328"/>
    <mergeCell ref="O177:Q177"/>
    <mergeCell ref="J68:K68"/>
    <mergeCell ref="B143:D143"/>
    <mergeCell ref="I315:K315"/>
    <mergeCell ref="H281:H282"/>
    <mergeCell ref="J257:K257"/>
    <mergeCell ref="P419:Q419"/>
    <mergeCell ref="A230:I230"/>
    <mergeCell ref="H498:L498"/>
    <mergeCell ref="J242:K242"/>
    <mergeCell ref="Z13:AA13"/>
    <mergeCell ref="J428:K428"/>
    <mergeCell ref="B44:H44"/>
    <mergeCell ref="Z15:AA15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36:Q36"/>
    <mergeCell ref="P465:Q465"/>
    <mergeCell ref="L550:Q550"/>
    <mergeCell ref="J570:K570"/>
    <mergeCell ref="B189:D189"/>
    <mergeCell ref="L366:Q366"/>
    <mergeCell ref="AB3:AD3"/>
    <mergeCell ref="A547:G547"/>
    <mergeCell ref="AB5:AD5"/>
    <mergeCell ref="J169:K169"/>
    <mergeCell ref="T19:X19"/>
    <mergeCell ref="A457:I457"/>
    <mergeCell ref="AH20:AJ20"/>
    <mergeCell ref="J200:K200"/>
    <mergeCell ref="J50:P50"/>
    <mergeCell ref="J202:K202"/>
    <mergeCell ref="A554:S554"/>
    <mergeCell ref="AH15:AJ15"/>
    <mergeCell ref="J195:K195"/>
    <mergeCell ref="A597:I597"/>
    <mergeCell ref="P509:Q509"/>
    <mergeCell ref="J197:K197"/>
    <mergeCell ref="B560:D560"/>
    <mergeCell ref="P82:Q82"/>
    <mergeCell ref="AB18:AD18"/>
    <mergeCell ref="G216:K216"/>
    <mergeCell ref="A174:G174"/>
    <mergeCell ref="J342:K342"/>
    <mergeCell ref="P540:Q540"/>
    <mergeCell ref="G218:K218"/>
    <mergeCell ref="G541:K541"/>
    <mergeCell ref="J213:K213"/>
    <mergeCell ref="M133:S133"/>
    <mergeCell ref="H179:L179"/>
    <mergeCell ref="J215:K215"/>
    <mergeCell ref="L95:M95"/>
    <mergeCell ref="J337:K337"/>
    <mergeCell ref="J513:K513"/>
    <mergeCell ref="L402:M402"/>
    <mergeCell ref="O315:Q315"/>
    <mergeCell ref="L97:M97"/>
    <mergeCell ref="F233:G233"/>
    <mergeCell ref="J210:K210"/>
    <mergeCell ref="F235:G235"/>
    <mergeCell ref="P217:Q217"/>
    <mergeCell ref="J564:K564"/>
    <mergeCell ref="J566:K566"/>
    <mergeCell ref="J109:K109"/>
    <mergeCell ref="H327:H328"/>
    <mergeCell ref="A549:I549"/>
    <mergeCell ref="A543:G543"/>
    <mergeCell ref="L325:M325"/>
    <mergeCell ref="H225:L225"/>
    <mergeCell ref="A233:C233"/>
    <mergeCell ref="L327:M327"/>
    <mergeCell ref="F463:G463"/>
    <mergeCell ref="M179:S179"/>
    <mergeCell ref="P447:Q447"/>
    <mergeCell ref="G125:K125"/>
    <mergeCell ref="J437:K437"/>
    <mergeCell ref="H222:L222"/>
    <mergeCell ref="G127:K127"/>
    <mergeCell ref="O85:Q85"/>
    <mergeCell ref="J193:K193"/>
    <mergeCell ref="A370:S370"/>
    <mergeCell ref="J226:S226"/>
    <mergeCell ref="J305:K305"/>
    <mergeCell ref="J307:K307"/>
    <mergeCell ref="AH4:AJ4"/>
    <mergeCell ref="P79:Q79"/>
    <mergeCell ref="M225:S225"/>
    <mergeCell ref="L371:M371"/>
    <mergeCell ref="L274:Q274"/>
    <mergeCell ref="J465:K466"/>
    <mergeCell ref="J335:K335"/>
    <mergeCell ref="B375:D375"/>
    <mergeCell ref="AH26:AJ26"/>
    <mergeCell ref="P220:Q220"/>
    <mergeCell ref="J368:S368"/>
    <mergeCell ref="J206:K206"/>
    <mergeCell ref="A496:G496"/>
    <mergeCell ref="G354:K354"/>
    <mergeCell ref="P555:Q555"/>
    <mergeCell ref="H419:H420"/>
    <mergeCell ref="A498:G498"/>
    <mergeCell ref="G356:K356"/>
    <mergeCell ref="P557:Q557"/>
    <mergeCell ref="J351:K351"/>
    <mergeCell ref="A368:I368"/>
    <mergeCell ref="M271:S271"/>
    <mergeCell ref="J353:K353"/>
    <mergeCell ref="L419:M419"/>
    <mergeCell ref="F555:G555"/>
    <mergeCell ref="F557:G557"/>
    <mergeCell ref="A365:I365"/>
    <mergeCell ref="H314:L314"/>
    <mergeCell ref="H51:H52"/>
    <mergeCell ref="J379:K379"/>
    <mergeCell ref="A82:G82"/>
    <mergeCell ref="J74:K74"/>
    <mergeCell ref="J250:K250"/>
    <mergeCell ref="J594:S594"/>
    <mergeCell ref="A462:S462"/>
    <mergeCell ref="G586:K586"/>
    <mergeCell ref="B327:D327"/>
    <mergeCell ref="Z20:AA20"/>
    <mergeCell ref="S575:S576"/>
    <mergeCell ref="N555:O555"/>
    <mergeCell ref="M317:S317"/>
    <mergeCell ref="J303:K303"/>
    <mergeCell ref="A224:G224"/>
    <mergeCell ref="H544:L544"/>
    <mergeCell ref="J557:K558"/>
    <mergeCell ref="B467:D467"/>
    <mergeCell ref="J123:K123"/>
    <mergeCell ref="J304:K304"/>
    <mergeCell ref="A321:I321"/>
    <mergeCell ref="M314:S314"/>
    <mergeCell ref="J423:K423"/>
    <mergeCell ref="J306:K306"/>
    <mergeCell ref="J18:K18"/>
    <mergeCell ref="AE12:AG12"/>
    <mergeCell ref="J474:K474"/>
    <mergeCell ref="J17:K17"/>
    <mergeCell ref="AE14:AG14"/>
    <mergeCell ref="J19:K19"/>
    <mergeCell ref="L233:M233"/>
    <mergeCell ref="L540:M540"/>
    <mergeCell ref="O453:Q453"/>
    <mergeCell ref="M544:S544"/>
    <mergeCell ref="H316:L316"/>
    <mergeCell ref="H557:H558"/>
    <mergeCell ref="F373:G373"/>
    <mergeCell ref="P355:Q355"/>
    <mergeCell ref="G33:K33"/>
    <mergeCell ref="AE25:AG25"/>
    <mergeCell ref="AB24:AD24"/>
    <mergeCell ref="G35:K35"/>
    <mergeCell ref="J243:K243"/>
    <mergeCell ref="A46:I46"/>
    <mergeCell ref="L463:M463"/>
    <mergeCell ref="H363:L363"/>
    <mergeCell ref="G262:K262"/>
    <mergeCell ref="A220:G220"/>
    <mergeCell ref="L465:M465"/>
    <mergeCell ref="J117:K117"/>
    <mergeCell ref="J388:K388"/>
    <mergeCell ref="A222:G222"/>
    <mergeCell ref="P585:Q585"/>
    <mergeCell ref="J119:K119"/>
    <mergeCell ref="P281:Q281"/>
    <mergeCell ref="J390:K390"/>
    <mergeCell ref="G263:K263"/>
    <mergeCell ref="J427:K427"/>
    <mergeCell ref="P312:Q312"/>
    <mergeCell ref="H84:L84"/>
    <mergeCell ref="J114:K114"/>
    <mergeCell ref="J385:K385"/>
    <mergeCell ref="L447:M447"/>
    <mergeCell ref="Z4:AA4"/>
    <mergeCell ref="F279:G279"/>
    <mergeCell ref="J572:K572"/>
    <mergeCell ref="H86:L86"/>
    <mergeCell ref="J145:K145"/>
    <mergeCell ref="F281:G281"/>
    <mergeCell ref="J443:K443"/>
    <mergeCell ref="A47:S47"/>
    <mergeCell ref="J111:K111"/>
    <mergeCell ref="J445:K445"/>
    <mergeCell ref="Z26:AA26"/>
    <mergeCell ref="L509:M509"/>
    <mergeCell ref="AE5:AG5"/>
    <mergeCell ref="P358:Q358"/>
    <mergeCell ref="J158:K158"/>
    <mergeCell ref="J45:S45"/>
    <mergeCell ref="M84:S84"/>
    <mergeCell ref="J489:K489"/>
    <mergeCell ref="J160:K160"/>
    <mergeCell ref="M86:S86"/>
    <mergeCell ref="L555:M555"/>
    <mergeCell ref="H455:L455"/>
    <mergeCell ref="J491:K491"/>
    <mergeCell ref="AB22:AD22"/>
    <mergeCell ref="J72:K72"/>
    <mergeCell ref="L557:M557"/>
    <mergeCell ref="J484:K484"/>
    <mergeCell ref="A416:S416"/>
    <mergeCell ref="J30:K30"/>
    <mergeCell ref="I269:K269"/>
    <mergeCell ref="A314:G314"/>
    <mergeCell ref="H452:L452"/>
    <mergeCell ref="G171:K171"/>
    <mergeCell ref="J517:K517"/>
    <mergeCell ref="J54:K54"/>
    <mergeCell ref="G357:K357"/>
    <mergeCell ref="J212:K212"/>
    <mergeCell ref="B7:D7"/>
    <mergeCell ref="J56:K56"/>
    <mergeCell ref="J214:K214"/>
    <mergeCell ref="B465:D465"/>
    <mergeCell ref="B421:D421"/>
    <mergeCell ref="A139:S139"/>
    <mergeCell ref="P310:Q310"/>
    <mergeCell ref="J414:S414"/>
    <mergeCell ref="M455:S455"/>
    <mergeCell ref="J441:K441"/>
    <mergeCell ref="A362:G362"/>
    <mergeCell ref="J530:K530"/>
    <mergeCell ref="G401:K401"/>
    <mergeCell ref="J532:K532"/>
    <mergeCell ref="G403:K403"/>
    <mergeCell ref="O361:Q361"/>
    <mergeCell ref="P539:Q539"/>
    <mergeCell ref="M452:S452"/>
    <mergeCell ref="A49:C49"/>
    <mergeCell ref="A369:S369"/>
    <mergeCell ref="J154:K154"/>
    <mergeCell ref="J583:K583"/>
    <mergeCell ref="J120:K120"/>
    <mergeCell ref="A137:I137"/>
    <mergeCell ref="L136:Q136"/>
    <mergeCell ref="J156:K156"/>
    <mergeCell ref="J43:S43"/>
    <mergeCell ref="J155:K155"/>
    <mergeCell ref="J426:K426"/>
    <mergeCell ref="J578:K578"/>
    <mergeCell ref="J157:K157"/>
    <mergeCell ref="J151:K151"/>
    <mergeCell ref="AH2:AJ2"/>
    <mergeCell ref="G447:K447"/>
    <mergeCell ref="K128:M128"/>
    <mergeCell ref="J296:K296"/>
    <mergeCell ref="J367:S367"/>
    <mergeCell ref="J298:K298"/>
    <mergeCell ref="T83:Z83"/>
    <mergeCell ref="B513:D513"/>
    <mergeCell ref="J297:K297"/>
    <mergeCell ref="AB4:AD4"/>
    <mergeCell ref="A367:I367"/>
    <mergeCell ref="A183:I183"/>
    <mergeCell ref="J299:K299"/>
    <mergeCell ref="F371:G371"/>
    <mergeCell ref="L355:M355"/>
    <mergeCell ref="J326:M326"/>
    <mergeCell ref="B514:D514"/>
    <mergeCell ref="J381:K381"/>
    <mergeCell ref="H590:L590"/>
    <mergeCell ref="A358:G358"/>
    <mergeCell ref="J526:K526"/>
    <mergeCell ref="A360:G360"/>
    <mergeCell ref="J528:K528"/>
    <mergeCell ref="A84:G84"/>
    <mergeCell ref="A277:S277"/>
    <mergeCell ref="A86:G86"/>
    <mergeCell ref="J523:K523"/>
    <mergeCell ref="L281:M281"/>
    <mergeCell ref="L585:M585"/>
    <mergeCell ref="F417:G417"/>
    <mergeCell ref="M593:S593"/>
    <mergeCell ref="A278:S278"/>
    <mergeCell ref="J247:K247"/>
    <mergeCell ref="I131:K131"/>
    <mergeCell ref="F419:G419"/>
    <mergeCell ref="J249:K249"/>
    <mergeCell ref="J241:K241"/>
    <mergeCell ref="A598:I598"/>
    <mergeCell ref="N371:O371"/>
    <mergeCell ref="A507:S507"/>
    <mergeCell ref="J183:S183"/>
    <mergeCell ref="J289:K289"/>
    <mergeCell ref="H130:L130"/>
    <mergeCell ref="N3:O3"/>
    <mergeCell ref="J166:K166"/>
    <mergeCell ref="H132:L132"/>
    <mergeCell ref="B90:H90"/>
    <mergeCell ref="M363:S363"/>
    <mergeCell ref="T9:X9"/>
    <mergeCell ref="J191:K191"/>
    <mergeCell ref="A452:G452"/>
    <mergeCell ref="N417:O417"/>
    <mergeCell ref="G493:K493"/>
    <mergeCell ref="L79:M79"/>
    <mergeCell ref="G309:K309"/>
    <mergeCell ref="AH12:AJ12"/>
    <mergeCell ref="J192:K192"/>
    <mergeCell ref="G495:K495"/>
    <mergeCell ref="AH14:AJ14"/>
    <mergeCell ref="J194:K194"/>
    <mergeCell ref="F511:G511"/>
    <mergeCell ref="B559:D559"/>
    <mergeCell ref="J333:K333"/>
    <mergeCell ref="AE29:AG29"/>
    <mergeCell ref="A322:I322"/>
    <mergeCell ref="J135:S135"/>
    <mergeCell ref="J245:K245"/>
    <mergeCell ref="M130:S130"/>
    <mergeCell ref="J334:K334"/>
    <mergeCell ref="AH25:AJ25"/>
    <mergeCell ref="M132:S132"/>
    <mergeCell ref="B407:F407"/>
    <mergeCell ref="J205:K205"/>
    <mergeCell ref="J336:K336"/>
    <mergeCell ref="P588:Q588"/>
    <mergeCell ref="M590:S590"/>
    <mergeCell ref="V5:X5"/>
    <mergeCell ref="J275:S275"/>
    <mergeCell ref="A187:C187"/>
    <mergeCell ref="A551:I551"/>
    <mergeCell ref="P128:Q128"/>
    <mergeCell ref="J258:K258"/>
    <mergeCell ref="J565:K565"/>
    <mergeCell ref="B39:F39"/>
    <mergeCell ref="J181:S181"/>
    <mergeCell ref="J260:K260"/>
    <mergeCell ref="B511:D511"/>
    <mergeCell ref="J506:S506"/>
    <mergeCell ref="G585:K585"/>
    <mergeCell ref="K266:M266"/>
    <mergeCell ref="J434:K434"/>
    <mergeCell ref="J505:S505"/>
    <mergeCell ref="N141:O141"/>
    <mergeCell ref="H270:L270"/>
    <mergeCell ref="A590:G590"/>
    <mergeCell ref="A318:I318"/>
    <mergeCell ref="AE27:AG27"/>
    <mergeCell ref="J7:K7"/>
    <mergeCell ref="J330:K330"/>
    <mergeCell ref="AE20:AG20"/>
    <mergeCell ref="J332:K332"/>
    <mergeCell ref="AE22:AG22"/>
    <mergeCell ref="A415:S415"/>
    <mergeCell ref="B131:F131"/>
    <mergeCell ref="J60:K60"/>
    <mergeCell ref="J273:S273"/>
    <mergeCell ref="J234:O234"/>
    <mergeCell ref="J53:K53"/>
    <mergeCell ref="J387:K387"/>
    <mergeCell ref="J343:K343"/>
    <mergeCell ref="J345:K345"/>
    <mergeCell ref="H317:L317"/>
    <mergeCell ref="N509:O509"/>
    <mergeCell ref="A325:C325"/>
    <mergeCell ref="J71:K71"/>
    <mergeCell ref="J73:K73"/>
    <mergeCell ref="A413:I413"/>
    <mergeCell ref="J102:K102"/>
    <mergeCell ref="J425:K425"/>
    <mergeCell ref="J318:S318"/>
    <mergeCell ref="Z12:AA12"/>
    <mergeCell ref="B228:H228"/>
    <mergeCell ref="P172:Q172"/>
    <mergeCell ref="Z14:AA14"/>
    <mergeCell ref="A555:C555"/>
    <mergeCell ref="A133:G133"/>
    <mergeCell ref="J295:K295"/>
    <mergeCell ref="M40:S40"/>
    <mergeCell ref="O223:Q223"/>
    <mergeCell ref="G446:K446"/>
    <mergeCell ref="B373:D373"/>
    <mergeCell ref="AE9:AG9"/>
    <mergeCell ref="AB8:AD8"/>
    <mergeCell ref="J471:K471"/>
    <mergeCell ref="A460:I460"/>
    <mergeCell ref="AB10:AD10"/>
    <mergeCell ref="AE11:AG11"/>
    <mergeCell ref="J473:K473"/>
    <mergeCell ref="J16:K16"/>
    <mergeCell ref="J229:S229"/>
    <mergeCell ref="J168:K168"/>
    <mergeCell ref="J472:K472"/>
    <mergeCell ref="AE4:AG4"/>
    <mergeCell ref="L143:M143"/>
    <mergeCell ref="B545:F545"/>
    <mergeCell ref="B274:H274"/>
    <mergeCell ref="H313:L313"/>
    <mergeCell ref="J67:K67"/>
    <mergeCell ref="J413:S413"/>
    <mergeCell ref="J69:K69"/>
    <mergeCell ref="AB21:AD21"/>
    <mergeCell ref="G355:K355"/>
    <mergeCell ref="P266:Q266"/>
    <mergeCell ref="AB23:AD23"/>
    <mergeCell ref="J396:K396"/>
    <mergeCell ref="J527:K527"/>
    <mergeCell ref="J485:K485"/>
    <mergeCell ref="B320:H320"/>
    <mergeCell ref="K496:M496"/>
    <mergeCell ref="J398:K398"/>
    <mergeCell ref="A41:G41"/>
    <mergeCell ref="AB51:AD51"/>
    <mergeCell ref="A226:I226"/>
    <mergeCell ref="Z10:AA10"/>
    <mergeCell ref="L586:M586"/>
    <mergeCell ref="J238:K238"/>
    <mergeCell ref="J240:K240"/>
    <mergeCell ref="H83:L83"/>
    <mergeCell ref="K82:M82"/>
    <mergeCell ref="B366:H366"/>
    <mergeCell ref="H408:L408"/>
    <mergeCell ref="J108:K108"/>
    <mergeCell ref="Z21:AA21"/>
    <mergeCell ref="J442:K442"/>
    <mergeCell ref="A271:G271"/>
    <mergeCell ref="Z29:AA29"/>
    <mergeCell ref="M362:S362"/>
    <mergeCell ref="Z23:AA23"/>
    <mergeCell ref="M178:S178"/>
    <mergeCell ref="AB6:AD6"/>
    <mergeCell ref="B54:D54"/>
    <mergeCell ref="Z24:AA24"/>
    <mergeCell ref="J470:K470"/>
    <mergeCell ref="B468:D468"/>
    <mergeCell ref="O545:Q545"/>
    <mergeCell ref="J42:S42"/>
    <mergeCell ref="P174:Q174"/>
    <mergeCell ref="K312:M312"/>
    <mergeCell ref="AB17:AD17"/>
    <mergeCell ref="J411:S411"/>
    <mergeCell ref="M83:S83"/>
    <mergeCell ref="J490:K490"/>
    <mergeCell ref="AB19:AD19"/>
    <mergeCell ref="A594:I594"/>
    <mergeCell ref="M408:S408"/>
    <mergeCell ref="B412:H412"/>
    <mergeCell ref="B100:D100"/>
    <mergeCell ref="A317:G317"/>
    <mergeCell ref="AB20:AD20"/>
    <mergeCell ref="J483:K483"/>
    <mergeCell ref="AB14:AD14"/>
    <mergeCell ref="L539:M539"/>
    <mergeCell ref="A595:I595"/>
    <mergeCell ref="I85:K85"/>
    <mergeCell ref="A463:C463"/>
    <mergeCell ref="AH29:AJ29"/>
    <mergeCell ref="A312:G312"/>
    <mergeCell ref="J209:K209"/>
    <mergeCell ref="J211:K211"/>
    <mergeCell ref="J536:K536"/>
    <mergeCell ref="H589:L589"/>
    <mergeCell ref="J560:K560"/>
    <mergeCell ref="P3:Q3"/>
    <mergeCell ref="J106:K106"/>
    <mergeCell ref="J562:K562"/>
    <mergeCell ref="A552:I552"/>
    <mergeCell ref="P5:Q5"/>
    <mergeCell ref="J433:K433"/>
    <mergeCell ref="H221:L221"/>
    <mergeCell ref="J435:K435"/>
    <mergeCell ref="J134:S134"/>
    <mergeCell ref="L504:Q504"/>
    <mergeCell ref="F3:G3"/>
    <mergeCell ref="K220:M220"/>
    <mergeCell ref="P450:Q450"/>
    <mergeCell ref="J580:K580"/>
    <mergeCell ref="M500:S500"/>
    <mergeCell ref="A134:I134"/>
    <mergeCell ref="B504:H504"/>
    <mergeCell ref="M589:S589"/>
    <mergeCell ref="J283:K283"/>
    <mergeCell ref="J581:K581"/>
    <mergeCell ref="M501:S501"/>
    <mergeCell ref="L34:M34"/>
    <mergeCell ref="J577:K577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2" horizontalDpi="360" verticalDpi="360"/>
  <rowBreaks count="27" manualBreakCount="27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6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  <brk id="1242" min="0" max="34" man="1"/>
  </rowBreaks>
  <colBreaks count="1" manualBreakCount="1">
    <brk id="19" min="0" max="1199" man="1"/>
  </col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1"/>
  <sheetViews>
    <sheetView view="pageBreakPreview" zoomScale="85" zoomScaleNormal="85" zoomScaleSheetLayoutView="85" workbookViewId="0">
      <selection activeCell="N31" sqref="N31"/>
    </sheetView>
  </sheetViews>
  <sheetFormatPr baseColWidth="8" defaultRowHeight="23.4"/>
  <cols>
    <col width="6.88671875" customWidth="1" style="375" min="1" max="1"/>
    <col width="31.88671875" customWidth="1" style="375" min="2" max="2"/>
    <col width="6.6640625" customWidth="1" style="375" min="3" max="3"/>
    <col width="13.5546875" customWidth="1" style="375" min="4" max="4"/>
    <col width="6.6640625" customWidth="1" style="375" min="5" max="5"/>
    <col width="13.5546875" customWidth="1" style="375" min="6" max="6"/>
    <col width="6.6640625" customWidth="1" style="375" min="7" max="7"/>
    <col width="13.5546875" customWidth="1" style="375" min="8" max="8"/>
    <col width="6.6640625" customWidth="1" style="375" min="9" max="9"/>
    <col width="13.5546875" customWidth="1" style="375" min="10" max="10"/>
    <col width="6.6640625" customWidth="1" style="375" min="11" max="11"/>
    <col width="13.5546875" customWidth="1" style="375" min="12" max="12"/>
    <col width="6.88671875" customWidth="1" style="375" min="13" max="13"/>
    <col width="13.5546875" customWidth="1" style="375" min="14" max="15"/>
    <col width="17.33203125" customWidth="1" style="375" min="16" max="16"/>
  </cols>
  <sheetData>
    <row r="1" ht="13.5" customHeight="1" s="375">
      <c r="A1" s="26" t="n"/>
      <c r="B1" s="26" t="n"/>
      <c r="C1" s="26" t="n"/>
      <c r="D1" s="41" t="n"/>
      <c r="E1" s="41" t="n"/>
      <c r="F1" s="41" t="n"/>
      <c r="G1" s="41" t="n"/>
      <c r="H1" s="41" t="n"/>
      <c r="I1" s="27" t="n"/>
      <c r="J1" s="26" t="n"/>
      <c r="K1" s="26" t="n"/>
      <c r="L1" s="26" t="n"/>
      <c r="M1" s="26" t="n"/>
      <c r="N1" s="26" t="n"/>
      <c r="O1" s="26" t="n"/>
      <c r="P1" s="26" t="n"/>
    </row>
    <row r="2" ht="13.5" customHeight="1" s="375">
      <c r="A2" s="26" t="n"/>
      <c r="B2" s="26" t="n"/>
      <c r="C2" s="26" t="n"/>
      <c r="D2" s="452" t="inlineStr">
        <is>
          <t>แผนกช่างยนต์</t>
        </is>
      </c>
      <c r="I2" s="27" t="n"/>
      <c r="J2" s="26" t="n"/>
      <c r="K2" s="26" t="n"/>
      <c r="L2" s="26" t="n"/>
      <c r="M2" s="26" t="n"/>
      <c r="N2" s="26" t="n"/>
      <c r="O2" s="26" t="n"/>
      <c r="P2" s="26" t="n"/>
    </row>
    <row r="3" ht="15" customHeight="1" s="375">
      <c r="A3" s="26" t="n"/>
      <c r="B3" s="26" t="n"/>
      <c r="C3" s="26" t="n"/>
      <c r="I3" s="27" t="n"/>
      <c r="J3" s="26" t="n"/>
      <c r="K3" s="26" t="n"/>
      <c r="L3" s="26" t="n"/>
      <c r="M3" s="26" t="n"/>
      <c r="N3" s="26" t="n"/>
      <c r="O3" s="26" t="n"/>
      <c r="P3" s="26" t="n"/>
    </row>
    <row r="4" ht="30.75" customHeight="1" s="375">
      <c r="A4" s="26" t="n"/>
      <c r="B4" s="26" t="n"/>
      <c r="C4" s="26" t="n"/>
      <c r="D4" s="451" t="inlineStr">
        <is>
          <t>ครูประจำ</t>
        </is>
      </c>
      <c r="I4" s="27" t="n"/>
      <c r="J4" s="26" t="n"/>
      <c r="K4" s="26" t="n"/>
      <c r="L4" s="26" t="n"/>
      <c r="M4" s="26" t="n"/>
      <c r="N4" s="26" t="n"/>
      <c r="O4" s="26" t="n"/>
      <c r="P4" s="26" t="n"/>
    </row>
    <row r="5" ht="21.75" customHeight="1" s="375">
      <c r="A5" s="552" t="inlineStr">
        <is>
          <t>ลำดับ</t>
        </is>
      </c>
      <c r="B5" s="553" t="inlineStr">
        <is>
          <t>ชื่อ-สกุล</t>
        </is>
      </c>
      <c r="C5" s="554" t="n">
        <v>1</v>
      </c>
      <c r="D5" s="432" t="n"/>
      <c r="E5" s="554" t="n">
        <v>2</v>
      </c>
      <c r="F5" s="432" t="n"/>
      <c r="G5" s="554" t="n">
        <v>3</v>
      </c>
      <c r="H5" s="432" t="n"/>
      <c r="I5" s="554" t="n">
        <v>4</v>
      </c>
      <c r="J5" s="432" t="n"/>
      <c r="K5" s="554" t="n">
        <v>5</v>
      </c>
      <c r="L5" s="432" t="n"/>
      <c r="M5" s="554" t="n">
        <v>6</v>
      </c>
      <c r="N5" s="432" t="n"/>
      <c r="O5" s="553" t="inlineStr">
        <is>
          <t>รวม / ชม.</t>
        </is>
      </c>
      <c r="P5" s="553" t="inlineStr">
        <is>
          <t>รวม / เงิน</t>
        </is>
      </c>
    </row>
    <row r="6" ht="21.75" customHeight="1" s="375">
      <c r="A6" s="525" t="n"/>
      <c r="B6" s="525" t="n"/>
      <c r="C6" s="28" t="inlineStr">
        <is>
          <t>ชม/ส</t>
        </is>
      </c>
      <c r="D6" s="28" t="inlineStr">
        <is>
          <t>เงิน</t>
        </is>
      </c>
      <c r="E6" s="28" t="inlineStr">
        <is>
          <t>ชม/ส</t>
        </is>
      </c>
      <c r="F6" s="28" t="inlineStr">
        <is>
          <t>เงิน</t>
        </is>
      </c>
      <c r="G6" s="28" t="inlineStr">
        <is>
          <t>ชม/ส</t>
        </is>
      </c>
      <c r="H6" s="28" t="inlineStr">
        <is>
          <t>เงิน</t>
        </is>
      </c>
      <c r="I6" s="28" t="inlineStr">
        <is>
          <t>ชม/ส</t>
        </is>
      </c>
      <c r="J6" s="28" t="inlineStr">
        <is>
          <t>เงิน</t>
        </is>
      </c>
      <c r="K6" s="28" t="inlineStr">
        <is>
          <t>ชม/ส</t>
        </is>
      </c>
      <c r="L6" s="28" t="inlineStr">
        <is>
          <t>เงิน</t>
        </is>
      </c>
      <c r="M6" s="28" t="inlineStr">
        <is>
          <t>ชม/ส</t>
        </is>
      </c>
      <c r="N6" s="28" t="inlineStr">
        <is>
          <t>เงิน</t>
        </is>
      </c>
      <c r="O6" s="525" t="n"/>
      <c r="P6" s="525" t="n"/>
    </row>
    <row r="7" ht="21.75" customHeight="1" s="375">
      <c r="A7" s="29" t="n">
        <v>1</v>
      </c>
      <c r="B7" s="30">
        <f>'สัปดาห์ที่ 1'!AB3</f>
        <v/>
      </c>
      <c r="C7" s="30">
        <f>'สัปดาห์ที่ 1'!AE3</f>
        <v/>
      </c>
      <c r="D7" s="31">
        <f>'สัปดาห์ที่ 1'!AH3</f>
        <v/>
      </c>
      <c r="E7" s="30">
        <f>'สัปดาห์ที่ 2'!AE3</f>
        <v/>
      </c>
      <c r="F7" s="31">
        <f>'สัปดาห์ที่ 2'!AH3</f>
        <v/>
      </c>
      <c r="G7" s="30">
        <f>'สัปดาห์ที่ 3'!AE3</f>
        <v/>
      </c>
      <c r="H7" s="31">
        <f>'สัปดาห์ที่ 3'!AH3</f>
        <v/>
      </c>
      <c r="I7" s="30">
        <f>'สัปดาห์ที่ 4'!AE3</f>
        <v/>
      </c>
      <c r="J7" s="31">
        <f>'สัปดาห์ที่ 4'!AH3</f>
        <v/>
      </c>
      <c r="K7" s="30">
        <f>'สัปดาห์ที่ 5'!AE3</f>
        <v/>
      </c>
      <c r="L7" s="31">
        <f>'สัปดาห์ที่ 5'!AH3</f>
        <v/>
      </c>
      <c r="M7" s="31" t="n">
        <v>0</v>
      </c>
      <c r="N7" s="31" t="n">
        <v>0</v>
      </c>
      <c r="O7" s="31">
        <f>C7+E7+G7+I7+K7</f>
        <v/>
      </c>
      <c r="P7" s="31">
        <f>D7+F7+H7+J7+L7</f>
        <v/>
      </c>
    </row>
    <row r="8" ht="21.75" customHeight="1" s="375">
      <c r="A8" s="29" t="n">
        <v>2</v>
      </c>
      <c r="B8" s="30">
        <f>'สัปดาห์ที่ 1'!AB4</f>
        <v/>
      </c>
      <c r="C8" s="30">
        <f>'สัปดาห์ที่ 1'!AE4</f>
        <v/>
      </c>
      <c r="D8" s="31">
        <f>'สัปดาห์ที่ 1'!AH4</f>
        <v/>
      </c>
      <c r="E8" s="30">
        <f>'สัปดาห์ที่ 2'!AE4</f>
        <v/>
      </c>
      <c r="F8" s="31">
        <f>'สัปดาห์ที่ 2'!AH4</f>
        <v/>
      </c>
      <c r="G8" s="30">
        <f>'สัปดาห์ที่ 3'!AE4</f>
        <v/>
      </c>
      <c r="H8" s="31">
        <f>'สัปดาห์ที่ 3'!AH4</f>
        <v/>
      </c>
      <c r="I8" s="30">
        <f>'สัปดาห์ที่ 4'!AE4</f>
        <v/>
      </c>
      <c r="J8" s="31">
        <f>'สัปดาห์ที่ 4'!AH4</f>
        <v/>
      </c>
      <c r="K8" s="30">
        <f>'สัปดาห์ที่ 5'!AE4</f>
        <v/>
      </c>
      <c r="L8" s="31">
        <f>'สัปดาห์ที่ 5'!AH4</f>
        <v/>
      </c>
      <c r="M8" s="31" t="n">
        <v>0</v>
      </c>
      <c r="N8" s="31" t="n">
        <v>0</v>
      </c>
      <c r="O8" s="31">
        <f>C8+E8+G8+I8+K8</f>
        <v/>
      </c>
      <c r="P8" s="31">
        <f>D8+F8+H8+J8+L8</f>
        <v/>
      </c>
    </row>
    <row r="9" ht="21.75" customHeight="1" s="375">
      <c r="A9" s="29" t="n">
        <v>3</v>
      </c>
      <c r="B9" s="30">
        <f>'สัปดาห์ที่ 1'!AB5</f>
        <v/>
      </c>
      <c r="C9" s="30">
        <f>'สัปดาห์ที่ 1'!AE5</f>
        <v/>
      </c>
      <c r="D9" s="31">
        <f>'สัปดาห์ที่ 1'!AH5</f>
        <v/>
      </c>
      <c r="E9" s="30">
        <f>'สัปดาห์ที่ 2'!AE5</f>
        <v/>
      </c>
      <c r="F9" s="31">
        <f>'สัปดาห์ที่ 2'!AH5</f>
        <v/>
      </c>
      <c r="G9" s="30">
        <f>'สัปดาห์ที่ 3'!AE5</f>
        <v/>
      </c>
      <c r="H9" s="31">
        <f>'สัปดาห์ที่ 3'!AH5</f>
        <v/>
      </c>
      <c r="I9" s="30">
        <f>'สัปดาห์ที่ 4'!AE5</f>
        <v/>
      </c>
      <c r="J9" s="31">
        <f>'สัปดาห์ที่ 4'!AH5</f>
        <v/>
      </c>
      <c r="K9" s="30">
        <f>'สัปดาห์ที่ 5'!AE5</f>
        <v/>
      </c>
      <c r="L9" s="31">
        <f>'สัปดาห์ที่ 5'!AH5</f>
        <v/>
      </c>
      <c r="M9" s="31" t="n">
        <v>0</v>
      </c>
      <c r="N9" s="31" t="n">
        <v>0</v>
      </c>
      <c r="O9" s="31">
        <f>C9+E9+G9+I9+K9</f>
        <v/>
      </c>
      <c r="P9" s="31">
        <f>D9+F9+H9+J9+L9</f>
        <v/>
      </c>
    </row>
    <row r="10" ht="21.75" customHeight="1" s="375">
      <c r="A10" s="29" t="n">
        <v>4</v>
      </c>
      <c r="B10" s="30">
        <f>'สัปดาห์ที่ 1'!AB6</f>
        <v/>
      </c>
      <c r="C10" s="30">
        <f>'สัปดาห์ที่ 1'!AE6</f>
        <v/>
      </c>
      <c r="D10" s="31">
        <f>'สัปดาห์ที่ 1'!AH6</f>
        <v/>
      </c>
      <c r="E10" s="30">
        <f>'สัปดาห์ที่ 2'!AE6</f>
        <v/>
      </c>
      <c r="F10" s="31">
        <f>'สัปดาห์ที่ 2'!AH6</f>
        <v/>
      </c>
      <c r="G10" s="30">
        <f>'สัปดาห์ที่ 3'!AE6</f>
        <v/>
      </c>
      <c r="H10" s="31">
        <f>'สัปดาห์ที่ 3'!AH6</f>
        <v/>
      </c>
      <c r="I10" s="30">
        <f>'สัปดาห์ที่ 4'!AE6</f>
        <v/>
      </c>
      <c r="J10" s="31">
        <f>'สัปดาห์ที่ 4'!AH6</f>
        <v/>
      </c>
      <c r="K10" s="30">
        <f>'สัปดาห์ที่ 5'!AE6</f>
        <v/>
      </c>
      <c r="L10" s="31">
        <f>'สัปดาห์ที่ 5'!AH6</f>
        <v/>
      </c>
      <c r="M10" s="31" t="n">
        <v>0</v>
      </c>
      <c r="N10" s="31" t="n">
        <v>0</v>
      </c>
      <c r="O10" s="31">
        <f>C10+E10+G10+I10+K10</f>
        <v/>
      </c>
      <c r="P10" s="31">
        <f>D10+F10+H10+J10+L10</f>
        <v/>
      </c>
    </row>
    <row r="11" ht="21.75" customHeight="1" s="375">
      <c r="A11" s="29" t="n">
        <v>5</v>
      </c>
      <c r="B11" s="30">
        <f>'สัปดาห์ที่ 1'!AB7</f>
        <v/>
      </c>
      <c r="C11" s="30">
        <f>'สัปดาห์ที่ 1'!AE7</f>
        <v/>
      </c>
      <c r="D11" s="31">
        <f>'สัปดาห์ที่ 1'!AH7</f>
        <v/>
      </c>
      <c r="E11" s="30">
        <f>'สัปดาห์ที่ 2'!AE7</f>
        <v/>
      </c>
      <c r="F11" s="31">
        <f>'สัปดาห์ที่ 2'!AH7</f>
        <v/>
      </c>
      <c r="G11" s="30">
        <f>'สัปดาห์ที่ 3'!AE7</f>
        <v/>
      </c>
      <c r="H11" s="31">
        <f>'สัปดาห์ที่ 3'!AH7</f>
        <v/>
      </c>
      <c r="I11" s="30">
        <f>'สัปดาห์ที่ 4'!AE7</f>
        <v/>
      </c>
      <c r="J11" s="31">
        <f>'สัปดาห์ที่ 4'!AH7</f>
        <v/>
      </c>
      <c r="K11" s="30">
        <f>'สัปดาห์ที่ 5'!AE7</f>
        <v/>
      </c>
      <c r="L11" s="31">
        <f>'สัปดาห์ที่ 5'!AH7</f>
        <v/>
      </c>
      <c r="M11" s="31" t="n">
        <v>0</v>
      </c>
      <c r="N11" s="31" t="n">
        <v>0</v>
      </c>
      <c r="O11" s="31">
        <f>C11+E11+G11+I11+K11</f>
        <v/>
      </c>
      <c r="P11" s="31">
        <f>D11+F11+H11+J11+L11</f>
        <v/>
      </c>
    </row>
    <row r="12" ht="21.75" customHeight="1" s="375">
      <c r="A12" s="29" t="n">
        <v>6</v>
      </c>
      <c r="B12" s="30">
        <f>'สัปดาห์ที่ 1'!AB8</f>
        <v/>
      </c>
      <c r="C12" s="30">
        <f>'สัปดาห์ที่ 1'!AE8</f>
        <v/>
      </c>
      <c r="D12" s="31">
        <f>'สัปดาห์ที่ 1'!AH8</f>
        <v/>
      </c>
      <c r="E12" s="30">
        <f>'สัปดาห์ที่ 2'!AE8</f>
        <v/>
      </c>
      <c r="F12" s="31">
        <f>'สัปดาห์ที่ 2'!AH8</f>
        <v/>
      </c>
      <c r="G12" s="30">
        <f>'สัปดาห์ที่ 3'!AE8</f>
        <v/>
      </c>
      <c r="H12" s="31">
        <f>'สัปดาห์ที่ 3'!AH8</f>
        <v/>
      </c>
      <c r="I12" s="30">
        <f>'สัปดาห์ที่ 4'!AE8</f>
        <v/>
      </c>
      <c r="J12" s="31">
        <f>'สัปดาห์ที่ 4'!AH8</f>
        <v/>
      </c>
      <c r="K12" s="30">
        <f>'สัปดาห์ที่ 5'!AE8</f>
        <v/>
      </c>
      <c r="L12" s="31">
        <f>'สัปดาห์ที่ 5'!AH8</f>
        <v/>
      </c>
      <c r="M12" s="31" t="n">
        <v>0</v>
      </c>
      <c r="N12" s="31" t="n">
        <v>0</v>
      </c>
      <c r="O12" s="31">
        <f>C12+E12+G12+I12+K12</f>
        <v/>
      </c>
      <c r="P12" s="31">
        <f>D12+F12+H12+J12+L12</f>
        <v/>
      </c>
    </row>
    <row r="13" ht="21.75" customHeight="1" s="375">
      <c r="A13" s="29" t="n">
        <v>7</v>
      </c>
      <c r="B13" s="30">
        <f>'สัปดาห์ที่ 1'!AB9</f>
        <v/>
      </c>
      <c r="C13" s="30">
        <f>'สัปดาห์ที่ 1'!AE9</f>
        <v/>
      </c>
      <c r="D13" s="31">
        <f>'สัปดาห์ที่ 1'!AH9</f>
        <v/>
      </c>
      <c r="E13" s="30">
        <f>'สัปดาห์ที่ 2'!AE9</f>
        <v/>
      </c>
      <c r="F13" s="31">
        <f>'สัปดาห์ที่ 2'!AH9</f>
        <v/>
      </c>
      <c r="G13" s="30">
        <f>'สัปดาห์ที่ 3'!AE9</f>
        <v/>
      </c>
      <c r="H13" s="31">
        <f>'สัปดาห์ที่ 3'!AH9</f>
        <v/>
      </c>
      <c r="I13" s="30">
        <f>'สัปดาห์ที่ 4'!AE9</f>
        <v/>
      </c>
      <c r="J13" s="31">
        <f>'สัปดาห์ที่ 4'!AH9</f>
        <v/>
      </c>
      <c r="K13" s="30">
        <f>'สัปดาห์ที่ 5'!AE9</f>
        <v/>
      </c>
      <c r="L13" s="31">
        <f>'สัปดาห์ที่ 5'!AH9</f>
        <v/>
      </c>
      <c r="M13" s="31" t="n">
        <v>0</v>
      </c>
      <c r="N13" s="31" t="n">
        <v>0</v>
      </c>
      <c r="O13" s="31">
        <f>C13+E13+G13+I13+K13</f>
        <v/>
      </c>
      <c r="P13" s="31">
        <f>D13+F13+H13+J13+L13</f>
        <v/>
      </c>
    </row>
    <row r="14" ht="21.75" customHeight="1" s="375">
      <c r="A14" s="29" t="n">
        <v>8</v>
      </c>
      <c r="B14" s="30">
        <f>'สัปดาห์ที่ 1'!AB10</f>
        <v/>
      </c>
      <c r="C14" s="30">
        <f>'สัปดาห์ที่ 1'!AE10</f>
        <v/>
      </c>
      <c r="D14" s="31">
        <f>'สัปดาห์ที่ 1'!AH10</f>
        <v/>
      </c>
      <c r="E14" s="30">
        <f>'สัปดาห์ที่ 2'!AE10</f>
        <v/>
      </c>
      <c r="F14" s="31">
        <f>'สัปดาห์ที่ 2'!AH10</f>
        <v/>
      </c>
      <c r="G14" s="30">
        <f>'สัปดาห์ที่ 3'!AE10</f>
        <v/>
      </c>
      <c r="H14" s="31">
        <f>'สัปดาห์ที่ 3'!AH10</f>
        <v/>
      </c>
      <c r="I14" s="30">
        <f>'สัปดาห์ที่ 4'!AE10</f>
        <v/>
      </c>
      <c r="J14" s="31">
        <f>'สัปดาห์ที่ 4'!AH10</f>
        <v/>
      </c>
      <c r="K14" s="30">
        <f>'สัปดาห์ที่ 5'!AE10</f>
        <v/>
      </c>
      <c r="L14" s="31">
        <f>'สัปดาห์ที่ 5'!AH10</f>
        <v/>
      </c>
      <c r="M14" s="31" t="n">
        <v>0</v>
      </c>
      <c r="N14" s="31" t="n">
        <v>0</v>
      </c>
      <c r="O14" s="31">
        <f>C14+E14+G14+I14+K14</f>
        <v/>
      </c>
      <c r="P14" s="31">
        <f>D14+F14+H14+J14+L14</f>
        <v/>
      </c>
    </row>
    <row r="15" ht="21.75" customHeight="1" s="375">
      <c r="A15" s="29" t="n">
        <v>9</v>
      </c>
      <c r="B15" s="30">
        <f>'สัปดาห์ที่ 1'!AB11</f>
        <v/>
      </c>
      <c r="C15" s="30">
        <f>'สัปดาห์ที่ 1'!AE11</f>
        <v/>
      </c>
      <c r="D15" s="31">
        <f>'สัปดาห์ที่ 1'!AH11</f>
        <v/>
      </c>
      <c r="E15" s="30">
        <f>'สัปดาห์ที่ 2'!AE11</f>
        <v/>
      </c>
      <c r="F15" s="31">
        <f>'สัปดาห์ที่ 2'!AH11</f>
        <v/>
      </c>
      <c r="G15" s="30">
        <f>'สัปดาห์ที่ 3'!AE11</f>
        <v/>
      </c>
      <c r="H15" s="31">
        <f>'สัปดาห์ที่ 3'!AH11</f>
        <v/>
      </c>
      <c r="I15" s="30">
        <f>'สัปดาห์ที่ 4'!AE11</f>
        <v/>
      </c>
      <c r="J15" s="31">
        <f>'สัปดาห์ที่ 4'!AH11</f>
        <v/>
      </c>
      <c r="K15" s="30">
        <f>'สัปดาห์ที่ 5'!AE11</f>
        <v/>
      </c>
      <c r="L15" s="31">
        <f>'สัปดาห์ที่ 5'!AH11</f>
        <v/>
      </c>
      <c r="M15" s="31" t="n">
        <v>0</v>
      </c>
      <c r="N15" s="31" t="n">
        <v>0</v>
      </c>
      <c r="O15" s="31">
        <f>C15+E15+G15+I15+K15</f>
        <v/>
      </c>
      <c r="P15" s="31">
        <f>D15+F15+H15+J15+L15</f>
        <v/>
      </c>
    </row>
    <row r="16" ht="21.75" customHeight="1" s="375">
      <c r="A16" s="29" t="n">
        <v>10</v>
      </c>
      <c r="B16" s="30">
        <f>'สัปดาห์ที่ 1'!AB12</f>
        <v/>
      </c>
      <c r="C16" s="30">
        <f>'สัปดาห์ที่ 1'!AE12</f>
        <v/>
      </c>
      <c r="D16" s="31">
        <f>'สัปดาห์ที่ 1'!AH12</f>
        <v/>
      </c>
      <c r="E16" s="30">
        <f>'สัปดาห์ที่ 2'!AE12</f>
        <v/>
      </c>
      <c r="F16" s="31">
        <f>'สัปดาห์ที่ 2'!AH12</f>
        <v/>
      </c>
      <c r="G16" s="30">
        <f>'สัปดาห์ที่ 3'!AE12</f>
        <v/>
      </c>
      <c r="H16" s="31">
        <f>'สัปดาห์ที่ 3'!AH12</f>
        <v/>
      </c>
      <c r="I16" s="30">
        <f>'สัปดาห์ที่ 4'!AE12</f>
        <v/>
      </c>
      <c r="J16" s="31">
        <f>'สัปดาห์ที่ 4'!AH12</f>
        <v/>
      </c>
      <c r="K16" s="30">
        <f>'สัปดาห์ที่ 5'!AE12</f>
        <v/>
      </c>
      <c r="L16" s="31">
        <f>'สัปดาห์ที่ 5'!AH12</f>
        <v/>
      </c>
      <c r="M16" s="31" t="n">
        <v>0</v>
      </c>
      <c r="N16" s="31" t="n">
        <v>0</v>
      </c>
      <c r="O16" s="31">
        <f>C16+E16+G16+I16+K16</f>
        <v/>
      </c>
      <c r="P16" s="31">
        <f>D16+F16+H16+J16+L16</f>
        <v/>
      </c>
    </row>
    <row r="17" ht="21.75" customHeight="1" s="375">
      <c r="A17" s="29" t="n">
        <v>11</v>
      </c>
      <c r="B17" s="30">
        <f>'สัปดาห์ที่ 1'!AB13</f>
        <v/>
      </c>
      <c r="C17" s="30">
        <f>'สัปดาห์ที่ 1'!AE13</f>
        <v/>
      </c>
      <c r="D17" s="31">
        <f>'สัปดาห์ที่ 1'!AH13</f>
        <v/>
      </c>
      <c r="E17" s="30">
        <f>'สัปดาห์ที่ 2'!AE13</f>
        <v/>
      </c>
      <c r="F17" s="31">
        <f>'สัปดาห์ที่ 2'!AH13</f>
        <v/>
      </c>
      <c r="G17" s="30">
        <f>'สัปดาห์ที่ 3'!AE13</f>
        <v/>
      </c>
      <c r="H17" s="31">
        <f>'สัปดาห์ที่ 3'!AH13</f>
        <v/>
      </c>
      <c r="I17" s="30">
        <f>'สัปดาห์ที่ 4'!AE13</f>
        <v/>
      </c>
      <c r="J17" s="31">
        <f>'สัปดาห์ที่ 4'!AH13</f>
        <v/>
      </c>
      <c r="K17" s="30">
        <f>'สัปดาห์ที่ 5'!AE13</f>
        <v/>
      </c>
      <c r="L17" s="31">
        <f>'สัปดาห์ที่ 5'!AH13</f>
        <v/>
      </c>
      <c r="M17" s="31" t="n">
        <v>0</v>
      </c>
      <c r="N17" s="31" t="n">
        <v>0</v>
      </c>
      <c r="O17" s="31">
        <f>C17+E17+G17+I17+K17</f>
        <v/>
      </c>
      <c r="P17" s="31">
        <f>D17+F17+H17+J17+L17</f>
        <v/>
      </c>
    </row>
    <row r="18" ht="21.75" customHeight="1" s="375">
      <c r="A18" s="29" t="n">
        <v>12</v>
      </c>
      <c r="B18" s="30">
        <f>'สัปดาห์ที่ 1'!AB14</f>
        <v/>
      </c>
      <c r="C18" s="30">
        <f>'สัปดาห์ที่ 1'!AE14</f>
        <v/>
      </c>
      <c r="D18" s="31">
        <f>'สัปดาห์ที่ 1'!AH14</f>
        <v/>
      </c>
      <c r="E18" s="30">
        <f>'สัปดาห์ที่ 2'!AE14</f>
        <v/>
      </c>
      <c r="F18" s="31">
        <f>'สัปดาห์ที่ 2'!AH14</f>
        <v/>
      </c>
      <c r="G18" s="30">
        <f>'สัปดาห์ที่ 3'!AE14</f>
        <v/>
      </c>
      <c r="H18" s="31">
        <f>'สัปดาห์ที่ 3'!AH14</f>
        <v/>
      </c>
      <c r="I18" s="30">
        <f>'สัปดาห์ที่ 4'!AE14</f>
        <v/>
      </c>
      <c r="J18" s="31">
        <f>'สัปดาห์ที่ 4'!AH14</f>
        <v/>
      </c>
      <c r="K18" s="30">
        <f>'สัปดาห์ที่ 5'!AE14</f>
        <v/>
      </c>
      <c r="L18" s="31">
        <f>'สัปดาห์ที่ 5'!AH14</f>
        <v/>
      </c>
      <c r="M18" s="31" t="n">
        <v>0</v>
      </c>
      <c r="N18" s="31" t="n">
        <v>0</v>
      </c>
      <c r="O18" s="31">
        <f>C18+E18+G18+I18+K18</f>
        <v/>
      </c>
      <c r="P18" s="31">
        <f>D18+F18+H18+J18+L18</f>
        <v/>
      </c>
    </row>
    <row r="19" ht="21.75" customHeight="1" s="375">
      <c r="A19" s="29" t="n">
        <v>13</v>
      </c>
      <c r="B19" s="30">
        <f>'สัปดาห์ที่ 1'!AB15</f>
        <v/>
      </c>
      <c r="C19" s="30">
        <f>'สัปดาห์ที่ 1'!AE15</f>
        <v/>
      </c>
      <c r="D19" s="31">
        <f>'สัปดาห์ที่ 1'!AH15</f>
        <v/>
      </c>
      <c r="E19" s="30">
        <f>'สัปดาห์ที่ 2'!AE15</f>
        <v/>
      </c>
      <c r="F19" s="31">
        <f>'สัปดาห์ที่ 2'!AH15</f>
        <v/>
      </c>
      <c r="G19" s="30">
        <f>'สัปดาห์ที่ 3'!AE15</f>
        <v/>
      </c>
      <c r="H19" s="31">
        <f>'สัปดาห์ที่ 3'!AH15</f>
        <v/>
      </c>
      <c r="I19" s="30">
        <f>'สัปดาห์ที่ 4'!AE15</f>
        <v/>
      </c>
      <c r="J19" s="31">
        <f>'สัปดาห์ที่ 4'!AH15</f>
        <v/>
      </c>
      <c r="K19" s="30">
        <f>'สัปดาห์ที่ 5'!AE15</f>
        <v/>
      </c>
      <c r="L19" s="31">
        <f>'สัปดาห์ที่ 5'!AH15</f>
        <v/>
      </c>
      <c r="M19" s="31" t="n">
        <v>0</v>
      </c>
      <c r="N19" s="31" t="n">
        <v>0</v>
      </c>
      <c r="O19" s="31">
        <f>C19+E19+G19+I19+K19</f>
        <v/>
      </c>
      <c r="P19" s="31">
        <f>D19+F19+H19+J19+L19</f>
        <v/>
      </c>
    </row>
    <row r="20" ht="21.75" customHeight="1" s="375">
      <c r="A20" s="29" t="n"/>
      <c r="B20" s="30" t="n"/>
      <c r="C20" s="30" t="n"/>
      <c r="D20" s="31" t="n"/>
      <c r="E20" s="30" t="n"/>
      <c r="F20" s="31" t="n"/>
      <c r="G20" s="30" t="n"/>
      <c r="H20" s="31" t="n"/>
      <c r="I20" s="30" t="n"/>
      <c r="J20" s="31" t="n"/>
      <c r="K20" s="30" t="n"/>
      <c r="L20" s="31" t="n"/>
      <c r="M20" s="31" t="n"/>
      <c r="N20" s="31" t="n"/>
      <c r="O20" s="31" t="n"/>
      <c r="P20" s="31" t="n"/>
    </row>
    <row r="21" ht="21.75" customHeight="1" s="375">
      <c r="A21" s="29" t="n"/>
      <c r="B21" s="30" t="n"/>
      <c r="C21" s="30" t="n"/>
      <c r="D21" s="31" t="n"/>
      <c r="E21" s="30" t="n"/>
      <c r="F21" s="31" t="n"/>
      <c r="G21" s="30" t="n"/>
      <c r="H21" s="31" t="n"/>
      <c r="I21" s="30" t="n"/>
      <c r="J21" s="31" t="n"/>
      <c r="K21" s="30" t="n"/>
      <c r="L21" s="31" t="n"/>
      <c r="M21" s="31" t="n"/>
      <c r="N21" s="31" t="n"/>
      <c r="O21" s="31" t="n"/>
      <c r="P21" s="31" t="n"/>
    </row>
    <row r="22" ht="21.75" customHeight="1" s="375">
      <c r="A22" s="29" t="n"/>
      <c r="B22" s="30" t="n"/>
      <c r="C22" s="30" t="n"/>
      <c r="D22" s="31" t="n"/>
      <c r="E22" s="30" t="n"/>
      <c r="F22" s="31" t="n"/>
      <c r="G22" s="30" t="n"/>
      <c r="H22" s="31" t="n"/>
      <c r="I22" s="30" t="n"/>
      <c r="J22" s="31" t="n"/>
      <c r="K22" s="30" t="n"/>
      <c r="L22" s="31" t="n"/>
      <c r="M22" s="31" t="n"/>
      <c r="N22" s="31" t="n"/>
      <c r="O22" s="31" t="n"/>
      <c r="P22" s="31" t="n"/>
    </row>
    <row r="23" ht="21.75" customHeight="1" s="375">
      <c r="A23" s="29" t="n"/>
      <c r="B23" s="30" t="n"/>
      <c r="C23" s="30" t="n"/>
      <c r="D23" s="31" t="n"/>
      <c r="E23" s="30" t="n"/>
      <c r="F23" s="31" t="n"/>
      <c r="G23" s="30" t="n"/>
      <c r="H23" s="31" t="n"/>
      <c r="I23" s="30" t="n"/>
      <c r="J23" s="31" t="n"/>
      <c r="K23" s="30" t="n"/>
      <c r="L23" s="31" t="n"/>
      <c r="M23" s="31" t="n"/>
      <c r="N23" s="31" t="n"/>
      <c r="O23" s="31" t="n"/>
      <c r="P23" s="31" t="n"/>
    </row>
    <row r="24" ht="21.75" customHeight="1" s="375">
      <c r="A24" s="29" t="n"/>
      <c r="B24" s="30" t="n"/>
      <c r="C24" s="30" t="n"/>
      <c r="D24" s="31" t="n"/>
      <c r="E24" s="30" t="n"/>
      <c r="F24" s="31" t="n"/>
      <c r="G24" s="30" t="n"/>
      <c r="H24" s="31" t="n"/>
      <c r="I24" s="30" t="n"/>
      <c r="J24" s="31" t="n"/>
      <c r="K24" s="30" t="n"/>
      <c r="L24" s="31" t="n"/>
      <c r="M24" s="31" t="n"/>
      <c r="N24" s="31" t="n"/>
      <c r="O24" s="31" t="n"/>
      <c r="P24" s="31" t="n"/>
    </row>
    <row r="25" ht="21.75" customHeight="1" s="375">
      <c r="A25" s="29" t="n"/>
      <c r="B25" s="30" t="n"/>
      <c r="C25" s="30" t="n"/>
      <c r="D25" s="31" t="n"/>
      <c r="E25" s="30" t="n"/>
      <c r="F25" s="31" t="n"/>
      <c r="G25" s="30" t="n"/>
      <c r="H25" s="31" t="n"/>
      <c r="I25" s="30" t="n"/>
      <c r="J25" s="31" t="n"/>
      <c r="K25" s="30" t="n"/>
      <c r="L25" s="31" t="n"/>
      <c r="M25" s="31" t="n"/>
      <c r="N25" s="31" t="n"/>
      <c r="O25" s="31" t="n"/>
      <c r="P25" s="31" t="n"/>
    </row>
    <row r="26" ht="21.75" customHeight="1" s="375">
      <c r="A26" s="29" t="n"/>
      <c r="B26" s="30" t="n"/>
      <c r="C26" s="30" t="n"/>
      <c r="D26" s="31" t="n"/>
      <c r="E26" s="30" t="n"/>
      <c r="F26" s="31" t="n"/>
      <c r="G26" s="30" t="n"/>
      <c r="H26" s="31" t="n"/>
      <c r="I26" s="30" t="n"/>
      <c r="J26" s="31" t="n"/>
      <c r="K26" s="30" t="n"/>
      <c r="L26" s="31" t="n"/>
      <c r="M26" s="31" t="n"/>
      <c r="N26" s="31" t="n"/>
      <c r="O26" s="31" t="n"/>
      <c r="P26" s="31" t="n"/>
    </row>
    <row r="27" ht="21.75" customHeight="1" s="375">
      <c r="A27" s="445" t="n"/>
      <c r="B27" s="518" t="n"/>
      <c r="C27" s="518" t="n"/>
      <c r="D27" s="518" t="n"/>
      <c r="E27" s="518" t="n"/>
      <c r="F27" s="518" t="n"/>
      <c r="G27" s="518" t="n"/>
      <c r="H27" s="518" t="n"/>
      <c r="I27" s="518" t="n"/>
      <c r="J27" s="518" t="n"/>
      <c r="K27" s="446" t="n"/>
      <c r="L27" s="446" t="n"/>
      <c r="M27" s="446" t="n"/>
      <c r="N27" s="446" t="n"/>
      <c r="O27" s="32" t="n"/>
      <c r="P27" s="33" t="n"/>
    </row>
    <row r="28" ht="15.75" customHeight="1" s="375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</row>
    <row r="29" ht="27" customHeight="1" s="375">
      <c r="A29" s="26" t="n"/>
      <c r="C29" s="26" t="n"/>
      <c r="D29" s="451" t="n"/>
      <c r="I29" s="27" t="n"/>
      <c r="J29" s="26" t="n"/>
      <c r="K29" s="26" t="n"/>
      <c r="L29" s="26" t="n"/>
      <c r="M29" s="26" t="n"/>
      <c r="N29" s="26" t="n"/>
      <c r="O29" s="26" t="n"/>
      <c r="P29" s="26" t="n"/>
    </row>
    <row r="30" ht="21.75" customHeight="1" s="375">
      <c r="A30" s="552" t="n"/>
      <c r="B30" s="553" t="n"/>
      <c r="C30" s="552" t="n"/>
      <c r="D30" s="432" t="n"/>
      <c r="E30" s="552" t="n"/>
      <c r="F30" s="432" t="n"/>
      <c r="G30" s="552" t="n"/>
      <c r="H30" s="432" t="n"/>
      <c r="I30" s="552" t="n"/>
      <c r="J30" s="432" t="n"/>
      <c r="K30" s="552" t="n"/>
      <c r="L30" s="432" t="n"/>
      <c r="M30" s="554" t="n"/>
      <c r="N30" s="432" t="n"/>
      <c r="O30" s="553" t="n"/>
      <c r="P30" s="553" t="n"/>
    </row>
    <row r="31" ht="22.5" customHeight="1" s="375">
      <c r="A31" s="525" t="n"/>
      <c r="B31" s="525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28" t="n"/>
      <c r="L31" s="28" t="n"/>
      <c r="M31" s="28" t="n"/>
      <c r="N31" s="28" t="n"/>
      <c r="O31" s="525" t="n"/>
      <c r="P31" s="525" t="n"/>
    </row>
    <row r="32" ht="21.75" customHeight="1" s="375">
      <c r="A32" s="29" t="n"/>
      <c r="B32" s="30" t="n"/>
      <c r="C32" s="133" t="n"/>
      <c r="D32" s="31" t="n"/>
      <c r="E32" s="133" t="n"/>
      <c r="F32" s="31" t="n"/>
      <c r="G32" s="133" t="n"/>
      <c r="H32" s="31" t="n"/>
      <c r="I32" s="133" t="n"/>
      <c r="J32" s="31" t="n"/>
      <c r="K32" s="133" t="n"/>
      <c r="L32" s="31" t="n"/>
      <c r="M32" s="31" t="n"/>
      <c r="N32" s="31" t="n"/>
      <c r="O32" s="31" t="n"/>
      <c r="P32" s="31" t="n"/>
    </row>
    <row r="33">
      <c r="A33" s="29" t="n"/>
      <c r="B33" s="30" t="n"/>
      <c r="C33" s="133" t="n"/>
      <c r="D33" s="31" t="n"/>
      <c r="E33" s="133" t="n"/>
      <c r="F33" s="31" t="n"/>
      <c r="G33" s="133" t="n"/>
      <c r="H33" s="31" t="n"/>
      <c r="I33" s="133" t="n"/>
      <c r="J33" s="31" t="n"/>
      <c r="K33" s="133" t="n"/>
      <c r="L33" s="31" t="n"/>
      <c r="M33" s="31" t="n"/>
      <c r="N33" s="31" t="n"/>
      <c r="O33" s="31" t="n"/>
      <c r="P33" s="31" t="n"/>
    </row>
    <row r="34">
      <c r="A34" s="29" t="n"/>
      <c r="B34" s="30" t="n"/>
      <c r="C34" s="133" t="n"/>
      <c r="D34" s="31" t="n"/>
      <c r="E34" s="133" t="n"/>
      <c r="F34" s="31" t="n"/>
      <c r="G34" s="133" t="n"/>
      <c r="H34" s="31" t="n"/>
      <c r="I34" s="133" t="n"/>
      <c r="J34" s="31" t="n"/>
      <c r="K34" s="133" t="n"/>
      <c r="L34" s="31" t="n"/>
      <c r="M34" s="31" t="n"/>
      <c r="N34" s="31" t="n"/>
      <c r="O34" s="31" t="n"/>
      <c r="P34" s="31" t="n"/>
    </row>
    <row r="35">
      <c r="A35" s="29" t="n"/>
      <c r="B35" s="30" t="n"/>
      <c r="C35" s="133" t="n"/>
      <c r="D35" s="31" t="n"/>
      <c r="E35" s="133" t="n"/>
      <c r="F35" s="31" t="n"/>
      <c r="G35" s="133" t="n"/>
      <c r="H35" s="31" t="n"/>
      <c r="I35" s="133" t="n"/>
      <c r="J35" s="31" t="n"/>
      <c r="K35" s="133" t="n"/>
      <c r="L35" s="31" t="n"/>
      <c r="M35" s="31" t="n"/>
      <c r="N35" s="31" t="n"/>
      <c r="O35" s="31" t="n"/>
      <c r="P35" s="31" t="n"/>
    </row>
    <row r="36">
      <c r="A36" s="29" t="n">
        <v>5</v>
      </c>
      <c r="B36" s="30">
        <f>'สัปดาห์ที่ 1'!AB27</f>
        <v/>
      </c>
      <c r="C36" s="133">
        <f>'สัปดาห์ที่ 1'!AE27</f>
        <v/>
      </c>
      <c r="D36" s="31">
        <f>'สัปดาห์ที่ 1'!AH27</f>
        <v/>
      </c>
      <c r="E36" s="133">
        <f>'สัปดาห์ที่ 2'!AE27</f>
        <v/>
      </c>
      <c r="F36" s="31">
        <f>'สัปดาห์ที่ 2'!AH27</f>
        <v/>
      </c>
      <c r="G36" s="133">
        <f>'สัปดาห์ที่ 3'!AE27</f>
        <v/>
      </c>
      <c r="H36" s="31">
        <f>'สัปดาห์ที่ 3'!AH27</f>
        <v/>
      </c>
      <c r="I36" s="133">
        <f>'สัปดาห์ที่ 4'!AE27</f>
        <v/>
      </c>
      <c r="J36" s="31">
        <f>'สัปดาห์ที่ 4'!AH27</f>
        <v/>
      </c>
      <c r="K36" s="133">
        <f>'สัปดาห์ที่ 5'!AE27</f>
        <v/>
      </c>
      <c r="L36" s="31">
        <f>'สัปดาห์ที่ 5'!AH27</f>
        <v/>
      </c>
      <c r="M36" s="31" t="n">
        <v>0</v>
      </c>
      <c r="N36" s="31" t="n">
        <v>0</v>
      </c>
      <c r="O36" s="31">
        <f>C36+E36+G36+I36+K36+M36</f>
        <v/>
      </c>
      <c r="P36" s="31">
        <f>D36+F36+H36+J36+L36+N36</f>
        <v/>
      </c>
    </row>
    <row r="37">
      <c r="A37" s="29" t="n">
        <v>6</v>
      </c>
      <c r="B37" s="30" t="n"/>
      <c r="C37" s="133" t="n"/>
      <c r="D37" s="133" t="n"/>
      <c r="E37" s="133" t="n"/>
      <c r="F37" s="133" t="n"/>
      <c r="G37" s="133" t="n"/>
      <c r="H37" s="133" t="n"/>
      <c r="I37" s="133" t="n"/>
      <c r="J37" s="31" t="n"/>
      <c r="K37" s="31" t="n">
        <v>0</v>
      </c>
      <c r="L37" s="31" t="n">
        <v>0</v>
      </c>
      <c r="M37" s="31" t="n">
        <v>0</v>
      </c>
      <c r="N37" s="31" t="n">
        <v>0</v>
      </c>
      <c r="O37" s="31" t="n"/>
      <c r="P37" s="31" t="n"/>
    </row>
    <row r="38">
      <c r="A38" s="445" t="inlineStr">
        <is>
          <t xml:space="preserve">รวมเงินครูพิเศษ </t>
        </is>
      </c>
      <c r="B38" s="518" t="n"/>
      <c r="C38" s="518" t="n"/>
      <c r="D38" s="518" t="n"/>
      <c r="E38" s="518" t="n"/>
      <c r="F38" s="518" t="n"/>
      <c r="G38" s="518" t="n"/>
      <c r="H38" s="518" t="n"/>
      <c r="I38" s="518" t="n"/>
      <c r="J38" s="518" t="n"/>
      <c r="K38" s="446" t="n"/>
      <c r="L38" s="446" t="n"/>
      <c r="M38" s="446" t="n"/>
      <c r="N38" s="446" t="n"/>
      <c r="O38" s="32" t="n"/>
      <c r="P38" s="33">
        <f>SUM(P32:P37)</f>
        <v/>
      </c>
    </row>
    <row r="39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</row>
    <row r="40">
      <c r="A40" s="26" t="n"/>
      <c r="B40" s="26" t="n"/>
      <c r="C40" s="26" t="n"/>
      <c r="D40" s="453" t="inlineStr">
        <is>
          <t>แผนกยานยนต์ไฟฟ้า</t>
        </is>
      </c>
      <c r="I40" s="26" t="n"/>
      <c r="J40" s="26" t="n"/>
      <c r="K40" s="26" t="n"/>
      <c r="L40" s="26" t="n"/>
      <c r="M40" s="26" t="n"/>
      <c r="N40" s="26" t="n"/>
      <c r="O40" s="26" t="n"/>
      <c r="P40" s="26" t="n"/>
    </row>
    <row r="41">
      <c r="A41" s="26" t="n"/>
      <c r="B41" s="26" t="n"/>
      <c r="C41" s="26" t="n"/>
      <c r="I41" s="26" t="n"/>
      <c r="J41" s="26" t="n"/>
      <c r="K41" s="26" t="n"/>
      <c r="L41" s="26" t="n"/>
      <c r="M41" s="26" t="n"/>
      <c r="N41" s="26" t="n"/>
      <c r="O41" s="26" t="n"/>
      <c r="P41" s="26" t="n"/>
    </row>
    <row r="42" ht="28.8" customHeight="1" s="375">
      <c r="A42" s="26" t="n"/>
      <c r="B42" s="26" t="n"/>
      <c r="C42" s="26" t="n"/>
      <c r="D42" s="451" t="inlineStr">
        <is>
          <t>ครูประจำ</t>
        </is>
      </c>
      <c r="I42" s="26" t="n"/>
      <c r="J42" s="26" t="n"/>
      <c r="K42" s="26" t="n"/>
      <c r="L42" s="26" t="n"/>
      <c r="M42" s="26" t="n"/>
      <c r="N42" s="26" t="n"/>
      <c r="O42" s="26" t="n"/>
      <c r="P42" s="26" t="n"/>
    </row>
    <row r="43" ht="25.2" customHeight="1" s="375">
      <c r="A43" s="552" t="inlineStr">
        <is>
          <t>ลำดับ</t>
        </is>
      </c>
      <c r="B43" s="553" t="inlineStr">
        <is>
          <t>ชื่อ-สกุล</t>
        </is>
      </c>
      <c r="C43" s="554" t="n">
        <v>1</v>
      </c>
      <c r="D43" s="432" t="n"/>
      <c r="E43" s="554" t="n">
        <v>2</v>
      </c>
      <c r="F43" s="432" t="n"/>
      <c r="G43" s="554" t="n">
        <v>3</v>
      </c>
      <c r="H43" s="432" t="n"/>
      <c r="I43" s="554" t="n">
        <v>4</v>
      </c>
      <c r="J43" s="432" t="n"/>
      <c r="K43" s="554" t="n">
        <v>5</v>
      </c>
      <c r="L43" s="432" t="n"/>
      <c r="M43" s="554" t="n">
        <v>6</v>
      </c>
      <c r="N43" s="432" t="n"/>
      <c r="O43" s="553" t="inlineStr">
        <is>
          <t>รวม / ชม.</t>
        </is>
      </c>
      <c r="P43" s="553" t="inlineStr">
        <is>
          <t>รวม</t>
        </is>
      </c>
    </row>
    <row r="44">
      <c r="A44" s="525" t="n"/>
      <c r="B44" s="525" t="n"/>
      <c r="C44" s="28" t="inlineStr">
        <is>
          <t>ชม/ส</t>
        </is>
      </c>
      <c r="D44" s="28" t="inlineStr">
        <is>
          <t>เงิน</t>
        </is>
      </c>
      <c r="E44" s="28" t="inlineStr">
        <is>
          <t>ชม/ส</t>
        </is>
      </c>
      <c r="F44" s="28" t="inlineStr">
        <is>
          <t>เงิน</t>
        </is>
      </c>
      <c r="G44" s="28" t="inlineStr">
        <is>
          <t>ชม/ส</t>
        </is>
      </c>
      <c r="H44" s="28" t="inlineStr">
        <is>
          <t>เงิน</t>
        </is>
      </c>
      <c r="I44" s="28" t="inlineStr">
        <is>
          <t>ชม/ส</t>
        </is>
      </c>
      <c r="J44" s="28" t="inlineStr">
        <is>
          <t>เงิน</t>
        </is>
      </c>
      <c r="K44" s="28" t="inlineStr">
        <is>
          <t>ชม/ส</t>
        </is>
      </c>
      <c r="L44" s="28" t="inlineStr">
        <is>
          <t>เงิน</t>
        </is>
      </c>
      <c r="M44" s="28" t="inlineStr">
        <is>
          <t>ชม/ส</t>
        </is>
      </c>
      <c r="N44" s="28" t="inlineStr">
        <is>
          <t>เงิน</t>
        </is>
      </c>
      <c r="O44" s="525" t="n"/>
      <c r="P44" s="525" t="n"/>
    </row>
    <row r="45">
      <c r="A45" s="29" t="n">
        <v>1</v>
      </c>
      <c r="B45" s="30">
        <f>'สัปดาห์ที่ 1'!AB28</f>
        <v/>
      </c>
      <c r="C45" s="133">
        <f>#REF!</f>
        <v/>
      </c>
      <c r="D45" s="133">
        <f>#REF!</f>
        <v/>
      </c>
      <c r="E45" s="133">
        <f>#REF!</f>
        <v/>
      </c>
      <c r="F45" s="133">
        <f>#REF!</f>
        <v/>
      </c>
      <c r="G45" s="133">
        <f>#REF!</f>
        <v/>
      </c>
      <c r="H45" s="133">
        <f>#REF!</f>
        <v/>
      </c>
      <c r="I45" s="133">
        <f>#REF!</f>
        <v/>
      </c>
      <c r="J45" s="31">
        <f>#REF!</f>
        <v/>
      </c>
      <c r="K45" s="31" t="n"/>
      <c r="L45" s="31" t="n"/>
      <c r="M45" s="31" t="n">
        <v>0</v>
      </c>
      <c r="N45" s="31" t="n">
        <v>0</v>
      </c>
      <c r="O45" s="31">
        <f>C45+E45+G45+I45+K45+M45</f>
        <v/>
      </c>
      <c r="P45" s="31">
        <f>D45+F45+H45+J45+L45+N45</f>
        <v/>
      </c>
    </row>
    <row r="46">
      <c r="A46" s="29" t="n">
        <v>2</v>
      </c>
      <c r="B46" s="30">
        <f>'สัปดาห์ที่ 1'!AB29</f>
        <v/>
      </c>
      <c r="C46" s="133">
        <f>#REF!</f>
        <v/>
      </c>
      <c r="D46" s="133">
        <f>#REF!</f>
        <v/>
      </c>
      <c r="E46" s="133">
        <f>#REF!</f>
        <v/>
      </c>
      <c r="F46" s="133">
        <f>#REF!</f>
        <v/>
      </c>
      <c r="G46" s="133">
        <f>#REF!</f>
        <v/>
      </c>
      <c r="H46" s="133">
        <f>#REF!</f>
        <v/>
      </c>
      <c r="I46" s="133">
        <f>#REF!</f>
        <v/>
      </c>
      <c r="J46" s="31">
        <f>#REF!</f>
        <v/>
      </c>
      <c r="K46" s="31" t="n"/>
      <c r="L46" s="31" t="n"/>
      <c r="M46" s="31" t="n">
        <v>0</v>
      </c>
      <c r="N46" s="31" t="n">
        <v>0</v>
      </c>
      <c r="O46" s="31">
        <f>C46+E46+G46+I46+K46</f>
        <v/>
      </c>
      <c r="P46" s="31">
        <f>D46+F46+H46+J46+L46</f>
        <v/>
      </c>
    </row>
    <row r="47" s="375">
      <c r="A47" s="29" t="n">
        <v>3</v>
      </c>
      <c r="B47" s="30">
        <f>'สัปดาห์ที่ 1'!AB30</f>
        <v/>
      </c>
      <c r="C47" s="133">
        <f>#REF!</f>
        <v/>
      </c>
      <c r="D47" s="133">
        <f>#REF!</f>
        <v/>
      </c>
      <c r="E47" s="133">
        <f>#REF!</f>
        <v/>
      </c>
      <c r="F47" s="133">
        <f>#REF!</f>
        <v/>
      </c>
      <c r="G47" s="133">
        <f>#REF!</f>
        <v/>
      </c>
      <c r="H47" s="133">
        <f>#REF!</f>
        <v/>
      </c>
      <c r="I47" s="133">
        <f>#REF!</f>
        <v/>
      </c>
      <c r="J47" s="31">
        <f>#REF!</f>
        <v/>
      </c>
      <c r="K47" s="31" t="n"/>
      <c r="L47" s="31" t="n"/>
      <c r="M47" s="31" t="n">
        <v>0</v>
      </c>
      <c r="N47" s="31" t="n">
        <v>0</v>
      </c>
      <c r="O47" s="31">
        <f>C47+E47+G47+I47+K47</f>
        <v/>
      </c>
      <c r="P47" s="31">
        <f>D47+F47+H47+J47+L47</f>
        <v/>
      </c>
    </row>
    <row r="48">
      <c r="A48" s="445" t="inlineStr">
        <is>
          <t xml:space="preserve">รวมเงินครูประจำ </t>
        </is>
      </c>
      <c r="B48" s="518" t="n"/>
      <c r="C48" s="518" t="n"/>
      <c r="D48" s="518" t="n"/>
      <c r="E48" s="518" t="n"/>
      <c r="F48" s="518" t="n"/>
      <c r="G48" s="518" t="n"/>
      <c r="H48" s="518" t="n"/>
      <c r="I48" s="518" t="n"/>
      <c r="J48" s="518" t="n"/>
      <c r="K48" s="446" t="n"/>
      <c r="L48" s="446" t="n"/>
      <c r="M48" s="31" t="n"/>
      <c r="N48" s="446" t="n"/>
      <c r="O48" s="32" t="n"/>
      <c r="P48" s="33">
        <f>SUM(P45:P47)</f>
        <v/>
      </c>
    </row>
    <row r="49" ht="28.8" customHeight="1" s="375">
      <c r="A49" s="26" t="n"/>
      <c r="C49" s="26" t="n"/>
      <c r="D49" s="451" t="inlineStr">
        <is>
          <t>ครูพิเศษ</t>
        </is>
      </c>
      <c r="I49" s="27" t="n"/>
      <c r="J49" s="26" t="n"/>
      <c r="K49" s="26" t="n"/>
      <c r="L49" s="26" t="n"/>
      <c r="M49" s="26" t="n"/>
      <c r="N49" s="26" t="n"/>
      <c r="O49" s="26" t="n"/>
      <c r="P49" s="26" t="n"/>
    </row>
    <row r="50" ht="25.2" customHeight="1" s="375">
      <c r="A50" s="552" t="inlineStr">
        <is>
          <t>ลำดับ</t>
        </is>
      </c>
      <c r="B50" s="553" t="inlineStr">
        <is>
          <t>ชื่อ-สกุล</t>
        </is>
      </c>
      <c r="C50" s="552" t="n">
        <v>1</v>
      </c>
      <c r="D50" s="432" t="n"/>
      <c r="E50" s="552" t="n">
        <v>2</v>
      </c>
      <c r="F50" s="432" t="n"/>
      <c r="G50" s="552" t="n">
        <v>3</v>
      </c>
      <c r="H50" s="432" t="n"/>
      <c r="I50" s="552" t="n">
        <v>4</v>
      </c>
      <c r="J50" s="432" t="n"/>
      <c r="K50" s="552" t="n">
        <v>5</v>
      </c>
      <c r="L50" s="432" t="n"/>
      <c r="M50" s="554" t="n">
        <v>6</v>
      </c>
      <c r="N50" s="432" t="n"/>
      <c r="O50" s="553" t="inlineStr">
        <is>
          <t>รวม / ชม.</t>
        </is>
      </c>
      <c r="P50" s="553" t="inlineStr">
        <is>
          <t>รวม</t>
        </is>
      </c>
    </row>
    <row r="51">
      <c r="A51" s="525" t="n"/>
      <c r="B51" s="525" t="n"/>
      <c r="C51" s="34" t="inlineStr">
        <is>
          <t>ชม/ส</t>
        </is>
      </c>
      <c r="D51" s="34" t="inlineStr">
        <is>
          <t>เงิน</t>
        </is>
      </c>
      <c r="E51" s="34" t="inlineStr">
        <is>
          <t>ชม/ส</t>
        </is>
      </c>
      <c r="F51" s="34" t="inlineStr">
        <is>
          <t>เงิน</t>
        </is>
      </c>
      <c r="G51" s="34" t="inlineStr">
        <is>
          <t>ชม/ส</t>
        </is>
      </c>
      <c r="H51" s="34" t="inlineStr">
        <is>
          <t>เงิน</t>
        </is>
      </c>
      <c r="I51" s="34" t="inlineStr">
        <is>
          <t>ชม/ส</t>
        </is>
      </c>
      <c r="J51" s="34" t="inlineStr">
        <is>
          <t>เงิน</t>
        </is>
      </c>
      <c r="K51" s="28" t="inlineStr">
        <is>
          <t>ชม/ส</t>
        </is>
      </c>
      <c r="L51" s="28" t="inlineStr">
        <is>
          <t>เงิน</t>
        </is>
      </c>
      <c r="M51" s="28" t="inlineStr">
        <is>
          <t>ชม/ส</t>
        </is>
      </c>
      <c r="N51" s="28" t="inlineStr">
        <is>
          <t>เงิน</t>
        </is>
      </c>
      <c r="O51" s="525" t="n"/>
      <c r="P51" s="525" t="n"/>
    </row>
    <row r="52">
      <c r="A52" s="29" t="n">
        <v>1</v>
      </c>
      <c r="B52" s="30" t="n"/>
      <c r="C52" s="133" t="n"/>
      <c r="D52" s="133" t="n"/>
      <c r="E52" s="133" t="n"/>
      <c r="F52" s="133" t="n"/>
      <c r="G52" s="133" t="n"/>
      <c r="H52" s="31" t="n"/>
      <c r="I52" s="133" t="n"/>
      <c r="J52" s="31" t="n"/>
      <c r="K52" s="31" t="n"/>
      <c r="L52" s="31" t="n"/>
      <c r="M52" s="31" t="n"/>
      <c r="N52" s="31" t="n"/>
      <c r="O52" s="31">
        <f>C52+E52+G52+I52+K52</f>
        <v/>
      </c>
      <c r="P52" s="31">
        <f>D52+F52+H52+J52+L52</f>
        <v/>
      </c>
    </row>
    <row r="53">
      <c r="A53" s="29" t="n">
        <v>2</v>
      </c>
      <c r="B53" s="30" t="n"/>
      <c r="C53" s="133" t="n"/>
      <c r="D53" s="133" t="n"/>
      <c r="E53" s="133" t="n"/>
      <c r="F53" s="133" t="n"/>
      <c r="G53" s="133" t="n"/>
      <c r="H53" s="31" t="n"/>
      <c r="I53" s="133" t="n"/>
      <c r="J53" s="31" t="n"/>
      <c r="K53" s="31" t="n"/>
      <c r="L53" s="31" t="n"/>
      <c r="M53" s="31" t="n"/>
      <c r="N53" s="31" t="n"/>
      <c r="O53" s="31">
        <f>C53+E53+G53+I53+K53</f>
        <v/>
      </c>
      <c r="P53" s="31">
        <f>D53+F53+H53+J53+L53</f>
        <v/>
      </c>
    </row>
    <row r="54">
      <c r="A54" s="445" t="inlineStr">
        <is>
          <t xml:space="preserve">รวมเงินครูพิเศษ </t>
        </is>
      </c>
      <c r="B54" s="518" t="n"/>
      <c r="C54" s="518" t="n"/>
      <c r="D54" s="518" t="n"/>
      <c r="E54" s="518" t="n"/>
      <c r="F54" s="518" t="n"/>
      <c r="G54" s="518" t="n"/>
      <c r="H54" s="518" t="n"/>
      <c r="I54" s="518" t="n"/>
      <c r="J54" s="518" t="n"/>
      <c r="K54" s="446" t="n"/>
      <c r="L54" s="446" t="n"/>
      <c r="M54" s="446" t="n"/>
      <c r="N54" s="446" t="n"/>
      <c r="O54" s="32" t="n"/>
      <c r="P54" s="33">
        <f>SUM(P52:P53)</f>
        <v/>
      </c>
    </row>
    <row r="55">
      <c r="A55" s="27" t="n"/>
      <c r="B55" s="178" t="n"/>
      <c r="C55" s="180" t="n"/>
      <c r="D55" s="180" t="n"/>
      <c r="E55" s="180" t="n"/>
      <c r="F55" s="180" t="n"/>
      <c r="G55" s="180" t="n"/>
      <c r="H55" s="179" t="n"/>
      <c r="I55" s="180" t="n"/>
      <c r="J55" s="181" t="n"/>
      <c r="K55" s="179" t="n"/>
      <c r="L55" s="179" t="n"/>
      <c r="M55" s="179" t="n"/>
      <c r="N55" s="179" t="n"/>
      <c r="O55" s="179" t="n"/>
      <c r="P55" s="179" t="n"/>
    </row>
    <row r="56" ht="28.8" customHeight="1" s="375">
      <c r="A56" s="455" t="inlineStr">
        <is>
          <t xml:space="preserve">   ยอดเงินรายรับ ÷ ยอดคน</t>
        </is>
      </c>
      <c r="D56" s="166">
        <f>P27+P38+P48+P54</f>
        <v/>
      </c>
      <c r="E56" s="166" t="inlineStr">
        <is>
          <t xml:space="preserve">  ÷</t>
        </is>
      </c>
      <c r="F56" s="166" t="n">
        <v>28</v>
      </c>
      <c r="G56" s="166" t="n"/>
      <c r="H56" s="162" t="inlineStr">
        <is>
          <t>=</t>
        </is>
      </c>
      <c r="I56" s="161" t="n"/>
      <c r="J56" s="160">
        <f>D56/F56</f>
        <v/>
      </c>
      <c r="K56" s="161" t="n"/>
      <c r="L56" s="161" t="n"/>
      <c r="M56" s="161" t="n"/>
      <c r="N56" s="161" t="n"/>
      <c r="O56" s="35" t="n"/>
      <c r="P56" s="26" t="n"/>
    </row>
    <row r="57" ht="24.9" customHeight="1" s="375">
      <c r="A57" s="455" t="inlineStr">
        <is>
          <t xml:space="preserve">   หักเข้ากองกลาง (4 ส.x100) x 28 คน</t>
        </is>
      </c>
      <c r="D57" s="166" t="n">
        <v>400</v>
      </c>
      <c r="E57" s="166" t="inlineStr">
        <is>
          <t xml:space="preserve">  x</t>
        </is>
      </c>
      <c r="F57" s="166" t="n">
        <v>28</v>
      </c>
      <c r="G57" s="38" t="n"/>
      <c r="H57" s="158" t="inlineStr">
        <is>
          <t>=</t>
        </is>
      </c>
      <c r="I57" s="166" t="n"/>
      <c r="J57" s="160">
        <f>D57*F57</f>
        <v/>
      </c>
      <c r="K57" s="161" t="n"/>
      <c r="L57" s="161" t="n"/>
      <c r="M57" s="161" t="n"/>
      <c r="N57" s="161" t="n"/>
      <c r="O57" s="35" t="n"/>
      <c r="P57" s="26" t="n"/>
    </row>
    <row r="58" ht="24.9" customHeight="1" s="375">
      <c r="A58" s="26" t="n"/>
      <c r="B58" s="166" t="n"/>
      <c r="C58" s="166" t="n"/>
      <c r="D58" s="166" t="n"/>
      <c r="E58" s="166" t="n"/>
      <c r="F58" s="166" t="n"/>
      <c r="G58" s="166" t="n"/>
      <c r="H58" s="166" t="n"/>
      <c r="I58" s="166" t="n"/>
      <c r="J58" s="166" t="n"/>
      <c r="K58" s="166" t="n"/>
      <c r="L58" s="166" t="n"/>
      <c r="M58" s="166" t="n"/>
      <c r="N58" s="166" t="n"/>
      <c r="O58" s="35" t="n"/>
      <c r="P58" s="26" t="n"/>
    </row>
    <row r="59" ht="21.75" customHeight="1" s="375">
      <c r="A59" s="457" t="inlineStr">
        <is>
          <t xml:space="preserve">   เงินที่ได้รับ คนละ</t>
        </is>
      </c>
      <c r="C59" s="40" t="n"/>
      <c r="D59" s="168">
        <f>J56</f>
        <v/>
      </c>
      <c r="E59" s="168" t="inlineStr">
        <is>
          <t>-</t>
        </is>
      </c>
      <c r="F59" s="168">
        <f>D57</f>
        <v/>
      </c>
      <c r="G59" s="415" t="n"/>
      <c r="H59" s="158" t="n"/>
      <c r="I59" s="163" t="n"/>
      <c r="J59" s="164" t="inlineStr">
        <is>
          <t>=</t>
        </is>
      </c>
      <c r="K59" s="415">
        <f>J56-D57</f>
        <v/>
      </c>
      <c r="M59" s="415" t="n"/>
      <c r="N59" s="415" t="n"/>
      <c r="O59" s="36" t="n"/>
      <c r="P59" s="26" t="n"/>
    </row>
    <row r="60" ht="21.75" customHeight="1" s="375" thickBot="1">
      <c r="A60" s="454" t="inlineStr">
        <is>
          <t xml:space="preserve">    ปัดให้ลงตัว</t>
        </is>
      </c>
      <c r="D60" s="171">
        <f>K59</f>
        <v/>
      </c>
      <c r="E60" s="162" t="inlineStr">
        <is>
          <t>+</t>
        </is>
      </c>
      <c r="F60" s="162" t="n">
        <v>46</v>
      </c>
      <c r="G60" s="162" t="n"/>
      <c r="H60" s="162" t="n"/>
      <c r="I60" s="162" t="n"/>
      <c r="J60" s="172" t="inlineStr">
        <is>
          <t>=</t>
        </is>
      </c>
      <c r="K60" s="417">
        <f>D60+F60</f>
        <v/>
      </c>
      <c r="M60" s="418" t="n"/>
      <c r="N60" s="418" t="n"/>
      <c r="O60" s="170" t="n"/>
      <c r="P60" s="169" t="n"/>
    </row>
    <row r="61" ht="21.75" customHeight="1" s="375" thickTop="1">
      <c r="A61" s="43" t="n"/>
      <c r="B61" s="44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173" t="n"/>
      <c r="L61" s="173" t="n"/>
      <c r="M61" s="42" t="n"/>
      <c r="N61" s="42" t="n"/>
      <c r="O61" s="26" t="n"/>
      <c r="P61" s="26" t="n"/>
    </row>
    <row r="62" ht="21.75" customHeight="1" s="375">
      <c r="A62" s="456" t="inlineStr">
        <is>
          <t xml:space="preserve">    เงินกองกลาง</t>
        </is>
      </c>
      <c r="C62" s="41" t="n"/>
      <c r="D62" s="42" t="n"/>
      <c r="E62" s="42" t="n"/>
      <c r="F62" s="42" t="n"/>
      <c r="G62" s="42" t="n"/>
      <c r="H62" s="42" t="n"/>
      <c r="I62" s="42" t="n"/>
      <c r="J62" s="164" t="inlineStr">
        <is>
          <t>=</t>
        </is>
      </c>
      <c r="K62" s="416">
        <f>J57</f>
        <v/>
      </c>
      <c r="M62" s="416" t="n"/>
      <c r="N62" s="416" t="n"/>
      <c r="O62" s="26" t="n"/>
      <c r="P62" s="26" t="n"/>
    </row>
    <row r="63" ht="21.75" customHeight="1" s="375" thickBot="1">
      <c r="A63" s="454" t="inlineStr">
        <is>
          <t xml:space="preserve">    เงินเข้ากองกลางคงเหลือ</t>
        </is>
      </c>
      <c r="C63" s="167" t="n"/>
      <c r="D63" s="174">
        <f>J57</f>
        <v/>
      </c>
      <c r="E63" s="162" t="inlineStr">
        <is>
          <t>-</t>
        </is>
      </c>
      <c r="F63" s="174">
        <f>F60*F56</f>
        <v/>
      </c>
      <c r="G63" s="167" t="n"/>
      <c r="H63" s="167" t="n"/>
      <c r="I63" s="167" t="n"/>
      <c r="J63" s="164" t="inlineStr">
        <is>
          <t>=</t>
        </is>
      </c>
      <c r="K63" s="468">
        <f>D63-F63</f>
        <v/>
      </c>
      <c r="L63" s="555" t="n"/>
      <c r="M63" s="189" t="n"/>
      <c r="N63" s="189" t="n"/>
      <c r="O63" s="167" t="n"/>
      <c r="P63" s="167" t="n"/>
    </row>
    <row r="64" ht="21.75" customHeight="1" s="375" thickBot="1" thickTop="1">
      <c r="A64" s="454" t="n"/>
      <c r="B64" s="454" t="n"/>
      <c r="C64" s="167" t="n"/>
      <c r="D64" s="174" t="n"/>
      <c r="E64" s="162" t="n"/>
      <c r="F64" s="174" t="n"/>
      <c r="G64" s="167" t="n"/>
      <c r="H64" s="167" t="n"/>
      <c r="I64" s="167" t="n"/>
      <c r="J64" s="164" t="n"/>
      <c r="K64" s="253" t="n"/>
      <c r="L64" s="254" t="n"/>
      <c r="M64" s="252" t="n"/>
      <c r="N64" s="252" t="n"/>
      <c r="O64" s="167" t="n"/>
      <c r="P64" s="167" t="n"/>
    </row>
    <row r="65" ht="24" customHeight="1" s="375" thickTop="1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</row>
    <row r="66"/>
    <row r="67" ht="27.75" customHeight="1" s="375">
      <c r="A67" s="556" t="inlineStr">
        <is>
          <t>ลำดับ</t>
        </is>
      </c>
      <c r="B67" s="557" t="inlineStr">
        <is>
          <t>ชื่อ-สกุล</t>
        </is>
      </c>
      <c r="C67" s="558" t="inlineStr">
        <is>
          <t>การจัดสรรค์เงินรายได้แผนก</t>
        </is>
      </c>
      <c r="D67" s="518" t="n"/>
      <c r="E67" s="518" t="n"/>
      <c r="F67" s="518" t="n"/>
      <c r="G67" s="518" t="n"/>
      <c r="H67" s="432" t="n"/>
      <c r="I67" s="559" t="inlineStr">
        <is>
          <t>ลงชื่อ</t>
        </is>
      </c>
      <c r="J67" s="135" t="n"/>
    </row>
    <row r="68" ht="27.75" customHeight="1" s="375">
      <c r="A68" s="525" t="n"/>
      <c r="B68" s="525" t="n"/>
      <c r="C68" s="560" t="inlineStr">
        <is>
          <t>รายรับ / บุคคล</t>
        </is>
      </c>
      <c r="D68" s="432" t="n"/>
      <c r="E68" s="561" t="inlineStr">
        <is>
          <t>คืนกองกลางแผนก ( - )</t>
        </is>
      </c>
      <c r="F68" s="432" t="n"/>
      <c r="G68" s="562" t="inlineStr">
        <is>
          <t>แผนกจ่ายเพิ่ม ( + )</t>
        </is>
      </c>
      <c r="H68" s="432" t="n"/>
      <c r="I68" s="526" t="n"/>
      <c r="J68" s="527" t="n"/>
    </row>
    <row r="69" ht="25.35" customHeight="1" s="375">
      <c r="A69" s="45" t="n">
        <v>1</v>
      </c>
      <c r="B69" s="183">
        <f>B7</f>
        <v/>
      </c>
      <c r="C69" s="563">
        <f>P7</f>
        <v/>
      </c>
      <c r="D69" s="432" t="n"/>
      <c r="E69" s="564">
        <f>K60-C69</f>
        <v/>
      </c>
      <c r="F69" s="518" t="n"/>
      <c r="G69" s="518" t="n"/>
      <c r="H69" s="432" t="n"/>
      <c r="I69" s="565" t="n"/>
      <c r="J69" s="432" t="n"/>
      <c r="K69" s="142" t="n"/>
      <c r="L69" s="142" t="n"/>
      <c r="M69" s="142" t="n"/>
      <c r="N69" s="142" t="n"/>
    </row>
    <row r="70" ht="25.35" customHeight="1" s="375">
      <c r="A70" s="45" t="n">
        <v>2</v>
      </c>
      <c r="B70" s="183">
        <f>B8</f>
        <v/>
      </c>
      <c r="C70" s="563">
        <f>P8</f>
        <v/>
      </c>
      <c r="D70" s="432" t="n"/>
      <c r="E70" s="566">
        <f>K60-C70</f>
        <v/>
      </c>
      <c r="F70" s="518" t="n"/>
      <c r="G70" s="518" t="n"/>
      <c r="H70" s="432" t="n"/>
      <c r="I70" s="565" t="n"/>
      <c r="J70" s="432" t="n"/>
      <c r="K70" s="142" t="n"/>
      <c r="L70" s="142" t="n"/>
      <c r="M70" s="142" t="n"/>
      <c r="N70" s="142" t="n"/>
    </row>
    <row r="71" ht="25.35" customHeight="1" s="375">
      <c r="A71" s="45" t="n">
        <v>3</v>
      </c>
      <c r="B71" s="183">
        <f>B9</f>
        <v/>
      </c>
      <c r="C71" s="563">
        <f>P9</f>
        <v/>
      </c>
      <c r="D71" s="432" t="n"/>
      <c r="E71" s="566">
        <f>K60-C71</f>
        <v/>
      </c>
      <c r="F71" s="518" t="n"/>
      <c r="G71" s="518" t="n"/>
      <c r="H71" s="432" t="n"/>
      <c r="I71" s="565" t="n"/>
      <c r="J71" s="432" t="n"/>
      <c r="K71" s="142" t="n"/>
      <c r="L71" s="142" t="n"/>
      <c r="M71" s="142" t="n"/>
      <c r="N71" s="142" t="n"/>
    </row>
    <row r="72" ht="25.35" customHeight="1" s="375">
      <c r="A72" s="45" t="n">
        <v>4</v>
      </c>
      <c r="B72" s="183">
        <f>B10</f>
        <v/>
      </c>
      <c r="C72" s="563">
        <f>P10</f>
        <v/>
      </c>
      <c r="D72" s="432" t="n"/>
      <c r="E72" s="566">
        <f>K60-C72</f>
        <v/>
      </c>
      <c r="F72" s="518" t="n"/>
      <c r="G72" s="518" t="n"/>
      <c r="H72" s="432" t="n"/>
      <c r="I72" s="565" t="n"/>
      <c r="J72" s="432" t="n"/>
      <c r="K72" s="142" t="n"/>
      <c r="L72" s="142" t="n"/>
      <c r="M72" s="142" t="n"/>
      <c r="N72" s="142" t="n"/>
    </row>
    <row r="73" ht="25.35" customHeight="1" s="375">
      <c r="A73" s="45" t="n">
        <v>5</v>
      </c>
      <c r="B73" s="183">
        <f>B11</f>
        <v/>
      </c>
      <c r="C73" s="563">
        <f>P11</f>
        <v/>
      </c>
      <c r="D73" s="432" t="n"/>
      <c r="E73" s="566">
        <f>K60-C73</f>
        <v/>
      </c>
      <c r="F73" s="518" t="n"/>
      <c r="G73" s="518" t="n"/>
      <c r="H73" s="432" t="n"/>
      <c r="I73" s="565" t="n"/>
      <c r="J73" s="432" t="n"/>
      <c r="K73" s="142" t="n"/>
      <c r="L73" s="142" t="n"/>
      <c r="M73" s="142" t="n"/>
      <c r="N73" s="142" t="n"/>
    </row>
    <row r="74" ht="25.35" customHeight="1" s="375">
      <c r="A74" s="45" t="n">
        <v>6</v>
      </c>
      <c r="B74" s="183">
        <f>B12</f>
        <v/>
      </c>
      <c r="C74" s="563">
        <f>P12</f>
        <v/>
      </c>
      <c r="D74" s="432" t="n"/>
      <c r="E74" s="566">
        <f>K60-C74</f>
        <v/>
      </c>
      <c r="F74" s="518" t="n"/>
      <c r="G74" s="518" t="n"/>
      <c r="H74" s="432" t="n"/>
      <c r="I74" s="565" t="n"/>
      <c r="J74" s="432" t="n"/>
      <c r="K74" s="142" t="n"/>
      <c r="L74" s="142" t="n"/>
      <c r="M74" s="142" t="n"/>
      <c r="N74" s="142" t="n"/>
    </row>
    <row r="75" ht="25.35" customHeight="1" s="375">
      <c r="A75" s="45" t="n">
        <v>7</v>
      </c>
      <c r="B75" s="183">
        <f>B13</f>
        <v/>
      </c>
      <c r="C75" s="563">
        <f>P13</f>
        <v/>
      </c>
      <c r="D75" s="432" t="n"/>
      <c r="E75" s="566">
        <f>K60-C75</f>
        <v/>
      </c>
      <c r="F75" s="518" t="n"/>
      <c r="G75" s="518" t="n"/>
      <c r="H75" s="432" t="n"/>
      <c r="I75" s="565" t="n"/>
      <c r="J75" s="432" t="n"/>
      <c r="K75" s="142" t="n"/>
      <c r="L75" s="142" t="n"/>
      <c r="M75" s="142" t="n"/>
      <c r="N75" s="142" t="n"/>
    </row>
    <row r="76" ht="25.35" customHeight="1" s="375">
      <c r="A76" s="45" t="n">
        <v>8</v>
      </c>
      <c r="B76" s="183">
        <f>B14</f>
        <v/>
      </c>
      <c r="C76" s="563">
        <f>P14</f>
        <v/>
      </c>
      <c r="D76" s="432" t="n"/>
      <c r="E76" s="564">
        <f>K60-C76</f>
        <v/>
      </c>
      <c r="F76" s="518" t="n"/>
      <c r="G76" s="518" t="n"/>
      <c r="H76" s="432" t="n"/>
      <c r="I76" s="565" t="n"/>
      <c r="J76" s="432" t="n"/>
      <c r="K76" s="142" t="n"/>
      <c r="L76" s="142" t="n"/>
      <c r="M76" s="142" t="n"/>
      <c r="N76" s="142" t="n"/>
    </row>
    <row r="77" ht="25.35" customHeight="1" s="375">
      <c r="A77" s="45" t="n">
        <v>9</v>
      </c>
      <c r="B77" s="183">
        <f>B15</f>
        <v/>
      </c>
      <c r="C77" s="563">
        <f>P15</f>
        <v/>
      </c>
      <c r="D77" s="432" t="n"/>
      <c r="E77" s="564">
        <f>K60-C77</f>
        <v/>
      </c>
      <c r="F77" s="518" t="n"/>
      <c r="G77" s="518" t="n"/>
      <c r="H77" s="432" t="n"/>
      <c r="I77" s="565" t="n"/>
      <c r="J77" s="432" t="n"/>
      <c r="K77" s="142" t="n"/>
      <c r="L77" s="142" t="n"/>
      <c r="M77" s="142" t="n"/>
      <c r="N77" s="142" t="n"/>
    </row>
    <row r="78" ht="25.35" customHeight="1" s="375">
      <c r="A78" s="45" t="n">
        <v>10</v>
      </c>
      <c r="B78" s="183">
        <f>B16</f>
        <v/>
      </c>
      <c r="C78" s="563">
        <f>P16</f>
        <v/>
      </c>
      <c r="D78" s="432" t="n"/>
      <c r="E78" s="564">
        <f>K60-C78</f>
        <v/>
      </c>
      <c r="F78" s="518" t="n"/>
      <c r="G78" s="518" t="n"/>
      <c r="H78" s="432" t="n"/>
      <c r="I78" s="565" t="n"/>
      <c r="J78" s="432" t="n"/>
      <c r="K78" s="142" t="n"/>
      <c r="L78" s="142" t="n"/>
      <c r="M78" s="142" t="n"/>
      <c r="N78" s="142" t="n"/>
    </row>
    <row r="79" ht="25.35" customHeight="1" s="375">
      <c r="A79" s="45" t="n">
        <v>11</v>
      </c>
      <c r="B79" s="183">
        <f>B17</f>
        <v/>
      </c>
      <c r="C79" s="563">
        <f>P17</f>
        <v/>
      </c>
      <c r="D79" s="432" t="n"/>
      <c r="E79" s="566">
        <f>K60-C79</f>
        <v/>
      </c>
      <c r="F79" s="518" t="n"/>
      <c r="G79" s="518" t="n"/>
      <c r="H79" s="432" t="n"/>
      <c r="I79" s="565" t="n"/>
      <c r="J79" s="432" t="n"/>
      <c r="K79" s="142" t="n"/>
      <c r="L79" s="142" t="n"/>
      <c r="M79" s="142" t="n"/>
      <c r="N79" s="142" t="n"/>
    </row>
    <row r="80" ht="25.35" customHeight="1" s="375">
      <c r="A80" s="45" t="n">
        <v>12</v>
      </c>
      <c r="B80" s="183">
        <f>B18</f>
        <v/>
      </c>
      <c r="C80" s="563">
        <f>P18</f>
        <v/>
      </c>
      <c r="D80" s="432" t="n"/>
      <c r="E80" s="564">
        <f>K60-C80</f>
        <v/>
      </c>
      <c r="F80" s="518" t="n"/>
      <c r="G80" s="518" t="n"/>
      <c r="H80" s="432" t="n"/>
      <c r="I80" s="565" t="n"/>
      <c r="J80" s="432" t="n"/>
      <c r="K80" s="142" t="n"/>
      <c r="L80" s="142" t="n"/>
      <c r="M80" s="142" t="n"/>
      <c r="N80" s="142" t="n"/>
    </row>
    <row r="81" ht="25.35" customHeight="1" s="375">
      <c r="A81" s="45" t="n">
        <v>13</v>
      </c>
      <c r="B81" s="183">
        <f>B19</f>
        <v/>
      </c>
      <c r="C81" s="563">
        <f>P19</f>
        <v/>
      </c>
      <c r="D81" s="432" t="n"/>
      <c r="E81" s="566">
        <f>K60-C81</f>
        <v/>
      </c>
      <c r="F81" s="518" t="n"/>
      <c r="G81" s="518" t="n"/>
      <c r="H81" s="432" t="n"/>
      <c r="I81" s="565" t="n"/>
      <c r="J81" s="432" t="n"/>
      <c r="K81" s="142" t="n"/>
      <c r="L81" s="142" t="n"/>
      <c r="M81" s="142" t="n"/>
      <c r="N81" s="142" t="n"/>
    </row>
    <row r="82" ht="25.35" customHeight="1" s="375">
      <c r="A82" s="45" t="n">
        <v>14</v>
      </c>
      <c r="B82" s="183">
        <f>B20</f>
        <v/>
      </c>
      <c r="C82" s="563">
        <f>P20</f>
        <v/>
      </c>
      <c r="D82" s="432" t="n"/>
      <c r="E82" s="564">
        <f>K60-C82</f>
        <v/>
      </c>
      <c r="F82" s="518" t="n"/>
      <c r="G82" s="518" t="n"/>
      <c r="H82" s="432" t="n"/>
      <c r="I82" s="565" t="n"/>
      <c r="J82" s="432" t="n"/>
      <c r="K82" s="142" t="n"/>
      <c r="L82" s="142" t="n"/>
      <c r="M82" s="142" t="n"/>
      <c r="N82" s="142" t="n"/>
    </row>
    <row r="83" ht="25.35" customHeight="1" s="375">
      <c r="A83" s="45" t="n">
        <v>15</v>
      </c>
      <c r="B83" s="183">
        <f>B21</f>
        <v/>
      </c>
      <c r="C83" s="563">
        <f>P21</f>
        <v/>
      </c>
      <c r="D83" s="432" t="n"/>
      <c r="E83" s="564">
        <f>K60-C83</f>
        <v/>
      </c>
      <c r="F83" s="518" t="n"/>
      <c r="G83" s="518" t="n"/>
      <c r="H83" s="432" t="n"/>
      <c r="I83" s="565" t="n"/>
      <c r="J83" s="432" t="n"/>
      <c r="K83" s="142" t="n"/>
      <c r="L83" s="142" t="n"/>
      <c r="M83" s="142" t="n"/>
      <c r="N83" s="142" t="n"/>
    </row>
    <row r="84" ht="25.35" customHeight="1" s="375">
      <c r="A84" s="45" t="n">
        <v>16</v>
      </c>
      <c r="B84" s="183">
        <f>B22</f>
        <v/>
      </c>
      <c r="C84" s="563">
        <f>P22</f>
        <v/>
      </c>
      <c r="D84" s="432" t="n"/>
      <c r="E84" s="564">
        <f>K60-C84</f>
        <v/>
      </c>
      <c r="F84" s="518" t="n"/>
      <c r="G84" s="518" t="n"/>
      <c r="H84" s="432" t="n"/>
      <c r="I84" s="565" t="n"/>
      <c r="J84" s="432" t="n"/>
      <c r="K84" s="142" t="n"/>
      <c r="L84" s="142" t="n"/>
      <c r="M84" s="142" t="n"/>
      <c r="N84" s="142" t="n"/>
    </row>
    <row r="85" ht="25.35" customHeight="1" s="375">
      <c r="A85" s="45" t="n">
        <v>17</v>
      </c>
      <c r="B85" s="183">
        <f>B23</f>
        <v/>
      </c>
      <c r="C85" s="563">
        <f>P23</f>
        <v/>
      </c>
      <c r="D85" s="432" t="n"/>
      <c r="E85" s="564">
        <f>K60-C85</f>
        <v/>
      </c>
      <c r="F85" s="518" t="n"/>
      <c r="G85" s="518" t="n"/>
      <c r="H85" s="432" t="n"/>
      <c r="I85" s="565" t="n"/>
      <c r="J85" s="432" t="n"/>
      <c r="K85" s="142" t="n"/>
      <c r="L85" s="142" t="n"/>
      <c r="M85" s="142" t="n"/>
      <c r="N85" s="142" t="n"/>
    </row>
    <row r="86" ht="25.35" customHeight="1" s="375">
      <c r="A86" s="45" t="n">
        <v>18</v>
      </c>
      <c r="B86" s="183">
        <f>B24</f>
        <v/>
      </c>
      <c r="C86" s="563">
        <f>P24</f>
        <v/>
      </c>
      <c r="D86" s="432" t="n"/>
      <c r="E86" s="564">
        <f>K60-C86</f>
        <v/>
      </c>
      <c r="F86" s="518" t="n"/>
      <c r="G86" s="518" t="n"/>
      <c r="H86" s="432" t="n"/>
      <c r="I86" s="565" t="n"/>
      <c r="J86" s="432" t="n"/>
      <c r="K86" s="142" t="n"/>
      <c r="L86" s="142" t="n"/>
      <c r="M86" s="142" t="n"/>
      <c r="N86" s="142" t="n"/>
    </row>
    <row r="87" ht="25.35" customHeight="1" s="375">
      <c r="A87" s="45" t="n">
        <v>19</v>
      </c>
      <c r="B87" s="183">
        <f>B25</f>
        <v/>
      </c>
      <c r="C87" s="563">
        <f>P25</f>
        <v/>
      </c>
      <c r="D87" s="432" t="n"/>
      <c r="E87" s="566">
        <f>K60-C87</f>
        <v/>
      </c>
      <c r="F87" s="518" t="n"/>
      <c r="G87" s="518" t="n"/>
      <c r="H87" s="432" t="n"/>
      <c r="I87" s="565" t="n"/>
      <c r="J87" s="432" t="n"/>
      <c r="K87" s="142" t="n"/>
      <c r="L87" s="142" t="n"/>
      <c r="M87" s="142" t="n"/>
      <c r="N87" s="142" t="n"/>
    </row>
    <row r="88" ht="25.35" customHeight="1" s="375">
      <c r="A88" s="45" t="n">
        <v>20</v>
      </c>
      <c r="B88" s="183">
        <f>B26</f>
        <v/>
      </c>
      <c r="C88" s="563">
        <f>P26</f>
        <v/>
      </c>
      <c r="D88" s="432" t="n"/>
      <c r="E88" s="564">
        <f>K60-C88</f>
        <v/>
      </c>
      <c r="F88" s="518" t="n"/>
      <c r="G88" s="518" t="n"/>
      <c r="H88" s="432" t="n"/>
      <c r="I88" s="565" t="n"/>
      <c r="J88" s="432" t="n"/>
      <c r="K88" s="142" t="n"/>
      <c r="L88" s="142" t="n"/>
      <c r="M88" s="142" t="n"/>
      <c r="N88" s="142" t="n"/>
    </row>
    <row r="89" ht="25.35" customHeight="1" s="375">
      <c r="A89" s="45" t="n">
        <v>21</v>
      </c>
      <c r="B89" s="184">
        <f>B32</f>
        <v/>
      </c>
      <c r="C89" s="563">
        <f>P32</f>
        <v/>
      </c>
      <c r="D89" s="432" t="n"/>
      <c r="E89" s="564">
        <f>K60-C89</f>
        <v/>
      </c>
      <c r="F89" s="518" t="n"/>
      <c r="G89" s="518" t="n"/>
      <c r="H89" s="432" t="n"/>
      <c r="I89" s="565" t="n"/>
      <c r="J89" s="432" t="n"/>
      <c r="K89" s="142" t="n"/>
      <c r="L89" s="142" t="n"/>
      <c r="M89" s="142" t="n"/>
      <c r="N89" s="142" t="n"/>
    </row>
    <row r="90" ht="25.35" customHeight="1" s="375">
      <c r="A90" s="45" t="n">
        <v>22</v>
      </c>
      <c r="B90" s="184">
        <f>B33</f>
        <v/>
      </c>
      <c r="C90" s="563">
        <f>P33</f>
        <v/>
      </c>
      <c r="D90" s="432" t="n"/>
      <c r="E90" s="564">
        <f>K60-C90</f>
        <v/>
      </c>
      <c r="F90" s="518" t="n"/>
      <c r="G90" s="518" t="n"/>
      <c r="H90" s="432" t="n"/>
      <c r="I90" s="565" t="n"/>
      <c r="J90" s="432" t="n"/>
      <c r="K90" s="142" t="n"/>
      <c r="L90" s="142" t="n"/>
      <c r="M90" s="142" t="n"/>
      <c r="N90" s="142" t="n"/>
    </row>
    <row r="91" ht="25.35" customHeight="1" s="375">
      <c r="A91" s="45" t="n">
        <v>23</v>
      </c>
      <c r="B91" s="184">
        <f>B34</f>
        <v/>
      </c>
      <c r="C91" s="563">
        <f>P34</f>
        <v/>
      </c>
      <c r="D91" s="432" t="n"/>
      <c r="E91" s="564">
        <f>K60-C91</f>
        <v/>
      </c>
      <c r="F91" s="518" t="n"/>
      <c r="G91" s="518" t="n"/>
      <c r="H91" s="432" t="n"/>
      <c r="I91" s="565" t="n"/>
      <c r="J91" s="432" t="n"/>
      <c r="K91" s="142" t="n"/>
      <c r="L91" s="142" t="n"/>
      <c r="M91" s="142" t="n"/>
      <c r="N91" s="142" t="n"/>
    </row>
    <row r="92" ht="26.4" customHeight="1" s="375">
      <c r="A92" s="45" t="n">
        <v>24</v>
      </c>
      <c r="B92" s="184">
        <f>B35</f>
        <v/>
      </c>
      <c r="C92" s="563">
        <f>P35</f>
        <v/>
      </c>
      <c r="D92" s="432" t="n"/>
      <c r="E92" s="566">
        <f>K60-C92</f>
        <v/>
      </c>
      <c r="F92" s="518" t="n"/>
      <c r="G92" s="518" t="n"/>
      <c r="H92" s="432" t="n"/>
      <c r="I92" s="565" t="n"/>
      <c r="J92" s="432" t="n"/>
      <c r="K92" s="142" t="n"/>
      <c r="L92" s="142" t="n"/>
      <c r="M92" s="142" t="n"/>
      <c r="N92" s="142" t="n"/>
    </row>
    <row r="93" ht="26.4" customHeight="1" s="375">
      <c r="A93" s="45" t="n">
        <v>25</v>
      </c>
      <c r="B93" s="184">
        <f>B36</f>
        <v/>
      </c>
      <c r="C93" s="430">
        <f>P36</f>
        <v/>
      </c>
      <c r="D93" s="432" t="n"/>
      <c r="E93" s="564">
        <f>K60-C93</f>
        <v/>
      </c>
      <c r="F93" s="518" t="n"/>
      <c r="G93" s="518" t="n"/>
      <c r="H93" s="432" t="n"/>
      <c r="I93" s="565" t="n"/>
      <c r="J93" s="432" t="n"/>
    </row>
    <row r="94" ht="26.4" customHeight="1" s="375">
      <c r="A94" s="45" t="n">
        <v>26</v>
      </c>
      <c r="B94" s="182">
        <f>B45</f>
        <v/>
      </c>
      <c r="C94" s="430">
        <f>P45</f>
        <v/>
      </c>
      <c r="D94" s="432" t="n"/>
      <c r="E94" s="566">
        <f>K60-C94</f>
        <v/>
      </c>
      <c r="F94" s="518" t="n"/>
      <c r="G94" s="518" t="n"/>
      <c r="H94" s="432" t="n"/>
      <c r="I94" s="567" t="n"/>
      <c r="J94" s="432" t="n"/>
    </row>
    <row r="95" ht="26.4" customHeight="1" s="375">
      <c r="A95" s="45" t="n">
        <v>27</v>
      </c>
      <c r="B95" s="182">
        <f>B46</f>
        <v/>
      </c>
      <c r="C95" s="430">
        <f>P46</f>
        <v/>
      </c>
      <c r="D95" s="432" t="n"/>
      <c r="E95" s="564">
        <f>K60-C95</f>
        <v/>
      </c>
      <c r="F95" s="518" t="n"/>
      <c r="G95" s="518" t="n"/>
      <c r="H95" s="432" t="n"/>
      <c r="I95" s="567" t="n"/>
      <c r="J95" s="432" t="n"/>
    </row>
    <row r="96" ht="26.4" customHeight="1" s="375">
      <c r="A96" s="45" t="n">
        <v>28</v>
      </c>
      <c r="B96" s="182">
        <f>B47</f>
        <v/>
      </c>
      <c r="C96" s="430">
        <f>P47</f>
        <v/>
      </c>
      <c r="D96" s="432" t="n"/>
      <c r="E96" s="564">
        <f>K60-C96</f>
        <v/>
      </c>
      <c r="F96" s="518" t="n"/>
      <c r="G96" s="518" t="n"/>
      <c r="H96" s="432" t="n"/>
      <c r="I96" s="567" t="n"/>
      <c r="J96" s="432" t="n"/>
    </row>
    <row r="97"/>
    <row r="98" s="375"/>
    <row r="99" ht="25.8" customHeight="1" s="375">
      <c r="E99" s="470" t="inlineStr">
        <is>
          <t>ลงชื่อ..................................................................................................................................</t>
        </is>
      </c>
      <c r="K99" s="470" t="n"/>
      <c r="L99" s="470" t="n"/>
      <c r="M99" s="470" t="n"/>
      <c r="N99" s="470" t="n"/>
    </row>
    <row r="100" ht="23.25" customHeight="1" s="375">
      <c r="E100" s="466" t="inlineStr">
        <is>
          <t xml:space="preserve"> ( นายชำนาญ แก้วจงประสิทธิ์ )</t>
        </is>
      </c>
      <c r="K100" s="466" t="n"/>
      <c r="L100" s="466" t="n"/>
      <c r="M100" s="466" t="n"/>
      <c r="N100" s="466" t="n"/>
    </row>
    <row r="101" ht="25.2" customHeight="1" s="375">
      <c r="E101" s="467" t="inlineStr">
        <is>
          <t>ตำแหน่ง    หัวหน้าแผนกวิชา ช่างยนต์</t>
        </is>
      </c>
      <c r="K101" s="470" t="n"/>
      <c r="L101" s="470" t="n"/>
      <c r="M101" s="470" t="n"/>
      <c r="N101" s="470" t="n"/>
    </row>
  </sheetData>
  <mergeCells count="154">
    <mergeCell ref="M43:N43"/>
    <mergeCell ref="I81:J81"/>
    <mergeCell ref="B43:B44"/>
    <mergeCell ref="I95:J95"/>
    <mergeCell ref="I89:J89"/>
    <mergeCell ref="C89:D89"/>
    <mergeCell ref="A57:C57"/>
    <mergeCell ref="C79:D79"/>
    <mergeCell ref="C73:D73"/>
    <mergeCell ref="I76:J76"/>
    <mergeCell ref="E96:H96"/>
    <mergeCell ref="K50:L50"/>
    <mergeCell ref="C93:D93"/>
    <mergeCell ref="C50:D50"/>
    <mergeCell ref="I71:J71"/>
    <mergeCell ref="E71:H71"/>
    <mergeCell ref="C43:D43"/>
    <mergeCell ref="G68:H68"/>
    <mergeCell ref="E79:H79"/>
    <mergeCell ref="E73:H73"/>
    <mergeCell ref="E88:H88"/>
    <mergeCell ref="C76:D76"/>
    <mergeCell ref="E82:H82"/>
    <mergeCell ref="I83:J83"/>
    <mergeCell ref="A62:B62"/>
    <mergeCell ref="E74:H74"/>
    <mergeCell ref="I94:J94"/>
    <mergeCell ref="D29:H29"/>
    <mergeCell ref="M50:N50"/>
    <mergeCell ref="I69:J69"/>
    <mergeCell ref="I84:J84"/>
    <mergeCell ref="C69:D69"/>
    <mergeCell ref="C83:D83"/>
    <mergeCell ref="I30:J30"/>
    <mergeCell ref="O5:O6"/>
    <mergeCell ref="K30:L30"/>
    <mergeCell ref="C92:D92"/>
    <mergeCell ref="C30:D30"/>
    <mergeCell ref="A59:B59"/>
    <mergeCell ref="I77:J77"/>
    <mergeCell ref="I86:J86"/>
    <mergeCell ref="E91:H91"/>
    <mergeCell ref="C5:D5"/>
    <mergeCell ref="I80:J80"/>
    <mergeCell ref="E85:H85"/>
    <mergeCell ref="E5:F5"/>
    <mergeCell ref="P50:P51"/>
    <mergeCell ref="A38:J38"/>
    <mergeCell ref="C87:D87"/>
    <mergeCell ref="E99:J99"/>
    <mergeCell ref="O30:O31"/>
    <mergeCell ref="E75:H75"/>
    <mergeCell ref="B67:B68"/>
    <mergeCell ref="I70:J70"/>
    <mergeCell ref="E93:H93"/>
    <mergeCell ref="I72:J72"/>
    <mergeCell ref="E101:J101"/>
    <mergeCell ref="D49:H49"/>
    <mergeCell ref="K63:L63"/>
    <mergeCell ref="E100:J100"/>
    <mergeCell ref="I96:J96"/>
    <mergeCell ref="C67:H67"/>
    <mergeCell ref="I43:J43"/>
    <mergeCell ref="C90:D90"/>
    <mergeCell ref="K43:L43"/>
    <mergeCell ref="C71:D71"/>
    <mergeCell ref="E87:H87"/>
    <mergeCell ref="I88:J88"/>
    <mergeCell ref="B30:B31"/>
    <mergeCell ref="I82:J82"/>
    <mergeCell ref="C91:D91"/>
    <mergeCell ref="A43:A44"/>
    <mergeCell ref="C82:D82"/>
    <mergeCell ref="P30:P31"/>
    <mergeCell ref="A63:B63"/>
    <mergeCell ref="E90:H90"/>
    <mergeCell ref="I74:J74"/>
    <mergeCell ref="C77:D77"/>
    <mergeCell ref="E50:F50"/>
    <mergeCell ref="C86:D86"/>
    <mergeCell ref="C68:D68"/>
    <mergeCell ref="E68:F68"/>
    <mergeCell ref="K5:L5"/>
    <mergeCell ref="E76:H76"/>
    <mergeCell ref="I67:J68"/>
    <mergeCell ref="M5:N5"/>
    <mergeCell ref="A50:A51"/>
    <mergeCell ref="K60:L60"/>
    <mergeCell ref="C85:D85"/>
    <mergeCell ref="C94:D94"/>
    <mergeCell ref="C75:D75"/>
    <mergeCell ref="C84:D84"/>
    <mergeCell ref="C80:D80"/>
    <mergeCell ref="I87:J87"/>
    <mergeCell ref="E92:H92"/>
    <mergeCell ref="C95:D95"/>
    <mergeCell ref="C70:D70"/>
    <mergeCell ref="A54:J54"/>
    <mergeCell ref="E94:H94"/>
    <mergeCell ref="E77:H77"/>
    <mergeCell ref="D40:H41"/>
    <mergeCell ref="I79:J79"/>
    <mergeCell ref="E84:H84"/>
    <mergeCell ref="P5:P6"/>
    <mergeCell ref="I73:J73"/>
    <mergeCell ref="E78:H78"/>
    <mergeCell ref="D42:H42"/>
    <mergeCell ref="A27:J27"/>
    <mergeCell ref="D2:H3"/>
    <mergeCell ref="G50:H50"/>
    <mergeCell ref="E86:H86"/>
    <mergeCell ref="I50:J50"/>
    <mergeCell ref="E80:H80"/>
    <mergeCell ref="E95:H95"/>
    <mergeCell ref="A67:A68"/>
    <mergeCell ref="E89:H89"/>
    <mergeCell ref="E43:F43"/>
    <mergeCell ref="I90:J90"/>
    <mergeCell ref="G43:H43"/>
    <mergeCell ref="E70:H70"/>
    <mergeCell ref="A60:B60"/>
    <mergeCell ref="A56:C56"/>
    <mergeCell ref="E72:H72"/>
    <mergeCell ref="C74:D74"/>
    <mergeCell ref="C88:D88"/>
    <mergeCell ref="E81:H81"/>
    <mergeCell ref="I91:J91"/>
    <mergeCell ref="I85:J85"/>
    <mergeCell ref="A48:J48"/>
    <mergeCell ref="O50:O51"/>
    <mergeCell ref="I75:J75"/>
    <mergeCell ref="I93:J93"/>
    <mergeCell ref="C96:D96"/>
    <mergeCell ref="A5:A6"/>
    <mergeCell ref="M30:N30"/>
    <mergeCell ref="K59:L59"/>
    <mergeCell ref="O43:O44"/>
    <mergeCell ref="E30:F30"/>
    <mergeCell ref="E83:H83"/>
    <mergeCell ref="G30:H30"/>
    <mergeCell ref="I92:J92"/>
    <mergeCell ref="G5:H5"/>
    <mergeCell ref="I5:J5"/>
    <mergeCell ref="D4:H4"/>
    <mergeCell ref="B5:B6"/>
    <mergeCell ref="P43:P44"/>
    <mergeCell ref="E69:H69"/>
    <mergeCell ref="C72:D72"/>
    <mergeCell ref="I78:J78"/>
    <mergeCell ref="C81:D81"/>
    <mergeCell ref="B50:B51"/>
    <mergeCell ref="K62:L62"/>
    <mergeCell ref="C78:D78"/>
    <mergeCell ref="A30:A31"/>
  </mergeCells>
  <printOptions horizontalCentered="1"/>
  <pageMargins left="0" right="0" top="0" bottom="0" header="0" footer="0"/>
  <pageSetup orientation="portrait" scale="52" horizontalDpi="4294967293"/>
  <rowBreaks count="1" manualBreakCount="1">
    <brk id="65" min="0" max="12" man="1"/>
  </rowBreaks>
</worksheet>
</file>

<file path=xl/worksheets/sheet7.xml><?xml version="1.0" encoding="utf-8"?>
<worksheet xmlns="http://schemas.openxmlformats.org/spreadsheetml/2006/main">
  <sheetPr codeName="Sheet80">
    <outlinePr summaryBelow="1" summaryRight="1"/>
    <pageSetUpPr/>
  </sheetPr>
  <dimension ref="A1:P106"/>
  <sheetViews>
    <sheetView tabSelected="1" view="pageBreakPreview" topLeftCell="A55" zoomScaleNormal="90" zoomScaleSheetLayoutView="100" workbookViewId="0">
      <selection activeCell="H37" sqref="H37"/>
    </sheetView>
  </sheetViews>
  <sheetFormatPr baseColWidth="8" defaultColWidth="9.109375" defaultRowHeight="19.8"/>
  <cols>
    <col width="6.33203125" customWidth="1" style="71" min="1" max="1"/>
    <col width="21.6640625" customWidth="1" style="71" min="2" max="2"/>
    <col width="9.5546875" customWidth="1" style="71" min="3" max="3"/>
    <col width="5.44140625" customWidth="1" style="71" min="4" max="4"/>
    <col width="2.33203125" customWidth="1" style="71" min="5" max="5"/>
    <col width="9.44140625" customWidth="1" style="71" min="6" max="6"/>
    <col width="19" customWidth="1" style="71" min="7" max="7"/>
    <col width="16.33203125" customWidth="1" style="71" min="8" max="8"/>
    <col width="14.44140625" customWidth="1" style="71" min="9" max="9"/>
    <col width="18.88671875" customWidth="1" style="71" min="10" max="10"/>
    <col width="15.44140625" customWidth="1" style="71" min="11" max="11"/>
    <col width="9.44140625" customWidth="1" style="71" min="12" max="12"/>
    <col width="10.33203125" customWidth="1" style="71" min="13" max="13"/>
    <col width="9.109375" customWidth="1" style="71" min="14" max="16384"/>
  </cols>
  <sheetData>
    <row r="1" ht="29.85" customFormat="1" customHeight="1" s="477">
      <c r="A1" s="493" t="inlineStr">
        <is>
          <t>หลักฐานการเบิกจ่ายเงินค่าสอนพิเศษและค่าสอนเกินภาระงานสอนในสถานศึกษา</t>
        </is>
      </c>
    </row>
    <row r="2" ht="25.2" customFormat="1" customHeight="1" s="477">
      <c r="B2" s="493" t="inlineStr">
        <is>
          <t>ส่วนราชการ    วิทยาลัยเทคนิคนครสวรรค์</t>
        </is>
      </c>
      <c r="H2" s="493" t="inlineStr">
        <is>
          <t>ประจำเดือน</t>
        </is>
      </c>
      <c r="I2" s="502" t="inlineStr">
        <is>
          <t>14 กันยายน 2569 - 16 ตุลาคม 2569</t>
        </is>
      </c>
    </row>
    <row r="3" ht="20.1" customFormat="1" customHeight="1" s="477">
      <c r="H3" s="72" t="n"/>
      <c r="K3" s="73" t="n"/>
    </row>
    <row r="4" ht="20.1" customFormat="1" customHeight="1" s="477">
      <c r="A4" s="74" t="n"/>
      <c r="B4" s="75" t="n"/>
      <c r="C4" s="76" t="n"/>
      <c r="D4" s="76" t="n"/>
      <c r="E4" s="77" t="n"/>
      <c r="F4" s="78" t="n"/>
      <c r="G4" s="568" t="inlineStr">
        <is>
          <t>ระดับการสอน</t>
        </is>
      </c>
      <c r="H4" s="432" t="n"/>
      <c r="I4" s="78" t="inlineStr">
        <is>
          <t>จำนวนหน่วย</t>
        </is>
      </c>
      <c r="J4" s="569" t="inlineStr">
        <is>
          <t>จำนวนเงิน</t>
        </is>
      </c>
      <c r="K4" s="569" t="inlineStr">
        <is>
          <t>ลายมือชื่อผู้รับเงิน</t>
        </is>
      </c>
      <c r="L4" s="506" t="inlineStr">
        <is>
          <t>วัน/เดือน/ปี</t>
        </is>
      </c>
      <c r="M4" s="569" t="inlineStr">
        <is>
          <t>หมายเหตุ</t>
        </is>
      </c>
    </row>
    <row r="5" ht="20.1" customFormat="1" customHeight="1" s="477">
      <c r="A5" s="497" t="inlineStr">
        <is>
          <t>ลำดับที่</t>
        </is>
      </c>
      <c r="B5" s="570" t="inlineStr">
        <is>
          <t>ชื่อ - นามสกุล</t>
        </is>
      </c>
      <c r="E5" s="374" t="n"/>
      <c r="F5" s="492" t="inlineStr">
        <is>
          <t>ตำแหน่ง</t>
        </is>
      </c>
      <c r="G5" s="78" t="inlineStr">
        <is>
          <t>มัธยมศึกษาตอนต้น</t>
        </is>
      </c>
      <c r="H5" s="484" t="inlineStr">
        <is>
          <t>สูงกว่า</t>
        </is>
      </c>
      <c r="I5" s="492" t="inlineStr">
        <is>
          <t>ชั่วโมงที่ทำการสอน</t>
        </is>
      </c>
      <c r="J5" s="251" t="n"/>
      <c r="K5" s="251" t="n"/>
      <c r="L5" s="251" t="n"/>
      <c r="M5" s="251" t="n"/>
    </row>
    <row r="6" ht="20.1" customFormat="1" customHeight="1" s="477">
      <c r="A6" s="497" t="n"/>
      <c r="B6" s="499" t="n"/>
      <c r="C6" s="500" t="n"/>
      <c r="D6" s="500" t="n"/>
      <c r="E6" s="501" t="n"/>
      <c r="F6" s="85" t="inlineStr">
        <is>
          <t>ผู้ทำการสอน</t>
        </is>
      </c>
      <c r="G6" s="492" t="inlineStr">
        <is>
          <t>หรือมัธยมศึกษาตอนปลาย</t>
        </is>
      </c>
      <c r="H6" s="484" t="inlineStr">
        <is>
          <t>มัธยมศึกษาตอนปลาย</t>
        </is>
      </c>
      <c r="I6" s="492" t="inlineStr">
        <is>
          <t>พิเศษและสอนเกิน</t>
        </is>
      </c>
      <c r="J6" s="251" t="n"/>
      <c r="K6" s="251" t="n"/>
      <c r="L6" s="498" t="inlineStr">
        <is>
          <t>ที่รับเงิน</t>
        </is>
      </c>
      <c r="M6" s="251" t="n"/>
    </row>
    <row r="7" ht="20.1" customFormat="1" customHeight="1" s="67">
      <c r="A7" s="86" t="n"/>
      <c r="B7" s="510" t="n"/>
      <c r="C7" s="513" t="n"/>
      <c r="D7" s="513" t="n"/>
      <c r="E7" s="514" t="n"/>
      <c r="F7" s="86" t="n"/>
      <c r="G7" s="488" t="inlineStr">
        <is>
          <t>หรือเทียบเท่า</t>
        </is>
      </c>
      <c r="H7" s="481" t="inlineStr">
        <is>
          <t>หรือเทียบเท่า</t>
        </is>
      </c>
      <c r="I7" s="488" t="inlineStr">
        <is>
          <t>ภาระงานสอน</t>
        </is>
      </c>
      <c r="J7" s="525" t="n"/>
      <c r="K7" s="525" t="n"/>
      <c r="L7" s="525" t="n"/>
      <c r="M7" s="525" t="n"/>
      <c r="O7" s="68">
        <f>#REF!</f>
        <v/>
      </c>
      <c r="P7" s="69" t="n"/>
    </row>
    <row r="8" ht="20.1" customFormat="1" customHeight="1" s="67">
      <c r="A8" s="92" t="n">
        <v>1</v>
      </c>
      <c r="B8" s="571">
        <f>ตารางแจงเงินรายบุคคล!B7</f>
        <v/>
      </c>
      <c r="C8" s="518" t="n"/>
      <c r="D8" s="518" t="n"/>
      <c r="E8" s="432" t="n"/>
      <c r="F8" s="92" t="inlineStr">
        <is>
          <t>ครู</t>
        </is>
      </c>
      <c r="G8" s="315" t="inlineStr">
        <is>
          <t>ü</t>
        </is>
      </c>
      <c r="H8" s="316" t="inlineStr"/>
      <c r="I8" s="94">
        <f>ตารางแจงเงินรายบุคคล!O7</f>
        <v/>
      </c>
      <c r="J8" s="193">
        <f>ตารางแจงเงินรายบุคคล!P7</f>
        <v/>
      </c>
      <c r="K8" s="95" t="n"/>
      <c r="L8" s="96" t="n"/>
      <c r="M8" s="97" t="n"/>
      <c r="O8" s="68">
        <f>#REF!</f>
        <v/>
      </c>
      <c r="P8" s="69" t="n"/>
    </row>
    <row r="9" ht="20.1" customFormat="1" customHeight="1" s="67">
      <c r="A9" s="98" t="n">
        <v>2</v>
      </c>
      <c r="B9" s="571">
        <f>ตารางแจงเงินรายบุคคล!B8</f>
        <v/>
      </c>
      <c r="C9" s="518" t="n"/>
      <c r="D9" s="518" t="n"/>
      <c r="E9" s="432" t="n"/>
      <c r="F9" s="92" t="inlineStr">
        <is>
          <t>ครู</t>
        </is>
      </c>
      <c r="G9" s="175" t="inlineStr">
        <is>
          <t>ü</t>
        </is>
      </c>
      <c r="H9" s="122" t="inlineStr"/>
      <c r="I9" s="98">
        <f>ตารางแจงเงินรายบุคคล!O8</f>
        <v/>
      </c>
      <c r="J9" s="192">
        <f>ตารางแจงเงินรายบุคคล!P8</f>
        <v/>
      </c>
      <c r="K9" s="95" t="n"/>
      <c r="L9" s="96" t="n"/>
      <c r="M9" s="99" t="n"/>
      <c r="O9" s="68">
        <f>#REF!</f>
        <v/>
      </c>
      <c r="P9" s="69" t="n"/>
    </row>
    <row r="10" ht="20.1" customFormat="1" customHeight="1" s="67">
      <c r="A10" s="98" t="n">
        <v>3</v>
      </c>
      <c r="B10" s="571">
        <f>ตารางแจงเงินรายบุคคล!B9</f>
        <v/>
      </c>
      <c r="C10" s="518" t="n"/>
      <c r="D10" s="518" t="n"/>
      <c r="E10" s="432" t="n"/>
      <c r="F10" s="92" t="inlineStr">
        <is>
          <t>ครู</t>
        </is>
      </c>
      <c r="G10" s="93" t="inlineStr">
        <is>
          <t>ü</t>
        </is>
      </c>
      <c r="H10" s="122" t="inlineStr"/>
      <c r="I10" s="98">
        <f>ตารางแจงเงินรายบุคคล!O9</f>
        <v/>
      </c>
      <c r="J10" s="192">
        <f>ตารางแจงเงินรายบุคคล!P9</f>
        <v/>
      </c>
      <c r="K10" s="95" t="n"/>
      <c r="L10" s="96" t="n"/>
      <c r="M10" s="99" t="n"/>
      <c r="O10" s="68">
        <f>#REF!</f>
        <v/>
      </c>
      <c r="P10" s="69" t="n"/>
    </row>
    <row r="11" ht="20.1" customFormat="1" customHeight="1" s="67">
      <c r="A11" s="98" t="n">
        <v>4</v>
      </c>
      <c r="B11" s="571">
        <f>ตารางแจงเงินรายบุคคล!B10</f>
        <v/>
      </c>
      <c r="C11" s="518" t="n"/>
      <c r="D11" s="518" t="n"/>
      <c r="E11" s="432" t="n"/>
      <c r="F11" s="92" t="inlineStr">
        <is>
          <t>ครู</t>
        </is>
      </c>
      <c r="G11" s="175" t="inlineStr">
        <is>
          <t>ü</t>
        </is>
      </c>
      <c r="H11" s="122" t="inlineStr"/>
      <c r="I11" s="98">
        <f>ตารางแจงเงินรายบุคคล!O10</f>
        <v/>
      </c>
      <c r="J11" s="192">
        <f>ตารางแจงเงินรายบุคคล!P10</f>
        <v/>
      </c>
      <c r="K11" s="100" t="n"/>
      <c r="L11" s="96" t="n"/>
      <c r="M11" s="99" t="n"/>
      <c r="O11" s="68">
        <f>#REF!</f>
        <v/>
      </c>
      <c r="P11" s="69" t="n"/>
    </row>
    <row r="12" ht="20.1" customFormat="1" customHeight="1" s="67">
      <c r="A12" s="98" t="n">
        <v>5</v>
      </c>
      <c r="B12" s="571">
        <f>ตารางแจงเงินรายบุคคล!B11</f>
        <v/>
      </c>
      <c r="C12" s="518" t="n"/>
      <c r="D12" s="518" t="n"/>
      <c r="E12" s="432" t="n"/>
      <c r="F12" s="92" t="inlineStr">
        <is>
          <t>ครู</t>
        </is>
      </c>
      <c r="G12" s="175" t="inlineStr">
        <is>
          <t>ü</t>
        </is>
      </c>
      <c r="H12" s="122" t="inlineStr"/>
      <c r="I12" s="98">
        <f>ตารางแจงเงินรายบุคคล!O11</f>
        <v/>
      </c>
      <c r="J12" s="192">
        <f>ตารางแจงเงินรายบุคคล!P11</f>
        <v/>
      </c>
      <c r="K12" s="100" t="n"/>
      <c r="L12" s="96" t="n"/>
      <c r="M12" s="99" t="n"/>
      <c r="O12" s="68">
        <f>#REF!</f>
        <v/>
      </c>
      <c r="P12" s="69" t="n"/>
    </row>
    <row r="13" ht="20.1" customFormat="1" customHeight="1" s="67">
      <c r="A13" s="98" t="n">
        <v>6</v>
      </c>
      <c r="B13" s="571">
        <f>ตารางแจงเงินรายบุคคล!B12</f>
        <v/>
      </c>
      <c r="C13" s="518" t="n"/>
      <c r="D13" s="518" t="n"/>
      <c r="E13" s="432" t="n"/>
      <c r="F13" s="92" t="inlineStr">
        <is>
          <t>ครู</t>
        </is>
      </c>
      <c r="G13" s="175" t="inlineStr">
        <is>
          <t>ü</t>
        </is>
      </c>
      <c r="H13" s="122" t="inlineStr"/>
      <c r="I13" s="98">
        <f>ตารางแจงเงินรายบุคคล!O12</f>
        <v/>
      </c>
      <c r="J13" s="192">
        <f>ตารางแจงเงินรายบุคคล!P12</f>
        <v/>
      </c>
      <c r="K13" s="100" t="n"/>
      <c r="L13" s="99" t="n"/>
      <c r="M13" s="99" t="n"/>
      <c r="O13" s="68">
        <f>#REF!</f>
        <v/>
      </c>
      <c r="P13" s="69" t="n"/>
    </row>
    <row r="14" ht="20.1" customFormat="1" customHeight="1" s="67">
      <c r="A14" s="98" t="n">
        <v>7</v>
      </c>
      <c r="B14" s="571">
        <f>ตารางแจงเงินรายบุคคล!B13</f>
        <v/>
      </c>
      <c r="C14" s="518" t="n"/>
      <c r="D14" s="518" t="n"/>
      <c r="E14" s="432" t="n"/>
      <c r="F14" s="92" t="inlineStr">
        <is>
          <t>ครู</t>
        </is>
      </c>
      <c r="G14" s="93" t="inlineStr">
        <is>
          <t>ü</t>
        </is>
      </c>
      <c r="H14" s="122" t="inlineStr"/>
      <c r="I14" s="98">
        <f>ตารางแจงเงินรายบุคคล!O13</f>
        <v/>
      </c>
      <c r="J14" s="192">
        <f>ตารางแจงเงินรายบุคคล!P13</f>
        <v/>
      </c>
      <c r="K14" s="100" t="n"/>
      <c r="L14" s="99" t="n"/>
      <c r="M14" s="99" t="n"/>
      <c r="O14" s="68">
        <f>#REF!</f>
        <v/>
      </c>
      <c r="P14" s="69" t="n"/>
    </row>
    <row r="15" ht="20.1" customFormat="1" customHeight="1" s="67">
      <c r="A15" s="102" t="n">
        <v>8</v>
      </c>
      <c r="B15" s="86">
        <f>ตารางแจงเงินรายบุคคล!B14</f>
        <v/>
      </c>
      <c r="C15" s="522" t="n"/>
      <c r="D15" s="522" t="n"/>
      <c r="E15" s="527" t="n"/>
      <c r="F15" s="92" t="inlineStr">
        <is>
          <t>ครู</t>
        </is>
      </c>
      <c r="G15" s="177" t="inlineStr">
        <is>
          <t>ü</t>
        </is>
      </c>
      <c r="H15" t="inlineStr"/>
      <c r="I15" s="92">
        <f>ตารางแจงเงินรายบุคคล!O14</f>
        <v/>
      </c>
      <c r="J15" s="194">
        <f>ตารางแจงเงินรายบุคคล!P14</f>
        <v/>
      </c>
      <c r="K15" s="103" t="n"/>
      <c r="L15" s="104" t="n"/>
      <c r="M15" s="104" t="n"/>
      <c r="O15" s="68">
        <f>#REF!</f>
        <v/>
      </c>
    </row>
    <row r="16" ht="20.1" customFormat="1" customHeight="1" s="67" thickBot="1">
      <c r="A16" s="105" t="n"/>
      <c r="B16" s="106" t="n"/>
      <c r="C16" s="106" t="inlineStr">
        <is>
          <t>ย/ป</t>
        </is>
      </c>
      <c r="D16" s="106" t="n"/>
      <c r="E16" s="471" t="inlineStr">
        <is>
          <t>รวมจำนวนเงิน</t>
        </is>
      </c>
      <c r="F16" s="572" t="n"/>
      <c r="G16" s="472">
        <f>B19</f>
        <v/>
      </c>
      <c r="H16" s="572" t="n"/>
      <c r="I16" s="573" t="n"/>
      <c r="J16" s="107">
        <f>SUM(J8:J15)</f>
        <v/>
      </c>
      <c r="K16" s="105" t="n"/>
      <c r="L16" s="106" t="n"/>
      <c r="M16" s="108" t="n"/>
      <c r="O16" s="68">
        <f>#REF!</f>
        <v/>
      </c>
    </row>
    <row r="17" ht="20.1" customFormat="1" customHeight="1" s="67" thickTop="1">
      <c r="A17" s="85" t="n"/>
      <c r="E17" s="374" t="n"/>
      <c r="F17" s="497" t="inlineStr">
        <is>
          <t>ผู้ทำ</t>
        </is>
      </c>
      <c r="I17" s="374" t="n"/>
      <c r="J17" s="497" t="inlineStr">
        <is>
          <t>ผู้จ่ายเงิน</t>
        </is>
      </c>
      <c r="M17" s="374" t="n"/>
      <c r="O17" s="68">
        <f>#REF!</f>
        <v/>
      </c>
    </row>
    <row r="18" ht="20.1" customFormat="1" customHeight="1" s="67">
      <c r="A18" s="483" t="inlineStr">
        <is>
          <t>รวมจำนวนเงินค่าสอนพิเศษทั้งสิ้น</t>
        </is>
      </c>
      <c r="C18" s="124">
        <f>J16</f>
        <v/>
      </c>
      <c r="D18" s="482" t="inlineStr">
        <is>
          <t>บาท</t>
        </is>
      </c>
      <c r="E18" s="478" t="n"/>
      <c r="F18" s="492" t="inlineStr">
        <is>
          <t>ลงชื่อ.........................................</t>
        </is>
      </c>
      <c r="I18" s="374" t="n"/>
      <c r="J18" s="492" t="inlineStr">
        <is>
          <t>ลงชื่อ.........................................</t>
        </is>
      </c>
      <c r="M18" s="374" t="n"/>
      <c r="O18" s="68">
        <f>#REF!</f>
        <v/>
      </c>
    </row>
    <row r="19" ht="20.1" customFormat="1" customHeight="1" s="67">
      <c r="A19" s="507" t="inlineStr">
        <is>
          <t>(</t>
        </is>
      </c>
      <c r="B19" s="482">
        <f>BAHTTEXT(C18)</f>
        <v/>
      </c>
      <c r="E19" s="113" t="inlineStr">
        <is>
          <t>)</t>
        </is>
      </c>
      <c r="F19" s="492" t="inlineStr">
        <is>
          <t>(นายชำนาญ แก้วจงประสิทธิ์)</t>
        </is>
      </c>
      <c r="I19" s="374" t="n"/>
      <c r="J19" s="492" t="inlineStr">
        <is>
          <t>(นางวีณา กฐินทอง )</t>
        </is>
      </c>
      <c r="M19" s="374" t="n"/>
      <c r="O19" s="68">
        <f>#REF!</f>
        <v/>
      </c>
    </row>
    <row r="20" ht="20.1" customFormat="1" customHeight="1" s="67">
      <c r="A20" s="574" t="n"/>
      <c r="E20" s="374" t="n"/>
      <c r="F20" s="492" t="inlineStr">
        <is>
          <t>ตำแหน่งครู  หัวหน้าแผนกวิชาช่างยนต์</t>
        </is>
      </c>
      <c r="I20" s="374" t="n"/>
      <c r="J20" s="492" t="inlineStr">
        <is>
          <t>ตำแหน่ง  หัวหน้างานการเงิน</t>
        </is>
      </c>
      <c r="M20" s="374" t="n"/>
      <c r="O20" s="68">
        <f>#REF!</f>
        <v/>
      </c>
    </row>
    <row r="21" ht="20.1" customFormat="1" customHeight="1" s="67">
      <c r="A21" s="86" t="n"/>
      <c r="B21" s="522" t="n"/>
      <c r="C21" s="522" t="n"/>
      <c r="D21" s="522" t="n"/>
      <c r="E21" s="527" t="n"/>
      <c r="F21" s="488" t="inlineStr">
        <is>
          <t>วันที่.......เดือน..........................พ.ศ..............</t>
        </is>
      </c>
      <c r="G21" s="522" t="n"/>
      <c r="H21" s="522" t="n"/>
      <c r="I21" s="527" t="n"/>
      <c r="J21" s="488" t="inlineStr">
        <is>
          <t>วันที่........เดือน...............พ.ศ...........</t>
        </is>
      </c>
      <c r="K21" s="522" t="n"/>
      <c r="L21" s="522" t="n"/>
      <c r="M21" s="527" t="n"/>
    </row>
    <row r="22" ht="20.1" customFormat="1" customHeight="1" s="477">
      <c r="A22" s="78" t="inlineStr">
        <is>
          <t>ผู้รับรอง</t>
        </is>
      </c>
      <c r="B22" s="153" t="n"/>
      <c r="C22" s="153" t="n"/>
      <c r="D22" s="153" t="n"/>
      <c r="E22" s="135" t="n"/>
      <c r="F22" s="78" t="inlineStr">
        <is>
          <t>ผู้เห็นชอบ</t>
        </is>
      </c>
      <c r="G22" s="153" t="n"/>
      <c r="H22" s="153" t="n"/>
      <c r="I22" s="135" t="n"/>
      <c r="J22" s="78" t="inlineStr">
        <is>
          <t>ผู้อนุมัติ</t>
        </is>
      </c>
      <c r="K22" s="153" t="n"/>
      <c r="L22" s="153" t="n"/>
      <c r="M22" s="135" t="n"/>
      <c r="O22" s="70">
        <f>O7+O8+O9+O10+O11+O12+O13+O14+O15+O16+O17+O18+O19+O20</f>
        <v/>
      </c>
    </row>
    <row r="23" ht="20.1" customFormat="1" customHeight="1" s="477">
      <c r="A23" s="492" t="inlineStr">
        <is>
          <t>ลงชื่อ...........................................................................</t>
        </is>
      </c>
      <c r="E23" s="374" t="n"/>
      <c r="F23" s="492" t="inlineStr">
        <is>
          <t>ลงชื่อ...............................................................</t>
        </is>
      </c>
      <c r="I23" s="374" t="n"/>
      <c r="J23" s="492" t="inlineStr">
        <is>
          <t>ลงชื่อ...................................................................</t>
        </is>
      </c>
      <c r="M23" s="374" t="n"/>
    </row>
    <row r="24" ht="20.1" customFormat="1" customHeight="1" s="477">
      <c r="A24" s="483" t="n"/>
      <c r="B24" s="482" t="inlineStr">
        <is>
          <t>(นายฉัตรชัย งาหอม)</t>
        </is>
      </c>
      <c r="D24" s="482" t="n"/>
      <c r="E24" s="478" t="n"/>
      <c r="F24" s="72" t="n"/>
      <c r="G24" s="482" t="inlineStr">
        <is>
          <t>(นายปรีชา โพธิ์เกิด)</t>
        </is>
      </c>
      <c r="I24" s="478" t="n"/>
      <c r="J24" s="482" t="n"/>
      <c r="K24" s="482" t="inlineStr">
        <is>
          <t>(นายปริวิชญ์ ไชยประเสริฐ)</t>
        </is>
      </c>
      <c r="M24" s="484" t="n"/>
    </row>
    <row r="25" ht="20.1" customFormat="1" customHeight="1" s="477">
      <c r="A25" s="492" t="inlineStr">
        <is>
          <t>ตำแหน่ง รองผู้อำนวยการฝ่ายวิชาการ</t>
        </is>
      </c>
      <c r="E25" s="374" t="n"/>
      <c r="F25" s="492" t="inlineStr">
        <is>
          <t>ตำแหน่ง รองผู้อำนวยการฝ่ายบริหารทรัพยากร</t>
        </is>
      </c>
      <c r="I25" s="374" t="n"/>
      <c r="J25" s="492" t="inlineStr">
        <is>
          <t>ตำแหน่ง ผู้อำนวยการวิทยาลัยเทคนิคนครสวรรค์</t>
        </is>
      </c>
      <c r="M25" s="374" t="n"/>
    </row>
    <row r="26" ht="23.85" customFormat="1" customHeight="1" s="477">
      <c r="A26" s="488" t="inlineStr">
        <is>
          <t>วันที่..................เดือน..........................พ.ศ................</t>
        </is>
      </c>
      <c r="B26" s="522" t="n"/>
      <c r="C26" s="522" t="n"/>
      <c r="D26" s="522" t="n"/>
      <c r="E26" s="527" t="n"/>
      <c r="F26" s="488" t="inlineStr">
        <is>
          <t>วันที่.............เดือน.......................พ.ศ.............</t>
        </is>
      </c>
      <c r="G26" s="522" t="n"/>
      <c r="H26" s="522" t="n"/>
      <c r="I26" s="527" t="n"/>
      <c r="J26" s="488" t="inlineStr">
        <is>
          <t>วันที่...........เดือน...................พ.ศ..........</t>
        </is>
      </c>
      <c r="K26" s="522" t="n"/>
      <c r="L26" s="522" t="n"/>
      <c r="M26" s="527" t="n"/>
    </row>
    <row r="27" ht="29.25" customFormat="1" customHeight="1" s="477">
      <c r="A27" s="493" t="inlineStr">
        <is>
          <t>หลักฐานการเบิกจ่ายเงินค่าสอนพิเศษและค่าสอนเกินภาระงานสอนในสถานศึกษา</t>
        </is>
      </c>
    </row>
    <row r="28" ht="25.2" customFormat="1" customHeight="1" s="477">
      <c r="A28" s="477" t="n"/>
      <c r="B28" s="493" t="inlineStr">
        <is>
          <t>ส่วนราชการ    วิทยาลัยเทคนิคนครสวรรค์</t>
        </is>
      </c>
      <c r="H28" s="493" t="inlineStr">
        <is>
          <t>ประจำเดือน</t>
        </is>
      </c>
      <c r="I28" s="502">
        <f>I2</f>
        <v/>
      </c>
      <c r="L28" s="477" t="n"/>
      <c r="M28" s="477" t="n"/>
    </row>
    <row r="29" ht="20.1" customFormat="1" customHeight="1" s="477" thickBot="1">
      <c r="H29" s="72" t="n"/>
      <c r="K29" s="73" t="n"/>
    </row>
    <row r="30" ht="20.1" customFormat="1" customHeight="1" s="477" thickTop="1">
      <c r="A30" s="115" t="n"/>
      <c r="B30" s="116" t="n"/>
      <c r="C30" s="117" t="n"/>
      <c r="D30" s="117" t="n"/>
      <c r="E30" s="118" t="n"/>
      <c r="F30" s="119" t="n"/>
      <c r="G30" s="575" t="inlineStr">
        <is>
          <t>ระดับการสอน</t>
        </is>
      </c>
      <c r="H30" s="576" t="n"/>
      <c r="I30" s="119" t="inlineStr">
        <is>
          <t>จำนวนหน่วย</t>
        </is>
      </c>
      <c r="J30" s="577" t="inlineStr">
        <is>
          <t>จำนวนเงิน</t>
        </is>
      </c>
      <c r="K30" s="120" t="n"/>
      <c r="L30" s="121" t="n"/>
      <c r="M30" s="577" t="inlineStr">
        <is>
          <t>หมายเหตุ</t>
        </is>
      </c>
    </row>
    <row r="31" ht="20.1" customFormat="1" customHeight="1" s="477">
      <c r="A31" s="497" t="inlineStr">
        <is>
          <t>ลำดับที่</t>
        </is>
      </c>
      <c r="B31" s="570" t="inlineStr">
        <is>
          <t>ชื่อ - นามสกุล</t>
        </is>
      </c>
      <c r="E31" s="374" t="n"/>
      <c r="F31" s="492" t="inlineStr">
        <is>
          <t>ตำแหน่ง</t>
        </is>
      </c>
      <c r="G31" s="78" t="inlineStr">
        <is>
          <t>มัธยมศึกษาตอนต้น</t>
        </is>
      </c>
      <c r="H31" s="484" t="inlineStr">
        <is>
          <t>สูงกว่า</t>
        </is>
      </c>
      <c r="I31" s="492" t="inlineStr">
        <is>
          <t>ชั่วโมงที่ทำการสอน</t>
        </is>
      </c>
      <c r="J31" s="251" t="n"/>
      <c r="K31" s="482" t="inlineStr">
        <is>
          <t>ลายมือชื่อ</t>
        </is>
      </c>
      <c r="L31" s="492" t="inlineStr">
        <is>
          <t>วัน/เดือน/ปี</t>
        </is>
      </c>
      <c r="M31" s="251" t="n"/>
    </row>
    <row r="32" ht="20.1" customFormat="1" customHeight="1" s="477">
      <c r="A32" s="497" t="n"/>
      <c r="B32" s="499" t="n"/>
      <c r="C32" s="500" t="n"/>
      <c r="D32" s="500" t="n"/>
      <c r="E32" s="501" t="n"/>
      <c r="F32" s="85" t="inlineStr">
        <is>
          <t>ผู้ทำการสอน</t>
        </is>
      </c>
      <c r="G32" s="492" t="inlineStr">
        <is>
          <t>หรือมัธยมศึกษาตอนปลาย</t>
        </is>
      </c>
      <c r="H32" s="484" t="inlineStr">
        <is>
          <t>มัธยมศึกษาตอนปลาย</t>
        </is>
      </c>
      <c r="I32" s="492" t="inlineStr">
        <is>
          <t>พิเศษและสอนเกิน</t>
        </is>
      </c>
      <c r="J32" s="251" t="n"/>
      <c r="K32" s="482" t="inlineStr">
        <is>
          <t>ผู้รับเงิน</t>
        </is>
      </c>
      <c r="L32" s="492" t="inlineStr">
        <is>
          <t>ที่รับเงิน</t>
        </is>
      </c>
      <c r="M32" s="251" t="n"/>
    </row>
    <row r="33" ht="20.1" customFormat="1" customHeight="1" s="477">
      <c r="A33" s="86" t="n"/>
      <c r="B33" s="510" t="n"/>
      <c r="C33" s="513" t="n"/>
      <c r="D33" s="513" t="n"/>
      <c r="E33" s="514" t="n"/>
      <c r="F33" s="86" t="n"/>
      <c r="G33" s="488" t="inlineStr">
        <is>
          <t>หรือเทียบเท่า</t>
        </is>
      </c>
      <c r="H33" s="481" t="inlineStr">
        <is>
          <t>หรือเทียบเท่า</t>
        </is>
      </c>
      <c r="I33" s="488" t="inlineStr">
        <is>
          <t>ภาระงานสอน</t>
        </is>
      </c>
      <c r="J33" s="525" t="n"/>
      <c r="K33" s="513" t="n"/>
      <c r="L33" s="86" t="n"/>
      <c r="M33" s="525" t="n"/>
    </row>
    <row r="34" ht="20.1" customFormat="1" customHeight="1" s="477">
      <c r="A34" s="92" t="n"/>
      <c r="B34" s="568" t="inlineStr">
        <is>
          <t>ย/ม</t>
        </is>
      </c>
      <c r="C34" s="518" t="n"/>
      <c r="D34" s="518" t="n"/>
      <c r="E34" s="432" t="n"/>
      <c r="F34" s="98" t="n"/>
      <c r="G34" s="99" t="n"/>
      <c r="H34" s="175" t="n"/>
      <c r="I34" s="92" t="n"/>
      <c r="J34" s="101">
        <f>J16</f>
        <v/>
      </c>
      <c r="K34" s="95" t="n"/>
      <c r="L34" s="96" t="n"/>
      <c r="M34" s="97" t="n"/>
    </row>
    <row r="35" ht="20.1" customFormat="1" customHeight="1" s="477">
      <c r="A35" s="98" t="n">
        <v>9</v>
      </c>
      <c r="B35" s="571">
        <f>ตารางแจงเงินรายบุคคล!B15</f>
        <v/>
      </c>
      <c r="C35" s="518" t="n"/>
      <c r="D35" s="518" t="n"/>
      <c r="E35" s="432" t="n"/>
      <c r="F35" s="98" t="inlineStr">
        <is>
          <t>ครู</t>
        </is>
      </c>
      <c r="G35" s="122" t="inlineStr">
        <is>
          <t>ü</t>
        </is>
      </c>
      <c r="H35" s="93" t="inlineStr"/>
      <c r="I35" s="92">
        <f>ตารางแจงเงินรายบุคคล!O15</f>
        <v/>
      </c>
      <c r="J35" s="190">
        <f>ตารางแจงเงินรายบุคคล!P15</f>
        <v/>
      </c>
      <c r="K35" s="95" t="n"/>
      <c r="L35" s="96" t="n"/>
      <c r="M35" s="99" t="n"/>
    </row>
    <row r="36" ht="20.1" customFormat="1" customHeight="1" s="477">
      <c r="A36" s="98" t="n">
        <v>10</v>
      </c>
      <c r="B36" s="571">
        <f>ตารางแจงเงินรายบุคคล!B16</f>
        <v/>
      </c>
      <c r="C36" s="518" t="n"/>
      <c r="D36" s="518" t="n"/>
      <c r="E36" s="432" t="n"/>
      <c r="F36" s="98" t="inlineStr">
        <is>
          <t>ครู</t>
        </is>
      </c>
      <c r="G36" s="122" t="inlineStr">
        <is>
          <t>ü</t>
        </is>
      </c>
      <c r="H36" t="inlineStr"/>
      <c r="I36" s="92">
        <f>ตารางแจงเงินรายบุคคล!O16</f>
        <v/>
      </c>
      <c r="J36" s="190">
        <f>ตารางแจงเงินรายบุคคล!P16</f>
        <v/>
      </c>
      <c r="K36" s="95" t="n"/>
      <c r="L36" s="96" t="n"/>
      <c r="M36" s="99" t="n"/>
    </row>
    <row r="37" ht="20.1" customFormat="1" customHeight="1" s="477">
      <c r="A37" s="98" t="n">
        <v>11</v>
      </c>
      <c r="B37" s="85">
        <f>ตารางแจงเงินรายบุคคล!B17</f>
        <v/>
      </c>
      <c r="E37" s="374" t="n"/>
      <c r="F37" s="98" t="inlineStr">
        <is>
          <t>ครู</t>
        </is>
      </c>
      <c r="G37" s="93" t="inlineStr">
        <is>
          <t>ü</t>
        </is>
      </c>
      <c r="H37" s="93" t="inlineStr"/>
      <c r="I37" s="92">
        <f>ตารางแจงเงินรายบุคคล!O17</f>
        <v/>
      </c>
      <c r="J37" s="190">
        <f>ตารางแจงเงินรายบุคคล!P17</f>
        <v/>
      </c>
      <c r="K37" s="100" t="n"/>
      <c r="L37" s="96" t="n"/>
      <c r="M37" s="99" t="n"/>
    </row>
    <row r="38" ht="20.1" customFormat="1" customHeight="1" s="477">
      <c r="A38" s="98" t="n">
        <v>12</v>
      </c>
      <c r="B38" s="571">
        <f>ตารางแจงเงินรายบุคคล!B18</f>
        <v/>
      </c>
      <c r="C38" s="518" t="n"/>
      <c r="D38" s="518" t="n"/>
      <c r="E38" s="432" t="n"/>
      <c r="F38" s="98" t="inlineStr">
        <is>
          <t>ครู</t>
        </is>
      </c>
      <c r="G38" s="93" t="inlineStr">
        <is>
          <t>ü</t>
        </is>
      </c>
      <c r="H38" s="93" t="inlineStr"/>
      <c r="I38" s="92">
        <f>ตารางแจงเงินรายบุคคล!O18</f>
        <v/>
      </c>
      <c r="J38" s="190">
        <f>ตารางแจงเงินรายบุคคล!P18</f>
        <v/>
      </c>
      <c r="K38" s="100" t="n"/>
      <c r="L38" s="96" t="n"/>
      <c r="M38" s="99" t="n"/>
    </row>
    <row r="39" ht="20.1" customHeight="1" s="375">
      <c r="A39" s="98" t="n">
        <v>13</v>
      </c>
      <c r="B39" s="86">
        <f>ตารางแจงเงินรายบุคคล!B19</f>
        <v/>
      </c>
      <c r="C39" s="522" t="n"/>
      <c r="D39" s="522" t="n"/>
      <c r="E39" s="527" t="n"/>
      <c r="F39" s="98" t="inlineStr">
        <is>
          <t>พนักงานราชการ</t>
        </is>
      </c>
      <c r="G39" s="93" t="inlineStr">
        <is>
          <t>ü</t>
        </is>
      </c>
      <c r="H39" s="93" t="inlineStr"/>
      <c r="I39" s="92">
        <f>ตารางแจงเงินรายบุคคล!O19</f>
        <v/>
      </c>
      <c r="J39" s="190">
        <f>ตารางแจงเงินรายบุคคล!P19</f>
        <v/>
      </c>
      <c r="K39" s="100" t="n"/>
      <c r="L39" s="99" t="n"/>
      <c r="M39" s="99" t="n"/>
    </row>
    <row r="40" ht="20.1" customHeight="1" s="375">
      <c r="A40" s="98" t="n"/>
      <c r="B40" s="86" t="n"/>
      <c r="C40" s="522" t="n"/>
      <c r="D40" s="522" t="n"/>
      <c r="E40" s="527" t="n"/>
      <c r="F40" s="98" t="n"/>
      <c r="G40" s="93" t="n"/>
      <c r="H40" s="93" t="n"/>
      <c r="I40" s="92" t="n"/>
      <c r="J40" s="190" t="n"/>
      <c r="K40" s="100" t="n"/>
      <c r="L40" s="99" t="n"/>
      <c r="M40" s="99" t="n"/>
    </row>
    <row r="41" ht="20.1" customHeight="1" s="375">
      <c r="A41" s="102" t="n"/>
      <c r="B41" s="86" t="n"/>
      <c r="C41" s="522" t="n"/>
      <c r="D41" s="522" t="n"/>
      <c r="E41" s="527" t="n"/>
      <c r="F41" s="98" t="n"/>
      <c r="G41" s="177" t="n"/>
      <c r="I41" s="92" t="n"/>
      <c r="J41" s="191" t="n"/>
      <c r="K41" s="103" t="n"/>
      <c r="L41" s="104" t="n"/>
      <c r="M41" s="104" t="n"/>
    </row>
    <row r="42" ht="20.1" customHeight="1" s="375" thickBot="1">
      <c r="A42" s="105" t="n"/>
      <c r="B42" s="106" t="n"/>
      <c r="C42" s="106" t="inlineStr">
        <is>
          <t>ย/ป</t>
        </is>
      </c>
      <c r="D42" s="106" t="n"/>
      <c r="E42" s="471" t="inlineStr">
        <is>
          <t>รวมจำนวนเงิน</t>
        </is>
      </c>
      <c r="F42" s="572" t="n"/>
      <c r="G42" s="472">
        <f>B45</f>
        <v/>
      </c>
      <c r="H42" s="572" t="n"/>
      <c r="I42" s="573" t="n"/>
      <c r="J42" s="107">
        <f>SUM(J34:J41)</f>
        <v/>
      </c>
      <c r="K42" s="105" t="n"/>
      <c r="L42" s="106" t="n"/>
      <c r="M42" s="108" t="n"/>
    </row>
    <row r="43" ht="20.1" customHeight="1" s="375" thickTop="1">
      <c r="A43" s="476" t="n"/>
      <c r="B43" s="477" t="n"/>
      <c r="C43" s="477" t="n"/>
      <c r="D43" s="477" t="n"/>
      <c r="E43" s="478" t="n"/>
      <c r="F43" s="496" t="inlineStr">
        <is>
          <t>ผู้ทำ</t>
        </is>
      </c>
      <c r="G43" s="578" t="n"/>
      <c r="H43" s="578" t="n"/>
      <c r="I43" s="579" t="n"/>
      <c r="J43" s="496" t="inlineStr">
        <is>
          <t>ผู้จ่ายเงิน</t>
        </is>
      </c>
      <c r="K43" s="578" t="n"/>
      <c r="L43" s="578" t="n"/>
      <c r="M43" s="579" t="n"/>
    </row>
    <row r="44" ht="20.1" customHeight="1" s="375">
      <c r="A44" s="483" t="inlineStr">
        <is>
          <t>รวมจำนวนเงินค่าสอนพิเศษทั้งสิ้น</t>
        </is>
      </c>
      <c r="C44" s="124">
        <f>J42</f>
        <v/>
      </c>
      <c r="D44" s="482" t="inlineStr">
        <is>
          <t>บาท</t>
        </is>
      </c>
      <c r="E44" s="478" t="n"/>
      <c r="F44" s="492" t="inlineStr">
        <is>
          <t>ลงชื่อ.........................................</t>
        </is>
      </c>
      <c r="I44" s="374" t="n"/>
      <c r="J44" s="492" t="inlineStr">
        <is>
          <t>ลงชื่อ.........................................</t>
        </is>
      </c>
      <c r="M44" s="374" t="n"/>
    </row>
    <row r="45" ht="20.1" customHeight="1" s="375">
      <c r="A45" s="507" t="inlineStr">
        <is>
          <t>(</t>
        </is>
      </c>
      <c r="B45" s="482">
        <f>BAHTTEXT(C44)</f>
        <v/>
      </c>
      <c r="E45" s="113" t="inlineStr">
        <is>
          <t>)</t>
        </is>
      </c>
      <c r="F45" s="492" t="inlineStr">
        <is>
          <t>(นายชำนาญ แก้วจงประสิทธิ์)</t>
        </is>
      </c>
      <c r="I45" s="374" t="n"/>
      <c r="J45" s="492" t="inlineStr">
        <is>
          <t>(นางวีณา กฐินทอง )</t>
        </is>
      </c>
      <c r="M45" s="374" t="n"/>
    </row>
    <row r="46" ht="20.1" customHeight="1" s="375">
      <c r="A46" s="507" t="n"/>
      <c r="B46" s="477" t="n"/>
      <c r="C46" s="477" t="n"/>
      <c r="D46" s="477" t="n"/>
      <c r="E46" s="113" t="n"/>
      <c r="F46" s="492" t="inlineStr">
        <is>
          <t>ตำแหน่งครู  หัวหน้าแผนกวิชาช่างยนต์</t>
        </is>
      </c>
      <c r="I46" s="374" t="n"/>
      <c r="J46" s="492" t="inlineStr">
        <is>
          <t>ตำแหน่ง  หัวหน้างานการเงิน</t>
        </is>
      </c>
      <c r="M46" s="374" t="n"/>
    </row>
    <row r="47" ht="20.1" customHeight="1" s="375">
      <c r="A47" s="510" t="n"/>
      <c r="B47" s="513" t="n"/>
      <c r="C47" s="513" t="n"/>
      <c r="D47" s="513" t="n"/>
      <c r="E47" s="514" t="n"/>
      <c r="F47" s="488" t="inlineStr">
        <is>
          <t>วันที่.......เดือน..........................พ.ศ..............</t>
        </is>
      </c>
      <c r="G47" s="522" t="n"/>
      <c r="H47" s="522" t="n"/>
      <c r="I47" s="527" t="n"/>
      <c r="J47" s="488" t="inlineStr">
        <is>
          <t>วันที่........เดือน...............พ.ศ...........</t>
        </is>
      </c>
      <c r="K47" s="522" t="n"/>
      <c r="L47" s="522" t="n"/>
      <c r="M47" s="527" t="n"/>
    </row>
    <row r="48" ht="20.1" customHeight="1" s="375">
      <c r="A48" s="78" t="inlineStr">
        <is>
          <t>ผู้รับรอง</t>
        </is>
      </c>
      <c r="B48" s="153" t="n"/>
      <c r="C48" s="153" t="n"/>
      <c r="D48" s="153" t="n"/>
      <c r="E48" s="135" t="n"/>
      <c r="F48" s="78" t="inlineStr">
        <is>
          <t>ผู้เห็นชอบ</t>
        </is>
      </c>
      <c r="G48" s="153" t="n"/>
      <c r="H48" s="153" t="n"/>
      <c r="I48" s="135" t="n"/>
      <c r="J48" s="78" t="inlineStr">
        <is>
          <t>ผู้อนุมัติ</t>
        </is>
      </c>
      <c r="K48" s="153" t="n"/>
      <c r="L48" s="153" t="n"/>
      <c r="M48" s="135" t="n"/>
    </row>
    <row r="49" ht="20.1" customHeight="1" s="375">
      <c r="A49" s="492" t="inlineStr">
        <is>
          <t>ลงชื่อ...........................................................................</t>
        </is>
      </c>
      <c r="E49" s="374" t="n"/>
      <c r="F49" s="492" t="inlineStr">
        <is>
          <t>ลงชื่อ...............................................................</t>
        </is>
      </c>
      <c r="I49" s="374" t="n"/>
      <c r="J49" s="492" t="inlineStr">
        <is>
          <t>ลงชื่อ...................................................................</t>
        </is>
      </c>
      <c r="M49" s="374" t="n"/>
    </row>
    <row r="50" ht="20.1" customHeight="1" s="375">
      <c r="A50" s="483" t="n"/>
      <c r="B50" s="482" t="inlineStr">
        <is>
          <t>(นายฉัตรชัย งาหอม)</t>
        </is>
      </c>
      <c r="D50" s="482" t="n"/>
      <c r="E50" s="478" t="n"/>
      <c r="F50" s="72" t="n"/>
      <c r="G50" s="482" t="inlineStr">
        <is>
          <t>(นายปรีชา โพธิ์เกิด)</t>
        </is>
      </c>
      <c r="I50" s="478" t="n"/>
      <c r="J50" s="482" t="n"/>
      <c r="K50" s="482" t="inlineStr">
        <is>
          <t>(นายปริวิชญ์ ไชยประเสริฐ)</t>
        </is>
      </c>
      <c r="M50" s="484" t="n"/>
    </row>
    <row r="51" ht="20.1" customHeight="1" s="375">
      <c r="A51" s="492" t="inlineStr">
        <is>
          <t>ตำแหน่ง รองผู้อำนวยการฝ่ายวิชาการ</t>
        </is>
      </c>
      <c r="E51" s="374" t="n"/>
      <c r="F51" s="492" t="inlineStr">
        <is>
          <t>ตำแหน่ง รองผู้อำนวยการฝ่ายบริหารทรัพยากร</t>
        </is>
      </c>
      <c r="I51" s="374" t="n"/>
      <c r="J51" s="492" t="inlineStr">
        <is>
          <t>ตำแหน่ง ผู้อำนวยการวิทยาลัยเทคนิคนครสวรรค์</t>
        </is>
      </c>
      <c r="M51" s="374" t="n"/>
    </row>
    <row r="52" ht="22.5" customHeight="1" s="375">
      <c r="A52" s="488" t="inlineStr">
        <is>
          <t>วันที่..................เดือน..........................พ.ศ................</t>
        </is>
      </c>
      <c r="B52" s="522" t="n"/>
      <c r="C52" s="522" t="n"/>
      <c r="D52" s="522" t="n"/>
      <c r="E52" s="527" t="n"/>
      <c r="F52" s="488" t="inlineStr">
        <is>
          <t>วันที่.............เดือน.......................พ.ศ.............</t>
        </is>
      </c>
      <c r="G52" s="522" t="n"/>
      <c r="H52" s="522" t="n"/>
      <c r="I52" s="527" t="n"/>
      <c r="J52" s="488" t="inlineStr">
        <is>
          <t>วันที่...........เดือน...................พ.ศ..........</t>
        </is>
      </c>
      <c r="K52" s="522" t="n"/>
      <c r="L52" s="522" t="n"/>
      <c r="M52" s="527" t="n"/>
    </row>
    <row r="53" ht="28.5" customHeight="1" s="375">
      <c r="A53" s="493" t="inlineStr">
        <is>
          <t>หลักฐานการเบิกจ่ายเงินค่าสอนพิเศษและค่าสอนเกินภาระงานสอนในสถานศึกษา</t>
        </is>
      </c>
    </row>
    <row r="54" ht="20.1" customHeight="1" s="375">
      <c r="A54" s="477" t="n"/>
      <c r="B54" s="493" t="inlineStr">
        <is>
          <t>ส่วนราชการ    วิทยาลัยเทคนิคนครสวรรค์</t>
        </is>
      </c>
      <c r="H54" s="493" t="inlineStr">
        <is>
          <t>ประจำเดือน</t>
        </is>
      </c>
      <c r="I54" s="502">
        <f>I2</f>
        <v/>
      </c>
      <c r="L54" s="477" t="n"/>
      <c r="M54" s="477" t="n"/>
    </row>
    <row r="55" ht="20.1" customHeight="1" s="375" thickBot="1">
      <c r="A55" s="477" t="n"/>
      <c r="B55" s="477" t="n"/>
      <c r="C55" s="477" t="n"/>
      <c r="D55" s="477" t="n"/>
      <c r="E55" s="477" t="n"/>
      <c r="F55" s="477" t="n"/>
      <c r="G55" s="477" t="n"/>
      <c r="H55" s="72" t="n"/>
      <c r="I55" s="477" t="n"/>
      <c r="J55" s="477" t="n"/>
      <c r="K55" s="73" t="n"/>
      <c r="L55" s="477" t="n"/>
      <c r="M55" s="477" t="n"/>
    </row>
    <row r="56" ht="20.1" customHeight="1" s="375" thickTop="1">
      <c r="A56" s="115" t="n"/>
      <c r="B56" s="116" t="n"/>
      <c r="C56" s="117" t="n"/>
      <c r="D56" s="117" t="n"/>
      <c r="E56" s="118" t="n"/>
      <c r="F56" s="119" t="n"/>
      <c r="G56" s="575" t="inlineStr">
        <is>
          <t>ระดับการสอน</t>
        </is>
      </c>
      <c r="H56" s="576" t="n"/>
      <c r="I56" s="119" t="inlineStr">
        <is>
          <t>จำนวนหน่วย</t>
        </is>
      </c>
      <c r="J56" s="577" t="inlineStr">
        <is>
          <t>จำนวนเงิน</t>
        </is>
      </c>
      <c r="K56" s="120" t="n"/>
      <c r="L56" s="121" t="n"/>
      <c r="M56" s="577" t="inlineStr">
        <is>
          <t>หมายเหตุ</t>
        </is>
      </c>
    </row>
    <row r="57" ht="20.1" customHeight="1" s="375">
      <c r="A57" s="497" t="inlineStr">
        <is>
          <t>ลำดับที่</t>
        </is>
      </c>
      <c r="B57" s="570" t="inlineStr">
        <is>
          <t>ชื่อ - นามสกุล</t>
        </is>
      </c>
      <c r="E57" s="374" t="n"/>
      <c r="F57" s="492" t="inlineStr">
        <is>
          <t>ตำแหน่ง</t>
        </is>
      </c>
      <c r="G57" s="78" t="inlineStr">
        <is>
          <t>มัธยมศึกษาตอนต้น</t>
        </is>
      </c>
      <c r="H57" s="484" t="inlineStr">
        <is>
          <t>สูงกว่า</t>
        </is>
      </c>
      <c r="I57" s="492" t="inlineStr">
        <is>
          <t>ชั่วโมงที่ทำการสอน</t>
        </is>
      </c>
      <c r="J57" s="251" t="n"/>
      <c r="K57" s="482" t="inlineStr">
        <is>
          <t>ลายมือชื่อ</t>
        </is>
      </c>
      <c r="L57" s="492" t="inlineStr">
        <is>
          <t>วัน/เดือน/ปี</t>
        </is>
      </c>
      <c r="M57" s="251" t="n"/>
    </row>
    <row r="58" ht="20.1" customHeight="1" s="375">
      <c r="A58" s="497" t="n"/>
      <c r="B58" s="499" t="n"/>
      <c r="C58" s="500" t="n"/>
      <c r="D58" s="500" t="n"/>
      <c r="E58" s="501" t="n"/>
      <c r="F58" s="85" t="inlineStr">
        <is>
          <t>ผู้ทำการสอน</t>
        </is>
      </c>
      <c r="G58" s="492" t="inlineStr">
        <is>
          <t>หรือมัธยมศึกษาตอนปลาย</t>
        </is>
      </c>
      <c r="H58" s="484" t="inlineStr">
        <is>
          <t>มัธยมศึกษาตอนปลาย</t>
        </is>
      </c>
      <c r="I58" s="492" t="inlineStr">
        <is>
          <t>พิเศษและสอนเกิน</t>
        </is>
      </c>
      <c r="J58" s="251" t="n"/>
      <c r="K58" s="482" t="inlineStr">
        <is>
          <t>ผู้รับเงิน</t>
        </is>
      </c>
      <c r="L58" s="492" t="inlineStr">
        <is>
          <t>ที่รับเงิน</t>
        </is>
      </c>
      <c r="M58" s="251" t="n"/>
    </row>
    <row r="59" ht="20.1" customHeight="1" s="375">
      <c r="A59" s="86" t="n"/>
      <c r="B59" s="510" t="n"/>
      <c r="C59" s="513" t="n"/>
      <c r="D59" s="513" t="n"/>
      <c r="E59" s="514" t="n"/>
      <c r="F59" s="86" t="n"/>
      <c r="G59" s="488" t="inlineStr">
        <is>
          <t>หรือเทียบเท่า</t>
        </is>
      </c>
      <c r="H59" s="481" t="inlineStr">
        <is>
          <t>หรือเทียบเท่า</t>
        </is>
      </c>
      <c r="I59" s="488" t="inlineStr">
        <is>
          <t>ภาระงานสอน</t>
        </is>
      </c>
      <c r="J59" s="525" t="n"/>
      <c r="K59" s="513" t="n"/>
      <c r="L59" s="86" t="n"/>
      <c r="M59" s="525" t="n"/>
    </row>
    <row r="60" ht="20.1" customHeight="1" s="375">
      <c r="A60" s="92" t="n"/>
      <c r="B60" s="568" t="inlineStr">
        <is>
          <t>ย/ม</t>
        </is>
      </c>
      <c r="C60" s="518" t="n"/>
      <c r="D60" s="518" t="n"/>
      <c r="E60" s="432" t="n"/>
      <c r="F60" s="98" t="n"/>
      <c r="G60" s="99" t="n"/>
      <c r="H60" s="477" t="n"/>
      <c r="I60" s="92" t="n"/>
      <c r="J60" s="101">
        <f>J42</f>
        <v/>
      </c>
      <c r="K60" s="95" t="n"/>
      <c r="L60" s="96" t="n"/>
      <c r="M60" s="97" t="n"/>
    </row>
    <row r="61" ht="20.1" customHeight="1" s="375">
      <c r="A61" s="98" t="n">
        <v>16</v>
      </c>
      <c r="B61" s="571">
        <f>ตารางแจงเงินรายบุคคล!B22</f>
        <v/>
      </c>
      <c r="C61" s="518" t="n"/>
      <c r="D61" s="518" t="n"/>
      <c r="E61" s="432" t="n"/>
      <c r="F61" s="98" t="inlineStr">
        <is>
          <t>ครู</t>
        </is>
      </c>
      <c r="G61" s="93" t="inlineStr">
        <is>
          <t>ü</t>
        </is>
      </c>
      <c r="H61" s="93" t="n"/>
      <c r="I61" s="92">
        <f>ตารางแจงเงินรายบุคคล!O22</f>
        <v/>
      </c>
      <c r="J61" s="192">
        <f>ตารางแจงเงินรายบุคคล!P22</f>
        <v/>
      </c>
      <c r="K61" s="95" t="n"/>
      <c r="L61" s="96" t="n"/>
      <c r="M61" s="99" t="n"/>
    </row>
    <row r="62" ht="20.1" customHeight="1" s="375">
      <c r="A62" s="98" t="n">
        <v>17</v>
      </c>
      <c r="B62" s="571">
        <f>ตารางแจงเงินรายบุคคล!B23</f>
        <v/>
      </c>
      <c r="C62" s="518" t="n"/>
      <c r="D62" s="518" t="n"/>
      <c r="E62" s="432" t="n"/>
      <c r="F62" s="98" t="inlineStr">
        <is>
          <t>ครู</t>
        </is>
      </c>
      <c r="G62" s="93" t="inlineStr">
        <is>
          <t>ü</t>
        </is>
      </c>
      <c r="H62" s="93" t="n"/>
      <c r="I62" s="92">
        <f>ตารางแจงเงินรายบุคคล!O23</f>
        <v/>
      </c>
      <c r="J62" s="192">
        <f>ตารางแจงเงินรายบุคคล!P23</f>
        <v/>
      </c>
      <c r="K62" s="95" t="n"/>
      <c r="L62" s="96" t="n"/>
      <c r="M62" s="99" t="n"/>
    </row>
    <row r="63" ht="20.1" customHeight="1" s="375">
      <c r="A63" s="98" t="n">
        <v>18</v>
      </c>
      <c r="B63" s="571">
        <f>ตารางแจงเงินรายบุคคล!B24</f>
        <v/>
      </c>
      <c r="C63" s="518" t="n"/>
      <c r="D63" s="518" t="n"/>
      <c r="E63" s="432" t="n"/>
      <c r="F63" s="98" t="inlineStr">
        <is>
          <t>ครู</t>
        </is>
      </c>
      <c r="G63" s="93" t="inlineStr">
        <is>
          <t>ü</t>
        </is>
      </c>
      <c r="H63" s="93" t="n"/>
      <c r="I63" s="92">
        <f>ตารางแจงเงินรายบุคคล!O24</f>
        <v/>
      </c>
      <c r="J63" s="192">
        <f>ตารางแจงเงินรายบุคคล!P24</f>
        <v/>
      </c>
      <c r="K63" s="100" t="n"/>
      <c r="L63" s="96" t="n"/>
      <c r="M63" s="99" t="n"/>
    </row>
    <row r="64" ht="20.1" customHeight="1" s="375">
      <c r="A64" s="98" t="n">
        <v>19</v>
      </c>
      <c r="B64" s="571">
        <f>ตารางแจงเงินรายบุคคล!B25</f>
        <v/>
      </c>
      <c r="C64" s="518" t="n"/>
      <c r="D64" s="518" t="n"/>
      <c r="E64" s="432" t="n"/>
      <c r="F64" s="98" t="inlineStr">
        <is>
          <t>ครู</t>
        </is>
      </c>
      <c r="G64" s="93" t="inlineStr">
        <is>
          <t>ü</t>
        </is>
      </c>
      <c r="H64" s="317" t="n"/>
      <c r="I64" s="92">
        <f>ตารางแจงเงินรายบุคคล!O25</f>
        <v/>
      </c>
      <c r="J64" s="192">
        <f>ตารางแจงเงินรายบุคคล!P25</f>
        <v/>
      </c>
      <c r="K64" s="100" t="n"/>
      <c r="L64" s="96" t="n"/>
      <c r="M64" s="99" t="n"/>
    </row>
    <row r="65" ht="20.1" customHeight="1" s="375">
      <c r="A65" s="98" t="n">
        <v>20</v>
      </c>
      <c r="B65" s="571">
        <f>ตารางแจงเงินรายบุคคล!B26</f>
        <v/>
      </c>
      <c r="C65" s="518" t="n"/>
      <c r="D65" s="518" t="n"/>
      <c r="E65" s="432" t="n"/>
      <c r="F65" s="99" t="inlineStr">
        <is>
          <t>พนง.ราชการ</t>
        </is>
      </c>
      <c r="G65" s="93" t="inlineStr">
        <is>
          <t>ü</t>
        </is>
      </c>
      <c r="H65" s="93" t="n"/>
      <c r="I65" s="92">
        <f>ตารางแจงเงินรายบุคคล!O26</f>
        <v/>
      </c>
      <c r="J65" s="192">
        <f>ตารางแจงเงินรายบุคคล!P26</f>
        <v/>
      </c>
      <c r="K65" s="100" t="n"/>
      <c r="L65" s="99" t="n"/>
      <c r="M65" s="99" t="n"/>
    </row>
    <row r="66" ht="20.1" customHeight="1" s="375">
      <c r="A66" s="98" t="n"/>
      <c r="B66" s="571" t="n"/>
      <c r="C66" s="518" t="n"/>
      <c r="D66" s="518" t="n"/>
      <c r="E66" s="432" t="n"/>
      <c r="F66" s="98" t="n"/>
      <c r="G66" s="93" t="n"/>
      <c r="H66" s="122" t="n"/>
      <c r="I66" s="98" t="n"/>
      <c r="J66" s="101" t="n"/>
      <c r="K66" s="100" t="n"/>
      <c r="L66" s="99" t="n"/>
      <c r="M66" s="99" t="n"/>
    </row>
    <row r="67" ht="20.1" customHeight="1" s="375">
      <c r="A67" s="102" t="n"/>
      <c r="B67" s="571" t="n"/>
      <c r="C67" s="518" t="n"/>
      <c r="D67" s="518" t="n"/>
      <c r="E67" s="432" t="n"/>
      <c r="F67" s="99" t="n"/>
      <c r="G67" s="93" t="n"/>
      <c r="H67" s="122" t="n"/>
      <c r="I67" s="98" t="n"/>
      <c r="J67" s="151" t="n"/>
      <c r="K67" s="103" t="n"/>
      <c r="L67" s="104" t="n"/>
      <c r="M67" s="104" t="n"/>
    </row>
    <row r="68" ht="20.1" customHeight="1" s="375" thickBot="1">
      <c r="A68" s="105" t="n"/>
      <c r="B68" s="106" t="n"/>
      <c r="C68" s="106" t="n"/>
      <c r="D68" s="106" t="n"/>
      <c r="E68" s="471" t="inlineStr">
        <is>
          <t>รวมจำนวนเงิน</t>
        </is>
      </c>
      <c r="F68" s="572" t="n"/>
      <c r="G68" s="472">
        <f>B71</f>
        <v/>
      </c>
      <c r="H68" s="572" t="n"/>
      <c r="I68" s="573" t="n"/>
      <c r="J68" s="123">
        <f>SUM(J60:J67)</f>
        <v/>
      </c>
      <c r="K68" s="105" t="n"/>
      <c r="L68" s="106" t="n"/>
      <c r="M68" s="108" t="n"/>
    </row>
    <row r="69" ht="20.1" customHeight="1" s="375" thickTop="1">
      <c r="A69" s="476" t="n"/>
      <c r="B69" s="477" t="n"/>
      <c r="C69" s="477" t="n"/>
      <c r="D69" s="477" t="n"/>
      <c r="E69" s="478" t="n"/>
      <c r="F69" s="496" t="inlineStr">
        <is>
          <t>ผู้ทำ</t>
        </is>
      </c>
      <c r="G69" s="578" t="n"/>
      <c r="H69" s="578" t="n"/>
      <c r="I69" s="579" t="n"/>
      <c r="J69" s="496" t="inlineStr">
        <is>
          <t>ผู้จ่ายเงิน</t>
        </is>
      </c>
      <c r="K69" s="578" t="n"/>
      <c r="L69" s="578" t="n"/>
      <c r="M69" s="579" t="n"/>
    </row>
    <row r="70" ht="20.1" customHeight="1" s="375">
      <c r="A70" s="483" t="inlineStr">
        <is>
          <t>รวมจำนวนเงินค่าสอนพิเศษทั้งสิ้น</t>
        </is>
      </c>
      <c r="C70" s="124">
        <f>J68</f>
        <v/>
      </c>
      <c r="D70" s="482" t="inlineStr">
        <is>
          <t>บาท</t>
        </is>
      </c>
      <c r="E70" s="478" t="n"/>
      <c r="F70" s="492" t="inlineStr">
        <is>
          <t>ลงชื่อ.........................................</t>
        </is>
      </c>
      <c r="I70" s="374" t="n"/>
      <c r="J70" s="492" t="inlineStr">
        <is>
          <t>ลงชื่อ.........................................</t>
        </is>
      </c>
      <c r="M70" s="374" t="n"/>
    </row>
    <row r="71" ht="20.1" customHeight="1" s="375">
      <c r="A71" s="507" t="inlineStr">
        <is>
          <t>(</t>
        </is>
      </c>
      <c r="B71" s="482">
        <f>BAHTTEXT(C70)</f>
        <v/>
      </c>
      <c r="E71" s="113" t="inlineStr">
        <is>
          <t>)</t>
        </is>
      </c>
      <c r="F71" s="492" t="inlineStr">
        <is>
          <t>(นายชำนาญ แก้วจงประสิทธิ์)</t>
        </is>
      </c>
      <c r="I71" s="374" t="n"/>
      <c r="J71" s="492" t="inlineStr">
        <is>
          <t>(นางวีณา กฐินทอง )</t>
        </is>
      </c>
      <c r="M71" s="374" t="n"/>
    </row>
    <row r="72" ht="20.1" customHeight="1" s="375">
      <c r="A72" s="507" t="n"/>
      <c r="B72" s="477" t="n"/>
      <c r="C72" s="477" t="n"/>
      <c r="D72" s="477" t="n"/>
      <c r="E72" s="113" t="n"/>
      <c r="F72" s="492" t="inlineStr">
        <is>
          <t>ตำแหน่งครู  หัวหน้าแผนกวิชาช่างยนต์</t>
        </is>
      </c>
      <c r="I72" s="374" t="n"/>
      <c r="J72" s="492" t="inlineStr">
        <is>
          <t>ตำแหน่ง  หัวหน้างานการเงิน</t>
        </is>
      </c>
      <c r="M72" s="374" t="n"/>
    </row>
    <row r="73" ht="20.1" customHeight="1" s="375">
      <c r="A73" s="510" t="n"/>
      <c r="B73" s="513" t="n"/>
      <c r="C73" s="513" t="n"/>
      <c r="D73" s="513" t="n"/>
      <c r="E73" s="514" t="n"/>
      <c r="F73" s="488" t="inlineStr">
        <is>
          <t>วันที่.......เดือน..........................พ.ศ..............</t>
        </is>
      </c>
      <c r="G73" s="522" t="n"/>
      <c r="H73" s="522" t="n"/>
      <c r="I73" s="527" t="n"/>
      <c r="J73" s="488" t="inlineStr">
        <is>
          <t>วันที่........เดือน...............พ.ศ...........</t>
        </is>
      </c>
      <c r="K73" s="522" t="n"/>
      <c r="L73" s="522" t="n"/>
      <c r="M73" s="527" t="n"/>
    </row>
    <row r="74" ht="20.1" customHeight="1" s="375">
      <c r="A74" s="78" t="inlineStr">
        <is>
          <t>ผู้รับรอง</t>
        </is>
      </c>
      <c r="B74" s="153" t="n"/>
      <c r="C74" s="153" t="n"/>
      <c r="D74" s="153" t="n"/>
      <c r="E74" s="135" t="n"/>
      <c r="F74" s="78" t="inlineStr">
        <is>
          <t>ผู้เห็นชอบ</t>
        </is>
      </c>
      <c r="G74" s="153" t="n"/>
      <c r="H74" s="153" t="n"/>
      <c r="I74" s="135" t="n"/>
      <c r="J74" s="78" t="inlineStr">
        <is>
          <t>ผู้อนุมัติ</t>
        </is>
      </c>
      <c r="K74" s="153" t="n"/>
      <c r="L74" s="153" t="n"/>
      <c r="M74" s="135" t="n"/>
    </row>
    <row r="75" ht="20.1" customHeight="1" s="375">
      <c r="A75" s="492" t="inlineStr">
        <is>
          <t>ลงชื่อ...........................................................................</t>
        </is>
      </c>
      <c r="E75" s="374" t="n"/>
      <c r="F75" s="492" t="inlineStr">
        <is>
          <t>ลงชื่อ...............................................................</t>
        </is>
      </c>
      <c r="I75" s="374" t="n"/>
      <c r="J75" s="492" t="inlineStr">
        <is>
          <t>ลงชื่อ...................................................................</t>
        </is>
      </c>
      <c r="M75" s="374" t="n"/>
    </row>
    <row r="76" ht="20.1" customHeight="1" s="375">
      <c r="A76" s="483" t="n"/>
      <c r="B76" s="482" t="inlineStr">
        <is>
          <t>(นายฉัตรชัย งาหอม)</t>
        </is>
      </c>
      <c r="D76" s="482" t="n"/>
      <c r="E76" s="478" t="n"/>
      <c r="F76" s="72" t="n"/>
      <c r="G76" s="482" t="inlineStr">
        <is>
          <t>(นายปรีชา โพธิ์เกิด)</t>
        </is>
      </c>
      <c r="I76" s="478" t="n"/>
      <c r="J76" s="482" t="n"/>
      <c r="K76" s="482" t="inlineStr">
        <is>
          <t>(นายปริวิชญ์ ไชยประเสริฐ)</t>
        </is>
      </c>
      <c r="M76" s="484" t="n"/>
    </row>
    <row r="77" ht="20.1" customHeight="1" s="375">
      <c r="A77" s="492" t="inlineStr">
        <is>
          <t>ตำแหน่ง รองผู้อำนวยการฝ่ายวิชาการ</t>
        </is>
      </c>
      <c r="E77" s="374" t="n"/>
      <c r="F77" s="492" t="inlineStr">
        <is>
          <t>ตำแหน่ง รองผู้อำนวยการฝ่ายบริหารทรัพยากร</t>
        </is>
      </c>
      <c r="I77" s="374" t="n"/>
      <c r="J77" s="492" t="inlineStr">
        <is>
          <t>ตำแหน่ง ผู้อำนวยการวิทยาลัยเทคนิคนครสวรรค์</t>
        </is>
      </c>
      <c r="M77" s="374" t="n"/>
    </row>
    <row r="78" ht="22.5" customHeight="1" s="375">
      <c r="A78" s="488" t="inlineStr">
        <is>
          <t>วันที่..................เดือน..........................พ.ศ................</t>
        </is>
      </c>
      <c r="B78" s="522" t="n"/>
      <c r="C78" s="522" t="n"/>
      <c r="D78" s="522" t="n"/>
      <c r="E78" s="527" t="n"/>
      <c r="F78" s="488" t="inlineStr">
        <is>
          <t>วันที่.............เดือน.......................พ.ศ.............</t>
        </is>
      </c>
      <c r="G78" s="522" t="n"/>
      <c r="H78" s="522" t="n"/>
      <c r="I78" s="527" t="n"/>
      <c r="J78" s="488" t="inlineStr">
        <is>
          <t>วันที่...........เดือน...................พ.ศ..........</t>
        </is>
      </c>
      <c r="K78" s="522" t="n"/>
      <c r="L78" s="522" t="n"/>
      <c r="M78" s="527" t="n"/>
    </row>
    <row r="79" ht="28.5" customHeight="1" s="375"/>
    <row r="80" ht="20.1" customHeight="1" s="375"/>
    <row r="81" ht="20.1" customHeight="1" s="375"/>
    <row r="82" ht="20.1" customHeight="1" s="375"/>
    <row r="83" ht="20.1" customHeight="1" s="375"/>
    <row r="84" ht="20.1" customHeight="1" s="375"/>
    <row r="85" ht="20.1" customHeight="1" s="375"/>
    <row r="86" ht="20.1" customHeight="1" s="375"/>
    <row r="87" ht="20.1" customHeight="1" s="375"/>
    <row r="88" ht="20.1" customHeight="1" s="375"/>
    <row r="89" ht="20.1" customHeight="1" s="375"/>
    <row r="90" ht="20.1" customHeight="1" s="375"/>
    <row r="91" ht="20.1" customHeight="1" s="375"/>
    <row r="92" ht="20.1" customHeight="1" s="375"/>
    <row r="93" ht="20.1" customHeight="1" s="375"/>
    <row r="94" ht="20.1" customHeight="1" s="375"/>
    <row r="95" ht="20.1" customHeight="1" s="375"/>
    <row r="96" ht="20.1" customHeight="1" s="375"/>
    <row r="97" ht="20.1" customHeight="1" s="375"/>
    <row r="98" ht="20.1" customHeight="1" s="375"/>
    <row r="99" ht="20.1" customHeight="1" s="375"/>
    <row r="100" ht="20.1" customHeight="1" s="375"/>
    <row r="101" ht="20.1" customHeight="1" s="375"/>
    <row r="102" ht="20.1" customHeight="1" s="375"/>
    <row r="103" ht="20.1" customHeight="1" s="375"/>
    <row r="104" ht="20.1" customHeight="1" s="375"/>
    <row r="105" ht="23.4" customHeight="1" s="375"/>
    <row r="106" ht="23.4" customHeight="1" s="375"/>
  </sheetData>
  <mergeCells count="138">
    <mergeCell ref="I54:K54"/>
    <mergeCell ref="A48:E48"/>
    <mergeCell ref="B65:E65"/>
    <mergeCell ref="K24:L24"/>
    <mergeCell ref="J43:M43"/>
    <mergeCell ref="A70:B70"/>
    <mergeCell ref="J18:M18"/>
    <mergeCell ref="B36:E36"/>
    <mergeCell ref="J17:M17"/>
    <mergeCell ref="K76:L76"/>
    <mergeCell ref="K50:L50"/>
    <mergeCell ref="L4:L5"/>
    <mergeCell ref="J44:M44"/>
    <mergeCell ref="F25:I25"/>
    <mergeCell ref="J19:M19"/>
    <mergeCell ref="A21:E21"/>
    <mergeCell ref="B31:E31"/>
    <mergeCell ref="G16:I16"/>
    <mergeCell ref="J4:J7"/>
    <mergeCell ref="A26:E26"/>
    <mergeCell ref="B12:E12"/>
    <mergeCell ref="J69:M69"/>
    <mergeCell ref="B39:E39"/>
    <mergeCell ref="A23:E23"/>
    <mergeCell ref="B14:E14"/>
    <mergeCell ref="J45:M45"/>
    <mergeCell ref="B24:C24"/>
    <mergeCell ref="I2:K2"/>
    <mergeCell ref="G42:I42"/>
    <mergeCell ref="J56:J59"/>
    <mergeCell ref="F70:I70"/>
    <mergeCell ref="A27:M27"/>
    <mergeCell ref="A52:E52"/>
    <mergeCell ref="B13:E13"/>
    <mergeCell ref="B38:E38"/>
    <mergeCell ref="F72:I72"/>
    <mergeCell ref="F23:I23"/>
    <mergeCell ref="A77:E77"/>
    <mergeCell ref="B40:E40"/>
    <mergeCell ref="F71:I71"/>
    <mergeCell ref="I28:K28"/>
    <mergeCell ref="F43:I43"/>
    <mergeCell ref="J47:M47"/>
    <mergeCell ref="F52:I52"/>
    <mergeCell ref="A49:E49"/>
    <mergeCell ref="B64:E64"/>
    <mergeCell ref="J71:M71"/>
    <mergeCell ref="B63:E63"/>
    <mergeCell ref="J23:M23"/>
    <mergeCell ref="B41:E41"/>
    <mergeCell ref="B19:D19"/>
    <mergeCell ref="B35:E35"/>
    <mergeCell ref="A78:E78"/>
    <mergeCell ref="F44:I44"/>
    <mergeCell ref="J73:M73"/>
    <mergeCell ref="A75:E75"/>
    <mergeCell ref="F19:I19"/>
    <mergeCell ref="B66:E66"/>
    <mergeCell ref="B45:D45"/>
    <mergeCell ref="G24:H24"/>
    <mergeCell ref="J77:M77"/>
    <mergeCell ref="L6:L7"/>
    <mergeCell ref="B11:E11"/>
    <mergeCell ref="F20:I20"/>
    <mergeCell ref="F45:I45"/>
    <mergeCell ref="J49:M49"/>
    <mergeCell ref="B67:E67"/>
    <mergeCell ref="B61:E61"/>
    <mergeCell ref="E16:F16"/>
    <mergeCell ref="F17:I17"/>
    <mergeCell ref="G76:H76"/>
    <mergeCell ref="F75:I75"/>
    <mergeCell ref="F47:I47"/>
    <mergeCell ref="J20:M20"/>
    <mergeCell ref="B37:E37"/>
    <mergeCell ref="F46:I46"/>
    <mergeCell ref="J75:M75"/>
    <mergeCell ref="J22:M22"/>
    <mergeCell ref="E68:F68"/>
    <mergeCell ref="B15:E15"/>
    <mergeCell ref="F48:I48"/>
    <mergeCell ref="J46:M46"/>
    <mergeCell ref="J21:M21"/>
    <mergeCell ref="A53:M53"/>
    <mergeCell ref="J51:M51"/>
    <mergeCell ref="G68:I68"/>
    <mergeCell ref="J48:M48"/>
    <mergeCell ref="A25:E25"/>
    <mergeCell ref="F73:I73"/>
    <mergeCell ref="A1:M1"/>
    <mergeCell ref="M30:M33"/>
    <mergeCell ref="F74:I74"/>
    <mergeCell ref="A22:E22"/>
    <mergeCell ref="B60:E60"/>
    <mergeCell ref="F18:I18"/>
    <mergeCell ref="B57:E57"/>
    <mergeCell ref="J74:M74"/>
    <mergeCell ref="A20:E20"/>
    <mergeCell ref="K4:K7"/>
    <mergeCell ref="J26:M26"/>
    <mergeCell ref="M4:M7"/>
    <mergeCell ref="M56:M59"/>
    <mergeCell ref="B76:C76"/>
    <mergeCell ref="G50:H50"/>
    <mergeCell ref="B34:E34"/>
    <mergeCell ref="J25:M25"/>
    <mergeCell ref="G56:H56"/>
    <mergeCell ref="F22:I22"/>
    <mergeCell ref="B2:G2"/>
    <mergeCell ref="B9:E9"/>
    <mergeCell ref="F77:I77"/>
    <mergeCell ref="A51:E51"/>
    <mergeCell ref="E42:F42"/>
    <mergeCell ref="B5:E5"/>
    <mergeCell ref="F49:I49"/>
    <mergeCell ref="B28:G28"/>
    <mergeCell ref="J52:M52"/>
    <mergeCell ref="F69:I69"/>
    <mergeCell ref="B62:E62"/>
    <mergeCell ref="F78:I78"/>
    <mergeCell ref="J72:M72"/>
    <mergeCell ref="A18:B18"/>
    <mergeCell ref="A74:E74"/>
    <mergeCell ref="J30:J33"/>
    <mergeCell ref="G30:H30"/>
    <mergeCell ref="J78:M78"/>
    <mergeCell ref="F21:I21"/>
    <mergeCell ref="F51:I51"/>
    <mergeCell ref="A17:E17"/>
    <mergeCell ref="G4:H4"/>
    <mergeCell ref="B54:G54"/>
    <mergeCell ref="F26:I26"/>
    <mergeCell ref="B8:E8"/>
    <mergeCell ref="J70:M70"/>
    <mergeCell ref="B71:D71"/>
    <mergeCell ref="A44:B44"/>
    <mergeCell ref="B50:C50"/>
    <mergeCell ref="B10:E10"/>
  </mergeCells>
  <printOptions horizontalCentered="1" verticalCentered="1"/>
  <pageMargins left="0.7874015748031497" right="0.2755905511811024" top="0" bottom="0" header="0" footer="0"/>
  <pageSetup orientation="landscape" paperSize="9" scale="89" horizontalDpi="4294967293" verticalDpi="360"/>
  <rowBreaks count="3" manualBreakCount="3">
    <brk id="26" min="0" max="12" man="1"/>
    <brk id="52" min="0" max="12" man="1"/>
    <brk id="78" min="0" max="12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102"/>
  <sheetViews>
    <sheetView view="pageBreakPreview" zoomScale="60" zoomScaleNormal="100" workbookViewId="0">
      <selection activeCell="K18" sqref="K18"/>
    </sheetView>
  </sheetViews>
  <sheetFormatPr baseColWidth="8" defaultColWidth="40.109375" defaultRowHeight="30.6"/>
  <cols>
    <col width="40.109375" customWidth="1" style="264" min="1" max="1"/>
    <col width="25" customWidth="1" style="264" min="2" max="2"/>
    <col width="26.6640625" customWidth="1" style="264" min="3" max="3"/>
    <col width="35.44140625" customWidth="1" style="264" min="4" max="4"/>
    <col width="17.33203125" customWidth="1" style="264" min="5" max="5"/>
    <col width="22.33203125" customWidth="1" style="264" min="6" max="6"/>
    <col width="20.44140625" customWidth="1" style="264" min="7" max="7"/>
    <col width="32.33203125" customWidth="1" style="264" min="8" max="8"/>
    <col width="14.5546875" customWidth="1" style="264" min="9" max="9"/>
    <col width="13.6640625" customWidth="1" style="264" min="10" max="10"/>
    <col width="40.109375" customWidth="1" style="264" min="11" max="16384"/>
  </cols>
  <sheetData>
    <row r="1"/>
    <row r="2">
      <c r="A2" s="259" t="n"/>
      <c r="B2" s="260" t="n"/>
      <c r="C2" s="261" t="n"/>
      <c r="D2" s="261" t="n"/>
      <c r="E2" s="261" t="n"/>
      <c r="F2" s="261" t="n"/>
      <c r="G2" s="261" t="n"/>
      <c r="H2" s="262" t="n"/>
      <c r="I2" s="517" t="n"/>
      <c r="J2" s="263" t="n"/>
    </row>
    <row r="3">
      <c r="A3" s="265" t="n"/>
      <c r="B3" s="266" t="n"/>
      <c r="C3" s="267" t="n"/>
      <c r="D3" s="275" t="n"/>
      <c r="E3" s="516" t="n"/>
      <c r="F3" s="516" t="n"/>
      <c r="H3" s="268" t="n"/>
      <c r="I3" s="373" t="n"/>
      <c r="J3" s="263" t="n"/>
    </row>
    <row r="4">
      <c r="A4" s="265" t="n"/>
      <c r="B4" s="266" t="n"/>
      <c r="C4" s="267" t="n"/>
      <c r="D4" s="275" t="n"/>
      <c r="E4" s="516" t="n"/>
      <c r="F4" s="516" t="n"/>
      <c r="H4" s="268" t="n"/>
      <c r="I4" s="276" t="n"/>
      <c r="J4" s="274" t="n"/>
    </row>
    <row r="5">
      <c r="A5" s="265" t="n"/>
      <c r="B5" s="277" t="n"/>
      <c r="C5" s="278" t="n"/>
      <c r="D5" s="284" t="n"/>
      <c r="E5" s="515" t="n"/>
      <c r="F5" s="515" t="n"/>
      <c r="G5" s="522" t="n"/>
      <c r="H5" s="272" t="n"/>
      <c r="I5" s="276" t="n"/>
      <c r="J5" s="274" t="n"/>
    </row>
    <row r="6"/>
    <row r="7">
      <c r="A7" s="259" t="n"/>
      <c r="B7" s="260" t="n"/>
      <c r="C7" s="261" t="n"/>
      <c r="D7" s="261" t="n"/>
      <c r="E7" s="261" t="n"/>
      <c r="F7" s="261" t="n"/>
      <c r="G7" s="261" t="n"/>
      <c r="H7" s="262" t="n"/>
      <c r="I7" s="517" t="n"/>
      <c r="J7" s="263" t="n"/>
    </row>
    <row r="8">
      <c r="A8" s="265" t="n"/>
      <c r="B8" s="266" t="n"/>
      <c r="C8" s="267" t="n"/>
      <c r="D8" s="275" t="n"/>
      <c r="E8" s="516" t="n"/>
      <c r="F8" s="516" t="n"/>
      <c r="H8" s="268" t="n"/>
      <c r="I8" s="373" t="n"/>
      <c r="J8" s="263" t="n"/>
    </row>
    <row r="9">
      <c r="A9" s="265" t="n"/>
      <c r="B9" s="266" t="n"/>
      <c r="C9" s="267" t="n"/>
      <c r="D9" s="275" t="n"/>
      <c r="E9" s="516" t="n"/>
      <c r="F9" s="516" t="n"/>
      <c r="H9" s="268" t="n"/>
      <c r="I9" s="276" t="n"/>
      <c r="J9" s="274" t="n"/>
    </row>
    <row r="10">
      <c r="A10" s="265" t="n"/>
      <c r="B10" s="266" t="n"/>
      <c r="C10" s="267" t="n"/>
      <c r="D10" s="275" t="n"/>
      <c r="E10" s="516" t="n"/>
      <c r="F10" s="516" t="n"/>
      <c r="H10" s="268" t="n"/>
      <c r="I10" s="276" t="n"/>
      <c r="J10" s="274" t="n"/>
    </row>
    <row r="11">
      <c r="A11" s="265" t="n"/>
      <c r="B11" s="266" t="n"/>
      <c r="C11" s="267" t="n"/>
      <c r="D11" s="275" t="n"/>
      <c r="E11" s="516" t="n"/>
      <c r="F11" s="516" t="n"/>
      <c r="H11" s="268" t="n"/>
      <c r="I11" s="276" t="n"/>
      <c r="J11" s="274" t="n"/>
    </row>
    <row r="12">
      <c r="A12" s="265" t="n"/>
      <c r="B12" s="266" t="n"/>
      <c r="C12" s="267" t="n"/>
      <c r="D12" s="275" t="n"/>
      <c r="E12" s="516" t="n"/>
      <c r="F12" s="516" t="n"/>
      <c r="H12" s="268" t="n"/>
      <c r="I12" s="276" t="n"/>
      <c r="J12" s="274" t="n"/>
    </row>
    <row r="13">
      <c r="A13" s="265" t="n"/>
      <c r="B13" s="266" t="n"/>
      <c r="C13" s="267" t="n"/>
      <c r="D13" s="275" t="n"/>
      <c r="E13" s="516" t="n"/>
      <c r="F13" s="516" t="n"/>
      <c r="H13" s="268" t="n"/>
      <c r="I13" s="276" t="n"/>
      <c r="J13" s="274" t="n"/>
    </row>
    <row r="14">
      <c r="A14" s="265" t="n"/>
      <c r="B14" s="266" t="n"/>
      <c r="C14" s="267" t="n"/>
      <c r="D14" s="275" t="n"/>
      <c r="E14" s="516" t="n"/>
      <c r="F14" s="516" t="n"/>
      <c r="H14" s="268" t="n"/>
      <c r="I14" s="276" t="n"/>
      <c r="J14" s="274" t="n"/>
    </row>
    <row r="15">
      <c r="A15" s="265" t="n"/>
      <c r="B15" s="266" t="n"/>
      <c r="C15" s="267" t="n"/>
      <c r="D15" s="275" t="n"/>
      <c r="E15" s="516" t="n"/>
      <c r="F15" s="516" t="n"/>
      <c r="H15" s="268" t="n"/>
      <c r="I15" s="276" t="n"/>
      <c r="J15" s="274" t="n"/>
    </row>
    <row r="16">
      <c r="A16" s="265" t="n"/>
      <c r="B16" s="266" t="n"/>
      <c r="C16" s="267" t="n"/>
      <c r="D16" s="275" t="n"/>
      <c r="E16" s="516" t="n"/>
      <c r="F16" s="516" t="n"/>
      <c r="H16" s="268" t="n"/>
      <c r="I16" s="276" t="n"/>
      <c r="J16" s="274" t="n"/>
    </row>
    <row r="17">
      <c r="A17" s="265" t="n"/>
      <c r="B17" s="269" t="n"/>
      <c r="C17" s="270" t="n"/>
      <c r="D17" s="271" t="n"/>
      <c r="E17" s="271" t="n"/>
      <c r="F17" s="515" t="n"/>
      <c r="G17" s="522" t="n"/>
      <c r="H17" s="272" t="n"/>
      <c r="I17" s="273" t="n"/>
      <c r="J17" s="274" t="n"/>
    </row>
    <row r="18"/>
    <row r="19">
      <c r="A19" s="259" t="n"/>
      <c r="B19" s="260" t="n"/>
      <c r="C19" s="261" t="n"/>
      <c r="D19" s="261" t="n"/>
      <c r="E19" s="261" t="n"/>
      <c r="F19" s="261" t="n"/>
      <c r="G19" s="261" t="n"/>
      <c r="H19" s="262" t="n"/>
      <c r="I19" s="517" t="n"/>
      <c r="J19" s="263" t="n"/>
    </row>
    <row r="20">
      <c r="A20" s="265" t="n"/>
      <c r="B20" s="266" t="n"/>
      <c r="C20" s="267" t="n"/>
      <c r="D20" s="275" t="n"/>
      <c r="E20" s="516" t="n"/>
      <c r="F20" s="516" t="n"/>
      <c r="H20" s="268" t="n"/>
      <c r="I20" s="373" t="n"/>
      <c r="J20" s="263" t="n"/>
    </row>
    <row r="21">
      <c r="A21" s="265" t="n"/>
      <c r="B21" s="266" t="n"/>
      <c r="C21" s="267" t="n"/>
      <c r="D21" s="275" t="n"/>
      <c r="E21" s="516" t="n"/>
      <c r="F21" s="516" t="n"/>
      <c r="H21" s="268" t="n"/>
      <c r="I21" s="276" t="n"/>
      <c r="J21" s="274" t="n"/>
    </row>
    <row r="22">
      <c r="A22" s="265" t="n"/>
      <c r="B22" s="266" t="n"/>
      <c r="C22" s="267" t="n"/>
      <c r="D22" s="275" t="n"/>
      <c r="E22" s="516" t="n"/>
      <c r="F22" s="516" t="n"/>
      <c r="H22" s="268" t="n"/>
      <c r="I22" s="276" t="n"/>
      <c r="J22" s="274" t="n"/>
    </row>
    <row r="23">
      <c r="A23" s="265" t="n"/>
      <c r="B23" s="266" t="n"/>
      <c r="C23" s="267" t="n"/>
      <c r="D23" s="275" t="n"/>
      <c r="E23" s="516" t="n"/>
      <c r="F23" s="516" t="n"/>
      <c r="H23" s="268" t="n"/>
      <c r="I23" s="276" t="n"/>
      <c r="J23" s="274" t="n"/>
    </row>
    <row r="24">
      <c r="A24" s="265" t="n"/>
      <c r="B24" s="266" t="n"/>
      <c r="C24" s="267" t="n"/>
      <c r="D24" s="275" t="n"/>
      <c r="E24" s="516" t="n"/>
      <c r="F24" s="516" t="n"/>
      <c r="H24" s="268" t="n"/>
      <c r="I24" s="276" t="n"/>
      <c r="J24" s="274" t="n"/>
    </row>
    <row r="25">
      <c r="A25" s="265" t="n"/>
      <c r="B25" s="266" t="n"/>
      <c r="C25" s="267" t="n"/>
      <c r="D25" s="275" t="n"/>
      <c r="E25" s="516" t="n"/>
      <c r="F25" s="516" t="n"/>
      <c r="H25" s="268" t="n"/>
      <c r="I25" s="276" t="n"/>
      <c r="J25" s="274" t="n"/>
    </row>
    <row r="26">
      <c r="A26" s="265" t="n"/>
      <c r="B26" s="266" t="n"/>
      <c r="C26" s="267" t="n"/>
      <c r="D26" s="275" t="n"/>
      <c r="E26" s="516" t="n"/>
      <c r="F26" s="516" t="n"/>
      <c r="H26" s="268" t="n"/>
      <c r="I26" s="276" t="n"/>
      <c r="J26" s="274" t="n"/>
    </row>
    <row r="27">
      <c r="A27" s="265" t="n"/>
      <c r="B27" s="266" t="n"/>
      <c r="C27" s="267" t="n"/>
      <c r="D27" s="275" t="n"/>
      <c r="E27" s="516" t="n"/>
      <c r="F27" s="516" t="n"/>
      <c r="H27" s="268" t="n"/>
      <c r="I27" s="276" t="n"/>
      <c r="J27" s="274" t="n"/>
    </row>
    <row r="28">
      <c r="A28" s="265" t="n"/>
      <c r="B28" s="266" t="n"/>
      <c r="C28" s="267" t="n"/>
      <c r="D28" s="275" t="n"/>
      <c r="E28" s="516" t="n"/>
      <c r="F28" s="516" t="n"/>
      <c r="H28" s="268" t="n"/>
      <c r="I28" s="276" t="n"/>
      <c r="J28" s="274" t="n"/>
    </row>
    <row r="29">
      <c r="A29" s="265" t="n"/>
      <c r="B29" s="269" t="n"/>
      <c r="C29" s="270" t="n"/>
      <c r="D29" s="271" t="n"/>
      <c r="E29" s="271" t="n"/>
      <c r="F29" s="515" t="n"/>
      <c r="G29" s="522" t="n"/>
      <c r="H29" s="272" t="n"/>
      <c r="I29" s="273" t="n"/>
      <c r="J29" s="274" t="n"/>
    </row>
    <row r="30" ht="31.2" customHeight="1" s="375"/>
    <row r="31">
      <c r="A31" s="259" t="n"/>
      <c r="B31" s="260" t="n"/>
      <c r="C31" s="261" t="n"/>
      <c r="D31" s="261" t="n"/>
      <c r="E31" s="261" t="n"/>
      <c r="F31" s="261" t="n"/>
      <c r="G31" s="261" t="n"/>
      <c r="H31" s="262" t="n"/>
      <c r="I31" s="517" t="n"/>
      <c r="J31" s="263" t="n"/>
    </row>
    <row r="32">
      <c r="A32" s="265" t="n"/>
      <c r="B32" s="266" t="n"/>
      <c r="C32" s="267" t="n"/>
      <c r="D32" s="275" t="n"/>
      <c r="E32" s="516" t="n"/>
      <c r="F32" s="516" t="n"/>
      <c r="H32" s="268" t="n"/>
      <c r="I32" s="373" t="n"/>
      <c r="J32" s="263" t="n"/>
    </row>
    <row r="33">
      <c r="A33" s="265" t="n"/>
      <c r="B33" s="266" t="n"/>
      <c r="C33" s="267" t="n"/>
      <c r="D33" s="275" t="n"/>
      <c r="E33" s="516" t="n"/>
      <c r="F33" s="516" t="n"/>
      <c r="H33" s="268" t="n"/>
      <c r="I33" s="276" t="n"/>
      <c r="J33" s="274" t="n"/>
    </row>
    <row r="34">
      <c r="A34" s="265" t="n"/>
      <c r="B34" s="277" t="n"/>
      <c r="C34" s="278" t="n"/>
      <c r="D34" s="284" t="n"/>
      <c r="E34" s="515" t="n"/>
      <c r="F34" s="515" t="n"/>
      <c r="G34" s="522" t="n"/>
      <c r="H34" s="272" t="n"/>
      <c r="I34" s="276" t="n"/>
      <c r="J34" s="274" t="n"/>
    </row>
    <row r="35" ht="31.2" customHeight="1" s="375"/>
    <row r="36">
      <c r="A36" s="259" t="n"/>
      <c r="B36" s="260" t="n"/>
      <c r="C36" s="261" t="n"/>
      <c r="D36" s="261" t="n"/>
      <c r="E36" s="261" t="n"/>
      <c r="F36" s="261" t="n"/>
      <c r="G36" s="261" t="n"/>
      <c r="H36" s="262" t="n"/>
      <c r="I36" s="517" t="n"/>
      <c r="J36" s="263" t="n"/>
    </row>
    <row r="37">
      <c r="A37" s="265" t="n"/>
      <c r="B37" s="266" t="n"/>
      <c r="C37" s="267" t="n"/>
      <c r="D37" s="275" t="n"/>
      <c r="E37" s="516" t="n"/>
      <c r="F37" s="516" t="n"/>
      <c r="H37" s="268" t="n"/>
      <c r="I37" s="373" t="n"/>
      <c r="J37" s="263" t="n"/>
    </row>
    <row r="38">
      <c r="A38" s="265" t="n"/>
      <c r="B38" s="266" t="n"/>
      <c r="C38" s="267" t="n"/>
      <c r="D38" s="275" t="n"/>
      <c r="E38" s="516" t="n"/>
      <c r="F38" s="516" t="n"/>
      <c r="H38" s="268" t="n"/>
      <c r="I38" s="276" t="n"/>
      <c r="J38" s="274" t="n"/>
    </row>
    <row r="39">
      <c r="A39" s="265" t="n"/>
      <c r="B39" s="266" t="n"/>
      <c r="C39" s="267" t="n"/>
      <c r="D39" s="275" t="n"/>
      <c r="E39" s="516" t="n"/>
      <c r="F39" s="516" t="n"/>
      <c r="H39" s="268" t="n"/>
      <c r="I39" s="276" t="n"/>
      <c r="J39" s="274" t="n"/>
    </row>
    <row r="40">
      <c r="A40" s="265" t="n"/>
      <c r="B40" s="277" t="n"/>
      <c r="C40" s="278" t="n"/>
      <c r="D40" s="284" t="n"/>
      <c r="E40" s="515" t="n"/>
      <c r="F40" s="515" t="n"/>
      <c r="G40" s="522" t="n"/>
      <c r="H40" s="272" t="n"/>
      <c r="I40" s="276" t="n"/>
      <c r="J40" s="274" t="n"/>
    </row>
    <row r="41" ht="31.2" customHeight="1" s="375"/>
    <row r="42" ht="31.2" customHeight="1" s="375"/>
    <row r="43" ht="31.2" customHeight="1" s="375"/>
    <row r="44" ht="31.2" customHeight="1" s="375"/>
    <row r="45" ht="31.2" customHeight="1" s="375"/>
    <row r="46" ht="31.2" customHeight="1" s="375"/>
    <row r="47" ht="31.2" customHeight="1" s="375"/>
    <row r="48" ht="31.2" customHeight="1" s="375"/>
    <row r="49" ht="31.2" customHeight="1" s="375"/>
    <row r="50" ht="31.2" customHeight="1" s="375"/>
    <row r="51" ht="31.2" customHeight="1" s="375"/>
    <row r="52" ht="31.2" customHeight="1" s="375"/>
    <row r="53" ht="31.2" customHeight="1" s="375"/>
    <row r="54" ht="31.2" customHeight="1" s="375"/>
    <row r="55" ht="31.2" customHeight="1" s="375"/>
    <row r="56" ht="31.2" customHeight="1" s="375"/>
    <row r="57" ht="31.2" customHeight="1" s="375"/>
    <row r="58" ht="31.2" customHeight="1" s="375"/>
    <row r="59" ht="31.2" customHeight="1" s="375"/>
    <row r="60" ht="31.2" customHeight="1" s="375"/>
    <row r="61" ht="31.2" customHeight="1" s="375"/>
    <row r="62" ht="31.2" customHeight="1" s="375"/>
    <row r="63" ht="31.2" customHeight="1" s="375"/>
    <row r="64" ht="31.2" customHeight="1" s="375"/>
    <row r="65" ht="31.2" customHeight="1" s="375"/>
    <row r="66" ht="31.2" customHeight="1" s="375"/>
    <row r="67" ht="31.2" customHeight="1" s="375"/>
    <row r="68" ht="31.2" customHeight="1" s="375"/>
    <row r="69" ht="31.2" customHeight="1" s="375"/>
    <row r="70" ht="31.2" customHeight="1" s="375"/>
    <row r="71" ht="31.2" customHeight="1" s="375"/>
    <row r="72" ht="31.2" customHeight="1" s="375"/>
    <row r="73" ht="31.2" customHeight="1" s="375"/>
    <row r="74" ht="31.2" customHeight="1" s="375"/>
    <row r="75" ht="31.2" customHeight="1" s="375"/>
    <row r="76" ht="31.2" customHeight="1" s="375"/>
    <row r="77" ht="31.2" customHeight="1" s="375"/>
    <row r="78" ht="31.2" customHeight="1" s="375"/>
    <row r="79" ht="31.2" customHeight="1" s="375"/>
    <row r="80" ht="31.2" customHeight="1" s="375"/>
    <row r="81" ht="31.2" customHeight="1" s="375"/>
    <row r="82" ht="31.2" customHeight="1" s="375"/>
    <row r="83" ht="31.2" customHeight="1" s="375"/>
    <row r="84" ht="31.2" customHeight="1" s="375"/>
    <row r="85" ht="31.2" customHeight="1" s="375"/>
    <row r="86" ht="31.2" customHeight="1" s="375"/>
    <row r="87" ht="31.2" customHeight="1" s="375"/>
    <row r="88" ht="31.2" customHeight="1" s="375"/>
    <row r="89" ht="31.2" customHeight="1" s="375"/>
    <row r="90" ht="31.2" customHeight="1" s="375"/>
    <row r="91" ht="31.2" customHeight="1" s="375"/>
    <row r="92" ht="31.2" customHeight="1" s="375"/>
    <row r="93" ht="31.2" customHeight="1" s="375"/>
    <row r="94" ht="31.2" customHeight="1" s="375"/>
    <row r="95" ht="31.2" customHeight="1" s="375"/>
    <row r="96" ht="31.2" customHeight="1" s="375"/>
    <row r="97" ht="31.2" customHeight="1" s="375"/>
    <row r="98" ht="31.2" customHeight="1" s="375"/>
    <row r="99" ht="31.2" customHeight="1" s="375"/>
    <row r="100" ht="31.2" customHeight="1" s="375"/>
    <row r="101" ht="31.2" customHeight="1" s="375"/>
    <row r="102" ht="31.2" customHeight="1" s="375"/>
  </sheetData>
  <mergeCells count="35">
    <mergeCell ref="F4:G4"/>
    <mergeCell ref="F11:G11"/>
    <mergeCell ref="F29:G29"/>
    <mergeCell ref="F10:G10"/>
    <mergeCell ref="F16:G16"/>
    <mergeCell ref="F25:G25"/>
    <mergeCell ref="F34:G34"/>
    <mergeCell ref="I36:I37"/>
    <mergeCell ref="I7:I8"/>
    <mergeCell ref="F40:G40"/>
    <mergeCell ref="F3:G3"/>
    <mergeCell ref="F21:G21"/>
    <mergeCell ref="F12:G12"/>
    <mergeCell ref="F24:G24"/>
    <mergeCell ref="F15:G15"/>
    <mergeCell ref="F5:G5"/>
    <mergeCell ref="F20:G20"/>
    <mergeCell ref="F33:G33"/>
    <mergeCell ref="F32:G32"/>
    <mergeCell ref="F26:G26"/>
    <mergeCell ref="F17:G17"/>
    <mergeCell ref="F8:G8"/>
    <mergeCell ref="F38:G38"/>
    <mergeCell ref="F23:G23"/>
    <mergeCell ref="F28:G28"/>
    <mergeCell ref="F22:G22"/>
    <mergeCell ref="F13:G13"/>
    <mergeCell ref="I19:I20"/>
    <mergeCell ref="F27:G27"/>
    <mergeCell ref="F9:G9"/>
    <mergeCell ref="F39:G39"/>
    <mergeCell ref="F37:G37"/>
    <mergeCell ref="I31:I32"/>
    <mergeCell ref="F14:G14"/>
    <mergeCell ref="I2:I3"/>
  </mergeCells>
  <pageMargins left="0.7" right="0.7" top="0.75" bottom="0.75" header="0.3" footer="0.3"/>
  <pageSetup orientation="landscape" paperSize="9" scale="56" fitToHeight="0" horizontalDpi="4294967293" verticalDpi="0"/>
  <rowBreaks count="4" manualBreakCount="4">
    <brk id="29" min="0" max="9" man="1"/>
    <brk id="59" min="0" max="9" man="1"/>
    <brk id="70" min="0" max="9" man="1"/>
    <brk id="98" min="0" max="9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</dc:creator>
  <dcterms:created xsi:type="dcterms:W3CDTF">2008-10-14T09:19:58Z</dcterms:created>
  <dcterms:modified xsi:type="dcterms:W3CDTF">2026-09-15T08:03:22Z</dcterms:modified>
  <cp:lastModifiedBy>POLLAKIT NOYKERD</cp:lastModifiedBy>
  <cp:lastPrinted>2025-03-14T06:48:16Z</cp:lastPrinted>
</cp:coreProperties>
</file>