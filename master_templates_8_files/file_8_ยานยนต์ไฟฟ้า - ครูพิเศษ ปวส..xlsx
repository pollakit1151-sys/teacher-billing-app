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เวิร์กบุ๊กนี้"/>
  <bookViews>
    <workbookView visibility="visible" minimized="0" showHorizontalScroll="1" showVerticalScroll="1" showSheetTabs="1" xWindow="-108" yWindow="-108" windowWidth="23256" windowHeight="12720" tabRatio="688" firstSheet="0" activeTab="4" autoFilterDateGrouping="1"/>
  </bookViews>
  <sheets>
    <sheet name="สัปดาห์ที่ 1" sheetId="1" state="visible" r:id="rId1"/>
    <sheet name="สัปดาห์ที่ 2" sheetId="2" state="visible" r:id="rId2"/>
    <sheet name="สัปดาห์ที่ 3" sheetId="3" state="visible" r:id="rId3"/>
    <sheet name="สัปดาห์ที่ 4" sheetId="4" state="visible" r:id="rId4"/>
    <sheet name="ตารางแจงเงินรายบุคคล" sheetId="5" state="visible" r:id="rId5"/>
    <sheet name="งบหน้ารวมครู" sheetId="6" state="visible" r:id="rId6"/>
    <sheet name="สัปดาห์ที่ 5" sheetId="7" state="visible" r:id="rId7"/>
  </sheets>
  <definedNames>
    <definedName name="_xlnm.Print_Area" localSheetId="0">'สัปดาห์ที่ 1'!$A$1:$AK$1243</definedName>
    <definedName name="_xlnm.Print_Area" localSheetId="1">'สัปดาห์ที่ 2'!$A$1:$AK$1243</definedName>
    <definedName name="_xlnm.Print_Area" localSheetId="2">'สัปดาห์ที่ 3'!$A$1:$AK$1243</definedName>
    <definedName name="_xlnm.Print_Area" localSheetId="3">'สัปดาห์ที่ 4'!$A$1:$AK$1243</definedName>
    <definedName name="_xlnm.Print_Area" localSheetId="4">'ตารางแจงเงินรายบุคคล'!$A$1:$P$92</definedName>
    <definedName name="_xlnm.Print_Area" localSheetId="5">'งบหน้ารวมครู'!$A$1:$M$104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47">
    <font>
      <name val="AngsanaUPC"/>
      <charset val="222"/>
      <sz val="16"/>
    </font>
    <font>
      <name val="AngsanaUPC"/>
      <family val="1"/>
      <sz val="16"/>
    </font>
    <font>
      <name val="TH SarabunPSK"/>
      <family val="2"/>
      <b val="1"/>
      <color indexed="8"/>
      <sz val="16"/>
    </font>
    <font>
      <name val="TH SarabunPSK"/>
      <family val="2"/>
      <color indexed="8"/>
      <sz val="14"/>
    </font>
    <font>
      <name val="TH SarabunPSK"/>
      <family val="2"/>
      <sz val="14"/>
    </font>
    <font>
      <name val="TH SarabunPSK"/>
      <family val="2"/>
      <sz val="12"/>
    </font>
    <font>
      <name val="TH SarabunPSK"/>
      <family val="2"/>
      <b val="1"/>
      <color indexed="8"/>
      <sz val="14"/>
    </font>
    <font>
      <name val="TH SarabunPSK"/>
      <family val="2"/>
      <b val="1"/>
      <sz val="14"/>
    </font>
    <font>
      <name val="Cordia New"/>
      <family val="2"/>
      <sz val="14"/>
    </font>
    <font>
      <name val="AngsanaUPC"/>
      <family val="1"/>
      <sz val="16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ngsanaUPC"/>
      <charset val="222"/>
      <family val="1"/>
      <sz val="16"/>
    </font>
    <font>
      <name val="TH SarabunPSK"/>
      <family val="2"/>
      <sz val="16"/>
    </font>
    <font>
      <name val="TH SarabunPSK"/>
      <family val="2"/>
      <color indexed="8"/>
      <sz val="16"/>
    </font>
    <font>
      <name val="TH SarabunPSK"/>
      <family val="2"/>
      <b val="1"/>
      <sz val="16"/>
    </font>
    <font>
      <name val="TH SarabunPSK"/>
      <family val="2"/>
      <b val="1"/>
      <sz val="18"/>
    </font>
    <font>
      <name val="TH SarabunPSK"/>
      <family val="2"/>
      <b val="1"/>
      <color indexed="8"/>
      <sz val="18"/>
    </font>
    <font>
      <name val="TH SarabunPSK"/>
      <family val="2"/>
      <b val="1"/>
      <color rgb="FFFF0000"/>
      <sz val="36"/>
    </font>
    <font>
      <name val="TH SarabunPSK"/>
      <family val="2"/>
      <b val="1"/>
      <color rgb="FFFF0000"/>
      <sz val="22"/>
    </font>
    <font>
      <name val="TH SarabunPSK"/>
      <family val="2"/>
      <b val="1"/>
      <color theme="1"/>
      <sz val="22"/>
    </font>
    <font>
      <name val="TH SarabunPSK"/>
      <family val="2"/>
      <color theme="1"/>
      <sz val="14"/>
    </font>
    <font>
      <name val="TH SarabunPSK"/>
      <family val="2"/>
      <b val="1"/>
      <color theme="1"/>
      <sz val="18"/>
    </font>
    <font>
      <name val="TH SarabunPSK"/>
      <family val="2"/>
      <b val="1"/>
      <color theme="1"/>
      <sz val="16"/>
    </font>
    <font>
      <name val="TH SarabunPSK"/>
      <family val="2"/>
      <color theme="1"/>
      <sz val="18"/>
    </font>
    <font>
      <name val="TH SarabunPSK"/>
      <charset val="222"/>
      <family val="2"/>
      <color theme="1"/>
      <sz val="22"/>
    </font>
    <font>
      <name val="TH SarabunPSK"/>
      <charset val="222"/>
      <family val="2"/>
      <b val="1"/>
      <color theme="1"/>
      <sz val="22"/>
    </font>
    <font>
      <name val="TH SarabunPSK"/>
      <charset val="222"/>
      <family val="2"/>
      <sz val="22"/>
    </font>
    <font>
      <name val="TH SarabunPSK"/>
      <family val="2"/>
      <sz val="22"/>
    </font>
    <font>
      <name val="TH SarabunPSK"/>
      <family val="2"/>
      <b val="1"/>
      <sz val="22"/>
    </font>
    <font>
      <name val="TH SarabunPSK"/>
      <family val="2"/>
      <b val="1"/>
      <sz val="20"/>
    </font>
    <font>
      <name val="AngsanaUPC"/>
      <family val="1"/>
      <b val="1"/>
      <sz val="18"/>
    </font>
    <font>
      <name val="AngsanaUPC"/>
      <family val="1"/>
      <b val="1"/>
      <sz val="20"/>
    </font>
    <font>
      <name val="TH SarabunPSK"/>
      <family val="2"/>
      <b val="1"/>
      <color theme="1"/>
      <sz val="20"/>
    </font>
    <font>
      <name val="AngsanaUPC"/>
      <family val="1"/>
      <sz val="18"/>
    </font>
    <font>
      <name val="TH SarabunPSK"/>
      <family val="2"/>
      <b val="1"/>
      <color rgb="FFFF0000"/>
      <sz val="14"/>
    </font>
    <font>
      <name val="TH SarabunPSK"/>
      <family val="2"/>
      <color indexed="8"/>
      <sz val="14"/>
      <u val="single"/>
    </font>
    <font>
      <name val="Wingdings"/>
      <charset val="2"/>
      <color indexed="8"/>
      <sz val="13"/>
    </font>
    <font>
      <name val="TH SarabunPSK"/>
      <charset val="222"/>
      <family val="2"/>
      <b val="1"/>
      <sz val="14"/>
    </font>
    <font>
      <name val="TH SarabunPSK"/>
      <charset val="222"/>
      <family val="2"/>
      <sz val="14"/>
    </font>
    <font>
      <name val="Wingdings"/>
      <charset val="2"/>
      <sz val="14"/>
    </font>
    <font>
      <name val="Angsana New"/>
      <charset val="222"/>
      <family val="1"/>
      <sz val="14"/>
    </font>
    <font>
      <name val="AngsanaUPC"/>
      <charset val="222"/>
      <family val="1"/>
      <sz val="14"/>
    </font>
    <font>
      <name val="TH SarabunPSK"/>
      <family val="2"/>
      <b val="1"/>
      <color rgb="FFFF0000"/>
      <sz val="16"/>
    </font>
    <font>
      <name val="TH SarabunPSK"/>
      <family val="2"/>
      <sz val="18"/>
    </font>
    <font>
      <name val="TH SarabunPSK"/>
      <family val="2"/>
      <b val="1"/>
      <color rgb="FF000000"/>
      <sz val="16"/>
    </font>
    <font>
      <name val="TH SarabunPSK"/>
      <family val="2"/>
      <b val="1"/>
      <color rgb="FF0070C0"/>
      <sz val="14"/>
    </font>
  </fonts>
  <fills count="12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8">
    <xf numFmtId="0" fontId="0" fillId="0" borderId="0"/>
    <xf numFmtId="0" fontId="8" fillId="0" borderId="0"/>
    <xf numFmtId="0" fontId="9" fillId="0" borderId="0"/>
    <xf numFmtId="0" fontId="10" fillId="0" borderId="0"/>
    <xf numFmtId="0" fontId="11" fillId="0" borderId="0"/>
    <xf numFmtId="44" fontId="10" fillId="0" borderId="0"/>
    <xf numFmtId="0" fontId="9" fillId="0" borderId="0"/>
    <xf numFmtId="43" fontId="12" fillId="0" borderId="0"/>
  </cellStyleXfs>
  <cellXfs count="529">
    <xf numFmtId="0" fontId="0" fillId="0" borderId="0" pivotButton="0" quotePrefix="0" xfId="0"/>
    <xf numFmtId="49" fontId="3" fillId="0" borderId="5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3" fillId="0" borderId="7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13" applyAlignment="1" pivotButton="0" quotePrefix="0" xfId="0">
      <alignment vertical="center"/>
    </xf>
    <xf numFmtId="0" fontId="3" fillId="0" borderId="14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9" applyAlignment="1" pivotButton="0" quotePrefix="0" xfId="0">
      <alignment vertical="center"/>
    </xf>
    <xf numFmtId="0" fontId="4" fillId="0" borderId="10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6" fillId="0" borderId="13" applyAlignment="1" pivotButton="0" quotePrefix="0" xfId="0">
      <alignment horizontal="right" vertical="center"/>
    </xf>
    <xf numFmtId="0" fontId="6" fillId="0" borderId="7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3" fillId="0" borderId="12" applyAlignment="1" pivotButton="0" quotePrefix="0" xfId="0">
      <alignment horizontal="center" vertical="center"/>
    </xf>
    <xf numFmtId="0" fontId="3" fillId="0" borderId="40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3" fillId="0" borderId="34" applyAlignment="1" pivotButton="0" quotePrefix="0" xfId="0">
      <alignment horizontal="left" vertical="center"/>
    </xf>
    <xf numFmtId="0" fontId="3" fillId="0" borderId="4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7" fillId="2" borderId="0" applyAlignment="1" pivotButton="0" quotePrefix="0" xfId="0">
      <alignment vertical="center"/>
    </xf>
    <xf numFmtId="0" fontId="17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17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13" fillId="0" borderId="0" pivotButton="0" quotePrefix="0" xfId="0"/>
    <xf numFmtId="0" fontId="21" fillId="0" borderId="0" applyAlignment="1" pivotButton="0" quotePrefix="0" xfId="0">
      <alignment horizontal="center" vertical="center"/>
    </xf>
    <xf numFmtId="0" fontId="15" fillId="5" borderId="11" applyAlignment="1" pivotButton="0" quotePrefix="0" xfId="0">
      <alignment horizontal="center" vertical="top"/>
    </xf>
    <xf numFmtId="0" fontId="21" fillId="0" borderId="12" applyAlignment="1" pivotButton="0" quotePrefix="0" xfId="0">
      <alignment horizontal="center" vertical="center"/>
    </xf>
    <xf numFmtId="0" fontId="21" fillId="0" borderId="12" applyAlignment="1" pivotButton="0" quotePrefix="0" xfId="0">
      <alignment vertical="center"/>
    </xf>
    <xf numFmtId="164" fontId="21" fillId="0" borderId="12" applyAlignment="1" pivotButton="0" quotePrefix="0" xfId="7">
      <alignment vertical="center"/>
    </xf>
    <xf numFmtId="0" fontId="23" fillId="0" borderId="32" applyAlignment="1" pivotButton="0" quotePrefix="0" xfId="0">
      <alignment horizontal="center" vertical="center"/>
    </xf>
    <xf numFmtId="164" fontId="23" fillId="2" borderId="12" applyAlignment="1" pivotButton="0" quotePrefix="0" xfId="7">
      <alignment horizontal="center"/>
    </xf>
    <xf numFmtId="0" fontId="15" fillId="5" borderId="11" applyAlignment="1" pivotButton="0" quotePrefix="0" xfId="0">
      <alignment horizontal="center" vertical="center"/>
    </xf>
    <xf numFmtId="0" fontId="24" fillId="0" borderId="0" pivotButton="0" quotePrefix="0" xfId="0"/>
    <xf numFmtId="0" fontId="22" fillId="0" borderId="0" pivotButton="0" quotePrefix="0" xfId="0"/>
    <xf numFmtId="164" fontId="25" fillId="0" borderId="0" applyAlignment="1" pivotButton="0" quotePrefix="0" xfId="7">
      <alignment vertical="center"/>
    </xf>
    <xf numFmtId="0" fontId="27" fillId="0" borderId="0" applyAlignment="1" pivotButton="0" quotePrefix="0" xfId="0">
      <alignment vertical="center"/>
    </xf>
    <xf numFmtId="164" fontId="26" fillId="0" borderId="10" applyAlignment="1" pivotButton="0" quotePrefix="0" xfId="7">
      <alignment vertical="center"/>
    </xf>
    <xf numFmtId="164" fontId="20" fillId="0" borderId="0" applyAlignment="1" pivotButton="0" quotePrefix="0" xfId="7">
      <alignment vertical="center"/>
    </xf>
    <xf numFmtId="0" fontId="20" fillId="0" borderId="0" applyAlignment="1" pivotButton="0" quotePrefix="0" xfId="0">
      <alignment vertical="center"/>
    </xf>
    <xf numFmtId="0" fontId="28" fillId="0" borderId="0" applyAlignment="1" pivotButton="0" quotePrefix="0" xfId="0">
      <alignment vertical="center"/>
    </xf>
    <xf numFmtId="0" fontId="28" fillId="0" borderId="0" applyAlignment="1" pivotButton="0" quotePrefix="0" xfId="0">
      <alignment horizontal="left"/>
    </xf>
    <xf numFmtId="0" fontId="28" fillId="0" borderId="0" applyAlignment="1" pivotButton="0" quotePrefix="0" xfId="0">
      <alignment horizontal="left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vertical="center"/>
    </xf>
    <xf numFmtId="0" fontId="3" fillId="0" borderId="7" applyAlignment="1" pivotButton="0" quotePrefix="0" xfId="0">
      <alignment horizontal="center" vertical="top"/>
    </xf>
    <xf numFmtId="49" fontId="3" fillId="0" borderId="7" applyAlignment="1" pivotButton="0" quotePrefix="0" xfId="0">
      <alignment vertical="center"/>
    </xf>
    <xf numFmtId="0" fontId="3" fillId="0" borderId="41" applyAlignment="1" pivotButton="0" quotePrefix="0" xfId="0">
      <alignment horizontal="left" vertical="center"/>
    </xf>
    <xf numFmtId="0" fontId="18" fillId="0" borderId="13" applyAlignment="1" pivotButton="0" quotePrefix="0" xfId="0">
      <alignment vertical="center"/>
    </xf>
    <xf numFmtId="0" fontId="18" fillId="0" borderId="7" applyAlignment="1" pivotButton="0" quotePrefix="0" xfId="0">
      <alignment vertical="center"/>
    </xf>
    <xf numFmtId="0" fontId="0" fillId="0" borderId="5" pivotButton="0" quotePrefix="0" xfId="0"/>
    <xf numFmtId="0" fontId="36" fillId="0" borderId="8" applyAlignment="1" pivotButton="0" quotePrefix="0" xfId="0">
      <alignment horizontal="center" vertical="center"/>
    </xf>
    <xf numFmtId="0" fontId="37" fillId="0" borderId="0" applyAlignment="1" pivotButton="0" quotePrefix="0" xfId="1">
      <alignment horizontal="center"/>
    </xf>
    <xf numFmtId="0" fontId="3" fillId="0" borderId="10" applyAlignment="1" pivotButton="0" quotePrefix="0" xfId="0">
      <alignment vertical="center"/>
    </xf>
    <xf numFmtId="0" fontId="4" fillId="0" borderId="8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0" fontId="6" fillId="0" borderId="5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17" fillId="4" borderId="0" applyAlignment="1" pivotButton="0" quotePrefix="0" xfId="6">
      <alignment vertical="center"/>
    </xf>
    <xf numFmtId="0" fontId="17" fillId="3" borderId="0" applyAlignment="1" pivotButton="0" quotePrefix="0" xfId="6">
      <alignment vertical="center"/>
    </xf>
    <xf numFmtId="0" fontId="17" fillId="2" borderId="0" applyAlignment="1" pivotButton="0" quotePrefix="0" xfId="6">
      <alignment vertical="center"/>
    </xf>
    <xf numFmtId="0" fontId="18" fillId="0" borderId="0" applyAlignment="1" pivotButton="0" quotePrefix="0" xfId="0">
      <alignment vertical="center"/>
    </xf>
    <xf numFmtId="0" fontId="35" fillId="0" borderId="5" applyAlignment="1" pivotButton="0" quotePrefix="0" xfId="0">
      <alignment horizontal="center" vertical="center"/>
    </xf>
    <xf numFmtId="0" fontId="35" fillId="0" borderId="11" applyAlignment="1" pivotButton="0" quotePrefix="0" xfId="6">
      <alignment horizontal="center" vertical="center"/>
    </xf>
    <xf numFmtId="49" fontId="3" fillId="0" borderId="0" applyAlignment="1" pivotButton="0" quotePrefix="0" xfId="0">
      <alignment vertical="center"/>
    </xf>
    <xf numFmtId="0" fontId="3" fillId="0" borderId="0" applyAlignment="1" pivotButton="0" quotePrefix="0" xfId="6">
      <alignment vertical="center"/>
    </xf>
    <xf numFmtId="0" fontId="3" fillId="0" borderId="0" applyAlignment="1" pivotButton="0" quotePrefix="0" xfId="6">
      <alignment horizontal="center" vertical="center"/>
    </xf>
    <xf numFmtId="0" fontId="3" fillId="0" borderId="0" applyAlignment="1" pivotButton="0" quotePrefix="0" xfId="6">
      <alignment horizontal="left" vertical="center"/>
    </xf>
    <xf numFmtId="49" fontId="6" fillId="0" borderId="13" applyAlignment="1" pivotButton="0" quotePrefix="0" xfId="0">
      <alignment horizontal="center" vertical="center"/>
    </xf>
    <xf numFmtId="0" fontId="39" fillId="0" borderId="0" pivotButton="0" quotePrefix="0" xfId="0"/>
    <xf numFmtId="0" fontId="38" fillId="0" borderId="0" applyAlignment="1" pivotButton="0" quotePrefix="0" xfId="0">
      <alignment horizontal="left"/>
    </xf>
    <xf numFmtId="0" fontId="41" fillId="0" borderId="0" applyAlignment="1" pivotButton="0" quotePrefix="0" xfId="0">
      <alignment vertical="distributed"/>
    </xf>
    <xf numFmtId="3" fontId="39" fillId="0" borderId="18" applyAlignment="1" pivotButton="0" quotePrefix="0" xfId="0">
      <alignment horizontal="center" vertical="distributed"/>
    </xf>
    <xf numFmtId="3" fontId="41" fillId="0" borderId="0" applyAlignment="1" pivotButton="0" quotePrefix="0" xfId="0">
      <alignment vertical="distributed"/>
    </xf>
    <xf numFmtId="3" fontId="39" fillId="0" borderId="0" pivotButton="0" quotePrefix="0" xfId="0"/>
    <xf numFmtId="0" fontId="41" fillId="0" borderId="0" pivotButton="0" quotePrefix="0" xfId="0"/>
    <xf numFmtId="0" fontId="38" fillId="0" borderId="0" pivotButton="0" quotePrefix="0" xfId="0"/>
    <xf numFmtId="0" fontId="38" fillId="0" borderId="0" applyAlignment="1" pivotButton="0" quotePrefix="0" xfId="0">
      <alignment horizontal="right"/>
    </xf>
    <xf numFmtId="0" fontId="39" fillId="0" borderId="0" applyAlignment="1" pivotButton="0" quotePrefix="0" xfId="0">
      <alignment horizontal="right"/>
    </xf>
    <xf numFmtId="0" fontId="39" fillId="0" borderId="0" applyAlignment="1" pivotButton="0" quotePrefix="0" xfId="0">
      <alignment horizontal="left"/>
    </xf>
    <xf numFmtId="49" fontId="39" fillId="0" borderId="11" applyAlignment="1" pivotButton="0" quotePrefix="0" xfId="0">
      <alignment horizontal="center" vertical="center"/>
    </xf>
    <xf numFmtId="49" fontId="39" fillId="0" borderId="25" applyAlignment="1" pivotButton="0" quotePrefix="0" xfId="0">
      <alignment horizontal="center" vertical="center"/>
    </xf>
    <xf numFmtId="49" fontId="39" fillId="0" borderId="15" applyAlignment="1" pivotButton="0" quotePrefix="0" xfId="0">
      <alignment horizontal="center" vertical="center"/>
    </xf>
    <xf numFmtId="49" fontId="39" fillId="0" borderId="31" applyAlignment="1" pivotButton="0" quotePrefix="0" xfId="0">
      <alignment horizontal="center" vertical="center"/>
    </xf>
    <xf numFmtId="0" fontId="39" fillId="0" borderId="11" applyAlignment="1" pivotButton="0" quotePrefix="0" xfId="0">
      <alignment horizontal="center"/>
    </xf>
    <xf numFmtId="0" fontId="39" fillId="0" borderId="5" applyAlignment="1" pivotButton="0" quotePrefix="0" xfId="0">
      <alignment horizontal="center" vertical="center"/>
    </xf>
    <xf numFmtId="0" fontId="39" fillId="0" borderId="5" applyAlignment="1" pivotButton="0" quotePrefix="0" xfId="0">
      <alignment horizontal="center"/>
    </xf>
    <xf numFmtId="0" fontId="39" fillId="0" borderId="7" applyAlignment="1" pivotButton="0" quotePrefix="0" xfId="0">
      <alignment horizontal="center"/>
    </xf>
    <xf numFmtId="49" fontId="39" fillId="0" borderId="13" applyAlignment="1" pivotButton="0" quotePrefix="0" xfId="0">
      <alignment horizontal="center" vertical="center"/>
    </xf>
    <xf numFmtId="49" fontId="39" fillId="0" borderId="0" applyAlignment="1" pivotButton="0" quotePrefix="0" xfId="0">
      <alignment horizontal="center" vertical="center"/>
    </xf>
    <xf numFmtId="49" fontId="39" fillId="0" borderId="7" applyAlignment="1" pivotButton="0" quotePrefix="0" xfId="0">
      <alignment horizontal="center" vertical="center"/>
    </xf>
    <xf numFmtId="0" fontId="39" fillId="0" borderId="5" pivotButton="0" quotePrefix="0" xfId="0"/>
    <xf numFmtId="0" fontId="39" fillId="0" borderId="8" pivotButton="0" quotePrefix="0" xfId="0"/>
    <xf numFmtId="0" fontId="39" fillId="0" borderId="9" pivotButton="0" quotePrefix="0" xfId="0"/>
    <xf numFmtId="0" fontId="39" fillId="0" borderId="10" pivotButton="0" quotePrefix="0" xfId="0"/>
    <xf numFmtId="0" fontId="39" fillId="0" borderId="6" pivotButton="0" quotePrefix="0" xfId="0"/>
    <xf numFmtId="0" fontId="39" fillId="0" borderId="8" applyAlignment="1" pivotButton="0" quotePrefix="0" xfId="0">
      <alignment horizontal="center"/>
    </xf>
    <xf numFmtId="0" fontId="39" fillId="0" borderId="6" applyAlignment="1" pivotButton="0" quotePrefix="0" xfId="0">
      <alignment horizontal="center"/>
    </xf>
    <xf numFmtId="0" fontId="39" fillId="0" borderId="20" applyAlignment="1" pivotButton="0" quotePrefix="0" xfId="0">
      <alignment horizontal="center"/>
    </xf>
    <xf numFmtId="0" fontId="40" fillId="0" borderId="21" applyAlignment="1" pivotButton="0" quotePrefix="0" xfId="0">
      <alignment horizontal="center"/>
    </xf>
    <xf numFmtId="0" fontId="39" fillId="0" borderId="18" applyAlignment="1" pivotButton="0" quotePrefix="0" xfId="0">
      <alignment horizontal="center"/>
    </xf>
    <xf numFmtId="164" fontId="39" fillId="0" borderId="18" applyAlignment="1" pivotButton="0" quotePrefix="0" xfId="7">
      <alignment horizontal="right"/>
    </xf>
    <xf numFmtId="0" fontId="39" fillId="0" borderId="30" pivotButton="0" quotePrefix="0" xfId="0"/>
    <xf numFmtId="49" fontId="39" fillId="0" borderId="20" applyAlignment="1" pivotButton="0" quotePrefix="0" xfId="0">
      <alignment horizontal="center"/>
    </xf>
    <xf numFmtId="0" fontId="39" fillId="0" borderId="20" pivotButton="0" quotePrefix="0" xfId="0"/>
    <xf numFmtId="0" fontId="39" fillId="0" borderId="19" applyAlignment="1" pivotButton="0" quotePrefix="0" xfId="0">
      <alignment horizontal="center"/>
    </xf>
    <xf numFmtId="164" fontId="39" fillId="0" borderId="19" applyAlignment="1" pivotButton="0" quotePrefix="0" xfId="7">
      <alignment horizontal="right"/>
    </xf>
    <xf numFmtId="0" fontId="39" fillId="0" borderId="19" pivotButton="0" quotePrefix="0" xfId="0"/>
    <xf numFmtId="0" fontId="39" fillId="0" borderId="17" pivotButton="0" quotePrefix="0" xfId="0"/>
    <xf numFmtId="3" fontId="39" fillId="0" borderId="19" applyAlignment="1" pivotButton="0" quotePrefix="0" xfId="0">
      <alignment horizontal="right"/>
    </xf>
    <xf numFmtId="0" fontId="39" fillId="0" borderId="42" applyAlignment="1" pivotButton="0" quotePrefix="0" xfId="0">
      <alignment horizontal="center"/>
    </xf>
    <xf numFmtId="0" fontId="39" fillId="0" borderId="43" applyAlignment="1" pivotButton="0" quotePrefix="0" xfId="0">
      <alignment horizontal="center"/>
    </xf>
    <xf numFmtId="3" fontId="39" fillId="0" borderId="43" applyAlignment="1" pivotButton="0" quotePrefix="0" xfId="0">
      <alignment horizontal="right"/>
    </xf>
    <xf numFmtId="0" fontId="39" fillId="0" borderId="36" pivotButton="0" quotePrefix="0" xfId="0"/>
    <xf numFmtId="0" fontId="39" fillId="0" borderId="42" pivotButton="0" quotePrefix="0" xfId="0"/>
    <xf numFmtId="0" fontId="39" fillId="0" borderId="26" pivotButton="0" quotePrefix="0" xfId="0"/>
    <xf numFmtId="0" fontId="39" fillId="0" borderId="27" pivotButton="0" quotePrefix="0" xfId="0"/>
    <xf numFmtId="3" fontId="38" fillId="0" borderId="40" applyAlignment="1" pivotButton="0" quotePrefix="0" xfId="0">
      <alignment horizontal="right"/>
    </xf>
    <xf numFmtId="0" fontId="39" fillId="0" borderId="28" pivotButton="0" quotePrefix="0" xfId="0"/>
    <xf numFmtId="0" fontId="39" fillId="0" borderId="13" pivotButton="0" quotePrefix="0" xfId="0"/>
    <xf numFmtId="3" fontId="39" fillId="0" borderId="0" applyAlignment="1" pivotButton="0" quotePrefix="0" xfId="0">
      <alignment horizontal="left"/>
    </xf>
    <xf numFmtId="0" fontId="39" fillId="0" borderId="0" applyAlignment="1" pivotButton="0" quotePrefix="0" xfId="0">
      <alignment horizontal="center"/>
    </xf>
    <xf numFmtId="0" fontId="39" fillId="0" borderId="7" pivotButton="0" quotePrefix="0" xfId="0"/>
    <xf numFmtId="0" fontId="39" fillId="0" borderId="13" applyAlignment="1" pivotButton="0" quotePrefix="0" xfId="0">
      <alignment horizontal="right"/>
    </xf>
    <xf numFmtId="0" fontId="39" fillId="0" borderId="7" applyAlignment="1" pivotButton="0" quotePrefix="0" xfId="0">
      <alignment horizontal="left"/>
    </xf>
    <xf numFmtId="0" fontId="39" fillId="0" borderId="13" applyAlignment="1" pivotButton="0" quotePrefix="0" xfId="0">
      <alignment horizontal="center"/>
    </xf>
    <xf numFmtId="49" fontId="39" fillId="0" borderId="1" applyAlignment="1" pivotButton="0" quotePrefix="0" xfId="0">
      <alignment horizontal="center" vertical="center"/>
    </xf>
    <xf numFmtId="49" fontId="39" fillId="0" borderId="2" applyAlignment="1" pivotButton="0" quotePrefix="0" xfId="0">
      <alignment horizontal="center" vertical="center"/>
    </xf>
    <xf numFmtId="49" fontId="39" fillId="0" borderId="3" applyAlignment="1" pivotButton="0" quotePrefix="0" xfId="0">
      <alignment horizontal="center" vertical="center"/>
    </xf>
    <xf numFmtId="49" fontId="39" fillId="0" borderId="4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/>
    </xf>
    <xf numFmtId="49" fontId="39" fillId="0" borderId="3" applyAlignment="1" pivotButton="0" quotePrefix="0" xfId="0">
      <alignment horizontal="center"/>
    </xf>
    <xf numFmtId="49" fontId="39" fillId="0" borderId="1" applyAlignment="1" pivotButton="0" quotePrefix="0" xfId="0">
      <alignment horizontal="center"/>
    </xf>
    <xf numFmtId="0" fontId="40" fillId="0" borderId="19" applyAlignment="1" pivotButton="0" quotePrefix="0" xfId="0">
      <alignment horizontal="center"/>
    </xf>
    <xf numFmtId="3" fontId="38" fillId="0" borderId="29" applyAlignment="1" pivotButton="0" quotePrefix="0" xfId="0">
      <alignment horizontal="right"/>
    </xf>
    <xf numFmtId="0" fontId="39" fillId="0" borderId="22" pivotButton="0" quotePrefix="0" xfId="0"/>
    <xf numFmtId="3" fontId="39" fillId="0" borderId="20" applyAlignment="1" pivotButton="0" quotePrefix="0" xfId="0">
      <alignment horizontal="right"/>
    </xf>
    <xf numFmtId="3" fontId="39" fillId="0" borderId="19" pivotButton="0" quotePrefix="0" xfId="0"/>
    <xf numFmtId="0" fontId="39" fillId="0" borderId="27" applyAlignment="1" pivotButton="0" quotePrefix="0" xfId="0">
      <alignment horizontal="center"/>
    </xf>
    <xf numFmtId="0" fontId="39" fillId="0" borderId="28" applyAlignment="1" pivotButton="0" quotePrefix="0" xfId="0">
      <alignment horizontal="center"/>
    </xf>
    <xf numFmtId="3" fontId="39" fillId="0" borderId="0" applyAlignment="1" pivotButton="0" quotePrefix="0" xfId="0">
      <alignment horizontal="center"/>
    </xf>
    <xf numFmtId="0" fontId="4" fillId="0" borderId="11" applyAlignment="1" pivotButton="0" quotePrefix="0" xfId="6">
      <alignment horizontal="center" vertical="center"/>
    </xf>
    <xf numFmtId="0" fontId="4" fillId="0" borderId="5" applyAlignment="1" pivotButton="0" quotePrefix="0" xfId="6">
      <alignment horizontal="center" vertical="center"/>
    </xf>
    <xf numFmtId="0" fontId="4" fillId="0" borderId="25" applyAlignment="1" pivotButton="0" quotePrefix="0" xfId="6">
      <alignment horizontal="center" vertical="center"/>
    </xf>
    <xf numFmtId="0" fontId="4" fillId="0" borderId="5" applyAlignment="1" pivotButton="0" quotePrefix="0" xfId="0">
      <alignment horizontal="center" vertical="center"/>
    </xf>
    <xf numFmtId="16" fontId="4" fillId="0" borderId="39" applyAlignment="1" pivotButton="0" quotePrefix="0" xfId="1">
      <alignment horizontal="center"/>
    </xf>
    <xf numFmtId="49" fontId="3" fillId="0" borderId="39" applyAlignment="1" pivotButton="0" quotePrefix="0" xfId="0">
      <alignment horizontal="center" vertical="center"/>
    </xf>
    <xf numFmtId="49" fontId="3" fillId="0" borderId="12" applyAlignment="1" pivotButton="0" quotePrefix="0" xfId="0">
      <alignment horizontal="center" vertical="center"/>
    </xf>
    <xf numFmtId="16" fontId="4" fillId="0" borderId="12" applyAlignment="1" pivotButton="0" quotePrefix="0" xfId="1">
      <alignment horizontal="center"/>
    </xf>
    <xf numFmtId="3" fontId="21" fillId="0" borderId="12" applyAlignment="1" pivotButton="0" quotePrefix="0" xfId="0">
      <alignment vertical="center"/>
    </xf>
    <xf numFmtId="0" fontId="0" fillId="0" borderId="11" pivotButton="0" quotePrefix="0" xfId="0"/>
    <xf numFmtId="0" fontId="0" fillId="0" borderId="31" pivotButton="0" quotePrefix="0" xfId="0"/>
    <xf numFmtId="0" fontId="3" fillId="0" borderId="8" applyAlignment="1" pivotButton="0" quotePrefix="0" xfId="6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2" fillId="0" borderId="39" applyAlignment="1" pivotButton="0" quotePrefix="0" xfId="0">
      <alignment horizontal="center" vertical="center"/>
    </xf>
    <xf numFmtId="164" fontId="26" fillId="0" borderId="0" applyAlignment="1" pivotButton="0" quotePrefix="0" xfId="7">
      <alignment vertical="center"/>
    </xf>
    <xf numFmtId="0" fontId="2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164" fontId="26" fillId="0" borderId="0" applyAlignment="1" pivotButton="0" quotePrefix="0" xfId="7">
      <alignment vertical="center"/>
    </xf>
    <xf numFmtId="0" fontId="32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6" fillId="0" borderId="13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0" fontId="35" fillId="0" borderId="13" applyAlignment="1" pivotButton="0" quotePrefix="0" xfId="0">
      <alignment vertical="center"/>
    </xf>
    <xf numFmtId="0" fontId="35" fillId="0" borderId="0" applyAlignment="1" pivotButton="0" quotePrefix="0" xfId="0">
      <alignment vertical="center"/>
    </xf>
    <xf numFmtId="0" fontId="35" fillId="0" borderId="7" applyAlignment="1" pivotButton="0" quotePrefix="0" xfId="0">
      <alignment vertical="center"/>
    </xf>
    <xf numFmtId="0" fontId="35" fillId="0" borderId="5" applyAlignment="1" pivotButton="0" quotePrefix="0" xfId="0">
      <alignment vertical="center"/>
    </xf>
    <xf numFmtId="0" fontId="3" fillId="0" borderId="11" applyAlignment="1" pivotButton="0" quotePrefix="0" xfId="6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43" fillId="0" borderId="5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4" fillId="0" borderId="5" pivotButton="0" quotePrefix="0" xfId="0"/>
    <xf numFmtId="0" fontId="4" fillId="0" borderId="31" applyAlignment="1" pivotButton="0" quotePrefix="0" xfId="0">
      <alignment horizontal="center"/>
    </xf>
    <xf numFmtId="0" fontId="3" fillId="0" borderId="5" applyAlignment="1" pivotButton="0" quotePrefix="0" xfId="6">
      <alignment horizontal="center" vertical="center"/>
    </xf>
    <xf numFmtId="3" fontId="39" fillId="0" borderId="42" applyAlignment="1" pivotButton="0" quotePrefix="0" xfId="0">
      <alignment horizontal="right"/>
    </xf>
    <xf numFmtId="0" fontId="6" fillId="0" borderId="0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/>
    </xf>
    <xf numFmtId="0" fontId="3" fillId="0" borderId="39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25" applyAlignment="1" pivotButton="0" quotePrefix="0" xfId="6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0" borderId="8" applyAlignment="1" pivotButton="0" quotePrefix="0" xfId="0">
      <alignment horizontal="center" vertical="center"/>
    </xf>
    <xf numFmtId="0" fontId="3" fillId="0" borderId="13" applyAlignment="1" pivotButton="0" quotePrefix="0" xfId="6">
      <alignment horizontal="center" vertical="center"/>
    </xf>
    <xf numFmtId="0" fontId="3" fillId="0" borderId="7" applyAlignment="1" pivotButton="0" quotePrefix="0" xfId="6">
      <alignment horizontal="center" vertical="center"/>
    </xf>
    <xf numFmtId="0" fontId="0" fillId="0" borderId="7" pivotButton="0" quotePrefix="0" xfId="0"/>
    <xf numFmtId="0" fontId="14" fillId="0" borderId="0" applyAlignment="1" pivotButton="0" quotePrefix="0" xfId="0">
      <alignment horizontal="left" vertical="top"/>
    </xf>
    <xf numFmtId="49" fontId="6" fillId="0" borderId="5" applyAlignment="1" pivotButton="0" quotePrefix="0" xfId="0">
      <alignment horizontal="center" vertical="center"/>
    </xf>
    <xf numFmtId="0" fontId="0" fillId="0" borderId="15" pivotButton="0" quotePrefix="0" xfId="0"/>
    <xf numFmtId="0" fontId="3" fillId="0" borderId="15" applyAlignment="1" pivotButton="0" quotePrefix="0" xfId="0">
      <alignment vertical="center"/>
    </xf>
    <xf numFmtId="0" fontId="6" fillId="0" borderId="11" applyAlignment="1" pivotButton="0" quotePrefix="0" xfId="0">
      <alignment horizontal="center" vertical="center"/>
    </xf>
    <xf numFmtId="0" fontId="3" fillId="0" borderId="25" applyAlignment="1" pivotButton="0" quotePrefix="0" xfId="0">
      <alignment vertical="center"/>
    </xf>
    <xf numFmtId="0" fontId="3" fillId="0" borderId="11" applyAlignment="1" pivotButton="0" quotePrefix="0" xfId="0">
      <alignment vertical="center"/>
    </xf>
    <xf numFmtId="0" fontId="45" fillId="0" borderId="5" applyAlignment="1" pivotButton="0" quotePrefix="0" xfId="0">
      <alignment vertical="center"/>
    </xf>
    <xf numFmtId="0" fontId="4" fillId="0" borderId="7" applyAlignment="1" pivotButton="0" quotePrefix="0" xfId="0">
      <alignment horizontal="center"/>
    </xf>
    <xf numFmtId="0" fontId="27" fillId="0" borderId="0" applyAlignment="1" pivotButton="0" quotePrefix="0" xfId="0">
      <alignment horizontal="center" vertical="center"/>
    </xf>
    <xf numFmtId="164" fontId="26" fillId="0" borderId="0" applyAlignment="1" pivotButton="0" quotePrefix="0" xfId="7">
      <alignment vertical="center"/>
    </xf>
    <xf numFmtId="164" fontId="26" fillId="0" borderId="10" applyAlignment="1" pivotButton="0" quotePrefix="0" xfId="7">
      <alignment vertical="center"/>
    </xf>
    <xf numFmtId="164" fontId="26" fillId="0" borderId="0" applyAlignment="1" pivotButton="0" quotePrefix="0" xfId="7">
      <alignment vertical="center"/>
    </xf>
    <xf numFmtId="0" fontId="28" fillId="0" borderId="0" applyAlignment="1" pivotButton="0" quotePrefix="0" xfId="0">
      <alignment horizontal="center" vertical="center"/>
    </xf>
    <xf numFmtId="164" fontId="19" fillId="0" borderId="0" applyAlignment="1" pivotButton="0" quotePrefix="0" xfId="7">
      <alignment vertical="center"/>
    </xf>
    <xf numFmtId="164" fontId="29" fillId="0" borderId="0" applyAlignment="1" pivotButton="0" quotePrefix="0" xfId="7">
      <alignment vertical="center"/>
    </xf>
    <xf numFmtId="164" fontId="29" fillId="0" borderId="0" applyAlignment="1" pivotButton="0" quotePrefix="0" xfId="7">
      <alignment horizontal="center" vertical="center"/>
    </xf>
    <xf numFmtId="0" fontId="16" fillId="0" borderId="32" applyAlignment="1" pivotButton="0" quotePrefix="0" xfId="0">
      <alignment horizontal="center"/>
    </xf>
    <xf numFmtId="0" fontId="16" fillId="0" borderId="6" applyAlignment="1" pivotButton="0" quotePrefix="0" xfId="0">
      <alignment horizontal="center"/>
    </xf>
    <xf numFmtId="164" fontId="25" fillId="0" borderId="0" applyAlignment="1" pivotButton="0" quotePrefix="0" xfId="7">
      <alignment vertical="center"/>
    </xf>
    <xf numFmtId="0" fontId="28" fillId="0" borderId="0" pivotButton="0" quotePrefix="0" xfId="0"/>
    <xf numFmtId="164" fontId="28" fillId="0" borderId="0" applyAlignment="1" pivotButton="0" quotePrefix="0" xfId="7">
      <alignment horizontal="center" vertical="center"/>
    </xf>
    <xf numFmtId="0" fontId="28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164" fontId="28" fillId="0" borderId="0" applyAlignment="1" pivotButton="0" quotePrefix="0" xfId="0">
      <alignment horizontal="center" vertical="center"/>
    </xf>
    <xf numFmtId="164" fontId="29" fillId="0" borderId="0" applyAlignment="1" pivotButton="0" quotePrefix="0" xfId="7">
      <alignment horizontal="left" vertical="center"/>
    </xf>
    <xf numFmtId="0" fontId="28" fillId="0" borderId="44" applyAlignment="1" pivotButton="0" quotePrefix="0" xfId="0">
      <alignment vertical="center"/>
    </xf>
    <xf numFmtId="164" fontId="28" fillId="0" borderId="0" applyAlignment="1" pivotButton="0" quotePrefix="0" xfId="0">
      <alignment vertical="center"/>
    </xf>
    <xf numFmtId="0" fontId="40" fillId="0" borderId="17" applyAlignment="1" pivotButton="0" quotePrefix="0" xfId="0">
      <alignment horizontal="center"/>
    </xf>
    <xf numFmtId="0" fontId="40" fillId="0" borderId="18" applyAlignment="1" pivotButton="0" quotePrefix="0" xfId="0">
      <alignment horizontal="center"/>
    </xf>
    <xf numFmtId="164" fontId="29" fillId="0" borderId="0" applyAlignment="1" pivotButton="0" quotePrefix="0" xfId="7">
      <alignment horizontal="center" vertical="center"/>
    </xf>
    <xf numFmtId="164" fontId="29" fillId="0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0" fontId="29" fillId="9" borderId="0" applyAlignment="1" pivotButton="0" quotePrefix="0" xfId="0">
      <alignment horizontal="center" vertical="center"/>
    </xf>
    <xf numFmtId="0" fontId="40" fillId="0" borderId="20" applyAlignment="1" pivotButton="0" quotePrefix="0" xfId="0">
      <alignment horizontal="center"/>
    </xf>
    <xf numFmtId="164" fontId="39" fillId="0" borderId="20" applyAlignment="1" pivotButton="0" quotePrefix="0" xfId="7">
      <alignment horizontal="right"/>
    </xf>
    <xf numFmtId="0" fontId="14" fillId="0" borderId="13" applyAlignment="1" pivotButton="0" quotePrefix="0" xfId="0">
      <alignment horizontal="left" vertical="top"/>
    </xf>
    <xf numFmtId="0" fontId="14" fillId="0" borderId="0" applyAlignment="1" pivotButton="0" quotePrefix="0" xfId="0">
      <alignment horizontal="left" vertical="top"/>
    </xf>
    <xf numFmtId="0" fontId="14" fillId="0" borderId="7" applyAlignment="1" pivotButton="0" quotePrefix="0" xfId="0">
      <alignment horizontal="left" vertical="top"/>
    </xf>
    <xf numFmtId="0" fontId="3" fillId="0" borderId="25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31" applyAlignment="1" pivotButton="0" quotePrefix="0" xfId="0">
      <alignment horizontal="center" vertical="center"/>
    </xf>
    <xf numFmtId="3" fontId="3" fillId="0" borderId="25" applyAlignment="1" pivotButton="0" quotePrefix="0" xfId="0">
      <alignment horizontal="center" vertical="center"/>
    </xf>
    <xf numFmtId="0" fontId="14" fillId="0" borderId="13" applyAlignment="1" pivotButton="0" quotePrefix="0" xfId="0">
      <alignment horizontal="center" vertical="top"/>
    </xf>
    <xf numFmtId="0" fontId="14" fillId="0" borderId="7" applyAlignment="1" pivotButton="0" quotePrefix="0" xfId="0">
      <alignment horizontal="center" vertical="top"/>
    </xf>
    <xf numFmtId="0" fontId="3" fillId="0" borderId="13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3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top"/>
    </xf>
    <xf numFmtId="0" fontId="14" fillId="0" borderId="31" applyAlignment="1" pivotButton="0" quotePrefix="0" xfId="0">
      <alignment horizontal="center" vertical="top"/>
    </xf>
    <xf numFmtId="0" fontId="6" fillId="0" borderId="16" applyAlignment="1" pivotButton="0" quotePrefix="0" xfId="0">
      <alignment horizontal="center"/>
    </xf>
    <xf numFmtId="0" fontId="6" fillId="0" borderId="32" applyAlignment="1" pivotButton="0" quotePrefix="0" xfId="0">
      <alignment horizontal="center"/>
    </xf>
    <xf numFmtId="0" fontId="6" fillId="0" borderId="39" applyAlignment="1" pivotButton="0" quotePrefix="0" xfId="0">
      <alignment horizontal="center"/>
    </xf>
    <xf numFmtId="0" fontId="6" fillId="0" borderId="12" applyAlignment="1" pivotButton="0" quotePrefix="0" xfId="0">
      <alignment horizontal="center"/>
    </xf>
    <xf numFmtId="0" fontId="3" fillId="0" borderId="10" applyAlignment="1" pivotButton="0" quotePrefix="0" xfId="0">
      <alignment vertical="center"/>
    </xf>
    <xf numFmtId="0" fontId="3" fillId="0" borderId="25" applyAlignment="1" pivotButton="0" quotePrefix="0" xfId="0">
      <alignment horizontal="left" vertical="center"/>
    </xf>
    <xf numFmtId="0" fontId="3" fillId="0" borderId="15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25" applyAlignment="1" pivotButton="0" quotePrefix="0" xfId="6">
      <alignment horizontal="center" vertical="center"/>
    </xf>
    <xf numFmtId="0" fontId="3" fillId="0" borderId="31" applyAlignment="1" pivotButton="0" quotePrefix="0" xfId="6">
      <alignment horizontal="center" vertical="center"/>
    </xf>
    <xf numFmtId="3" fontId="3" fillId="0" borderId="13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3" fontId="3" fillId="0" borderId="7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4" fillId="0" borderId="32" applyAlignment="1" pivotButton="0" quotePrefix="0" xfId="0">
      <alignment vertical="center"/>
    </xf>
    <xf numFmtId="0" fontId="3" fillId="0" borderId="11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0" fontId="14" fillId="0" borderId="13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3" fillId="0" borderId="13" applyAlignment="1" pivotButton="0" quotePrefix="0" xfId="6">
      <alignment horizontal="center" vertical="center"/>
    </xf>
    <xf numFmtId="0" fontId="3" fillId="0" borderId="7" applyAlignment="1" pivotButton="0" quotePrefix="0" xfId="6">
      <alignment horizontal="center" vertical="center"/>
    </xf>
    <xf numFmtId="0" fontId="17" fillId="3" borderId="13" applyAlignment="1" pivotButton="0" quotePrefix="0" xfId="0">
      <alignment horizontal="center" vertical="center"/>
    </xf>
    <xf numFmtId="0" fontId="17" fillId="3" borderId="0" applyAlignment="1" pivotButton="0" quotePrefix="0" xfId="0">
      <alignment horizontal="center" vertical="center"/>
    </xf>
    <xf numFmtId="0" fontId="3" fillId="0" borderId="13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14" fillId="0" borderId="13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7" applyAlignment="1" pivotButton="0" quotePrefix="0" xfId="0">
      <alignment vertical="center"/>
    </xf>
    <xf numFmtId="0" fontId="14" fillId="0" borderId="13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14" fillId="0" borderId="7" applyAlignment="1" pivotButton="0" quotePrefix="0" xfId="0">
      <alignment vertical="top"/>
    </xf>
    <xf numFmtId="0" fontId="3" fillId="0" borderId="39" applyAlignment="1" pivotButton="0" quotePrefix="0" xfId="0">
      <alignment horizontal="center" vertical="center"/>
    </xf>
    <xf numFmtId="0" fontId="3" fillId="0" borderId="16" applyAlignment="1" pivotButton="0" quotePrefix="0" xfId="0">
      <alignment horizontal="right" vertical="center"/>
    </xf>
    <xf numFmtId="0" fontId="3" fillId="0" borderId="39" applyAlignment="1" pivotButton="0" quotePrefix="0" xfId="0">
      <alignment horizontal="right" vertical="center"/>
    </xf>
    <xf numFmtId="0" fontId="3" fillId="0" borderId="10" applyAlignment="1" pivotButton="0" quotePrefix="0" xfId="0">
      <alignment horizontal="center" vertical="center"/>
    </xf>
    <xf numFmtId="3" fontId="3" fillId="0" borderId="41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49" fontId="3" fillId="0" borderId="16" applyAlignment="1" pivotButton="0" quotePrefix="0" xfId="0">
      <alignment horizontal="center" vertical="center"/>
    </xf>
    <xf numFmtId="49" fontId="3" fillId="0" borderId="32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3" fillId="11" borderId="13" applyAlignment="1" pivotButton="0" quotePrefix="0" xfId="6">
      <alignment horizontal="center" vertical="center"/>
    </xf>
    <xf numFmtId="0" fontId="3" fillId="11" borderId="7" applyAlignment="1" pivotButton="0" quotePrefix="0" xfId="6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6" fillId="0" borderId="13" applyAlignment="1" pivotButton="0" quotePrefix="0" xfId="0">
      <alignment horizontal="left" vertical="center"/>
    </xf>
    <xf numFmtId="0" fontId="6" fillId="0" borderId="7" applyAlignment="1" pivotButton="0" quotePrefix="0" xfId="0">
      <alignment horizontal="left" vertical="center"/>
    </xf>
    <xf numFmtId="0" fontId="45" fillId="0" borderId="13" applyAlignment="1" pivotButton="0" quotePrefix="0" xfId="0">
      <alignment vertical="center"/>
    </xf>
    <xf numFmtId="0" fontId="45" fillId="0" borderId="7" applyAlignment="1" pivotButton="0" quotePrefix="0" xfId="0">
      <alignment vertical="center"/>
    </xf>
    <xf numFmtId="49" fontId="3" fillId="0" borderId="13" applyAlignment="1" pivotButton="0" quotePrefix="0" xfId="0">
      <alignment horizontal="center" vertical="center"/>
    </xf>
    <xf numFmtId="49" fontId="3" fillId="0" borderId="7" applyAlignment="1" pivotButton="0" quotePrefix="0" xfId="0">
      <alignment horizontal="center" vertical="center"/>
    </xf>
    <xf numFmtId="0" fontId="3" fillId="0" borderId="5" applyAlignment="1" pivotButton="0" quotePrefix="0" xfId="6">
      <alignment horizontal="center" vertical="center"/>
    </xf>
    <xf numFmtId="0" fontId="0" fillId="0" borderId="13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49" fontId="4" fillId="0" borderId="16" applyAlignment="1" pivotButton="0" quotePrefix="0" xfId="1">
      <alignment horizontal="center"/>
    </xf>
    <xf numFmtId="49" fontId="4" fillId="0" borderId="32" applyAlignment="1" pivotButton="0" quotePrefix="0" xfId="1">
      <alignment horizontal="center"/>
    </xf>
    <xf numFmtId="0" fontId="0" fillId="0" borderId="0" pivotButton="0" quotePrefix="0" xfId="0"/>
    <xf numFmtId="0" fontId="0" fillId="0" borderId="7" pivotButton="0" quotePrefix="0" xfId="0"/>
    <xf numFmtId="0" fontId="3" fillId="0" borderId="11" applyAlignment="1" pivotButton="0" quotePrefix="0" xfId="6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31" pivotButton="0" quotePrefix="0" xfId="0"/>
    <xf numFmtId="0" fontId="45" fillId="10" borderId="25" applyAlignment="1" pivotButton="0" quotePrefix="0" xfId="0">
      <alignment horizontal="center" vertical="center"/>
    </xf>
    <xf numFmtId="0" fontId="3" fillId="10" borderId="15" applyAlignment="1" pivotButton="0" quotePrefix="0" xfId="0">
      <alignment horizontal="center" vertical="center"/>
    </xf>
    <xf numFmtId="0" fontId="3" fillId="10" borderId="31" applyAlignment="1" pivotButton="0" quotePrefix="0" xfId="0">
      <alignment horizontal="center" vertical="center"/>
    </xf>
    <xf numFmtId="0" fontId="3" fillId="10" borderId="13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3" fillId="10" borderId="7" applyAlignment="1" pivotButton="0" quotePrefix="0" xfId="0">
      <alignment horizontal="center" vertical="center"/>
    </xf>
    <xf numFmtId="0" fontId="45" fillId="10" borderId="15" applyAlignment="1" pivotButton="0" quotePrefix="0" xfId="0">
      <alignment horizontal="center" vertical="center"/>
    </xf>
    <xf numFmtId="0" fontId="45" fillId="10" borderId="31" applyAlignment="1" pivotButton="0" quotePrefix="0" xfId="0">
      <alignment horizontal="center" vertical="center"/>
    </xf>
    <xf numFmtId="0" fontId="45" fillId="10" borderId="9" applyAlignment="1" pivotButton="0" quotePrefix="0" xfId="0">
      <alignment horizontal="center" vertical="center"/>
    </xf>
    <xf numFmtId="0" fontId="45" fillId="10" borderId="10" applyAlignment="1" pivotButton="0" quotePrefix="0" xfId="0">
      <alignment horizontal="center" vertical="center"/>
    </xf>
    <xf numFmtId="0" fontId="45" fillId="10" borderId="6" applyAlignment="1" pivotButton="0" quotePrefix="0" xfId="0">
      <alignment horizontal="center" vertical="center"/>
    </xf>
    <xf numFmtId="0" fontId="35" fillId="0" borderId="16" applyAlignment="1" pivotButton="0" quotePrefix="0" xfId="0">
      <alignment horizontal="center" vertical="center"/>
    </xf>
    <xf numFmtId="0" fontId="44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4" fontId="22" fillId="7" borderId="16" applyAlignment="1" pivotButton="0" quotePrefix="0" xfId="0">
      <alignment horizontal="center" vertical="center"/>
    </xf>
    <xf numFmtId="164" fontId="22" fillId="7" borderId="32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164" fontId="31" fillId="6" borderId="16" applyAlignment="1" pivotButton="0" quotePrefix="0" xfId="0">
      <alignment horizontal="left" vertical="center" indent="1"/>
    </xf>
    <xf numFmtId="164" fontId="31" fillId="6" borderId="39" applyAlignment="1" pivotButton="0" quotePrefix="0" xfId="0">
      <alignment horizontal="left" vertical="center" indent="1"/>
    </xf>
    <xf numFmtId="164" fontId="31" fillId="6" borderId="32" applyAlignment="1" pivotButton="0" quotePrefix="0" xfId="0">
      <alignment horizontal="left" vertical="center" indent="1"/>
    </xf>
    <xf numFmtId="164" fontId="22" fillId="7" borderId="39" applyAlignment="1" pivotButton="0" quotePrefix="0" xfId="0">
      <alignment horizontal="center" vertical="center"/>
    </xf>
    <xf numFmtId="164" fontId="31" fillId="8" borderId="16" applyAlignment="1" pivotButton="0" quotePrefix="0" xfId="0">
      <alignment horizontal="left" vertical="center" indent="1"/>
    </xf>
    <xf numFmtId="164" fontId="31" fillId="8" borderId="39" applyAlignment="1" pivotButton="0" quotePrefix="0" xfId="0">
      <alignment horizontal="left" vertical="center" indent="1"/>
    </xf>
    <xf numFmtId="164" fontId="31" fillId="8" borderId="32" applyAlignment="1" pivotButton="0" quotePrefix="0" xfId="0">
      <alignment horizontal="left" vertical="center" indent="1"/>
    </xf>
    <xf numFmtId="0" fontId="0" fillId="0" borderId="16" pivotButton="0" quotePrefix="0" xfId="0"/>
    <xf numFmtId="0" fontId="0" fillId="0" borderId="32" pivotButton="0" quotePrefix="0" xfId="0"/>
    <xf numFmtId="0" fontId="22" fillId="0" borderId="0" applyAlignment="1" pivotButton="0" quotePrefix="0" xfId="0">
      <alignment horizontal="center" vertical="center"/>
    </xf>
    <xf numFmtId="164" fontId="29" fillId="0" borderId="0" applyAlignment="1" pivotButton="0" quotePrefix="0" xfId="7">
      <alignment horizontal="center" vertical="center"/>
    </xf>
    <xf numFmtId="164" fontId="29" fillId="0" borderId="0" applyAlignment="1" pivotButton="0" quotePrefix="0" xfId="0">
      <alignment horizontal="center" vertical="center"/>
    </xf>
    <xf numFmtId="164" fontId="19" fillId="2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center" vertical="center"/>
    </xf>
    <xf numFmtId="164" fontId="29" fillId="9" borderId="45" applyAlignment="1" pivotButton="0" quotePrefix="0" xfId="0">
      <alignment horizontal="center" vertical="center"/>
    </xf>
    <xf numFmtId="0" fontId="29" fillId="9" borderId="45" applyAlignment="1" pivotButton="0" quotePrefix="0" xfId="0">
      <alignment horizontal="center" vertical="center"/>
    </xf>
    <xf numFmtId="164" fontId="31" fillId="6" borderId="16" applyAlignment="1" pivotButton="0" quotePrefix="0" xfId="0">
      <alignment horizontal="left" vertical="center"/>
    </xf>
    <xf numFmtId="164" fontId="31" fillId="6" borderId="39" applyAlignment="1" pivotButton="0" quotePrefix="0" xfId="0">
      <alignment horizontal="left" vertical="center"/>
    </xf>
    <xf numFmtId="164" fontId="31" fillId="6" borderId="32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6" fillId="5" borderId="11" applyAlignment="1" pivotButton="0" quotePrefix="0" xfId="0">
      <alignment horizontal="center" vertical="center"/>
    </xf>
    <xf numFmtId="0" fontId="16" fillId="5" borderId="8" applyAlignment="1" pivotButton="0" quotePrefix="0" xfId="0">
      <alignment horizontal="center" vertical="center"/>
    </xf>
    <xf numFmtId="0" fontId="22" fillId="5" borderId="11" applyAlignment="1" pivotButton="0" quotePrefix="0" xfId="0">
      <alignment horizontal="center" vertical="center"/>
    </xf>
    <xf numFmtId="0" fontId="22" fillId="5" borderId="8" applyAlignment="1" pivotButton="0" quotePrefix="0" xfId="0">
      <alignment horizontal="center" vertical="center"/>
    </xf>
    <xf numFmtId="0" fontId="16" fillId="5" borderId="16" applyAlignment="1" pivotButton="0" quotePrefix="0" xfId="0">
      <alignment horizontal="center"/>
    </xf>
    <xf numFmtId="0" fontId="16" fillId="5" borderId="32" applyAlignment="1" pivotButton="0" quotePrefix="0" xfId="0">
      <alignment horizontal="center"/>
    </xf>
    <xf numFmtId="164" fontId="25" fillId="0" borderId="0" applyAlignment="1" pivotButton="0" quotePrefix="0" xfId="7">
      <alignment horizontal="left" vertical="center"/>
    </xf>
    <xf numFmtId="0" fontId="15" fillId="2" borderId="16" applyAlignment="1" pivotButton="0" quotePrefix="0" xfId="0">
      <alignment horizontal="center" vertical="center"/>
    </xf>
    <xf numFmtId="0" fontId="15" fillId="2" borderId="32" applyAlignment="1" pivotButton="0" quotePrefix="0" xfId="0">
      <alignment horizontal="center" vertical="center"/>
    </xf>
    <xf numFmtId="0" fontId="30" fillId="5" borderId="16" applyAlignment="1" pivotButton="0" quotePrefix="0" xfId="0">
      <alignment horizontal="center"/>
    </xf>
    <xf numFmtId="0" fontId="30" fillId="5" borderId="39" applyAlignment="1" pivotButton="0" quotePrefix="0" xfId="0">
      <alignment horizontal="center"/>
    </xf>
    <xf numFmtId="0" fontId="30" fillId="5" borderId="32" applyAlignment="1" pivotButton="0" quotePrefix="0" xfId="0">
      <alignment horizontal="center"/>
    </xf>
    <xf numFmtId="0" fontId="20" fillId="0" borderId="0" applyAlignment="1" pivotButton="0" quotePrefix="0" xfId="0">
      <alignment horizontal="left" vertical="center"/>
    </xf>
    <xf numFmtId="164" fontId="20" fillId="0" borderId="0" applyAlignment="1" pivotButton="0" quotePrefix="0" xfId="7">
      <alignment horizontal="left" vertical="center"/>
    </xf>
    <xf numFmtId="0" fontId="29" fillId="0" borderId="0" applyAlignment="1" pivotButton="0" quotePrefix="0" xfId="0">
      <alignment horizontal="left" vertical="center"/>
    </xf>
    <xf numFmtId="0" fontId="32" fillId="5" borderId="25" applyAlignment="1" pivotButton="0" quotePrefix="0" xfId="0">
      <alignment horizontal="center" vertical="center"/>
    </xf>
    <xf numFmtId="0" fontId="32" fillId="5" borderId="31" applyAlignment="1" pivotButton="0" quotePrefix="0" xfId="0">
      <alignment horizontal="center" vertical="center"/>
    </xf>
    <xf numFmtId="0" fontId="32" fillId="5" borderId="9" applyAlignment="1" pivotButton="0" quotePrefix="0" xfId="0">
      <alignment horizontal="center" vertical="center"/>
    </xf>
    <xf numFmtId="0" fontId="32" fillId="5" borderId="6" applyAlignment="1" pivotButton="0" quotePrefix="0" xfId="0">
      <alignment horizontal="center" vertical="center"/>
    </xf>
    <xf numFmtId="0" fontId="30" fillId="5" borderId="11" applyAlignment="1" pivotButton="0" quotePrefix="0" xfId="0">
      <alignment horizontal="center" vertical="center"/>
    </xf>
    <xf numFmtId="0" fontId="30" fillId="5" borderId="8" applyAlignment="1" pivotButton="0" quotePrefix="0" xfId="0">
      <alignment horizontal="center" vertical="center"/>
    </xf>
    <xf numFmtId="0" fontId="33" fillId="5" borderId="11" applyAlignment="1" pivotButton="0" quotePrefix="0" xfId="0">
      <alignment horizontal="center" vertical="center"/>
    </xf>
    <xf numFmtId="0" fontId="33" fillId="5" borderId="8" applyAlignment="1" pivotButton="0" quotePrefix="0" xfId="0">
      <alignment horizontal="center" vertical="center"/>
    </xf>
    <xf numFmtId="0" fontId="15" fillId="7" borderId="16" applyAlignment="1" pivotButton="0" quotePrefix="0" xfId="0">
      <alignment horizontal="center" vertical="center"/>
    </xf>
    <xf numFmtId="0" fontId="15" fillId="7" borderId="32" applyAlignment="1" pivotButton="0" quotePrefix="0" xfId="0">
      <alignment horizontal="center" vertical="center"/>
    </xf>
    <xf numFmtId="0" fontId="15" fillId="6" borderId="16" applyAlignment="1" pivotButton="0" quotePrefix="0" xfId="0">
      <alignment horizontal="center" vertical="center"/>
    </xf>
    <xf numFmtId="0" fontId="15" fillId="6" borderId="32" applyAlignment="1" pivotButton="0" quotePrefix="0" xfId="0">
      <alignment horizontal="center" vertical="center"/>
    </xf>
    <xf numFmtId="0" fontId="22" fillId="0" borderId="16" applyAlignment="1" pivotButton="0" quotePrefix="0" xfId="0">
      <alignment horizontal="center" vertical="center"/>
    </xf>
    <xf numFmtId="0" fontId="22" fillId="0" borderId="39" applyAlignment="1" pivotButton="0" quotePrefix="0" xfId="0">
      <alignment horizontal="center" vertical="center"/>
    </xf>
    <xf numFmtId="164" fontId="26" fillId="0" borderId="0" applyAlignment="1" pivotButton="0" quotePrefix="0" xfId="7">
      <alignment vertical="center"/>
    </xf>
    <xf numFmtId="0" fontId="16" fillId="5" borderId="16" applyAlignment="1" pivotButton="0" quotePrefix="0" xfId="0">
      <alignment horizontal="center" vertical="center"/>
    </xf>
    <xf numFmtId="0" fontId="16" fillId="5" borderId="32" applyAlignment="1" pivotButton="0" quotePrefix="0" xfId="0">
      <alignment horizontal="center" vertical="center"/>
    </xf>
    <xf numFmtId="0" fontId="39" fillId="0" borderId="16" pivotButton="0" quotePrefix="0" xfId="0"/>
    <xf numFmtId="0" fontId="39" fillId="0" borderId="39" pivotButton="0" quotePrefix="0" xfId="0"/>
    <xf numFmtId="0" fontId="39" fillId="0" borderId="32" pivotButton="0" quotePrefix="0" xfId="0"/>
    <xf numFmtId="0" fontId="39" fillId="0" borderId="16" applyAlignment="1" pivotButton="0" quotePrefix="0" xfId="0">
      <alignment horizontal="center"/>
    </xf>
    <xf numFmtId="0" fontId="39" fillId="0" borderId="39" applyAlignment="1" pivotButton="0" quotePrefix="0" xfId="0">
      <alignment horizontal="center"/>
    </xf>
    <xf numFmtId="0" fontId="39" fillId="0" borderId="32" applyAlignment="1" pivotButton="0" quotePrefix="0" xfId="0">
      <alignment horizontal="center"/>
    </xf>
    <xf numFmtId="0" fontId="38" fillId="0" borderId="0" applyAlignment="1" pivotButton="0" quotePrefix="0" xfId="0">
      <alignment horizontal="center"/>
    </xf>
    <xf numFmtId="0" fontId="39" fillId="0" borderId="33" applyAlignment="1" pivotButton="0" quotePrefix="0" xfId="0">
      <alignment horizontal="center"/>
    </xf>
    <xf numFmtId="0" fontId="39" fillId="0" borderId="34" applyAlignment="1" pivotButton="0" quotePrefix="0" xfId="0">
      <alignment horizontal="center"/>
    </xf>
    <xf numFmtId="0" fontId="39" fillId="0" borderId="1" applyAlignment="1" pivotButton="0" quotePrefix="0" xfId="0">
      <alignment horizontal="center" vertical="center"/>
    </xf>
    <xf numFmtId="0" fontId="39" fillId="0" borderId="5" applyAlignment="1" pivotButton="0" quotePrefix="0" xfId="0">
      <alignment horizontal="center" vertical="center"/>
    </xf>
    <xf numFmtId="0" fontId="39" fillId="0" borderId="8" applyAlignment="1" pivotButton="0" quotePrefix="0" xfId="0">
      <alignment horizontal="center" vertical="center"/>
    </xf>
    <xf numFmtId="49" fontId="39" fillId="0" borderId="13" applyAlignment="1" pivotButton="0" quotePrefix="0" xfId="0">
      <alignment horizontal="center" vertical="center"/>
    </xf>
    <xf numFmtId="49" fontId="39" fillId="0" borderId="0" applyAlignment="1" pivotButton="0" quotePrefix="0" xfId="0">
      <alignment horizontal="center" vertical="center"/>
    </xf>
    <xf numFmtId="49" fontId="39" fillId="0" borderId="7" applyAlignment="1" pivotButton="0" quotePrefix="0" xfId="0">
      <alignment horizontal="center" vertical="center"/>
    </xf>
    <xf numFmtId="0" fontId="39" fillId="0" borderId="9" applyAlignment="1" pivotButton="0" quotePrefix="0" xfId="0">
      <alignment horizontal="center"/>
    </xf>
    <xf numFmtId="0" fontId="39" fillId="0" borderId="10" applyAlignment="1" pivotButton="0" quotePrefix="0" xfId="0">
      <alignment horizontal="center"/>
    </xf>
    <xf numFmtId="0" fontId="39" fillId="0" borderId="6" applyAlignment="1" pivotButton="0" quotePrefix="0" xfId="0">
      <alignment horizontal="center"/>
    </xf>
    <xf numFmtId="0" fontId="39" fillId="0" borderId="9" pivotButton="0" quotePrefix="0" xfId="0"/>
    <xf numFmtId="0" fontId="39" fillId="0" borderId="10" pivotButton="0" quotePrefix="0" xfId="0"/>
    <xf numFmtId="0" fontId="39" fillId="0" borderId="6" pivotButton="0" quotePrefix="0" xfId="0"/>
    <xf numFmtId="0" fontId="39" fillId="0" borderId="13" applyAlignment="1" pivotButton="0" quotePrefix="0" xfId="0">
      <alignment horizontal="center"/>
    </xf>
    <xf numFmtId="0" fontId="39" fillId="0" borderId="0" applyAlignment="1" pivotButton="0" quotePrefix="0" xfId="0">
      <alignment horizontal="center"/>
    </xf>
    <xf numFmtId="0" fontId="39" fillId="0" borderId="7" applyAlignment="1" pivotButton="0" quotePrefix="0" xfId="0">
      <alignment horizontal="center"/>
    </xf>
    <xf numFmtId="0" fontId="39" fillId="0" borderId="13" pivotButton="0" quotePrefix="0" xfId="0"/>
    <xf numFmtId="0" fontId="42" fillId="0" borderId="0" pivotButton="0" quotePrefix="0" xfId="0"/>
    <xf numFmtId="0" fontId="42" fillId="0" borderId="7" pivotButton="0" quotePrefix="0" xfId="0"/>
    <xf numFmtId="0" fontId="39" fillId="0" borderId="5" applyAlignment="1" pivotButton="0" quotePrefix="0" xfId="0">
      <alignment horizontal="center"/>
    </xf>
    <xf numFmtId="0" fontId="39" fillId="0" borderId="8" applyAlignment="1" pivotButton="0" quotePrefix="0" xfId="0">
      <alignment horizontal="center"/>
    </xf>
    <xf numFmtId="0" fontId="39" fillId="0" borderId="25" applyAlignment="1" pivotButton="0" quotePrefix="0" xfId="0">
      <alignment horizontal="center"/>
    </xf>
    <xf numFmtId="0" fontId="39" fillId="0" borderId="15" applyAlignment="1" pivotButton="0" quotePrefix="0" xfId="0">
      <alignment horizontal="center"/>
    </xf>
    <xf numFmtId="0" fontId="39" fillId="0" borderId="31" applyAlignment="1" pivotButton="0" quotePrefix="0" xfId="0">
      <alignment horizontal="center"/>
    </xf>
    <xf numFmtId="0" fontId="39" fillId="0" borderId="2" applyAlignment="1" pivotButton="0" quotePrefix="0" xfId="0">
      <alignment horizontal="center" vertical="center"/>
    </xf>
    <xf numFmtId="0" fontId="39" fillId="0" borderId="3" applyAlignment="1" pivotButton="0" quotePrefix="0" xfId="0">
      <alignment horizontal="center" vertical="center"/>
    </xf>
    <xf numFmtId="0" fontId="39" fillId="0" borderId="4" applyAlignment="1" pivotButton="0" quotePrefix="0" xfId="0">
      <alignment horizontal="center" vertical="center"/>
    </xf>
    <xf numFmtId="0" fontId="39" fillId="0" borderId="27" applyAlignment="1" pivotButton="0" quotePrefix="0" xfId="0">
      <alignment horizontal="center"/>
    </xf>
    <xf numFmtId="0" fontId="39" fillId="0" borderId="28" applyAlignment="1" pivotButton="0" quotePrefix="0" xfId="0">
      <alignment horizontal="center"/>
    </xf>
    <xf numFmtId="0" fontId="42" fillId="0" borderId="10" pivotButton="0" quotePrefix="0" xfId="0"/>
    <xf numFmtId="0" fontId="42" fillId="0" borderId="6" pivotButton="0" quotePrefix="0" xfId="0"/>
    <xf numFmtId="0" fontId="39" fillId="0" borderId="13" applyAlignment="1" pivotButton="0" quotePrefix="0" xfId="0">
      <alignment horizontal="right"/>
    </xf>
    <xf numFmtId="0" fontId="39" fillId="0" borderId="11" applyAlignment="1" pivotButton="0" quotePrefix="0" xfId="0">
      <alignment horizontal="center" vertical="center"/>
    </xf>
    <xf numFmtId="0" fontId="39" fillId="0" borderId="24" applyAlignment="1" pivotButton="0" quotePrefix="0" xfId="0">
      <alignment horizontal="center"/>
    </xf>
    <xf numFmtId="0" fontId="39" fillId="0" borderId="38" applyAlignment="1" pivotButton="0" quotePrefix="0" xfId="0">
      <alignment horizontal="center"/>
    </xf>
    <xf numFmtId="0" fontId="39" fillId="0" borderId="23" applyAlignment="1" pivotButton="0" quotePrefix="0" xfId="0">
      <alignment horizontal="center"/>
    </xf>
    <xf numFmtId="0" fontId="39" fillId="0" borderId="21" pivotButton="0" quotePrefix="0" xfId="0"/>
    <xf numFmtId="0" fontId="39" fillId="0" borderId="17" pivotButton="0" quotePrefix="0" xfId="0"/>
    <xf numFmtId="0" fontId="39" fillId="0" borderId="22" pivotButton="0" quotePrefix="0" xfId="0"/>
    <xf numFmtId="0" fontId="39" fillId="0" borderId="35" applyAlignment="1" pivotButton="0" quotePrefix="0" xfId="0">
      <alignment horizontal="center"/>
    </xf>
    <xf numFmtId="0" fontId="39" fillId="0" borderId="36" applyAlignment="1" pivotButton="0" quotePrefix="0" xfId="0">
      <alignment horizontal="center"/>
    </xf>
    <xf numFmtId="0" fontId="39" fillId="0" borderId="37" applyAlignment="1" pivotButton="0" quotePrefix="0" xfId="0">
      <alignment horizontal="center"/>
    </xf>
    <xf numFmtId="0" fontId="38" fillId="0" borderId="2" applyAlignment="1" pivotButton="0" quotePrefix="0" xfId="0">
      <alignment horizontal="center"/>
    </xf>
    <xf numFmtId="0" fontId="38" fillId="0" borderId="3" applyAlignment="1" pivotButton="0" quotePrefix="0" xfId="0">
      <alignment horizontal="center"/>
    </xf>
    <xf numFmtId="0" fontId="38" fillId="0" borderId="4" applyAlignment="1" pivotButton="0" quotePrefix="0" xfId="0">
      <alignment horizontal="center"/>
    </xf>
    <xf numFmtId="0" fontId="39" fillId="0" borderId="21" applyAlignment="1" pivotButton="0" quotePrefix="0" xfId="0">
      <alignment horizontal="left"/>
    </xf>
    <xf numFmtId="0" fontId="39" fillId="0" borderId="17" applyAlignment="1" pivotButton="0" quotePrefix="0" xfId="0">
      <alignment horizontal="left"/>
    </xf>
    <xf numFmtId="0" fontId="39" fillId="0" borderId="22" applyAlignment="1" pivotButton="0" quotePrefix="0" xfId="0">
      <alignment horizontal="left"/>
    </xf>
    <xf numFmtId="0" fontId="39" fillId="0" borderId="0" pivotButton="0" quotePrefix="0" xfId="0"/>
    <xf numFmtId="0" fontId="39" fillId="0" borderId="7" pivotButton="0" quotePrefix="0" xfId="0"/>
    <xf numFmtId="0" fontId="38" fillId="0" borderId="25" applyAlignment="1" pivotButton="0" quotePrefix="0" xfId="0">
      <alignment horizontal="center"/>
    </xf>
    <xf numFmtId="0" fontId="38" fillId="0" borderId="15" applyAlignment="1" pivotButton="0" quotePrefix="0" xfId="0">
      <alignment horizontal="center"/>
    </xf>
    <xf numFmtId="0" fontId="38" fillId="0" borderId="31" applyAlignment="1" pivotButton="0" quotePrefix="0" xfId="0">
      <alignment horizontal="center"/>
    </xf>
    <xf numFmtId="0" fontId="0" fillId="0" borderId="39" pivotButton="0" quotePrefix="0" xfId="0"/>
    <xf numFmtId="0" fontId="14" fillId="0" borderId="11" applyAlignment="1" pivotButton="0" quotePrefix="0" xfId="0">
      <alignment horizontal="center" vertical="top"/>
    </xf>
    <xf numFmtId="0" fontId="14" fillId="0" borderId="5" applyAlignment="1" pivotButton="0" quotePrefix="0" xfId="0">
      <alignment horizontal="left" vertical="top"/>
    </xf>
    <xf numFmtId="3" fontId="3" fillId="0" borderId="11" applyAlignment="1" pivotButton="0" quotePrefix="0" xfId="0">
      <alignment horizontal="center" vertical="center"/>
    </xf>
    <xf numFmtId="0" fontId="0" fillId="0" borderId="10" pivotButton="0" quotePrefix="0" xfId="0"/>
    <xf numFmtId="0" fontId="14" fillId="0" borderId="5" applyAlignment="1" pivotButton="0" quotePrefix="0" xfId="0">
      <alignment horizontal="center" vertical="top"/>
    </xf>
    <xf numFmtId="0" fontId="4" fillId="0" borderId="1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  <xf numFmtId="0" fontId="3" fillId="0" borderId="11" applyAlignment="1" pivotButton="0" quotePrefix="0" xfId="0">
      <alignment horizontal="left" vertical="center"/>
    </xf>
    <xf numFmtId="0" fontId="3" fillId="0" borderId="5" applyAlignment="1" pivotButton="0" quotePrefix="0" xfId="0">
      <alignment horizontal="left" vertical="center"/>
    </xf>
    <xf numFmtId="0" fontId="14" fillId="0" borderId="5" applyAlignment="1" pivotButton="0" quotePrefix="0" xfId="0">
      <alignment horizontal="left" vertical="center"/>
    </xf>
    <xf numFmtId="0" fontId="14" fillId="0" borderId="5" applyAlignment="1" pivotButton="0" quotePrefix="0" xfId="0">
      <alignment vertical="center"/>
    </xf>
    <xf numFmtId="0" fontId="14" fillId="0" borderId="5" applyAlignment="1" pivotButton="0" quotePrefix="0" xfId="0">
      <alignment vertical="top"/>
    </xf>
    <xf numFmtId="0" fontId="0" fillId="0" borderId="41" pivotButton="0" quotePrefix="0" xfId="0"/>
    <xf numFmtId="0" fontId="6" fillId="0" borderId="5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/>
    </xf>
    <xf numFmtId="49" fontId="4" fillId="0" borderId="12" applyAlignment="1" pivotButton="0" quotePrefix="0" xfId="1">
      <alignment horizontal="center"/>
    </xf>
    <xf numFmtId="0" fontId="45" fillId="10" borderId="11" applyAlignment="1" pivotButton="0" quotePrefix="0" xfId="0">
      <alignment horizontal="center" vertical="center"/>
    </xf>
    <xf numFmtId="0" fontId="0" fillId="0" borderId="13" pivotButton="0" quotePrefix="0" xfId="0"/>
    <xf numFmtId="0" fontId="3" fillId="11" borderId="5" applyAlignment="1" pivotButton="0" quotePrefix="0" xfId="6">
      <alignment horizontal="center" vertical="center"/>
    </xf>
    <xf numFmtId="0" fontId="45" fillId="10" borderId="12" applyAlignment="1" pivotButton="0" quotePrefix="0" xfId="0">
      <alignment horizontal="center" vertical="center"/>
    </xf>
    <xf numFmtId="0" fontId="35" fillId="0" borderId="12" applyAlignment="1" pivotButton="0" quotePrefix="0" xfId="0">
      <alignment horizontal="center" vertical="center"/>
    </xf>
    <xf numFmtId="0" fontId="16" fillId="5" borderId="12" applyAlignment="1" pivotButton="0" quotePrefix="0" xfId="0">
      <alignment horizontal="center" vertical="center"/>
    </xf>
    <xf numFmtId="0" fontId="22" fillId="5" borderId="12" applyAlignment="1" pivotButton="0" quotePrefix="0" xfId="0">
      <alignment horizontal="center" vertical="center"/>
    </xf>
    <xf numFmtId="0" fontId="16" fillId="5" borderId="12" applyAlignment="1" pivotButton="0" quotePrefix="0" xfId="0">
      <alignment horizontal="center"/>
    </xf>
    <xf numFmtId="0" fontId="0" fillId="0" borderId="45" pivotButton="0" quotePrefix="0" xfId="0"/>
    <xf numFmtId="0" fontId="30" fillId="5" borderId="12" applyAlignment="1" pivotButton="0" quotePrefix="0" xfId="0">
      <alignment horizontal="center" vertical="center"/>
    </xf>
    <xf numFmtId="0" fontId="33" fillId="5" borderId="12" applyAlignment="1" pivotButton="0" quotePrefix="0" xfId="0">
      <alignment horizontal="center" vertical="center"/>
    </xf>
    <xf numFmtId="0" fontId="30" fillId="5" borderId="12" applyAlignment="1" pivotButton="0" quotePrefix="0" xfId="0">
      <alignment horizontal="center"/>
    </xf>
    <xf numFmtId="0" fontId="32" fillId="5" borderId="12" applyAlignment="1" pivotButton="0" quotePrefix="0" xfId="0">
      <alignment horizontal="center" vertical="center"/>
    </xf>
    <xf numFmtId="0" fontId="15" fillId="7" borderId="12" applyAlignment="1" pivotButton="0" quotePrefix="0" xfId="0">
      <alignment horizontal="center" vertical="center"/>
    </xf>
    <xf numFmtId="0" fontId="15" fillId="6" borderId="12" applyAlignment="1" pivotButton="0" quotePrefix="0" xfId="0">
      <alignment horizontal="center" vertical="center"/>
    </xf>
    <xf numFmtId="0" fontId="15" fillId="2" borderId="12" applyAlignment="1" pivotButton="0" quotePrefix="0" xfId="0">
      <alignment horizontal="center" vertical="center"/>
    </xf>
    <xf numFmtId="164" fontId="22" fillId="7" borderId="12" applyAlignment="1" pivotButton="0" quotePrefix="0" xfId="0">
      <alignment horizontal="center" vertical="center"/>
    </xf>
    <xf numFmtId="164" fontId="31" fillId="8" borderId="12" applyAlignment="1" pivotButton="0" quotePrefix="0" xfId="0">
      <alignment horizontal="left" vertical="center" indent="1"/>
    </xf>
    <xf numFmtId="0" fontId="0" fillId="0" borderId="12" applyAlignment="1" pivotButton="0" quotePrefix="0" xfId="0">
      <alignment horizontal="center"/>
    </xf>
    <xf numFmtId="164" fontId="31" fillId="6" borderId="12" applyAlignment="1" pivotButton="0" quotePrefix="0" xfId="0">
      <alignment horizontal="left" vertical="center" indent="1"/>
    </xf>
    <xf numFmtId="164" fontId="31" fillId="6" borderId="12" applyAlignment="1" pivotButton="0" quotePrefix="0" xfId="0">
      <alignment horizontal="left" vertical="center"/>
    </xf>
    <xf numFmtId="0" fontId="0" fillId="0" borderId="12" pivotButton="0" quotePrefix="0" xfId="0"/>
    <xf numFmtId="0" fontId="39" fillId="0" borderId="12" applyAlignment="1" pivotButton="0" quotePrefix="0" xfId="0">
      <alignment horizontal="center"/>
    </xf>
    <xf numFmtId="0" fontId="39" fillId="0" borderId="12" applyAlignment="1" pivotButton="0" quotePrefix="0" xfId="0">
      <alignment horizontal="center" vertical="center"/>
    </xf>
    <xf numFmtId="49" fontId="39" fillId="0" borderId="5" applyAlignment="1" pivotButton="0" quotePrefix="0" xfId="0">
      <alignment horizontal="center" vertical="center"/>
    </xf>
    <xf numFmtId="0" fontId="39" fillId="0" borderId="12" pivotButton="0" quotePrefix="0" xfId="0"/>
    <xf numFmtId="0" fontId="0" fillId="0" borderId="27" pivotButton="0" quotePrefix="0" xfId="0"/>
    <xf numFmtId="0" fontId="0" fillId="0" borderId="28" pivotButton="0" quotePrefix="0" xfId="0"/>
    <xf numFmtId="0" fontId="39" fillId="0" borderId="5" applyAlignment="1" pivotButton="0" quotePrefix="0" xfId="0">
      <alignment horizontal="right"/>
    </xf>
    <xf numFmtId="0" fontId="39" fillId="0" borderId="47" applyAlignment="1" pivotButton="0" quotePrefix="0" xfId="0">
      <alignment horizontal="center"/>
    </xf>
    <xf numFmtId="0" fontId="0" fillId="0" borderId="34" pivotButton="0" quotePrefix="0" xfId="0"/>
    <xf numFmtId="0" fontId="39" fillId="0" borderId="47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38" pivotButton="0" quotePrefix="0" xfId="0"/>
    <xf numFmtId="0" fontId="0" fillId="0" borderId="23" pivotButton="0" quotePrefix="0" xfId="0"/>
    <xf numFmtId="0" fontId="0" fillId="0" borderId="17" pivotButton="0" quotePrefix="0" xfId="0"/>
    <xf numFmtId="0" fontId="0" fillId="0" borderId="22" pivotButton="0" quotePrefix="0" xfId="0"/>
    <xf numFmtId="0" fontId="39" fillId="0" borderId="19" applyAlignment="1" pivotButton="0" quotePrefix="0" xfId="0">
      <alignment horizontal="left"/>
    </xf>
    <xf numFmtId="0" fontId="0" fillId="0" borderId="36" pivotButton="0" quotePrefix="0" xfId="0"/>
    <xf numFmtId="0" fontId="0" fillId="0" borderId="37" pivotButton="0" quotePrefix="0" xfId="0"/>
    <xf numFmtId="0" fontId="38" fillId="0" borderId="1" applyAlignment="1" pivotButton="0" quotePrefix="0" xfId="0">
      <alignment horizontal="center"/>
    </xf>
    <xf numFmtId="0" fontId="38" fillId="0" borderId="11" applyAlignment="1" pivotButton="0" quotePrefix="0" xfId="0">
      <alignment horizontal="center"/>
    </xf>
  </cellXfs>
  <cellStyles count="8">
    <cellStyle name="ปกติ" xfId="0" builtinId="0"/>
    <cellStyle name="Normal 2" xfId="1"/>
    <cellStyle name="ปกติ 2" xfId="2"/>
    <cellStyle name="ปกติ 3" xfId="3"/>
    <cellStyle name="Hyperlink 2" xfId="4"/>
    <cellStyle name="เครื่องหมายสกุลเงิน 2" xfId="5"/>
    <cellStyle name="ปกติ 2 2" xfId="6"/>
    <cellStyle name="จุลภาค" xfId="7" builtinId="3"/>
  </cellStyles>
  <dxfs count="2">
    <dxf>
      <fill>
        <patternFill>
          <bgColor theme="0" tint="-0.0499893185216834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9" defaultPivotStyle="PivotStyleLight16">
    <tableStyle name="CustomTableStyle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43"/>
  <sheetViews>
    <sheetView view="pageBreakPreview" topLeftCell="A47" zoomScaleNormal="115" zoomScaleSheetLayoutView="100" workbookViewId="0">
      <selection activeCell="A86" sqref="A86:G86"/>
    </sheetView>
  </sheetViews>
  <sheetFormatPr baseColWidth="8" defaultColWidth="9.109375" defaultRowHeight="18"/>
  <cols>
    <col width="3.33203125" customWidth="1" style="8" min="1" max="1"/>
    <col width="5" customWidth="1" style="8" min="2" max="2"/>
    <col width="3.6640625" customWidth="1" style="8" min="3" max="3"/>
    <col width="11.5546875" customWidth="1" style="8" min="4" max="4"/>
    <col width="6.5546875" customWidth="1" style="8" min="5" max="5"/>
    <col width="3.44140625" customWidth="1" style="8" min="6" max="6"/>
    <col width="11.88671875" customWidth="1" style="8" min="7" max="7"/>
    <col width="10.44140625" customWidth="1" style="8" min="8" max="8"/>
    <col width="16.109375" customWidth="1" style="249" min="9" max="9"/>
    <col width="4.44140625" customWidth="1" style="8" min="10" max="10"/>
    <col width="6.5546875" customWidth="1" style="8" min="11" max="11"/>
    <col width="6.6640625" customWidth="1" style="8" min="12" max="13"/>
    <col width="8.6640625" customWidth="1" style="8" min="14" max="14"/>
    <col width="9.5546875" customWidth="1" style="8" min="15" max="15"/>
    <col width="6.6640625" customWidth="1" style="8" min="16" max="17"/>
    <col width="8.6640625" customWidth="1" style="8" min="18" max="18"/>
    <col width="9.6640625" customWidth="1" style="8" min="19" max="19"/>
    <col width="8.6640625" customWidth="1" style="8" min="20" max="20"/>
    <col width="3" customWidth="1" style="8" min="21" max="21"/>
    <col width="8.6640625" customWidth="1" style="8" min="22" max="22"/>
    <col width="3" customWidth="1" style="8" min="23" max="23"/>
    <col width="8.6640625" customWidth="1" style="8" min="24" max="24"/>
    <col width="3" customWidth="1" style="8" min="25" max="25"/>
    <col width="8.6640625" customWidth="1" style="8" min="26" max="26"/>
    <col width="3" customWidth="1" style="8" min="27" max="27"/>
    <col width="9.109375" customWidth="1" style="8" min="28" max="16384"/>
  </cols>
  <sheetData>
    <row r="1" ht="22.2" customHeight="1" s="330">
      <c r="A1" s="254" t="inlineStr">
        <is>
          <t>ใบเบิกจ่ายเงินค่าสอนพิเศษและค่าสอนเกินภาระงานสอนในสถานศึกษา</t>
        </is>
      </c>
      <c r="Z1" s="261" t="n"/>
      <c r="AA1" s="261" t="n"/>
    </row>
    <row r="2" ht="22.2" customHeight="1" s="330">
      <c r="A2" s="254" t="inlineStr">
        <is>
          <t>แผนกวิชายานยนต์ไฟฟ้า</t>
        </is>
      </c>
      <c r="Y2" s="331" t="n"/>
      <c r="Z2" s="260" t="inlineStr">
        <is>
          <t>ลำดับ</t>
        </is>
      </c>
      <c r="AA2" s="362" t="n"/>
      <c r="AB2" s="257" t="inlineStr">
        <is>
          <t>รายชื่อ</t>
        </is>
      </c>
      <c r="AC2" s="467" t="n"/>
      <c r="AD2" s="467" t="n"/>
      <c r="AE2" s="260" t="inlineStr">
        <is>
          <t>รวม ชม./ ส.</t>
        </is>
      </c>
      <c r="AF2" s="467" t="n"/>
      <c r="AG2" s="362" t="n"/>
      <c r="AH2" s="260" t="inlineStr">
        <is>
          <t>รวม ค่าสอน / สัปดาห์</t>
        </is>
      </c>
      <c r="AI2" s="467" t="n"/>
      <c r="AJ2" s="362" t="n"/>
    </row>
    <row r="3" ht="22.2" customHeight="1" s="330">
      <c r="A3" s="253" t="inlineStr">
        <is>
          <t xml:space="preserve">    ระหว่างวันที่</t>
        </is>
      </c>
      <c r="D3" s="254" t="n">
        <v>27</v>
      </c>
      <c r="E3" s="254" t="inlineStr">
        <is>
          <t xml:space="preserve">   เดือน  </t>
        </is>
      </c>
      <c r="F3" s="254" t="inlineStr">
        <is>
          <t>พฤศจิกายน</t>
        </is>
      </c>
      <c r="H3" s="254" t="inlineStr">
        <is>
          <t>พ.ศ. 2566</t>
        </is>
      </c>
      <c r="I3" s="254" t="inlineStr">
        <is>
          <t xml:space="preserve">     ถึง วันที่</t>
        </is>
      </c>
      <c r="J3" s="254" t="n">
        <v>1</v>
      </c>
      <c r="K3" s="254" t="inlineStr">
        <is>
          <t xml:space="preserve">   เดือน </t>
        </is>
      </c>
      <c r="L3" s="254" t="inlineStr">
        <is>
          <t>ธันวาคม</t>
        </is>
      </c>
      <c r="N3" s="254" t="inlineStr">
        <is>
          <t>พ.ศ. 2566</t>
        </is>
      </c>
      <c r="P3" s="254" t="n"/>
      <c r="R3" s="254" t="n"/>
      <c r="Y3" s="331" t="n"/>
      <c r="Z3" s="468" t="n">
        <v>1</v>
      </c>
      <c r="AA3" s="335" t="n"/>
      <c r="AB3" s="469" t="inlineStr">
        <is>
          <t>นายอาทิตย์  แก้วแดง</t>
        </is>
      </c>
      <c r="AD3" s="331" t="n"/>
      <c r="AE3" s="275">
        <f>H36</f>
        <v/>
      </c>
      <c r="AF3" s="334" t="n"/>
      <c r="AG3" s="335" t="n"/>
      <c r="AH3" s="470">
        <f>P36</f>
        <v/>
      </c>
      <c r="AI3" s="334" t="n"/>
      <c r="AJ3" s="335" t="n"/>
    </row>
    <row r="4" ht="22.2" customHeight="1" s="330">
      <c r="G4" s="58" t="inlineStr">
        <is>
          <t>ü</t>
        </is>
      </c>
      <c r="H4" s="290" t="inlineStr">
        <is>
          <t>ครู</t>
        </is>
      </c>
      <c r="I4" s="249" t="inlineStr">
        <is>
          <t>หน้าที่พิเศษ</t>
        </is>
      </c>
      <c r="J4" s="261" t="inlineStr">
        <is>
          <t>หัวหน้าแผนกยานยนต์ไฟฟ้า</t>
        </is>
      </c>
      <c r="K4" s="471" t="n"/>
      <c r="L4" s="471" t="n"/>
      <c r="M4" s="471" t="n"/>
      <c r="N4" s="471" t="n"/>
      <c r="Y4" s="331" t="n"/>
      <c r="Z4" s="472" t="n">
        <v>2</v>
      </c>
      <c r="AA4" s="331" t="n"/>
      <c r="AB4" s="240" t="n"/>
      <c r="AE4" s="252">
        <f>H82</f>
        <v/>
      </c>
      <c r="AG4" s="331" t="n"/>
      <c r="AH4" s="251">
        <f>P82</f>
        <v/>
      </c>
      <c r="AJ4" s="331" t="n"/>
    </row>
    <row r="5" ht="22.2" customHeight="1" s="330">
      <c r="A5" s="28" t="inlineStr">
        <is>
          <t>ที่</t>
        </is>
      </c>
      <c r="B5" s="28" t="inlineStr">
        <is>
          <t>ชื่อ-สกุล</t>
        </is>
      </c>
      <c r="C5" s="334" t="n"/>
      <c r="D5" s="335" t="n"/>
      <c r="E5" s="16" t="inlineStr">
        <is>
          <t>ตำแหน่ง</t>
        </is>
      </c>
      <c r="F5" s="17" t="inlineStr">
        <is>
          <t>ระยะเวลาที่สอน</t>
        </is>
      </c>
      <c r="G5" s="362" t="n"/>
      <c r="H5" s="17" t="inlineStr">
        <is>
          <t>รหัสวิชา</t>
        </is>
      </c>
      <c r="I5" s="275" t="inlineStr">
        <is>
          <t>ชั้น,แผนก,ห้อง</t>
        </is>
      </c>
      <c r="J5" s="17" t="inlineStr">
        <is>
          <t>เวลาสอน</t>
        </is>
      </c>
      <c r="K5" s="335" t="n"/>
      <c r="L5" s="17" t="inlineStr">
        <is>
          <t>ปวช.(คาบ)</t>
        </is>
      </c>
      <c r="M5" s="362" t="n"/>
      <c r="N5" s="244" t="inlineStr">
        <is>
          <t>เงิน</t>
        </is>
      </c>
      <c r="O5" s="275" t="inlineStr">
        <is>
          <t>ยอดเงิน</t>
        </is>
      </c>
      <c r="P5" s="473" t="inlineStr">
        <is>
          <t>ปวส.(คาบ)</t>
        </is>
      </c>
      <c r="Q5" s="362" t="n"/>
      <c r="R5" s="244" t="inlineStr">
        <is>
          <t>เงิน</t>
        </is>
      </c>
      <c r="S5" s="275" t="inlineStr">
        <is>
          <t>ยอดเงิน</t>
        </is>
      </c>
      <c r="V5" s="240" t="n"/>
      <c r="Y5" s="331" t="n"/>
      <c r="Z5" s="472" t="n">
        <v>3</v>
      </c>
      <c r="AA5" s="331" t="n"/>
      <c r="AB5" s="240" t="n"/>
      <c r="AE5" s="252">
        <f>H128</f>
        <v/>
      </c>
      <c r="AG5" s="331" t="n"/>
      <c r="AH5" s="251">
        <f>P128</f>
        <v/>
      </c>
      <c r="AJ5" s="331" t="n"/>
    </row>
    <row r="6" ht="22.2" customHeight="1" s="330">
      <c r="A6" s="60" t="n"/>
      <c r="B6" s="9" t="n"/>
      <c r="C6" s="10" t="n"/>
      <c r="D6" s="14" t="n"/>
      <c r="E6" s="11" t="n"/>
      <c r="F6" s="276" t="inlineStr">
        <is>
          <t>ส.</t>
        </is>
      </c>
      <c r="G6" s="276" t="inlineStr">
        <is>
          <t>วดป.</t>
        </is>
      </c>
      <c r="H6" s="474" t="n"/>
      <c r="I6" s="276" t="n"/>
      <c r="J6" s="475" t="n"/>
      <c r="K6" s="476" t="n"/>
      <c r="L6" s="276" t="inlineStr">
        <is>
          <t>ใน</t>
        </is>
      </c>
      <c r="M6" s="276" t="inlineStr">
        <is>
          <t>นอก</t>
        </is>
      </c>
      <c r="N6" s="276" t="inlineStr">
        <is>
          <t>ต่อ ชม.</t>
        </is>
      </c>
      <c r="O6" s="276" t="inlineStr">
        <is>
          <t>(บาท)</t>
        </is>
      </c>
      <c r="P6" s="60" t="inlineStr">
        <is>
          <t>ใน</t>
        </is>
      </c>
      <c r="Q6" s="60" t="inlineStr">
        <is>
          <t>นอก</t>
        </is>
      </c>
      <c r="R6" s="276" t="inlineStr">
        <is>
          <t>ต่อ ชม.</t>
        </is>
      </c>
      <c r="S6" s="276" t="inlineStr">
        <is>
          <t>(บาท)</t>
        </is>
      </c>
      <c r="Y6" s="331" t="n"/>
      <c r="Z6" s="472" t="n">
        <v>4</v>
      </c>
      <c r="AA6" s="331" t="n"/>
      <c r="AB6" s="241" t="n"/>
      <c r="AD6" s="331" t="n"/>
      <c r="AE6" s="252">
        <f>H174</f>
        <v/>
      </c>
      <c r="AG6" s="331" t="n"/>
      <c r="AH6" s="251">
        <f>P174</f>
        <v/>
      </c>
      <c r="AJ6" s="331" t="n"/>
    </row>
    <row r="7" ht="22.2" customHeight="1" s="330">
      <c r="A7" s="275" t="n">
        <v>1</v>
      </c>
      <c r="B7" s="477">
        <f>AB3</f>
        <v/>
      </c>
      <c r="C7" s="334" t="n"/>
      <c r="D7" s="335" t="n"/>
      <c r="E7" s="275" t="inlineStr">
        <is>
          <t>ครู</t>
        </is>
      </c>
      <c r="F7" s="6" t="n">
        <v>7</v>
      </c>
      <c r="G7" s="303" t="inlineStr">
        <is>
          <t>จันทร์</t>
        </is>
      </c>
      <c r="H7" s="332" t="inlineStr">
        <is>
          <t>30101-2607</t>
        </is>
      </c>
      <c r="I7" s="325" t="inlineStr">
        <is>
          <t>ปวส.2/5 สยฟ. (ม.6)</t>
        </is>
      </c>
      <c r="J7" s="332" t="inlineStr">
        <is>
          <t>08.10-12.10</t>
        </is>
      </c>
      <c r="K7" s="335" t="n"/>
      <c r="L7" s="265" t="n"/>
      <c r="M7" s="332" t="n"/>
      <c r="N7" s="332" t="n"/>
      <c r="O7" s="244">
        <f>M7*N7</f>
        <v/>
      </c>
      <c r="P7" s="332" t="n"/>
      <c r="Q7" s="265" t="n">
        <v>4</v>
      </c>
      <c r="R7" s="332" t="n">
        <v>270</v>
      </c>
      <c r="S7" s="244">
        <f>Q7*R7</f>
        <v/>
      </c>
      <c r="Y7" s="3" t="n"/>
      <c r="Z7" s="472" t="n">
        <v>5</v>
      </c>
      <c r="AA7" s="331" t="n"/>
      <c r="AB7" s="241" t="n"/>
      <c r="AD7" s="331" t="n"/>
      <c r="AE7" s="252">
        <f>H220</f>
        <v/>
      </c>
      <c r="AG7" s="331" t="n"/>
      <c r="AH7" s="251">
        <f>P220</f>
        <v/>
      </c>
      <c r="AJ7" s="331" t="n"/>
    </row>
    <row r="8" ht="22.2" customHeight="1" s="330">
      <c r="A8" s="4" t="n"/>
      <c r="B8" s="478" t="n"/>
      <c r="D8" s="331" t="n"/>
      <c r="E8" s="252" t="n"/>
      <c r="F8" s="249" t="n"/>
      <c r="G8" s="74" t="inlineStr">
        <is>
          <t>27 พ.ย.66</t>
        </is>
      </c>
      <c r="H8" s="325" t="inlineStr">
        <is>
          <t>30143-2005</t>
        </is>
      </c>
      <c r="I8" s="325" t="inlineStr">
        <is>
          <t>ปวส.1/2 สยฟ. (ทวิ)</t>
        </is>
      </c>
      <c r="J8" s="325" t="inlineStr">
        <is>
          <t>14.10-19.10</t>
        </is>
      </c>
      <c r="K8" s="331" t="n"/>
      <c r="L8" s="252" t="n"/>
      <c r="M8" s="252" t="n"/>
      <c r="N8" s="252" t="n"/>
      <c r="O8" s="244">
        <f>M8*N8</f>
        <v/>
      </c>
      <c r="P8" s="252" t="n">
        <v>5</v>
      </c>
      <c r="Q8" s="252" t="n"/>
      <c r="R8" s="252" t="n"/>
      <c r="S8" s="244">
        <f>Q8*R8</f>
        <v/>
      </c>
      <c r="Z8" s="472" t="n">
        <v>6</v>
      </c>
      <c r="AA8" s="331" t="n"/>
      <c r="AB8" s="469" t="n"/>
      <c r="AD8" s="331" t="n"/>
      <c r="AE8" s="252">
        <f>H266</f>
        <v/>
      </c>
      <c r="AG8" s="331" t="n"/>
      <c r="AH8" s="251">
        <f>P266</f>
        <v/>
      </c>
      <c r="AJ8" s="331" t="n"/>
    </row>
    <row r="9" ht="22.2" customHeight="1" s="330">
      <c r="A9" s="4" t="n"/>
      <c r="B9" s="5" t="n"/>
      <c r="D9" s="3" t="n"/>
      <c r="E9" s="3" t="n"/>
      <c r="F9" s="249" t="n"/>
      <c r="G9" s="248" t="n"/>
      <c r="H9" s="325" t="n"/>
      <c r="I9" s="325" t="n"/>
      <c r="J9" s="325" t="n"/>
      <c r="K9" s="331" t="n"/>
      <c r="L9" s="252" t="n"/>
      <c r="M9" s="252" t="n"/>
      <c r="N9" s="252" t="n"/>
      <c r="O9" s="244">
        <f>M9*N9</f>
        <v/>
      </c>
      <c r="P9" s="252" t="n"/>
      <c r="Q9" s="252" t="n"/>
      <c r="R9" s="252" t="n"/>
      <c r="S9" s="244">
        <f>Q9*R9</f>
        <v/>
      </c>
      <c r="T9" s="287" t="inlineStr">
        <is>
          <t>สอน ป.ตรี</t>
        </is>
      </c>
      <c r="Y9" s="71" t="n"/>
      <c r="Z9" s="472" t="n">
        <v>7</v>
      </c>
      <c r="AA9" s="331" t="n"/>
      <c r="AB9" s="469" t="n"/>
      <c r="AD9" s="331" t="n"/>
      <c r="AE9" s="252">
        <f>H312</f>
        <v/>
      </c>
      <c r="AG9" s="331" t="n"/>
      <c r="AH9" s="251">
        <f>P312</f>
        <v/>
      </c>
      <c r="AJ9" s="331" t="n"/>
    </row>
    <row r="10" ht="22.2" customHeight="1" s="330">
      <c r="A10" s="4" t="n"/>
      <c r="B10" s="5" t="n"/>
      <c r="E10" s="4" t="n"/>
      <c r="F10" s="249" t="n"/>
      <c r="G10" s="248" t="n"/>
      <c r="H10" s="252" t="n"/>
      <c r="I10" s="252" t="n"/>
      <c r="J10" s="252" t="n"/>
      <c r="K10" s="331" t="n"/>
      <c r="L10" s="252" t="n"/>
      <c r="M10" s="252" t="n"/>
      <c r="N10" s="252" t="n"/>
      <c r="O10" s="244">
        <f>M10*N10</f>
        <v/>
      </c>
      <c r="P10" s="252" t="n"/>
      <c r="Q10" s="252" t="n"/>
      <c r="R10" s="252" t="n"/>
      <c r="S10" s="244">
        <f>Q10*R10</f>
        <v/>
      </c>
      <c r="T10" s="24" t="n"/>
      <c r="U10" s="24" t="inlineStr">
        <is>
          <t>19.10-20.10</t>
        </is>
      </c>
      <c r="V10" s="65" t="n"/>
      <c r="W10" s="24" t="n"/>
      <c r="X10" s="24" t="n"/>
      <c r="Y10" s="72" t="n"/>
      <c r="Z10" s="472" t="n">
        <v>8</v>
      </c>
      <c r="AA10" s="331" t="n"/>
      <c r="AB10" s="469" t="n"/>
      <c r="AD10" s="331" t="n"/>
      <c r="AE10" s="252">
        <f>H358</f>
        <v/>
      </c>
      <c r="AG10" s="331" t="n"/>
      <c r="AH10" s="251">
        <f>P358</f>
        <v/>
      </c>
      <c r="AJ10" s="331" t="n"/>
    </row>
    <row r="11" ht="22.2" customHeight="1" s="330">
      <c r="A11" s="4" t="n"/>
      <c r="D11" s="70" t="n"/>
      <c r="E11" s="4" t="n"/>
      <c r="G11" s="311" t="n"/>
      <c r="H11" s="276" t="n"/>
      <c r="I11" s="276" t="n"/>
      <c r="J11" s="276" t="n"/>
      <c r="K11" s="476" t="n"/>
      <c r="L11" s="252" t="n"/>
      <c r="M11" s="252" t="n"/>
      <c r="N11" s="252" t="n"/>
      <c r="O11" s="244">
        <f>M11*N11</f>
        <v/>
      </c>
      <c r="P11" s="252" t="n"/>
      <c r="Q11" s="252" t="n"/>
      <c r="R11" s="252" t="n"/>
      <c r="S11" s="244">
        <f>Q11*R11</f>
        <v/>
      </c>
      <c r="W11" s="72" t="n"/>
      <c r="X11" s="72" t="n"/>
      <c r="Y11" s="290" t="n"/>
      <c r="Z11" s="472" t="n">
        <v>9</v>
      </c>
      <c r="AA11" s="331" t="n"/>
      <c r="AB11" s="479" t="n"/>
      <c r="AD11" s="331" t="n"/>
      <c r="AE11" s="252">
        <f>H404</f>
        <v/>
      </c>
      <c r="AG11" s="331" t="n"/>
      <c r="AH11" s="251">
        <f>P404</f>
        <v/>
      </c>
      <c r="AJ11" s="331" t="n"/>
    </row>
    <row r="12" ht="22.2" customHeight="1" s="330">
      <c r="A12" s="4" t="n"/>
      <c r="E12" s="4" t="n"/>
      <c r="G12" s="62" t="inlineStr">
        <is>
          <t>อังคาร</t>
        </is>
      </c>
      <c r="H12" s="325" t="n"/>
      <c r="I12" s="325" t="n"/>
      <c r="J12" s="332" t="n"/>
      <c r="K12" s="335" t="n"/>
      <c r="L12" s="265" t="n"/>
      <c r="M12" s="332" t="n"/>
      <c r="N12" s="332" t="n"/>
      <c r="O12" s="244">
        <f>M12*N12</f>
        <v/>
      </c>
      <c r="P12" s="332" t="n"/>
      <c r="Q12" s="265" t="n"/>
      <c r="R12" s="332" t="n"/>
      <c r="S12" s="244">
        <f>Q12*R12</f>
        <v/>
      </c>
      <c r="W12" s="71" t="n"/>
      <c r="X12" s="71" t="n"/>
      <c r="Y12" s="71" t="n"/>
      <c r="Z12" s="472" t="n">
        <v>10</v>
      </c>
      <c r="AA12" s="331" t="n"/>
      <c r="AB12" s="469" t="n"/>
      <c r="AD12" s="331" t="n"/>
      <c r="AE12" s="251">
        <f>H450</f>
        <v/>
      </c>
      <c r="AG12" s="331" t="n"/>
      <c r="AH12" s="251">
        <f>P450</f>
        <v/>
      </c>
      <c r="AJ12" s="331" t="n"/>
    </row>
    <row r="13" ht="22.2" customHeight="1" s="330">
      <c r="A13" s="4" t="n"/>
      <c r="E13" s="4" t="n"/>
      <c r="G13" s="74" t="inlineStr">
        <is>
          <t>28 พ.ย.66</t>
        </is>
      </c>
      <c r="H13" s="325" t="n"/>
      <c r="I13" s="325" t="n"/>
      <c r="J13" s="252" t="n"/>
      <c r="K13" s="331" t="n"/>
      <c r="L13" s="252" t="n"/>
      <c r="M13" s="252" t="n"/>
      <c r="N13" s="252" t="n"/>
      <c r="O13" s="244">
        <f>M13*N13</f>
        <v/>
      </c>
      <c r="P13" s="252" t="n"/>
      <c r="Q13" s="252" t="n"/>
      <c r="R13" s="252" t="n"/>
      <c r="S13" s="244">
        <f>Q13*R13</f>
        <v/>
      </c>
      <c r="W13" s="71" t="n"/>
      <c r="X13" s="71" t="n"/>
      <c r="Y13" s="71" t="n"/>
      <c r="Z13" s="472" t="n">
        <v>11</v>
      </c>
      <c r="AA13" s="331" t="n"/>
      <c r="AB13" s="240" t="n"/>
      <c r="AE13" s="251">
        <f>H496</f>
        <v/>
      </c>
      <c r="AG13" s="331" t="n"/>
      <c r="AH13" s="251">
        <f>P496</f>
        <v/>
      </c>
      <c r="AJ13" s="331" t="n"/>
    </row>
    <row r="14" ht="22.2" customHeight="1" s="330">
      <c r="A14" s="4" t="n"/>
      <c r="B14" s="5" t="n"/>
      <c r="D14" s="3" t="n"/>
      <c r="E14" s="3" t="n"/>
      <c r="G14" s="252" t="n"/>
      <c r="H14" s="252" t="n"/>
      <c r="I14" s="325" t="n"/>
      <c r="J14" s="252" t="n"/>
      <c r="K14" s="331" t="n"/>
      <c r="L14" s="252" t="n"/>
      <c r="M14" s="252" t="n"/>
      <c r="N14" s="252" t="n"/>
      <c r="O14" s="244">
        <f>M14*N14</f>
        <v/>
      </c>
      <c r="P14" s="252" t="n"/>
      <c r="Q14" s="252" t="n"/>
      <c r="R14" s="252" t="n"/>
      <c r="S14" s="244">
        <f>Q14*R14</f>
        <v/>
      </c>
      <c r="Y14" s="71" t="n"/>
      <c r="Z14" s="472" t="n">
        <v>12</v>
      </c>
      <c r="AA14" s="331" t="n"/>
      <c r="AB14" s="240" t="n"/>
      <c r="AE14" s="251">
        <f>H542</f>
        <v/>
      </c>
      <c r="AG14" s="331" t="n"/>
      <c r="AH14" s="251">
        <f>P542</f>
        <v/>
      </c>
      <c r="AJ14" s="331" t="n"/>
    </row>
    <row r="15" ht="22.2" customHeight="1" s="330">
      <c r="A15" s="4" t="n"/>
      <c r="E15" s="4" t="n"/>
      <c r="G15" s="62" t="n"/>
      <c r="H15" s="249" t="n"/>
      <c r="I15" s="252" t="n"/>
      <c r="J15" s="252" t="n"/>
      <c r="K15" s="331" t="n"/>
      <c r="L15" s="252" t="n"/>
      <c r="M15" s="252" t="n"/>
      <c r="N15" s="252" t="n"/>
      <c r="O15" s="244">
        <f>M15*N15</f>
        <v/>
      </c>
      <c r="P15" s="252" t="n"/>
      <c r="Q15" s="252" t="n"/>
      <c r="R15" s="252" t="n"/>
      <c r="S15" s="244">
        <f>Q15*R15</f>
        <v/>
      </c>
      <c r="W15" s="71" t="n"/>
      <c r="X15" s="71" t="n"/>
      <c r="Y15" s="71" t="n"/>
      <c r="Z15" s="472" t="n">
        <v>13</v>
      </c>
      <c r="AA15" s="331" t="n"/>
      <c r="AB15" s="480" t="n"/>
      <c r="AD15" s="331" t="n"/>
      <c r="AE15" s="251">
        <f>H588</f>
        <v/>
      </c>
      <c r="AG15" s="331" t="n"/>
      <c r="AH15" s="251">
        <f>P588</f>
        <v/>
      </c>
      <c r="AJ15" s="331" t="n"/>
    </row>
    <row r="16" ht="22.2" customHeight="1" s="330">
      <c r="A16" s="4" t="n"/>
      <c r="D16" s="8" t="inlineStr">
        <is>
          <t> </t>
        </is>
      </c>
      <c r="E16" s="4" t="n"/>
      <c r="G16" s="63" t="n"/>
      <c r="H16" s="276" t="n"/>
      <c r="I16" s="276" t="n"/>
      <c r="J16" s="276" t="n"/>
      <c r="K16" s="476" t="n"/>
      <c r="L16" s="252" t="n"/>
      <c r="M16" s="252" t="n"/>
      <c r="N16" s="252" t="n"/>
      <c r="O16" s="244">
        <f>M16*N16</f>
        <v/>
      </c>
      <c r="P16" s="252" t="n"/>
      <c r="Q16" s="252" t="n"/>
      <c r="R16" s="252" t="n"/>
      <c r="S16" s="244">
        <f>Q16*R16</f>
        <v/>
      </c>
      <c r="Y16" s="71" t="n"/>
      <c r="Z16" s="472" t="n">
        <v>14</v>
      </c>
      <c r="AA16" s="331" t="n"/>
      <c r="AB16" s="480" t="n"/>
      <c r="AD16" s="331" t="n"/>
      <c r="AE16" s="251">
        <f>H634</f>
        <v/>
      </c>
      <c r="AG16" s="331" t="n"/>
      <c r="AH16" s="251">
        <f>P634</f>
        <v/>
      </c>
      <c r="AJ16" s="331" t="n"/>
    </row>
    <row r="17" ht="22.2" customHeight="1" s="330">
      <c r="A17" s="4" t="n"/>
      <c r="E17" s="4" t="n"/>
      <c r="G17" s="308" t="inlineStr">
        <is>
          <t>พุธ</t>
        </is>
      </c>
      <c r="H17" s="325" t="inlineStr">
        <is>
          <t>30143-2004</t>
        </is>
      </c>
      <c r="I17" s="325" t="inlineStr">
        <is>
          <t>ปวส.1/1 สยฟ. (ทวิ)</t>
        </is>
      </c>
      <c r="J17" s="332" t="inlineStr">
        <is>
          <t>08.10-12.10</t>
        </is>
      </c>
      <c r="K17" s="335" t="n"/>
      <c r="L17" s="265" t="n"/>
      <c r="M17" s="332" t="n"/>
      <c r="N17" s="332" t="n"/>
      <c r="O17" s="244">
        <f>M17*N17</f>
        <v/>
      </c>
      <c r="P17" s="332" t="n"/>
      <c r="Q17" s="265" t="n">
        <v>4</v>
      </c>
      <c r="R17" s="332" t="n">
        <v>270</v>
      </c>
      <c r="S17" s="244">
        <f>Q17*R17</f>
        <v/>
      </c>
      <c r="Y17" s="71" t="n"/>
      <c r="Z17" s="472" t="n">
        <v>15</v>
      </c>
      <c r="AA17" s="331" t="n"/>
      <c r="AB17" s="469" t="n"/>
      <c r="AD17" s="331" t="n"/>
      <c r="AE17" s="251">
        <f>H680</f>
        <v/>
      </c>
      <c r="AG17" s="331" t="n"/>
      <c r="AH17" s="251">
        <f>P680</f>
        <v/>
      </c>
      <c r="AJ17" s="331" t="n"/>
    </row>
    <row r="18" ht="22.2" customHeight="1" s="330">
      <c r="A18" s="4" t="n"/>
      <c r="B18" s="248" t="n"/>
      <c r="C18" s="249" t="n"/>
      <c r="D18" s="249" t="n"/>
      <c r="E18" s="252" t="n"/>
      <c r="G18" s="74" t="inlineStr">
        <is>
          <t>29 พ.ย.66</t>
        </is>
      </c>
      <c r="H18" s="325" t="inlineStr">
        <is>
          <t>30143-2004</t>
        </is>
      </c>
      <c r="I18" s="325" t="inlineStr">
        <is>
          <t>ปวส.1/1 สยฟ. (ทวิ)</t>
        </is>
      </c>
      <c r="J18" s="252" t="inlineStr">
        <is>
          <t>13.10-14.10</t>
        </is>
      </c>
      <c r="K18" s="331" t="n"/>
      <c r="L18" s="252" t="n"/>
      <c r="M18" s="252" t="n"/>
      <c r="N18" s="252" t="n"/>
      <c r="O18" s="244">
        <f>M18*N18</f>
        <v/>
      </c>
      <c r="P18" s="252" t="n">
        <v>1</v>
      </c>
      <c r="Q18" s="252" t="n"/>
      <c r="R18" s="252" t="n"/>
      <c r="S18" s="244">
        <f>Q18*R18</f>
        <v/>
      </c>
      <c r="W18" s="71" t="n"/>
      <c r="X18" s="71" t="n"/>
      <c r="Z18" s="472" t="n">
        <v>16</v>
      </c>
      <c r="AA18" s="331" t="n"/>
      <c r="AB18" s="469" t="n"/>
      <c r="AD18" s="331" t="n"/>
      <c r="AE18" s="251">
        <f>H726</f>
        <v/>
      </c>
      <c r="AG18" s="331" t="n"/>
      <c r="AH18" s="251">
        <f>P726</f>
        <v/>
      </c>
      <c r="AJ18" s="331" t="n"/>
    </row>
    <row r="19" ht="22.2" customHeight="1" s="330">
      <c r="A19" s="4" t="n"/>
      <c r="B19" s="5" t="n"/>
      <c r="D19" s="3" t="n"/>
      <c r="E19" s="3" t="n"/>
      <c r="G19" s="252" t="n"/>
      <c r="H19" s="325" t="inlineStr">
        <is>
          <t>30143-2004</t>
        </is>
      </c>
      <c r="I19" s="325" t="inlineStr">
        <is>
          <t>ปวส.1/2 สยฟ. (ทวิ)</t>
        </is>
      </c>
      <c r="J19" s="325" t="inlineStr">
        <is>
          <t>14.10-19.10</t>
        </is>
      </c>
      <c r="K19" s="331" t="n"/>
      <c r="L19" s="252" t="n"/>
      <c r="M19" s="252" t="n"/>
      <c r="N19" s="252" t="n"/>
      <c r="O19" s="244">
        <f>M19*N19</f>
        <v/>
      </c>
      <c r="P19" s="252" t="n">
        <v>5</v>
      </c>
      <c r="Q19" s="252" t="n"/>
      <c r="R19" s="252" t="n"/>
      <c r="S19" s="244">
        <f>Q19*R19</f>
        <v/>
      </c>
      <c r="T19" s="287" t="inlineStr">
        <is>
          <t>สอน ป.ตรี</t>
        </is>
      </c>
      <c r="Z19" s="472" t="n">
        <v>17</v>
      </c>
      <c r="AA19" s="331" t="n"/>
      <c r="AB19" s="479" t="n"/>
      <c r="AD19" s="331" t="n"/>
      <c r="AE19" s="251">
        <f>H772</f>
        <v/>
      </c>
      <c r="AG19" s="331" t="n"/>
      <c r="AH19" s="251">
        <f>P772</f>
        <v/>
      </c>
      <c r="AJ19" s="331" t="n"/>
    </row>
    <row r="20" ht="22.2" customHeight="1" s="330">
      <c r="A20" s="4" t="n"/>
      <c r="E20" s="4" t="n"/>
      <c r="G20" s="248" t="n"/>
      <c r="H20" s="252" t="n"/>
      <c r="I20" s="325" t="n"/>
      <c r="J20" s="252" t="n"/>
      <c r="K20" s="331" t="n"/>
      <c r="L20" s="252" t="n"/>
      <c r="M20" s="252" t="n"/>
      <c r="N20" s="252" t="n"/>
      <c r="O20" s="244">
        <f>M20*N20</f>
        <v/>
      </c>
      <c r="P20" s="252" t="n"/>
      <c r="Q20" s="252" t="n"/>
      <c r="R20" s="252" t="n"/>
      <c r="S20" s="244">
        <f>Q20*R20</f>
        <v/>
      </c>
      <c r="T20" s="24" t="n"/>
      <c r="U20" s="24" t="inlineStr">
        <is>
          <t>19.10-20.10</t>
        </is>
      </c>
      <c r="V20" s="65" t="n"/>
      <c r="W20" s="24" t="n"/>
      <c r="X20" s="24" t="n"/>
      <c r="Y20" s="249" t="n"/>
      <c r="Z20" s="472" t="n">
        <v>18</v>
      </c>
      <c r="AA20" s="331" t="n"/>
      <c r="AB20" s="479" t="n"/>
      <c r="AD20" s="331" t="n"/>
      <c r="AE20" s="251">
        <f>H818</f>
        <v/>
      </c>
      <c r="AG20" s="331" t="n"/>
      <c r="AH20" s="251">
        <f>P818</f>
        <v/>
      </c>
      <c r="AJ20" s="331" t="n"/>
    </row>
    <row r="21" ht="22.2" customHeight="1" s="330">
      <c r="A21" s="4" t="n"/>
      <c r="E21" s="4" t="n"/>
      <c r="G21" s="277" t="n"/>
      <c r="H21" s="277" t="n"/>
      <c r="I21" s="276" t="n"/>
      <c r="J21" s="276" t="n"/>
      <c r="K21" s="476" t="n"/>
      <c r="L21" s="276" t="n"/>
      <c r="M21" s="276" t="n"/>
      <c r="N21" s="276" t="n"/>
      <c r="O21" s="244">
        <f>M21*N21</f>
        <v/>
      </c>
      <c r="P21" s="276" t="n"/>
      <c r="Q21" s="276" t="n"/>
      <c r="R21" s="276" t="n"/>
      <c r="S21" s="244">
        <f>Q21*R21</f>
        <v/>
      </c>
      <c r="Y21" s="249" t="n"/>
      <c r="Z21" s="472" t="n">
        <v>19</v>
      </c>
      <c r="AA21" s="331" t="n"/>
      <c r="AB21" s="469" t="n"/>
      <c r="AD21" s="331" t="n"/>
      <c r="AE21" s="251">
        <f>H864</f>
        <v/>
      </c>
      <c r="AG21" s="331" t="n"/>
      <c r="AH21" s="251">
        <f>P864</f>
        <v/>
      </c>
      <c r="AJ21" s="331" t="n"/>
    </row>
    <row r="22" ht="22.2" customHeight="1" s="330">
      <c r="A22" s="4" t="n"/>
      <c r="E22" s="4" t="n"/>
      <c r="G22" s="62" t="inlineStr">
        <is>
          <t>พฤหัส</t>
        </is>
      </c>
      <c r="H22" s="325" t="inlineStr">
        <is>
          <t>30101-2607</t>
        </is>
      </c>
      <c r="I22" s="325" t="inlineStr">
        <is>
          <t>ปวส. 2/6 สยฟ. (ม.6)</t>
        </is>
      </c>
      <c r="J22" s="332" t="inlineStr">
        <is>
          <t>08.10-12.10</t>
        </is>
      </c>
      <c r="K22" s="335" t="n"/>
      <c r="L22" s="252" t="n"/>
      <c r="M22" s="252" t="n"/>
      <c r="N22" s="252" t="n"/>
      <c r="O22" s="244">
        <f>M22*N22</f>
        <v/>
      </c>
      <c r="P22" s="252" t="n"/>
      <c r="Q22" s="275" t="n">
        <v>4</v>
      </c>
      <c r="R22" s="275" t="n">
        <v>270</v>
      </c>
      <c r="S22" s="244">
        <f>Q22*R22</f>
        <v/>
      </c>
      <c r="Y22" s="249" t="n"/>
      <c r="Z22" s="472" t="n">
        <v>20</v>
      </c>
      <c r="AA22" s="331" t="n"/>
      <c r="AB22" s="469" t="n"/>
      <c r="AD22" s="331" t="n"/>
      <c r="AE22" s="251">
        <f>H910</f>
        <v/>
      </c>
      <c r="AG22" s="331" t="n"/>
      <c r="AH22" s="251">
        <f>P910</f>
        <v/>
      </c>
      <c r="AJ22" s="331" t="n"/>
    </row>
    <row r="23" ht="22.2" customHeight="1" s="330">
      <c r="A23" s="4" t="n"/>
      <c r="E23" s="4" t="n"/>
      <c r="G23" s="74" t="inlineStr">
        <is>
          <t>30 พ.ย.66</t>
        </is>
      </c>
      <c r="H23" s="325" t="inlineStr">
        <is>
          <t>30000-2002</t>
        </is>
      </c>
      <c r="I23" s="325" t="inlineStr">
        <is>
          <t>ปวส.1/1,2 สยฟ. (ทวิ)</t>
        </is>
      </c>
      <c r="J23" s="252" t="inlineStr">
        <is>
          <t>13.10-15.10</t>
        </is>
      </c>
      <c r="K23" s="331" t="n"/>
      <c r="L23" s="252" t="n"/>
      <c r="M23" s="252" t="n"/>
      <c r="N23" s="252" t="n"/>
      <c r="O23" s="244">
        <f>M23*N23</f>
        <v/>
      </c>
      <c r="P23" s="252" t="n">
        <v>2</v>
      </c>
      <c r="Q23" s="252" t="n"/>
      <c r="R23" s="252" t="n"/>
      <c r="S23" s="244">
        <f>Q23*R23</f>
        <v/>
      </c>
      <c r="U23" s="249" t="n"/>
      <c r="V23" s="249" t="n"/>
      <c r="W23" s="249" t="n"/>
      <c r="X23" s="249" t="n"/>
      <c r="Y23" s="249" t="n"/>
      <c r="Z23" s="472" t="n">
        <v>21</v>
      </c>
      <c r="AA23" s="331" t="n"/>
      <c r="AB23" s="469" t="n"/>
      <c r="AD23" s="331" t="n"/>
      <c r="AE23" s="251">
        <f>H956</f>
        <v/>
      </c>
      <c r="AG23" s="331" t="n"/>
      <c r="AH23" s="251">
        <f>P956</f>
        <v/>
      </c>
      <c r="AJ23" s="331" t="n"/>
    </row>
    <row r="24" ht="22.2" customHeight="1" s="330">
      <c r="A24" s="4" t="n"/>
      <c r="B24" s="5" t="n"/>
      <c r="E24" s="4" t="n"/>
      <c r="G24" s="252" t="n"/>
      <c r="H24" s="325" t="n"/>
      <c r="I24" s="325" t="n"/>
      <c r="J24" s="252" t="n"/>
      <c r="K24" s="331" t="n"/>
      <c r="L24" s="325" t="n"/>
      <c r="M24" s="325" t="n"/>
      <c r="N24" s="325" t="n"/>
      <c r="O24" s="244">
        <f>M24*N24</f>
        <v/>
      </c>
      <c r="P24" s="325" t="n"/>
      <c r="Q24" s="325" t="n"/>
      <c r="R24" s="325" t="n"/>
      <c r="S24" s="244">
        <f>Q24*R24</f>
        <v/>
      </c>
      <c r="T24" s="25" t="n"/>
      <c r="U24" s="26" t="inlineStr">
        <is>
          <t xml:space="preserve">     PLC</t>
        </is>
      </c>
      <c r="V24" s="64" t="n"/>
      <c r="W24" s="27" t="n"/>
      <c r="X24" s="27" t="n"/>
      <c r="Y24" s="249" t="n"/>
      <c r="Z24" s="472" t="n">
        <v>22</v>
      </c>
      <c r="AA24" s="331" t="n"/>
      <c r="AB24" s="469" t="n"/>
      <c r="AD24" s="331" t="n"/>
      <c r="AE24" s="251">
        <f>H1002</f>
        <v/>
      </c>
      <c r="AG24" s="331" t="n"/>
      <c r="AH24" s="251">
        <f>P1002</f>
        <v/>
      </c>
      <c r="AJ24" s="331" t="n"/>
    </row>
    <row r="25" ht="22.2" customHeight="1" s="330">
      <c r="A25" s="4" t="n"/>
      <c r="E25" s="4" t="n"/>
      <c r="G25" s="252" t="n"/>
      <c r="H25" s="252" t="n"/>
      <c r="I25" s="252" t="n"/>
      <c r="J25" s="252" t="n"/>
      <c r="K25" s="331" t="n"/>
      <c r="L25" s="252" t="n"/>
      <c r="M25" s="252" t="n"/>
      <c r="N25" s="252" t="n"/>
      <c r="O25" s="244">
        <f>M25*N25</f>
        <v/>
      </c>
      <c r="P25" s="252" t="n"/>
      <c r="Q25" s="252" t="n"/>
      <c r="R25" s="252" t="n"/>
      <c r="S25" s="244">
        <f>Q25*R25</f>
        <v/>
      </c>
      <c r="T25" s="27" t="inlineStr">
        <is>
          <t> </t>
        </is>
      </c>
      <c r="U25" s="26" t="inlineStr">
        <is>
          <t>17.10-19.10</t>
        </is>
      </c>
      <c r="V25" s="64" t="n"/>
      <c r="W25" s="27" t="n"/>
      <c r="X25" s="27" t="n"/>
      <c r="Y25" s="249" t="n"/>
      <c r="Z25" s="472" t="n">
        <v>23</v>
      </c>
      <c r="AA25" s="331" t="n"/>
      <c r="AB25" s="469" t="n"/>
      <c r="AD25" s="331" t="n"/>
      <c r="AE25" s="251">
        <f>H1048</f>
        <v/>
      </c>
      <c r="AG25" s="331" t="n"/>
      <c r="AH25" s="251">
        <f>P1048</f>
        <v/>
      </c>
      <c r="AJ25" s="331" t="n"/>
    </row>
    <row r="26" ht="22.2" customHeight="1" s="330">
      <c r="A26" s="4" t="n"/>
      <c r="E26" s="4" t="n"/>
      <c r="G26" s="276" t="n"/>
      <c r="H26" s="301" t="n"/>
      <c r="I26" s="276" t="n"/>
      <c r="J26" s="276" t="n"/>
      <c r="K26" s="476" t="n"/>
      <c r="L26" s="276" t="n"/>
      <c r="M26" s="276" t="n"/>
      <c r="N26" s="276" t="n"/>
      <c r="O26" s="244">
        <f>M26*N26</f>
        <v/>
      </c>
      <c r="P26" s="276" t="n"/>
      <c r="Q26" s="276" t="n"/>
      <c r="R26" s="276" t="n"/>
      <c r="S26" s="244">
        <f>Q26*R26</f>
        <v/>
      </c>
      <c r="T26" s="249" t="n"/>
      <c r="U26" s="249" t="n"/>
      <c r="V26" s="249" t="n"/>
      <c r="W26" s="249" t="n"/>
      <c r="X26" s="249" t="n"/>
      <c r="Y26" s="249" t="n"/>
      <c r="Z26" s="472" t="n">
        <v>24</v>
      </c>
      <c r="AA26" s="331" t="n"/>
      <c r="AB26" s="481" t="n"/>
      <c r="AD26" s="331" t="n"/>
      <c r="AE26" s="251">
        <f>H1094</f>
        <v/>
      </c>
      <c r="AG26" s="331" t="n"/>
      <c r="AH26" s="251">
        <f>P1094</f>
        <v/>
      </c>
      <c r="AJ26" s="331" t="n"/>
    </row>
    <row r="27" ht="22.2" customHeight="1" s="330">
      <c r="A27" s="4" t="n"/>
      <c r="E27" s="4" t="n"/>
      <c r="G27" s="62" t="inlineStr">
        <is>
          <t>ศุกร์</t>
        </is>
      </c>
      <c r="H27" s="325" t="inlineStr">
        <is>
          <t>30143-2005</t>
        </is>
      </c>
      <c r="I27" s="325" t="inlineStr">
        <is>
          <t>ปวส.1/1 สยฟ. (ทวิ)</t>
        </is>
      </c>
      <c r="J27" s="332" t="inlineStr">
        <is>
          <t>08.10-12.10</t>
        </is>
      </c>
      <c r="K27" s="335" t="n"/>
      <c r="L27" s="265" t="n"/>
      <c r="M27" s="252" t="n"/>
      <c r="N27" s="252" t="n"/>
      <c r="O27" s="244">
        <f>M27*N27</f>
        <v/>
      </c>
      <c r="P27" s="332" t="n">
        <v>4</v>
      </c>
      <c r="Q27" s="265" t="n"/>
      <c r="R27" s="332" t="n"/>
      <c r="S27" s="244">
        <f>Q27*R27</f>
        <v/>
      </c>
      <c r="W27" s="249" t="n"/>
      <c r="X27" s="249" t="n"/>
      <c r="Y27" s="249" t="n"/>
      <c r="Z27" s="252" t="n">
        <v>25</v>
      </c>
      <c r="AA27" s="331" t="n"/>
      <c r="AB27" s="481" t="n"/>
      <c r="AD27" s="331" t="n"/>
      <c r="AE27" s="251">
        <f>H1140</f>
        <v/>
      </c>
      <c r="AG27" s="331" t="n"/>
      <c r="AH27" s="251">
        <f>P1140</f>
        <v/>
      </c>
      <c r="AJ27" s="331" t="n"/>
    </row>
    <row r="28" ht="22.2" customHeight="1" s="330">
      <c r="A28" s="4" t="n"/>
      <c r="E28" s="4" t="n"/>
      <c r="G28" s="74" t="inlineStr">
        <is>
          <t>1 ธ.ค.66</t>
        </is>
      </c>
      <c r="H28" s="325" t="inlineStr">
        <is>
          <t>30143-2005</t>
        </is>
      </c>
      <c r="I28" s="325" t="inlineStr">
        <is>
          <t>ปวส.1/1 สยฟ. (ทวิ)</t>
        </is>
      </c>
      <c r="J28" s="252" t="inlineStr">
        <is>
          <t>13.10-14.10</t>
        </is>
      </c>
      <c r="K28" s="331" t="n"/>
      <c r="L28" s="252" t="n"/>
      <c r="M28" s="252" t="n"/>
      <c r="N28" s="252" t="n"/>
      <c r="O28" s="244">
        <f>M28*N28</f>
        <v/>
      </c>
      <c r="P28" s="252" t="n">
        <v>1</v>
      </c>
      <c r="Q28" s="252" t="n"/>
      <c r="R28" s="252" t="n"/>
      <c r="S28" s="244">
        <f>Q28*R28</f>
        <v/>
      </c>
      <c r="T28" s="249" t="n"/>
      <c r="U28" s="249" t="n"/>
      <c r="V28" s="249" t="n"/>
      <c r="W28" s="249" t="n"/>
      <c r="X28" s="249" t="n"/>
      <c r="Y28" s="250" t="n"/>
      <c r="Z28" s="252" t="n">
        <v>26</v>
      </c>
      <c r="AA28" s="331" t="n"/>
      <c r="AB28" s="469" t="n"/>
      <c r="AD28" s="331" t="n"/>
      <c r="AE28" s="251">
        <f>H1186</f>
        <v/>
      </c>
      <c r="AG28" s="331" t="n"/>
      <c r="AH28" s="251">
        <f>P1186</f>
        <v/>
      </c>
      <c r="AJ28" s="331" t="n"/>
    </row>
    <row r="29" ht="22.2" customHeight="1" s="330">
      <c r="A29" s="4" t="n"/>
      <c r="E29" s="4" t="n"/>
      <c r="G29" s="252" t="n"/>
      <c r="H29" s="252" t="n"/>
      <c r="I29" s="252" t="n"/>
      <c r="J29" s="252" t="n"/>
      <c r="K29" s="331" t="n"/>
      <c r="L29" s="252" t="n"/>
      <c r="M29" s="252" t="n"/>
      <c r="N29" s="252" t="n"/>
      <c r="O29" s="244">
        <f>M29*N29</f>
        <v/>
      </c>
      <c r="P29" s="252" t="n"/>
      <c r="Q29" s="252" t="n"/>
      <c r="R29" s="252" t="n"/>
      <c r="S29" s="244">
        <f>Q29*R29</f>
        <v/>
      </c>
      <c r="T29" s="7" t="n"/>
      <c r="U29" s="23" t="inlineStr">
        <is>
          <t>เบิก ธุรการ</t>
        </is>
      </c>
      <c r="V29" s="66" t="n"/>
      <c r="W29" s="22" t="n"/>
      <c r="X29" s="22" t="n"/>
      <c r="Y29" s="3" t="n"/>
      <c r="Z29" s="276" t="n">
        <v>27</v>
      </c>
      <c r="AA29" s="476" t="n"/>
      <c r="AB29" s="469" t="n"/>
      <c r="AD29" s="331" t="n"/>
      <c r="AE29" s="251">
        <f>H1232</f>
        <v/>
      </c>
      <c r="AG29" s="331" t="n"/>
      <c r="AH29" s="251">
        <f>P1232</f>
        <v/>
      </c>
      <c r="AJ29" s="331" t="n"/>
    </row>
    <row r="30" ht="22.2" customHeight="1" s="330">
      <c r="A30" s="4" t="n"/>
      <c r="E30" s="4" t="n"/>
      <c r="G30" s="252" t="n"/>
      <c r="H30" s="252" t="n"/>
      <c r="I30" s="252" t="n"/>
      <c r="J30" s="252" t="n"/>
      <c r="K30" s="331" t="n"/>
      <c r="L30" s="252" t="n"/>
      <c r="M30" s="252" t="n"/>
      <c r="N30" s="252" t="n"/>
      <c r="O30" s="244">
        <f>M30*N30</f>
        <v/>
      </c>
      <c r="P30" s="252" t="n"/>
      <c r="Q30" s="252" t="n"/>
      <c r="R30" s="252" t="n"/>
      <c r="S30" s="244">
        <f>Q30*R30</f>
        <v/>
      </c>
      <c r="T30" s="22" t="inlineStr">
        <is>
          <t> </t>
        </is>
      </c>
      <c r="U30" s="23" t="inlineStr">
        <is>
          <t>16.10-19.10</t>
        </is>
      </c>
      <c r="V30" s="66" t="n"/>
      <c r="W30" s="22" t="n"/>
      <c r="X30" s="22" t="n"/>
      <c r="AA30" s="334" t="n"/>
      <c r="AB30" s="334" t="n"/>
      <c r="AC30" s="334" t="n"/>
      <c r="AD30" s="334" t="n"/>
      <c r="AE30" s="334" t="n"/>
      <c r="AF30" s="206" t="n"/>
      <c r="AG30" s="206" t="n"/>
      <c r="AH30" s="206" t="n"/>
      <c r="AI30" s="206" t="n"/>
      <c r="AJ30" s="206" t="n"/>
    </row>
    <row r="31" ht="22.2" customHeight="1" s="330">
      <c r="A31" s="4" t="n"/>
      <c r="E31" s="4" t="n"/>
      <c r="F31" s="4" t="n"/>
      <c r="G31" s="278" t="n"/>
      <c r="H31" s="252" t="n"/>
      <c r="I31" s="252" t="n"/>
      <c r="J31" s="276" t="n"/>
      <c r="K31" s="476" t="n"/>
      <c r="L31" s="276" t="n"/>
      <c r="M31" s="276" t="n"/>
      <c r="N31" s="276" t="n"/>
      <c r="O31" s="244">
        <f>M31*N31</f>
        <v/>
      </c>
      <c r="P31" s="276" t="n"/>
      <c r="Q31" s="276" t="n"/>
      <c r="R31" s="276" t="n"/>
      <c r="S31" s="244">
        <f>Q31*R31</f>
        <v/>
      </c>
    </row>
    <row r="32" ht="22.2" customHeight="1" s="330">
      <c r="A32" s="4" t="n"/>
      <c r="E32" s="4" t="n"/>
      <c r="F32" s="4" t="n"/>
      <c r="G32" s="17" t="inlineStr">
        <is>
          <t>รวมขั่วโมงที่สอนแยก ภาระงาน/ เกินภาระงาน</t>
        </is>
      </c>
      <c r="H32" s="467" t="n"/>
      <c r="I32" s="467" t="n"/>
      <c r="J32" s="467" t="n"/>
      <c r="K32" s="362" t="n"/>
      <c r="L32" s="17">
        <f>SUM(L7:L31)</f>
        <v/>
      </c>
      <c r="M32" s="17">
        <f>SUM(M7:M31)</f>
        <v/>
      </c>
      <c r="N32" s="17" t="n"/>
      <c r="O32" s="17" t="n"/>
      <c r="P32" s="17">
        <f>SUM(P7:P31)</f>
        <v/>
      </c>
      <c r="Q32" s="17">
        <f>SUM(Q7:Q31)</f>
        <v/>
      </c>
      <c r="R32" s="279" t="n"/>
      <c r="S32" s="17" t="n"/>
    </row>
    <row r="33" ht="22.2" customHeight="1" s="330">
      <c r="A33" s="4" t="n"/>
      <c r="E33" s="4" t="n"/>
      <c r="F33" s="4" t="n"/>
      <c r="G33" s="17" t="inlineStr">
        <is>
          <t>รวมจำนวนชั่วโมงสอนคาบต่อสับดาห์</t>
        </is>
      </c>
      <c r="H33" s="467" t="n"/>
      <c r="I33" s="467" t="n"/>
      <c r="J33" s="467" t="n"/>
      <c r="K33" s="362" t="n"/>
      <c r="L33" s="17">
        <f>L32+M32</f>
        <v/>
      </c>
      <c r="M33" s="362" t="n"/>
      <c r="N33" s="17" t="n"/>
      <c r="O33" s="298" t="n"/>
      <c r="P33" s="17">
        <f>P32+Q32</f>
        <v/>
      </c>
      <c r="Q33" s="362" t="n"/>
      <c r="R33" s="278" t="n"/>
      <c r="S33" s="276" t="n"/>
    </row>
    <row r="34" ht="22.2" customHeight="1" s="330">
      <c r="A34" s="4" t="n"/>
      <c r="E34" s="4" t="n"/>
      <c r="F34" s="4" t="n"/>
      <c r="G34" s="17" t="inlineStr">
        <is>
          <t>จำนวนชั่วโมงสอนตามภาระงานสอน</t>
        </is>
      </c>
      <c r="H34" s="467" t="n"/>
      <c r="I34" s="467" t="n"/>
      <c r="J34" s="467" t="n"/>
      <c r="K34" s="362" t="n"/>
      <c r="L34" s="153" t="inlineStr">
        <is>
          <t>0</t>
        </is>
      </c>
      <c r="M34" s="362" t="n"/>
      <c r="N34" s="153" t="n"/>
      <c r="O34" s="152" t="n"/>
      <c r="P34" s="153" t="inlineStr">
        <is>
          <t>10</t>
        </is>
      </c>
      <c r="Q34" s="362" t="n"/>
      <c r="R34" s="249" t="n"/>
      <c r="S34" s="252" t="n"/>
    </row>
    <row r="35" ht="22.2" customHeight="1" s="330" thickBot="1">
      <c r="A35" s="4" t="n"/>
      <c r="E35" s="4" t="n"/>
      <c r="F35" s="15" t="n"/>
      <c r="G35" s="17" t="inlineStr">
        <is>
          <t>จำนวนชั่วโมงบิกเกินภาระงานสอน/ค่าสอน</t>
        </is>
      </c>
      <c r="H35" s="467" t="n"/>
      <c r="I35" s="467" t="n"/>
      <c r="J35" s="467" t="n"/>
      <c r="K35" s="362" t="n"/>
      <c r="L35" s="18" t="n">
        <v>0</v>
      </c>
      <c r="M35" s="18">
        <f>SUM(M7:M31)</f>
        <v/>
      </c>
      <c r="N35" s="18" t="n"/>
      <c r="O35" s="18">
        <f>SUM(O7:O31)</f>
        <v/>
      </c>
      <c r="P35" s="18" t="n">
        <v>0</v>
      </c>
      <c r="Q35" s="18">
        <f>SUM(Q7:Q31)</f>
        <v/>
      </c>
      <c r="R35" s="19" t="n"/>
      <c r="S35" s="18">
        <f>SUM(S7:S31)</f>
        <v/>
      </c>
    </row>
    <row r="36" ht="22.2" customHeight="1" s="330" thickTop="1">
      <c r="A36" s="299" t="inlineStr">
        <is>
          <t>รวมจำนวนหน่วยชั่วโมงที่ขอเบิกค่าสอน ….</t>
        </is>
      </c>
      <c r="B36" s="467" t="n"/>
      <c r="C36" s="467" t="n"/>
      <c r="D36" s="467" t="n"/>
      <c r="E36" s="467" t="n"/>
      <c r="F36" s="467" t="n"/>
      <c r="G36" s="467" t="n"/>
      <c r="H36" s="298">
        <f>M35+Q35</f>
        <v/>
      </c>
      <c r="I36" s="298" t="inlineStr">
        <is>
          <t>….ชั่วโมง</t>
        </is>
      </c>
      <c r="J36" s="298" t="n"/>
      <c r="K36" s="301" t="inlineStr">
        <is>
          <t>ยอดเงินรวม</t>
        </is>
      </c>
      <c r="L36" s="471" t="n"/>
      <c r="M36" s="471" t="n"/>
      <c r="N36" s="301" t="n"/>
      <c r="O36" s="301" t="n"/>
      <c r="P36" s="302">
        <f>S35+O35</f>
        <v/>
      </c>
      <c r="Q36" s="482" t="n"/>
      <c r="R36" s="21" t="n"/>
      <c r="S36" s="20" t="inlineStr">
        <is>
          <t>..บาท</t>
        </is>
      </c>
    </row>
    <row r="37" ht="22.2" customHeight="1" s="330">
      <c r="A37" s="207" t="inlineStr">
        <is>
          <t>ผู้ขอเบิก</t>
        </is>
      </c>
      <c r="B37" s="334" t="n"/>
      <c r="C37" s="334" t="n"/>
      <c r="D37" s="334" t="n"/>
      <c r="E37" s="334" t="n"/>
      <c r="F37" s="334" t="n"/>
      <c r="G37" s="335" t="n"/>
      <c r="H37" s="207" t="inlineStr">
        <is>
          <t>ผู้รับรอง</t>
        </is>
      </c>
      <c r="I37" s="334" t="n"/>
      <c r="J37" s="334" t="n"/>
      <c r="K37" s="334" t="n"/>
      <c r="L37" s="335" t="n"/>
      <c r="M37" s="207" t="inlineStr">
        <is>
          <t>ผู้ตรวจ</t>
        </is>
      </c>
      <c r="N37" s="334" t="n"/>
      <c r="O37" s="334" t="n"/>
      <c r="P37" s="334" t="n"/>
      <c r="Q37" s="334" t="n"/>
      <c r="R37" s="334" t="n"/>
      <c r="S37" s="335" t="n"/>
    </row>
    <row r="38" ht="22.2" customHeight="1" s="330">
      <c r="A38" s="252" t="inlineStr">
        <is>
          <t>ลงชื่อ……………………………………………</t>
        </is>
      </c>
      <c r="G38" s="331" t="n"/>
      <c r="H38" s="252" t="inlineStr">
        <is>
          <t>ลงชื่อ……………………………………………</t>
        </is>
      </c>
      <c r="L38" s="331" t="n"/>
      <c r="M38" s="252" t="inlineStr">
        <is>
          <t>ลงชื่อ……………………………………………</t>
        </is>
      </c>
      <c r="S38" s="331" t="n"/>
    </row>
    <row r="39" ht="22.2" customHeight="1" s="330">
      <c r="A39" s="12" t="inlineStr">
        <is>
          <t>(</t>
        </is>
      </c>
      <c r="B39" s="309">
        <f>B7</f>
        <v/>
      </c>
      <c r="G39" s="310" t="inlineStr">
        <is>
          <t>)</t>
        </is>
      </c>
      <c r="H39" s="309" t="inlineStr">
        <is>
          <t>(</t>
        </is>
      </c>
      <c r="I39" s="314" t="inlineStr">
        <is>
          <t xml:space="preserve">       นายอาทิตย์  แก้วแดง</t>
        </is>
      </c>
      <c r="L39" s="13" t="inlineStr">
        <is>
          <t>)</t>
        </is>
      </c>
      <c r="M39" s="61" t="inlineStr">
        <is>
          <t>(</t>
        </is>
      </c>
      <c r="N39" s="61" t="n"/>
      <c r="O39" s="309" t="inlineStr">
        <is>
          <t>นายทศวรรษ  คำสม</t>
        </is>
      </c>
      <c r="R39" s="29" t="n"/>
      <c r="S39" s="310" t="inlineStr">
        <is>
          <t>)</t>
        </is>
      </c>
    </row>
    <row r="40" ht="22.2" customHeight="1" s="330">
      <c r="A40" s="62" t="inlineStr">
        <is>
          <t>ตำแหน่ง  ครู</t>
        </is>
      </c>
      <c r="G40" s="331" t="n"/>
      <c r="H40" s="62" t="inlineStr">
        <is>
          <t>ตำแหน่ง หัวหน้าแผนก</t>
        </is>
      </c>
      <c r="L40" s="331" t="n"/>
      <c r="M40" s="62" t="inlineStr">
        <is>
          <t>ตำแหน่ง   ผู้ตรวจสอบ</t>
        </is>
      </c>
      <c r="S40" s="331" t="n"/>
    </row>
    <row r="41" ht="22.2" customHeight="1" s="330">
      <c r="A41" s="63" t="inlineStr">
        <is>
          <t>วันที่ 4  เดือน ธันวาคม  พ.ศ.2566</t>
        </is>
      </c>
      <c r="B41" s="471" t="n"/>
      <c r="C41" s="471" t="n"/>
      <c r="D41" s="471" t="n"/>
      <c r="E41" s="471" t="n"/>
      <c r="F41" s="471" t="n"/>
      <c r="G41" s="476" t="n"/>
      <c r="H41" s="62">
        <f>A41</f>
        <v/>
      </c>
      <c r="L41" s="331" t="n"/>
      <c r="M41" s="63">
        <f>A41</f>
        <v/>
      </c>
      <c r="N41" s="471" t="n"/>
      <c r="O41" s="471" t="n"/>
      <c r="P41" s="471" t="n"/>
      <c r="Q41" s="471" t="n"/>
      <c r="R41" s="471" t="n"/>
      <c r="S41" s="476" t="n"/>
    </row>
    <row r="42" ht="22.2" customHeight="1" s="330">
      <c r="A42" s="207" t="inlineStr">
        <is>
          <t>ผู้ตรวจ</t>
        </is>
      </c>
      <c r="B42" s="334" t="n"/>
      <c r="C42" s="334" t="n"/>
      <c r="D42" s="334" t="n"/>
      <c r="E42" s="334" t="n"/>
      <c r="F42" s="334" t="n"/>
      <c r="G42" s="334" t="n"/>
      <c r="H42" s="334" t="n"/>
      <c r="I42" s="335" t="n"/>
      <c r="J42" s="207" t="inlineStr">
        <is>
          <t>ผู้เห็นชอบ</t>
        </is>
      </c>
      <c r="K42" s="334" t="n"/>
      <c r="L42" s="334" t="n"/>
      <c r="M42" s="334" t="n"/>
      <c r="N42" s="334" t="n"/>
      <c r="O42" s="334" t="n"/>
      <c r="P42" s="334" t="n"/>
      <c r="Q42" s="334" t="n"/>
      <c r="R42" s="334" t="n"/>
      <c r="S42" s="335" t="n"/>
    </row>
    <row r="43" ht="22.2" customHeight="1" s="330">
      <c r="A43" s="252" t="inlineStr">
        <is>
          <t>ลงชื่อ……………………………………………</t>
        </is>
      </c>
      <c r="I43" s="331" t="n"/>
      <c r="J43" s="252" t="inlineStr">
        <is>
          <t>ลงชื่อ……………………………………………</t>
        </is>
      </c>
      <c r="S43" s="331" t="n"/>
    </row>
    <row r="44" ht="22.2" customHeight="1" s="330">
      <c r="A44" s="12" t="n"/>
      <c r="B44" s="309" t="inlineStr">
        <is>
          <t xml:space="preserve">                     (นายชัยณรงค์  สุขอิ่ม)</t>
        </is>
      </c>
      <c r="I44" s="310" t="n"/>
      <c r="J44" s="29" t="n"/>
      <c r="K44" s="29" t="n"/>
      <c r="L44" s="309" t="inlineStr">
        <is>
          <t xml:space="preserve">            (นายปรีชา  โพธิ์เกิด)</t>
        </is>
      </c>
      <c r="R44" s="29" t="n"/>
      <c r="S44" s="13" t="n"/>
    </row>
    <row r="45" ht="22.2" customHeight="1" s="330">
      <c r="A45" s="62" t="inlineStr">
        <is>
          <t>ตำแหน่งครู  หัวหน้างานพัฒนาหลักสูตร ฯ</t>
        </is>
      </c>
      <c r="I45" s="331" t="n"/>
      <c r="J45" s="62" t="inlineStr">
        <is>
          <t>ตำแหน่ง  รองผู้อำนวยการฝ่ายวิชาการ</t>
        </is>
      </c>
      <c r="S45" s="331" t="n"/>
    </row>
    <row r="46" ht="22.2" customHeight="1" s="330">
      <c r="A46" s="276" t="inlineStr">
        <is>
          <t>วันที่.......เดือน..........................พ.ศ..............</t>
        </is>
      </c>
      <c r="B46" s="471" t="n"/>
      <c r="C46" s="471" t="n"/>
      <c r="D46" s="471" t="n"/>
      <c r="E46" s="471" t="n"/>
      <c r="F46" s="471" t="n"/>
      <c r="G46" s="471" t="n"/>
      <c r="H46" s="471" t="n"/>
      <c r="I46" s="476" t="n"/>
      <c r="J46" s="276" t="inlineStr">
        <is>
          <t>วันที่.......เดือน..........................พ.ศ..............</t>
        </is>
      </c>
      <c r="K46" s="471" t="n"/>
      <c r="L46" s="471" t="n"/>
      <c r="M46" s="471" t="n"/>
      <c r="N46" s="471" t="n"/>
      <c r="O46" s="471" t="n"/>
      <c r="P46" s="471" t="n"/>
      <c r="Q46" s="471" t="n"/>
      <c r="R46" s="471" t="n"/>
      <c r="S46" s="476" t="n"/>
    </row>
    <row r="47" ht="22.2" customHeight="1" s="330">
      <c r="A47" s="254" t="inlineStr">
        <is>
          <t>ใบเบิกจ่ายเงินค่าสอนพิเศษและค่าสอนเกินภาระงานสอนในสถานศึกษา</t>
        </is>
      </c>
      <c r="AB47" s="240" t="n"/>
      <c r="AC47" s="240" t="n"/>
      <c r="AD47" s="240" t="n"/>
    </row>
    <row r="48" ht="22.2" customHeight="1" s="330">
      <c r="A48" s="254">
        <f>A2</f>
        <v/>
      </c>
      <c r="AB48" s="296" t="n"/>
    </row>
    <row r="49" ht="22.2" customHeight="1" s="330">
      <c r="A49" s="253" t="inlineStr">
        <is>
          <t xml:space="preserve">    ระหว่างวันที่</t>
        </is>
      </c>
      <c r="D49" s="254">
        <f>D3</f>
        <v/>
      </c>
      <c r="E49" s="254" t="inlineStr">
        <is>
          <t xml:space="preserve">   เดือน  </t>
        </is>
      </c>
      <c r="F49" s="254">
        <f>F3</f>
        <v/>
      </c>
      <c r="H49" s="254">
        <f>H3</f>
        <v/>
      </c>
      <c r="I49" s="254" t="inlineStr">
        <is>
          <t xml:space="preserve">     ถึง วันที่</t>
        </is>
      </c>
      <c r="J49" s="254">
        <f>J3</f>
        <v/>
      </c>
      <c r="K49" s="254" t="inlineStr">
        <is>
          <t xml:space="preserve">   เดือน </t>
        </is>
      </c>
      <c r="L49" s="254">
        <f>L3</f>
        <v/>
      </c>
      <c r="N49" s="254">
        <f>N3</f>
        <v/>
      </c>
      <c r="P49" s="254" t="n"/>
      <c r="R49" s="254" t="n"/>
      <c r="AB49" s="296" t="n"/>
    </row>
    <row r="50" ht="22.2" customHeight="1" s="330">
      <c r="G50" s="58" t="inlineStr">
        <is>
          <t>ü</t>
        </is>
      </c>
      <c r="H50" s="301" t="inlineStr">
        <is>
          <t>พนง.ราชการ</t>
        </is>
      </c>
      <c r="I50" s="249" t="inlineStr">
        <is>
          <t>หน้าที่พิเศษ</t>
        </is>
      </c>
      <c r="AB50" s="293" t="n"/>
    </row>
    <row r="51" ht="22.2" customHeight="1" s="330">
      <c r="A51" s="28" t="inlineStr">
        <is>
          <t>ที่</t>
        </is>
      </c>
      <c r="B51" s="28" t="inlineStr">
        <is>
          <t>ชื่อ-สกุล</t>
        </is>
      </c>
      <c r="C51" s="334" t="n"/>
      <c r="D51" s="335" t="n"/>
      <c r="E51" s="16" t="inlineStr">
        <is>
          <t>ตำแหน่ง</t>
        </is>
      </c>
      <c r="F51" s="17" t="inlineStr">
        <is>
          <t>ระยะเวลาที่สอน</t>
        </is>
      </c>
      <c r="G51" s="362" t="n"/>
      <c r="H51" s="17" t="inlineStr">
        <is>
          <t>รหัสวิชา</t>
        </is>
      </c>
      <c r="I51" s="275" t="inlineStr">
        <is>
          <t>ชั้น,แผนก,ห้อง</t>
        </is>
      </c>
      <c r="J51" s="17" t="inlineStr">
        <is>
          <t>เวลาสอน</t>
        </is>
      </c>
      <c r="K51" s="335" t="n"/>
      <c r="L51" s="17" t="inlineStr">
        <is>
          <t>ปวช.(คาบ)</t>
        </is>
      </c>
      <c r="M51" s="362" t="n"/>
      <c r="N51" s="275" t="inlineStr">
        <is>
          <t>เงิน</t>
        </is>
      </c>
      <c r="O51" s="275" t="inlineStr">
        <is>
          <t>ยอดเงิน</t>
        </is>
      </c>
      <c r="P51" s="473" t="inlineStr">
        <is>
          <t>ปวส.(คาบ)</t>
        </is>
      </c>
      <c r="Q51" s="362" t="n"/>
      <c r="R51" s="244" t="inlineStr">
        <is>
          <t>เงิน</t>
        </is>
      </c>
      <c r="S51" s="275" t="inlineStr">
        <is>
          <t>ยอดเงิน</t>
        </is>
      </c>
      <c r="AB51" s="296" t="n"/>
    </row>
    <row r="52" ht="22.2" customHeight="1" s="330">
      <c r="A52" s="60" t="n"/>
      <c r="B52" s="9" t="n"/>
      <c r="C52" s="10" t="n"/>
      <c r="D52" s="14" t="n"/>
      <c r="E52" s="11" t="n"/>
      <c r="F52" s="276" t="inlineStr">
        <is>
          <t>ส.</t>
        </is>
      </c>
      <c r="G52" s="276" t="inlineStr">
        <is>
          <t>วดป.</t>
        </is>
      </c>
      <c r="H52" s="474" t="n"/>
      <c r="I52" s="276" t="n"/>
      <c r="J52" s="475" t="n"/>
      <c r="K52" s="476" t="n"/>
      <c r="L52" s="276" t="inlineStr">
        <is>
          <t>ใน</t>
        </is>
      </c>
      <c r="M52" s="276" t="inlineStr">
        <is>
          <t>นอก</t>
        </is>
      </c>
      <c r="N52" s="276" t="inlineStr">
        <is>
          <t>ต่อ ชม.</t>
        </is>
      </c>
      <c r="O52" s="276" t="inlineStr">
        <is>
          <t>(บาท)</t>
        </is>
      </c>
      <c r="P52" s="60" t="inlineStr">
        <is>
          <t>ใน</t>
        </is>
      </c>
      <c r="Q52" s="60" t="inlineStr">
        <is>
          <t>นอก</t>
        </is>
      </c>
      <c r="R52" s="276" t="inlineStr">
        <is>
          <t>ต่อ ชม.</t>
        </is>
      </c>
      <c r="S52" s="276" t="inlineStr">
        <is>
          <t>(บาท)</t>
        </is>
      </c>
    </row>
    <row r="53" ht="22.2" customHeight="1" s="330">
      <c r="A53" s="275" t="n">
        <v>2</v>
      </c>
      <c r="B53" s="477" t="inlineStr">
        <is>
          <t>นางสาวปาจารีย์  กฐินทอง</t>
        </is>
      </c>
      <c r="C53" s="334" t="n"/>
      <c r="D53" s="335" t="n"/>
      <c r="E53" s="275" t="inlineStr">
        <is>
          <t>พนักงาน</t>
        </is>
      </c>
      <c r="F53" s="6">
        <f>F7</f>
        <v/>
      </c>
      <c r="G53" s="303" t="inlineStr">
        <is>
          <t>จันทร์</t>
        </is>
      </c>
      <c r="H53" s="332" t="n"/>
      <c r="I53" s="325" t="n"/>
      <c r="J53" s="332" t="n"/>
      <c r="K53" s="335" t="n"/>
      <c r="L53" s="265" t="n"/>
      <c r="M53" s="332" t="n"/>
      <c r="N53" s="332" t="n"/>
      <c r="O53" s="244">
        <f>M53*N53</f>
        <v/>
      </c>
      <c r="P53" s="332" t="n"/>
      <c r="Q53" s="265" t="n"/>
      <c r="R53" s="332" t="n"/>
      <c r="S53" s="244">
        <f>Q53*R53</f>
        <v/>
      </c>
    </row>
    <row r="54" ht="22.2" customHeight="1" s="330">
      <c r="A54" s="4" t="n"/>
      <c r="B54" s="478" t="n"/>
      <c r="D54" s="331" t="n"/>
      <c r="E54" s="252" t="inlineStr">
        <is>
          <t>ราชการ</t>
        </is>
      </c>
      <c r="F54" s="249" t="n"/>
      <c r="G54" s="308">
        <f>G8</f>
        <v/>
      </c>
      <c r="H54" s="325" t="n"/>
      <c r="I54" s="325" t="n"/>
      <c r="J54" s="252" t="n"/>
      <c r="K54" s="331" t="n"/>
      <c r="L54" s="252" t="n"/>
      <c r="M54" s="252" t="n"/>
      <c r="N54" s="252" t="n"/>
      <c r="O54" s="244">
        <f>M54*N54</f>
        <v/>
      </c>
      <c r="P54" s="252" t="n"/>
      <c r="Q54" s="252" t="n"/>
      <c r="R54" s="325" t="n"/>
      <c r="S54" s="244">
        <f>Q54*R54</f>
        <v/>
      </c>
    </row>
    <row r="55" ht="22.2" customHeight="1" s="330">
      <c r="A55" s="4" t="n"/>
      <c r="B55" s="5" t="n"/>
      <c r="D55" s="3" t="n"/>
      <c r="E55" s="3" t="n"/>
      <c r="F55" s="249" t="n"/>
      <c r="G55" s="248" t="n"/>
      <c r="H55" s="252" t="n"/>
      <c r="I55" s="325" t="n"/>
      <c r="J55" s="325" t="n"/>
      <c r="K55" s="331" t="n"/>
      <c r="L55" s="252" t="n"/>
      <c r="M55" s="252" t="n"/>
      <c r="N55" s="252" t="n"/>
      <c r="O55" s="244">
        <f>M55*N55</f>
        <v/>
      </c>
      <c r="P55" s="252" t="n"/>
      <c r="Q55" s="252" t="n"/>
      <c r="R55" s="252" t="n"/>
      <c r="S55" s="244">
        <f>Q55*R55</f>
        <v/>
      </c>
    </row>
    <row r="56" ht="22.2" customHeight="1" s="330">
      <c r="A56" s="4" t="n"/>
      <c r="B56" s="5" t="n"/>
      <c r="E56" s="4" t="n"/>
      <c r="F56" s="249" t="n"/>
      <c r="G56" s="248" t="n"/>
      <c r="H56" s="1" t="n"/>
      <c r="I56" s="1" t="n"/>
      <c r="J56" s="252" t="n"/>
      <c r="K56" s="331" t="n"/>
      <c r="L56" s="252" t="n"/>
      <c r="M56" s="252" t="n"/>
      <c r="N56" s="252" t="n"/>
      <c r="O56" s="244">
        <f>M56*N56</f>
        <v/>
      </c>
      <c r="P56" s="252" t="n"/>
      <c r="Q56" s="252" t="n"/>
      <c r="R56" s="252" t="n"/>
      <c r="S56" s="244">
        <f>Q56*R56</f>
        <v/>
      </c>
      <c r="Y56" s="71" t="n"/>
      <c r="Z56" s="71" t="n"/>
      <c r="AA56" s="71" t="n"/>
      <c r="AB56" s="71" t="n"/>
    </row>
    <row r="57" ht="22.2" customHeight="1" s="330">
      <c r="A57" s="4" t="n"/>
      <c r="E57" s="4" t="n"/>
      <c r="G57" s="311" t="n"/>
      <c r="H57" s="276" t="n"/>
      <c r="I57" s="276" t="n"/>
      <c r="J57" s="276" t="n"/>
      <c r="K57" s="476" t="n"/>
      <c r="L57" s="252" t="n"/>
      <c r="M57" s="252" t="n"/>
      <c r="N57" s="252" t="n"/>
      <c r="O57" s="244">
        <f>M57*N57</f>
        <v/>
      </c>
      <c r="P57" s="252" t="n"/>
      <c r="Q57" s="252" t="n"/>
      <c r="R57" s="252" t="n"/>
      <c r="S57" s="244">
        <f>Q57*R57</f>
        <v/>
      </c>
      <c r="Y57" s="72" t="n"/>
      <c r="Z57" s="72" t="n"/>
      <c r="AA57" s="72" t="n"/>
      <c r="AB57" s="72" t="n"/>
    </row>
    <row r="58" ht="22.2" customHeight="1" s="330">
      <c r="A58" s="4" t="n"/>
      <c r="E58" s="4" t="n"/>
      <c r="G58" s="62" t="inlineStr">
        <is>
          <t>อังคาร</t>
        </is>
      </c>
      <c r="H58" s="332" t="n"/>
      <c r="I58" s="325" t="n"/>
      <c r="J58" s="332" t="n"/>
      <c r="K58" s="335" t="n"/>
      <c r="L58" s="265" t="n"/>
      <c r="M58" s="332" t="n"/>
      <c r="N58" s="332" t="n"/>
      <c r="O58" s="244">
        <f>M58*N58</f>
        <v/>
      </c>
      <c r="P58" s="332" t="n"/>
      <c r="Q58" s="265" t="n"/>
      <c r="R58" s="332" t="n"/>
      <c r="S58" s="244">
        <f>Q58*R58</f>
        <v/>
      </c>
      <c r="W58" s="72" t="n"/>
      <c r="X58" s="72" t="n"/>
      <c r="Y58" s="290" t="n"/>
      <c r="Z58" s="72" t="n"/>
      <c r="AA58" s="290" t="n"/>
      <c r="AB58" s="72" t="n"/>
    </row>
    <row r="59" ht="22.2" customHeight="1" s="330">
      <c r="A59" s="4" t="n"/>
      <c r="E59" s="4" t="n"/>
      <c r="G59" s="308">
        <f>G13</f>
        <v/>
      </c>
      <c r="H59" s="325" t="n"/>
      <c r="I59" s="325" t="n"/>
      <c r="J59" s="252" t="n"/>
      <c r="K59" s="331" t="n"/>
      <c r="L59" s="252" t="n"/>
      <c r="M59" s="252" t="n"/>
      <c r="N59" s="252" t="n"/>
      <c r="O59" s="244">
        <f>M59*N59</f>
        <v/>
      </c>
      <c r="P59" s="252" t="n"/>
      <c r="Q59" s="252" t="n"/>
      <c r="R59" s="325" t="n"/>
      <c r="S59" s="244">
        <f>Q59*R59</f>
        <v/>
      </c>
      <c r="W59" s="71" t="n"/>
      <c r="X59" s="71" t="n"/>
      <c r="Y59" s="71" t="n"/>
      <c r="Z59" s="72" t="n"/>
      <c r="AA59" s="73" t="n"/>
      <c r="AB59" s="72" t="n"/>
    </row>
    <row r="60" ht="22.2" customHeight="1" s="330">
      <c r="A60" s="4" t="n"/>
      <c r="B60" s="5" t="n"/>
      <c r="D60" s="3" t="n"/>
      <c r="E60" s="3" t="n"/>
      <c r="G60" s="252" t="n"/>
      <c r="H60" s="325" t="n"/>
      <c r="I60" s="325" t="n"/>
      <c r="J60" s="252" t="n"/>
      <c r="K60" s="331" t="n"/>
      <c r="L60" s="252" t="n"/>
      <c r="M60" s="252" t="n"/>
      <c r="N60" s="252" t="n"/>
      <c r="O60" s="244">
        <f>M60*N60</f>
        <v/>
      </c>
      <c r="P60" s="252" t="n"/>
      <c r="Q60" s="252" t="n"/>
      <c r="R60" s="252" t="n"/>
      <c r="S60" s="244">
        <f>Q60*R60</f>
        <v/>
      </c>
      <c r="W60" s="71" t="n"/>
      <c r="X60" s="71" t="n"/>
      <c r="Y60" s="71" t="n"/>
      <c r="Z60" s="72" t="n"/>
      <c r="AA60" s="73" t="n"/>
      <c r="AB60" s="72" t="n"/>
    </row>
    <row r="61" ht="22.2" customHeight="1" s="330">
      <c r="A61" s="4" t="n"/>
      <c r="E61" s="4" t="n"/>
      <c r="G61" s="62" t="n"/>
      <c r="H61" s="249" t="n"/>
      <c r="I61" s="252" t="n"/>
      <c r="J61" s="252" t="n"/>
      <c r="K61" s="331" t="n"/>
      <c r="L61" s="252" t="n"/>
      <c r="M61" s="252" t="n"/>
      <c r="N61" s="252" t="n"/>
      <c r="O61" s="244">
        <f>M61*N61</f>
        <v/>
      </c>
      <c r="P61" s="252" t="n"/>
      <c r="Q61" s="252" t="n"/>
      <c r="R61" s="252" t="n"/>
      <c r="S61" s="244">
        <f>Q61*R61</f>
        <v/>
      </c>
      <c r="T61" s="7" t="n"/>
      <c r="U61" s="23" t="inlineStr">
        <is>
          <t>เบิก ธุรการ</t>
        </is>
      </c>
      <c r="V61" s="66" t="n"/>
      <c r="W61" s="22" t="n"/>
      <c r="X61" s="22" t="n"/>
      <c r="Y61" s="71" t="n"/>
      <c r="Z61" s="72" t="n"/>
      <c r="AA61" s="73" t="n"/>
      <c r="AB61" s="72" t="n"/>
    </row>
    <row r="62" ht="22.2" customHeight="1" s="330">
      <c r="A62" s="4" t="n"/>
      <c r="D62" s="8" t="inlineStr">
        <is>
          <t> </t>
        </is>
      </c>
      <c r="E62" s="4" t="n"/>
      <c r="G62" s="63" t="n"/>
      <c r="H62" s="277" t="n"/>
      <c r="I62" s="276" t="n"/>
      <c r="J62" s="276" t="n"/>
      <c r="K62" s="476" t="n"/>
      <c r="L62" s="252" t="n"/>
      <c r="M62" s="252" t="n"/>
      <c r="N62" s="252" t="n"/>
      <c r="O62" s="244">
        <f>M62*N62</f>
        <v/>
      </c>
      <c r="P62" s="252" t="n"/>
      <c r="Q62" s="252" t="n"/>
      <c r="R62" s="252" t="n"/>
      <c r="S62" s="244">
        <f>Q62*R62</f>
        <v/>
      </c>
      <c r="T62" s="22" t="inlineStr">
        <is>
          <t> </t>
        </is>
      </c>
      <c r="U62" s="23" t="inlineStr">
        <is>
          <t>16.10-19.10</t>
        </is>
      </c>
      <c r="V62" s="66" t="n"/>
      <c r="W62" s="22" t="n"/>
      <c r="X62" s="22" t="n"/>
      <c r="Y62" s="71" t="n"/>
      <c r="Z62" s="71" t="n"/>
      <c r="AA62" s="71" t="n"/>
      <c r="AB62" s="71" t="n"/>
    </row>
    <row r="63" ht="22.2" customHeight="1" s="330">
      <c r="A63" s="4" t="n"/>
      <c r="D63" s="331" t="n"/>
      <c r="E63" s="56" t="n"/>
      <c r="G63" s="207" t="inlineStr">
        <is>
          <t>พุธ</t>
        </is>
      </c>
      <c r="H63" s="286" t="n"/>
      <c r="I63" s="325" t="n"/>
      <c r="J63" s="332" t="n"/>
      <c r="K63" s="335" t="n"/>
      <c r="L63" s="332" t="n"/>
      <c r="M63" s="332" t="n"/>
      <c r="N63" s="332" t="n"/>
      <c r="O63" s="244">
        <f>M63*N63</f>
        <v/>
      </c>
      <c r="P63" s="332" t="n"/>
      <c r="Q63" s="332" t="n"/>
      <c r="R63" s="332" t="n"/>
      <c r="S63" s="244">
        <f>Q63*R63</f>
        <v/>
      </c>
      <c r="Y63" s="71" t="n"/>
      <c r="Z63" s="71" t="n"/>
      <c r="AA63" s="71" t="n"/>
      <c r="AB63" s="71" t="n"/>
    </row>
    <row r="64" ht="22.2" customHeight="1" s="330">
      <c r="A64" s="4" t="n"/>
      <c r="B64" s="248" t="n"/>
      <c r="C64" s="249" t="n"/>
      <c r="D64" s="249" t="n"/>
      <c r="E64" s="252" t="n"/>
      <c r="G64" s="62">
        <f>G18</f>
        <v/>
      </c>
      <c r="H64" s="286" t="n"/>
      <c r="I64" s="325" t="n"/>
      <c r="J64" s="252" t="n"/>
      <c r="K64" s="331" t="n"/>
      <c r="L64" s="252" t="n"/>
      <c r="M64" s="252" t="n"/>
      <c r="N64" s="252" t="n"/>
      <c r="O64" s="244">
        <f>M64*N64</f>
        <v/>
      </c>
      <c r="P64" s="252" t="n"/>
      <c r="Q64" s="252" t="n"/>
      <c r="R64" s="252" t="n"/>
      <c r="S64" s="244">
        <f>Q64*R64</f>
        <v/>
      </c>
      <c r="Y64" s="71" t="n"/>
      <c r="Z64" s="71" t="n"/>
      <c r="AA64" s="71" t="n"/>
      <c r="AB64" s="71" t="n"/>
    </row>
    <row r="65" ht="22.2" customHeight="1" s="330">
      <c r="A65" s="4" t="n"/>
      <c r="B65" s="5" t="n"/>
      <c r="D65" s="3" t="n"/>
      <c r="E65" s="3" t="n"/>
      <c r="G65" s="252" t="n"/>
      <c r="H65" s="325" t="n"/>
      <c r="I65" s="325" t="n"/>
      <c r="J65" s="252" t="n"/>
      <c r="K65" s="331" t="n"/>
      <c r="L65" s="252" t="n"/>
      <c r="M65" s="252" t="n"/>
      <c r="N65" s="252" t="n"/>
      <c r="O65" s="244">
        <f>M65*N65</f>
        <v/>
      </c>
      <c r="P65" s="252" t="n"/>
      <c r="Q65" s="252" t="n"/>
      <c r="R65" s="252" t="n"/>
      <c r="S65" s="244">
        <f>Q65*R65</f>
        <v/>
      </c>
      <c r="W65" s="71" t="n"/>
      <c r="X65" s="71" t="n"/>
    </row>
    <row r="66" ht="22.2" customHeight="1" s="330">
      <c r="A66" s="4" t="n"/>
      <c r="E66" s="4" t="n"/>
      <c r="G66" s="248" t="n"/>
      <c r="H66" s="252" t="n"/>
      <c r="I66" s="325" t="n"/>
      <c r="J66" s="252" t="n"/>
      <c r="K66" s="331" t="n"/>
      <c r="L66" s="252" t="n"/>
      <c r="M66" s="252" t="n"/>
      <c r="N66" s="252" t="n"/>
      <c r="O66" s="244">
        <f>M66*N66</f>
        <v/>
      </c>
      <c r="P66" s="252" t="n"/>
      <c r="Q66" s="252" t="n"/>
      <c r="R66" s="252" t="n"/>
      <c r="S66" s="244">
        <f>Q66*R66</f>
        <v/>
      </c>
      <c r="T66" s="25" t="n"/>
      <c r="U66" s="26" t="inlineStr">
        <is>
          <t xml:space="preserve">     PLC</t>
        </is>
      </c>
      <c r="V66" s="64" t="n"/>
      <c r="W66" s="27" t="n"/>
      <c r="X66" s="27" t="n"/>
      <c r="Z66" s="249" t="n"/>
      <c r="AA66" s="249" t="n"/>
      <c r="AB66" s="249" t="n"/>
    </row>
    <row r="67" ht="22.2" customHeight="1" s="330">
      <c r="A67" s="4" t="n"/>
      <c r="E67" s="4" t="n"/>
      <c r="G67" s="277" t="n"/>
      <c r="H67" s="276" t="n"/>
      <c r="I67" s="276" t="n"/>
      <c r="J67" s="276" t="n"/>
      <c r="K67" s="476" t="n"/>
      <c r="L67" s="276" t="n"/>
      <c r="M67" s="276" t="n"/>
      <c r="N67" s="276" t="n"/>
      <c r="O67" s="244">
        <f>M67*N67</f>
        <v/>
      </c>
      <c r="P67" s="276" t="n"/>
      <c r="Q67" s="276" t="n"/>
      <c r="R67" s="276" t="n"/>
      <c r="S67" s="244">
        <f>Q67*R67</f>
        <v/>
      </c>
      <c r="T67" s="27" t="inlineStr">
        <is>
          <t> </t>
        </is>
      </c>
      <c r="U67" s="26" t="inlineStr">
        <is>
          <t>17.10-19.10</t>
        </is>
      </c>
      <c r="V67" s="64" t="n"/>
      <c r="W67" s="27" t="n"/>
      <c r="X67" s="27" t="n"/>
      <c r="Y67" s="249" t="n"/>
      <c r="Z67" s="249" t="n"/>
      <c r="AA67" s="249" t="n"/>
      <c r="AB67" s="249" t="n"/>
    </row>
    <row r="68" ht="22.2" customHeight="1" s="330">
      <c r="A68" s="4" t="n"/>
      <c r="E68" s="4" t="n"/>
      <c r="G68" s="62" t="inlineStr">
        <is>
          <t>พฤหัส</t>
        </is>
      </c>
      <c r="H68" s="325" t="n"/>
      <c r="I68" s="325" t="n"/>
      <c r="J68" s="332" t="n"/>
      <c r="K68" s="335" t="n"/>
      <c r="L68" s="252" t="n"/>
      <c r="M68" s="252" t="n"/>
      <c r="N68" s="252" t="n"/>
      <c r="O68" s="244">
        <f>M68*N68</f>
        <v/>
      </c>
      <c r="P68" s="252" t="n"/>
      <c r="Q68" s="275" t="n"/>
      <c r="R68" s="275" t="n"/>
      <c r="S68" s="244">
        <f>Q68*R68</f>
        <v/>
      </c>
      <c r="U68" s="249" t="n"/>
      <c r="V68" s="249" t="n"/>
      <c r="W68" s="249" t="n"/>
      <c r="X68" s="249" t="n"/>
      <c r="Y68" s="249" t="n"/>
      <c r="Z68" s="249" t="n"/>
      <c r="AA68" s="249" t="n"/>
      <c r="AB68" s="249" t="n"/>
    </row>
    <row r="69" ht="22.2" customHeight="1" s="330">
      <c r="A69" s="4" t="n"/>
      <c r="E69" s="4" t="n"/>
      <c r="G69" s="308">
        <f>G23</f>
        <v/>
      </c>
      <c r="H69" s="325" t="n"/>
      <c r="I69" s="325" t="n"/>
      <c r="J69" s="252" t="n"/>
      <c r="K69" s="331" t="n"/>
      <c r="L69" s="252" t="n"/>
      <c r="M69" s="252" t="n"/>
      <c r="N69" s="252" t="n"/>
      <c r="O69" s="244">
        <f>M69*N69</f>
        <v/>
      </c>
      <c r="P69" s="252" t="n"/>
      <c r="Q69" s="252" t="n"/>
      <c r="R69" s="252" t="n"/>
      <c r="S69" s="244">
        <f>Q69*R69</f>
        <v/>
      </c>
      <c r="U69" s="249" t="n"/>
      <c r="V69" s="249" t="n"/>
      <c r="X69" s="249" t="n"/>
      <c r="Y69" s="249" t="n"/>
      <c r="Z69" s="249" t="n"/>
    </row>
    <row r="70" ht="22.2" customHeight="1" s="330">
      <c r="A70" s="4" t="n"/>
      <c r="B70" s="5" t="n"/>
      <c r="E70" s="4" t="n"/>
      <c r="G70" s="252" t="n"/>
      <c r="H70" s="325" t="n"/>
      <c r="I70" s="325" t="n"/>
      <c r="J70" s="252" t="n"/>
      <c r="K70" s="331" t="n"/>
      <c r="L70" s="325" t="n"/>
      <c r="M70" s="325" t="n"/>
      <c r="N70" s="325" t="n"/>
      <c r="O70" s="244">
        <f>M70*N70</f>
        <v/>
      </c>
      <c r="P70" s="325" t="n"/>
      <c r="Q70" s="325" t="n"/>
      <c r="R70" s="325" t="n"/>
      <c r="S70" s="244">
        <f>Q70*R70</f>
        <v/>
      </c>
      <c r="U70" s="249" t="n"/>
      <c r="V70" s="249" t="n"/>
      <c r="W70" s="249" t="n"/>
      <c r="X70" s="249" t="n"/>
      <c r="Y70" s="249" t="n"/>
      <c r="Z70" s="249" t="n"/>
    </row>
    <row r="71" ht="22.2" customHeight="1" s="330">
      <c r="A71" s="4" t="n"/>
      <c r="E71" s="4" t="n"/>
      <c r="G71" s="252" t="n"/>
      <c r="H71" s="252" t="n"/>
      <c r="I71" s="325" t="n"/>
      <c r="J71" s="325" t="n"/>
      <c r="K71" s="331" t="n"/>
      <c r="L71" s="252" t="n"/>
      <c r="M71" s="252" t="n"/>
      <c r="N71" s="252" t="n"/>
      <c r="O71" s="244">
        <f>M71*N71</f>
        <v/>
      </c>
      <c r="P71" s="325" t="n"/>
      <c r="Q71" s="252" t="n"/>
      <c r="R71" s="252" t="n"/>
      <c r="S71" s="244">
        <f>Q71*R71</f>
        <v/>
      </c>
      <c r="U71" s="249" t="n"/>
      <c r="V71" s="249" t="n"/>
      <c r="W71" s="249" t="n"/>
      <c r="X71" s="249" t="n"/>
      <c r="Y71" s="249" t="n"/>
      <c r="Z71" s="249" t="n"/>
    </row>
    <row r="72" ht="22.2" customHeight="1" s="330">
      <c r="A72" s="4" t="n"/>
      <c r="E72" s="4" t="n"/>
      <c r="G72" s="276" t="n"/>
      <c r="H72" s="276" t="n"/>
      <c r="I72" s="158" t="n"/>
      <c r="J72" s="276" t="n"/>
      <c r="K72" s="476" t="n"/>
      <c r="L72" s="276" t="n"/>
      <c r="M72" s="276" t="n"/>
      <c r="N72" s="276" t="n"/>
      <c r="O72" s="244">
        <f>M72*N72</f>
        <v/>
      </c>
      <c r="P72" s="252" t="n"/>
      <c r="Q72" s="276" t="n"/>
      <c r="R72" s="276" t="n"/>
      <c r="S72" s="244">
        <f>Q72*R72</f>
        <v/>
      </c>
      <c r="T72" s="249" t="n"/>
      <c r="U72" s="249" t="n"/>
      <c r="V72" s="249" t="n"/>
      <c r="W72" s="249" t="n"/>
      <c r="X72" s="249" t="n"/>
      <c r="Y72" s="249" t="n"/>
    </row>
    <row r="73" ht="22.2" customHeight="1" s="330">
      <c r="A73" s="4" t="n"/>
      <c r="B73" s="170" t="n"/>
      <c r="C73" s="171" t="n"/>
      <c r="D73" s="172" t="n"/>
      <c r="E73" s="173" t="n"/>
      <c r="F73" s="172" t="n"/>
      <c r="G73" s="62" t="inlineStr">
        <is>
          <t>ศุกร์</t>
        </is>
      </c>
      <c r="H73" s="332" t="n"/>
      <c r="I73" s="325" t="n"/>
      <c r="J73" s="332" t="n"/>
      <c r="K73" s="335" t="n"/>
      <c r="L73" s="252" t="n"/>
      <c r="M73" s="252" t="n"/>
      <c r="N73" s="252" t="n"/>
      <c r="O73" s="244">
        <f>M73*N73</f>
        <v/>
      </c>
      <c r="P73" s="275" t="n"/>
      <c r="Q73" s="265" t="n"/>
      <c r="R73" s="332" t="n"/>
      <c r="S73" s="244">
        <f>Q73*R73</f>
        <v/>
      </c>
      <c r="T73" s="249" t="n"/>
      <c r="U73" s="249" t="n"/>
      <c r="V73" s="249" t="n"/>
      <c r="W73" s="249" t="n"/>
      <c r="X73" s="249" t="n"/>
      <c r="Y73" s="249" t="n"/>
    </row>
    <row r="74" ht="22.2" customHeight="1" s="330">
      <c r="A74" s="4" t="n"/>
      <c r="D74" s="3" t="n"/>
      <c r="E74" s="4" t="n"/>
      <c r="G74" s="308">
        <f>G28</f>
        <v/>
      </c>
      <c r="H74" s="325" t="n"/>
      <c r="I74" s="325" t="n"/>
      <c r="J74" s="252" t="n"/>
      <c r="K74" s="331" t="n"/>
      <c r="L74" s="252" t="n"/>
      <c r="M74" s="252" t="n"/>
      <c r="N74" s="252" t="n"/>
      <c r="O74" s="244">
        <f>M74*N74</f>
        <v/>
      </c>
      <c r="P74" s="252" t="n"/>
      <c r="Q74" s="252" t="n"/>
      <c r="R74" s="252" t="n"/>
      <c r="S74" s="244">
        <f>Q74*R74</f>
        <v/>
      </c>
      <c r="W74" s="249" t="n"/>
      <c r="X74" s="249" t="n"/>
      <c r="Y74" s="249" t="n"/>
    </row>
    <row r="75" ht="22.2" customHeight="1" s="330">
      <c r="A75" s="4" t="n"/>
      <c r="B75" s="170" t="n"/>
      <c r="C75" s="171" t="n"/>
      <c r="D75" s="172" t="n"/>
      <c r="E75" s="173" t="n"/>
      <c r="F75" s="172" t="n"/>
      <c r="G75" s="252" t="n"/>
      <c r="H75" s="325" t="n"/>
      <c r="I75" s="325" t="n"/>
      <c r="J75" s="252" t="n"/>
      <c r="K75" s="331" t="n"/>
      <c r="L75" s="252" t="n"/>
      <c r="M75" s="252" t="n"/>
      <c r="N75" s="252" t="n"/>
      <c r="O75" s="244">
        <f>M75*N75</f>
        <v/>
      </c>
      <c r="P75" s="252" t="n"/>
      <c r="Q75" s="252" t="n"/>
      <c r="R75" s="252" t="n"/>
      <c r="S75" s="244">
        <f>Q75*R75</f>
        <v/>
      </c>
      <c r="T75" s="249" t="n"/>
      <c r="U75" s="249" t="n"/>
      <c r="V75" s="249" t="n"/>
      <c r="W75" s="249" t="n"/>
      <c r="X75" s="249" t="n"/>
      <c r="Y75" s="249" t="n"/>
    </row>
    <row r="76" ht="22.2" customHeight="1" s="330">
      <c r="A76" s="4" t="n"/>
      <c r="E76" s="4" t="n"/>
      <c r="G76" s="252" t="n"/>
      <c r="H76" s="252" t="n"/>
      <c r="I76" s="325" t="n"/>
      <c r="J76" s="325" t="n"/>
      <c r="K76" s="331" t="n"/>
      <c r="L76" s="252" t="n"/>
      <c r="M76" s="252" t="n"/>
      <c r="N76" s="252" t="n"/>
      <c r="O76" s="244">
        <f>M76*N76</f>
        <v/>
      </c>
      <c r="P76" s="252" t="n"/>
      <c r="Q76" s="252" t="n"/>
      <c r="R76" s="252" t="n"/>
      <c r="S76" s="244">
        <f>Q76*R76</f>
        <v/>
      </c>
      <c r="T76" s="287" t="inlineStr">
        <is>
          <t>สอน ป.ตรี</t>
        </is>
      </c>
    </row>
    <row r="77" ht="22.2" customHeight="1" s="330">
      <c r="A77" s="4" t="n"/>
      <c r="E77" s="4" t="n"/>
      <c r="F77" s="4" t="n"/>
      <c r="G77" s="278" t="n"/>
      <c r="H77" s="252" t="n"/>
      <c r="I77" s="325" t="n"/>
      <c r="J77" s="252" t="n"/>
      <c r="K77" s="331" t="n"/>
      <c r="L77" s="276" t="n"/>
      <c r="M77" s="276" t="n"/>
      <c r="N77" s="276" t="n"/>
      <c r="O77" s="244">
        <f>M77*N77</f>
        <v/>
      </c>
      <c r="P77" s="252" t="n"/>
      <c r="Q77" s="276" t="n"/>
      <c r="R77" s="276" t="n"/>
      <c r="S77" s="244">
        <f>Q77*R77</f>
        <v/>
      </c>
      <c r="T77" s="24" t="n"/>
      <c r="U77" s="24" t="inlineStr">
        <is>
          <t>17.10-20.10</t>
        </is>
      </c>
      <c r="V77" s="65" t="n"/>
      <c r="W77" s="24" t="n"/>
      <c r="X77" s="24" t="n"/>
    </row>
    <row r="78" ht="22.2" customHeight="1" s="330">
      <c r="A78" s="4" t="n"/>
      <c r="E78" s="4" t="n"/>
      <c r="F78" s="4" t="n"/>
      <c r="G78" s="17" t="inlineStr">
        <is>
          <t>รวมขั่วโมงที่สอนแยก ภาระงาน/ เกินภาระงาน</t>
        </is>
      </c>
      <c r="H78" s="467" t="n"/>
      <c r="I78" s="467" t="n"/>
      <c r="J78" s="467" t="n"/>
      <c r="K78" s="362" t="n"/>
      <c r="L78" s="17">
        <f>SUM(L53:L77)</f>
        <v/>
      </c>
      <c r="M78" s="17">
        <f>SUM(M53:M77)</f>
        <v/>
      </c>
      <c r="N78" s="17" t="n"/>
      <c r="O78" s="17" t="n"/>
      <c r="P78" s="17">
        <f>SUM(P53:P77)</f>
        <v/>
      </c>
      <c r="Q78" s="17">
        <f>SUM(Q53:Q77)</f>
        <v/>
      </c>
      <c r="R78" s="279" t="n"/>
      <c r="S78" s="17" t="n"/>
    </row>
    <row r="79" ht="22.2" customHeight="1" s="330">
      <c r="A79" s="4" t="n"/>
      <c r="E79" s="4" t="n"/>
      <c r="F79" s="4" t="n"/>
      <c r="G79" s="17" t="inlineStr">
        <is>
          <t>รวมจำนวนชั่วโมงสอนคาบต่อสับดาห์</t>
        </is>
      </c>
      <c r="H79" s="467" t="n"/>
      <c r="I79" s="467" t="n"/>
      <c r="J79" s="467" t="n"/>
      <c r="K79" s="362" t="n"/>
      <c r="L79" s="17">
        <f>L78+M78</f>
        <v/>
      </c>
      <c r="M79" s="362" t="n"/>
      <c r="N79" s="17" t="n"/>
      <c r="O79" s="298" t="n"/>
      <c r="P79" s="17">
        <f>P78+Q78</f>
        <v/>
      </c>
      <c r="Q79" s="362" t="n"/>
      <c r="R79" s="278" t="n"/>
      <c r="S79" s="276" t="n"/>
    </row>
    <row r="80" ht="22.2" customHeight="1" s="330">
      <c r="A80" s="4" t="n"/>
      <c r="E80" s="4" t="n"/>
      <c r="F80" s="4" t="n"/>
      <c r="G80" s="17" t="inlineStr">
        <is>
          <t>จำนวนชั่วโมงสอนตามภาระงานสอน</t>
        </is>
      </c>
      <c r="H80" s="467" t="n"/>
      <c r="I80" s="467" t="n"/>
      <c r="J80" s="467" t="n"/>
      <c r="K80" s="362" t="n"/>
      <c r="L80" s="17" t="n">
        <v>0</v>
      </c>
      <c r="M80" s="362" t="n"/>
      <c r="N80" s="298" t="n"/>
      <c r="O80" s="17" t="n"/>
      <c r="P80" s="17" t="n">
        <v>0</v>
      </c>
      <c r="Q80" s="362" t="n"/>
      <c r="R80" s="249" t="n"/>
      <c r="S80" s="252" t="n"/>
    </row>
    <row r="81" ht="22.2" customHeight="1" s="330" thickBot="1">
      <c r="A81" s="4" t="n"/>
      <c r="E81" s="4" t="n"/>
      <c r="F81" s="15" t="n"/>
      <c r="G81" s="17" t="inlineStr">
        <is>
          <t>จำนวนชั่วโมงบิกเกินภาระงานสอน/ค่าสอน</t>
        </is>
      </c>
      <c r="H81" s="467" t="n"/>
      <c r="I81" s="467" t="n"/>
      <c r="J81" s="467" t="n"/>
      <c r="K81" s="362" t="n"/>
      <c r="L81" s="18" t="n">
        <v>0</v>
      </c>
      <c r="M81" s="18">
        <f>SUM(M53:M77)</f>
        <v/>
      </c>
      <c r="N81" s="18" t="n"/>
      <c r="O81" s="18">
        <f>SUM(O53:O77)</f>
        <v/>
      </c>
      <c r="P81" s="18" t="n">
        <v>0</v>
      </c>
      <c r="Q81" s="18">
        <f>SUM(Q53:Q77)</f>
        <v/>
      </c>
      <c r="R81" s="19" t="n"/>
      <c r="S81" s="18">
        <f>SUM(S53:S77)</f>
        <v/>
      </c>
    </row>
    <row r="82" ht="22.2" customHeight="1" s="330" thickTop="1">
      <c r="A82" s="299" t="inlineStr">
        <is>
          <t>รวมจำนวนหน่วยชั่วโมงที่ขอเบิกค่าสอน ….</t>
        </is>
      </c>
      <c r="B82" s="467" t="n"/>
      <c r="C82" s="467" t="n"/>
      <c r="D82" s="467" t="n"/>
      <c r="E82" s="467" t="n"/>
      <c r="F82" s="467" t="n"/>
      <c r="G82" s="467" t="n"/>
      <c r="H82" s="298">
        <f>M81+Q81</f>
        <v/>
      </c>
      <c r="I82" s="298" t="inlineStr">
        <is>
          <t>….ชั่วโมง</t>
        </is>
      </c>
      <c r="J82" s="298" t="n"/>
      <c r="K82" s="301" t="inlineStr">
        <is>
          <t>ยอดเงินรวม</t>
        </is>
      </c>
      <c r="L82" s="471" t="n"/>
      <c r="M82" s="471" t="n"/>
      <c r="N82" s="301" t="n"/>
      <c r="O82" s="301" t="n"/>
      <c r="P82" s="302">
        <f>S81+O81</f>
        <v/>
      </c>
      <c r="Q82" s="482" t="n"/>
      <c r="R82" s="21" t="n"/>
      <c r="S82" s="20" t="inlineStr">
        <is>
          <t>..บาท</t>
        </is>
      </c>
    </row>
    <row r="83" ht="22.2" customHeight="1" s="330">
      <c r="A83" s="207" t="inlineStr">
        <is>
          <t>ผู้ขอเบิก</t>
        </is>
      </c>
      <c r="B83" s="334" t="n"/>
      <c r="C83" s="334" t="n"/>
      <c r="D83" s="334" t="n"/>
      <c r="E83" s="334" t="n"/>
      <c r="F83" s="334" t="n"/>
      <c r="G83" s="335" t="n"/>
      <c r="H83" s="207" t="inlineStr">
        <is>
          <t>ผู้รับรอง</t>
        </is>
      </c>
      <c r="I83" s="334" t="n"/>
      <c r="J83" s="334" t="n"/>
      <c r="K83" s="334" t="n"/>
      <c r="L83" s="335" t="n"/>
      <c r="M83" s="207" t="inlineStr">
        <is>
          <t>ผู้ตรวจ</t>
        </is>
      </c>
      <c r="N83" s="334" t="n"/>
      <c r="O83" s="334" t="n"/>
      <c r="P83" s="334" t="n"/>
      <c r="Q83" s="334" t="n"/>
      <c r="R83" s="334" t="n"/>
      <c r="S83" s="335" t="n"/>
      <c r="T83" s="317" t="n"/>
    </row>
    <row r="84" ht="22.2" customHeight="1" s="330">
      <c r="A84" s="252" t="inlineStr">
        <is>
          <t>ลงชื่อ……………………………………………</t>
        </is>
      </c>
      <c r="G84" s="331" t="n"/>
      <c r="H84" s="252" t="inlineStr">
        <is>
          <t>ลงชื่อ……………………………………………</t>
        </is>
      </c>
      <c r="L84" s="331" t="n"/>
      <c r="M84" s="252" t="inlineStr">
        <is>
          <t>ลงชื่อ……………………………………………</t>
        </is>
      </c>
      <c r="S84" s="331" t="n"/>
    </row>
    <row r="85" ht="22.2" customHeight="1" s="330">
      <c r="A85" s="12" t="inlineStr">
        <is>
          <t>(</t>
        </is>
      </c>
      <c r="B85" s="309">
        <f>B53</f>
        <v/>
      </c>
      <c r="G85" s="310" t="inlineStr">
        <is>
          <t>)</t>
        </is>
      </c>
      <c r="H85" s="309" t="inlineStr">
        <is>
          <t>(</t>
        </is>
      </c>
      <c r="I85" s="314">
        <f>I39</f>
        <v/>
      </c>
      <c r="L85" s="13" t="inlineStr">
        <is>
          <t>)</t>
        </is>
      </c>
      <c r="M85" s="61" t="inlineStr">
        <is>
          <t>(</t>
        </is>
      </c>
      <c r="N85" s="61" t="n"/>
      <c r="O85" s="309" t="inlineStr">
        <is>
          <t>นายทศวรรษ  คำสม</t>
        </is>
      </c>
      <c r="R85" s="29" t="n"/>
      <c r="S85" s="310" t="inlineStr">
        <is>
          <t>)</t>
        </is>
      </c>
    </row>
    <row r="86" ht="22.2" customHeight="1" s="330">
      <c r="A86" s="483" t="inlineStr">
        <is>
          <t xml:space="preserve">                    ตำแหน่ง  พนักงานราชการ</t>
        </is>
      </c>
      <c r="G86" s="331" t="n"/>
      <c r="H86" s="62" t="inlineStr">
        <is>
          <t>ตำแหน่ง หัวหน้าแผนก</t>
        </is>
      </c>
      <c r="L86" s="331" t="n"/>
      <c r="M86" s="62" t="inlineStr">
        <is>
          <t>ตำแหน่ง   ผู้ตรวจสอบ</t>
        </is>
      </c>
      <c r="S86" s="331" t="n"/>
    </row>
    <row r="87" ht="22.2" customHeight="1" s="330">
      <c r="A87" s="63">
        <f>A41</f>
        <v/>
      </c>
      <c r="B87" s="471" t="n"/>
      <c r="C87" s="471" t="n"/>
      <c r="D87" s="471" t="n"/>
      <c r="E87" s="471" t="n"/>
      <c r="F87" s="471" t="n"/>
      <c r="G87" s="476" t="n"/>
      <c r="H87" s="62">
        <f>A41</f>
        <v/>
      </c>
      <c r="L87" s="331" t="n"/>
      <c r="M87" s="63">
        <f>A41</f>
        <v/>
      </c>
      <c r="N87" s="471" t="n"/>
      <c r="O87" s="471" t="n"/>
      <c r="P87" s="471" t="n"/>
      <c r="Q87" s="471" t="n"/>
      <c r="R87" s="471" t="n"/>
      <c r="S87" s="476" t="n"/>
    </row>
    <row r="88" ht="22.2" customHeight="1" s="330">
      <c r="A88" s="207" t="inlineStr">
        <is>
          <t>ผู้ตรวจ</t>
        </is>
      </c>
      <c r="B88" s="334" t="n"/>
      <c r="C88" s="334" t="n"/>
      <c r="D88" s="334" t="n"/>
      <c r="E88" s="334" t="n"/>
      <c r="F88" s="334" t="n"/>
      <c r="G88" s="334" t="n"/>
      <c r="H88" s="334" t="n"/>
      <c r="I88" s="335" t="n"/>
      <c r="J88" s="207" t="inlineStr">
        <is>
          <t>ผู้เห็นชอบ</t>
        </is>
      </c>
      <c r="K88" s="334" t="n"/>
      <c r="L88" s="334" t="n"/>
      <c r="M88" s="334" t="n"/>
      <c r="N88" s="334" t="n"/>
      <c r="O88" s="334" t="n"/>
      <c r="P88" s="334" t="n"/>
      <c r="Q88" s="334" t="n"/>
      <c r="R88" s="334" t="n"/>
      <c r="S88" s="335" t="n"/>
    </row>
    <row r="89" ht="22.2" customHeight="1" s="330">
      <c r="A89" s="252" t="inlineStr">
        <is>
          <t>ลงชื่อ……………………………………………</t>
        </is>
      </c>
      <c r="I89" s="331" t="n"/>
      <c r="J89" s="252" t="inlineStr">
        <is>
          <t>ลงชื่อ……………………………………………</t>
        </is>
      </c>
      <c r="S89" s="331" t="n"/>
    </row>
    <row r="90" ht="22.2" customHeight="1" s="330">
      <c r="A90" s="12" t="n"/>
      <c r="B90" s="309" t="inlineStr">
        <is>
          <t xml:space="preserve">                     (นายชัยณรงค์  สุขอิ่ม)</t>
        </is>
      </c>
      <c r="I90" s="310" t="n"/>
      <c r="J90" s="29" t="n"/>
      <c r="K90" s="29" t="n"/>
      <c r="L90" s="309" t="inlineStr">
        <is>
          <t xml:space="preserve">           (นายปรีชา  โพธิ์เกิด)</t>
        </is>
      </c>
      <c r="R90" s="29" t="n"/>
      <c r="S90" s="13" t="n"/>
    </row>
    <row r="91" ht="22.2" customHeight="1" s="330">
      <c r="A91" s="62" t="inlineStr">
        <is>
          <t>ตำแหน่งครู  หัวหน้างานพัฒนาหลักสูตร ฯ</t>
        </is>
      </c>
      <c r="I91" s="331" t="n"/>
      <c r="J91" s="62" t="inlineStr">
        <is>
          <t>ตำแหน่ง  รองผู้อำนวยการฝ่ายวิชาการ</t>
        </is>
      </c>
      <c r="S91" s="331" t="n"/>
    </row>
    <row r="92" ht="22.2" customHeight="1" s="330">
      <c r="A92" s="276" t="inlineStr">
        <is>
          <t>วันที่.......เดือน..........................พ.ศ..............</t>
        </is>
      </c>
      <c r="B92" s="471" t="n"/>
      <c r="C92" s="471" t="n"/>
      <c r="D92" s="471" t="n"/>
      <c r="E92" s="471" t="n"/>
      <c r="F92" s="471" t="n"/>
      <c r="G92" s="471" t="n"/>
      <c r="H92" s="471" t="n"/>
      <c r="I92" s="476" t="n"/>
      <c r="J92" s="276" t="inlineStr">
        <is>
          <t>วันที่.......เดือน..........................พ.ศ..............</t>
        </is>
      </c>
      <c r="K92" s="471" t="n"/>
      <c r="L92" s="471" t="n"/>
      <c r="M92" s="471" t="n"/>
      <c r="N92" s="471" t="n"/>
      <c r="O92" s="471" t="n"/>
      <c r="P92" s="471" t="n"/>
      <c r="Q92" s="471" t="n"/>
      <c r="R92" s="471" t="n"/>
      <c r="S92" s="476" t="n"/>
    </row>
    <row r="93" ht="22.2" customHeight="1" s="330">
      <c r="A9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4" ht="22.2" customHeight="1" s="330">
      <c r="A94" s="254">
        <f>A2</f>
        <v/>
      </c>
    </row>
    <row r="95" ht="22.2" customHeight="1" s="330">
      <c r="A95" s="253" t="inlineStr">
        <is>
          <t xml:space="preserve">    ระหว่างวันที่</t>
        </is>
      </c>
      <c r="D95" s="254">
        <f>D3</f>
        <v/>
      </c>
      <c r="E95" s="254" t="inlineStr">
        <is>
          <t xml:space="preserve">   เดือน  </t>
        </is>
      </c>
      <c r="F95" s="254">
        <f>F3</f>
        <v/>
      </c>
      <c r="H95" s="254">
        <f>H3</f>
        <v/>
      </c>
      <c r="I95" s="254" t="inlineStr">
        <is>
          <t xml:space="preserve">     ถึง วันที่</t>
        </is>
      </c>
      <c r="J95" s="254">
        <f>J3</f>
        <v/>
      </c>
      <c r="K95" s="254" t="inlineStr">
        <is>
          <t xml:space="preserve">   เดือน </t>
        </is>
      </c>
      <c r="L95" s="254">
        <f>L3</f>
        <v/>
      </c>
      <c r="N95" s="254">
        <f>N3</f>
        <v/>
      </c>
      <c r="P95" s="254" t="n"/>
      <c r="R95" s="254" t="n"/>
    </row>
    <row r="96" ht="22.2" customHeight="1" s="330">
      <c r="G96" s="58" t="inlineStr">
        <is>
          <t>ü</t>
        </is>
      </c>
      <c r="H96" s="290" t="inlineStr">
        <is>
          <t>ครู</t>
        </is>
      </c>
      <c r="I96" s="249" t="inlineStr">
        <is>
          <t>หน้าที่พิเศษ</t>
        </is>
      </c>
      <c r="J96" s="8" t="inlineStr">
        <is>
          <t>หัวหน้างานบุคลากร</t>
        </is>
      </c>
    </row>
    <row r="97" ht="22.2" customHeight="1" s="330">
      <c r="A97" s="28" t="inlineStr">
        <is>
          <t>ที่</t>
        </is>
      </c>
      <c r="B97" s="28" t="inlineStr">
        <is>
          <t>ชื่อ-สกุล</t>
        </is>
      </c>
      <c r="C97" s="334" t="n"/>
      <c r="D97" s="335" t="n"/>
      <c r="E97" s="16" t="inlineStr">
        <is>
          <t>ตำแหน่ง</t>
        </is>
      </c>
      <c r="F97" s="17" t="inlineStr">
        <is>
          <t>ระยะเวลาที่สอน</t>
        </is>
      </c>
      <c r="G97" s="362" t="n"/>
      <c r="H97" s="17" t="inlineStr">
        <is>
          <t>รหัสวิชา</t>
        </is>
      </c>
      <c r="I97" s="275" t="inlineStr">
        <is>
          <t>ชั้น,แผนก,ห้อง</t>
        </is>
      </c>
      <c r="J97" s="17" t="inlineStr">
        <is>
          <t>เวลาสอน</t>
        </is>
      </c>
      <c r="K97" s="335" t="n"/>
      <c r="L97" s="17" t="inlineStr">
        <is>
          <t>ปวช.(คาบ)</t>
        </is>
      </c>
      <c r="M97" s="362" t="n"/>
      <c r="N97" s="244" t="inlineStr">
        <is>
          <t>เงิน</t>
        </is>
      </c>
      <c r="O97" s="275" t="inlineStr">
        <is>
          <t>ยอดเงิน</t>
        </is>
      </c>
      <c r="P97" s="473" t="inlineStr">
        <is>
          <t>ปวส.(คาบ)</t>
        </is>
      </c>
      <c r="Q97" s="362" t="n"/>
      <c r="R97" s="244" t="inlineStr">
        <is>
          <t>เงิน</t>
        </is>
      </c>
      <c r="S97" s="275" t="inlineStr">
        <is>
          <t>ยอดเงิน</t>
        </is>
      </c>
    </row>
    <row r="98" ht="22.2" customHeight="1" s="330">
      <c r="A98" s="60" t="n"/>
      <c r="B98" s="9" t="n"/>
      <c r="C98" s="10" t="n"/>
      <c r="D98" s="14" t="n"/>
      <c r="E98" s="11" t="n"/>
      <c r="F98" s="276" t="inlineStr">
        <is>
          <t>ส.</t>
        </is>
      </c>
      <c r="G98" s="276" t="inlineStr">
        <is>
          <t>วดป.</t>
        </is>
      </c>
      <c r="H98" s="474" t="n"/>
      <c r="I98" s="276" t="n"/>
      <c r="J98" s="475" t="n"/>
      <c r="K98" s="476" t="n"/>
      <c r="L98" s="276" t="inlineStr">
        <is>
          <t>ใน</t>
        </is>
      </c>
      <c r="M98" s="276" t="inlineStr">
        <is>
          <t>นอก</t>
        </is>
      </c>
      <c r="N98" s="276" t="inlineStr">
        <is>
          <t>ต่อ ชม.</t>
        </is>
      </c>
      <c r="O98" s="276" t="inlineStr">
        <is>
          <t>(บาท)</t>
        </is>
      </c>
      <c r="P98" s="60" t="inlineStr">
        <is>
          <t>ใน</t>
        </is>
      </c>
      <c r="Q98" s="60" t="inlineStr">
        <is>
          <t>นอก</t>
        </is>
      </c>
      <c r="R98" s="276" t="inlineStr">
        <is>
          <t>ต่อ ชม.</t>
        </is>
      </c>
      <c r="S98" s="276" t="inlineStr">
        <is>
          <t>(บาท)</t>
        </is>
      </c>
    </row>
    <row r="99" ht="22.2" customHeight="1" s="330">
      <c r="A99" s="275" t="n">
        <v>3</v>
      </c>
      <c r="B99" s="477">
        <f>AB5</f>
        <v/>
      </c>
      <c r="C99" s="334" t="n"/>
      <c r="D99" s="335" t="n"/>
      <c r="E99" s="275" t="inlineStr">
        <is>
          <t>ครู</t>
        </is>
      </c>
      <c r="F99" s="6">
        <f>F7</f>
        <v/>
      </c>
      <c r="G99" s="303" t="inlineStr">
        <is>
          <t>จันทร์</t>
        </is>
      </c>
      <c r="H99" s="332" t="inlineStr">
        <is>
          <t>20101-2010</t>
        </is>
      </c>
      <c r="I99" s="325" t="inlineStr">
        <is>
          <t>ปวช.2/2 ชย. (ปกติ)</t>
        </is>
      </c>
      <c r="J99" s="252" t="inlineStr">
        <is>
          <t>13.10-17.10</t>
        </is>
      </c>
      <c r="K99" s="331" t="n"/>
      <c r="L99" s="265" t="n"/>
      <c r="M99" s="332" t="n"/>
      <c r="N99" s="332" t="n"/>
      <c r="O99" s="244">
        <f>M99*N99</f>
        <v/>
      </c>
      <c r="P99" s="332" t="n"/>
      <c r="Q99" s="265" t="n"/>
      <c r="R99" s="332" t="n"/>
      <c r="S99" s="244">
        <f>Q99*R99</f>
        <v/>
      </c>
    </row>
    <row r="100" ht="22.2" customHeight="1" s="330">
      <c r="A100" s="4" t="n"/>
      <c r="B100" s="478" t="n"/>
      <c r="D100" s="331" t="n"/>
      <c r="E100" s="252" t="n"/>
      <c r="F100" s="249" t="n"/>
      <c r="G100" s="308">
        <f>G54</f>
        <v/>
      </c>
      <c r="H100" s="210" t="n"/>
      <c r="I100" s="210" t="n"/>
      <c r="J100" s="210" t="n"/>
      <c r="K100" s="331" t="n"/>
      <c r="L100" s="252" t="n"/>
      <c r="M100" s="252" t="n"/>
      <c r="N100" s="252" t="n"/>
      <c r="O100" s="244">
        <f>M100*N100</f>
        <v/>
      </c>
      <c r="P100" s="252" t="n"/>
      <c r="Q100" s="252" t="n"/>
      <c r="R100" s="252" t="n"/>
      <c r="S100" s="244">
        <f>Q100*R100</f>
        <v/>
      </c>
    </row>
    <row r="101" ht="22.2" customHeight="1" s="330">
      <c r="A101" s="4" t="n"/>
      <c r="B101" s="5" t="n"/>
      <c r="D101" s="52" t="n"/>
      <c r="E101" s="3" t="n"/>
      <c r="F101" s="249" t="n"/>
      <c r="G101" s="308" t="n"/>
      <c r="H101" s="1" t="n"/>
      <c r="I101" s="1" t="n"/>
      <c r="J101" s="1" t="n"/>
      <c r="K101" s="331" t="n"/>
      <c r="L101" s="252" t="n"/>
      <c r="M101" s="252" t="n"/>
      <c r="N101" s="252" t="n"/>
      <c r="O101" s="244">
        <f>M101*N101</f>
        <v/>
      </c>
      <c r="P101" s="252" t="n"/>
      <c r="Q101" s="252" t="n"/>
      <c r="R101" s="252" t="n"/>
      <c r="S101" s="244">
        <f>Q101*R101</f>
        <v/>
      </c>
    </row>
    <row r="102" ht="22.2" customHeight="1" s="330">
      <c r="A102" s="4" t="n"/>
      <c r="B102" s="5" t="n"/>
      <c r="D102" s="70" t="n"/>
      <c r="E102" s="4" t="n"/>
      <c r="F102" s="249" t="n"/>
      <c r="G102" s="308" t="n"/>
      <c r="H102" s="252" t="n"/>
      <c r="I102" s="1" t="n"/>
      <c r="J102" s="1" t="n"/>
      <c r="K102" s="331" t="n"/>
      <c r="L102" s="252" t="n"/>
      <c r="M102" s="252" t="n"/>
      <c r="N102" s="252" t="n"/>
      <c r="O102" s="244">
        <f>M102*N102</f>
        <v/>
      </c>
      <c r="P102" s="252" t="n"/>
      <c r="Q102" s="252" t="n"/>
      <c r="R102" s="252" t="n"/>
      <c r="S102" s="244">
        <f>Q102*R102</f>
        <v/>
      </c>
    </row>
    <row r="103" ht="22.2" customHeight="1" s="330">
      <c r="A103" s="4" t="n"/>
      <c r="E103" s="4" t="n"/>
      <c r="G103" s="63" t="n"/>
      <c r="H103" s="276" t="n"/>
      <c r="I103" s="276" t="n"/>
      <c r="J103" s="276" t="n"/>
      <c r="K103" s="476" t="n"/>
      <c r="L103" s="252" t="n"/>
      <c r="M103" s="252" t="n"/>
      <c r="N103" s="252" t="n"/>
      <c r="O103" s="244">
        <f>M103*N103</f>
        <v/>
      </c>
      <c r="P103" s="252" t="n"/>
      <c r="Q103" s="252" t="n"/>
      <c r="R103" s="252" t="n"/>
      <c r="S103" s="244">
        <f>Q103*R103</f>
        <v/>
      </c>
    </row>
    <row r="104" ht="22.2" customHeight="1" s="330">
      <c r="A104" s="4" t="n"/>
      <c r="E104" s="4" t="n"/>
      <c r="G104" s="62" t="inlineStr">
        <is>
          <t>อังคาร</t>
        </is>
      </c>
      <c r="H104" s="332" t="inlineStr">
        <is>
          <t>20101-2010</t>
        </is>
      </c>
      <c r="I104" s="325" t="inlineStr">
        <is>
          <t>ปวช.2/3 ชย. (ปกติ)</t>
        </is>
      </c>
      <c r="J104" s="332" t="inlineStr">
        <is>
          <t>08.10-12.10</t>
        </is>
      </c>
      <c r="K104" s="335" t="n"/>
      <c r="L104" s="265" t="n"/>
      <c r="M104" s="332" t="n"/>
      <c r="N104" s="332" t="n"/>
      <c r="O104" s="244">
        <f>M104*N104</f>
        <v/>
      </c>
      <c r="P104" s="332" t="n"/>
      <c r="Q104" s="265" t="n"/>
      <c r="R104" s="332" t="n"/>
      <c r="S104" s="244">
        <f>Q104*R104</f>
        <v/>
      </c>
      <c r="T104" s="287" t="inlineStr">
        <is>
          <t>สอน ป.ตรี</t>
        </is>
      </c>
    </row>
    <row r="105" ht="22.2" customHeight="1" s="330">
      <c r="A105" s="4" t="n"/>
      <c r="E105" s="4" t="n"/>
      <c r="G105" s="308">
        <f>G59</f>
        <v/>
      </c>
      <c r="H105" s="325" t="n"/>
      <c r="I105" s="325" t="n"/>
      <c r="J105" s="252" t="n"/>
      <c r="K105" s="331" t="n"/>
      <c r="L105" s="252" t="n"/>
      <c r="M105" s="252" t="n"/>
      <c r="N105" s="252" t="n"/>
      <c r="O105" s="244">
        <f>M105*N105</f>
        <v/>
      </c>
      <c r="P105" s="252" t="n"/>
      <c r="Q105" s="252" t="n"/>
      <c r="R105" s="252" t="n"/>
      <c r="S105" s="244">
        <f>Q105*R105</f>
        <v/>
      </c>
      <c r="T105" s="24" t="n"/>
      <c r="U105" s="24" t="inlineStr">
        <is>
          <t>17.10-20.10</t>
        </is>
      </c>
      <c r="V105" s="65" t="n"/>
      <c r="W105" s="24" t="n"/>
      <c r="X105" s="24" t="n"/>
    </row>
    <row r="106" ht="22.2" customHeight="1" s="330">
      <c r="A106" s="4" t="n"/>
      <c r="B106" s="5" t="n"/>
      <c r="D106" s="3" t="n"/>
      <c r="E106" s="3" t="n"/>
      <c r="G106" s="252" t="n"/>
      <c r="H106" s="325" t="n"/>
      <c r="I106" s="325" t="n"/>
      <c r="J106" s="252" t="n"/>
      <c r="K106" s="331" t="n"/>
      <c r="L106" s="252" t="n"/>
      <c r="M106" s="252" t="n"/>
      <c r="N106" s="252" t="n"/>
      <c r="O106" s="244">
        <f>M106*N106</f>
        <v/>
      </c>
      <c r="P106" s="252" t="n"/>
      <c r="Q106" s="252" t="n"/>
      <c r="R106" s="252" t="n"/>
      <c r="S106" s="244">
        <f>Q106*R106</f>
        <v/>
      </c>
    </row>
    <row r="107" ht="22.2" customHeight="1" s="330">
      <c r="A107" s="4" t="n"/>
      <c r="B107" s="5" t="n"/>
      <c r="D107" s="3" t="n"/>
      <c r="E107" s="3" t="n"/>
      <c r="G107" s="62" t="n"/>
      <c r="H107" s="252" t="n"/>
      <c r="I107" s="252" t="n"/>
      <c r="J107" s="252" t="n"/>
      <c r="K107" s="331" t="n"/>
      <c r="L107" s="252" t="n"/>
      <c r="M107" s="252" t="n"/>
      <c r="N107" s="252" t="n"/>
      <c r="O107" s="244">
        <f>M107*N107</f>
        <v/>
      </c>
      <c r="P107" s="252" t="n"/>
      <c r="Q107" s="252" t="n"/>
      <c r="R107" s="252" t="n"/>
      <c r="S107" s="244">
        <f>Q107*R107</f>
        <v/>
      </c>
    </row>
    <row r="108" ht="22.2" customHeight="1" s="330">
      <c r="A108" s="4" t="n"/>
      <c r="B108" s="5" t="n"/>
      <c r="E108" s="4" t="n"/>
      <c r="G108" s="63" t="n"/>
      <c r="H108" s="276" t="n"/>
      <c r="I108" s="276" t="n"/>
      <c r="J108" s="276" t="n"/>
      <c r="K108" s="476" t="n"/>
      <c r="L108" s="252" t="n"/>
      <c r="M108" s="252" t="n"/>
      <c r="N108" s="252" t="n"/>
      <c r="O108" s="244">
        <f>M108*N108</f>
        <v/>
      </c>
      <c r="P108" s="252" t="n"/>
      <c r="Q108" s="252" t="n"/>
      <c r="R108" s="252" t="n"/>
      <c r="S108" s="244">
        <f>Q108*R108</f>
        <v/>
      </c>
    </row>
    <row r="109" ht="22.2" customHeight="1" s="330">
      <c r="A109" s="4" t="n"/>
      <c r="E109" s="4" t="n"/>
      <c r="G109" s="308" t="inlineStr">
        <is>
          <t>พุธ</t>
        </is>
      </c>
      <c r="H109" s="332" t="inlineStr">
        <is>
          <t>20101-2010</t>
        </is>
      </c>
      <c r="I109" s="325" t="inlineStr">
        <is>
          <t>ปวช.3/9 ชย. (ทวิ)</t>
        </is>
      </c>
      <c r="J109" s="332" t="inlineStr">
        <is>
          <t>08.10-12.10</t>
        </is>
      </c>
      <c r="K109" s="335" t="n"/>
      <c r="L109" s="265" t="n"/>
      <c r="M109" s="332" t="n"/>
      <c r="N109" s="332" t="n"/>
      <c r="O109" s="244">
        <f>M109*N109</f>
        <v/>
      </c>
      <c r="P109" s="332" t="n"/>
      <c r="Q109" s="265" t="n"/>
      <c r="R109" s="332" t="n"/>
      <c r="S109" s="244">
        <f>Q109*R109</f>
        <v/>
      </c>
    </row>
    <row r="110" ht="22.2" customHeight="1" s="330">
      <c r="A110" s="4" t="n"/>
      <c r="E110" s="4" t="n"/>
      <c r="G110" s="308">
        <f>G64</f>
        <v/>
      </c>
      <c r="H110" s="325" t="inlineStr">
        <is>
          <t>20101-2010</t>
        </is>
      </c>
      <c r="I110" s="325" t="inlineStr">
        <is>
          <t>ปวช.3/10 ชย. (ทวิ)</t>
        </is>
      </c>
      <c r="J110" s="252" t="inlineStr">
        <is>
          <t>13.10-17.10</t>
        </is>
      </c>
      <c r="K110" s="331" t="n"/>
      <c r="L110" s="252" t="n"/>
      <c r="M110" s="252" t="n"/>
      <c r="N110" s="252" t="n"/>
      <c r="O110" s="244">
        <f>M110*N110</f>
        <v/>
      </c>
      <c r="P110" s="252" t="n"/>
      <c r="Q110" s="252" t="n"/>
      <c r="R110" s="252" t="n"/>
      <c r="S110" s="244">
        <f>Q110*R110</f>
        <v/>
      </c>
    </row>
    <row r="111" ht="22.2" customHeight="1" s="330">
      <c r="A111" s="4" t="n"/>
      <c r="E111" s="4" t="n"/>
      <c r="G111" s="252" t="n"/>
      <c r="H111" s="325" t="n"/>
      <c r="I111" s="325" t="n"/>
      <c r="J111" s="325" t="n"/>
      <c r="K111" s="331" t="n"/>
      <c r="L111" s="252" t="n"/>
      <c r="M111" s="252" t="n"/>
      <c r="N111" s="252" t="n"/>
      <c r="O111" s="244">
        <f>M111*N111</f>
        <v/>
      </c>
      <c r="P111" s="252" t="n"/>
      <c r="Q111" s="252" t="n"/>
      <c r="R111" s="252" t="n"/>
      <c r="S111" s="244">
        <f>Q111*R111</f>
        <v/>
      </c>
    </row>
    <row r="112" ht="22.2" customHeight="1" s="330">
      <c r="A112" s="4" t="n"/>
      <c r="B112" s="5" t="n"/>
      <c r="D112" s="3" t="n"/>
      <c r="E112" s="3" t="n"/>
      <c r="G112" s="248" t="n"/>
      <c r="H112" s="252" t="n"/>
      <c r="I112" s="325" t="n"/>
      <c r="J112" s="252" t="n"/>
      <c r="K112" s="331" t="n"/>
      <c r="L112" s="252" t="n"/>
      <c r="M112" s="252" t="n"/>
      <c r="N112" s="252" t="n"/>
      <c r="O112" s="244">
        <f>M112*N112</f>
        <v/>
      </c>
      <c r="P112" s="252" t="n"/>
      <c r="Q112" s="252" t="n"/>
      <c r="R112" s="252" t="n"/>
      <c r="S112" s="244">
        <f>Q112*R112</f>
        <v/>
      </c>
    </row>
    <row r="113" ht="22.2" customHeight="1" s="330">
      <c r="A113" s="4" t="n"/>
      <c r="E113" s="4" t="n"/>
      <c r="G113" s="277" t="n"/>
      <c r="H113" s="277" t="n"/>
      <c r="I113" s="276" t="n"/>
      <c r="J113" s="276" t="n"/>
      <c r="K113" s="476" t="n"/>
      <c r="L113" s="276" t="n"/>
      <c r="M113" s="276" t="n"/>
      <c r="N113" s="276" t="n"/>
      <c r="O113" s="244">
        <f>M113*N113</f>
        <v/>
      </c>
      <c r="P113" s="276" t="n"/>
      <c r="Q113" s="276" t="n"/>
      <c r="R113" s="276" t="n"/>
      <c r="S113" s="244">
        <f>Q113*R113</f>
        <v/>
      </c>
    </row>
    <row r="114" ht="22.2" customHeight="1" s="330">
      <c r="A114" s="4" t="n"/>
      <c r="D114" s="8" t="inlineStr">
        <is>
          <t> </t>
        </is>
      </c>
      <c r="E114" s="4" t="n"/>
      <c r="G114" s="62" t="inlineStr">
        <is>
          <t>พฤหัส</t>
        </is>
      </c>
      <c r="H114" s="325" t="inlineStr">
        <is>
          <t>20101-5102</t>
        </is>
      </c>
      <c r="I114" s="325" t="inlineStr">
        <is>
          <t>ปวช.2/10 ชย. (ทวิ)</t>
        </is>
      </c>
      <c r="J114" s="275" t="inlineStr">
        <is>
          <t>08.10-12.10</t>
        </is>
      </c>
      <c r="K114" s="335" t="n"/>
      <c r="L114" s="252" t="n"/>
      <c r="M114" s="252" t="n"/>
      <c r="N114" s="252" t="n"/>
      <c r="O114" s="244">
        <f>M114*N114</f>
        <v/>
      </c>
      <c r="P114" s="252" t="n"/>
      <c r="Q114" s="275" t="n"/>
      <c r="R114" s="275" t="n"/>
      <c r="S114" s="244">
        <f>Q114*R114</f>
        <v/>
      </c>
      <c r="T114" s="287" t="inlineStr">
        <is>
          <t>สอน ป.ตรี</t>
        </is>
      </c>
    </row>
    <row r="115" ht="22.2" customHeight="1" s="330">
      <c r="A115" s="4" t="n"/>
      <c r="E115" s="4" t="n"/>
      <c r="G115" s="308">
        <f>G69</f>
        <v/>
      </c>
      <c r="H115" s="325" t="inlineStr">
        <is>
          <t>20000*2005</t>
        </is>
      </c>
      <c r="I115" s="325" t="inlineStr">
        <is>
          <t>ปวช.3/1,2 ชย. (ปกติ)</t>
        </is>
      </c>
      <c r="J115" s="252" t="inlineStr">
        <is>
          <t>13.10-15.10</t>
        </is>
      </c>
      <c r="K115" s="331" t="n"/>
      <c r="L115" s="252" t="n"/>
      <c r="M115" s="252" t="n"/>
      <c r="N115" s="252" t="n"/>
      <c r="O115" s="244">
        <f>M115*N115</f>
        <v/>
      </c>
      <c r="P115" s="252" t="n"/>
      <c r="Q115" s="252" t="n"/>
      <c r="R115" s="252" t="n"/>
      <c r="S115" s="244">
        <f>Q115*R115</f>
        <v/>
      </c>
      <c r="T115" s="24" t="n"/>
      <c r="U115" s="24" t="inlineStr">
        <is>
          <t>17.10-20.10</t>
        </is>
      </c>
      <c r="V115" s="65" t="n"/>
      <c r="W115" s="24" t="n"/>
      <c r="X115" s="24" t="n"/>
    </row>
    <row r="116" ht="22.2" customHeight="1" s="330">
      <c r="A116" s="4" t="n"/>
      <c r="B116" s="5" t="n"/>
      <c r="E116" s="4" t="n"/>
      <c r="G116" s="252" t="n"/>
      <c r="H116" s="325" t="inlineStr">
        <is>
          <t>20101-5102</t>
        </is>
      </c>
      <c r="I116" s="325" t="inlineStr">
        <is>
          <t>ปวช.2/10 ชย. (ทวิ)</t>
        </is>
      </c>
      <c r="J116" s="252" t="inlineStr">
        <is>
          <t>15.10-18.10</t>
        </is>
      </c>
      <c r="K116" s="331" t="n"/>
      <c r="L116" s="325" t="n"/>
      <c r="M116" s="325" t="n"/>
      <c r="N116" s="325" t="n"/>
      <c r="O116" s="244">
        <f>M116*N116</f>
        <v/>
      </c>
      <c r="P116" s="325" t="n"/>
      <c r="Q116" s="325" t="n"/>
      <c r="R116" s="325" t="n"/>
      <c r="S116" s="244">
        <f>Q116*R116</f>
        <v/>
      </c>
    </row>
    <row r="117" ht="22.2" customHeight="1" s="330">
      <c r="A117" s="4" t="n"/>
      <c r="E117" s="4" t="n"/>
      <c r="G117" s="252" t="n"/>
      <c r="H117" s="252" t="n"/>
      <c r="I117" s="252" t="n"/>
      <c r="J117" s="252" t="n"/>
      <c r="K117" s="331" t="n"/>
      <c r="L117" s="252" t="n"/>
      <c r="M117" s="252" t="n"/>
      <c r="N117" s="252" t="n"/>
      <c r="O117" s="244">
        <f>M117*N117</f>
        <v/>
      </c>
      <c r="P117" s="252" t="n"/>
      <c r="Q117" s="252" t="n"/>
      <c r="R117" s="252" t="n"/>
      <c r="S117" s="244">
        <f>Q117*R117</f>
        <v/>
      </c>
    </row>
    <row r="118" ht="22.2" customHeight="1" s="330">
      <c r="A118" s="4" t="n"/>
      <c r="E118" s="4" t="n"/>
      <c r="G118" s="276" t="n"/>
      <c r="H118" s="301" t="n"/>
      <c r="I118" s="276" t="n"/>
      <c r="J118" s="276" t="n"/>
      <c r="K118" s="476" t="n"/>
      <c r="L118" s="276" t="n"/>
      <c r="M118" s="276" t="n"/>
      <c r="N118" s="276" t="n"/>
      <c r="O118" s="244">
        <f>M118*N118</f>
        <v/>
      </c>
      <c r="P118" s="276" t="n"/>
      <c r="Q118" s="276" t="n"/>
      <c r="R118" s="276" t="n"/>
      <c r="S118" s="244">
        <f>Q118*R118</f>
        <v/>
      </c>
    </row>
    <row r="119" ht="22.2" customHeight="1" s="330">
      <c r="A119" s="4" t="n"/>
      <c r="E119" s="4" t="n"/>
      <c r="G119" s="62" t="inlineStr">
        <is>
          <t>ศุกร์</t>
        </is>
      </c>
      <c r="H119" s="325" t="n"/>
      <c r="I119" s="325" t="n"/>
      <c r="J119" s="325" t="n"/>
      <c r="K119" s="331" t="n"/>
      <c r="L119" s="332" t="n"/>
      <c r="M119" s="275" t="n"/>
      <c r="N119" s="275" t="n"/>
      <c r="O119" s="244">
        <f>M119*N119</f>
        <v/>
      </c>
      <c r="P119" s="332" t="n"/>
      <c r="Q119" s="332" t="n"/>
      <c r="R119" s="332" t="n"/>
      <c r="S119" s="244">
        <f>Q119*R119</f>
        <v/>
      </c>
      <c r="T119" s="25" t="n"/>
      <c r="U119" s="26" t="inlineStr">
        <is>
          <t xml:space="preserve">     PLC</t>
        </is>
      </c>
      <c r="V119" s="64" t="n"/>
      <c r="W119" s="27" t="n"/>
      <c r="X119" s="27" t="n"/>
    </row>
    <row r="120" ht="22.2" customHeight="1" s="330">
      <c r="A120" s="4" t="n"/>
      <c r="E120" s="4" t="n"/>
      <c r="G120" s="308">
        <f>G74</f>
        <v/>
      </c>
      <c r="H120" s="325" t="n"/>
      <c r="I120" s="325" t="n"/>
      <c r="J120" s="325" t="n"/>
      <c r="K120" s="331" t="n"/>
      <c r="L120" s="252" t="n"/>
      <c r="M120" s="252" t="n"/>
      <c r="N120" s="252" t="n"/>
      <c r="O120" s="244">
        <f>M120*N120</f>
        <v/>
      </c>
      <c r="P120" s="252" t="n"/>
      <c r="Q120" s="252" t="n"/>
      <c r="R120" s="252" t="n"/>
      <c r="S120" s="244">
        <f>Q120*R120</f>
        <v/>
      </c>
      <c r="T120" s="27" t="inlineStr">
        <is>
          <t> </t>
        </is>
      </c>
      <c r="U120" s="26" t="inlineStr">
        <is>
          <t>17.10-19.10</t>
        </is>
      </c>
      <c r="V120" s="64" t="n"/>
      <c r="W120" s="27" t="n"/>
      <c r="X120" s="27" t="n"/>
    </row>
    <row r="121" ht="22.2" customHeight="1" s="330">
      <c r="A121" s="4" t="n"/>
      <c r="E121" s="4" t="n"/>
      <c r="G121" s="252" t="n"/>
      <c r="H121" s="56" t="n"/>
      <c r="I121" s="331" t="n"/>
      <c r="J121" s="484" t="n"/>
      <c r="K121" s="331" t="n"/>
      <c r="L121" s="252" t="n"/>
      <c r="M121" s="252" t="n"/>
      <c r="N121" s="252" t="n"/>
      <c r="O121" s="244">
        <f>M121*N121</f>
        <v/>
      </c>
      <c r="P121" s="252" t="n"/>
      <c r="Q121" s="252" t="n"/>
      <c r="R121" s="252" t="n"/>
      <c r="S121" s="244">
        <f>Q121*R121</f>
        <v/>
      </c>
    </row>
    <row r="122" ht="22.2" customHeight="1" s="330">
      <c r="A122" s="4" t="n"/>
      <c r="E122" s="4" t="n"/>
      <c r="G122" s="252" t="n"/>
      <c r="H122" s="252" t="inlineStr">
        <is>
          <t> </t>
        </is>
      </c>
      <c r="I122" s="252" t="n"/>
      <c r="J122" s="250" t="n"/>
      <c r="K122" s="331" t="n"/>
      <c r="L122" s="252" t="n"/>
      <c r="M122" s="252" t="n"/>
      <c r="N122" s="252" t="n"/>
      <c r="O122" s="244">
        <f>M122*N122</f>
        <v/>
      </c>
      <c r="P122" s="252" t="n"/>
      <c r="Q122" s="252" t="n"/>
      <c r="R122" s="252" t="n"/>
      <c r="S122" s="244">
        <f>Q122*R122</f>
        <v/>
      </c>
    </row>
    <row r="123" ht="22.2" customHeight="1" s="330">
      <c r="A123" s="4" t="n"/>
      <c r="E123" s="4" t="n"/>
      <c r="F123" s="4" t="n"/>
      <c r="G123" s="278" t="n"/>
      <c r="H123" s="276" t="n"/>
      <c r="I123" s="276" t="n"/>
      <c r="J123" s="276" t="n"/>
      <c r="K123" s="476" t="n"/>
      <c r="L123" s="276" t="n"/>
      <c r="M123" s="276" t="n"/>
      <c r="N123" s="276" t="n"/>
      <c r="O123" s="244">
        <f>M123*N123</f>
        <v/>
      </c>
      <c r="P123" s="276" t="n"/>
      <c r="Q123" s="276" t="n"/>
      <c r="R123" s="276" t="n"/>
      <c r="S123" s="244">
        <f>Q123*R123</f>
        <v/>
      </c>
    </row>
    <row r="124" ht="22.2" customHeight="1" s="330">
      <c r="A124" s="4" t="n"/>
      <c r="E124" s="4" t="n"/>
      <c r="F124" s="4" t="n"/>
      <c r="G124" s="17" t="inlineStr">
        <is>
          <t>รวมขั่วโมงที่สอนแยก ภาระงาน/ เกินภาระงาน</t>
        </is>
      </c>
      <c r="H124" s="467" t="n"/>
      <c r="I124" s="467" t="n"/>
      <c r="J124" s="467" t="n"/>
      <c r="K124" s="362" t="n"/>
      <c r="L124" s="17">
        <f>SUM(L99:L123)</f>
        <v/>
      </c>
      <c r="M124" s="17">
        <f>SUM(M99:M123)</f>
        <v/>
      </c>
      <c r="N124" s="17" t="n"/>
      <c r="O124" s="17" t="n"/>
      <c r="P124" s="17">
        <f>SUM(P99:P123)</f>
        <v/>
      </c>
      <c r="Q124" s="17">
        <f>SUM(Q99:Q123)</f>
        <v/>
      </c>
      <c r="R124" s="279" t="n"/>
      <c r="S124" s="17" t="n"/>
    </row>
    <row r="125" ht="22.2" customHeight="1" s="330">
      <c r="A125" s="4" t="n"/>
      <c r="E125" s="4" t="n"/>
      <c r="F125" s="4" t="n"/>
      <c r="G125" s="17" t="inlineStr">
        <is>
          <t>รวมจำนวนชั่วโมงสอนคาบต่อสับดาห์</t>
        </is>
      </c>
      <c r="H125" s="467" t="n"/>
      <c r="I125" s="467" t="n"/>
      <c r="J125" s="467" t="n"/>
      <c r="K125" s="362" t="n"/>
      <c r="L125" s="17">
        <f>L124+M124</f>
        <v/>
      </c>
      <c r="M125" s="362" t="n"/>
      <c r="N125" s="298" t="n"/>
      <c r="O125" s="17" t="n"/>
      <c r="P125" s="17">
        <f>P124+Q124</f>
        <v/>
      </c>
      <c r="Q125" s="362" t="n"/>
      <c r="R125" s="278" t="n"/>
      <c r="S125" s="276" t="n"/>
    </row>
    <row r="126" ht="22.2" customHeight="1" s="330">
      <c r="A126" s="4" t="n"/>
      <c r="E126" s="4" t="n"/>
      <c r="F126" s="4" t="n"/>
      <c r="G126" s="17" t="inlineStr">
        <is>
          <t>จำนวนชั่วโมงสอนตามภาระงานสอน</t>
        </is>
      </c>
      <c r="H126" s="467" t="n"/>
      <c r="I126" s="467" t="n"/>
      <c r="J126" s="467" t="n"/>
      <c r="K126" s="362" t="n"/>
      <c r="L126" s="17" t="n">
        <v>12</v>
      </c>
      <c r="M126" s="362" t="n"/>
      <c r="N126" s="17" t="n"/>
      <c r="O126" s="298" t="n"/>
      <c r="P126" s="153" t="inlineStr">
        <is>
          <t>0</t>
        </is>
      </c>
      <c r="Q126" s="362" t="n"/>
      <c r="R126" s="249" t="n"/>
      <c r="S126" s="252" t="n"/>
    </row>
    <row r="127" ht="22.2" customHeight="1" s="330" thickBot="1">
      <c r="A127" s="4" t="n"/>
      <c r="E127" s="4" t="n"/>
      <c r="F127" s="15" t="n"/>
      <c r="G127" s="17" t="inlineStr">
        <is>
          <t>จำนวนชั่วโมงบิกเกินภาระงานสอน/ค่าสอน</t>
        </is>
      </c>
      <c r="H127" s="467" t="n"/>
      <c r="I127" s="467" t="n"/>
      <c r="J127" s="467" t="n"/>
      <c r="K127" s="362" t="n"/>
      <c r="L127" s="18" t="n">
        <v>0</v>
      </c>
      <c r="M127" s="18">
        <f>SUM(M99:M123)</f>
        <v/>
      </c>
      <c r="N127" s="18" t="n"/>
      <c r="O127" s="18">
        <f>SUM(O99:O123)</f>
        <v/>
      </c>
      <c r="P127" s="18" t="n">
        <v>0</v>
      </c>
      <c r="Q127" s="18">
        <f>SUM(Q99:Q123)</f>
        <v/>
      </c>
      <c r="R127" s="19" t="n"/>
      <c r="S127" s="18">
        <f>SUM(S99:S123)</f>
        <v/>
      </c>
    </row>
    <row r="128" ht="22.2" customHeight="1" s="330" thickTop="1">
      <c r="A128" s="299" t="inlineStr">
        <is>
          <t>รวมจำนวนหน่วยชั่วโมงที่ขอเบิกค่าสอน ….</t>
        </is>
      </c>
      <c r="B128" s="467" t="n"/>
      <c r="C128" s="467" t="n"/>
      <c r="D128" s="467" t="n"/>
      <c r="E128" s="467" t="n"/>
      <c r="F128" s="467" t="n"/>
      <c r="G128" s="467" t="n"/>
      <c r="H128" s="298">
        <f>M127+Q127</f>
        <v/>
      </c>
      <c r="I128" s="298" t="inlineStr">
        <is>
          <t>….ชั่วโมง</t>
        </is>
      </c>
      <c r="J128" s="298" t="n"/>
      <c r="K128" s="301" t="inlineStr">
        <is>
          <t>ยอดเงินรวม</t>
        </is>
      </c>
      <c r="L128" s="471" t="n"/>
      <c r="M128" s="471" t="n"/>
      <c r="N128" s="301" t="n"/>
      <c r="O128" s="301" t="n"/>
      <c r="P128" s="302">
        <f>S127+O127</f>
        <v/>
      </c>
      <c r="Q128" s="482" t="n"/>
      <c r="R128" s="21" t="n"/>
      <c r="S128" s="20" t="inlineStr">
        <is>
          <t>..บาท</t>
        </is>
      </c>
    </row>
    <row r="129" ht="22.2" customHeight="1" s="330">
      <c r="A129" s="207" t="inlineStr">
        <is>
          <t>ผู้ขอเบิก</t>
        </is>
      </c>
      <c r="B129" s="334" t="n"/>
      <c r="C129" s="334" t="n"/>
      <c r="D129" s="334" t="n"/>
      <c r="E129" s="334" t="n"/>
      <c r="F129" s="334" t="n"/>
      <c r="G129" s="335" t="n"/>
      <c r="H129" s="207" t="inlineStr">
        <is>
          <t>ผู้รับรอง</t>
        </is>
      </c>
      <c r="I129" s="334" t="n"/>
      <c r="J129" s="334" t="n"/>
      <c r="K129" s="334" t="n"/>
      <c r="L129" s="335" t="n"/>
      <c r="M129" s="207" t="inlineStr">
        <is>
          <t>ผู้ตรวจ</t>
        </is>
      </c>
      <c r="N129" s="334" t="n"/>
      <c r="O129" s="334" t="n"/>
      <c r="P129" s="334" t="n"/>
      <c r="Q129" s="334" t="n"/>
      <c r="R129" s="334" t="n"/>
      <c r="S129" s="335" t="n"/>
    </row>
    <row r="130" ht="22.2" customHeight="1" s="330">
      <c r="A130" s="252" t="inlineStr">
        <is>
          <t>ลงชื่อ……………………………………………</t>
        </is>
      </c>
      <c r="G130" s="331" t="n"/>
      <c r="H130" s="252" t="inlineStr">
        <is>
          <t>ลงชื่อ……………………………………………</t>
        </is>
      </c>
      <c r="L130" s="331" t="n"/>
      <c r="M130" s="252" t="inlineStr">
        <is>
          <t>ลงชื่อ……………………………………………</t>
        </is>
      </c>
      <c r="S130" s="331" t="n"/>
    </row>
    <row r="131" ht="22.2" customHeight="1" s="330">
      <c r="A131" s="12" t="inlineStr">
        <is>
          <t>(</t>
        </is>
      </c>
      <c r="B131" s="309">
        <f>B99</f>
        <v/>
      </c>
      <c r="G131" s="310" t="inlineStr">
        <is>
          <t>)</t>
        </is>
      </c>
      <c r="H131" s="309" t="inlineStr">
        <is>
          <t>(</t>
        </is>
      </c>
      <c r="I131" s="314">
        <f>I85</f>
        <v/>
      </c>
      <c r="L131" s="13" t="inlineStr">
        <is>
          <t>)</t>
        </is>
      </c>
      <c r="M131" s="61" t="inlineStr">
        <is>
          <t>(</t>
        </is>
      </c>
      <c r="N131" s="61" t="n"/>
      <c r="O131" s="309" t="inlineStr">
        <is>
          <t>นายพิสุทธิศักดิ์  กล่อมนาค</t>
        </is>
      </c>
      <c r="R131" s="29" t="n"/>
      <c r="S131" s="310" t="inlineStr">
        <is>
          <t>)</t>
        </is>
      </c>
    </row>
    <row r="132" ht="22.2" customHeight="1" s="330">
      <c r="A132" s="483" t="inlineStr">
        <is>
          <t xml:space="preserve">                    ตำแหน่ง  ครู</t>
        </is>
      </c>
      <c r="G132" s="331" t="n"/>
      <c r="H132" s="62" t="inlineStr">
        <is>
          <t>ตำแหน่ง หัวหน้าแผนก</t>
        </is>
      </c>
      <c r="L132" s="331" t="n"/>
      <c r="M132" s="62" t="inlineStr">
        <is>
          <t>ตำแหน่ง   ผู้ตรวจสอบ</t>
        </is>
      </c>
      <c r="S132" s="331" t="n"/>
    </row>
    <row r="133" ht="22.2" customHeight="1" s="330">
      <c r="A133" s="63">
        <f>A41</f>
        <v/>
      </c>
      <c r="B133" s="471" t="n"/>
      <c r="C133" s="471" t="n"/>
      <c r="D133" s="471" t="n"/>
      <c r="E133" s="471" t="n"/>
      <c r="F133" s="471" t="n"/>
      <c r="G133" s="476" t="n"/>
      <c r="H133" s="62">
        <f>A41</f>
        <v/>
      </c>
      <c r="L133" s="331" t="n"/>
      <c r="M133" s="63">
        <f>A41</f>
        <v/>
      </c>
      <c r="N133" s="471" t="n"/>
      <c r="O133" s="471" t="n"/>
      <c r="P133" s="471" t="n"/>
      <c r="Q133" s="471" t="n"/>
      <c r="R133" s="471" t="n"/>
      <c r="S133" s="476" t="n"/>
    </row>
    <row r="134" ht="22.2" customHeight="1" s="330">
      <c r="A134" s="207" t="inlineStr">
        <is>
          <t>ผู้ตรวจ</t>
        </is>
      </c>
      <c r="B134" s="334" t="n"/>
      <c r="C134" s="334" t="n"/>
      <c r="D134" s="334" t="n"/>
      <c r="E134" s="334" t="n"/>
      <c r="F134" s="334" t="n"/>
      <c r="G134" s="334" t="n"/>
      <c r="H134" s="334" t="n"/>
      <c r="I134" s="335" t="n"/>
      <c r="J134" s="207" t="inlineStr">
        <is>
          <t>ผู้เห็นชอบ</t>
        </is>
      </c>
      <c r="K134" s="334" t="n"/>
      <c r="L134" s="334" t="n"/>
      <c r="M134" s="334" t="n"/>
      <c r="N134" s="334" t="n"/>
      <c r="O134" s="334" t="n"/>
      <c r="P134" s="334" t="n"/>
      <c r="Q134" s="334" t="n"/>
      <c r="R134" s="334" t="n"/>
      <c r="S134" s="335" t="n"/>
    </row>
    <row r="135" ht="22.2" customHeight="1" s="330">
      <c r="A135" s="252" t="inlineStr">
        <is>
          <t>ลงชื่อ……………………………………………</t>
        </is>
      </c>
      <c r="I135" s="331" t="n"/>
      <c r="J135" s="252" t="inlineStr">
        <is>
          <t>ลงชื่อ……………………………………………</t>
        </is>
      </c>
      <c r="S135" s="331" t="n"/>
    </row>
    <row r="136" ht="22.2" customHeight="1" s="330">
      <c r="A136" s="12" t="n"/>
      <c r="B136" s="309" t="inlineStr">
        <is>
          <t xml:space="preserve">          (นางศิวรักษ์   บุญประเสริฐ)</t>
        </is>
      </c>
      <c r="I136" s="310" t="n"/>
      <c r="J136" s="29" t="n"/>
      <c r="K136" s="29" t="n"/>
      <c r="L136" s="309" t="inlineStr">
        <is>
          <t>(นายปรีชา  โพธิ์เกิด)</t>
        </is>
      </c>
      <c r="R136" s="29" t="n"/>
      <c r="S136" s="13" t="n"/>
    </row>
    <row r="137" ht="22.2" customHeight="1" s="330">
      <c r="A137" s="62" t="inlineStr">
        <is>
          <t>ตำแหน่งครู  หัวหน้างานพัฒนาหลักสูตร ฯ</t>
        </is>
      </c>
      <c r="I137" s="331" t="n"/>
      <c r="J137" s="62" t="inlineStr">
        <is>
          <t>ตำแหน่ง  รองผู้อำนวยการฝ่ายวิชาการ</t>
        </is>
      </c>
      <c r="S137" s="331" t="n"/>
    </row>
    <row r="138" ht="22.2" customHeight="1" s="330">
      <c r="A138" s="63">
        <f>A41</f>
        <v/>
      </c>
      <c r="B138" s="471" t="n"/>
      <c r="C138" s="471" t="n"/>
      <c r="D138" s="471" t="n"/>
      <c r="E138" s="471" t="n"/>
      <c r="F138" s="471" t="n"/>
      <c r="G138" s="471" t="n"/>
      <c r="H138" s="471" t="n"/>
      <c r="I138" s="476" t="n"/>
      <c r="J138" s="63">
        <f>A41</f>
        <v/>
      </c>
      <c r="K138" s="471" t="n"/>
      <c r="L138" s="471" t="n"/>
      <c r="M138" s="471" t="n"/>
      <c r="N138" s="471" t="n"/>
      <c r="O138" s="471" t="n"/>
      <c r="P138" s="471" t="n"/>
      <c r="Q138" s="471" t="n"/>
      <c r="R138" s="471" t="n"/>
      <c r="S138" s="476" t="n"/>
    </row>
    <row r="139" ht="22.2" customHeight="1" s="330">
      <c r="A13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40" ht="22.2" customHeight="1" s="330">
      <c r="A140" s="254">
        <f>A2</f>
        <v/>
      </c>
    </row>
    <row r="141" ht="22.2" customHeight="1" s="330">
      <c r="A141" s="253" t="inlineStr">
        <is>
          <t xml:space="preserve">    ระหว่างวันที่</t>
        </is>
      </c>
      <c r="D141" s="254">
        <f>D3</f>
        <v/>
      </c>
      <c r="E141" s="254" t="inlineStr">
        <is>
          <t xml:space="preserve">   เดือน  </t>
        </is>
      </c>
      <c r="F141" s="254">
        <f>F3</f>
        <v/>
      </c>
      <c r="H141" s="254">
        <f>H3</f>
        <v/>
      </c>
      <c r="I141" s="254" t="inlineStr">
        <is>
          <t xml:space="preserve">     ถึง วันที่</t>
        </is>
      </c>
      <c r="J141" s="254">
        <f>J3</f>
        <v/>
      </c>
      <c r="K141" s="254" t="inlineStr">
        <is>
          <t xml:space="preserve">   เดือน </t>
        </is>
      </c>
      <c r="L141" s="254">
        <f>L3</f>
        <v/>
      </c>
      <c r="N141" s="254">
        <f>N3</f>
        <v/>
      </c>
      <c r="P141" s="254" t="n"/>
      <c r="R141" s="254" t="n"/>
    </row>
    <row r="142" ht="22.2" customHeight="1" s="330">
      <c r="G142" s="58" t="inlineStr">
        <is>
          <t>ü</t>
        </is>
      </c>
      <c r="H142" s="290" t="inlineStr">
        <is>
          <t>ครู</t>
        </is>
      </c>
      <c r="I142" s="249" t="inlineStr">
        <is>
          <t>หน้าที่พิเศษ</t>
        </is>
      </c>
    </row>
    <row r="143" ht="22.2" customHeight="1" s="330">
      <c r="A143" s="28" t="inlineStr">
        <is>
          <t>ที่</t>
        </is>
      </c>
      <c r="B143" s="28" t="inlineStr">
        <is>
          <t>ชื่อ-สกุล</t>
        </is>
      </c>
      <c r="C143" s="334" t="n"/>
      <c r="D143" s="335" t="n"/>
      <c r="E143" s="16" t="inlineStr">
        <is>
          <t>ตำแหน่ง</t>
        </is>
      </c>
      <c r="F143" s="17" t="inlineStr">
        <is>
          <t>ระยะเวลาที่สอน</t>
        </is>
      </c>
      <c r="G143" s="362" t="n"/>
      <c r="H143" s="17" t="inlineStr">
        <is>
          <t>รหัสวิชา</t>
        </is>
      </c>
      <c r="I143" s="275" t="inlineStr">
        <is>
          <t>ชั้น,แผนก,ห้อง</t>
        </is>
      </c>
      <c r="J143" s="17" t="inlineStr">
        <is>
          <t>เวลาสอน</t>
        </is>
      </c>
      <c r="K143" s="335" t="n"/>
      <c r="L143" s="17" t="inlineStr">
        <is>
          <t>ปวช.(คาบ)</t>
        </is>
      </c>
      <c r="M143" s="362" t="n"/>
      <c r="N143" s="244" t="inlineStr">
        <is>
          <t>เงิน</t>
        </is>
      </c>
      <c r="O143" s="275" t="inlineStr">
        <is>
          <t>ยอดเงิน</t>
        </is>
      </c>
      <c r="P143" s="473" t="inlineStr">
        <is>
          <t>ปวส.(คาบ)</t>
        </is>
      </c>
      <c r="Q143" s="362" t="n"/>
      <c r="R143" s="244" t="inlineStr">
        <is>
          <t>เงิน</t>
        </is>
      </c>
      <c r="S143" s="275" t="inlineStr">
        <is>
          <t>ยอดเงิน</t>
        </is>
      </c>
    </row>
    <row r="144" ht="22.2" customHeight="1" s="330">
      <c r="A144" s="60" t="n"/>
      <c r="B144" s="9" t="n"/>
      <c r="C144" s="10" t="n"/>
      <c r="D144" s="14" t="n"/>
      <c r="E144" s="11" t="n"/>
      <c r="F144" s="276" t="inlineStr">
        <is>
          <t>ส.</t>
        </is>
      </c>
      <c r="G144" s="276" t="inlineStr">
        <is>
          <t>วดป.</t>
        </is>
      </c>
      <c r="H144" s="474" t="n"/>
      <c r="I144" s="276" t="n"/>
      <c r="J144" s="475" t="n"/>
      <c r="K144" s="476" t="n"/>
      <c r="L144" s="276" t="inlineStr">
        <is>
          <t>ใน</t>
        </is>
      </c>
      <c r="M144" s="276" t="inlineStr">
        <is>
          <t>นอก</t>
        </is>
      </c>
      <c r="N144" s="276" t="inlineStr">
        <is>
          <t>ต่อ ชม.</t>
        </is>
      </c>
      <c r="O144" s="276" t="inlineStr">
        <is>
          <t>(บาท)</t>
        </is>
      </c>
      <c r="P144" s="60" t="inlineStr">
        <is>
          <t>ใน</t>
        </is>
      </c>
      <c r="Q144" s="2" t="inlineStr">
        <is>
          <t>นอก</t>
        </is>
      </c>
      <c r="R144" s="276" t="inlineStr">
        <is>
          <t>ต่อ ชม.</t>
        </is>
      </c>
      <c r="S144" s="276" t="inlineStr">
        <is>
          <t>(บาท)</t>
        </is>
      </c>
    </row>
    <row r="145" ht="22.2" customHeight="1" s="330">
      <c r="A145" s="275" t="n">
        <v>4</v>
      </c>
      <c r="B145" s="477">
        <f>AB6</f>
        <v/>
      </c>
      <c r="C145" s="334" t="n"/>
      <c r="D145" s="335" t="n"/>
      <c r="E145" s="275" t="inlineStr">
        <is>
          <t>ครู</t>
        </is>
      </c>
      <c r="F145" s="6">
        <f>F7</f>
        <v/>
      </c>
      <c r="G145" s="303" t="inlineStr">
        <is>
          <t>จันทร์</t>
        </is>
      </c>
      <c r="H145" s="332" t="inlineStr">
        <is>
          <t>30101-2006</t>
        </is>
      </c>
      <c r="I145" s="325" t="inlineStr">
        <is>
          <t>ปวส.2/5 สย. (ม.6)</t>
        </is>
      </c>
      <c r="J145" s="332" t="inlineStr">
        <is>
          <t>08.10-12.10</t>
        </is>
      </c>
      <c r="K145" s="335" t="n"/>
      <c r="L145" s="265" t="n"/>
      <c r="M145" s="332" t="n"/>
      <c r="N145" s="332" t="n"/>
      <c r="O145" s="244">
        <f>M145*N145</f>
        <v/>
      </c>
      <c r="P145" s="332" t="n"/>
      <c r="Q145" s="265" t="n"/>
      <c r="R145" s="332" t="n"/>
      <c r="S145" s="244">
        <f>Q145*R145</f>
        <v/>
      </c>
    </row>
    <row r="146" ht="22.2" customHeight="1" s="330">
      <c r="A146" s="4" t="n"/>
      <c r="E146" s="252" t="n"/>
      <c r="F146" s="249" t="n"/>
      <c r="G146" s="308">
        <f>G100</f>
        <v/>
      </c>
      <c r="H146" s="325" t="inlineStr">
        <is>
          <t>30101-2006</t>
        </is>
      </c>
      <c r="I146" s="325" t="inlineStr">
        <is>
          <t>ปวส.2/5 สย. (ม.6)</t>
        </is>
      </c>
      <c r="J146" s="252" t="inlineStr">
        <is>
          <t>13.10-14.10</t>
        </is>
      </c>
      <c r="K146" s="331" t="n"/>
      <c r="L146" s="252" t="n"/>
      <c r="M146" s="252" t="n"/>
      <c r="N146" s="252" t="n"/>
      <c r="O146" s="244">
        <f>M146*N146</f>
        <v/>
      </c>
      <c r="P146" s="252" t="n"/>
      <c r="Q146" s="252" t="n"/>
      <c r="R146" s="252" t="n"/>
      <c r="S146" s="244">
        <f>Q146*R146</f>
        <v/>
      </c>
    </row>
    <row r="147" ht="22.2" customHeight="1" s="330">
      <c r="A147" s="4" t="n"/>
      <c r="B147" s="5" t="n"/>
      <c r="D147" s="3" t="n"/>
      <c r="E147" s="3" t="n"/>
      <c r="F147" s="249" t="n"/>
      <c r="G147" s="248" t="n"/>
      <c r="H147" s="325" t="inlineStr">
        <is>
          <t>30101-2006</t>
        </is>
      </c>
      <c r="I147" s="325" t="inlineStr">
        <is>
          <t>ปวส.2/6 สย. (ม.6)</t>
        </is>
      </c>
      <c r="J147" s="252" t="inlineStr">
        <is>
          <t>14.10-19.10</t>
        </is>
      </c>
      <c r="K147" s="331" t="n"/>
      <c r="L147" s="252" t="n"/>
      <c r="M147" s="252" t="n"/>
      <c r="N147" s="252" t="n"/>
      <c r="O147" s="244">
        <f>M147*N147</f>
        <v/>
      </c>
      <c r="P147" s="252" t="n"/>
      <c r="Q147" s="252" t="n"/>
      <c r="R147" s="252" t="n"/>
      <c r="S147" s="244">
        <f>Q147*R147</f>
        <v/>
      </c>
    </row>
    <row r="148" ht="22.2" customHeight="1" s="330">
      <c r="A148" s="4" t="n"/>
      <c r="B148" s="5" t="n"/>
      <c r="E148" s="4" t="n"/>
      <c r="F148" s="249" t="n"/>
      <c r="G148" s="248" t="n"/>
      <c r="H148" s="252" t="n"/>
      <c r="I148" s="252" t="n"/>
      <c r="J148" s="252" t="n"/>
      <c r="K148" s="331" t="n"/>
      <c r="L148" s="252" t="n"/>
      <c r="M148" s="252" t="n"/>
      <c r="N148" s="252" t="n"/>
      <c r="O148" s="244">
        <f>M148*N148</f>
        <v/>
      </c>
      <c r="P148" s="252" t="n"/>
      <c r="Q148" s="252" t="n"/>
      <c r="R148" s="252" t="n"/>
      <c r="S148" s="244">
        <f>Q148*R148</f>
        <v/>
      </c>
    </row>
    <row r="149" ht="22.2" customHeight="1" s="330">
      <c r="A149" s="4" t="n"/>
      <c r="E149" s="4" t="n"/>
      <c r="G149" s="311" t="n"/>
      <c r="H149" s="276" t="n"/>
      <c r="I149" s="276" t="n"/>
      <c r="J149" s="276" t="n"/>
      <c r="K149" s="476" t="n"/>
      <c r="L149" s="252" t="n"/>
      <c r="M149" s="252" t="n"/>
      <c r="N149" s="252" t="n"/>
      <c r="O149" s="244">
        <f>M149*N149</f>
        <v/>
      </c>
      <c r="P149" s="252" t="n"/>
      <c r="Q149" s="252" t="n"/>
      <c r="R149" s="252" t="n"/>
      <c r="S149" s="244">
        <f>Q149*R149</f>
        <v/>
      </c>
    </row>
    <row r="150" ht="22.2" customHeight="1" s="330">
      <c r="A150" s="4" t="n"/>
      <c r="E150" s="4" t="n"/>
      <c r="G150" s="62" t="inlineStr">
        <is>
          <t>อังคาร</t>
        </is>
      </c>
      <c r="H150" s="332" t="inlineStr">
        <is>
          <t>30101-2004</t>
        </is>
      </c>
      <c r="I150" s="332" t="inlineStr">
        <is>
          <t>ปวส.1/7 สย. (ทวิ)</t>
        </is>
      </c>
      <c r="J150" s="332" t="inlineStr">
        <is>
          <t>11.10-12.10</t>
        </is>
      </c>
      <c r="K150" s="335" t="n"/>
      <c r="L150" s="265" t="n"/>
      <c r="M150" s="332" t="n"/>
      <c r="N150" s="332" t="n"/>
      <c r="O150" s="244">
        <f>M150*N150</f>
        <v/>
      </c>
      <c r="P150" s="332" t="n"/>
      <c r="Q150" s="265" t="n"/>
      <c r="R150" s="332" t="n"/>
      <c r="S150" s="244">
        <f>Q150*R150</f>
        <v/>
      </c>
      <c r="T150" s="7" t="n"/>
      <c r="U150" s="23" t="inlineStr">
        <is>
          <t>เบิก ธุรการ</t>
        </is>
      </c>
      <c r="V150" s="66" t="n"/>
      <c r="W150" s="22" t="n"/>
      <c r="X150" s="22" t="n"/>
    </row>
    <row r="151" ht="22.2" customHeight="1" s="330">
      <c r="A151" s="4" t="n"/>
      <c r="E151" s="4" t="n"/>
      <c r="G151" s="308">
        <f>G105</f>
        <v/>
      </c>
      <c r="H151" s="325" t="inlineStr">
        <is>
          <t>30101-2004</t>
        </is>
      </c>
      <c r="I151" s="325" t="inlineStr">
        <is>
          <t>ปวส.1/7 สย. (ทวิ)</t>
        </is>
      </c>
      <c r="J151" s="252" t="inlineStr">
        <is>
          <t>13.10-17.10</t>
        </is>
      </c>
      <c r="K151" s="331" t="n"/>
      <c r="L151" s="252" t="n"/>
      <c r="M151" s="252" t="n"/>
      <c r="N151" s="252" t="n"/>
      <c r="O151" s="244">
        <f>M151*N151</f>
        <v/>
      </c>
      <c r="P151" s="252" t="n"/>
      <c r="Q151" s="252" t="n"/>
      <c r="R151" s="252" t="n"/>
      <c r="S151" s="244">
        <f>Q151*R151</f>
        <v/>
      </c>
      <c r="T151" s="22" t="inlineStr">
        <is>
          <t> </t>
        </is>
      </c>
      <c r="U151" s="23" t="inlineStr">
        <is>
          <t>16.10-19.10</t>
        </is>
      </c>
      <c r="V151" s="66" t="n"/>
      <c r="W151" s="22" t="n"/>
      <c r="X151" s="22" t="n"/>
    </row>
    <row r="152" ht="22.2" customHeight="1" s="330">
      <c r="A152" s="4" t="n"/>
      <c r="B152" s="5" t="n"/>
      <c r="D152" s="3" t="n"/>
      <c r="E152" s="3" t="n"/>
      <c r="G152" s="252" t="n"/>
      <c r="H152" s="325" t="n"/>
      <c r="I152" s="325" t="n"/>
      <c r="J152" s="252" t="n"/>
      <c r="K152" s="331" t="n"/>
      <c r="L152" s="252" t="n"/>
      <c r="M152" s="252" t="n"/>
      <c r="N152" s="252" t="n"/>
      <c r="O152" s="244">
        <f>M152*N152</f>
        <v/>
      </c>
      <c r="P152" s="252" t="n"/>
      <c r="Q152" s="252" t="n"/>
      <c r="R152" s="252" t="n"/>
      <c r="S152" s="244">
        <f>Q152*R152</f>
        <v/>
      </c>
    </row>
    <row r="153" ht="22.2" customHeight="1" s="330">
      <c r="A153" s="4" t="n"/>
      <c r="E153" s="4" t="n"/>
      <c r="G153" s="62" t="n"/>
      <c r="H153" s="252" t="n"/>
      <c r="I153" s="252" t="n"/>
      <c r="J153" s="252" t="n"/>
      <c r="K153" s="331" t="n"/>
      <c r="L153" s="252" t="n"/>
      <c r="M153" s="252" t="n"/>
      <c r="N153" s="252" t="n"/>
      <c r="O153" s="244">
        <f>M153*N153</f>
        <v/>
      </c>
      <c r="P153" s="252" t="n"/>
      <c r="Q153" s="252" t="n"/>
      <c r="R153" s="252" t="n"/>
      <c r="S153" s="244">
        <f>Q153*R153</f>
        <v/>
      </c>
    </row>
    <row r="154" ht="22.2" customHeight="1" s="330">
      <c r="A154" s="4" t="n"/>
      <c r="D154" s="8" t="inlineStr">
        <is>
          <t> </t>
        </is>
      </c>
      <c r="E154" s="4" t="n"/>
      <c r="G154" s="63" t="n"/>
      <c r="H154" s="276" t="n"/>
      <c r="I154" s="276" t="n"/>
      <c r="J154" s="276" t="n"/>
      <c r="K154" s="476" t="n"/>
      <c r="L154" s="252" t="n"/>
      <c r="M154" s="252" t="n"/>
      <c r="N154" s="252" t="n"/>
      <c r="O154" s="244">
        <f>M154*N154</f>
        <v/>
      </c>
      <c r="P154" s="252" t="n"/>
      <c r="Q154" s="252" t="n"/>
      <c r="R154" s="252" t="n"/>
      <c r="S154" s="244">
        <f>Q154*R154</f>
        <v/>
      </c>
    </row>
    <row r="155" ht="22.2" customHeight="1" s="330">
      <c r="A155" s="4" t="n"/>
      <c r="E155" s="4" t="n"/>
      <c r="G155" s="308" t="inlineStr">
        <is>
          <t>พุธ</t>
        </is>
      </c>
      <c r="H155" s="325" t="inlineStr">
        <is>
          <t>30101-0003</t>
        </is>
      </c>
      <c r="I155" s="325" t="inlineStr">
        <is>
          <t>ปวส.1/3 สย. (ม.6)</t>
        </is>
      </c>
      <c r="J155" s="252" t="inlineStr">
        <is>
          <t>13.10-18.10</t>
        </is>
      </c>
      <c r="K155" s="331" t="n"/>
      <c r="L155" s="265" t="n"/>
      <c r="M155" s="332" t="n"/>
      <c r="N155" s="332" t="n"/>
      <c r="O155" s="244">
        <f>M155*N155</f>
        <v/>
      </c>
      <c r="P155" s="332" t="n"/>
      <c r="Q155" s="265" t="n"/>
      <c r="R155" s="332" t="n"/>
      <c r="S155" s="244">
        <f>Q155*R155</f>
        <v/>
      </c>
    </row>
    <row r="156" ht="22.2" customHeight="1" s="330">
      <c r="A156" s="4" t="n"/>
      <c r="E156" s="4" t="n"/>
      <c r="G156" s="308">
        <f>G110</f>
        <v/>
      </c>
      <c r="H156" s="252" t="n"/>
      <c r="I156" s="252" t="n"/>
      <c r="J156" s="252" t="n"/>
      <c r="K156" s="331" t="n"/>
      <c r="L156" s="252" t="n"/>
      <c r="M156" s="252" t="n"/>
      <c r="N156" s="252" t="n"/>
      <c r="O156" s="244">
        <f>M156*N156</f>
        <v/>
      </c>
      <c r="P156" s="252" t="n"/>
      <c r="Q156" s="252" t="n"/>
      <c r="R156" s="252" t="n"/>
      <c r="S156" s="244">
        <f>Q156*R156</f>
        <v/>
      </c>
    </row>
    <row r="157" ht="22.2" customHeight="1" s="330">
      <c r="A157" s="4" t="n"/>
      <c r="B157" s="5" t="n"/>
      <c r="D157" s="3" t="n"/>
      <c r="E157" s="3" t="n"/>
      <c r="G157" s="252" t="n"/>
      <c r="H157" s="252" t="n"/>
      <c r="I157" s="252" t="n"/>
      <c r="J157" s="252" t="n"/>
      <c r="K157" s="331" t="n"/>
      <c r="L157" s="252" t="n"/>
      <c r="M157" s="252" t="n"/>
      <c r="N157" s="252" t="n"/>
      <c r="O157" s="244">
        <f>M157*N157</f>
        <v/>
      </c>
      <c r="P157" s="252" t="n"/>
      <c r="Q157" s="252" t="n"/>
      <c r="R157" s="252" t="n"/>
      <c r="S157" s="244">
        <f>Q157*R157</f>
        <v/>
      </c>
    </row>
    <row r="158" ht="22.2" customHeight="1" s="330">
      <c r="A158" s="4" t="n"/>
      <c r="E158" s="4" t="n"/>
      <c r="G158" s="248" t="n"/>
      <c r="H158" s="252" t="n"/>
      <c r="I158" s="252" t="n"/>
      <c r="J158" s="252" t="n"/>
      <c r="K158" s="331" t="n"/>
      <c r="L158" s="252" t="n"/>
      <c r="M158" s="252" t="n"/>
      <c r="N158" s="252" t="n"/>
      <c r="O158" s="244">
        <f>M158*N158</f>
        <v/>
      </c>
      <c r="P158" s="252" t="n"/>
      <c r="Q158" s="252" t="n"/>
      <c r="R158" s="252" t="n"/>
      <c r="S158" s="244">
        <f>Q158*R158</f>
        <v/>
      </c>
    </row>
    <row r="159" ht="22.2" customHeight="1" s="330">
      <c r="A159" s="4" t="n"/>
      <c r="E159" s="4" t="n"/>
      <c r="G159" s="277" t="n"/>
      <c r="H159" s="276" t="n"/>
      <c r="I159" s="276" t="n"/>
      <c r="J159" s="276" t="n"/>
      <c r="K159" s="476" t="n"/>
      <c r="L159" s="276" t="n"/>
      <c r="M159" s="276" t="n"/>
      <c r="N159" s="276" t="n"/>
      <c r="O159" s="244">
        <f>M159*N159</f>
        <v/>
      </c>
      <c r="P159" s="276" t="n"/>
      <c r="Q159" s="276" t="n"/>
      <c r="R159" s="276" t="n"/>
      <c r="S159" s="17">
        <f>Q159*R159</f>
        <v/>
      </c>
    </row>
    <row r="160" ht="22.2" customHeight="1" s="330">
      <c r="A160" s="4" t="n"/>
      <c r="E160" s="4" t="n"/>
      <c r="G160" s="62" t="inlineStr">
        <is>
          <t>พฤหัส</t>
        </is>
      </c>
      <c r="H160" s="325" t="inlineStr">
        <is>
          <t>30101-2006</t>
        </is>
      </c>
      <c r="I160" s="325" t="inlineStr">
        <is>
          <t>ปวส.2/7 สย. (ม.6)</t>
        </is>
      </c>
      <c r="J160" s="275" t="inlineStr">
        <is>
          <t>08.10-12.10</t>
        </is>
      </c>
      <c r="K160" s="335" t="n"/>
      <c r="L160" s="252" t="n"/>
      <c r="M160" s="179" t="n"/>
      <c r="N160" s="179" t="n"/>
      <c r="O160" s="244">
        <f>M160*N160</f>
        <v/>
      </c>
      <c r="P160" s="179" t="n"/>
      <c r="Q160" s="179" t="n"/>
      <c r="R160" s="179" t="n"/>
      <c r="S160" s="17">
        <f>Q160*R160</f>
        <v/>
      </c>
      <c r="T160" s="25" t="n"/>
      <c r="U160" s="26" t="inlineStr">
        <is>
          <t xml:space="preserve">     PLC</t>
        </is>
      </c>
      <c r="V160" s="64" t="n"/>
      <c r="W160" s="27" t="n"/>
      <c r="X160" s="27" t="n"/>
    </row>
    <row r="161" ht="22.2" customHeight="1" s="330">
      <c r="A161" s="4" t="n"/>
      <c r="E161" s="4" t="n"/>
      <c r="G161" s="308">
        <f>G115</f>
        <v/>
      </c>
      <c r="H161" s="325" t="inlineStr">
        <is>
          <t>30101-2006</t>
        </is>
      </c>
      <c r="I161" s="325" t="inlineStr">
        <is>
          <t>ปวส.2/7 สย. (ม.6)</t>
        </is>
      </c>
      <c r="J161" s="252" t="inlineStr">
        <is>
          <t>15.10-16.10</t>
        </is>
      </c>
      <c r="K161" s="331" t="n"/>
      <c r="L161" s="252" t="n"/>
      <c r="M161" s="56" t="n"/>
      <c r="N161" s="56" t="n"/>
      <c r="O161" s="244">
        <f>M161*N161</f>
        <v/>
      </c>
      <c r="P161" s="180" t="n"/>
      <c r="Q161" s="180" t="n"/>
      <c r="R161" s="180" t="n"/>
      <c r="S161" s="17">
        <f>Q161*R161</f>
        <v/>
      </c>
      <c r="T161" s="27" t="inlineStr">
        <is>
          <t> </t>
        </is>
      </c>
      <c r="U161" s="26" t="inlineStr">
        <is>
          <t>17.10-19.10</t>
        </is>
      </c>
      <c r="V161" s="64" t="n"/>
      <c r="W161" s="27" t="n"/>
      <c r="X161" s="27" t="n"/>
    </row>
    <row r="162" ht="22.2" customHeight="1" s="330">
      <c r="A162" s="4" t="n"/>
      <c r="B162" s="5" t="n"/>
      <c r="E162" s="4" t="n"/>
      <c r="G162" s="252" t="n"/>
      <c r="H162" s="325" t="n"/>
      <c r="I162" s="325" t="n"/>
      <c r="J162" s="252" t="n"/>
      <c r="K162" s="331" t="n"/>
      <c r="L162" s="325" t="n"/>
      <c r="M162" s="56" t="n"/>
      <c r="N162" s="56" t="n"/>
      <c r="O162" s="244">
        <f>M162*N162</f>
        <v/>
      </c>
      <c r="P162" s="56" t="n"/>
      <c r="Q162" s="180" t="n"/>
      <c r="R162" s="180" t="n"/>
      <c r="S162" s="17">
        <f>Q162*R162</f>
        <v/>
      </c>
    </row>
    <row r="163" ht="22.2" customHeight="1" s="330">
      <c r="A163" s="4" t="n"/>
      <c r="E163" s="4" t="n"/>
      <c r="G163" s="252" t="n"/>
      <c r="H163" s="252" t="n"/>
      <c r="I163" s="252" t="n"/>
      <c r="J163" s="252" t="n"/>
      <c r="K163" s="331" t="n"/>
      <c r="L163" s="252" t="n"/>
      <c r="M163" s="252" t="n"/>
      <c r="N163" s="252" t="n"/>
      <c r="O163" s="244">
        <f>M163*N163</f>
        <v/>
      </c>
      <c r="P163" s="252" t="n"/>
      <c r="Q163" s="252" t="n"/>
      <c r="R163" s="252" t="n"/>
      <c r="S163" s="244">
        <f>Q163*R163</f>
        <v/>
      </c>
    </row>
    <row r="164" ht="22.2" customHeight="1" s="330">
      <c r="A164" s="4" t="n"/>
      <c r="E164" s="4" t="n"/>
      <c r="G164" s="276" t="n"/>
      <c r="H164" s="301" t="n"/>
      <c r="I164" s="276" t="n"/>
      <c r="J164" s="276" t="n"/>
      <c r="K164" s="476" t="n"/>
      <c r="L164" s="276" t="n"/>
      <c r="M164" s="276" t="n"/>
      <c r="N164" s="276" t="n"/>
      <c r="O164" s="244">
        <f>M164*N164</f>
        <v/>
      </c>
      <c r="P164" s="276" t="n"/>
      <c r="Q164" s="276" t="n"/>
      <c r="R164" s="276" t="n"/>
      <c r="S164" s="244">
        <f>Q164*R164</f>
        <v/>
      </c>
    </row>
    <row r="165" ht="22.2" customHeight="1" s="330">
      <c r="A165" s="4" t="n"/>
      <c r="D165" s="331" t="n"/>
      <c r="E165" s="56" t="n"/>
      <c r="G165" s="62" t="inlineStr">
        <is>
          <t>ศุกร์</t>
        </is>
      </c>
      <c r="H165" s="325" t="inlineStr">
        <is>
          <t>30100-0104</t>
        </is>
      </c>
      <c r="I165" s="325" t="inlineStr">
        <is>
          <t>ปวส.1/1 สย. (ปกติ)</t>
        </is>
      </c>
      <c r="J165" s="332" t="inlineStr">
        <is>
          <t>08.10-12.10</t>
        </is>
      </c>
      <c r="K165" s="335" t="n"/>
      <c r="L165" s="252" t="n"/>
      <c r="M165" s="28" t="n"/>
      <c r="N165" s="272" t="n"/>
      <c r="O165" s="244">
        <f>M165*N165</f>
        <v/>
      </c>
      <c r="P165" s="275" t="n"/>
      <c r="Q165" s="275" t="n"/>
      <c r="R165" s="244" t="n"/>
      <c r="S165" s="17">
        <f>Q165*R165</f>
        <v/>
      </c>
    </row>
    <row r="166" ht="22.2" customHeight="1" s="330">
      <c r="A166" s="4" t="n"/>
      <c r="D166" s="3" t="n"/>
      <c r="E166" s="4" t="n"/>
      <c r="G166" s="308">
        <f>G120</f>
        <v/>
      </c>
      <c r="H166" s="325" t="n"/>
      <c r="I166" s="325" t="n"/>
      <c r="J166" s="252" t="n"/>
      <c r="K166" s="331" t="n"/>
      <c r="L166" s="252" t="n"/>
      <c r="M166" s="56" t="n"/>
      <c r="N166" s="331" t="n"/>
      <c r="O166" s="244">
        <f>M166*N166</f>
        <v/>
      </c>
      <c r="P166" s="180" t="n"/>
      <c r="Q166" s="56" t="n"/>
      <c r="R166" s="56" t="n"/>
      <c r="S166" s="17">
        <f>Q166*R166</f>
        <v/>
      </c>
    </row>
    <row r="167" ht="22.2" customHeight="1" s="330">
      <c r="A167" s="4" t="n"/>
      <c r="E167" s="4" t="n"/>
      <c r="G167" s="252" t="n"/>
      <c r="H167" s="252" t="n"/>
      <c r="I167" s="252" t="n"/>
      <c r="J167" s="252" t="n"/>
      <c r="K167" s="331" t="n"/>
      <c r="L167" s="252" t="n"/>
      <c r="M167" s="252" t="n"/>
      <c r="N167" s="252" t="n"/>
      <c r="O167" s="244">
        <f>M167*N167</f>
        <v/>
      </c>
      <c r="P167" s="252" t="n"/>
      <c r="Q167" s="252" t="n"/>
      <c r="R167" s="252" t="n"/>
      <c r="S167" s="244">
        <f>Q167*R167</f>
        <v/>
      </c>
    </row>
    <row r="168" ht="22.2" customHeight="1" s="330">
      <c r="A168" s="4" t="n"/>
      <c r="E168" s="4" t="n"/>
      <c r="G168" s="252" t="n"/>
      <c r="H168" s="252" t="n"/>
      <c r="I168" s="252" t="n"/>
      <c r="J168" s="252" t="n"/>
      <c r="K168" s="331" t="n"/>
      <c r="L168" s="252" t="n"/>
      <c r="M168" s="252" t="n"/>
      <c r="N168" s="252" t="n"/>
      <c r="O168" s="244">
        <f>M168*N168</f>
        <v/>
      </c>
      <c r="P168" s="252" t="n"/>
      <c r="Q168" s="252" t="n"/>
      <c r="R168" s="252" t="n"/>
      <c r="S168" s="244">
        <f>Q168*R168</f>
        <v/>
      </c>
    </row>
    <row r="169" ht="22.2" customHeight="1" s="330">
      <c r="A169" s="4" t="n"/>
      <c r="E169" s="4" t="n"/>
      <c r="F169" s="4" t="n"/>
      <c r="G169" s="278" t="n"/>
      <c r="H169" s="301" t="n"/>
      <c r="I169" s="276" t="n"/>
      <c r="J169" s="276" t="n"/>
      <c r="K169" s="476" t="n"/>
      <c r="L169" s="276" t="n"/>
      <c r="M169" s="276" t="n"/>
      <c r="N169" s="276" t="n"/>
      <c r="O169" s="244">
        <f>M169*N169</f>
        <v/>
      </c>
      <c r="P169" s="276" t="n"/>
      <c r="Q169" s="276" t="n"/>
      <c r="R169" s="276" t="n"/>
      <c r="S169" s="244">
        <f>Q169*R169</f>
        <v/>
      </c>
    </row>
    <row r="170" ht="22.2" customHeight="1" s="330">
      <c r="A170" s="4" t="n"/>
      <c r="E170" s="4" t="n"/>
      <c r="F170" s="4" t="n"/>
      <c r="G170" s="17" t="inlineStr">
        <is>
          <t>รวมขั่วโมงที่สอนแยก ภาระงาน/ เกินภาระงาน</t>
        </is>
      </c>
      <c r="H170" s="467" t="n"/>
      <c r="I170" s="467" t="n"/>
      <c r="J170" s="467" t="n"/>
      <c r="K170" s="362" t="n"/>
      <c r="L170" s="17">
        <f>SUM(L145:L169)</f>
        <v/>
      </c>
      <c r="M170" s="17">
        <f>SUM(M145:M169)</f>
        <v/>
      </c>
      <c r="N170" s="17" t="n"/>
      <c r="O170" s="17" t="n"/>
      <c r="P170" s="17">
        <f>SUM(P145:P169)</f>
        <v/>
      </c>
      <c r="Q170" s="17">
        <f>SUM(Q145:Q169)</f>
        <v/>
      </c>
      <c r="R170" s="279" t="n"/>
      <c r="S170" s="17" t="n"/>
      <c r="T170" s="24" t="n"/>
      <c r="U170" s="24" t="inlineStr">
        <is>
          <t>สอน ป.ตรี</t>
        </is>
      </c>
      <c r="V170" s="65" t="n"/>
      <c r="W170" s="24" t="n"/>
      <c r="X170" s="24" t="n"/>
    </row>
    <row r="171" ht="22.2" customHeight="1" s="330">
      <c r="A171" s="4" t="n"/>
      <c r="E171" s="4" t="n"/>
      <c r="F171" s="4" t="n"/>
      <c r="G171" s="17" t="inlineStr">
        <is>
          <t>รวมจำนวนชั่วโมงสอนคาบต่อสับดาห์</t>
        </is>
      </c>
      <c r="H171" s="467" t="n"/>
      <c r="I171" s="467" t="n"/>
      <c r="J171" s="467" t="n"/>
      <c r="K171" s="362" t="n"/>
      <c r="L171" s="17">
        <f>L170+M170</f>
        <v/>
      </c>
      <c r="M171" s="362" t="n"/>
      <c r="N171" s="17" t="n"/>
      <c r="O171" s="298" t="n"/>
      <c r="P171" s="17">
        <f>P170+Q170</f>
        <v/>
      </c>
      <c r="Q171" s="362" t="n"/>
      <c r="R171" s="278" t="n"/>
      <c r="S171" s="276" t="n"/>
      <c r="T171" s="24" t="n"/>
      <c r="U171" s="24" t="inlineStr">
        <is>
          <t>17.10-20.10</t>
        </is>
      </c>
      <c r="V171" s="65" t="n"/>
      <c r="W171" s="24" t="n"/>
      <c r="X171" s="24" t="n"/>
    </row>
    <row r="172" ht="22.2" customHeight="1" s="330">
      <c r="A172" s="4" t="n"/>
      <c r="E172" s="4" t="n"/>
      <c r="F172" s="4" t="n"/>
      <c r="G172" s="17" t="inlineStr">
        <is>
          <t>จำนวนชั่วโมงสอนตามภาระงานสอน</t>
        </is>
      </c>
      <c r="H172" s="467" t="n"/>
      <c r="I172" s="467" t="n"/>
      <c r="J172" s="467" t="n"/>
      <c r="K172" s="362" t="n"/>
      <c r="L172" s="485" t="inlineStr">
        <is>
          <t>0</t>
        </is>
      </c>
      <c r="M172" s="362" t="n"/>
      <c r="N172" s="151" t="n"/>
      <c r="O172" s="154" t="n"/>
      <c r="P172" s="485" t="inlineStr">
        <is>
          <t>15</t>
        </is>
      </c>
      <c r="Q172" s="362" t="n"/>
      <c r="R172" s="249" t="n"/>
      <c r="S172" s="252" t="n"/>
    </row>
    <row r="173" ht="22.2" customHeight="1" s="330" thickBot="1">
      <c r="A173" s="4" t="n"/>
      <c r="E173" s="4" t="n"/>
      <c r="F173" s="15" t="n"/>
      <c r="G173" s="17" t="inlineStr">
        <is>
          <t>จำนวนชั่วโมงบิกเกินภาระงานสอน/ค่าสอน</t>
        </is>
      </c>
      <c r="H173" s="467" t="n"/>
      <c r="I173" s="467" t="n"/>
      <c r="J173" s="467" t="n"/>
      <c r="K173" s="362" t="n"/>
      <c r="L173" s="18" t="n">
        <v>0</v>
      </c>
      <c r="M173" s="18">
        <f>SUM(M145:M169)</f>
        <v/>
      </c>
      <c r="N173" s="18" t="n"/>
      <c r="O173" s="18">
        <f>SUM(O145:O169)</f>
        <v/>
      </c>
      <c r="P173" s="18" t="n">
        <v>0</v>
      </c>
      <c r="Q173" s="18">
        <f>SUM(Q145:Q169)</f>
        <v/>
      </c>
      <c r="R173" s="19" t="n"/>
      <c r="S173" s="18">
        <f>SUM(S145:S169)</f>
        <v/>
      </c>
    </row>
    <row r="174" ht="22.2" customHeight="1" s="330" thickTop="1">
      <c r="A174" s="299" t="inlineStr">
        <is>
          <t>รวมจำนวนหน่วยชั่วโมงที่ขอเบิกค่าสอน ….</t>
        </is>
      </c>
      <c r="B174" s="467" t="n"/>
      <c r="C174" s="467" t="n"/>
      <c r="D174" s="467" t="n"/>
      <c r="E174" s="467" t="n"/>
      <c r="F174" s="467" t="n"/>
      <c r="G174" s="467" t="n"/>
      <c r="H174" s="298">
        <f>M173+Q173</f>
        <v/>
      </c>
      <c r="I174" s="298" t="inlineStr">
        <is>
          <t>….ชั่วโมง</t>
        </is>
      </c>
      <c r="J174" s="298" t="n"/>
      <c r="K174" s="301" t="inlineStr">
        <is>
          <t>ยอดเงินรวม</t>
        </is>
      </c>
      <c r="L174" s="471" t="n"/>
      <c r="M174" s="471" t="n"/>
      <c r="N174" s="301" t="n"/>
      <c r="O174" s="301" t="n"/>
      <c r="P174" s="302">
        <f>S173+O173</f>
        <v/>
      </c>
      <c r="Q174" s="482" t="n"/>
      <c r="R174" s="21" t="n"/>
      <c r="S174" s="20" t="inlineStr">
        <is>
          <t>..บาท</t>
        </is>
      </c>
    </row>
    <row r="175" ht="22.2" customHeight="1" s="330">
      <c r="A175" s="207" t="inlineStr">
        <is>
          <t>ผู้ขอเบิก</t>
        </is>
      </c>
      <c r="B175" s="334" t="n"/>
      <c r="C175" s="334" t="n"/>
      <c r="D175" s="334" t="n"/>
      <c r="E175" s="334" t="n"/>
      <c r="F175" s="334" t="n"/>
      <c r="G175" s="335" t="n"/>
      <c r="H175" s="207" t="inlineStr">
        <is>
          <t>ผู้รับรอง</t>
        </is>
      </c>
      <c r="I175" s="334" t="n"/>
      <c r="J175" s="334" t="n"/>
      <c r="K175" s="334" t="n"/>
      <c r="L175" s="335" t="n"/>
      <c r="M175" s="207" t="inlineStr">
        <is>
          <t>ผู้ตรวจ</t>
        </is>
      </c>
      <c r="N175" s="334" t="n"/>
      <c r="O175" s="334" t="n"/>
      <c r="P175" s="334" t="n"/>
      <c r="Q175" s="334" t="n"/>
      <c r="R175" s="334" t="n"/>
      <c r="S175" s="335" t="n"/>
    </row>
    <row r="176" ht="22.2" customHeight="1" s="330">
      <c r="A176" s="252" t="inlineStr">
        <is>
          <t>ลงชื่อ……………………………………………</t>
        </is>
      </c>
      <c r="G176" s="331" t="n"/>
      <c r="H176" s="252" t="inlineStr">
        <is>
          <t>ลงชื่อ……………………………………………</t>
        </is>
      </c>
      <c r="L176" s="331" t="n"/>
      <c r="M176" s="252" t="inlineStr">
        <is>
          <t>ลงชื่อ……………………………………………</t>
        </is>
      </c>
      <c r="S176" s="331" t="n"/>
    </row>
    <row r="177" ht="22.2" customHeight="1" s="330">
      <c r="A177" s="12" t="inlineStr">
        <is>
          <t>(</t>
        </is>
      </c>
      <c r="B177" s="309">
        <f>B145</f>
        <v/>
      </c>
      <c r="G177" s="310" t="inlineStr">
        <is>
          <t>)</t>
        </is>
      </c>
      <c r="H177" s="309" t="inlineStr">
        <is>
          <t>(</t>
        </is>
      </c>
      <c r="I177" s="314">
        <f>I131</f>
        <v/>
      </c>
      <c r="L177" s="13" t="inlineStr">
        <is>
          <t>)</t>
        </is>
      </c>
      <c r="M177" s="61" t="inlineStr">
        <is>
          <t>(</t>
        </is>
      </c>
      <c r="N177" s="61" t="n"/>
      <c r="O177" s="309" t="inlineStr">
        <is>
          <t>นายพิสุทธิศักดิ์  กล่อมนาค</t>
        </is>
      </c>
      <c r="R177" s="29" t="n"/>
      <c r="S177" s="310" t="inlineStr">
        <is>
          <t>)</t>
        </is>
      </c>
    </row>
    <row r="178" ht="22.2" customHeight="1" s="330">
      <c r="A178" s="483" t="inlineStr">
        <is>
          <t xml:space="preserve">                    ตำแหน่ง  ครู</t>
        </is>
      </c>
      <c r="G178" s="331" t="n"/>
      <c r="H178" s="62" t="inlineStr">
        <is>
          <t>ตำแหน่ง หัวหน้าแผนก</t>
        </is>
      </c>
      <c r="L178" s="331" t="n"/>
      <c r="M178" s="62" t="inlineStr">
        <is>
          <t>ตำแหน่ง   ผู้ตรวจสอบ</t>
        </is>
      </c>
      <c r="S178" s="331" t="n"/>
    </row>
    <row r="179" ht="22.2" customHeight="1" s="330">
      <c r="A179" s="63">
        <f>A41</f>
        <v/>
      </c>
      <c r="B179" s="471" t="n"/>
      <c r="C179" s="471" t="n"/>
      <c r="D179" s="471" t="n"/>
      <c r="E179" s="471" t="n"/>
      <c r="F179" s="471" t="n"/>
      <c r="G179" s="476" t="n"/>
      <c r="H179" s="62">
        <f>A41</f>
        <v/>
      </c>
      <c r="L179" s="331" t="n"/>
      <c r="M179" s="63">
        <f>A41</f>
        <v/>
      </c>
      <c r="N179" s="471" t="n"/>
      <c r="O179" s="471" t="n"/>
      <c r="P179" s="471" t="n"/>
      <c r="Q179" s="471" t="n"/>
      <c r="R179" s="471" t="n"/>
      <c r="S179" s="476" t="n"/>
    </row>
    <row r="180" ht="22.2" customHeight="1" s="330">
      <c r="A180" s="207" t="inlineStr">
        <is>
          <t>ผู้ตรวจ</t>
        </is>
      </c>
      <c r="B180" s="334" t="n"/>
      <c r="C180" s="334" t="n"/>
      <c r="D180" s="334" t="n"/>
      <c r="E180" s="334" t="n"/>
      <c r="F180" s="334" t="n"/>
      <c r="G180" s="334" t="n"/>
      <c r="H180" s="334" t="n"/>
      <c r="I180" s="335" t="n"/>
      <c r="J180" s="207" t="inlineStr">
        <is>
          <t>ผู้เห็นชอบ</t>
        </is>
      </c>
      <c r="K180" s="334" t="n"/>
      <c r="L180" s="334" t="n"/>
      <c r="M180" s="334" t="n"/>
      <c r="N180" s="334" t="n"/>
      <c r="O180" s="334" t="n"/>
      <c r="P180" s="334" t="n"/>
      <c r="Q180" s="334" t="n"/>
      <c r="R180" s="334" t="n"/>
      <c r="S180" s="335" t="n"/>
    </row>
    <row r="181" ht="22.2" customHeight="1" s="330">
      <c r="A181" s="252" t="inlineStr">
        <is>
          <t>ลงชื่อ……………………………………………</t>
        </is>
      </c>
      <c r="I181" s="331" t="n"/>
      <c r="J181" s="252" t="inlineStr">
        <is>
          <t>ลงชื่อ……………………………………………</t>
        </is>
      </c>
      <c r="S181" s="331" t="n"/>
    </row>
    <row r="182" ht="22.2" customHeight="1" s="330">
      <c r="A182" s="12" t="n"/>
      <c r="B182" s="309" t="inlineStr">
        <is>
          <t xml:space="preserve">          (นางศิวรักษ์   บุญประเสริฐ)</t>
        </is>
      </c>
      <c r="I182" s="310" t="n"/>
      <c r="J182" s="29" t="n"/>
      <c r="K182" s="29" t="n"/>
      <c r="L182" s="309" t="inlineStr">
        <is>
          <t>(นายปรีชา  โพธิ์เกิด)</t>
        </is>
      </c>
      <c r="R182" s="29" t="n"/>
      <c r="S182" s="13" t="n"/>
    </row>
    <row r="183" ht="22.2" customHeight="1" s="330">
      <c r="A183" s="62" t="inlineStr">
        <is>
          <t>ตำแหน่งครู  หัวหน้างานพัฒนาหลักสูตร ฯ</t>
        </is>
      </c>
      <c r="I183" s="331" t="n"/>
      <c r="J183" s="62" t="inlineStr">
        <is>
          <t>ตำแหน่ง  รองผู้อำนวยการฝ่ายวิชาการ</t>
        </is>
      </c>
      <c r="S183" s="331" t="n"/>
    </row>
    <row r="184" ht="22.2" customHeight="1" s="330">
      <c r="A184" s="63">
        <f>A41</f>
        <v/>
      </c>
      <c r="B184" s="471" t="n"/>
      <c r="C184" s="471" t="n"/>
      <c r="D184" s="471" t="n"/>
      <c r="E184" s="471" t="n"/>
      <c r="F184" s="471" t="n"/>
      <c r="G184" s="471" t="n"/>
      <c r="H184" s="471" t="n"/>
      <c r="I184" s="476" t="n"/>
      <c r="J184" s="63">
        <f>A41</f>
        <v/>
      </c>
      <c r="K184" s="471" t="n"/>
      <c r="L184" s="471" t="n"/>
      <c r="M184" s="471" t="n"/>
      <c r="N184" s="471" t="n"/>
      <c r="O184" s="471" t="n"/>
      <c r="P184" s="471" t="n"/>
      <c r="Q184" s="471" t="n"/>
      <c r="R184" s="471" t="n"/>
      <c r="S184" s="476" t="n"/>
    </row>
    <row r="185" ht="22.2" customHeight="1" s="330">
      <c r="A18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86" ht="22.2" customHeight="1" s="330">
      <c r="A186" s="254">
        <f>A2</f>
        <v/>
      </c>
    </row>
    <row r="187" ht="22.2" customHeight="1" s="330">
      <c r="A187" s="253" t="inlineStr">
        <is>
          <t xml:space="preserve">    ระหว่างวันที่</t>
        </is>
      </c>
      <c r="D187" s="254">
        <f>D3</f>
        <v/>
      </c>
      <c r="E187" s="254" t="inlineStr">
        <is>
          <t xml:space="preserve">   เดือน  </t>
        </is>
      </c>
      <c r="F187" s="254">
        <f>F3</f>
        <v/>
      </c>
      <c r="H187" s="254">
        <f>H3</f>
        <v/>
      </c>
      <c r="I187" s="254" t="inlineStr">
        <is>
          <t xml:space="preserve">     ถึง วันที่</t>
        </is>
      </c>
      <c r="J187" s="254">
        <f>J3</f>
        <v/>
      </c>
      <c r="K187" s="254" t="inlineStr">
        <is>
          <t xml:space="preserve">   เดือน </t>
        </is>
      </c>
      <c r="L187" s="254">
        <f>L3</f>
        <v/>
      </c>
      <c r="N187" s="254">
        <f>N3</f>
        <v/>
      </c>
      <c r="P187" s="254" t="n"/>
      <c r="R187" s="254" t="n"/>
    </row>
    <row r="188" ht="22.2" customHeight="1" s="330">
      <c r="G188" s="58" t="inlineStr">
        <is>
          <t>ü</t>
        </is>
      </c>
      <c r="H188" s="290" t="inlineStr">
        <is>
          <t>ครู</t>
        </is>
      </c>
      <c r="I188" s="249" t="inlineStr">
        <is>
          <t>หน้าที่พิเศษ</t>
        </is>
      </c>
      <c r="J188" s="8" t="inlineStr">
        <is>
          <t>หัวหน้างานศูนย์ข้อมูล และสารสนเทศ</t>
        </is>
      </c>
    </row>
    <row r="189" ht="22.2" customHeight="1" s="330">
      <c r="A189" s="28" t="inlineStr">
        <is>
          <t>ที่</t>
        </is>
      </c>
      <c r="B189" s="28" t="inlineStr">
        <is>
          <t>ชื่อ-สกุล</t>
        </is>
      </c>
      <c r="C189" s="334" t="n"/>
      <c r="D189" s="335" t="n"/>
      <c r="E189" s="16" t="inlineStr">
        <is>
          <t>ตำแหน่ง</t>
        </is>
      </c>
      <c r="F189" s="17" t="inlineStr">
        <is>
          <t>ระยะเวลาที่สอน</t>
        </is>
      </c>
      <c r="G189" s="362" t="n"/>
      <c r="H189" s="17" t="inlineStr">
        <is>
          <t>รหัสวิชา</t>
        </is>
      </c>
      <c r="I189" s="275" t="inlineStr">
        <is>
          <t>ชั้น,แผนก,ห้อง</t>
        </is>
      </c>
      <c r="J189" s="17" t="inlineStr">
        <is>
          <t>เวลาสอน</t>
        </is>
      </c>
      <c r="K189" s="335" t="n"/>
      <c r="L189" s="17" t="inlineStr">
        <is>
          <t>ปวช.(คาบ)</t>
        </is>
      </c>
      <c r="M189" s="362" t="n"/>
      <c r="N189" s="244" t="inlineStr">
        <is>
          <t>เงิน</t>
        </is>
      </c>
      <c r="O189" s="275" t="inlineStr">
        <is>
          <t>ยอดเงิน</t>
        </is>
      </c>
      <c r="P189" s="473" t="inlineStr">
        <is>
          <t>ปวส.(คาบ)</t>
        </is>
      </c>
      <c r="Q189" s="362" t="n"/>
      <c r="R189" s="244" t="inlineStr">
        <is>
          <t>เงิน</t>
        </is>
      </c>
      <c r="S189" s="275" t="inlineStr">
        <is>
          <t>ยอดเงิน</t>
        </is>
      </c>
    </row>
    <row r="190" ht="22.2" customHeight="1" s="330">
      <c r="A190" s="60" t="n"/>
      <c r="B190" s="9" t="n"/>
      <c r="C190" s="10" t="n"/>
      <c r="D190" s="14" t="n"/>
      <c r="E190" s="11" t="n"/>
      <c r="F190" s="276" t="inlineStr">
        <is>
          <t>ส.</t>
        </is>
      </c>
      <c r="G190" s="276" t="inlineStr">
        <is>
          <t>วดป.</t>
        </is>
      </c>
      <c r="H190" s="474" t="n"/>
      <c r="I190" s="276" t="n"/>
      <c r="J190" s="475" t="n"/>
      <c r="K190" s="476" t="n"/>
      <c r="L190" s="276" t="inlineStr">
        <is>
          <t>ใน</t>
        </is>
      </c>
      <c r="M190" s="276" t="inlineStr">
        <is>
          <t>นอก</t>
        </is>
      </c>
      <c r="N190" s="276" t="inlineStr">
        <is>
          <t>ต่อ ชม.</t>
        </is>
      </c>
      <c r="O190" s="276" t="inlineStr">
        <is>
          <t>(บาท)</t>
        </is>
      </c>
      <c r="P190" s="60" t="inlineStr">
        <is>
          <t>ใน</t>
        </is>
      </c>
      <c r="Q190" s="60" t="inlineStr">
        <is>
          <t>นอก</t>
        </is>
      </c>
      <c r="R190" s="276" t="inlineStr">
        <is>
          <t>ต่อ ชม.</t>
        </is>
      </c>
      <c r="S190" s="276" t="inlineStr">
        <is>
          <t>(บาท)</t>
        </is>
      </c>
    </row>
    <row r="191" ht="22.2" customHeight="1" s="330">
      <c r="A191" s="275" t="n">
        <v>5</v>
      </c>
      <c r="B191" s="477">
        <f>AB7</f>
        <v/>
      </c>
      <c r="C191" s="334" t="n"/>
      <c r="D191" s="335" t="n"/>
      <c r="E191" s="275" t="inlineStr">
        <is>
          <t>ครู</t>
        </is>
      </c>
      <c r="F191" s="6">
        <f>F7</f>
        <v/>
      </c>
      <c r="G191" s="303" t="inlineStr">
        <is>
          <t>จันทร์</t>
        </is>
      </c>
      <c r="H191" s="332" t="inlineStr">
        <is>
          <t>30101-2101</t>
        </is>
      </c>
      <c r="I191" s="325" t="inlineStr">
        <is>
          <t>ปวส.2/6 สย. (ม.6)</t>
        </is>
      </c>
      <c r="J191" s="332" t="inlineStr">
        <is>
          <t>08.10-12.10</t>
        </is>
      </c>
      <c r="K191" s="335" t="n"/>
      <c r="L191" s="265" t="n"/>
      <c r="M191" s="332" t="n"/>
      <c r="N191" s="332" t="n"/>
      <c r="O191" s="244">
        <f>M191*N191</f>
        <v/>
      </c>
      <c r="P191" s="332" t="n"/>
      <c r="Q191" s="265" t="n"/>
      <c r="R191" s="332" t="n"/>
      <c r="S191" s="244">
        <f>Q191*R191</f>
        <v/>
      </c>
    </row>
    <row r="192" ht="22.2" customHeight="1" s="330">
      <c r="A192" s="4" t="n"/>
      <c r="B192" s="478" t="n"/>
      <c r="D192" s="331" t="n"/>
      <c r="E192" s="252" t="n"/>
      <c r="F192" s="249" t="n"/>
      <c r="G192" s="308">
        <f>G146</f>
        <v/>
      </c>
      <c r="H192" s="325" t="inlineStr">
        <is>
          <t>30101-2101</t>
        </is>
      </c>
      <c r="I192" s="325" t="inlineStr">
        <is>
          <t>ปวส.2/6 สย. (ม.6)</t>
        </is>
      </c>
      <c r="J192" s="252" t="inlineStr">
        <is>
          <t>13.10-14.10</t>
        </is>
      </c>
      <c r="K192" s="331" t="n"/>
      <c r="L192" s="252" t="n"/>
      <c r="M192" s="252" t="n"/>
      <c r="N192" s="252" t="n"/>
      <c r="O192" s="244">
        <f>M192*N192</f>
        <v/>
      </c>
      <c r="P192" s="252" t="n"/>
      <c r="Q192" s="252" t="n"/>
      <c r="R192" s="252" t="n"/>
      <c r="S192" s="244">
        <f>Q192*R192</f>
        <v/>
      </c>
    </row>
    <row r="193" ht="22.2" customHeight="1" s="330">
      <c r="A193" s="4" t="n"/>
      <c r="B193" s="5" t="n"/>
      <c r="D193" s="3" t="n"/>
      <c r="E193" s="3" t="n"/>
      <c r="F193" s="249" t="n"/>
      <c r="G193" s="248" t="n"/>
      <c r="H193" s="325" t="inlineStr">
        <is>
          <t>30101-2101</t>
        </is>
      </c>
      <c r="I193" s="325" t="inlineStr">
        <is>
          <t>ปวส.2/5 สย. (ม.6)</t>
        </is>
      </c>
      <c r="J193" s="252" t="inlineStr">
        <is>
          <t>14.10-19.10</t>
        </is>
      </c>
      <c r="K193" s="331" t="n"/>
      <c r="L193" s="252" t="n"/>
      <c r="M193" s="252" t="n"/>
      <c r="N193" s="252" t="n"/>
      <c r="O193" s="244">
        <f>M193*N193</f>
        <v/>
      </c>
      <c r="P193" s="252" t="n"/>
      <c r="Q193" s="252" t="n"/>
      <c r="R193" s="252" t="n"/>
      <c r="S193" s="244">
        <f>Q193*R193</f>
        <v/>
      </c>
    </row>
    <row r="194" ht="22.2" customHeight="1" s="330">
      <c r="A194" s="4" t="n"/>
      <c r="B194" s="5" t="n"/>
      <c r="E194" s="4" t="n"/>
      <c r="F194" s="249" t="n"/>
      <c r="G194" s="248" t="n"/>
      <c r="H194" s="252" t="n"/>
      <c r="I194" s="252" t="n"/>
      <c r="J194" s="252" t="n"/>
      <c r="K194" s="331" t="n"/>
      <c r="L194" s="252" t="n"/>
      <c r="M194" s="252" t="n"/>
      <c r="N194" s="252" t="n"/>
      <c r="O194" s="244">
        <f>M194*N194</f>
        <v/>
      </c>
      <c r="P194" s="252" t="n"/>
      <c r="Q194" s="252" t="n"/>
      <c r="R194" s="252" t="n"/>
      <c r="S194" s="244">
        <f>Q194*R194</f>
        <v/>
      </c>
    </row>
    <row r="195" ht="22.2" customHeight="1" s="330">
      <c r="A195" s="4" t="n"/>
      <c r="E195" s="4" t="n"/>
      <c r="G195" s="311" t="n"/>
      <c r="H195" s="276" t="n"/>
      <c r="I195" s="276" t="n"/>
      <c r="J195" s="276" t="n"/>
      <c r="K195" s="476" t="n"/>
      <c r="L195" s="252" t="n"/>
      <c r="M195" s="252" t="n"/>
      <c r="N195" s="252" t="n"/>
      <c r="O195" s="244">
        <f>M195*N195</f>
        <v/>
      </c>
      <c r="P195" s="252" t="n"/>
      <c r="Q195" s="252" t="n"/>
      <c r="R195" s="252" t="n"/>
      <c r="S195" s="244">
        <f>Q195*R195</f>
        <v/>
      </c>
    </row>
    <row r="196" ht="22.2" customHeight="1" s="330">
      <c r="A196" s="4" t="n"/>
      <c r="B196" s="170" t="n"/>
      <c r="C196" s="171" t="n"/>
      <c r="D196" s="172" t="n"/>
      <c r="E196" s="173" t="n"/>
      <c r="F196" s="172" t="n"/>
      <c r="G196" s="62" t="inlineStr">
        <is>
          <t>อังคาร</t>
        </is>
      </c>
      <c r="H196" s="332" t="inlineStr">
        <is>
          <t>30101-2101</t>
        </is>
      </c>
      <c r="I196" s="325" t="inlineStr">
        <is>
          <t>ปวส.2/7 สย. (ม.6)</t>
        </is>
      </c>
      <c r="J196" s="332" t="inlineStr">
        <is>
          <t>08.10-12.10</t>
        </is>
      </c>
      <c r="K196" s="335" t="n"/>
      <c r="L196" s="265" t="n"/>
      <c r="M196" s="332" t="n"/>
      <c r="N196" s="332" t="n"/>
      <c r="O196" s="244">
        <f>M196*N196</f>
        <v/>
      </c>
      <c r="P196" s="332" t="n"/>
      <c r="Q196" s="265" t="n"/>
      <c r="R196" s="332" t="n"/>
      <c r="S196" s="244">
        <f>Q196*R196</f>
        <v/>
      </c>
    </row>
    <row r="197" ht="22.2" customHeight="1" s="330">
      <c r="A197" s="4" t="n"/>
      <c r="D197" s="3" t="n"/>
      <c r="E197" s="4" t="n"/>
      <c r="G197" s="308">
        <f>G151</f>
        <v/>
      </c>
      <c r="H197" s="325" t="inlineStr">
        <is>
          <t>30101-2101</t>
        </is>
      </c>
      <c r="I197" s="325" t="inlineStr">
        <is>
          <t>ปวส.2/7 สย. (ม.6)</t>
        </is>
      </c>
      <c r="J197" s="252" t="inlineStr">
        <is>
          <t>13.10-14.10</t>
        </is>
      </c>
      <c r="K197" s="331" t="n"/>
      <c r="L197" s="252" t="n"/>
      <c r="M197" s="252" t="n"/>
      <c r="N197" s="252" t="n"/>
      <c r="O197" s="244">
        <f>M197*N197</f>
        <v/>
      </c>
      <c r="P197" s="252" t="n"/>
      <c r="Q197" s="252" t="n"/>
      <c r="R197" s="252" t="n"/>
      <c r="S197" s="244">
        <f>Q197*R197</f>
        <v/>
      </c>
    </row>
    <row r="198" ht="22.2" customHeight="1" s="330">
      <c r="A198" s="4" t="n"/>
      <c r="B198" s="5" t="n"/>
      <c r="D198" s="3" t="n"/>
      <c r="E198" s="3" t="n"/>
      <c r="G198" s="252" t="n"/>
      <c r="H198" s="252" t="n"/>
      <c r="I198" s="325" t="n"/>
      <c r="J198" s="252" t="n"/>
      <c r="K198" s="331" t="n"/>
      <c r="L198" s="252" t="n"/>
      <c r="M198" s="252" t="n"/>
      <c r="N198" s="252" t="n"/>
      <c r="O198" s="244">
        <f>M198*N198</f>
        <v/>
      </c>
      <c r="P198" s="252" t="n"/>
      <c r="Q198" s="252" t="n"/>
      <c r="R198" s="252" t="n"/>
      <c r="S198" s="244">
        <f>Q198*R198</f>
        <v/>
      </c>
    </row>
    <row r="199" ht="22.2" customHeight="1" s="330">
      <c r="A199" s="4" t="n"/>
      <c r="E199" s="4" t="n"/>
      <c r="G199" s="62" t="n"/>
      <c r="H199" s="252" t="n"/>
      <c r="I199" s="252" t="n"/>
      <c r="J199" s="252" t="n"/>
      <c r="K199" s="331" t="n"/>
      <c r="L199" s="252" t="n"/>
      <c r="M199" s="252" t="n"/>
      <c r="N199" s="252" t="n"/>
      <c r="O199" s="244">
        <f>M199*N199</f>
        <v/>
      </c>
      <c r="P199" s="252" t="n"/>
      <c r="Q199" s="252" t="n"/>
      <c r="R199" s="252" t="n"/>
      <c r="S199" s="244">
        <f>Q199*R199</f>
        <v/>
      </c>
    </row>
    <row r="200" ht="22.2" customHeight="1" s="330">
      <c r="A200" s="4" t="n"/>
      <c r="D200" s="8" t="inlineStr">
        <is>
          <t> </t>
        </is>
      </c>
      <c r="E200" s="4" t="n"/>
      <c r="G200" s="63" t="n"/>
      <c r="H200" s="276" t="n"/>
      <c r="I200" s="276" t="n"/>
      <c r="J200" s="276" t="n"/>
      <c r="K200" s="476" t="n"/>
      <c r="L200" s="252" t="n"/>
      <c r="M200" s="252" t="n"/>
      <c r="N200" s="252" t="n"/>
      <c r="O200" s="244">
        <f>M200*N200</f>
        <v/>
      </c>
      <c r="P200" s="252" t="n"/>
      <c r="Q200" s="252" t="n"/>
      <c r="R200" s="252" t="n"/>
      <c r="S200" s="244">
        <f>Q200*R200</f>
        <v/>
      </c>
    </row>
    <row r="201" ht="22.2" customHeight="1" s="330">
      <c r="A201" s="4" t="n"/>
      <c r="E201" s="4" t="n"/>
      <c r="G201" s="308" t="inlineStr">
        <is>
          <t>พุธ</t>
        </is>
      </c>
      <c r="H201" s="252" t="inlineStr">
        <is>
          <t>30101-8001</t>
        </is>
      </c>
      <c r="I201" s="325" t="inlineStr">
        <is>
          <t>ปวส.2/2 สย. (ปกติ)</t>
        </is>
      </c>
      <c r="J201" s="332" t="inlineStr">
        <is>
          <t>08.10-12.10</t>
        </is>
      </c>
      <c r="K201" s="335" t="n"/>
      <c r="L201" s="265" t="n"/>
      <c r="M201" s="332" t="n"/>
      <c r="N201" s="332" t="n"/>
      <c r="O201" s="244">
        <f>M201*N201</f>
        <v/>
      </c>
      <c r="P201" s="332" t="n"/>
      <c r="Q201" s="265" t="n"/>
      <c r="R201" s="332" t="n"/>
      <c r="S201" s="244">
        <f>Q201*R201</f>
        <v/>
      </c>
      <c r="T201" s="24" t="n"/>
      <c r="U201" s="24" t="inlineStr">
        <is>
          <t>สอน ป.ตรี</t>
        </is>
      </c>
      <c r="V201" s="65" t="n"/>
      <c r="W201" s="24" t="n"/>
      <c r="X201" s="24" t="n"/>
    </row>
    <row r="202" ht="22.2" customHeight="1" s="330">
      <c r="A202" s="4" t="n"/>
      <c r="B202" s="248" t="n"/>
      <c r="C202" s="249" t="n"/>
      <c r="D202" s="249" t="n"/>
      <c r="E202" s="252" t="n"/>
      <c r="G202" s="308">
        <f>G156</f>
        <v/>
      </c>
      <c r="H202" s="252" t="n"/>
      <c r="I202" s="325" t="n"/>
      <c r="J202" s="252" t="n"/>
      <c r="K202" s="331" t="n"/>
      <c r="L202" s="252" t="n"/>
      <c r="M202" s="252" t="n"/>
      <c r="N202" s="252" t="n"/>
      <c r="O202" s="244">
        <f>M202*N202</f>
        <v/>
      </c>
      <c r="P202" s="252" t="n"/>
      <c r="Q202" s="252" t="n"/>
      <c r="R202" s="252" t="n"/>
      <c r="S202" s="244">
        <f>Q202*R202</f>
        <v/>
      </c>
      <c r="T202" s="24" t="n"/>
      <c r="U202" s="24" t="inlineStr">
        <is>
          <t>17.10-20.10</t>
        </is>
      </c>
      <c r="V202" s="65" t="n"/>
      <c r="W202" s="24" t="n"/>
      <c r="X202" s="24" t="n"/>
    </row>
    <row r="203" ht="22.2" customHeight="1" s="330">
      <c r="A203" s="4" t="n"/>
      <c r="B203" s="5" t="n"/>
      <c r="D203" s="3" t="n"/>
      <c r="E203" s="3" t="n"/>
      <c r="G203" s="252" t="n"/>
      <c r="H203" s="252" t="n"/>
      <c r="I203" s="325" t="n"/>
      <c r="J203" s="252" t="n"/>
      <c r="K203" s="331" t="n"/>
      <c r="L203" s="252" t="n"/>
      <c r="M203" s="252" t="n"/>
      <c r="N203" s="252" t="n"/>
      <c r="O203" s="244">
        <f>M203*N203</f>
        <v/>
      </c>
      <c r="P203" s="252" t="n"/>
      <c r="Q203" s="252" t="n"/>
      <c r="R203" s="252" t="n"/>
      <c r="S203" s="244">
        <f>Q203*R203</f>
        <v/>
      </c>
    </row>
    <row r="204" ht="22.2" customHeight="1" s="330">
      <c r="A204" s="4" t="n"/>
      <c r="E204" s="4" t="n"/>
      <c r="G204" s="248" t="n"/>
      <c r="H204" s="248" t="n"/>
      <c r="I204" s="252" t="n"/>
      <c r="J204" s="252" t="n"/>
      <c r="K204" s="331" t="n"/>
      <c r="L204" s="252" t="n"/>
      <c r="M204" s="252" t="n"/>
      <c r="N204" s="252" t="n"/>
      <c r="O204" s="244">
        <f>M204*N204</f>
        <v/>
      </c>
      <c r="P204" s="252" t="n"/>
      <c r="Q204" s="252" t="n"/>
      <c r="R204" s="252" t="n"/>
      <c r="S204" s="244">
        <f>Q204*R204</f>
        <v/>
      </c>
    </row>
    <row r="205" ht="22.2" customHeight="1" s="330">
      <c r="A205" s="4" t="n"/>
      <c r="E205" s="4" t="n"/>
      <c r="G205" s="277" t="n"/>
      <c r="H205" s="277" t="n"/>
      <c r="I205" s="276" t="n"/>
      <c r="J205" s="276" t="n"/>
      <c r="K205" s="476" t="n"/>
      <c r="L205" s="276" t="n"/>
      <c r="M205" s="276" t="n"/>
      <c r="N205" s="276" t="n"/>
      <c r="O205" s="244">
        <f>M205*N205</f>
        <v/>
      </c>
      <c r="P205" s="276" t="n"/>
      <c r="Q205" s="276" t="n"/>
      <c r="R205" s="276" t="n"/>
      <c r="S205" s="244">
        <f>Q205*R205</f>
        <v/>
      </c>
    </row>
    <row r="206" ht="22.2" customHeight="1" s="330">
      <c r="A206" s="4" t="n"/>
      <c r="E206" s="4" t="n"/>
      <c r="G206" s="62" t="inlineStr">
        <is>
          <t>พฤหัส</t>
        </is>
      </c>
      <c r="H206" s="252" t="n"/>
      <c r="I206" s="325" t="n"/>
      <c r="J206" s="332" t="n"/>
      <c r="K206" s="335" t="n"/>
      <c r="L206" s="252" t="n"/>
      <c r="M206" s="252" t="n"/>
      <c r="N206" s="252" t="n"/>
      <c r="O206" s="244">
        <f>M206*N206</f>
        <v/>
      </c>
      <c r="P206" s="252" t="n"/>
      <c r="Q206" s="275" t="n"/>
      <c r="R206" s="275" t="n"/>
      <c r="S206" s="244">
        <f>Q206*R206</f>
        <v/>
      </c>
    </row>
    <row r="207" ht="22.2" customHeight="1" s="330">
      <c r="A207" s="4" t="n"/>
      <c r="E207" s="4" t="n"/>
      <c r="G207" s="308">
        <f>G161</f>
        <v/>
      </c>
      <c r="H207" s="252" t="n"/>
      <c r="I207" s="325" t="n"/>
      <c r="J207" s="252" t="n"/>
      <c r="K207" s="331" t="n"/>
      <c r="L207" s="252" t="n"/>
      <c r="M207" s="252" t="n"/>
      <c r="N207" s="252" t="n"/>
      <c r="O207" s="244">
        <f>M207*N207</f>
        <v/>
      </c>
      <c r="P207" s="252" t="n"/>
      <c r="Q207" s="252" t="n"/>
      <c r="R207" s="252" t="n"/>
      <c r="S207" s="244">
        <f>Q207*R207</f>
        <v/>
      </c>
    </row>
    <row r="208" ht="22.2" customHeight="1" s="330">
      <c r="A208" s="4" t="n"/>
      <c r="E208" s="4" t="n"/>
      <c r="G208" s="252" t="n"/>
      <c r="H208" s="325" t="n"/>
      <c r="I208" s="325" t="n"/>
      <c r="J208" s="252" t="n"/>
      <c r="K208" s="331" t="n"/>
      <c r="L208" s="325" t="n"/>
      <c r="M208" s="325" t="n"/>
      <c r="N208" s="325" t="n"/>
      <c r="O208" s="244">
        <f>M208*N208</f>
        <v/>
      </c>
      <c r="P208" s="325" t="n"/>
      <c r="Q208" s="325" t="n"/>
      <c r="R208" s="325" t="n"/>
      <c r="S208" s="244">
        <f>Q208*R208</f>
        <v/>
      </c>
    </row>
    <row r="209" ht="22.2" customHeight="1" s="330">
      <c r="A209" s="4" t="n"/>
      <c r="E209" s="4" t="n"/>
      <c r="G209" s="252" t="n"/>
      <c r="H209" s="252" t="n"/>
      <c r="I209" s="252" t="n"/>
      <c r="J209" s="252" t="n"/>
      <c r="K209" s="331" t="n"/>
      <c r="L209" s="252" t="n"/>
      <c r="M209" s="252" t="n"/>
      <c r="N209" s="252" t="n"/>
      <c r="O209" s="244">
        <f>M209*N209</f>
        <v/>
      </c>
      <c r="P209" s="252" t="n"/>
      <c r="Q209" s="252" t="n"/>
      <c r="R209" s="252" t="n"/>
      <c r="S209" s="244">
        <f>Q209*R209</f>
        <v/>
      </c>
    </row>
    <row r="210" ht="22.2" customHeight="1" s="330">
      <c r="A210" s="4" t="n"/>
      <c r="E210" s="4" t="n"/>
      <c r="G210" s="276" t="n"/>
      <c r="H210" s="301" t="n"/>
      <c r="I210" s="276" t="n"/>
      <c r="J210" s="276" t="n"/>
      <c r="K210" s="476" t="n"/>
      <c r="L210" s="276" t="n"/>
      <c r="M210" s="276" t="n"/>
      <c r="N210" s="276" t="n"/>
      <c r="O210" s="244">
        <f>M210*N210</f>
        <v/>
      </c>
      <c r="P210" s="276" t="n"/>
      <c r="Q210" s="276" t="n"/>
      <c r="R210" s="276" t="n"/>
      <c r="S210" s="244">
        <f>Q210*R210</f>
        <v/>
      </c>
    </row>
    <row r="211" ht="22.2" customHeight="1" s="330">
      <c r="A211" s="4" t="n"/>
      <c r="E211" s="4" t="n"/>
      <c r="G211" s="62" t="inlineStr">
        <is>
          <t>ศุกร์</t>
        </is>
      </c>
      <c r="H211" s="332" t="inlineStr">
        <is>
          <t>30101-2109</t>
        </is>
      </c>
      <c r="I211" s="325" t="inlineStr">
        <is>
          <t>ปวส.2/5 สย. (ม.6)</t>
        </is>
      </c>
      <c r="J211" s="332" t="inlineStr">
        <is>
          <t>08.10-12.10</t>
        </is>
      </c>
      <c r="K211" s="335" t="n"/>
      <c r="L211" s="252" t="n"/>
      <c r="M211" s="252" t="n"/>
      <c r="N211" s="252" t="n"/>
      <c r="O211" s="244">
        <f>M211*N211</f>
        <v/>
      </c>
      <c r="P211" s="332" t="n"/>
      <c r="Q211" s="265" t="n"/>
      <c r="R211" s="332" t="n"/>
      <c r="S211" s="244">
        <f>Q211*R211</f>
        <v/>
      </c>
    </row>
    <row r="212" ht="22.2" customHeight="1" s="330">
      <c r="A212" s="4" t="n"/>
      <c r="B212" s="170" t="n"/>
      <c r="C212" s="171" t="n"/>
      <c r="D212" s="172" t="n"/>
      <c r="E212" s="173" t="n"/>
      <c r="F212" s="172" t="n"/>
      <c r="G212" s="308">
        <f>G166</f>
        <v/>
      </c>
      <c r="H212" s="325" t="inlineStr">
        <is>
          <t>30101-2109</t>
        </is>
      </c>
      <c r="I212" s="325" t="inlineStr">
        <is>
          <t>ปวส.2/5 สย. (ม.6)</t>
        </is>
      </c>
      <c r="J212" s="252" t="inlineStr">
        <is>
          <t>13.10-14.10</t>
        </is>
      </c>
      <c r="K212" s="331" t="n"/>
      <c r="L212" s="252" t="n"/>
      <c r="M212" s="252" t="n"/>
      <c r="N212" s="252" t="n"/>
      <c r="O212" s="244">
        <f>M212*N212</f>
        <v/>
      </c>
      <c r="P212" s="252" t="n"/>
      <c r="Q212" s="252" t="n"/>
      <c r="R212" s="252" t="n"/>
      <c r="S212" s="244">
        <f>Q212*R212</f>
        <v/>
      </c>
    </row>
    <row r="213" ht="22.2" customHeight="1" s="330">
      <c r="A213" s="4" t="n"/>
      <c r="E213" s="4" t="n"/>
      <c r="G213" s="252" t="n"/>
      <c r="H213" s="325" t="n"/>
      <c r="I213" s="325" t="n"/>
      <c r="J213" s="252" t="n"/>
      <c r="K213" s="331" t="n"/>
      <c r="L213" s="252" t="n"/>
      <c r="M213" s="252" t="n"/>
      <c r="N213" s="252" t="n"/>
      <c r="O213" s="244">
        <f>M213*N213</f>
        <v/>
      </c>
      <c r="P213" s="252" t="n"/>
      <c r="Q213" s="252" t="n"/>
      <c r="R213" s="252" t="n"/>
      <c r="S213" s="244">
        <f>Q213*R213</f>
        <v/>
      </c>
    </row>
    <row r="214" ht="22.2" customHeight="1" s="330">
      <c r="A214" s="4" t="n"/>
      <c r="E214" s="4" t="n"/>
      <c r="G214" s="252" t="n"/>
      <c r="H214" s="252" t="n"/>
      <c r="I214" s="252" t="n"/>
      <c r="J214" s="252" t="n"/>
      <c r="K214" s="331" t="n"/>
      <c r="L214" s="252" t="n"/>
      <c r="M214" s="252" t="n"/>
      <c r="N214" s="252" t="n"/>
      <c r="O214" s="244">
        <f>M214*N214</f>
        <v/>
      </c>
      <c r="P214" s="252" t="n"/>
      <c r="Q214" s="252" t="n"/>
      <c r="R214" s="252" t="n"/>
      <c r="S214" s="244">
        <f>Q214*R214</f>
        <v/>
      </c>
    </row>
    <row r="215" ht="22.2" customHeight="1" s="330">
      <c r="A215" s="4" t="n"/>
      <c r="E215" s="4" t="n"/>
      <c r="F215" s="4" t="n"/>
      <c r="G215" s="278" t="n"/>
      <c r="H215" s="301" t="n"/>
      <c r="I215" s="276" t="n"/>
      <c r="J215" s="276" t="n"/>
      <c r="K215" s="476" t="n"/>
      <c r="L215" s="276" t="n"/>
      <c r="M215" s="276" t="n"/>
      <c r="N215" s="276" t="n"/>
      <c r="O215" s="244">
        <f>M215*N215</f>
        <v/>
      </c>
      <c r="P215" s="276" t="n"/>
      <c r="Q215" s="276" t="n"/>
      <c r="R215" s="276" t="n"/>
      <c r="S215" s="244">
        <f>Q215*R215</f>
        <v/>
      </c>
    </row>
    <row r="216" ht="22.2" customHeight="1" s="330">
      <c r="A216" s="4" t="n"/>
      <c r="E216" s="4" t="n"/>
      <c r="F216" s="4" t="n"/>
      <c r="G216" s="17" t="inlineStr">
        <is>
          <t>รวมขั่วโมงที่สอนแยก ภาระงาน/ เกินภาระงาน</t>
        </is>
      </c>
      <c r="H216" s="467" t="n"/>
      <c r="I216" s="467" t="n"/>
      <c r="J216" s="467" t="n"/>
      <c r="K216" s="362" t="n"/>
      <c r="L216" s="17">
        <f>SUM(L191:L215)</f>
        <v/>
      </c>
      <c r="M216" s="17">
        <f>SUM(M191:M215)</f>
        <v/>
      </c>
      <c r="N216" s="17" t="n"/>
      <c r="O216" s="17" t="n"/>
      <c r="P216" s="17">
        <f>SUM(P191:P215)</f>
        <v/>
      </c>
      <c r="Q216" s="17">
        <f>SUM(Q191:Q215)</f>
        <v/>
      </c>
      <c r="R216" s="279" t="n"/>
      <c r="S216" s="17" t="n"/>
      <c r="T216" s="25" t="n"/>
      <c r="U216" s="26" t="inlineStr">
        <is>
          <t xml:space="preserve">     PLC</t>
        </is>
      </c>
      <c r="V216" s="64" t="n"/>
      <c r="W216" s="27" t="n"/>
      <c r="X216" s="27" t="n"/>
    </row>
    <row r="217" ht="22.2" customHeight="1" s="330">
      <c r="A217" s="4" t="n"/>
      <c r="E217" s="4" t="n"/>
      <c r="F217" s="4" t="n"/>
      <c r="G217" s="17" t="inlineStr">
        <is>
          <t>รวมจำนวนชั่วโมงสอนคาบต่อสับดาห์</t>
        </is>
      </c>
      <c r="H217" s="467" t="n"/>
      <c r="I217" s="467" t="n"/>
      <c r="J217" s="467" t="n"/>
      <c r="K217" s="362" t="n"/>
      <c r="L217" s="17">
        <f>L216+M216</f>
        <v/>
      </c>
      <c r="M217" s="362" t="n"/>
      <c r="N217" s="17" t="n"/>
      <c r="O217" s="298" t="n"/>
      <c r="P217" s="17">
        <f>P216+Q216</f>
        <v/>
      </c>
      <c r="Q217" s="362" t="n"/>
      <c r="R217" s="278" t="n"/>
      <c r="S217" s="276" t="n"/>
      <c r="T217" s="27" t="inlineStr">
        <is>
          <t> </t>
        </is>
      </c>
      <c r="U217" s="26" t="inlineStr">
        <is>
          <t>17.10-19.10</t>
        </is>
      </c>
      <c r="V217" s="64" t="n"/>
      <c r="W217" s="27" t="n"/>
      <c r="X217" s="27" t="n"/>
    </row>
    <row r="218" ht="22.2" customHeight="1" s="330">
      <c r="A218" s="4" t="n"/>
      <c r="E218" s="4" t="n"/>
      <c r="F218" s="4" t="n"/>
      <c r="G218" s="17" t="inlineStr">
        <is>
          <t>จำนวนชั่วโมงสอนตามภาระงานสอน</t>
        </is>
      </c>
      <c r="H218" s="467" t="n"/>
      <c r="I218" s="467" t="n"/>
      <c r="J218" s="467" t="n"/>
      <c r="K218" s="362" t="n"/>
      <c r="L218" s="17" t="n">
        <v>0</v>
      </c>
      <c r="M218" s="362" t="n"/>
      <c r="N218" s="298" t="n"/>
      <c r="O218" s="17" t="n"/>
      <c r="P218" s="17" t="n">
        <v>10</v>
      </c>
      <c r="Q218" s="362" t="n"/>
      <c r="R218" s="249" t="n"/>
      <c r="S218" s="252" t="n"/>
    </row>
    <row r="219" ht="22.2" customHeight="1" s="330" thickBot="1">
      <c r="A219" s="4" t="n"/>
      <c r="E219" s="4" t="n"/>
      <c r="F219" s="15" t="n"/>
      <c r="G219" s="17" t="inlineStr">
        <is>
          <t>จำนวนชั่วโมงบิกเกินภาระงานสอน/ค่าสอน</t>
        </is>
      </c>
      <c r="H219" s="467" t="n"/>
      <c r="I219" s="467" t="n"/>
      <c r="J219" s="467" t="n"/>
      <c r="K219" s="362" t="n"/>
      <c r="L219" s="18" t="n">
        <v>0</v>
      </c>
      <c r="M219" s="18">
        <f>SUM(M191:M215)</f>
        <v/>
      </c>
      <c r="N219" s="18" t="n"/>
      <c r="O219" s="18">
        <f>SUM(O191:O215)</f>
        <v/>
      </c>
      <c r="P219" s="18" t="n">
        <v>0</v>
      </c>
      <c r="Q219" s="18">
        <f>SUM(Q191:Q215)</f>
        <v/>
      </c>
      <c r="R219" s="19" t="n"/>
      <c r="S219" s="18">
        <f>SUM(S191:S215)</f>
        <v/>
      </c>
    </row>
    <row r="220" ht="22.2" customHeight="1" s="330" thickTop="1">
      <c r="A220" s="299" t="inlineStr">
        <is>
          <t>รวมจำนวนหน่วยชั่วโมงที่ขอเบิกค่าสอน ….</t>
        </is>
      </c>
      <c r="B220" s="467" t="n"/>
      <c r="C220" s="467" t="n"/>
      <c r="D220" s="467" t="n"/>
      <c r="E220" s="467" t="n"/>
      <c r="F220" s="467" t="n"/>
      <c r="G220" s="467" t="n"/>
      <c r="H220" s="298">
        <f>M219+Q219</f>
        <v/>
      </c>
      <c r="I220" s="298" t="inlineStr">
        <is>
          <t>….ชั่วโมง</t>
        </is>
      </c>
      <c r="J220" s="298" t="n"/>
      <c r="K220" s="301" t="inlineStr">
        <is>
          <t>ยอดเงินรวม</t>
        </is>
      </c>
      <c r="L220" s="471" t="n"/>
      <c r="M220" s="471" t="n"/>
      <c r="N220" s="301" t="n"/>
      <c r="O220" s="301" t="n"/>
      <c r="P220" s="302">
        <f>S219+O219</f>
        <v/>
      </c>
      <c r="Q220" s="482" t="n"/>
      <c r="R220" s="21" t="n"/>
      <c r="S220" s="20" t="inlineStr">
        <is>
          <t>..บาท</t>
        </is>
      </c>
    </row>
    <row r="221" ht="22.2" customHeight="1" s="330">
      <c r="A221" s="207" t="inlineStr">
        <is>
          <t>ผู้ขอเบิก</t>
        </is>
      </c>
      <c r="B221" s="334" t="n"/>
      <c r="C221" s="334" t="n"/>
      <c r="D221" s="334" t="n"/>
      <c r="E221" s="334" t="n"/>
      <c r="F221" s="334" t="n"/>
      <c r="G221" s="335" t="n"/>
      <c r="H221" s="207" t="inlineStr">
        <is>
          <t>ผู้รับรอง</t>
        </is>
      </c>
      <c r="I221" s="334" t="n"/>
      <c r="J221" s="334" t="n"/>
      <c r="K221" s="334" t="n"/>
      <c r="L221" s="335" t="n"/>
      <c r="M221" s="207" t="inlineStr">
        <is>
          <t>ผู้ตรวจ</t>
        </is>
      </c>
      <c r="N221" s="334" t="n"/>
      <c r="O221" s="334" t="n"/>
      <c r="P221" s="334" t="n"/>
      <c r="Q221" s="334" t="n"/>
      <c r="R221" s="334" t="n"/>
      <c r="S221" s="335" t="n"/>
    </row>
    <row r="222" ht="22.2" customHeight="1" s="330">
      <c r="A222" s="252" t="inlineStr">
        <is>
          <t>ลงชื่อ……………………………………………</t>
        </is>
      </c>
      <c r="G222" s="331" t="n"/>
      <c r="H222" s="252" t="inlineStr">
        <is>
          <t>ลงชื่อ……………………………………………</t>
        </is>
      </c>
      <c r="L222" s="331" t="n"/>
      <c r="M222" s="252" t="inlineStr">
        <is>
          <t>ลงชื่อ……………………………………………</t>
        </is>
      </c>
      <c r="S222" s="331" t="n"/>
    </row>
    <row r="223" ht="22.2" customHeight="1" s="330">
      <c r="A223" s="12" t="inlineStr">
        <is>
          <t>(</t>
        </is>
      </c>
      <c r="B223" s="309">
        <f>B191</f>
        <v/>
      </c>
      <c r="G223" s="310" t="inlineStr">
        <is>
          <t>)</t>
        </is>
      </c>
      <c r="H223" s="309" t="inlineStr">
        <is>
          <t>(</t>
        </is>
      </c>
      <c r="I223" s="314">
        <f>I177</f>
        <v/>
      </c>
      <c r="L223" s="13" t="inlineStr">
        <is>
          <t>)</t>
        </is>
      </c>
      <c r="M223" s="61" t="inlineStr">
        <is>
          <t>(</t>
        </is>
      </c>
      <c r="N223" s="61" t="n"/>
      <c r="O223" s="309" t="inlineStr">
        <is>
          <t>นายพิสุทธิศักดิ์  กล่อมนาค</t>
        </is>
      </c>
      <c r="R223" s="29" t="n"/>
      <c r="S223" s="310" t="inlineStr">
        <is>
          <t>)</t>
        </is>
      </c>
    </row>
    <row r="224" ht="22.2" customHeight="1" s="330">
      <c r="A224" s="483" t="inlineStr">
        <is>
          <t xml:space="preserve">                    ตำแหน่ง  ครู</t>
        </is>
      </c>
      <c r="G224" s="331" t="n"/>
      <c r="H224" s="62" t="inlineStr">
        <is>
          <t>ตำแหน่ง หัวหน้าแผนก</t>
        </is>
      </c>
      <c r="L224" s="331" t="n"/>
      <c r="M224" s="62" t="inlineStr">
        <is>
          <t>ตำแหน่ง   ผู้ตรวจสอบ</t>
        </is>
      </c>
      <c r="S224" s="331" t="n"/>
    </row>
    <row r="225" ht="22.2" customHeight="1" s="330">
      <c r="A225" s="63">
        <f>A41</f>
        <v/>
      </c>
      <c r="B225" s="471" t="n"/>
      <c r="C225" s="471" t="n"/>
      <c r="D225" s="471" t="n"/>
      <c r="E225" s="471" t="n"/>
      <c r="F225" s="471" t="n"/>
      <c r="G225" s="476" t="n"/>
      <c r="H225" s="62">
        <f>A41</f>
        <v/>
      </c>
      <c r="L225" s="331" t="n"/>
      <c r="M225" s="63">
        <f>A41</f>
        <v/>
      </c>
      <c r="N225" s="471" t="n"/>
      <c r="O225" s="471" t="n"/>
      <c r="P225" s="471" t="n"/>
      <c r="Q225" s="471" t="n"/>
      <c r="R225" s="471" t="n"/>
      <c r="S225" s="476" t="n"/>
    </row>
    <row r="226" ht="22.2" customHeight="1" s="330">
      <c r="A226" s="207" t="inlineStr">
        <is>
          <t>ผู้ตรวจ</t>
        </is>
      </c>
      <c r="B226" s="334" t="n"/>
      <c r="C226" s="334" t="n"/>
      <c r="D226" s="334" t="n"/>
      <c r="E226" s="334" t="n"/>
      <c r="F226" s="334" t="n"/>
      <c r="G226" s="334" t="n"/>
      <c r="H226" s="334" t="n"/>
      <c r="I226" s="335" t="n"/>
      <c r="J226" s="207" t="inlineStr">
        <is>
          <t>ผู้เห็นชอบ</t>
        </is>
      </c>
      <c r="K226" s="334" t="n"/>
      <c r="L226" s="334" t="n"/>
      <c r="M226" s="334" t="n"/>
      <c r="N226" s="334" t="n"/>
      <c r="O226" s="334" t="n"/>
      <c r="P226" s="334" t="n"/>
      <c r="Q226" s="334" t="n"/>
      <c r="R226" s="334" t="n"/>
      <c r="S226" s="335" t="n"/>
    </row>
    <row r="227" ht="22.2" customHeight="1" s="330">
      <c r="A227" s="252" t="inlineStr">
        <is>
          <t>ลงชื่อ……………………………………………</t>
        </is>
      </c>
      <c r="I227" s="331" t="n"/>
      <c r="J227" s="252" t="inlineStr">
        <is>
          <t>ลงชื่อ……………………………………………</t>
        </is>
      </c>
      <c r="S227" s="331" t="n"/>
    </row>
    <row r="228" ht="22.2" customHeight="1" s="330">
      <c r="A228" s="12" t="n"/>
      <c r="B228" s="309" t="inlineStr">
        <is>
          <t xml:space="preserve">          (นางศิวรักษ์   บุญประเสริฐ)</t>
        </is>
      </c>
      <c r="I228" s="310" t="n"/>
      <c r="J228" s="29" t="n"/>
      <c r="K228" s="29" t="n"/>
      <c r="L228" s="309" t="inlineStr">
        <is>
          <t>(นายปรีชา  โพธิ์เกิด)</t>
        </is>
      </c>
      <c r="R228" s="29" t="n"/>
      <c r="S228" s="13" t="n"/>
    </row>
    <row r="229" ht="22.2" customHeight="1" s="330">
      <c r="A229" s="62" t="inlineStr">
        <is>
          <t>ตำแหน่งครู  หัวหน้างานพัฒนาหลักสูตร ฯ</t>
        </is>
      </c>
      <c r="I229" s="331" t="n"/>
      <c r="J229" s="62" t="inlineStr">
        <is>
          <t>ตำแหน่ง  รองผู้อำนวยการฝ่ายวิชาการ</t>
        </is>
      </c>
      <c r="S229" s="331" t="n"/>
    </row>
    <row r="230" ht="22.2" customHeight="1" s="330">
      <c r="A230" s="63">
        <f>A41</f>
        <v/>
      </c>
      <c r="B230" s="471" t="n"/>
      <c r="C230" s="471" t="n"/>
      <c r="D230" s="471" t="n"/>
      <c r="E230" s="471" t="n"/>
      <c r="F230" s="471" t="n"/>
      <c r="G230" s="471" t="n"/>
      <c r="H230" s="471" t="n"/>
      <c r="I230" s="476" t="n"/>
      <c r="J230" s="63">
        <f>A41</f>
        <v/>
      </c>
      <c r="K230" s="471" t="n"/>
      <c r="L230" s="471" t="n"/>
      <c r="M230" s="471" t="n"/>
      <c r="N230" s="471" t="n"/>
      <c r="O230" s="471" t="n"/>
      <c r="P230" s="471" t="n"/>
      <c r="Q230" s="471" t="n"/>
      <c r="R230" s="471" t="n"/>
      <c r="S230" s="476" t="n"/>
    </row>
    <row r="231" ht="22.2" customHeight="1" s="330">
      <c r="A23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232" ht="22.2" customHeight="1" s="330">
      <c r="A232" s="254">
        <f>A2</f>
        <v/>
      </c>
    </row>
    <row r="233" ht="22.2" customHeight="1" s="330">
      <c r="A233" s="253" t="inlineStr">
        <is>
          <t xml:space="preserve">    ระหว่างวันที่</t>
        </is>
      </c>
      <c r="D233" s="254">
        <f>D3</f>
        <v/>
      </c>
      <c r="E233" s="254" t="inlineStr">
        <is>
          <t xml:space="preserve">   เดือน  </t>
        </is>
      </c>
      <c r="F233" s="254">
        <f>F3</f>
        <v/>
      </c>
      <c r="H233" s="254">
        <f>H3</f>
        <v/>
      </c>
      <c r="I233" s="254" t="inlineStr">
        <is>
          <t xml:space="preserve">     ถึง วันที่</t>
        </is>
      </c>
      <c r="J233" s="254">
        <f>J3</f>
        <v/>
      </c>
      <c r="K233" s="254" t="inlineStr">
        <is>
          <t xml:space="preserve">   เดือน </t>
        </is>
      </c>
      <c r="L233" s="254">
        <f>L3</f>
        <v/>
      </c>
      <c r="N233" s="254">
        <f>N3</f>
        <v/>
      </c>
      <c r="P233" s="254" t="n"/>
      <c r="R233" s="254" t="n"/>
    </row>
    <row r="234" ht="22.2" customHeight="1" s="330">
      <c r="G234" s="58" t="inlineStr">
        <is>
          <t>ü</t>
        </is>
      </c>
      <c r="H234" s="290" t="inlineStr">
        <is>
          <t>ครู</t>
        </is>
      </c>
      <c r="I234" s="249" t="inlineStr">
        <is>
          <t>หน้าที่พิเศษ</t>
        </is>
      </c>
    </row>
    <row r="235" ht="22.2" customHeight="1" s="330">
      <c r="A235" s="28" t="inlineStr">
        <is>
          <t>ที่</t>
        </is>
      </c>
      <c r="B235" s="28" t="inlineStr">
        <is>
          <t>ชื่อ-สกุล</t>
        </is>
      </c>
      <c r="C235" s="334" t="n"/>
      <c r="D235" s="335" t="n"/>
      <c r="E235" s="16" t="inlineStr">
        <is>
          <t>ตำแหน่ง</t>
        </is>
      </c>
      <c r="F235" s="17" t="inlineStr">
        <is>
          <t>ระยะเวลาที่สอน</t>
        </is>
      </c>
      <c r="G235" s="362" t="n"/>
      <c r="H235" s="17" t="inlineStr">
        <is>
          <t>รหัสวิชา</t>
        </is>
      </c>
      <c r="I235" s="275" t="inlineStr">
        <is>
          <t>ชั้น,แผนก,ห้อง</t>
        </is>
      </c>
      <c r="J235" s="17" t="inlineStr">
        <is>
          <t>เวลาสอน</t>
        </is>
      </c>
      <c r="K235" s="335" t="n"/>
      <c r="L235" s="17" t="inlineStr">
        <is>
          <t>ปวช.(คาบ)</t>
        </is>
      </c>
      <c r="M235" s="362" t="n"/>
      <c r="N235" s="244" t="inlineStr">
        <is>
          <t>เงิน</t>
        </is>
      </c>
      <c r="O235" s="275" t="inlineStr">
        <is>
          <t>ยอดเงิน</t>
        </is>
      </c>
      <c r="P235" s="473" t="inlineStr">
        <is>
          <t>ปวส.(คาบ)</t>
        </is>
      </c>
      <c r="Q235" s="362" t="n"/>
      <c r="R235" s="244" t="inlineStr">
        <is>
          <t>เงิน</t>
        </is>
      </c>
      <c r="S235" s="275" t="inlineStr">
        <is>
          <t>ยอดเงิน</t>
        </is>
      </c>
    </row>
    <row r="236" ht="22.2" customHeight="1" s="330">
      <c r="A236" s="60" t="n"/>
      <c r="B236" s="9" t="n"/>
      <c r="C236" s="10" t="n"/>
      <c r="D236" s="14" t="n"/>
      <c r="E236" s="11" t="n"/>
      <c r="F236" s="276" t="inlineStr">
        <is>
          <t>ส.</t>
        </is>
      </c>
      <c r="G236" s="276" t="inlineStr">
        <is>
          <t>วดป.</t>
        </is>
      </c>
      <c r="H236" s="474" t="n"/>
      <c r="I236" s="276" t="n"/>
      <c r="J236" s="475" t="n"/>
      <c r="K236" s="476" t="n"/>
      <c r="L236" s="276" t="inlineStr">
        <is>
          <t>ใน</t>
        </is>
      </c>
      <c r="M236" s="276" t="inlineStr">
        <is>
          <t>นอก</t>
        </is>
      </c>
      <c r="N236" s="276" t="inlineStr">
        <is>
          <t>ต่อ ชม.</t>
        </is>
      </c>
      <c r="O236" s="276" t="inlineStr">
        <is>
          <t>(บาท)</t>
        </is>
      </c>
      <c r="P236" s="60" t="inlineStr">
        <is>
          <t>ใน</t>
        </is>
      </c>
      <c r="Q236" s="60" t="inlineStr">
        <is>
          <t>นอก</t>
        </is>
      </c>
      <c r="R236" s="276" t="inlineStr">
        <is>
          <t>ต่อ ชม.</t>
        </is>
      </c>
      <c r="S236" s="276" t="inlineStr">
        <is>
          <t>(บาท)</t>
        </is>
      </c>
    </row>
    <row r="237" ht="22.2" customHeight="1" s="330">
      <c r="A237" s="275" t="n">
        <v>6</v>
      </c>
      <c r="B237" s="477">
        <f>AB8</f>
        <v/>
      </c>
      <c r="C237" s="334" t="n"/>
      <c r="D237" s="335" t="n"/>
      <c r="E237" s="275" t="inlineStr">
        <is>
          <t>ครู</t>
        </is>
      </c>
      <c r="F237" s="6">
        <f>F7</f>
        <v/>
      </c>
      <c r="G237" s="207" t="inlineStr">
        <is>
          <t>จันทร์</t>
        </is>
      </c>
      <c r="H237" s="156" t="n"/>
      <c r="I237" s="156" t="n"/>
      <c r="J237" s="335" t="n"/>
      <c r="K237" s="335" t="n"/>
      <c r="L237" s="265" t="n"/>
      <c r="M237" s="332" t="n"/>
      <c r="N237" s="332" t="n"/>
      <c r="O237" s="244">
        <f>M237*N237</f>
        <v/>
      </c>
      <c r="P237" s="332" t="n"/>
      <c r="Q237" s="265" t="n"/>
      <c r="R237" s="332" t="n"/>
      <c r="S237" s="244">
        <f>Q237*R237</f>
        <v/>
      </c>
    </row>
    <row r="238" ht="22.2" customHeight="1" s="330">
      <c r="A238" s="4" t="n"/>
      <c r="B238" s="5" t="n"/>
      <c r="D238" s="3" t="n"/>
      <c r="E238" s="3" t="n"/>
      <c r="F238" s="249" t="n"/>
      <c r="G238" s="62">
        <f>G192</f>
        <v/>
      </c>
      <c r="H238" s="56" t="n"/>
      <c r="I238" s="56" t="n"/>
      <c r="J238" s="331" t="n"/>
      <c r="K238" s="331" t="n"/>
      <c r="L238" s="252" t="n"/>
      <c r="M238" s="252" t="n"/>
      <c r="N238" s="252" t="n"/>
      <c r="O238" s="244">
        <f>M238*N238</f>
        <v/>
      </c>
      <c r="P238" s="252" t="n"/>
      <c r="Q238" s="252" t="n"/>
      <c r="R238" s="252" t="n"/>
      <c r="S238" s="244">
        <f>Q238*R238</f>
        <v/>
      </c>
    </row>
    <row r="239" ht="22.2" customHeight="1" s="330">
      <c r="A239" s="4" t="n"/>
      <c r="B239" s="5" t="n"/>
      <c r="D239" s="3" t="n"/>
      <c r="E239" s="3" t="n"/>
      <c r="F239" s="249" t="n"/>
      <c r="G239" s="252" t="n"/>
      <c r="H239" s="250" t="n"/>
      <c r="I239" s="252" t="n"/>
      <c r="J239" s="252" t="n"/>
      <c r="K239" s="331" t="n"/>
      <c r="L239" s="252" t="n"/>
      <c r="M239" s="252" t="n"/>
      <c r="N239" s="252" t="n"/>
      <c r="O239" s="244">
        <f>M239*N239</f>
        <v/>
      </c>
      <c r="P239" s="252" t="n"/>
      <c r="Q239" s="252" t="n"/>
      <c r="R239" s="252" t="n"/>
      <c r="S239" s="244">
        <f>Q239*R239</f>
        <v/>
      </c>
    </row>
    <row r="240" ht="22.2" customHeight="1" s="330">
      <c r="A240" s="4" t="n"/>
      <c r="B240" s="5" t="n"/>
      <c r="E240" s="4" t="n"/>
      <c r="F240" s="249" t="n"/>
      <c r="G240" s="248" t="n"/>
      <c r="H240" s="252" t="n"/>
      <c r="I240" s="252" t="n"/>
      <c r="J240" s="252" t="n"/>
      <c r="K240" s="331" t="n"/>
      <c r="L240" s="252" t="n"/>
      <c r="M240" s="252" t="n"/>
      <c r="N240" s="252" t="n"/>
      <c r="O240" s="244">
        <f>M240*N240</f>
        <v/>
      </c>
      <c r="P240" s="252" t="n"/>
      <c r="Q240" s="252" t="n"/>
      <c r="R240" s="252" t="n"/>
      <c r="S240" s="244">
        <f>Q240*R240</f>
        <v/>
      </c>
    </row>
    <row r="241" ht="22.2" customHeight="1" s="330">
      <c r="A241" s="4" t="n"/>
      <c r="E241" s="4" t="n"/>
      <c r="G241" s="311" t="n"/>
      <c r="H241" s="276" t="n"/>
      <c r="I241" s="276" t="n"/>
      <c r="J241" s="276" t="n"/>
      <c r="K241" s="476" t="n"/>
      <c r="L241" s="252" t="n"/>
      <c r="M241" s="252" t="n"/>
      <c r="N241" s="252" t="n"/>
      <c r="O241" s="244">
        <f>M241*N241</f>
        <v/>
      </c>
      <c r="P241" s="252" t="n"/>
      <c r="Q241" s="252" t="n"/>
      <c r="R241" s="252" t="n"/>
      <c r="S241" s="244">
        <f>Q241*R241</f>
        <v/>
      </c>
    </row>
    <row r="242" ht="22.2" customHeight="1" s="330">
      <c r="A242" s="4" t="n"/>
      <c r="E242" s="4" t="n"/>
      <c r="G242" s="207" t="inlineStr">
        <is>
          <t>อังคาร</t>
        </is>
      </c>
      <c r="H242" s="325" t="inlineStr">
        <is>
          <t>30101-0001</t>
        </is>
      </c>
      <c r="I242" s="325" t="inlineStr">
        <is>
          <t>ปวส.2/5 สย. (ปกติ)</t>
        </is>
      </c>
      <c r="J242" s="332" t="inlineStr">
        <is>
          <t>08.10-11.10</t>
        </is>
      </c>
      <c r="K242" s="335" t="n"/>
      <c r="L242" s="265" t="n"/>
      <c r="M242" s="332" t="n"/>
      <c r="N242" s="332" t="n"/>
      <c r="O242" s="244">
        <f>M242*N242</f>
        <v/>
      </c>
      <c r="P242" s="332" t="n"/>
      <c r="Q242" s="265" t="n"/>
      <c r="R242" s="332" t="n"/>
      <c r="S242" s="244">
        <f>Q242*R242</f>
        <v/>
      </c>
      <c r="T242" s="7" t="n"/>
      <c r="U242" s="23" t="inlineStr">
        <is>
          <t>เบิก ธุรการ</t>
        </is>
      </c>
      <c r="V242" s="66" t="n"/>
      <c r="W242" s="22" t="n"/>
      <c r="X242" s="22" t="n"/>
    </row>
    <row r="243" ht="22.2" customHeight="1" s="330">
      <c r="A243" s="4" t="n"/>
      <c r="E243" s="4" t="n"/>
      <c r="G243" s="62">
        <f>G197</f>
        <v/>
      </c>
      <c r="H243" s="325" t="inlineStr">
        <is>
          <t>30101-0001</t>
        </is>
      </c>
      <c r="I243" s="325" t="inlineStr">
        <is>
          <t>ปวส.2/7 สย. (ปกติ)</t>
        </is>
      </c>
      <c r="J243" s="252" t="inlineStr">
        <is>
          <t>14.10-17.10</t>
        </is>
      </c>
      <c r="K243" s="331" t="n"/>
      <c r="L243" s="252" t="n"/>
      <c r="M243" s="252" t="n"/>
      <c r="N243" s="252" t="n"/>
      <c r="O243" s="244">
        <f>M243*N243</f>
        <v/>
      </c>
      <c r="P243" s="252" t="n"/>
      <c r="Q243" s="252" t="n"/>
      <c r="R243" s="252" t="n"/>
      <c r="S243" s="244">
        <f>Q243*R243</f>
        <v/>
      </c>
      <c r="T243" s="22" t="inlineStr">
        <is>
          <t> </t>
        </is>
      </c>
      <c r="U243" s="23" t="inlineStr">
        <is>
          <t>16.10-19.10</t>
        </is>
      </c>
      <c r="V243" s="66" t="n"/>
      <c r="W243" s="22" t="n"/>
      <c r="X243" s="22" t="n"/>
    </row>
    <row r="244" ht="22.2" customHeight="1" s="330">
      <c r="A244" s="4" t="n"/>
      <c r="B244" s="5" t="n"/>
      <c r="D244" s="3" t="n"/>
      <c r="E244" s="3" t="n"/>
      <c r="G244" s="252" t="n"/>
      <c r="H244" s="56" t="n"/>
      <c r="I244" s="331" t="n"/>
      <c r="J244" s="331" t="n"/>
      <c r="K244" s="331" t="n"/>
      <c r="L244" s="252" t="n"/>
      <c r="M244" s="252" t="n"/>
      <c r="N244" s="252" t="n"/>
      <c r="O244" s="244">
        <f>M244*N244</f>
        <v/>
      </c>
      <c r="P244" s="252" t="n"/>
      <c r="Q244" s="252" t="n"/>
      <c r="R244" s="252" t="n"/>
      <c r="S244" s="244">
        <f>Q244*R244</f>
        <v/>
      </c>
    </row>
    <row r="245" ht="22.2" customHeight="1" s="330">
      <c r="A245" s="4" t="n"/>
      <c r="E245" s="4" t="n"/>
      <c r="G245" s="62" t="n"/>
      <c r="H245" s="252" t="n"/>
      <c r="I245" s="250" t="n"/>
      <c r="J245" s="250" t="n"/>
      <c r="K245" s="331" t="n"/>
      <c r="L245" s="252" t="n"/>
      <c r="M245" s="252" t="n"/>
      <c r="N245" s="252" t="n"/>
      <c r="O245" s="244">
        <f>M245*N245</f>
        <v/>
      </c>
      <c r="P245" s="252" t="n"/>
      <c r="Q245" s="252" t="n"/>
      <c r="R245" s="252" t="n"/>
      <c r="S245" s="244">
        <f>Q245*R245</f>
        <v/>
      </c>
    </row>
    <row r="246" ht="22.2" customHeight="1" s="330">
      <c r="A246" s="4" t="n"/>
      <c r="D246" s="8" t="inlineStr">
        <is>
          <t> </t>
        </is>
      </c>
      <c r="E246" s="4" t="n"/>
      <c r="G246" s="63" t="n"/>
      <c r="H246" s="276" t="n"/>
      <c r="I246" s="276" t="n"/>
      <c r="J246" s="276" t="n"/>
      <c r="K246" s="476" t="n"/>
      <c r="L246" s="252" t="n"/>
      <c r="M246" s="252" t="n"/>
      <c r="N246" s="252" t="n"/>
      <c r="O246" s="244">
        <f>M246*N246</f>
        <v/>
      </c>
      <c r="P246" s="252" t="n"/>
      <c r="Q246" s="252" t="n"/>
      <c r="R246" s="252" t="n"/>
      <c r="S246" s="244">
        <f>Q246*R246</f>
        <v/>
      </c>
    </row>
    <row r="247" ht="22.2" customHeight="1" s="330">
      <c r="A247" s="4" t="n"/>
      <c r="E247" s="4" t="n"/>
      <c r="G247" s="207" t="inlineStr">
        <is>
          <t>พุธ</t>
        </is>
      </c>
      <c r="H247" s="147" t="inlineStr">
        <is>
          <t>30101-2102</t>
        </is>
      </c>
      <c r="I247" s="325" t="inlineStr">
        <is>
          <t>ปวส.1/1 สย. (ปกติ)</t>
        </is>
      </c>
      <c r="J247" s="332" t="inlineStr">
        <is>
          <t>08.10-12.10</t>
        </is>
      </c>
      <c r="K247" s="335" t="n"/>
      <c r="L247" s="265" t="n"/>
      <c r="M247" s="332" t="n"/>
      <c r="N247" s="332" t="n"/>
      <c r="O247" s="244">
        <f>M247*N247</f>
        <v/>
      </c>
      <c r="P247" s="332" t="n"/>
      <c r="Q247" s="265" t="n"/>
      <c r="R247" s="332" t="n"/>
      <c r="S247" s="244">
        <f>Q247*R247</f>
        <v/>
      </c>
    </row>
    <row r="248" ht="22.2" customHeight="1" s="330">
      <c r="A248" s="4" t="n"/>
      <c r="B248" s="248" t="n"/>
      <c r="C248" s="249" t="n"/>
      <c r="D248" s="249" t="n"/>
      <c r="E248" s="252" t="n"/>
      <c r="G248" s="62">
        <f>G202</f>
        <v/>
      </c>
      <c r="H248" s="148" t="inlineStr">
        <is>
          <t>30101-2102</t>
        </is>
      </c>
      <c r="I248" s="286" t="inlineStr">
        <is>
          <t>ปวส.1/1 สย. (ปกติ)</t>
        </is>
      </c>
      <c r="J248" s="325" t="inlineStr">
        <is>
          <t>13.10-14.10</t>
        </is>
      </c>
      <c r="K248" s="331" t="n"/>
      <c r="L248" s="252" t="n"/>
      <c r="M248" s="252" t="n"/>
      <c r="N248" s="252" t="n"/>
      <c r="O248" s="244">
        <f>M248*N248</f>
        <v/>
      </c>
      <c r="P248" s="252" t="n"/>
      <c r="Q248" s="252" t="n"/>
      <c r="R248" s="252" t="n"/>
      <c r="S248" s="244">
        <f>Q248*R248</f>
        <v/>
      </c>
    </row>
    <row r="249" ht="22.2" customHeight="1" s="330">
      <c r="A249" s="4" t="n"/>
      <c r="B249" s="5" t="n"/>
      <c r="D249" s="3" t="n"/>
      <c r="E249" s="3" t="n"/>
      <c r="G249" s="252" t="n"/>
      <c r="H249" s="148" t="inlineStr">
        <is>
          <t>30101-2102</t>
        </is>
      </c>
      <c r="I249" s="325" t="inlineStr">
        <is>
          <t>ปวส.1/2 สย. (ปกติ)</t>
        </is>
      </c>
      <c r="J249" s="252" t="inlineStr">
        <is>
          <t>14.10-19.10</t>
        </is>
      </c>
      <c r="K249" s="331" t="n"/>
      <c r="L249" s="252" t="n"/>
      <c r="M249" s="252" t="n"/>
      <c r="N249" s="252" t="n"/>
      <c r="O249" s="244">
        <f>M249*N249</f>
        <v/>
      </c>
      <c r="P249" s="252" t="n"/>
      <c r="Q249" s="252" t="n"/>
      <c r="R249" s="252" t="n"/>
      <c r="S249" s="244">
        <f>Q249*R249</f>
        <v/>
      </c>
    </row>
    <row r="250" ht="22.2" customHeight="1" s="330">
      <c r="A250" s="4" t="n"/>
      <c r="E250" s="4" t="n"/>
      <c r="G250" s="248" t="n"/>
      <c r="H250" s="252" t="n"/>
      <c r="I250" s="325" t="n"/>
      <c r="J250" s="250" t="n"/>
      <c r="K250" s="331" t="n"/>
      <c r="L250" s="252" t="n"/>
      <c r="M250" s="252" t="n"/>
      <c r="N250" s="252" t="n"/>
      <c r="O250" s="244">
        <f>M250*N250</f>
        <v/>
      </c>
      <c r="P250" s="252" t="n"/>
      <c r="Q250" s="252" t="n"/>
      <c r="R250" s="252" t="n"/>
      <c r="S250" s="244">
        <f>Q250*R250</f>
        <v/>
      </c>
    </row>
    <row r="251" ht="22.2" customHeight="1" s="330">
      <c r="A251" s="4" t="n"/>
      <c r="E251" s="4" t="n"/>
      <c r="G251" s="277" t="n"/>
      <c r="H251" s="276" t="n"/>
      <c r="I251" s="276" t="n"/>
      <c r="J251" s="276" t="n"/>
      <c r="K251" s="476" t="n"/>
      <c r="L251" s="276" t="n"/>
      <c r="M251" s="276" t="n"/>
      <c r="N251" s="276" t="n"/>
      <c r="O251" s="244">
        <f>M251*N251</f>
        <v/>
      </c>
      <c r="P251" s="276" t="n"/>
      <c r="Q251" s="276" t="n"/>
      <c r="R251" s="276" t="n"/>
      <c r="S251" s="244">
        <f>Q251*R251</f>
        <v/>
      </c>
    </row>
    <row r="252" ht="22.2" customHeight="1" s="330">
      <c r="A252" s="4" t="n"/>
      <c r="E252" s="4" t="n"/>
      <c r="G252" s="62" t="inlineStr">
        <is>
          <t>พฤหัส</t>
        </is>
      </c>
      <c r="H252" s="325" t="inlineStr">
        <is>
          <t>30000-2004</t>
        </is>
      </c>
      <c r="I252" s="325" t="inlineStr">
        <is>
          <t>ปวส.2/5,6 สย. (ม.6)</t>
        </is>
      </c>
      <c r="J252" s="332" t="inlineStr">
        <is>
          <t>13.10-15.10</t>
        </is>
      </c>
      <c r="K252" s="335" t="n"/>
      <c r="L252" s="252" t="n"/>
      <c r="M252" s="252" t="n"/>
      <c r="N252" s="252" t="n"/>
      <c r="O252" s="244">
        <f>M252*N252</f>
        <v/>
      </c>
      <c r="P252" s="252" t="n"/>
      <c r="Q252" s="275" t="n"/>
      <c r="R252" s="275" t="n"/>
      <c r="S252" s="244">
        <f>Q252*R252</f>
        <v/>
      </c>
    </row>
    <row r="253" ht="22.2" customHeight="1" s="330">
      <c r="A253" s="4" t="n"/>
      <c r="E253" s="4" t="n"/>
      <c r="G253" s="308">
        <f>G207</f>
        <v/>
      </c>
      <c r="H253" s="325" t="inlineStr">
        <is>
          <t>30100-0101</t>
        </is>
      </c>
      <c r="I253" s="325" t="inlineStr">
        <is>
          <t>ปวส.1/5,6 สย. (ม.5)</t>
        </is>
      </c>
      <c r="J253" s="325" t="inlineStr">
        <is>
          <t>15.10-18.10</t>
        </is>
      </c>
      <c r="K253" s="331" t="n"/>
      <c r="L253" s="252" t="n"/>
      <c r="M253" s="252" t="n"/>
      <c r="N253" s="252" t="n"/>
      <c r="O253" s="244">
        <f>M253*N253</f>
        <v/>
      </c>
      <c r="P253" s="252" t="n"/>
      <c r="Q253" s="252" t="n"/>
      <c r="R253" s="252" t="n"/>
      <c r="S253" s="244">
        <f>Q253*R253</f>
        <v/>
      </c>
    </row>
    <row r="254" ht="22.2" customHeight="1" s="330">
      <c r="A254" s="4" t="n"/>
      <c r="B254" s="5" t="n"/>
      <c r="E254" s="4" t="n"/>
      <c r="G254" s="252" t="n"/>
      <c r="H254" s="325" t="n"/>
      <c r="I254" s="325" t="n"/>
      <c r="J254" s="252" t="n"/>
      <c r="K254" s="331" t="n"/>
      <c r="L254" s="325" t="n"/>
      <c r="M254" s="325" t="n"/>
      <c r="N254" s="325" t="n"/>
      <c r="O254" s="244">
        <f>M254*N254</f>
        <v/>
      </c>
      <c r="P254" s="325" t="n"/>
      <c r="Q254" s="325" t="n"/>
      <c r="R254" s="325" t="n"/>
      <c r="S254" s="244">
        <f>Q254*R254</f>
        <v/>
      </c>
    </row>
    <row r="255" ht="22.2" customHeight="1" s="330">
      <c r="A255" s="4" t="n"/>
      <c r="E255" s="4" t="n"/>
      <c r="G255" s="252" t="n"/>
      <c r="H255" s="252" t="n"/>
      <c r="I255" s="252" t="n"/>
      <c r="J255" s="252" t="n"/>
      <c r="K255" s="331" t="n"/>
      <c r="L255" s="252" t="n"/>
      <c r="M255" s="252" t="n"/>
      <c r="N255" s="252" t="n"/>
      <c r="O255" s="244">
        <f>M255*N255</f>
        <v/>
      </c>
      <c r="P255" s="252" t="n"/>
      <c r="Q255" s="252" t="n"/>
      <c r="R255" s="252" t="n"/>
      <c r="S255" s="244">
        <f>Q255*R255</f>
        <v/>
      </c>
    </row>
    <row r="256" ht="22.2" customHeight="1" s="330">
      <c r="A256" s="4" t="n"/>
      <c r="E256" s="4" t="n"/>
      <c r="G256" s="276" t="n"/>
      <c r="H256" s="252" t="n"/>
      <c r="I256" s="276" t="n"/>
      <c r="J256" s="276" t="n"/>
      <c r="K256" s="476" t="n"/>
      <c r="L256" s="276" t="n"/>
      <c r="M256" s="276" t="n"/>
      <c r="N256" s="276" t="n"/>
      <c r="O256" s="244">
        <f>M256*N256</f>
        <v/>
      </c>
      <c r="P256" s="276" t="n"/>
      <c r="Q256" s="276" t="n"/>
      <c r="R256" s="276" t="n"/>
      <c r="S256" s="244">
        <f>Q256*R256</f>
        <v/>
      </c>
    </row>
    <row r="257" ht="22.2" customHeight="1" s="330">
      <c r="A257" s="4" t="n"/>
      <c r="D257" s="331" t="n"/>
      <c r="E257" s="56" t="n"/>
      <c r="G257" s="62" t="inlineStr">
        <is>
          <t>ศุกร์</t>
        </is>
      </c>
      <c r="H257" s="147" t="inlineStr">
        <is>
          <t>30100-0101</t>
        </is>
      </c>
      <c r="I257" s="325" t="inlineStr">
        <is>
          <t>ปวส.1/3,4 สย. (ม.6)</t>
        </is>
      </c>
      <c r="J257" s="332" t="inlineStr">
        <is>
          <t>08.10-11.10</t>
        </is>
      </c>
      <c r="K257" s="335" t="n"/>
      <c r="L257" s="149" t="n"/>
      <c r="M257" s="69" t="n"/>
      <c r="N257" s="69" t="n"/>
      <c r="O257" s="244">
        <f>M257*N257</f>
        <v/>
      </c>
      <c r="P257" s="147" t="n"/>
      <c r="Q257" s="149" t="n"/>
      <c r="R257" s="147" t="n"/>
      <c r="S257" s="244">
        <f>Q257*R257</f>
        <v/>
      </c>
      <c r="T257" s="24" t="n"/>
      <c r="U257" s="24" t="inlineStr">
        <is>
          <t>สอน ป.ตรี</t>
        </is>
      </c>
      <c r="V257" s="65" t="n"/>
      <c r="W257" s="24" t="n"/>
      <c r="X257" s="24" t="n"/>
    </row>
    <row r="258" ht="22.2" customHeight="1" s="330">
      <c r="A258" s="4" t="n"/>
      <c r="E258" s="4" t="n"/>
      <c r="G258" s="308">
        <f>G212</f>
        <v/>
      </c>
      <c r="H258" s="148" t="inlineStr">
        <is>
          <t>30101-8001</t>
        </is>
      </c>
      <c r="I258" s="325" t="inlineStr">
        <is>
          <t>ปวส.2/1 สย. (ปกติ)</t>
        </is>
      </c>
      <c r="J258" s="325" t="inlineStr">
        <is>
          <t>13.10-17.10</t>
        </is>
      </c>
      <c r="K258" s="331" t="n"/>
      <c r="L258" s="150" t="n"/>
      <c r="M258" s="68" t="n"/>
      <c r="N258" s="68" t="n"/>
      <c r="O258" s="244">
        <f>M258*N258</f>
        <v/>
      </c>
      <c r="P258" s="150" t="n"/>
      <c r="Q258" s="150" t="n"/>
      <c r="R258" s="150" t="n"/>
      <c r="S258" s="244">
        <f>Q258*R258</f>
        <v/>
      </c>
      <c r="T258" s="24" t="n"/>
      <c r="U258" s="24" t="inlineStr">
        <is>
          <t>17.10-21.10</t>
        </is>
      </c>
      <c r="V258" s="65" t="n"/>
      <c r="W258" s="24" t="n"/>
      <c r="X258" s="24" t="n"/>
    </row>
    <row r="259" ht="22.2" customHeight="1" s="330">
      <c r="A259" s="4" t="n"/>
      <c r="E259" s="4" t="n"/>
      <c r="G259" s="252" t="n"/>
      <c r="H259" s="148" t="n"/>
      <c r="I259" s="325" t="n"/>
      <c r="J259" s="252" t="n"/>
      <c r="K259" s="331" t="n"/>
      <c r="L259" s="68" t="n"/>
      <c r="M259" s="68" t="n"/>
      <c r="N259" s="68" t="n"/>
      <c r="O259" s="244">
        <f>M259*N259</f>
        <v/>
      </c>
      <c r="P259" s="150" t="n"/>
      <c r="Q259" s="68" t="n"/>
      <c r="R259" s="68" t="n"/>
      <c r="S259" s="244">
        <f>Q259*R259</f>
        <v/>
      </c>
    </row>
    <row r="260" ht="22.2" customHeight="1" s="330">
      <c r="A260" s="4" t="n"/>
      <c r="E260" s="4" t="n"/>
      <c r="G260" s="252" t="n"/>
      <c r="H260" s="252" t="n"/>
      <c r="I260" s="252" t="n"/>
      <c r="J260" s="252" t="n"/>
      <c r="K260" s="331" t="n"/>
      <c r="L260" s="252" t="n"/>
      <c r="N260" s="252" t="n"/>
      <c r="O260" s="244">
        <f>L260*N260</f>
        <v/>
      </c>
      <c r="P260" s="252" t="n"/>
      <c r="Q260" s="252" t="n"/>
      <c r="R260" s="252" t="n"/>
      <c r="S260" s="244">
        <f>Q260*R260</f>
        <v/>
      </c>
    </row>
    <row r="261" ht="22.2" customHeight="1" s="330">
      <c r="A261" s="4" t="n"/>
      <c r="E261" s="4" t="n"/>
      <c r="F261" s="4" t="n"/>
      <c r="G261" s="278" t="n"/>
      <c r="H261" s="301" t="n"/>
      <c r="I261" s="276" t="n"/>
      <c r="J261" s="276" t="n"/>
      <c r="K261" s="476" t="n"/>
      <c r="L261" s="276" t="n"/>
      <c r="M261" s="276" t="n"/>
      <c r="N261" s="276" t="n"/>
      <c r="O261" s="244">
        <f>M261*N261</f>
        <v/>
      </c>
      <c r="P261" s="276" t="n"/>
      <c r="Q261" s="276" t="n"/>
      <c r="R261" s="276" t="n"/>
      <c r="S261" s="244">
        <f>Q261*R261</f>
        <v/>
      </c>
    </row>
    <row r="262" ht="22.2" customHeight="1" s="330">
      <c r="A262" s="4" t="n"/>
      <c r="E262" s="4" t="n"/>
      <c r="F262" s="4" t="n"/>
      <c r="G262" s="17" t="inlineStr">
        <is>
          <t>รวมขั่วโมงที่สอนแยก ภาระงาน/ เกินภาระงาน</t>
        </is>
      </c>
      <c r="H262" s="467" t="n"/>
      <c r="I262" s="467" t="n"/>
      <c r="J262" s="467" t="n"/>
      <c r="K262" s="362" t="n"/>
      <c r="L262" s="17">
        <f>SUM(L237:L261)</f>
        <v/>
      </c>
      <c r="M262" s="17">
        <f>SUM(M237:M261)</f>
        <v/>
      </c>
      <c r="N262" s="17" t="n"/>
      <c r="O262" s="17" t="n"/>
      <c r="P262" s="17">
        <f>SUM(P237:P261)</f>
        <v/>
      </c>
      <c r="Q262" s="17">
        <f>SUM(Q237:Q261)</f>
        <v/>
      </c>
      <c r="R262" s="279" t="n"/>
      <c r="S262" s="17" t="n"/>
      <c r="T262" s="25" t="n"/>
      <c r="U262" s="26" t="inlineStr">
        <is>
          <t xml:space="preserve">     PLC</t>
        </is>
      </c>
      <c r="V262" s="64" t="n"/>
      <c r="W262" s="27" t="n"/>
      <c r="X262" s="27" t="n"/>
    </row>
    <row r="263" ht="22.2" customHeight="1" s="330">
      <c r="A263" s="4" t="n"/>
      <c r="E263" s="4" t="n"/>
      <c r="F263" s="4" t="n"/>
      <c r="G263" s="17" t="inlineStr">
        <is>
          <t>รวมจำนวนชั่วโมงสอนคาบต่อสับดาห์</t>
        </is>
      </c>
      <c r="H263" s="467" t="n"/>
      <c r="I263" s="467" t="n"/>
      <c r="J263" s="467" t="n"/>
      <c r="K263" s="362" t="n"/>
      <c r="L263" s="17">
        <f>L262+M262</f>
        <v/>
      </c>
      <c r="M263" s="362" t="n"/>
      <c r="N263" s="298" t="n"/>
      <c r="O263" s="17" t="n"/>
      <c r="P263" s="17">
        <f>P262+Q262</f>
        <v/>
      </c>
      <c r="Q263" s="362" t="n"/>
      <c r="R263" s="278" t="n"/>
      <c r="S263" s="276" t="n"/>
      <c r="T263" s="27" t="inlineStr">
        <is>
          <t> </t>
        </is>
      </c>
      <c r="U263" s="26" t="inlineStr">
        <is>
          <t>17.10-19.10</t>
        </is>
      </c>
      <c r="V263" s="64" t="n"/>
      <c r="W263" s="27" t="n"/>
      <c r="X263" s="27" t="n"/>
    </row>
    <row r="264" ht="22.2" customHeight="1" s="330">
      <c r="A264" s="4" t="n"/>
      <c r="E264" s="4" t="n"/>
      <c r="F264" s="4" t="n"/>
      <c r="G264" s="17" t="inlineStr">
        <is>
          <t>จำนวนชั่วโมงสอนตามภาระงานสอน</t>
        </is>
      </c>
      <c r="H264" s="467" t="n"/>
      <c r="I264" s="467" t="n"/>
      <c r="J264" s="467" t="n"/>
      <c r="K264" s="362" t="n"/>
      <c r="L264" s="153" t="inlineStr">
        <is>
          <t>0</t>
        </is>
      </c>
      <c r="M264" s="362" t="n"/>
      <c r="N264" s="152" t="n"/>
      <c r="O264" s="153" t="n"/>
      <c r="P264" s="153" t="inlineStr">
        <is>
          <t>15</t>
        </is>
      </c>
      <c r="Q264" s="362" t="n"/>
      <c r="R264" s="249" t="n"/>
      <c r="S264" s="252" t="n"/>
    </row>
    <row r="265" ht="22.2" customHeight="1" s="330" thickBot="1">
      <c r="A265" s="4" t="n"/>
      <c r="E265" s="4" t="n"/>
      <c r="F265" s="15" t="n"/>
      <c r="G265" s="17" t="inlineStr">
        <is>
          <t>จำนวนชั่วโมงบิกเกินภาระงานสอน/ค่าสอน</t>
        </is>
      </c>
      <c r="H265" s="467" t="n"/>
      <c r="I265" s="467" t="n"/>
      <c r="J265" s="467" t="n"/>
      <c r="K265" s="362" t="n"/>
      <c r="L265" s="18" t="n">
        <v>0</v>
      </c>
      <c r="M265" s="18">
        <f>SUM(M237:M261)</f>
        <v/>
      </c>
      <c r="N265" s="18" t="n"/>
      <c r="O265" s="18">
        <f>SUM(O237:O261)</f>
        <v/>
      </c>
      <c r="P265" s="18" t="n">
        <v>0</v>
      </c>
      <c r="Q265" s="18">
        <f>SUM(Q237:Q261)</f>
        <v/>
      </c>
      <c r="R265" s="19" t="n"/>
      <c r="S265" s="18">
        <f>SUM(S237:S261)</f>
        <v/>
      </c>
    </row>
    <row r="266" ht="22.2" customHeight="1" s="330" thickTop="1">
      <c r="A266" s="299" t="inlineStr">
        <is>
          <t>รวมจำนวนหน่วยชั่วโมงที่ขอเบิกค่าสอน ….</t>
        </is>
      </c>
      <c r="B266" s="467" t="n"/>
      <c r="C266" s="467" t="n"/>
      <c r="D266" s="467" t="n"/>
      <c r="E266" s="467" t="n"/>
      <c r="F266" s="467" t="n"/>
      <c r="G266" s="467" t="n"/>
      <c r="H266" s="298">
        <f>M265+Q265</f>
        <v/>
      </c>
      <c r="I266" s="298" t="inlineStr">
        <is>
          <t>….ชั่วโมง</t>
        </is>
      </c>
      <c r="J266" s="298" t="n"/>
      <c r="K266" s="301" t="inlineStr">
        <is>
          <t>ยอดเงินรวม</t>
        </is>
      </c>
      <c r="L266" s="471" t="n"/>
      <c r="M266" s="471" t="n"/>
      <c r="N266" s="301" t="n"/>
      <c r="O266" s="301" t="n"/>
      <c r="P266" s="302">
        <f>S265+O265</f>
        <v/>
      </c>
      <c r="Q266" s="482" t="n"/>
      <c r="R266" s="21" t="n"/>
      <c r="S266" s="20" t="inlineStr">
        <is>
          <t>..บาท</t>
        </is>
      </c>
    </row>
    <row r="267" ht="22.2" customHeight="1" s="330">
      <c r="A267" s="207" t="inlineStr">
        <is>
          <t>ผู้ขอเบิก</t>
        </is>
      </c>
      <c r="B267" s="334" t="n"/>
      <c r="C267" s="334" t="n"/>
      <c r="D267" s="334" t="n"/>
      <c r="E267" s="334" t="n"/>
      <c r="F267" s="334" t="n"/>
      <c r="G267" s="335" t="n"/>
      <c r="H267" s="207" t="inlineStr">
        <is>
          <t>ผู้รับรอง</t>
        </is>
      </c>
      <c r="I267" s="334" t="n"/>
      <c r="J267" s="334" t="n"/>
      <c r="K267" s="334" t="n"/>
      <c r="L267" s="335" t="n"/>
      <c r="M267" s="207" t="inlineStr">
        <is>
          <t>ผู้ตรวจ</t>
        </is>
      </c>
      <c r="N267" s="334" t="n"/>
      <c r="O267" s="334" t="n"/>
      <c r="P267" s="334" t="n"/>
      <c r="Q267" s="334" t="n"/>
      <c r="R267" s="334" t="n"/>
      <c r="S267" s="335" t="n"/>
    </row>
    <row r="268" ht="22.2" customHeight="1" s="330">
      <c r="A268" s="252" t="inlineStr">
        <is>
          <t>ลงชื่อ……………………………………………</t>
        </is>
      </c>
      <c r="G268" s="331" t="n"/>
      <c r="H268" s="252" t="inlineStr">
        <is>
          <t>ลงชื่อ……………………………………………</t>
        </is>
      </c>
      <c r="L268" s="331" t="n"/>
      <c r="M268" s="252" t="inlineStr">
        <is>
          <t>ลงชื่อ……………………………………………</t>
        </is>
      </c>
      <c r="S268" s="331" t="n"/>
    </row>
    <row r="269" ht="22.2" customHeight="1" s="330">
      <c r="A269" s="12" t="inlineStr">
        <is>
          <t>(</t>
        </is>
      </c>
      <c r="B269" s="309">
        <f>B237</f>
        <v/>
      </c>
      <c r="G269" s="310" t="inlineStr">
        <is>
          <t>)</t>
        </is>
      </c>
      <c r="H269" s="309" t="inlineStr">
        <is>
          <t>(</t>
        </is>
      </c>
      <c r="I269" s="314">
        <f>I223</f>
        <v/>
      </c>
      <c r="L269" s="13" t="inlineStr">
        <is>
          <t>)</t>
        </is>
      </c>
      <c r="M269" s="61" t="inlineStr">
        <is>
          <t>(</t>
        </is>
      </c>
      <c r="N269" s="61" t="n"/>
      <c r="O269" s="309" t="inlineStr">
        <is>
          <t>นายพิสุทธิศักดิ์  กล่อมนาค</t>
        </is>
      </c>
      <c r="R269" s="29" t="n"/>
      <c r="S269" s="310" t="inlineStr">
        <is>
          <t>)</t>
        </is>
      </c>
    </row>
    <row r="270" ht="22.2" customHeight="1" s="330">
      <c r="A270" s="483" t="inlineStr">
        <is>
          <t xml:space="preserve">                    ตำแหน่ง  ครู</t>
        </is>
      </c>
      <c r="G270" s="331" t="n"/>
      <c r="H270" s="62" t="inlineStr">
        <is>
          <t>ตำแหน่ง หัวหน้าแผนก</t>
        </is>
      </c>
      <c r="L270" s="331" t="n"/>
      <c r="M270" s="62" t="inlineStr">
        <is>
          <t>ตำแหน่ง   ผู้ตรวจสอบ</t>
        </is>
      </c>
      <c r="S270" s="331" t="n"/>
    </row>
    <row r="271" ht="22.2" customHeight="1" s="330">
      <c r="A271" s="63">
        <f>A41</f>
        <v/>
      </c>
      <c r="B271" s="471" t="n"/>
      <c r="C271" s="471" t="n"/>
      <c r="D271" s="471" t="n"/>
      <c r="E271" s="471" t="n"/>
      <c r="F271" s="471" t="n"/>
      <c r="G271" s="476" t="n"/>
      <c r="H271" s="62">
        <f>A41</f>
        <v/>
      </c>
      <c r="L271" s="331" t="n"/>
      <c r="M271" s="63">
        <f>A41</f>
        <v/>
      </c>
      <c r="N271" s="471" t="n"/>
      <c r="O271" s="471" t="n"/>
      <c r="P271" s="471" t="n"/>
      <c r="Q271" s="471" t="n"/>
      <c r="R271" s="471" t="n"/>
      <c r="S271" s="476" t="n"/>
    </row>
    <row r="272" ht="22.2" customHeight="1" s="330">
      <c r="A272" s="207" t="inlineStr">
        <is>
          <t>ผู้ตรวจ</t>
        </is>
      </c>
      <c r="B272" s="334" t="n"/>
      <c r="C272" s="334" t="n"/>
      <c r="D272" s="334" t="n"/>
      <c r="E272" s="334" t="n"/>
      <c r="F272" s="334" t="n"/>
      <c r="G272" s="334" t="n"/>
      <c r="H272" s="334" t="n"/>
      <c r="I272" s="335" t="n"/>
      <c r="J272" s="207" t="inlineStr">
        <is>
          <t>ผู้เห็นชอบ</t>
        </is>
      </c>
      <c r="K272" s="334" t="n"/>
      <c r="L272" s="334" t="n"/>
      <c r="M272" s="334" t="n"/>
      <c r="N272" s="334" t="n"/>
      <c r="O272" s="334" t="n"/>
      <c r="P272" s="334" t="n"/>
      <c r="Q272" s="334" t="n"/>
      <c r="R272" s="334" t="n"/>
      <c r="S272" s="335" t="n"/>
    </row>
    <row r="273" ht="22.2" customHeight="1" s="330">
      <c r="A273" s="252" t="inlineStr">
        <is>
          <t>ลงชื่อ……………………………………………</t>
        </is>
      </c>
      <c r="I273" s="331" t="n"/>
      <c r="J273" s="252" t="inlineStr">
        <is>
          <t>ลงชื่อ……………………………………………</t>
        </is>
      </c>
      <c r="S273" s="331" t="n"/>
    </row>
    <row r="274" ht="22.2" customHeight="1" s="330">
      <c r="A274" s="12" t="n"/>
      <c r="B274" s="309" t="inlineStr">
        <is>
          <t xml:space="preserve">          (นางศิวรักษ์   บุญประเสริฐ)</t>
        </is>
      </c>
      <c r="I274" s="310" t="n"/>
      <c r="J274" s="29" t="n"/>
      <c r="K274" s="29" t="n"/>
      <c r="L274" s="309" t="inlineStr">
        <is>
          <t>(นายปรีชา  โพธิ์เกิด)</t>
        </is>
      </c>
      <c r="R274" s="29" t="n"/>
      <c r="S274" s="13" t="n"/>
    </row>
    <row r="275" ht="22.2" customHeight="1" s="330">
      <c r="A275" s="62" t="inlineStr">
        <is>
          <t>ตำแหน่งครู  หัวหน้างานพัฒนาหลักสูตร ฯ</t>
        </is>
      </c>
      <c r="I275" s="331" t="n"/>
      <c r="J275" s="62" t="inlineStr">
        <is>
          <t>ตำแหน่ง  รองผู้อำนวยการฝ่ายวิชาการ</t>
        </is>
      </c>
      <c r="S275" s="331" t="n"/>
    </row>
    <row r="276" ht="22.2" customHeight="1" s="330">
      <c r="A276" s="63">
        <f>A41</f>
        <v/>
      </c>
      <c r="B276" s="471" t="n"/>
      <c r="C276" s="471" t="n"/>
      <c r="D276" s="471" t="n"/>
      <c r="E276" s="471" t="n"/>
      <c r="F276" s="471" t="n"/>
      <c r="G276" s="471" t="n"/>
      <c r="H276" s="471" t="n"/>
      <c r="I276" s="476" t="n"/>
      <c r="J276" s="63">
        <f>A41</f>
        <v/>
      </c>
      <c r="K276" s="471" t="n"/>
      <c r="L276" s="471" t="n"/>
      <c r="M276" s="471" t="n"/>
      <c r="N276" s="471" t="n"/>
      <c r="O276" s="471" t="n"/>
      <c r="P276" s="471" t="n"/>
      <c r="Q276" s="471" t="n"/>
      <c r="R276" s="471" t="n"/>
      <c r="S276" s="476" t="n"/>
    </row>
    <row r="277" ht="22.2" customHeight="1" s="330">
      <c r="A27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278" ht="22.2" customHeight="1" s="330">
      <c r="A278" s="254">
        <f>A2</f>
        <v/>
      </c>
    </row>
    <row r="279" ht="22.2" customHeight="1" s="330">
      <c r="A279" s="253" t="inlineStr">
        <is>
          <t xml:space="preserve">    ระหว่างวันที่</t>
        </is>
      </c>
      <c r="D279" s="254">
        <f>D3</f>
        <v/>
      </c>
      <c r="E279" s="254" t="inlineStr">
        <is>
          <t xml:space="preserve">   เดือน  </t>
        </is>
      </c>
      <c r="F279" s="254">
        <f>F3</f>
        <v/>
      </c>
      <c r="H279" s="254">
        <f>H3</f>
        <v/>
      </c>
      <c r="I279" s="254" t="inlineStr">
        <is>
          <t xml:space="preserve">     ถึง วันที่</t>
        </is>
      </c>
      <c r="J279" s="254">
        <f>J3</f>
        <v/>
      </c>
      <c r="K279" s="254" t="inlineStr">
        <is>
          <t xml:space="preserve">   เดือน </t>
        </is>
      </c>
      <c r="L279" s="254">
        <f>L3</f>
        <v/>
      </c>
      <c r="N279" s="254">
        <f>N3</f>
        <v/>
      </c>
      <c r="P279" s="254" t="n"/>
      <c r="R279" s="254" t="n"/>
    </row>
    <row r="280" ht="25.5" customHeight="1" s="330">
      <c r="G280" s="58" t="inlineStr">
        <is>
          <t>ü</t>
        </is>
      </c>
      <c r="H280" s="290" t="inlineStr">
        <is>
          <t>ครู</t>
        </is>
      </c>
      <c r="I280" s="249" t="inlineStr">
        <is>
          <t>หน้าที่พิเศษ</t>
        </is>
      </c>
    </row>
    <row r="281" ht="22.2" customHeight="1" s="330">
      <c r="A281" s="28" t="inlineStr">
        <is>
          <t>ที่</t>
        </is>
      </c>
      <c r="B281" s="28" t="inlineStr">
        <is>
          <t>ชื่อ-สกุล</t>
        </is>
      </c>
      <c r="C281" s="334" t="n"/>
      <c r="D281" s="335" t="n"/>
      <c r="E281" s="16" t="inlineStr">
        <is>
          <t>ตำแหน่ง</t>
        </is>
      </c>
      <c r="F281" s="17" t="inlineStr">
        <is>
          <t>ระยะเวลาที่สอน</t>
        </is>
      </c>
      <c r="G281" s="362" t="n"/>
      <c r="H281" s="17" t="inlineStr">
        <is>
          <t>รหัสวิชา</t>
        </is>
      </c>
      <c r="I281" s="275" t="inlineStr">
        <is>
          <t>ชั้น,แผนก,ห้อง</t>
        </is>
      </c>
      <c r="J281" s="17" t="inlineStr">
        <is>
          <t>เวลาสอน</t>
        </is>
      </c>
      <c r="K281" s="335" t="n"/>
      <c r="L281" s="17" t="inlineStr">
        <is>
          <t>ปวช.(คาบ)</t>
        </is>
      </c>
      <c r="M281" s="362" t="n"/>
      <c r="N281" s="244" t="inlineStr">
        <is>
          <t>เงิน</t>
        </is>
      </c>
      <c r="O281" s="275" t="inlineStr">
        <is>
          <t>ยอดเงิน</t>
        </is>
      </c>
      <c r="P281" s="473" t="inlineStr">
        <is>
          <t>ปวส.(คาบ)</t>
        </is>
      </c>
      <c r="Q281" s="362" t="n"/>
      <c r="R281" s="244" t="inlineStr">
        <is>
          <t>เงิน</t>
        </is>
      </c>
      <c r="S281" s="275" t="inlineStr">
        <is>
          <t>ยอดเงิน</t>
        </is>
      </c>
    </row>
    <row r="282" ht="22.2" customHeight="1" s="330">
      <c r="A282" s="60" t="n"/>
      <c r="B282" s="9" t="n"/>
      <c r="C282" s="10" t="n"/>
      <c r="D282" s="14" t="n"/>
      <c r="E282" s="11" t="n"/>
      <c r="F282" s="276" t="inlineStr">
        <is>
          <t>ส.</t>
        </is>
      </c>
      <c r="G282" s="276" t="inlineStr">
        <is>
          <t>วดป.</t>
        </is>
      </c>
      <c r="H282" s="474" t="n"/>
      <c r="I282" s="276" t="n"/>
      <c r="J282" s="475" t="n"/>
      <c r="K282" s="476" t="n"/>
      <c r="L282" s="276" t="inlineStr">
        <is>
          <t>ใน</t>
        </is>
      </c>
      <c r="M282" s="276" t="inlineStr">
        <is>
          <t>นอก</t>
        </is>
      </c>
      <c r="N282" s="276" t="inlineStr">
        <is>
          <t>ต่อ ชม.</t>
        </is>
      </c>
      <c r="O282" s="276" t="inlineStr">
        <is>
          <t>(บาท)</t>
        </is>
      </c>
      <c r="P282" s="60" t="inlineStr">
        <is>
          <t>ใน</t>
        </is>
      </c>
      <c r="Q282" s="60" t="inlineStr">
        <is>
          <t>นอก</t>
        </is>
      </c>
      <c r="R282" s="276" t="inlineStr">
        <is>
          <t>ต่อ ชม.</t>
        </is>
      </c>
      <c r="S282" s="276" t="inlineStr">
        <is>
          <t>(บาท)</t>
        </is>
      </c>
    </row>
    <row r="283" ht="22.2" customHeight="1" s="330">
      <c r="A283" s="275" t="n">
        <v>7</v>
      </c>
      <c r="B283" s="477">
        <f>AB9</f>
        <v/>
      </c>
      <c r="C283" s="334" t="n"/>
      <c r="D283" s="335" t="n"/>
      <c r="E283" s="275" t="inlineStr">
        <is>
          <t>ครู</t>
        </is>
      </c>
      <c r="F283" s="6">
        <f>F7</f>
        <v/>
      </c>
      <c r="G283" s="303" t="inlineStr">
        <is>
          <t>จันทร์</t>
        </is>
      </c>
      <c r="H283" s="332" t="inlineStr">
        <is>
          <t>20101-8001</t>
        </is>
      </c>
      <c r="I283" s="325" t="inlineStr">
        <is>
          <t>ปวช.3/5 ชย. (ปกติ)</t>
        </is>
      </c>
      <c r="J283" s="332" t="inlineStr">
        <is>
          <t>08.10-12.10</t>
        </is>
      </c>
      <c r="K283" s="335" t="n"/>
      <c r="L283" s="265" t="n"/>
      <c r="M283" s="332" t="n"/>
      <c r="N283" s="332" t="n"/>
      <c r="O283" s="244">
        <f>M283*N283</f>
        <v/>
      </c>
      <c r="P283" s="332" t="n"/>
      <c r="Q283" s="265" t="n"/>
      <c r="R283" s="332" t="n"/>
      <c r="S283" s="244">
        <f>Q283*R283</f>
        <v/>
      </c>
    </row>
    <row r="284" ht="22.2" customHeight="1" s="330">
      <c r="A284" s="4" t="n"/>
      <c r="B284" s="478" t="n"/>
      <c r="D284" s="331" t="n"/>
      <c r="E284" s="252" t="n"/>
      <c r="F284" s="249" t="n"/>
      <c r="G284" s="308">
        <f>G238</f>
        <v/>
      </c>
      <c r="H284" s="325" t="n"/>
      <c r="I284" s="325" t="n"/>
      <c r="J284" s="252" t="n"/>
      <c r="K284" s="331" t="n"/>
      <c r="L284" s="252" t="n"/>
      <c r="M284" s="252" t="n"/>
      <c r="N284" s="252" t="n"/>
      <c r="O284" s="244">
        <f>M284*N284</f>
        <v/>
      </c>
      <c r="P284" s="252" t="n"/>
      <c r="Q284" s="252" t="n"/>
      <c r="R284" s="252" t="n"/>
      <c r="S284" s="244">
        <f>Q284*R284</f>
        <v/>
      </c>
    </row>
    <row r="285" ht="22.2" customHeight="1" s="330">
      <c r="A285" s="4" t="n"/>
      <c r="B285" s="5" t="n"/>
      <c r="D285" s="3" t="n"/>
      <c r="E285" s="3" t="n"/>
      <c r="F285" s="249" t="n"/>
      <c r="G285" s="248" t="n"/>
      <c r="H285" s="325" t="n"/>
      <c r="I285" s="325" t="n"/>
      <c r="J285" s="325" t="n"/>
      <c r="K285" s="331" t="n"/>
      <c r="L285" s="252" t="n"/>
      <c r="M285" s="252" t="n"/>
      <c r="N285" s="252" t="n"/>
      <c r="O285" s="244">
        <f>M285*N285</f>
        <v/>
      </c>
      <c r="P285" s="252" t="n"/>
      <c r="Q285" s="252" t="n"/>
      <c r="R285" s="252" t="n"/>
      <c r="S285" s="244">
        <f>Q285*R285</f>
        <v/>
      </c>
    </row>
    <row r="286" ht="22.2" customHeight="1" s="330">
      <c r="A286" s="4" t="n"/>
      <c r="B286" s="5" t="n"/>
      <c r="E286" s="4" t="n"/>
      <c r="F286" s="249" t="n"/>
      <c r="G286" s="248" t="n"/>
      <c r="H286" s="252" t="n"/>
      <c r="I286" s="252" t="n"/>
      <c r="J286" s="252" t="n"/>
      <c r="K286" s="331" t="n"/>
      <c r="L286" s="252" t="n"/>
      <c r="M286" s="252" t="n"/>
      <c r="N286" s="252" t="n"/>
      <c r="O286" s="244">
        <f>M286*N286</f>
        <v/>
      </c>
      <c r="P286" s="252" t="n"/>
      <c r="Q286" s="252" t="n"/>
      <c r="R286" s="252" t="n"/>
      <c r="S286" s="244">
        <f>Q286*R286</f>
        <v/>
      </c>
    </row>
    <row r="287" ht="22.2" customHeight="1" s="330">
      <c r="A287" s="4" t="n"/>
      <c r="E287" s="4" t="n"/>
      <c r="G287" s="311" t="n"/>
      <c r="H287" s="276" t="n"/>
      <c r="I287" s="276" t="n"/>
      <c r="J287" s="276" t="n"/>
      <c r="K287" s="476" t="n"/>
      <c r="L287" s="252" t="n"/>
      <c r="M287" s="252" t="n"/>
      <c r="N287" s="252" t="n"/>
      <c r="O287" s="244">
        <f>M287*N287</f>
        <v/>
      </c>
      <c r="P287" s="252" t="n"/>
      <c r="Q287" s="252" t="n"/>
      <c r="R287" s="252" t="n"/>
      <c r="S287" s="244">
        <f>Q287*R287</f>
        <v/>
      </c>
    </row>
    <row r="288" ht="22.2" customHeight="1" s="330">
      <c r="A288" s="4" t="n"/>
      <c r="E288" s="4" t="n"/>
      <c r="G288" s="62" t="inlineStr">
        <is>
          <t>อังคาร</t>
        </is>
      </c>
      <c r="H288" s="325" t="inlineStr">
        <is>
          <t>20101-2003</t>
        </is>
      </c>
      <c r="I288" s="325" t="inlineStr">
        <is>
          <t>ปวช.1/1 ชย. (ปกติ)</t>
        </is>
      </c>
      <c r="J288" s="332" t="inlineStr">
        <is>
          <t>08.10-12.10</t>
        </is>
      </c>
      <c r="K288" s="335" t="n"/>
      <c r="L288" s="265" t="n"/>
      <c r="M288" s="332" t="n"/>
      <c r="N288" s="332" t="n"/>
      <c r="O288" s="244">
        <f>M288*N288</f>
        <v/>
      </c>
      <c r="P288" s="332" t="n"/>
      <c r="Q288" s="265" t="n"/>
      <c r="R288" s="332" t="n"/>
      <c r="S288" s="244">
        <f>Q288*R288</f>
        <v/>
      </c>
    </row>
    <row r="289" ht="22.2" customHeight="1" s="330">
      <c r="A289" s="4" t="n"/>
      <c r="E289" s="4" t="n"/>
      <c r="G289" s="308">
        <f>G243</f>
        <v/>
      </c>
      <c r="H289" s="325" t="inlineStr">
        <is>
          <t>20101-2003</t>
        </is>
      </c>
      <c r="I289" s="325" t="inlineStr">
        <is>
          <t>ปวช.1/1 ชย. (ปกติ)</t>
        </is>
      </c>
      <c r="J289" s="252" t="inlineStr">
        <is>
          <t>13.10-16.10</t>
        </is>
      </c>
      <c r="K289" s="331" t="n"/>
      <c r="L289" s="252" t="n"/>
      <c r="M289" s="252" t="n"/>
      <c r="N289" s="252" t="n"/>
      <c r="O289" s="244">
        <f>M289*N289</f>
        <v/>
      </c>
      <c r="P289" s="252" t="n"/>
      <c r="Q289" s="252" t="n"/>
      <c r="R289" s="252" t="n"/>
      <c r="S289" s="244">
        <f>Q289*R289</f>
        <v/>
      </c>
    </row>
    <row r="290" ht="22.2" customHeight="1" s="330">
      <c r="A290" s="4" t="n"/>
      <c r="B290" s="5" t="n"/>
      <c r="D290" s="3" t="n"/>
      <c r="E290" s="3" t="n"/>
      <c r="G290" s="252" t="n"/>
      <c r="H290" s="252" t="n"/>
      <c r="I290" s="325" t="n"/>
      <c r="J290" s="252" t="n"/>
      <c r="K290" s="331" t="n"/>
      <c r="L290" s="252" t="n"/>
      <c r="M290" s="252" t="n"/>
      <c r="N290" s="252" t="n"/>
      <c r="O290" s="244">
        <f>M290*N290</f>
        <v/>
      </c>
      <c r="P290" s="252" t="n"/>
      <c r="Q290" s="252" t="n"/>
      <c r="R290" s="252" t="n"/>
      <c r="S290" s="244">
        <f>Q290*R290</f>
        <v/>
      </c>
    </row>
    <row r="291" ht="22.2" customHeight="1" s="330">
      <c r="A291" s="4" t="n"/>
      <c r="E291" s="4" t="n"/>
      <c r="G291" s="62" t="n"/>
      <c r="H291" s="249" t="n"/>
      <c r="I291" s="252" t="n"/>
      <c r="J291" s="252" t="n"/>
      <c r="K291" s="331" t="n"/>
      <c r="L291" s="252" t="n"/>
      <c r="M291" s="252" t="n"/>
      <c r="N291" s="252" t="n"/>
      <c r="O291" s="244">
        <f>M291*N291</f>
        <v/>
      </c>
      <c r="P291" s="252" t="n"/>
      <c r="Q291" s="252" t="n"/>
      <c r="R291" s="252" t="n"/>
      <c r="S291" s="244">
        <f>Q291*R291</f>
        <v/>
      </c>
    </row>
    <row r="292" ht="22.2" customHeight="1" s="330">
      <c r="A292" s="4" t="n"/>
      <c r="D292" s="8" t="inlineStr">
        <is>
          <t> </t>
        </is>
      </c>
      <c r="E292" s="4" t="n"/>
      <c r="G292" s="63" t="n"/>
      <c r="H292" s="276" t="n"/>
      <c r="I292" s="276" t="n"/>
      <c r="J292" s="276" t="n"/>
      <c r="K292" s="476" t="n"/>
      <c r="L292" s="252" t="n"/>
      <c r="M292" s="252" t="n"/>
      <c r="N292" s="252" t="n"/>
      <c r="O292" s="244">
        <f>M292*N292</f>
        <v/>
      </c>
      <c r="P292" s="252" t="n"/>
      <c r="Q292" s="252" t="n"/>
      <c r="R292" s="252" t="n"/>
      <c r="S292" s="244">
        <f>Q292*R292</f>
        <v/>
      </c>
    </row>
    <row r="293" ht="22.2" customHeight="1" s="330">
      <c r="A293" s="4" t="n"/>
      <c r="E293" s="4" t="n"/>
      <c r="G293" s="308" t="inlineStr">
        <is>
          <t>พุธ</t>
        </is>
      </c>
      <c r="H293" s="325" t="inlineStr">
        <is>
          <t>20101-2003</t>
        </is>
      </c>
      <c r="I293" s="325" t="inlineStr">
        <is>
          <t>ปวช.1/3 ชย. (ปกติ)</t>
        </is>
      </c>
      <c r="J293" s="332" t="inlineStr">
        <is>
          <t>08.10-12.10</t>
        </is>
      </c>
      <c r="K293" s="335" t="n"/>
      <c r="L293" s="265" t="n"/>
      <c r="M293" s="332" t="n"/>
      <c r="N293" s="332" t="n"/>
      <c r="O293" s="244">
        <f>M293*N293</f>
        <v/>
      </c>
      <c r="P293" s="332" t="n"/>
      <c r="Q293" s="265" t="n"/>
      <c r="R293" s="332" t="n"/>
      <c r="S293" s="244">
        <f>Q293*R293</f>
        <v/>
      </c>
      <c r="T293" s="24" t="n"/>
      <c r="U293" s="24" t="inlineStr">
        <is>
          <t>สอน ป.ตรี</t>
        </is>
      </c>
      <c r="V293" s="65" t="n"/>
      <c r="W293" s="24" t="n"/>
      <c r="X293" s="24" t="n"/>
    </row>
    <row r="294" ht="22.2" customHeight="1" s="330">
      <c r="A294" s="4" t="n"/>
      <c r="B294" s="54" t="n"/>
      <c r="C294" s="67" t="n"/>
      <c r="D294" s="55" t="n"/>
      <c r="E294" s="55" t="n"/>
      <c r="G294" s="308">
        <f>G248</f>
        <v/>
      </c>
      <c r="H294" s="325" t="inlineStr">
        <is>
          <t>20101-2003</t>
        </is>
      </c>
      <c r="I294" s="325" t="inlineStr">
        <is>
          <t>ปวช.1/3 ชย. (ปกติ)</t>
        </is>
      </c>
      <c r="J294" s="252" t="inlineStr">
        <is>
          <t>13.10-16.10</t>
        </is>
      </c>
      <c r="K294" s="331" t="n"/>
      <c r="L294" s="252" t="n"/>
      <c r="M294" s="252" t="n"/>
      <c r="N294" s="252" t="n"/>
      <c r="O294" s="244">
        <f>M294*N294</f>
        <v/>
      </c>
      <c r="P294" s="252" t="n"/>
      <c r="Q294" s="252" t="n"/>
      <c r="R294" s="252" t="n"/>
      <c r="S294" s="244">
        <f>Q294*R294</f>
        <v/>
      </c>
      <c r="T294" s="24" t="n"/>
      <c r="U294" s="24" t="inlineStr">
        <is>
          <t>17.10-21.10</t>
        </is>
      </c>
      <c r="V294" s="65" t="n"/>
      <c r="W294" s="24" t="n"/>
      <c r="X294" s="24" t="n"/>
    </row>
    <row r="295" ht="22.2" customHeight="1" s="330">
      <c r="A295" s="4" t="n"/>
      <c r="B295" s="54" t="n"/>
      <c r="C295" s="67" t="n"/>
      <c r="D295" s="55" t="n"/>
      <c r="E295" s="55" t="n"/>
      <c r="G295" s="252" t="n"/>
      <c r="H295" s="325" t="n"/>
      <c r="I295" s="325" t="n"/>
      <c r="J295" s="325" t="n"/>
      <c r="K295" s="331" t="n"/>
      <c r="L295" s="252" t="n"/>
      <c r="M295" s="252" t="n"/>
      <c r="N295" s="252" t="n"/>
      <c r="O295" s="244">
        <f>M295*N295</f>
        <v/>
      </c>
      <c r="P295" s="252" t="n"/>
      <c r="Q295" s="252" t="n"/>
      <c r="R295" s="252" t="n"/>
      <c r="S295" s="244">
        <f>Q295*R295</f>
        <v/>
      </c>
    </row>
    <row r="296" ht="22.2" customHeight="1" s="330">
      <c r="A296" s="4" t="n"/>
      <c r="B296" s="54" t="n"/>
      <c r="C296" s="67" t="n"/>
      <c r="D296" s="55" t="n"/>
      <c r="E296" s="55" t="n"/>
      <c r="G296" s="248" t="n"/>
      <c r="H296" s="252" t="n"/>
      <c r="I296" s="325" t="n"/>
      <c r="J296" s="252" t="n"/>
      <c r="K296" s="331" t="n"/>
      <c r="L296" s="252" t="n"/>
      <c r="M296" s="252" t="n"/>
      <c r="N296" s="252" t="n"/>
      <c r="O296" s="244">
        <f>M296*N296</f>
        <v/>
      </c>
      <c r="P296" s="252" t="n"/>
      <c r="Q296" s="252" t="n"/>
      <c r="R296" s="252" t="n"/>
      <c r="S296" s="244">
        <f>Q296*R296</f>
        <v/>
      </c>
    </row>
    <row r="297" ht="22.2" customHeight="1" s="330">
      <c r="A297" s="4" t="n"/>
      <c r="D297" s="3" t="n"/>
      <c r="E297" s="3" t="n"/>
      <c r="G297" s="277" t="n"/>
      <c r="H297" s="277" t="n"/>
      <c r="I297" s="276" t="n"/>
      <c r="J297" s="276" t="n"/>
      <c r="K297" s="476" t="n"/>
      <c r="L297" s="276" t="n"/>
      <c r="M297" s="276" t="n"/>
      <c r="N297" s="276" t="n"/>
      <c r="O297" s="244">
        <f>M297*N297</f>
        <v/>
      </c>
      <c r="P297" s="276" t="n"/>
      <c r="Q297" s="276" t="n"/>
      <c r="R297" s="276" t="n"/>
      <c r="S297" s="244">
        <f>Q297*R297</f>
        <v/>
      </c>
    </row>
    <row r="298" ht="22.2" customHeight="1" s="330">
      <c r="A298" s="4" t="n"/>
      <c r="E298" s="4" t="n"/>
      <c r="G298" s="62" t="inlineStr">
        <is>
          <t>พฤหัส</t>
        </is>
      </c>
      <c r="H298" s="325" t="inlineStr">
        <is>
          <t>20101-2003</t>
        </is>
      </c>
      <c r="I298" s="325" t="inlineStr">
        <is>
          <t>ปวช.1/2 ชย. (ปกติ)</t>
        </is>
      </c>
      <c r="J298" s="332" t="inlineStr">
        <is>
          <t>08.10-12.10</t>
        </is>
      </c>
      <c r="K298" s="335" t="n"/>
      <c r="L298" s="252" t="n"/>
      <c r="M298" s="252" t="n"/>
      <c r="N298" s="252" t="n"/>
      <c r="O298" s="244">
        <f>M298*N298</f>
        <v/>
      </c>
      <c r="P298" s="252" t="n"/>
      <c r="Q298" s="275" t="n"/>
      <c r="R298" s="275" t="n"/>
      <c r="S298" s="244">
        <f>Q298*R298</f>
        <v/>
      </c>
      <c r="T298" s="25" t="n"/>
      <c r="U298" s="26" t="inlineStr">
        <is>
          <t xml:space="preserve">     PLC</t>
        </is>
      </c>
      <c r="V298" s="64" t="n"/>
      <c r="W298" s="27" t="n"/>
      <c r="X298" s="27" t="n"/>
    </row>
    <row r="299" ht="22.2" customHeight="1" s="330">
      <c r="A299" s="4" t="n"/>
      <c r="E299" s="4" t="n"/>
      <c r="G299" s="308">
        <f>G253</f>
        <v/>
      </c>
      <c r="H299" s="325" t="inlineStr">
        <is>
          <t>20101-2003</t>
        </is>
      </c>
      <c r="I299" s="325" t="inlineStr">
        <is>
          <t>ปวช.1/2 ชย. (ปกติ)</t>
        </is>
      </c>
      <c r="J299" s="252" t="inlineStr">
        <is>
          <t>15.10-18.10</t>
        </is>
      </c>
      <c r="K299" s="331" t="n"/>
      <c r="L299" s="252" t="n"/>
      <c r="M299" s="252" t="n"/>
      <c r="N299" s="252" t="n"/>
      <c r="O299" s="244">
        <f>M299*N299</f>
        <v/>
      </c>
      <c r="P299" s="252" t="n"/>
      <c r="Q299" s="252" t="n"/>
      <c r="R299" s="252" t="n"/>
      <c r="S299" s="244">
        <f>Q299*R299</f>
        <v/>
      </c>
      <c r="T299" s="27" t="inlineStr">
        <is>
          <t> </t>
        </is>
      </c>
      <c r="U299" s="26" t="inlineStr">
        <is>
          <t>17.10-19.10</t>
        </is>
      </c>
      <c r="V299" s="64" t="n"/>
      <c r="W299" s="27" t="n"/>
      <c r="X299" s="27" t="n"/>
    </row>
    <row r="300" ht="22.2" customHeight="1" s="330">
      <c r="A300" s="4" t="n"/>
      <c r="B300" s="5" t="n"/>
      <c r="E300" s="4" t="n"/>
      <c r="G300" s="252" t="n"/>
      <c r="H300" s="325" t="n"/>
      <c r="I300" s="325" t="n"/>
      <c r="J300" s="252" t="n"/>
      <c r="K300" s="331" t="n"/>
      <c r="L300" s="325" t="n"/>
      <c r="M300" s="325" t="n"/>
      <c r="N300" s="325" t="n"/>
      <c r="O300" s="244">
        <f>M300*N300</f>
        <v/>
      </c>
      <c r="P300" s="325" t="n"/>
      <c r="Q300" s="325" t="n"/>
      <c r="R300" s="325" t="n"/>
      <c r="S300" s="244">
        <f>Q300*R300</f>
        <v/>
      </c>
    </row>
    <row r="301" ht="22.2" customHeight="1" s="330">
      <c r="A301" s="4" t="n"/>
      <c r="E301" s="4" t="n"/>
      <c r="G301" s="252" t="n"/>
      <c r="H301" s="252" t="n"/>
      <c r="I301" s="252" t="n"/>
      <c r="J301" s="252" t="n"/>
      <c r="K301" s="331" t="n"/>
      <c r="L301" s="252" t="n"/>
      <c r="M301" s="252" t="n"/>
      <c r="N301" s="252" t="n"/>
      <c r="O301" s="244">
        <f>M301*N301</f>
        <v/>
      </c>
      <c r="P301" s="252" t="n"/>
      <c r="Q301" s="252" t="n"/>
      <c r="R301" s="252" t="n"/>
      <c r="S301" s="244">
        <f>Q301*R301</f>
        <v/>
      </c>
    </row>
    <row r="302" ht="22.2" customHeight="1" s="330">
      <c r="A302" s="4" t="n"/>
      <c r="E302" s="4" t="n"/>
      <c r="G302" s="276" t="n"/>
      <c r="H302" s="301" t="n"/>
      <c r="I302" s="276" t="n"/>
      <c r="J302" s="276" t="n"/>
      <c r="K302" s="476" t="n"/>
      <c r="L302" s="276" t="n"/>
      <c r="M302" s="276" t="n"/>
      <c r="N302" s="276" t="n"/>
      <c r="O302" s="244">
        <f>M302*N302</f>
        <v/>
      </c>
      <c r="P302" s="276" t="n"/>
      <c r="Q302" s="276" t="n"/>
      <c r="R302" s="276" t="n"/>
      <c r="S302" s="244">
        <f>Q302*R302</f>
        <v/>
      </c>
    </row>
    <row r="303" ht="22.2" customHeight="1" s="330">
      <c r="A303" s="4" t="n"/>
      <c r="E303" s="4" t="n"/>
      <c r="G303" s="62" t="inlineStr">
        <is>
          <t>ศุกร์</t>
        </is>
      </c>
      <c r="H303" s="325" t="inlineStr">
        <is>
          <t>20101-2003</t>
        </is>
      </c>
      <c r="I303" s="325" t="inlineStr">
        <is>
          <t>ปวช.1/4 ชย. (ปกติ)</t>
        </is>
      </c>
      <c r="J303" s="332" t="inlineStr">
        <is>
          <t>08.10-12.10</t>
        </is>
      </c>
      <c r="K303" s="335" t="n"/>
      <c r="L303" s="265" t="n"/>
      <c r="M303" s="252" t="n"/>
      <c r="N303" s="252" t="n"/>
      <c r="O303" s="244">
        <f>M303*N303</f>
        <v/>
      </c>
      <c r="P303" s="332" t="n"/>
      <c r="Q303" s="265" t="n"/>
      <c r="R303" s="332" t="n"/>
      <c r="S303" s="244">
        <f>Q303*R303</f>
        <v/>
      </c>
      <c r="T303" s="24" t="n"/>
      <c r="U303" s="24" t="inlineStr">
        <is>
          <t>สอน ป.ตรี</t>
        </is>
      </c>
      <c r="V303" s="65" t="n"/>
      <c r="W303" s="24" t="n"/>
      <c r="X303" s="24" t="n"/>
    </row>
    <row r="304" ht="22.2" customHeight="1" s="330">
      <c r="A304" s="4" t="n"/>
      <c r="E304" s="4" t="n"/>
      <c r="G304" s="308">
        <f>G258</f>
        <v/>
      </c>
      <c r="H304" s="325" t="inlineStr">
        <is>
          <t>20101-2003</t>
        </is>
      </c>
      <c r="I304" s="325" t="inlineStr">
        <is>
          <t>ปวช.1/4 ชย. (ปกติ)</t>
        </is>
      </c>
      <c r="J304" s="252" t="inlineStr">
        <is>
          <t>13.10-16.10</t>
        </is>
      </c>
      <c r="K304" s="331" t="n"/>
      <c r="L304" s="252" t="n"/>
      <c r="M304" s="252" t="n"/>
      <c r="N304" s="252" t="n"/>
      <c r="O304" s="244">
        <f>M304*N304</f>
        <v/>
      </c>
      <c r="P304" s="252" t="n"/>
      <c r="Q304" s="252" t="n"/>
      <c r="R304" s="252" t="n"/>
      <c r="S304" s="244">
        <f>Q304*R304</f>
        <v/>
      </c>
      <c r="T304" s="24" t="n"/>
      <c r="U304" s="24" t="inlineStr">
        <is>
          <t>17.10-21.10</t>
        </is>
      </c>
      <c r="V304" s="65" t="n"/>
      <c r="W304" s="24" t="n"/>
      <c r="X304" s="24" t="n"/>
    </row>
    <row r="305" ht="22.2" customHeight="1" s="330">
      <c r="A305" s="4" t="n"/>
      <c r="E305" s="4" t="n"/>
      <c r="G305" s="252" t="n"/>
      <c r="H305" s="252" t="n"/>
      <c r="I305" s="252" t="n"/>
      <c r="J305" s="252" t="n"/>
      <c r="K305" s="331" t="n"/>
      <c r="L305" s="252" t="n"/>
      <c r="M305" s="252" t="n"/>
      <c r="N305" s="252" t="n"/>
      <c r="O305" s="244">
        <f>M305*N305</f>
        <v/>
      </c>
      <c r="P305" s="252" t="n"/>
      <c r="Q305" s="252" t="n"/>
      <c r="R305" s="252" t="n"/>
      <c r="S305" s="244">
        <f>Q305*R305</f>
        <v/>
      </c>
    </row>
    <row r="306" ht="22.2" customHeight="1" s="330">
      <c r="A306" s="4" t="n"/>
      <c r="E306" s="4" t="n"/>
      <c r="G306" s="252" t="n"/>
      <c r="H306" s="252" t="n"/>
      <c r="I306" s="252" t="n"/>
      <c r="J306" s="252" t="n"/>
      <c r="K306" s="331" t="n"/>
      <c r="L306" s="252" t="n"/>
      <c r="M306" s="252" t="n"/>
      <c r="N306" s="252" t="n"/>
      <c r="O306" s="244">
        <f>M306*N306</f>
        <v/>
      </c>
      <c r="P306" s="252" t="n"/>
      <c r="Q306" s="252" t="n"/>
      <c r="R306" s="252" t="n"/>
      <c r="S306" s="244">
        <f>Q306*R306</f>
        <v/>
      </c>
    </row>
    <row r="307" ht="22.2" customHeight="1" s="330">
      <c r="A307" s="4" t="n"/>
      <c r="E307" s="4" t="n"/>
      <c r="F307" s="4" t="n"/>
      <c r="G307" s="278" t="n"/>
      <c r="H307" s="252" t="n"/>
      <c r="I307" s="252" t="n"/>
      <c r="J307" s="276" t="n"/>
      <c r="K307" s="476" t="n"/>
      <c r="L307" s="276" t="n"/>
      <c r="M307" s="276" t="n"/>
      <c r="N307" s="276" t="n"/>
      <c r="O307" s="244">
        <f>M307*N307</f>
        <v/>
      </c>
      <c r="P307" s="276" t="n"/>
      <c r="Q307" s="276" t="n"/>
      <c r="R307" s="276" t="n"/>
      <c r="S307" s="244">
        <f>Q307*R307</f>
        <v/>
      </c>
    </row>
    <row r="308" ht="22.2" customHeight="1" s="330">
      <c r="A308" s="4" t="n"/>
      <c r="E308" s="4" t="n"/>
      <c r="F308" s="4" t="n"/>
      <c r="G308" s="17" t="inlineStr">
        <is>
          <t>รวมขั่วโมงที่สอนแยก ภาระงาน/ เกินภาระงาน</t>
        </is>
      </c>
      <c r="H308" s="467" t="n"/>
      <c r="I308" s="467" t="n"/>
      <c r="J308" s="467" t="n"/>
      <c r="K308" s="362" t="n"/>
      <c r="L308" s="17">
        <f>SUM(L283:L307)</f>
        <v/>
      </c>
      <c r="M308" s="17">
        <f>SUM(M283:M307)</f>
        <v/>
      </c>
      <c r="N308" s="17" t="n"/>
      <c r="O308" s="17" t="n"/>
      <c r="P308" s="17">
        <f>SUM(P283:P307)</f>
        <v/>
      </c>
      <c r="Q308" s="17">
        <f>SUM(Q283:Q307)</f>
        <v/>
      </c>
      <c r="R308" s="279" t="n"/>
      <c r="S308" s="17" t="n"/>
    </row>
    <row r="309" ht="22.2" customHeight="1" s="330">
      <c r="A309" s="4" t="n"/>
      <c r="E309" s="4" t="n"/>
      <c r="F309" s="4" t="n"/>
      <c r="G309" s="17" t="inlineStr">
        <is>
          <t>รวมจำนวนชั่วโมงสอนคาบต่อสับดาห์</t>
        </is>
      </c>
      <c r="H309" s="467" t="n"/>
      <c r="I309" s="467" t="n"/>
      <c r="J309" s="467" t="n"/>
      <c r="K309" s="362" t="n"/>
      <c r="L309" s="17">
        <f>L308+M308</f>
        <v/>
      </c>
      <c r="M309" s="362" t="n"/>
      <c r="N309" s="17" t="n"/>
      <c r="O309" s="298" t="n"/>
      <c r="P309" s="17">
        <f>P308+Q308</f>
        <v/>
      </c>
      <c r="Q309" s="362" t="n"/>
      <c r="R309" s="278" t="n"/>
      <c r="S309" s="276" t="n"/>
    </row>
    <row r="310" ht="22.2" customHeight="1" s="330">
      <c r="A310" s="4" t="n"/>
      <c r="E310" s="4" t="n"/>
      <c r="F310" s="4" t="n"/>
      <c r="G310" s="17" t="inlineStr">
        <is>
          <t>จำนวนชั่วโมงสอนตามภาระงานสอน</t>
        </is>
      </c>
      <c r="H310" s="467" t="n"/>
      <c r="I310" s="467" t="n"/>
      <c r="J310" s="467" t="n"/>
      <c r="K310" s="362" t="n"/>
      <c r="L310" s="17" t="n">
        <v>18</v>
      </c>
      <c r="M310" s="362" t="n"/>
      <c r="N310" s="298" t="n"/>
      <c r="O310" s="17" t="n"/>
      <c r="P310" s="17" t="n">
        <v>0</v>
      </c>
      <c r="Q310" s="362" t="n"/>
      <c r="R310" s="249" t="n"/>
      <c r="S310" s="252" t="n"/>
    </row>
    <row r="311" ht="22.2" customHeight="1" s="330" thickBot="1">
      <c r="A311" s="4" t="n"/>
      <c r="E311" s="4" t="n"/>
      <c r="F311" s="15" t="n"/>
      <c r="G311" s="17" t="inlineStr">
        <is>
          <t>จำนวนชั่วโมงบิกเกินภาระงานสอน/ค่าสอน</t>
        </is>
      </c>
      <c r="H311" s="467" t="n"/>
      <c r="I311" s="467" t="n"/>
      <c r="J311" s="467" t="n"/>
      <c r="K311" s="362" t="n"/>
      <c r="L311" s="18" t="n">
        <v>0</v>
      </c>
      <c r="M311" s="18">
        <f>SUM(M283:M307)</f>
        <v/>
      </c>
      <c r="N311" s="18" t="n"/>
      <c r="O311" s="18">
        <f>SUM(O283:O307)</f>
        <v/>
      </c>
      <c r="P311" s="18" t="n">
        <v>0</v>
      </c>
      <c r="Q311" s="18">
        <f>SUM(Q283:Q307)</f>
        <v/>
      </c>
      <c r="R311" s="19" t="n"/>
      <c r="S311" s="18">
        <f>SUM(S283:S307)</f>
        <v/>
      </c>
    </row>
    <row r="312" ht="22.2" customHeight="1" s="330" thickTop="1">
      <c r="A312" s="299" t="inlineStr">
        <is>
          <t>รวมจำนวนหน่วยชั่วโมงที่ขอเบิกค่าสอน ….</t>
        </is>
      </c>
      <c r="B312" s="467" t="n"/>
      <c r="C312" s="467" t="n"/>
      <c r="D312" s="467" t="n"/>
      <c r="E312" s="467" t="n"/>
      <c r="F312" s="467" t="n"/>
      <c r="G312" s="467" t="n"/>
      <c r="H312" s="298">
        <f>M311+Q311</f>
        <v/>
      </c>
      <c r="I312" s="298" t="inlineStr">
        <is>
          <t>….ชั่วโมง</t>
        </is>
      </c>
      <c r="J312" s="298" t="n"/>
      <c r="K312" s="301" t="inlineStr">
        <is>
          <t>ยอดเงินรวม</t>
        </is>
      </c>
      <c r="L312" s="471" t="n"/>
      <c r="M312" s="471" t="n"/>
      <c r="N312" s="301" t="n"/>
      <c r="O312" s="301" t="n"/>
      <c r="P312" s="302">
        <f>S311+O311</f>
        <v/>
      </c>
      <c r="Q312" s="482" t="n"/>
      <c r="R312" s="21" t="n"/>
      <c r="S312" s="20" t="inlineStr">
        <is>
          <t>..บาท</t>
        </is>
      </c>
    </row>
    <row r="313" ht="22.2" customHeight="1" s="330">
      <c r="A313" s="207" t="inlineStr">
        <is>
          <t>ผู้ขอเบิก</t>
        </is>
      </c>
      <c r="B313" s="334" t="n"/>
      <c r="C313" s="334" t="n"/>
      <c r="D313" s="334" t="n"/>
      <c r="E313" s="334" t="n"/>
      <c r="F313" s="334" t="n"/>
      <c r="G313" s="335" t="n"/>
      <c r="H313" s="207" t="inlineStr">
        <is>
          <t>ผู้รับรอง</t>
        </is>
      </c>
      <c r="I313" s="334" t="n"/>
      <c r="J313" s="334" t="n"/>
      <c r="K313" s="334" t="n"/>
      <c r="L313" s="335" t="n"/>
      <c r="M313" s="207" t="inlineStr">
        <is>
          <t>ผู้ตรวจ</t>
        </is>
      </c>
      <c r="N313" s="334" t="n"/>
      <c r="O313" s="334" t="n"/>
      <c r="P313" s="334" t="n"/>
      <c r="Q313" s="334" t="n"/>
      <c r="R313" s="334" t="n"/>
      <c r="S313" s="335" t="n"/>
    </row>
    <row r="314" ht="22.2" customHeight="1" s="330">
      <c r="A314" s="252" t="inlineStr">
        <is>
          <t>ลงชื่อ……………………………………………</t>
        </is>
      </c>
      <c r="G314" s="331" t="n"/>
      <c r="H314" s="252" t="inlineStr">
        <is>
          <t>ลงชื่อ……………………………………………</t>
        </is>
      </c>
      <c r="L314" s="331" t="n"/>
      <c r="M314" s="252" t="inlineStr">
        <is>
          <t>ลงชื่อ……………………………………………</t>
        </is>
      </c>
      <c r="S314" s="331" t="n"/>
    </row>
    <row r="315" ht="22.2" customHeight="1" s="330">
      <c r="A315" s="12" t="inlineStr">
        <is>
          <t>(</t>
        </is>
      </c>
      <c r="B315" s="309">
        <f>B283</f>
        <v/>
      </c>
      <c r="G315" s="310" t="inlineStr">
        <is>
          <t>)</t>
        </is>
      </c>
      <c r="H315" s="309" t="inlineStr">
        <is>
          <t>(</t>
        </is>
      </c>
      <c r="I315" s="314">
        <f>I269</f>
        <v/>
      </c>
      <c r="L315" s="13" t="inlineStr">
        <is>
          <t>)</t>
        </is>
      </c>
      <c r="M315" s="61" t="inlineStr">
        <is>
          <t>(</t>
        </is>
      </c>
      <c r="N315" s="61" t="n"/>
      <c r="O315" s="309" t="inlineStr">
        <is>
          <t>นายพิสุทธิศักดิ์  กล่อมนาค</t>
        </is>
      </c>
      <c r="R315" s="29" t="n"/>
      <c r="S315" s="310" t="inlineStr">
        <is>
          <t>)</t>
        </is>
      </c>
    </row>
    <row r="316" ht="22.2" customHeight="1" s="330">
      <c r="A316" s="483" t="inlineStr">
        <is>
          <t xml:space="preserve">                    ตำแหน่ง  ครู</t>
        </is>
      </c>
      <c r="G316" s="331" t="n"/>
      <c r="H316" s="62" t="inlineStr">
        <is>
          <t>ตำแหน่ง หัวหน้าแผนก</t>
        </is>
      </c>
      <c r="L316" s="331" t="n"/>
      <c r="M316" s="62" t="inlineStr">
        <is>
          <t>ตำแหน่ง   ผู้ตรวจสอบ</t>
        </is>
      </c>
      <c r="S316" s="331" t="n"/>
    </row>
    <row r="317" ht="22.2" customHeight="1" s="330">
      <c r="A317" s="63">
        <f>A41</f>
        <v/>
      </c>
      <c r="B317" s="471" t="n"/>
      <c r="C317" s="471" t="n"/>
      <c r="D317" s="471" t="n"/>
      <c r="E317" s="471" t="n"/>
      <c r="F317" s="471" t="n"/>
      <c r="G317" s="476" t="n"/>
      <c r="H317" s="62">
        <f>A41</f>
        <v/>
      </c>
      <c r="L317" s="331" t="n"/>
      <c r="M317" s="63">
        <f>A41</f>
        <v/>
      </c>
      <c r="N317" s="471" t="n"/>
      <c r="O317" s="471" t="n"/>
      <c r="P317" s="471" t="n"/>
      <c r="Q317" s="471" t="n"/>
      <c r="R317" s="471" t="n"/>
      <c r="S317" s="476" t="n"/>
    </row>
    <row r="318" ht="22.2" customHeight="1" s="330">
      <c r="A318" s="207" t="inlineStr">
        <is>
          <t>ผู้ตรวจ</t>
        </is>
      </c>
      <c r="B318" s="334" t="n"/>
      <c r="C318" s="334" t="n"/>
      <c r="D318" s="334" t="n"/>
      <c r="E318" s="334" t="n"/>
      <c r="F318" s="334" t="n"/>
      <c r="G318" s="334" t="n"/>
      <c r="H318" s="334" t="n"/>
      <c r="I318" s="335" t="n"/>
      <c r="J318" s="207" t="inlineStr">
        <is>
          <t>ผู้เห็นชอบ</t>
        </is>
      </c>
      <c r="K318" s="334" t="n"/>
      <c r="L318" s="334" t="n"/>
      <c r="M318" s="334" t="n"/>
      <c r="N318" s="334" t="n"/>
      <c r="O318" s="334" t="n"/>
      <c r="P318" s="334" t="n"/>
      <c r="Q318" s="334" t="n"/>
      <c r="R318" s="334" t="n"/>
      <c r="S318" s="335" t="n"/>
    </row>
    <row r="319" ht="22.2" customHeight="1" s="330">
      <c r="A319" s="252" t="inlineStr">
        <is>
          <t>ลงชื่อ……………………………………………</t>
        </is>
      </c>
      <c r="I319" s="331" t="n"/>
      <c r="J319" s="252" t="inlineStr">
        <is>
          <t>ลงชื่อ……………………………………………</t>
        </is>
      </c>
      <c r="S319" s="331" t="n"/>
    </row>
    <row r="320" ht="22.2" customHeight="1" s="330">
      <c r="A320" s="12" t="n"/>
      <c r="B320" s="309" t="inlineStr">
        <is>
          <t xml:space="preserve">          (นางศิวรักษ์   บุญประเสริฐ)</t>
        </is>
      </c>
      <c r="I320" s="310" t="n"/>
      <c r="J320" s="29" t="n"/>
      <c r="K320" s="29" t="n"/>
      <c r="L320" s="309" t="inlineStr">
        <is>
          <t>(นายปรีชา  โพธิ์เกิด)</t>
        </is>
      </c>
      <c r="R320" s="29" t="n"/>
      <c r="S320" s="13" t="n"/>
    </row>
    <row r="321" ht="22.2" customHeight="1" s="330">
      <c r="A321" s="62" t="inlineStr">
        <is>
          <t>ตำแหน่งครู  หัวหน้างานพัฒนาหลักสูตร ฯ</t>
        </is>
      </c>
      <c r="I321" s="331" t="n"/>
      <c r="J321" s="62" t="inlineStr">
        <is>
          <t>ตำแหน่ง  รองผู้อำนวยการฝ่ายวิชาการ</t>
        </is>
      </c>
      <c r="S321" s="331" t="n"/>
    </row>
    <row r="322" ht="22.2" customHeight="1" s="330">
      <c r="A322" s="63">
        <f>A41</f>
        <v/>
      </c>
      <c r="B322" s="471" t="n"/>
      <c r="C322" s="471" t="n"/>
      <c r="D322" s="471" t="n"/>
      <c r="E322" s="471" t="n"/>
      <c r="F322" s="471" t="n"/>
      <c r="G322" s="471" t="n"/>
      <c r="H322" s="471" t="n"/>
      <c r="I322" s="476" t="n"/>
      <c r="J322" s="63">
        <f>A41</f>
        <v/>
      </c>
      <c r="K322" s="471" t="n"/>
      <c r="L322" s="471" t="n"/>
      <c r="M322" s="471" t="n"/>
      <c r="N322" s="471" t="n"/>
      <c r="O322" s="471" t="n"/>
      <c r="P322" s="471" t="n"/>
      <c r="Q322" s="471" t="n"/>
      <c r="R322" s="471" t="n"/>
      <c r="S322" s="476" t="n"/>
    </row>
    <row r="323" ht="22.2" customHeight="1" s="330">
      <c r="A32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324" ht="22.2" customHeight="1" s="330">
      <c r="A324" s="254">
        <f>A2</f>
        <v/>
      </c>
    </row>
    <row r="325" ht="22.2" customHeight="1" s="330">
      <c r="A325" s="253" t="inlineStr">
        <is>
          <t xml:space="preserve">    ระหว่างวันที่</t>
        </is>
      </c>
      <c r="D325" s="254">
        <f>D3</f>
        <v/>
      </c>
      <c r="E325" s="254" t="inlineStr">
        <is>
          <t xml:space="preserve">   เดือน  </t>
        </is>
      </c>
      <c r="F325" s="254">
        <f>F3</f>
        <v/>
      </c>
      <c r="H325" s="254">
        <f>H3</f>
        <v/>
      </c>
      <c r="I325" s="254" t="inlineStr">
        <is>
          <t xml:space="preserve">     ถึง วันที่</t>
        </is>
      </c>
      <c r="J325" s="254">
        <f>J3</f>
        <v/>
      </c>
      <c r="K325" s="254" t="inlineStr">
        <is>
          <t xml:space="preserve">   เดือน </t>
        </is>
      </c>
      <c r="L325" s="254">
        <f>L3</f>
        <v/>
      </c>
      <c r="N325" s="254">
        <f>N3</f>
        <v/>
      </c>
      <c r="P325" s="254" t="n"/>
      <c r="R325" s="254" t="n"/>
    </row>
    <row r="326" ht="22.2" customHeight="1" s="330">
      <c r="G326" s="58" t="inlineStr">
        <is>
          <t>ü</t>
        </is>
      </c>
      <c r="H326" s="290" t="inlineStr">
        <is>
          <t>ครู</t>
        </is>
      </c>
      <c r="I326" s="249" t="inlineStr">
        <is>
          <t>หน้าที่พิเศษ</t>
        </is>
      </c>
      <c r="J326" s="290" t="n"/>
    </row>
    <row r="327" ht="22.2" customHeight="1" s="330">
      <c r="A327" s="28" t="inlineStr">
        <is>
          <t>ที่</t>
        </is>
      </c>
      <c r="B327" s="28" t="inlineStr">
        <is>
          <t>ชื่อ-สกุล</t>
        </is>
      </c>
      <c r="C327" s="334" t="n"/>
      <c r="D327" s="335" t="n"/>
      <c r="E327" s="16" t="inlineStr">
        <is>
          <t>ตำแหน่ง</t>
        </is>
      </c>
      <c r="F327" s="17" t="inlineStr">
        <is>
          <t>ระยะเวลาที่สอน</t>
        </is>
      </c>
      <c r="G327" s="362" t="n"/>
      <c r="H327" s="17" t="inlineStr">
        <is>
          <t>รหัสวิชา</t>
        </is>
      </c>
      <c r="I327" s="275" t="inlineStr">
        <is>
          <t>ชั้น,แผนก,ห้อง</t>
        </is>
      </c>
      <c r="J327" s="17" t="inlineStr">
        <is>
          <t>เวลาสอน</t>
        </is>
      </c>
      <c r="K327" s="335" t="n"/>
      <c r="L327" s="17" t="inlineStr">
        <is>
          <t>ปวช.(คาบ)</t>
        </is>
      </c>
      <c r="M327" s="362" t="n"/>
      <c r="N327" s="244" t="inlineStr">
        <is>
          <t>เงิน</t>
        </is>
      </c>
      <c r="O327" s="275" t="inlineStr">
        <is>
          <t>ยอดเงิน</t>
        </is>
      </c>
      <c r="P327" s="473" t="inlineStr">
        <is>
          <t>ปวส.(คาบ)</t>
        </is>
      </c>
      <c r="Q327" s="362" t="n"/>
      <c r="R327" s="244" t="inlineStr">
        <is>
          <t>เงิน</t>
        </is>
      </c>
      <c r="S327" s="275" t="inlineStr">
        <is>
          <t>ยอดเงิน</t>
        </is>
      </c>
    </row>
    <row r="328" ht="22.2" customHeight="1" s="330">
      <c r="A328" s="60" t="n"/>
      <c r="B328" s="9" t="n"/>
      <c r="C328" s="10" t="n"/>
      <c r="D328" s="14" t="n"/>
      <c r="E328" s="11" t="n"/>
      <c r="F328" s="276" t="inlineStr">
        <is>
          <t>ส.</t>
        </is>
      </c>
      <c r="G328" s="276" t="inlineStr">
        <is>
          <t>วดป.</t>
        </is>
      </c>
      <c r="H328" s="474" t="n"/>
      <c r="I328" s="276" t="n"/>
      <c r="J328" s="475" t="n"/>
      <c r="K328" s="476" t="n"/>
      <c r="L328" s="276" t="inlineStr">
        <is>
          <t>ใน</t>
        </is>
      </c>
      <c r="M328" s="276" t="inlineStr">
        <is>
          <t>นอก</t>
        </is>
      </c>
      <c r="N328" s="276" t="inlineStr">
        <is>
          <t>ต่อ ชม.</t>
        </is>
      </c>
      <c r="O328" s="276" t="inlineStr">
        <is>
          <t>(บาท)</t>
        </is>
      </c>
      <c r="P328" s="60" t="inlineStr">
        <is>
          <t>ใน</t>
        </is>
      </c>
      <c r="Q328" s="60" t="inlineStr">
        <is>
          <t>นอก</t>
        </is>
      </c>
      <c r="R328" s="276" t="inlineStr">
        <is>
          <t>ต่อ ชม.</t>
        </is>
      </c>
      <c r="S328" s="276" t="inlineStr">
        <is>
          <t>(บาท)</t>
        </is>
      </c>
    </row>
    <row r="329" ht="22.2" customHeight="1" s="330">
      <c r="A329" s="275" t="n">
        <v>8</v>
      </c>
      <c r="B329" s="477">
        <f>AB10</f>
        <v/>
      </c>
      <c r="C329" s="334" t="n"/>
      <c r="D329" s="335" t="n"/>
      <c r="E329" s="275" t="inlineStr">
        <is>
          <t>ครู</t>
        </is>
      </c>
      <c r="F329" s="6">
        <f>F7</f>
        <v/>
      </c>
      <c r="G329" s="303" t="inlineStr">
        <is>
          <t>จันทร์</t>
        </is>
      </c>
      <c r="H329" s="325" t="n"/>
      <c r="I329" s="325" t="n"/>
      <c r="J329" s="332" t="n"/>
      <c r="K329" s="335" t="n"/>
      <c r="L329" s="265" t="n"/>
      <c r="M329" s="332" t="n"/>
      <c r="N329" s="332" t="n"/>
      <c r="O329" s="244">
        <f>M329*N329</f>
        <v/>
      </c>
      <c r="P329" s="332" t="n"/>
      <c r="Q329" s="265" t="n"/>
      <c r="R329" s="332" t="n"/>
      <c r="S329" s="244">
        <f>Q329*R329</f>
        <v/>
      </c>
    </row>
    <row r="330" ht="22.2" customHeight="1" s="330">
      <c r="A330" s="4" t="n"/>
      <c r="B330" s="478" t="n"/>
      <c r="D330" s="331" t="n"/>
      <c r="E330" s="252" t="n"/>
      <c r="F330" s="249" t="n"/>
      <c r="G330" s="308">
        <f>G284</f>
        <v/>
      </c>
      <c r="H330" s="325" t="n"/>
      <c r="I330" s="325" t="n"/>
      <c r="J330" s="252" t="n"/>
      <c r="K330" s="331" t="n"/>
      <c r="L330" s="252" t="n"/>
      <c r="M330" s="252" t="n"/>
      <c r="N330" s="252" t="n"/>
      <c r="O330" s="244">
        <f>M330*N330</f>
        <v/>
      </c>
      <c r="P330" s="252" t="n"/>
      <c r="Q330" s="252" t="n"/>
      <c r="R330" s="252" t="n"/>
      <c r="S330" s="244">
        <f>Q330*R330</f>
        <v/>
      </c>
    </row>
    <row r="331" ht="22.2" customHeight="1" s="330">
      <c r="A331" s="4" t="n"/>
      <c r="B331" s="5" t="n"/>
      <c r="D331" s="3" t="n"/>
      <c r="E331" s="3" t="n"/>
      <c r="F331" s="249" t="n"/>
      <c r="G331" s="248" t="n"/>
      <c r="H331" s="252" t="n"/>
      <c r="I331" s="252" t="n"/>
      <c r="J331" s="252" t="n"/>
      <c r="K331" s="331" t="n"/>
      <c r="L331" s="252" t="n"/>
      <c r="M331" s="252" t="n"/>
      <c r="N331" s="252" t="n"/>
      <c r="O331" s="244">
        <f>M331*N331</f>
        <v/>
      </c>
      <c r="P331" s="252" t="n"/>
      <c r="Q331" s="252" t="n"/>
      <c r="R331" s="252" t="n"/>
      <c r="S331" s="244">
        <f>Q331*R331</f>
        <v/>
      </c>
    </row>
    <row r="332" ht="22.2" customHeight="1" s="330">
      <c r="A332" s="4" t="n"/>
      <c r="B332" s="5" t="n"/>
      <c r="E332" s="4" t="n"/>
      <c r="F332" s="249" t="n"/>
      <c r="G332" s="248" t="n"/>
      <c r="H332" s="252" t="n"/>
      <c r="I332" s="252" t="n"/>
      <c r="J332" s="252" t="n"/>
      <c r="K332" s="331" t="n"/>
      <c r="L332" s="252" t="n"/>
      <c r="M332" s="252" t="n"/>
      <c r="N332" s="252" t="n"/>
      <c r="O332" s="244">
        <f>M332*N332</f>
        <v/>
      </c>
      <c r="P332" s="252" t="n"/>
      <c r="Q332" s="252" t="n"/>
      <c r="R332" s="252" t="n"/>
      <c r="S332" s="244">
        <f>Q332*R332</f>
        <v/>
      </c>
    </row>
    <row r="333" ht="22.2" customHeight="1" s="330">
      <c r="A333" s="4" t="n"/>
      <c r="E333" s="4" t="n"/>
      <c r="G333" s="311" t="n"/>
      <c r="H333" s="276" t="n"/>
      <c r="I333" s="276" t="n"/>
      <c r="J333" s="276" t="n"/>
      <c r="K333" s="476" t="n"/>
      <c r="L333" s="252" t="n"/>
      <c r="M333" s="252" t="n"/>
      <c r="N333" s="252" t="n"/>
      <c r="O333" s="244">
        <f>M333*N333</f>
        <v/>
      </c>
      <c r="P333" s="252" t="n"/>
      <c r="Q333" s="252" t="n"/>
      <c r="R333" s="252" t="n"/>
      <c r="S333" s="244">
        <f>Q333*R333</f>
        <v/>
      </c>
    </row>
    <row r="334" ht="22.2" customHeight="1" s="330">
      <c r="A334" s="4" t="n"/>
      <c r="D334" s="8" t="inlineStr">
        <is>
          <t> </t>
        </is>
      </c>
      <c r="E334" s="4" t="n"/>
      <c r="G334" s="62" t="inlineStr">
        <is>
          <t>อังคาร</t>
        </is>
      </c>
      <c r="H334" s="325" t="inlineStr">
        <is>
          <t>30101-8001</t>
        </is>
      </c>
      <c r="I334" s="325" t="inlineStr">
        <is>
          <t>ปวส.2/3 สย. (ปกติ)</t>
        </is>
      </c>
      <c r="J334" s="332" t="inlineStr">
        <is>
          <t>08.10-12.10</t>
        </is>
      </c>
      <c r="K334" s="335" t="n"/>
      <c r="L334" s="265" t="n"/>
      <c r="M334" s="332" t="n"/>
      <c r="N334" s="332" t="n"/>
      <c r="O334" s="244">
        <f>M334*N334</f>
        <v/>
      </c>
      <c r="P334" s="332" t="n"/>
      <c r="Q334" s="265" t="n"/>
      <c r="R334" s="332" t="n"/>
      <c r="S334" s="244">
        <f>Q334*R334</f>
        <v/>
      </c>
    </row>
    <row r="335" ht="22.2" customHeight="1" s="330">
      <c r="A335" s="4" t="n"/>
      <c r="E335" s="4" t="n"/>
      <c r="G335" s="308">
        <f>G289</f>
        <v/>
      </c>
      <c r="H335" s="325" t="inlineStr">
        <is>
          <t>30101-0003</t>
        </is>
      </c>
      <c r="I335" s="325" t="inlineStr">
        <is>
          <t>ปวส.1/6 สย. (ม.6)</t>
        </is>
      </c>
      <c r="J335" s="252" t="inlineStr">
        <is>
          <t>14.10-19.10</t>
        </is>
      </c>
      <c r="K335" s="331" t="n"/>
      <c r="L335" s="252" t="n"/>
      <c r="M335" s="252" t="n"/>
      <c r="N335" s="252" t="n"/>
      <c r="O335" s="244">
        <f>M335*N335</f>
        <v/>
      </c>
      <c r="P335" s="252" t="n"/>
      <c r="Q335" s="252" t="n"/>
      <c r="R335" s="252" t="n"/>
      <c r="S335" s="244">
        <f>Q335*R335</f>
        <v/>
      </c>
    </row>
    <row r="336" ht="22.2" customHeight="1" s="330">
      <c r="A336" s="4" t="n"/>
      <c r="B336" s="248" t="n"/>
      <c r="C336" s="249" t="n"/>
      <c r="D336" s="249" t="n"/>
      <c r="E336" s="252" t="n"/>
      <c r="G336" s="252" t="n"/>
      <c r="H336" s="252" t="n"/>
      <c r="I336" s="252" t="n"/>
      <c r="J336" s="252" t="n"/>
      <c r="K336" s="331" t="n"/>
      <c r="L336" s="252" t="n"/>
      <c r="M336" s="252" t="n"/>
      <c r="N336" s="252" t="n"/>
      <c r="O336" s="244">
        <f>M336*N336</f>
        <v/>
      </c>
      <c r="P336" s="252" t="n"/>
      <c r="Q336" s="252" t="n"/>
      <c r="R336" s="252" t="n"/>
      <c r="S336" s="244">
        <f>Q336*R336</f>
        <v/>
      </c>
    </row>
    <row r="337" ht="22.2" customHeight="1" s="330">
      <c r="A337" s="4" t="n"/>
      <c r="B337" s="5" t="n"/>
      <c r="D337" s="3" t="n"/>
      <c r="E337" s="3" t="n"/>
      <c r="G337" s="62" t="n"/>
      <c r="H337" s="252" t="n"/>
      <c r="I337" s="252" t="n"/>
      <c r="J337" s="252" t="n"/>
      <c r="K337" s="331" t="n"/>
      <c r="L337" s="252" t="n"/>
      <c r="M337" s="252" t="n"/>
      <c r="N337" s="252" t="n"/>
      <c r="O337" s="244">
        <f>M337*N337</f>
        <v/>
      </c>
      <c r="P337" s="252" t="n"/>
      <c r="Q337" s="252" t="n"/>
      <c r="R337" s="252" t="n"/>
      <c r="S337" s="244">
        <f>Q337*R337</f>
        <v/>
      </c>
    </row>
    <row r="338" ht="22.2" customHeight="1" s="330">
      <c r="A338" s="4" t="n"/>
      <c r="D338" s="8" t="inlineStr">
        <is>
          <t> </t>
        </is>
      </c>
      <c r="E338" s="4" t="n"/>
      <c r="G338" s="63" t="n"/>
      <c r="H338" s="276" t="n"/>
      <c r="I338" s="276" t="n"/>
      <c r="J338" s="276" t="n"/>
      <c r="K338" s="476" t="n"/>
      <c r="L338" s="252" t="n"/>
      <c r="M338" s="252" t="n"/>
      <c r="N338" s="252" t="n"/>
      <c r="O338" s="244">
        <f>M338*N338</f>
        <v/>
      </c>
      <c r="P338" s="252" t="n"/>
      <c r="Q338" s="252" t="n"/>
      <c r="R338" s="252" t="n"/>
      <c r="S338" s="244">
        <f>Q338*R338</f>
        <v/>
      </c>
    </row>
    <row r="339" ht="22.2" customHeight="1" s="330">
      <c r="A339" s="4" t="n"/>
      <c r="E339" s="4" t="n"/>
      <c r="G339" s="308" t="inlineStr">
        <is>
          <t>พุธ</t>
        </is>
      </c>
      <c r="H339" s="325" t="inlineStr">
        <is>
          <t>30101-0003</t>
        </is>
      </c>
      <c r="I339" s="325" t="inlineStr">
        <is>
          <t>ปวส.1/4 สย. (ม.6)</t>
        </is>
      </c>
      <c r="J339" s="252" t="inlineStr">
        <is>
          <t>13.10-18.10</t>
        </is>
      </c>
      <c r="K339" s="331" t="n"/>
      <c r="L339" s="265" t="n"/>
      <c r="M339" s="332" t="n"/>
      <c r="N339" s="332" t="n"/>
      <c r="O339" s="244">
        <f>M339*N339</f>
        <v/>
      </c>
      <c r="P339" s="332" t="n"/>
      <c r="Q339" s="265" t="n"/>
      <c r="R339" s="332" t="n"/>
      <c r="S339" s="244">
        <f>Q339*R339</f>
        <v/>
      </c>
      <c r="T339" s="7" t="n"/>
      <c r="U339" s="23" t="inlineStr">
        <is>
          <t>เบิก ธุรการ</t>
        </is>
      </c>
      <c r="V339" s="66" t="n"/>
      <c r="W339" s="22" t="n"/>
      <c r="X339" s="22" t="n"/>
    </row>
    <row r="340" ht="22.2" customHeight="1" s="330">
      <c r="A340" s="4" t="n"/>
      <c r="B340" s="248" t="n"/>
      <c r="C340" s="249" t="n"/>
      <c r="D340" s="249" t="n"/>
      <c r="E340" s="252" t="n"/>
      <c r="G340" s="308">
        <f>G294</f>
        <v/>
      </c>
      <c r="H340" s="325" t="n"/>
      <c r="I340" s="325" t="n"/>
      <c r="J340" s="252" t="n"/>
      <c r="K340" s="331" t="n"/>
      <c r="L340" s="252" t="n"/>
      <c r="M340" s="252" t="n"/>
      <c r="N340" s="252" t="n"/>
      <c r="O340" s="244">
        <f>M340*N340</f>
        <v/>
      </c>
      <c r="P340" s="252" t="n"/>
      <c r="Q340" s="252" t="n"/>
      <c r="R340" s="252" t="n"/>
      <c r="S340" s="244">
        <f>Q340*R340</f>
        <v/>
      </c>
      <c r="T340" s="22" t="inlineStr">
        <is>
          <t> </t>
        </is>
      </c>
      <c r="U340" s="23" t="inlineStr">
        <is>
          <t>16.10-19.10</t>
        </is>
      </c>
      <c r="V340" s="66" t="n"/>
      <c r="W340" s="22" t="n"/>
      <c r="X340" s="22" t="n"/>
    </row>
    <row r="341" ht="22.2" customHeight="1" s="330">
      <c r="A341" s="4" t="n"/>
      <c r="B341" s="5" t="n"/>
      <c r="D341" s="3" t="n"/>
      <c r="E341" s="3" t="n"/>
      <c r="G341" s="252" t="n"/>
      <c r="H341" s="325" t="n"/>
      <c r="I341" s="325" t="n"/>
      <c r="J341" s="325" t="n"/>
      <c r="K341" s="331" t="n"/>
      <c r="L341" s="252" t="n"/>
      <c r="M341" s="252" t="n"/>
      <c r="N341" s="252" t="n"/>
      <c r="O341" s="244">
        <f>M341*N341</f>
        <v/>
      </c>
      <c r="P341" s="252" t="n"/>
      <c r="Q341" s="252" t="n"/>
      <c r="R341" s="252" t="n"/>
      <c r="S341" s="244">
        <f>Q341*R341</f>
        <v/>
      </c>
    </row>
    <row r="342" ht="22.2" customHeight="1" s="330">
      <c r="A342" s="4" t="n"/>
      <c r="E342" s="4" t="n"/>
      <c r="G342" s="248" t="n"/>
      <c r="H342" s="248" t="n"/>
      <c r="I342" s="252" t="n"/>
      <c r="J342" s="252" t="n"/>
      <c r="K342" s="331" t="n"/>
      <c r="L342" s="252" t="n"/>
      <c r="M342" s="252" t="n"/>
      <c r="N342" s="252" t="n"/>
      <c r="O342" s="244">
        <f>M342*N342</f>
        <v/>
      </c>
      <c r="P342" s="252" t="n"/>
      <c r="Q342" s="252" t="n"/>
      <c r="R342" s="252" t="n"/>
      <c r="S342" s="244">
        <f>Q342*R342</f>
        <v/>
      </c>
    </row>
    <row r="343" ht="22.2" customHeight="1" s="330">
      <c r="A343" s="4" t="n"/>
      <c r="E343" s="4" t="n"/>
      <c r="G343" s="277" t="n"/>
      <c r="H343" s="277" t="n"/>
      <c r="I343" s="276" t="n"/>
      <c r="J343" s="276" t="n"/>
      <c r="K343" s="476" t="n"/>
      <c r="L343" s="276" t="n"/>
      <c r="M343" s="276" t="n"/>
      <c r="N343" s="276" t="n"/>
      <c r="O343" s="244">
        <f>M343*N343</f>
        <v/>
      </c>
      <c r="P343" s="276" t="n"/>
      <c r="Q343" s="276" t="n"/>
      <c r="R343" s="276" t="n"/>
      <c r="S343" s="244">
        <f>Q343*R343</f>
        <v/>
      </c>
    </row>
    <row r="344" ht="22.2" customHeight="1" s="330">
      <c r="A344" s="4" t="n"/>
      <c r="E344" s="4" t="n"/>
      <c r="G344" s="62" t="inlineStr">
        <is>
          <t>พฤหัส</t>
        </is>
      </c>
      <c r="H344" s="325" t="inlineStr">
        <is>
          <t>30101-2603</t>
        </is>
      </c>
      <c r="I344" s="325" t="inlineStr">
        <is>
          <t>ปวส.1/1 สย. (ปกติ)</t>
        </is>
      </c>
      <c r="J344" s="332" t="inlineStr">
        <is>
          <t>08.10-12.10</t>
        </is>
      </c>
      <c r="K344" s="335" t="n"/>
      <c r="L344" s="252" t="n"/>
      <c r="M344" s="252" t="n"/>
      <c r="N344" s="252" t="n"/>
      <c r="O344" s="244">
        <f>M344*N344</f>
        <v/>
      </c>
      <c r="P344" s="252" t="n"/>
      <c r="Q344" s="275" t="n"/>
      <c r="R344" s="275" t="n"/>
      <c r="S344" s="244">
        <f>Q344*R344</f>
        <v/>
      </c>
    </row>
    <row r="345" ht="22.2" customHeight="1" s="330">
      <c r="A345" s="4" t="n"/>
      <c r="E345" s="4" t="n"/>
      <c r="G345" s="62">
        <f>G299</f>
        <v/>
      </c>
      <c r="H345" s="181" t="inlineStr">
        <is>
          <t>30000-2002</t>
        </is>
      </c>
      <c r="I345" s="325" t="inlineStr">
        <is>
          <t>ปวส.1/1,2 สย. (ปกติ)</t>
        </is>
      </c>
      <c r="J345" s="252" t="inlineStr">
        <is>
          <t>13.10-15.10</t>
        </is>
      </c>
      <c r="K345" s="331" t="n"/>
      <c r="L345" s="252" t="n"/>
      <c r="M345" s="252" t="n"/>
      <c r="N345" s="252" t="n"/>
      <c r="O345" s="244">
        <f>M345*N345</f>
        <v/>
      </c>
      <c r="P345" s="252" t="n"/>
      <c r="Q345" s="252" t="n"/>
      <c r="R345" s="252" t="n"/>
      <c r="S345" s="244">
        <f>Q345*R345</f>
        <v/>
      </c>
    </row>
    <row r="346" ht="22.2" customHeight="1" s="330">
      <c r="A346" s="4" t="n"/>
      <c r="B346" s="5" t="n"/>
      <c r="E346" s="4" t="n"/>
      <c r="G346" s="252" t="n"/>
      <c r="H346" s="325" t="inlineStr">
        <is>
          <t>30101-2603</t>
        </is>
      </c>
      <c r="I346" s="325" t="inlineStr">
        <is>
          <t>ปวส.1/1 สย. (ปกติ)</t>
        </is>
      </c>
      <c r="J346" s="252" t="inlineStr">
        <is>
          <t>15.10-16.10</t>
        </is>
      </c>
      <c r="K346" s="331" t="n"/>
      <c r="L346" s="325" t="n"/>
      <c r="M346" s="325" t="n"/>
      <c r="N346" s="325" t="n"/>
      <c r="O346" s="244">
        <f>M346*N346</f>
        <v/>
      </c>
      <c r="P346" s="325" t="n"/>
      <c r="Q346" s="325" t="n"/>
      <c r="R346" s="325" t="n"/>
      <c r="S346" s="244">
        <f>Q346*R346</f>
        <v/>
      </c>
    </row>
    <row r="347" ht="22.2" customHeight="1" s="330">
      <c r="A347" s="4" t="n"/>
      <c r="E347" s="4" t="n"/>
      <c r="G347" s="252" t="n"/>
      <c r="H347" s="252" t="n"/>
      <c r="I347" s="250" t="n"/>
      <c r="J347" s="252" t="n"/>
      <c r="K347" s="331" t="n"/>
      <c r="L347" s="252" t="n"/>
      <c r="M347" s="252" t="n"/>
      <c r="N347" s="252" t="n"/>
      <c r="O347" s="244">
        <f>M347*N347</f>
        <v/>
      </c>
      <c r="P347" s="252" t="n"/>
      <c r="Q347" s="252" t="n"/>
      <c r="R347" s="252" t="n"/>
      <c r="S347" s="244">
        <f>Q347*R347</f>
        <v/>
      </c>
    </row>
    <row r="348" ht="22.2" customHeight="1" s="330">
      <c r="A348" s="4" t="n"/>
      <c r="E348" s="4" t="n"/>
      <c r="G348" s="276" t="n"/>
      <c r="H348" s="301" t="n"/>
      <c r="I348" s="276" t="n"/>
      <c r="J348" s="276" t="n"/>
      <c r="K348" s="476" t="n"/>
      <c r="L348" s="276" t="n"/>
      <c r="M348" s="276" t="n"/>
      <c r="N348" s="276" t="n"/>
      <c r="O348" s="244">
        <f>M348*N348</f>
        <v/>
      </c>
      <c r="P348" s="276" t="n"/>
      <c r="Q348" s="276" t="n"/>
      <c r="R348" s="276" t="n"/>
      <c r="S348" s="244">
        <f>Q348*R348</f>
        <v/>
      </c>
    </row>
    <row r="349" ht="22.2" customHeight="1" s="330">
      <c r="A349" s="4" t="n"/>
      <c r="E349" s="4" t="n"/>
      <c r="G349" s="62" t="inlineStr">
        <is>
          <t>ศุกร์</t>
        </is>
      </c>
      <c r="H349" s="325" t="inlineStr">
        <is>
          <t>30101-2005</t>
        </is>
      </c>
      <c r="I349" s="325" t="inlineStr">
        <is>
          <t>ปวส.1/2 สย. (ปกติ)</t>
        </is>
      </c>
      <c r="J349" s="332" t="inlineStr">
        <is>
          <t>08.10-12.10</t>
        </is>
      </c>
      <c r="K349" s="335" t="n"/>
      <c r="L349" s="252" t="n"/>
      <c r="M349" s="252" t="n"/>
      <c r="N349" s="252" t="n"/>
      <c r="O349" s="244">
        <f>M349*N349</f>
        <v/>
      </c>
      <c r="P349" s="332" t="n"/>
      <c r="Q349" s="265" t="n"/>
      <c r="R349" s="332" t="n"/>
      <c r="S349" s="244">
        <f>Q349*R349</f>
        <v/>
      </c>
    </row>
    <row r="350" ht="22.2" customHeight="1" s="330">
      <c r="A350" s="4" t="n"/>
      <c r="E350" s="4" t="n"/>
      <c r="G350" s="62">
        <f>G304</f>
        <v/>
      </c>
      <c r="H350" s="325" t="inlineStr">
        <is>
          <t>30101-2005</t>
        </is>
      </c>
      <c r="I350" s="325" t="inlineStr">
        <is>
          <t>ปวส.1/1 สย. (ปกติ)</t>
        </is>
      </c>
      <c r="J350" s="252" t="inlineStr">
        <is>
          <t>13.10-17.10</t>
        </is>
      </c>
      <c r="K350" s="331" t="n"/>
      <c r="L350" s="252" t="n"/>
      <c r="M350" s="252" t="n"/>
      <c r="N350" s="252" t="n"/>
      <c r="O350" s="244">
        <f>M350*N350</f>
        <v/>
      </c>
      <c r="P350" s="252" t="n"/>
      <c r="Q350" s="252" t="n"/>
      <c r="R350" s="252" t="n"/>
      <c r="S350" s="244">
        <f>Q350*R350</f>
        <v/>
      </c>
    </row>
    <row r="351" ht="22.2" customHeight="1" s="330">
      <c r="A351" s="4" t="n"/>
      <c r="E351" s="4" t="n"/>
      <c r="G351" s="252" t="n"/>
      <c r="H351" s="173" t="n"/>
      <c r="I351" s="4" t="n"/>
      <c r="J351" s="252" t="n"/>
      <c r="K351" s="331" t="n"/>
      <c r="L351" s="252" t="n"/>
      <c r="M351" s="252" t="n"/>
      <c r="N351" s="252" t="n"/>
      <c r="O351" s="244">
        <f>M351*N351</f>
        <v/>
      </c>
      <c r="P351" s="252" t="n"/>
      <c r="Q351" s="252" t="n"/>
      <c r="R351" s="252" t="n"/>
      <c r="S351" s="244">
        <f>Q351*R351</f>
        <v/>
      </c>
    </row>
    <row r="352" ht="22.2" customHeight="1" s="330">
      <c r="A352" s="4" t="n"/>
      <c r="E352" s="4" t="n"/>
      <c r="G352" s="252" t="n"/>
      <c r="H352" s="176" t="n"/>
      <c r="I352" s="4" t="n"/>
      <c r="J352" s="252" t="n"/>
      <c r="K352" s="331" t="n"/>
      <c r="L352" s="252" t="n"/>
      <c r="M352" s="252" t="n"/>
      <c r="N352" s="252" t="n"/>
      <c r="O352" s="244">
        <f>M352*N352</f>
        <v/>
      </c>
      <c r="P352" s="252" t="n"/>
      <c r="Q352" s="252" t="n"/>
      <c r="R352" s="252" t="n"/>
      <c r="S352" s="244">
        <f>Q352*R352</f>
        <v/>
      </c>
    </row>
    <row r="353" ht="22.2" customHeight="1" s="330">
      <c r="A353" s="4" t="n"/>
      <c r="E353" s="4" t="n"/>
      <c r="F353" s="4" t="n"/>
      <c r="G353" s="278" t="n"/>
      <c r="H353" s="276" t="n"/>
      <c r="I353" s="278" t="n"/>
      <c r="J353" s="276" t="n"/>
      <c r="K353" s="476" t="n"/>
      <c r="L353" s="276" t="n"/>
      <c r="M353" s="276" t="n"/>
      <c r="N353" s="276" t="n"/>
      <c r="O353" s="244">
        <f>M353*N353</f>
        <v/>
      </c>
      <c r="P353" s="276" t="n"/>
      <c r="Q353" s="276" t="n"/>
      <c r="R353" s="276" t="n"/>
      <c r="S353" s="244">
        <f>Q353*R353</f>
        <v/>
      </c>
    </row>
    <row r="354" ht="22.2" customHeight="1" s="330">
      <c r="A354" s="4" t="n"/>
      <c r="E354" s="4" t="n"/>
      <c r="F354" s="4" t="n"/>
      <c r="G354" s="17" t="inlineStr">
        <is>
          <t>รวมขั่วโมงที่สอนแยก ภาระงาน/ เกินภาระงาน</t>
        </is>
      </c>
      <c r="H354" s="467" t="n"/>
      <c r="I354" s="467" t="n"/>
      <c r="J354" s="467" t="n"/>
      <c r="K354" s="362" t="n"/>
      <c r="L354" s="17">
        <f>SUM(L329:L353)</f>
        <v/>
      </c>
      <c r="M354" s="17">
        <f>SUM(M329:M353)</f>
        <v/>
      </c>
      <c r="N354" s="17" t="n"/>
      <c r="O354" s="17" t="n"/>
      <c r="P354" s="17">
        <f>SUM(P329:P353)</f>
        <v/>
      </c>
      <c r="Q354" s="17">
        <f>SUM(Q329:Q353)</f>
        <v/>
      </c>
      <c r="R354" s="279" t="n"/>
      <c r="S354" s="17" t="n"/>
      <c r="T354" s="25" t="n"/>
      <c r="U354" s="26" t="inlineStr">
        <is>
          <t xml:space="preserve">     PLC</t>
        </is>
      </c>
      <c r="V354" s="64" t="n"/>
      <c r="W354" s="27" t="n"/>
      <c r="X354" s="27" t="n"/>
    </row>
    <row r="355" ht="22.2" customHeight="1" s="330">
      <c r="A355" s="4" t="n"/>
      <c r="E355" s="4" t="n"/>
      <c r="F355" s="4" t="n"/>
      <c r="G355" s="17" t="inlineStr">
        <is>
          <t>รวมจำนวนชั่วโมงสอนคาบต่อสับดาห์</t>
        </is>
      </c>
      <c r="H355" s="467" t="n"/>
      <c r="I355" s="467" t="n"/>
      <c r="J355" s="467" t="n"/>
      <c r="K355" s="362" t="n"/>
      <c r="L355" s="17">
        <f>L354+M354</f>
        <v/>
      </c>
      <c r="M355" s="362" t="n"/>
      <c r="N355" s="298" t="n"/>
      <c r="O355" s="17" t="n"/>
      <c r="P355" s="17">
        <f>P354+Q354</f>
        <v/>
      </c>
      <c r="Q355" s="362" t="n"/>
      <c r="R355" s="278" t="n"/>
      <c r="S355" s="276" t="n"/>
      <c r="T355" s="27" t="inlineStr">
        <is>
          <t> </t>
        </is>
      </c>
      <c r="U355" s="26" t="inlineStr">
        <is>
          <t>17.10-19.10</t>
        </is>
      </c>
      <c r="V355" s="64" t="n"/>
      <c r="W355" s="27" t="n"/>
      <c r="X355" s="27" t="n"/>
    </row>
    <row r="356" ht="22.2" customHeight="1" s="330">
      <c r="A356" s="4" t="n"/>
      <c r="E356" s="4" t="n"/>
      <c r="F356" s="4" t="n"/>
      <c r="G356" s="17" t="inlineStr">
        <is>
          <t>จำนวนชั่วโมงสอนตามภาระงานสอน</t>
        </is>
      </c>
      <c r="H356" s="467" t="n"/>
      <c r="I356" s="467" t="n"/>
      <c r="J356" s="467" t="n"/>
      <c r="K356" s="362" t="n"/>
      <c r="L356" s="17" t="n">
        <v>0</v>
      </c>
      <c r="M356" s="362" t="n"/>
      <c r="N356" s="298" t="n"/>
      <c r="O356" s="17" t="n"/>
      <c r="P356" s="17" t="n">
        <v>15</v>
      </c>
      <c r="Q356" s="362" t="n"/>
      <c r="R356" s="249" t="n"/>
      <c r="S356" s="252" t="n"/>
    </row>
    <row r="357" ht="22.2" customHeight="1" s="330" thickBot="1">
      <c r="A357" s="4" t="n"/>
      <c r="E357" s="4" t="n"/>
      <c r="F357" s="15" t="n"/>
      <c r="G357" s="17" t="inlineStr">
        <is>
          <t>จำนวนชั่วโมงบิกเกินภาระงานสอน/ค่าสอน</t>
        </is>
      </c>
      <c r="H357" s="467" t="n"/>
      <c r="I357" s="467" t="n"/>
      <c r="J357" s="467" t="n"/>
      <c r="K357" s="362" t="n"/>
      <c r="L357" s="18" t="n">
        <v>0</v>
      </c>
      <c r="M357" s="18">
        <f>SUM(M329:M353)</f>
        <v/>
      </c>
      <c r="N357" s="18" t="n"/>
      <c r="O357" s="18">
        <f>SUM(O329:O353)</f>
        <v/>
      </c>
      <c r="P357" s="18" t="n">
        <v>0</v>
      </c>
      <c r="Q357" s="18">
        <f>SUM(Q329:Q353)</f>
        <v/>
      </c>
      <c r="R357" s="19" t="n"/>
      <c r="S357" s="18">
        <f>SUM(S329:S353)</f>
        <v/>
      </c>
    </row>
    <row r="358" ht="22.2" customHeight="1" s="330" thickTop="1">
      <c r="A358" s="299" t="inlineStr">
        <is>
          <t>รวมจำนวนหน่วยชั่วโมงที่ขอเบิกค่าสอน ….</t>
        </is>
      </c>
      <c r="B358" s="467" t="n"/>
      <c r="C358" s="467" t="n"/>
      <c r="D358" s="467" t="n"/>
      <c r="E358" s="467" t="n"/>
      <c r="F358" s="467" t="n"/>
      <c r="G358" s="467" t="n"/>
      <c r="H358" s="298">
        <f>M357+Q357</f>
        <v/>
      </c>
      <c r="I358" s="298" t="inlineStr">
        <is>
          <t>….ชั่วโมง</t>
        </is>
      </c>
      <c r="J358" s="298" t="n"/>
      <c r="K358" s="301" t="inlineStr">
        <is>
          <t>ยอดเงินรวม</t>
        </is>
      </c>
      <c r="L358" s="471" t="n"/>
      <c r="M358" s="471" t="n"/>
      <c r="N358" s="301" t="n"/>
      <c r="O358" s="301" t="n"/>
      <c r="P358" s="302">
        <f>S357+O357</f>
        <v/>
      </c>
      <c r="Q358" s="482" t="n"/>
      <c r="R358" s="21" t="n"/>
      <c r="S358" s="20" t="inlineStr">
        <is>
          <t>..บาท</t>
        </is>
      </c>
    </row>
    <row r="359" ht="22.2" customHeight="1" s="330">
      <c r="A359" s="207" t="inlineStr">
        <is>
          <t>ผู้ขอเบิก</t>
        </is>
      </c>
      <c r="B359" s="334" t="n"/>
      <c r="C359" s="334" t="n"/>
      <c r="D359" s="334" t="n"/>
      <c r="E359" s="334" t="n"/>
      <c r="F359" s="334" t="n"/>
      <c r="G359" s="335" t="n"/>
      <c r="H359" s="207" t="inlineStr">
        <is>
          <t>ผู้รับรอง</t>
        </is>
      </c>
      <c r="I359" s="334" t="n"/>
      <c r="J359" s="334" t="n"/>
      <c r="K359" s="334" t="n"/>
      <c r="L359" s="335" t="n"/>
      <c r="M359" s="207" t="inlineStr">
        <is>
          <t>ผู้ตรวจ</t>
        </is>
      </c>
      <c r="N359" s="334" t="n"/>
      <c r="O359" s="334" t="n"/>
      <c r="P359" s="334" t="n"/>
      <c r="Q359" s="334" t="n"/>
      <c r="R359" s="334" t="n"/>
      <c r="S359" s="335" t="n"/>
    </row>
    <row r="360" ht="22.2" customHeight="1" s="330">
      <c r="A360" s="252" t="inlineStr">
        <is>
          <t>ลงชื่อ……………………………………………</t>
        </is>
      </c>
      <c r="G360" s="331" t="n"/>
      <c r="H360" s="252" t="inlineStr">
        <is>
          <t>ลงชื่อ……………………………………………</t>
        </is>
      </c>
      <c r="L360" s="331" t="n"/>
      <c r="M360" s="252" t="inlineStr">
        <is>
          <t>ลงชื่อ……………………………………………</t>
        </is>
      </c>
      <c r="S360" s="331" t="n"/>
    </row>
    <row r="361" ht="22.2" customHeight="1" s="330">
      <c r="A361" s="12" t="inlineStr">
        <is>
          <t>(</t>
        </is>
      </c>
      <c r="B361" s="309">
        <f>B329</f>
        <v/>
      </c>
      <c r="G361" s="310" t="inlineStr">
        <is>
          <t>)</t>
        </is>
      </c>
      <c r="H361" s="309" t="inlineStr">
        <is>
          <t>(</t>
        </is>
      </c>
      <c r="I361" s="314">
        <f>I315</f>
        <v/>
      </c>
      <c r="L361" s="13" t="inlineStr">
        <is>
          <t>)</t>
        </is>
      </c>
      <c r="M361" s="61" t="inlineStr">
        <is>
          <t>(</t>
        </is>
      </c>
      <c r="N361" s="61" t="n"/>
      <c r="O361" s="309" t="inlineStr">
        <is>
          <t>นายพิสุทธิศักดิ์  กล่อมนาค</t>
        </is>
      </c>
      <c r="R361" s="29" t="n"/>
      <c r="S361" s="310" t="inlineStr">
        <is>
          <t>)</t>
        </is>
      </c>
    </row>
    <row r="362" ht="22.2" customHeight="1" s="330">
      <c r="A362" s="483" t="inlineStr">
        <is>
          <t xml:space="preserve">                    ตำแหน่ง  ครู</t>
        </is>
      </c>
      <c r="G362" s="331" t="n"/>
      <c r="H362" s="62" t="inlineStr">
        <is>
          <t>ตำแหน่ง หัวหน้าแผนก</t>
        </is>
      </c>
      <c r="L362" s="331" t="n"/>
      <c r="M362" s="62" t="inlineStr">
        <is>
          <t>ตำแหน่ง   ผู้ตรวจสอบ</t>
        </is>
      </c>
      <c r="S362" s="331" t="n"/>
    </row>
    <row r="363" ht="22.2" customHeight="1" s="330">
      <c r="A363" s="63">
        <f>A41</f>
        <v/>
      </c>
      <c r="B363" s="471" t="n"/>
      <c r="C363" s="471" t="n"/>
      <c r="D363" s="471" t="n"/>
      <c r="E363" s="471" t="n"/>
      <c r="F363" s="471" t="n"/>
      <c r="G363" s="476" t="n"/>
      <c r="H363" s="62">
        <f>A41</f>
        <v/>
      </c>
      <c r="L363" s="331" t="n"/>
      <c r="M363" s="63">
        <f>A41</f>
        <v/>
      </c>
      <c r="N363" s="471" t="n"/>
      <c r="O363" s="471" t="n"/>
      <c r="P363" s="471" t="n"/>
      <c r="Q363" s="471" t="n"/>
      <c r="R363" s="471" t="n"/>
      <c r="S363" s="476" t="n"/>
    </row>
    <row r="364" ht="22.2" customHeight="1" s="330">
      <c r="A364" s="207" t="inlineStr">
        <is>
          <t>ผู้ตรวจ</t>
        </is>
      </c>
      <c r="B364" s="334" t="n"/>
      <c r="C364" s="334" t="n"/>
      <c r="D364" s="334" t="n"/>
      <c r="E364" s="334" t="n"/>
      <c r="F364" s="334" t="n"/>
      <c r="G364" s="334" t="n"/>
      <c r="H364" s="334" t="n"/>
      <c r="I364" s="335" t="n"/>
      <c r="J364" s="207" t="inlineStr">
        <is>
          <t>ผู้เห็นชอบ</t>
        </is>
      </c>
      <c r="K364" s="334" t="n"/>
      <c r="L364" s="334" t="n"/>
      <c r="M364" s="334" t="n"/>
      <c r="N364" s="334" t="n"/>
      <c r="O364" s="334" t="n"/>
      <c r="P364" s="334" t="n"/>
      <c r="Q364" s="334" t="n"/>
      <c r="R364" s="334" t="n"/>
      <c r="S364" s="335" t="n"/>
    </row>
    <row r="365" ht="22.2" customHeight="1" s="330">
      <c r="A365" s="252" t="inlineStr">
        <is>
          <t>ลงชื่อ……………………………………………</t>
        </is>
      </c>
      <c r="I365" s="331" t="n"/>
      <c r="J365" s="252" t="inlineStr">
        <is>
          <t>ลงชื่อ……………………………………………</t>
        </is>
      </c>
      <c r="S365" s="331" t="n"/>
    </row>
    <row r="366" ht="22.2" customHeight="1" s="330">
      <c r="A366" s="12" t="n"/>
      <c r="B366" s="309" t="inlineStr">
        <is>
          <t xml:space="preserve">          (นางศิวรักษ์   บุญประเสริฐ)</t>
        </is>
      </c>
      <c r="I366" s="310" t="n"/>
      <c r="J366" s="29" t="n"/>
      <c r="K366" s="29" t="n"/>
      <c r="L366" s="309" t="inlineStr">
        <is>
          <t>(นายปรีชา  โพธิ์เกิด)</t>
        </is>
      </c>
      <c r="R366" s="29" t="n"/>
      <c r="S366" s="13" t="n"/>
    </row>
    <row r="367" ht="22.2" customHeight="1" s="330">
      <c r="A367" s="62" t="inlineStr">
        <is>
          <t>ตำแหน่งครู  หัวหน้างานพัฒนาหลักสูตร ฯ</t>
        </is>
      </c>
      <c r="I367" s="331" t="n"/>
      <c r="J367" s="62" t="inlineStr">
        <is>
          <t>ตำแหน่ง  รองผู้อำนวยการฝ่ายวิชาการ</t>
        </is>
      </c>
      <c r="S367" s="331" t="n"/>
    </row>
    <row r="368" ht="22.2" customHeight="1" s="330">
      <c r="A368" s="63">
        <f>A41</f>
        <v/>
      </c>
      <c r="B368" s="471" t="n"/>
      <c r="C368" s="471" t="n"/>
      <c r="D368" s="471" t="n"/>
      <c r="E368" s="471" t="n"/>
      <c r="F368" s="471" t="n"/>
      <c r="G368" s="471" t="n"/>
      <c r="H368" s="471" t="n"/>
      <c r="I368" s="476" t="n"/>
      <c r="J368" s="63">
        <f>A41</f>
        <v/>
      </c>
      <c r="K368" s="471" t="n"/>
      <c r="L368" s="471" t="n"/>
      <c r="M368" s="471" t="n"/>
      <c r="N368" s="471" t="n"/>
      <c r="O368" s="471" t="n"/>
      <c r="P368" s="471" t="n"/>
      <c r="Q368" s="471" t="n"/>
      <c r="R368" s="471" t="n"/>
      <c r="S368" s="476" t="n"/>
    </row>
    <row r="369" ht="22.2" customHeight="1" s="330">
      <c r="A369" s="333" t="inlineStr">
        <is>
          <t>ใบเบิกจ่ายเงินค่าสอนพิเศษและค่าสอนเกินภาระงานสอนในสถานศึกษา</t>
        </is>
      </c>
      <c r="B369" s="334" t="n"/>
      <c r="C369" s="334" t="n"/>
      <c r="D369" s="334" t="n"/>
      <c r="E369" s="334" t="n"/>
      <c r="F369" s="334" t="n"/>
      <c r="G369" s="334" t="n"/>
      <c r="H369" s="334" t="n"/>
      <c r="I369" s="334" t="n"/>
      <c r="J369" s="334" t="n"/>
      <c r="K369" s="334" t="n"/>
      <c r="L369" s="334" t="n"/>
      <c r="M369" s="334" t="n"/>
      <c r="N369" s="334" t="n"/>
      <c r="O369" s="334" t="n"/>
      <c r="P369" s="334" t="n"/>
      <c r="Q369" s="334" t="n"/>
      <c r="R369" s="334" t="n"/>
      <c r="S369" s="334" t="n"/>
    </row>
    <row r="370" ht="22.2" customHeight="1" s="330">
      <c r="A370" s="254">
        <f>A2</f>
        <v/>
      </c>
    </row>
    <row r="371" ht="22.2" customHeight="1" s="330">
      <c r="A371" s="253" t="inlineStr">
        <is>
          <t xml:space="preserve">    ระหว่างวันที่</t>
        </is>
      </c>
      <c r="D371" s="254">
        <f>D3</f>
        <v/>
      </c>
      <c r="E371" s="254" t="inlineStr">
        <is>
          <t xml:space="preserve">   เดือน  </t>
        </is>
      </c>
      <c r="F371" s="254">
        <f>F3</f>
        <v/>
      </c>
      <c r="H371" s="254">
        <f>H3</f>
        <v/>
      </c>
      <c r="I371" s="254" t="inlineStr">
        <is>
          <t xml:space="preserve">     ถึง วันที่</t>
        </is>
      </c>
      <c r="J371" s="254">
        <f>J3</f>
        <v/>
      </c>
      <c r="K371" s="254" t="inlineStr">
        <is>
          <t xml:space="preserve">   เดือน </t>
        </is>
      </c>
      <c r="L371" s="254">
        <f>L3</f>
        <v/>
      </c>
      <c r="N371" s="254">
        <f>N3</f>
        <v/>
      </c>
      <c r="P371" s="254" t="n"/>
      <c r="R371" s="254" t="n"/>
    </row>
    <row r="372" ht="22.2" customHeight="1" s="330">
      <c r="G372" s="58" t="inlineStr">
        <is>
          <t>ü</t>
        </is>
      </c>
      <c r="H372" s="290" t="inlineStr">
        <is>
          <t>ครู</t>
        </is>
      </c>
      <c r="I372" s="249" t="inlineStr">
        <is>
          <t>หน้าที่พิเศษ</t>
        </is>
      </c>
      <c r="J372" s="290" t="inlineStr">
        <is>
          <t>หัวหน้างานทวิภาคี</t>
        </is>
      </c>
    </row>
    <row r="373" ht="22.2" customHeight="1" s="330">
      <c r="A373" s="28" t="inlineStr">
        <is>
          <t>ที่</t>
        </is>
      </c>
      <c r="B373" s="28" t="inlineStr">
        <is>
          <t>ชื่อ-สกุล</t>
        </is>
      </c>
      <c r="C373" s="334" t="n"/>
      <c r="D373" s="335" t="n"/>
      <c r="E373" s="16" t="inlineStr">
        <is>
          <t>ตำแหน่ง</t>
        </is>
      </c>
      <c r="F373" s="17" t="inlineStr">
        <is>
          <t>ระยะเวลาที่สอน</t>
        </is>
      </c>
      <c r="G373" s="362" t="n"/>
      <c r="H373" s="17" t="inlineStr">
        <is>
          <t>รหัสวิชา</t>
        </is>
      </c>
      <c r="I373" s="275" t="inlineStr">
        <is>
          <t>ชั้น,แผนก,ห้อง</t>
        </is>
      </c>
      <c r="J373" s="17" t="inlineStr">
        <is>
          <t>เวลาสอน</t>
        </is>
      </c>
      <c r="K373" s="335" t="n"/>
      <c r="L373" s="17" t="inlineStr">
        <is>
          <t>ปวช.(คาบ)</t>
        </is>
      </c>
      <c r="M373" s="362" t="n"/>
      <c r="N373" s="244" t="inlineStr">
        <is>
          <t>เงิน</t>
        </is>
      </c>
      <c r="O373" s="275" t="inlineStr">
        <is>
          <t>ยอดเงิน</t>
        </is>
      </c>
      <c r="P373" s="473" t="inlineStr">
        <is>
          <t>ปวส.(คาบ)</t>
        </is>
      </c>
      <c r="Q373" s="362" t="n"/>
      <c r="R373" s="244" t="inlineStr">
        <is>
          <t>เงิน</t>
        </is>
      </c>
      <c r="S373" s="275" t="inlineStr">
        <is>
          <t>ยอดเงิน</t>
        </is>
      </c>
    </row>
    <row r="374" ht="22.2" customHeight="1" s="330">
      <c r="A374" s="60" t="n"/>
      <c r="B374" s="9" t="n"/>
      <c r="C374" s="10" t="n"/>
      <c r="D374" s="14" t="n"/>
      <c r="E374" s="11" t="n"/>
      <c r="F374" s="276" t="inlineStr">
        <is>
          <t>ส.</t>
        </is>
      </c>
      <c r="G374" s="276" t="inlineStr">
        <is>
          <t>วดป.</t>
        </is>
      </c>
      <c r="H374" s="474" t="n"/>
      <c r="I374" s="159" t="n"/>
      <c r="J374" s="475" t="n"/>
      <c r="K374" s="476" t="n"/>
      <c r="L374" s="276" t="inlineStr">
        <is>
          <t>ใน</t>
        </is>
      </c>
      <c r="M374" s="276" t="inlineStr">
        <is>
          <t>นอก</t>
        </is>
      </c>
      <c r="N374" s="276" t="inlineStr">
        <is>
          <t>ต่อ ชม.</t>
        </is>
      </c>
      <c r="O374" s="276" t="inlineStr">
        <is>
          <t>(บาท)</t>
        </is>
      </c>
      <c r="P374" s="60" t="inlineStr">
        <is>
          <t>ใน</t>
        </is>
      </c>
      <c r="Q374" s="60" t="inlineStr">
        <is>
          <t>นอก</t>
        </is>
      </c>
      <c r="R374" s="276" t="inlineStr">
        <is>
          <t>ต่อ ชม.</t>
        </is>
      </c>
      <c r="S374" s="276" t="inlineStr">
        <is>
          <t>(บาท)</t>
        </is>
      </c>
    </row>
    <row r="375" ht="22.2" customHeight="1" s="330">
      <c r="A375" s="252" t="n">
        <v>9</v>
      </c>
      <c r="B375" s="478">
        <f>AB11</f>
        <v/>
      </c>
      <c r="D375" s="331" t="n"/>
      <c r="E375" s="252" t="inlineStr">
        <is>
          <t>ครู</t>
        </is>
      </c>
      <c r="F375" s="252">
        <f>F7</f>
        <v/>
      </c>
      <c r="G375" s="303" t="inlineStr">
        <is>
          <t>จันทร์</t>
        </is>
      </c>
      <c r="H375" s="332" t="inlineStr">
        <is>
          <t>20101-2010</t>
        </is>
      </c>
      <c r="I375" s="325" t="inlineStr">
        <is>
          <t>ปวช.2/1 ชย. (ปกติ)</t>
        </is>
      </c>
      <c r="J375" s="332" t="inlineStr">
        <is>
          <t>08.10-12.10</t>
        </is>
      </c>
      <c r="K375" s="335" t="n"/>
      <c r="L375" s="332" t="n"/>
      <c r="M375" s="156" t="n"/>
      <c r="N375" s="335" t="n"/>
      <c r="O375" s="244">
        <f>M375*N375</f>
        <v/>
      </c>
      <c r="P375" s="156" t="n"/>
      <c r="Q375" s="156" t="n"/>
      <c r="R375" s="156" t="n"/>
      <c r="S375" s="244">
        <f>Q375*R375</f>
        <v/>
      </c>
    </row>
    <row r="376" ht="22.2" customHeight="1" s="330">
      <c r="A376" s="4" t="n"/>
      <c r="B376" s="478" t="n"/>
      <c r="D376" s="331" t="n"/>
      <c r="E376" s="252" t="n"/>
      <c r="F376" s="249" t="n"/>
      <c r="G376" s="308">
        <f>G330</f>
        <v/>
      </c>
      <c r="H376" s="325" t="n"/>
      <c r="I376" s="325" t="n"/>
      <c r="J376" s="325" t="n"/>
      <c r="K376" s="331" t="n"/>
      <c r="L376" s="325" t="n"/>
      <c r="M376" s="252" t="n"/>
      <c r="N376" s="250" t="n"/>
      <c r="O376" s="244">
        <f>M376*N376</f>
        <v/>
      </c>
      <c r="P376" s="252" t="n"/>
      <c r="Q376" s="252" t="n"/>
      <c r="R376" s="252" t="n"/>
      <c r="S376" s="244">
        <f>Q376*R376</f>
        <v/>
      </c>
    </row>
    <row r="377" ht="22.2" customHeight="1" s="330">
      <c r="A377" s="4" t="n"/>
      <c r="B377" s="5" t="n"/>
      <c r="D377" s="3" t="n"/>
      <c r="E377" s="3" t="n"/>
      <c r="F377" s="249" t="n"/>
      <c r="G377" s="248" t="n"/>
      <c r="H377" s="252" t="n"/>
      <c r="I377" s="252" t="n"/>
      <c r="J377" s="252" t="n"/>
      <c r="K377" s="331" t="n"/>
      <c r="L377" s="252" t="n"/>
      <c r="M377" s="252" t="n"/>
      <c r="N377" s="252" t="n"/>
      <c r="O377" s="244">
        <f>M377*N377</f>
        <v/>
      </c>
      <c r="P377" s="252" t="n"/>
      <c r="Q377" s="252" t="n"/>
      <c r="R377" s="252" t="n"/>
      <c r="S377" s="244">
        <f>Q377*R377</f>
        <v/>
      </c>
    </row>
    <row r="378" ht="22.2" customHeight="1" s="330">
      <c r="A378" s="4" t="n"/>
      <c r="D378" s="3" t="n"/>
      <c r="E378" s="3" t="n"/>
      <c r="F378" s="249" t="n"/>
      <c r="G378" s="248" t="n"/>
      <c r="H378" s="252" t="n"/>
      <c r="I378" s="252" t="n"/>
      <c r="J378" s="252" t="n"/>
      <c r="K378" s="331" t="n"/>
      <c r="L378" s="252" t="n"/>
      <c r="M378" s="252" t="n"/>
      <c r="N378" s="252" t="n"/>
      <c r="O378" s="244">
        <f>M378*N378</f>
        <v/>
      </c>
      <c r="P378" s="252" t="n"/>
      <c r="Q378" s="252" t="n"/>
      <c r="R378" s="252" t="n"/>
      <c r="S378" s="244">
        <f>Q378*R378</f>
        <v/>
      </c>
    </row>
    <row r="379" ht="22.2" customHeight="1" s="330">
      <c r="A379" s="4" t="n"/>
      <c r="E379" s="4" t="n"/>
      <c r="G379" s="311" t="n"/>
      <c r="H379" s="276" t="n"/>
      <c r="I379" s="276" t="n"/>
      <c r="J379" s="276" t="n"/>
      <c r="K379" s="476" t="n"/>
      <c r="L379" s="276" t="n"/>
      <c r="M379" s="252" t="n"/>
      <c r="N379" s="252" t="n"/>
      <c r="O379" s="244">
        <f>M379*N379</f>
        <v/>
      </c>
      <c r="P379" s="252" t="n"/>
      <c r="Q379" s="252" t="n"/>
      <c r="R379" s="252" t="n"/>
      <c r="S379" s="244">
        <f>Q379*R379</f>
        <v/>
      </c>
    </row>
    <row r="380" ht="22.2" customHeight="1" s="330">
      <c r="A380" s="4" t="n"/>
      <c r="E380" s="4" t="n"/>
      <c r="G380" s="62" t="inlineStr">
        <is>
          <t>อังคาร</t>
        </is>
      </c>
      <c r="H380" s="332" t="inlineStr">
        <is>
          <t>20101-2102</t>
        </is>
      </c>
      <c r="I380" s="332" t="inlineStr">
        <is>
          <t>ปวช.1/5 ชย. (ปกติ)</t>
        </is>
      </c>
      <c r="J380" s="332" t="inlineStr">
        <is>
          <t>08.10-12.10</t>
        </is>
      </c>
      <c r="K380" s="335" t="n"/>
      <c r="L380" s="265" t="n"/>
      <c r="M380" s="332" t="n"/>
      <c r="N380" s="332" t="n"/>
      <c r="O380" s="244">
        <f>M380*N380</f>
        <v/>
      </c>
      <c r="P380" s="332" t="n"/>
      <c r="Q380" s="265" t="n"/>
      <c r="R380" s="332" t="n"/>
      <c r="S380" s="244">
        <f>Q380*R380</f>
        <v/>
      </c>
    </row>
    <row r="381" ht="22.2" customHeight="1" s="330">
      <c r="A381" s="4" t="n"/>
      <c r="E381" s="4" t="n"/>
      <c r="G381" s="308">
        <f>G335</f>
        <v/>
      </c>
      <c r="H381" s="325" t="inlineStr">
        <is>
          <t>20101-2102</t>
        </is>
      </c>
      <c r="I381" s="325" t="inlineStr">
        <is>
          <t>ปวช.1/5 ชย. (ปกติ)</t>
        </is>
      </c>
      <c r="J381" s="325" t="inlineStr">
        <is>
          <t>13.10-16.10</t>
        </is>
      </c>
      <c r="K381" s="331" t="n"/>
      <c r="L381" s="252" t="n"/>
      <c r="M381" s="252" t="n"/>
      <c r="N381" s="252" t="n"/>
      <c r="O381" s="244">
        <f>M381*N381</f>
        <v/>
      </c>
      <c r="P381" s="252" t="n"/>
      <c r="Q381" s="252" t="n"/>
      <c r="R381" s="252" t="n"/>
      <c r="S381" s="244">
        <f>Q381*R381</f>
        <v/>
      </c>
    </row>
    <row r="382" ht="22.2" customHeight="1" s="330">
      <c r="A382" s="4" t="n"/>
      <c r="B382" s="5" t="n"/>
      <c r="D382" s="3" t="n"/>
      <c r="E382" s="3" t="n"/>
      <c r="G382" s="252" t="n"/>
      <c r="H382" s="252" t="n"/>
      <c r="I382" s="252" t="n"/>
      <c r="J382" s="252" t="n"/>
      <c r="K382" s="331" t="n"/>
      <c r="L382" s="252" t="n"/>
      <c r="M382" s="252" t="n"/>
      <c r="N382" s="252" t="n"/>
      <c r="O382" s="244">
        <f>M382*N382</f>
        <v/>
      </c>
      <c r="P382" s="252" t="n"/>
      <c r="Q382" s="252" t="n"/>
      <c r="R382" s="252" t="n"/>
      <c r="S382" s="244">
        <f>Q382*R382</f>
        <v/>
      </c>
    </row>
    <row r="383" ht="22.2" customHeight="1" s="330">
      <c r="A383" s="4" t="n"/>
      <c r="D383" s="3" t="n"/>
      <c r="E383" s="3" t="n"/>
      <c r="G383" s="252" t="n"/>
      <c r="H383" s="249" t="n"/>
      <c r="I383" s="252" t="n"/>
      <c r="J383" s="252" t="n"/>
      <c r="K383" s="331" t="n"/>
      <c r="L383" s="252" t="n"/>
      <c r="M383" s="252" t="n"/>
      <c r="N383" s="252" t="n"/>
      <c r="O383" s="244">
        <f>M383*N383</f>
        <v/>
      </c>
      <c r="P383" s="252" t="n"/>
      <c r="Q383" s="252" t="n"/>
      <c r="R383" s="252" t="n"/>
      <c r="S383" s="244">
        <f>Q383*R383</f>
        <v/>
      </c>
    </row>
    <row r="384" ht="22.2" customHeight="1" s="330">
      <c r="A384" s="4" t="n"/>
      <c r="D384" s="3" t="inlineStr">
        <is>
          <t> </t>
        </is>
      </c>
      <c r="E384" s="3" t="n"/>
      <c r="G384" s="63" t="n"/>
      <c r="H384" s="276" t="n"/>
      <c r="I384" s="276" t="n"/>
      <c r="J384" s="276" t="n"/>
      <c r="K384" s="476" t="n"/>
      <c r="L384" s="252" t="n"/>
      <c r="M384" s="276" t="n"/>
      <c r="N384" s="276" t="n"/>
      <c r="O384" s="244">
        <f>M384*N384</f>
        <v/>
      </c>
      <c r="P384" s="276" t="n"/>
      <c r="Q384" s="276" t="n"/>
      <c r="R384" s="276" t="n"/>
      <c r="S384" s="279">
        <f>Q384*R384</f>
        <v/>
      </c>
    </row>
    <row r="385" ht="22.2" customHeight="1" s="330">
      <c r="A385" s="4" t="n"/>
      <c r="B385" s="170" t="n"/>
      <c r="C385" s="171" t="n"/>
      <c r="D385" s="172" t="n"/>
      <c r="E385" s="173" t="n"/>
      <c r="G385" s="308" t="inlineStr">
        <is>
          <t>พุธ</t>
        </is>
      </c>
      <c r="H385" s="325" t="inlineStr">
        <is>
          <t>20101-2102</t>
        </is>
      </c>
      <c r="I385" s="325" t="inlineStr">
        <is>
          <t>ปวช.1/9 ชย. (ทวิ)</t>
        </is>
      </c>
      <c r="J385" s="332" t="inlineStr">
        <is>
          <t>08.10-12.10</t>
        </is>
      </c>
      <c r="K385" s="335" t="n"/>
      <c r="L385" s="332" t="n"/>
      <c r="M385" s="182" t="n"/>
      <c r="N385" s="179" t="n"/>
      <c r="O385" s="244">
        <f>M385*N385</f>
        <v/>
      </c>
      <c r="P385" s="156" t="n"/>
      <c r="Q385" s="335" t="n"/>
      <c r="R385" s="335" t="n"/>
      <c r="S385" s="279">
        <f>Q385*R385</f>
        <v/>
      </c>
      <c r="T385" s="7" t="n"/>
      <c r="U385" s="23" t="inlineStr">
        <is>
          <t>เบิก ธุรการ</t>
        </is>
      </c>
      <c r="V385" s="66" t="n"/>
      <c r="W385" s="22" t="n"/>
      <c r="X385" s="22" t="n"/>
    </row>
    <row r="386" ht="22.2" customHeight="1" s="330">
      <c r="A386" s="4" t="n"/>
      <c r="B386" s="248" t="n"/>
      <c r="C386" s="249" t="n"/>
      <c r="D386" s="250" t="n"/>
      <c r="E386" s="252" t="n"/>
      <c r="G386" s="308">
        <f>G340</f>
        <v/>
      </c>
      <c r="H386" s="325" t="inlineStr">
        <is>
          <t>20101-2102</t>
        </is>
      </c>
      <c r="I386" s="325" t="inlineStr">
        <is>
          <t>ปวช.1/9 ชย. (ทวิ)</t>
        </is>
      </c>
      <c r="J386" s="325" t="inlineStr">
        <is>
          <t>13.10-16.10</t>
        </is>
      </c>
      <c r="K386" s="331" t="n"/>
      <c r="L386" s="252" t="n"/>
      <c r="M386" s="211" t="n"/>
      <c r="N386" s="180" t="n"/>
      <c r="O386" s="244">
        <f>M386*N386</f>
        <v/>
      </c>
      <c r="P386" s="56" t="n"/>
      <c r="Q386" s="56" t="n"/>
      <c r="R386" s="331" t="n"/>
      <c r="S386" s="279">
        <f>Q386*R386</f>
        <v/>
      </c>
      <c r="T386" s="22" t="inlineStr">
        <is>
          <t> </t>
        </is>
      </c>
      <c r="U386" s="23" t="inlineStr">
        <is>
          <t>16.10-19.10</t>
        </is>
      </c>
      <c r="V386" s="66" t="n"/>
      <c r="W386" s="22" t="n"/>
      <c r="X386" s="22" t="n"/>
    </row>
    <row r="387" ht="22.2" customHeight="1" s="330">
      <c r="A387" s="4" t="n"/>
      <c r="B387" s="5" t="n"/>
      <c r="D387" s="3" t="n"/>
      <c r="E387" s="3" t="n"/>
      <c r="G387" s="252" t="n"/>
      <c r="H387" s="252" t="n"/>
      <c r="I387" s="252" t="n"/>
      <c r="J387" s="252" t="n"/>
      <c r="K387" s="331" t="n"/>
      <c r="L387" s="252" t="n"/>
      <c r="M387" s="252" t="n"/>
      <c r="N387" s="252" t="n"/>
      <c r="O387" s="275">
        <f>M387*N387</f>
        <v/>
      </c>
      <c r="P387" s="252" t="n"/>
      <c r="Q387" s="252" t="n"/>
      <c r="R387" s="252" t="n"/>
      <c r="S387" s="244">
        <f>Q387*R387</f>
        <v/>
      </c>
    </row>
    <row r="388" ht="22.2" customHeight="1" s="330">
      <c r="A388" s="4" t="n"/>
      <c r="D388" s="3" t="n"/>
      <c r="E388" s="3" t="n"/>
      <c r="G388" s="248" t="n"/>
      <c r="H388" s="248" t="n"/>
      <c r="I388" s="252" t="n"/>
      <c r="J388" s="252" t="n"/>
      <c r="K388" s="331" t="n"/>
      <c r="L388" s="252" t="n"/>
      <c r="M388" s="252" t="n"/>
      <c r="N388" s="252" t="n"/>
      <c r="O388" s="275">
        <f>M388*N388</f>
        <v/>
      </c>
      <c r="P388" s="252" t="n"/>
      <c r="Q388" s="252" t="n"/>
      <c r="R388" s="252" t="n"/>
      <c r="S388" s="244">
        <f>Q388*R388</f>
        <v/>
      </c>
    </row>
    <row r="389" ht="22.2" customHeight="1" s="330">
      <c r="A389" s="4" t="n"/>
      <c r="E389" s="4" t="n"/>
      <c r="G389" s="277" t="n"/>
      <c r="H389" s="277" t="n"/>
      <c r="I389" s="276" t="n"/>
      <c r="J389" s="276" t="n"/>
      <c r="K389" s="476" t="n"/>
      <c r="L389" s="276" t="n"/>
      <c r="M389" s="276" t="n"/>
      <c r="N389" s="276" t="n"/>
      <c r="O389" s="244">
        <f>M389*N389</f>
        <v/>
      </c>
      <c r="P389" s="276" t="n"/>
      <c r="Q389" s="276" t="n"/>
      <c r="R389" s="276" t="n"/>
      <c r="S389" s="244">
        <f>Q389*R389</f>
        <v/>
      </c>
    </row>
    <row r="390" ht="22.2" customHeight="1" s="330">
      <c r="A390" s="4" t="n"/>
      <c r="E390" s="4" t="n"/>
      <c r="G390" s="62" t="inlineStr">
        <is>
          <t>พฤหัส</t>
        </is>
      </c>
      <c r="H390" s="325" t="inlineStr">
        <is>
          <t>20000-2004</t>
        </is>
      </c>
      <c r="I390" s="332" t="inlineStr">
        <is>
          <t>ปวช.2/7,8 ชย. (ปกติ)</t>
        </is>
      </c>
      <c r="J390" s="325" t="inlineStr">
        <is>
          <t>13.10-15.10</t>
        </is>
      </c>
      <c r="K390" s="331" t="n"/>
      <c r="L390" s="265" t="n"/>
      <c r="M390" s="332" t="n"/>
      <c r="N390" s="325" t="n"/>
      <c r="O390" s="244">
        <f>M390*N390</f>
        <v/>
      </c>
      <c r="P390" s="252" t="n"/>
      <c r="Q390" s="275" t="n"/>
      <c r="R390" s="275" t="n"/>
      <c r="S390" s="244">
        <f>Q390*R390</f>
        <v/>
      </c>
      <c r="T390" s="24" t="n"/>
      <c r="U390" s="24" t="inlineStr">
        <is>
          <t>สอน ป.ตรี</t>
        </is>
      </c>
      <c r="V390" s="65" t="n"/>
      <c r="W390" s="24" t="n"/>
      <c r="X390" s="24" t="n"/>
    </row>
    <row r="391" ht="22.2" customHeight="1" s="330">
      <c r="A391" s="4" t="n"/>
      <c r="E391" s="4" t="n"/>
      <c r="G391" s="62">
        <f>G345</f>
        <v/>
      </c>
      <c r="H391" s="325" t="n"/>
      <c r="I391" s="325" t="n"/>
      <c r="J391" s="325" t="n"/>
      <c r="K391" s="331" t="n"/>
      <c r="L391" s="325" t="n"/>
      <c r="M391" s="56" t="n"/>
      <c r="N391" s="331" t="n"/>
      <c r="O391" s="244">
        <f>M391*N391</f>
        <v/>
      </c>
      <c r="P391" s="252" t="n"/>
      <c r="Q391" s="252" t="n"/>
      <c r="R391" s="252" t="n"/>
      <c r="S391" s="244">
        <f>Q391*R391</f>
        <v/>
      </c>
      <c r="T391" s="24" t="n"/>
      <c r="U391" s="24" t="inlineStr">
        <is>
          <t>17.10-21.10</t>
        </is>
      </c>
      <c r="V391" s="65" t="n"/>
      <c r="W391" s="24" t="n"/>
      <c r="X391" s="24" t="n"/>
    </row>
    <row r="392" ht="22.2" customHeight="1" s="330">
      <c r="A392" s="4" t="n"/>
      <c r="B392" s="5" t="n"/>
      <c r="E392" s="4" t="n"/>
      <c r="G392" s="252" t="n"/>
      <c r="H392" s="325" t="n"/>
      <c r="I392" s="325" t="n"/>
      <c r="J392" s="325" t="n"/>
      <c r="K392" s="331" t="n"/>
      <c r="L392" s="325" t="n"/>
      <c r="M392" s="325" t="n"/>
      <c r="N392" s="286" t="n"/>
      <c r="O392" s="244">
        <f>M392*N392</f>
        <v/>
      </c>
      <c r="P392" s="325" t="n"/>
      <c r="Q392" s="286" t="n"/>
      <c r="R392" s="325" t="n"/>
      <c r="S392" s="244">
        <f>Q392*R392</f>
        <v/>
      </c>
    </row>
    <row r="393" ht="22.2" customHeight="1" s="330">
      <c r="A393" s="4" t="n"/>
      <c r="E393" s="4" t="n"/>
      <c r="G393" s="252" t="n"/>
      <c r="H393" s="72" t="n"/>
      <c r="I393" s="325" t="n"/>
      <c r="J393" s="325" t="n"/>
      <c r="K393" s="331" t="n"/>
      <c r="L393" s="325" t="n"/>
      <c r="M393" s="325" t="n"/>
      <c r="N393" s="286" t="n"/>
      <c r="O393" s="244">
        <f>M393*N393</f>
        <v/>
      </c>
      <c r="P393" s="325" t="n"/>
      <c r="Q393" s="286" t="n"/>
      <c r="R393" s="325" t="n"/>
      <c r="S393" s="244">
        <f>Q393*R393</f>
        <v/>
      </c>
    </row>
    <row r="394" ht="22.2" customHeight="1" s="330">
      <c r="A394" s="4" t="n"/>
      <c r="E394" s="4" t="n"/>
      <c r="G394" s="276" t="n"/>
      <c r="H394" s="301" t="n"/>
      <c r="I394" s="276" t="n"/>
      <c r="J394" s="276" t="n"/>
      <c r="K394" s="476" t="n"/>
      <c r="L394" s="276" t="n"/>
      <c r="M394" s="276" t="n"/>
      <c r="N394" s="276" t="n"/>
      <c r="O394" s="244">
        <f>M394*N394</f>
        <v/>
      </c>
      <c r="P394" s="276" t="n"/>
      <c r="Q394" s="276" t="n"/>
      <c r="R394" s="276" t="n"/>
      <c r="S394" s="244">
        <f>Q394*R394</f>
        <v/>
      </c>
    </row>
    <row r="395" ht="22.2" customHeight="1" s="330">
      <c r="A395" s="4" t="n"/>
      <c r="E395" s="4" t="n"/>
      <c r="G395" s="62" t="inlineStr">
        <is>
          <t>ศุกร์</t>
        </is>
      </c>
      <c r="H395" s="325" t="inlineStr">
        <is>
          <t>20101-2102</t>
        </is>
      </c>
      <c r="I395" s="325" t="inlineStr">
        <is>
          <t>ปวช.1/7 ชย. (ปกติ)</t>
        </is>
      </c>
      <c r="J395" s="332" t="inlineStr">
        <is>
          <t>08.10-12.10</t>
        </is>
      </c>
      <c r="K395" s="335" t="n"/>
      <c r="L395" s="252" t="n"/>
      <c r="M395" s="252" t="n"/>
      <c r="N395" s="252" t="n"/>
      <c r="O395" s="244">
        <f>M395*N395</f>
        <v/>
      </c>
      <c r="P395" s="332" t="n"/>
      <c r="Q395" s="265" t="n"/>
      <c r="R395" s="332" t="n"/>
      <c r="S395" s="244">
        <f>Q395*R395</f>
        <v/>
      </c>
    </row>
    <row r="396" ht="22.2" customHeight="1" s="330">
      <c r="A396" s="4" t="n"/>
      <c r="E396" s="4" t="n"/>
      <c r="G396" s="62">
        <f>G350</f>
        <v/>
      </c>
      <c r="H396" s="325" t="inlineStr">
        <is>
          <t>20101-2102</t>
        </is>
      </c>
      <c r="I396" s="325" t="inlineStr">
        <is>
          <t>ปวช.1/7 ชย. (ปกติ)</t>
        </is>
      </c>
      <c r="J396" s="325" t="inlineStr">
        <is>
          <t>13.10-16.10</t>
        </is>
      </c>
      <c r="K396" s="331" t="n"/>
      <c r="L396" s="252" t="n"/>
      <c r="M396" s="252" t="n"/>
      <c r="N396" s="252" t="n"/>
      <c r="O396" s="244">
        <f>M396*N396</f>
        <v/>
      </c>
      <c r="P396" s="252" t="n"/>
      <c r="Q396" s="252" t="n"/>
      <c r="R396" s="252" t="n"/>
      <c r="S396" s="244">
        <f>Q396*R396</f>
        <v/>
      </c>
    </row>
    <row r="397" ht="22.2" customHeight="1" s="330">
      <c r="A397" s="4" t="n"/>
      <c r="E397" s="4" t="n"/>
      <c r="G397" s="252" t="n"/>
      <c r="H397" s="252" t="n"/>
      <c r="I397" s="252" t="n"/>
      <c r="J397" s="252" t="n"/>
      <c r="K397" s="331" t="n"/>
      <c r="L397" s="252" t="n"/>
      <c r="M397" s="252" t="n"/>
      <c r="N397" s="252" t="n"/>
      <c r="O397" s="244">
        <f>M397*N397</f>
        <v/>
      </c>
      <c r="P397" s="252" t="n"/>
      <c r="Q397" s="252" t="n"/>
      <c r="R397" s="252" t="n"/>
      <c r="S397" s="244">
        <f>Q397*R397</f>
        <v/>
      </c>
    </row>
    <row r="398" ht="22.2" customHeight="1" s="330">
      <c r="A398" s="4" t="n"/>
      <c r="E398" s="4" t="n"/>
      <c r="F398" s="4" t="n"/>
      <c r="G398" s="250" t="n"/>
      <c r="H398" s="249" t="n"/>
      <c r="I398" s="252" t="n"/>
      <c r="J398" s="252" t="n"/>
      <c r="K398" s="331" t="n"/>
      <c r="L398" s="252" t="n"/>
      <c r="M398" s="252" t="n"/>
      <c r="N398" s="252" t="n"/>
      <c r="O398" s="244">
        <f>M398*N398</f>
        <v/>
      </c>
      <c r="P398" s="252" t="n"/>
      <c r="Q398" s="252" t="n"/>
      <c r="R398" s="252" t="n"/>
      <c r="S398" s="244">
        <f>Q398*R398</f>
        <v/>
      </c>
    </row>
    <row r="399" ht="22.2" customHeight="1" s="330">
      <c r="A399" s="4" t="n"/>
      <c r="E399" s="4" t="n"/>
      <c r="F399" s="4" t="n"/>
      <c r="G399" s="278" t="n"/>
      <c r="H399" s="301" t="n"/>
      <c r="I399" s="276" t="n"/>
      <c r="J399" s="276" t="n"/>
      <c r="K399" s="476" t="n"/>
      <c r="L399" s="276" t="n"/>
      <c r="M399" s="276" t="n"/>
      <c r="N399" s="276" t="n"/>
      <c r="O399" s="244">
        <f>M399*N399</f>
        <v/>
      </c>
      <c r="P399" s="276" t="n"/>
      <c r="Q399" s="276" t="n"/>
      <c r="R399" s="276" t="n"/>
      <c r="S399" s="244">
        <f>Q399*R399</f>
        <v/>
      </c>
    </row>
    <row r="400" ht="22.2" customHeight="1" s="330">
      <c r="A400" s="4" t="n"/>
      <c r="E400" s="4" t="n"/>
      <c r="F400" s="4" t="n"/>
      <c r="G400" s="17" t="inlineStr">
        <is>
          <t>รวมขั่วโมงที่สอนแยก ภาระงาน/ เกินภาระงาน</t>
        </is>
      </c>
      <c r="H400" s="467" t="n"/>
      <c r="I400" s="467" t="n"/>
      <c r="J400" s="467" t="n"/>
      <c r="K400" s="362" t="n"/>
      <c r="L400" s="17">
        <f>SUM(L375:L399)</f>
        <v/>
      </c>
      <c r="M400" s="17">
        <f>SUM(M375:M399)</f>
        <v/>
      </c>
      <c r="N400" s="17" t="n"/>
      <c r="O400" s="17" t="n"/>
      <c r="P400" s="17">
        <f>SUM(P375:P399)</f>
        <v/>
      </c>
      <c r="Q400" s="17">
        <f>SUM(Q375:Q399)</f>
        <v/>
      </c>
      <c r="R400" s="279" t="n"/>
      <c r="S400" s="17" t="n"/>
      <c r="T400" s="25" t="n"/>
      <c r="U400" s="26" t="inlineStr">
        <is>
          <t xml:space="preserve">     PLC</t>
        </is>
      </c>
      <c r="V400" s="64" t="n"/>
      <c r="W400" s="27" t="n"/>
      <c r="X400" s="27" t="n"/>
    </row>
    <row r="401" ht="22.2" customHeight="1" s="330">
      <c r="A401" s="4" t="n"/>
      <c r="E401" s="4" t="n"/>
      <c r="F401" s="4" t="n"/>
      <c r="G401" s="17" t="inlineStr">
        <is>
          <t>รวมจำนวนชั่วโมงสอนคาบต่อสับดาห์</t>
        </is>
      </c>
      <c r="H401" s="467" t="n"/>
      <c r="I401" s="467" t="n"/>
      <c r="J401" s="467" t="n"/>
      <c r="K401" s="362" t="n"/>
      <c r="L401" s="17">
        <f>L400+M400</f>
        <v/>
      </c>
      <c r="M401" s="362" t="n"/>
      <c r="N401" s="298" t="n"/>
      <c r="O401" s="17" t="n"/>
      <c r="P401" s="17">
        <f>P400+Q400</f>
        <v/>
      </c>
      <c r="Q401" s="362" t="n"/>
      <c r="R401" s="278" t="n"/>
      <c r="S401" s="276" t="n"/>
      <c r="T401" s="27" t="inlineStr">
        <is>
          <t> </t>
        </is>
      </c>
      <c r="U401" s="26" t="inlineStr">
        <is>
          <t>17.10-19.10</t>
        </is>
      </c>
      <c r="V401" s="64" t="n"/>
      <c r="W401" s="27" t="n"/>
      <c r="X401" s="27" t="n"/>
    </row>
    <row r="402" ht="22.2" customHeight="1" s="330">
      <c r="A402" s="4" t="n"/>
      <c r="E402" s="4" t="n"/>
      <c r="F402" s="4" t="n"/>
      <c r="G402" s="17" t="inlineStr">
        <is>
          <t>จำนวนชั่วโมงสอนตามภาระงานสอน</t>
        </is>
      </c>
      <c r="H402" s="467" t="n"/>
      <c r="I402" s="467" t="n"/>
      <c r="J402" s="467" t="n"/>
      <c r="K402" s="362" t="n"/>
      <c r="L402" s="153" t="inlineStr">
        <is>
          <t>12</t>
        </is>
      </c>
      <c r="M402" s="362" t="n"/>
      <c r="N402" s="17" t="n"/>
      <c r="O402" s="298" t="n"/>
      <c r="P402" s="153" t="inlineStr">
        <is>
          <t>0</t>
        </is>
      </c>
      <c r="Q402" s="362" t="n"/>
      <c r="R402" s="249" t="n"/>
      <c r="S402" s="252" t="n"/>
    </row>
    <row r="403" ht="22.2" customHeight="1" s="330" thickBot="1">
      <c r="A403" s="4" t="n"/>
      <c r="E403" s="4" t="n"/>
      <c r="F403" s="15" t="n"/>
      <c r="G403" s="17" t="inlineStr">
        <is>
          <t>จำนวนชั่วโมงบิกเกินภาระงานสอน/ค่าสอน</t>
        </is>
      </c>
      <c r="H403" s="467" t="n"/>
      <c r="I403" s="467" t="n"/>
      <c r="J403" s="467" t="n"/>
      <c r="K403" s="362" t="n"/>
      <c r="L403" s="18" t="n">
        <v>0</v>
      </c>
      <c r="M403" s="18">
        <f>SUM(M375:M399)</f>
        <v/>
      </c>
      <c r="N403" s="18" t="n"/>
      <c r="O403" s="18">
        <f>SUM(O375:O399)</f>
        <v/>
      </c>
      <c r="P403" s="18" t="n">
        <v>0</v>
      </c>
      <c r="Q403" s="18">
        <f>SUM(Q375:Q399)</f>
        <v/>
      </c>
      <c r="R403" s="19" t="n"/>
      <c r="S403" s="18">
        <f>SUM(S375:S399)</f>
        <v/>
      </c>
    </row>
    <row r="404" ht="22.2" customHeight="1" s="330" thickTop="1">
      <c r="A404" s="299" t="inlineStr">
        <is>
          <t>รวมจำนวนหน่วยชั่วโมงที่ขอเบิกค่าสอน ….</t>
        </is>
      </c>
      <c r="B404" s="467" t="n"/>
      <c r="C404" s="467" t="n"/>
      <c r="D404" s="467" t="n"/>
      <c r="E404" s="467" t="n"/>
      <c r="F404" s="467" t="n"/>
      <c r="G404" s="467" t="n"/>
      <c r="H404" s="298">
        <f>M403+Q403</f>
        <v/>
      </c>
      <c r="I404" s="298" t="inlineStr">
        <is>
          <t>….ชั่วโมง</t>
        </is>
      </c>
      <c r="J404" s="298" t="n"/>
      <c r="K404" s="301" t="inlineStr">
        <is>
          <t>ยอดเงินรวม</t>
        </is>
      </c>
      <c r="L404" s="471" t="n"/>
      <c r="M404" s="471" t="n"/>
      <c r="N404" s="301" t="n"/>
      <c r="O404" s="301" t="n"/>
      <c r="P404" s="302">
        <f>S403+O403</f>
        <v/>
      </c>
      <c r="Q404" s="482" t="n"/>
      <c r="R404" s="21" t="n"/>
      <c r="S404" s="20" t="inlineStr">
        <is>
          <t>..บาท</t>
        </is>
      </c>
    </row>
    <row r="405" ht="22.2" customHeight="1" s="330">
      <c r="A405" s="207" t="inlineStr">
        <is>
          <t>ผู้ขอเบิก</t>
        </is>
      </c>
      <c r="B405" s="334" t="n"/>
      <c r="C405" s="334" t="n"/>
      <c r="D405" s="334" t="n"/>
      <c r="E405" s="334" t="n"/>
      <c r="F405" s="334" t="n"/>
      <c r="G405" s="335" t="n"/>
      <c r="H405" s="207" t="inlineStr">
        <is>
          <t>ผู้รับรอง</t>
        </is>
      </c>
      <c r="I405" s="334" t="n"/>
      <c r="J405" s="334" t="n"/>
      <c r="K405" s="334" t="n"/>
      <c r="L405" s="335" t="n"/>
      <c r="M405" s="207" t="inlineStr">
        <is>
          <t>ผู้ตรวจ</t>
        </is>
      </c>
      <c r="N405" s="334" t="n"/>
      <c r="O405" s="334" t="n"/>
      <c r="P405" s="334" t="n"/>
      <c r="Q405" s="334" t="n"/>
      <c r="R405" s="334" t="n"/>
      <c r="S405" s="335" t="n"/>
    </row>
    <row r="406" ht="22.2" customHeight="1" s="330">
      <c r="A406" s="252" t="inlineStr">
        <is>
          <t>ลงชื่อ……………………………………………</t>
        </is>
      </c>
      <c r="G406" s="331" t="n"/>
      <c r="H406" s="252" t="inlineStr">
        <is>
          <t>ลงชื่อ……………………………………………</t>
        </is>
      </c>
      <c r="L406" s="331" t="n"/>
      <c r="M406" s="252" t="inlineStr">
        <is>
          <t>ลงชื่อ……………………………………………</t>
        </is>
      </c>
      <c r="S406" s="331" t="n"/>
    </row>
    <row r="407" ht="22.2" customHeight="1" s="330">
      <c r="A407" s="12" t="inlineStr">
        <is>
          <t>(</t>
        </is>
      </c>
      <c r="B407" s="309">
        <f>B375</f>
        <v/>
      </c>
      <c r="G407" s="310" t="inlineStr">
        <is>
          <t>)</t>
        </is>
      </c>
      <c r="H407" s="309" t="inlineStr">
        <is>
          <t>(</t>
        </is>
      </c>
      <c r="I407" s="314">
        <f>I361</f>
        <v/>
      </c>
      <c r="L407" s="13" t="inlineStr">
        <is>
          <t>)</t>
        </is>
      </c>
      <c r="M407" s="61" t="inlineStr">
        <is>
          <t>(</t>
        </is>
      </c>
      <c r="N407" s="61" t="n"/>
      <c r="O407" s="309" t="inlineStr">
        <is>
          <t>นายพิสุทธิศักดิ์  กล่อมนาค</t>
        </is>
      </c>
      <c r="R407" s="29" t="n"/>
      <c r="S407" s="310" t="inlineStr">
        <is>
          <t>)</t>
        </is>
      </c>
    </row>
    <row r="408" ht="22.2" customHeight="1" s="330">
      <c r="A408" s="483" t="inlineStr">
        <is>
          <t xml:space="preserve">                 ตำแหน่ง  ครู</t>
        </is>
      </c>
      <c r="G408" s="331" t="n"/>
      <c r="H408" s="62" t="inlineStr">
        <is>
          <t>ตำแหน่ง หัวหน้าแผนก</t>
        </is>
      </c>
      <c r="L408" s="331" t="n"/>
      <c r="M408" s="62" t="inlineStr">
        <is>
          <t>ตำแหน่ง   ผู้ตรวจสอบ</t>
        </is>
      </c>
      <c r="S408" s="331" t="n"/>
    </row>
    <row r="409" ht="22.2" customHeight="1" s="330">
      <c r="A409" s="63">
        <f>A41</f>
        <v/>
      </c>
      <c r="B409" s="471" t="n"/>
      <c r="C409" s="471" t="n"/>
      <c r="D409" s="471" t="n"/>
      <c r="E409" s="471" t="n"/>
      <c r="F409" s="471" t="n"/>
      <c r="G409" s="476" t="n"/>
      <c r="H409" s="62">
        <f>A41</f>
        <v/>
      </c>
      <c r="L409" s="331" t="n"/>
      <c r="M409" s="63">
        <f>A41</f>
        <v/>
      </c>
      <c r="N409" s="471" t="n"/>
      <c r="O409" s="471" t="n"/>
      <c r="P409" s="471" t="n"/>
      <c r="Q409" s="471" t="n"/>
      <c r="R409" s="471" t="n"/>
      <c r="S409" s="476" t="n"/>
    </row>
    <row r="410" ht="22.2" customHeight="1" s="330">
      <c r="A410" s="207" t="inlineStr">
        <is>
          <t>ผู้ตรวจ</t>
        </is>
      </c>
      <c r="B410" s="334" t="n"/>
      <c r="C410" s="334" t="n"/>
      <c r="D410" s="334" t="n"/>
      <c r="E410" s="334" t="n"/>
      <c r="F410" s="334" t="n"/>
      <c r="G410" s="334" t="n"/>
      <c r="H410" s="334" t="n"/>
      <c r="I410" s="335" t="n"/>
      <c r="J410" s="207" t="inlineStr">
        <is>
          <t>ผู้เห็นชอบ</t>
        </is>
      </c>
      <c r="K410" s="334" t="n"/>
      <c r="L410" s="334" t="n"/>
      <c r="M410" s="334" t="n"/>
      <c r="N410" s="334" t="n"/>
      <c r="O410" s="334" t="n"/>
      <c r="P410" s="334" t="n"/>
      <c r="Q410" s="334" t="n"/>
      <c r="R410" s="334" t="n"/>
      <c r="S410" s="335" t="n"/>
    </row>
    <row r="411" ht="22.2" customHeight="1" s="330">
      <c r="A411" s="252" t="inlineStr">
        <is>
          <t>ลงชื่อ……………………………………………</t>
        </is>
      </c>
      <c r="I411" s="331" t="n"/>
      <c r="J411" s="252" t="inlineStr">
        <is>
          <t>ลงชื่อ……………………………………………</t>
        </is>
      </c>
      <c r="S411" s="331" t="n"/>
    </row>
    <row r="412" ht="22.2" customHeight="1" s="330">
      <c r="A412" s="12" t="n"/>
      <c r="B412" s="309" t="inlineStr">
        <is>
          <t xml:space="preserve">          (นางศิวรักษ์   บุญประเสริฐ)</t>
        </is>
      </c>
      <c r="I412" s="310" t="n"/>
      <c r="J412" s="29" t="n"/>
      <c r="K412" s="29" t="n"/>
      <c r="L412" s="309" t="inlineStr">
        <is>
          <t>(นายปรีชา  โพธิ์เกิด)</t>
        </is>
      </c>
      <c r="R412" s="29" t="n"/>
      <c r="S412" s="13" t="n"/>
    </row>
    <row r="413" ht="22.2" customHeight="1" s="330">
      <c r="A413" s="62" t="inlineStr">
        <is>
          <t>ตำแหน่งครู  หัวหน้างานพัฒนาหลักสูตร ฯ</t>
        </is>
      </c>
      <c r="I413" s="331" t="n"/>
      <c r="J413" s="62" t="inlineStr">
        <is>
          <t>ตำแหน่ง  รองผู้อำนวยการฝ่ายวิชาการ</t>
        </is>
      </c>
      <c r="S413" s="331" t="n"/>
    </row>
    <row r="414" ht="22.2" customHeight="1" s="330">
      <c r="A414" s="63">
        <f>A41</f>
        <v/>
      </c>
      <c r="B414" s="471" t="n"/>
      <c r="C414" s="471" t="n"/>
      <c r="D414" s="471" t="n"/>
      <c r="E414" s="471" t="n"/>
      <c r="F414" s="471" t="n"/>
      <c r="G414" s="471" t="n"/>
      <c r="H414" s="471" t="n"/>
      <c r="I414" s="476" t="n"/>
      <c r="J414" s="63">
        <f>A41</f>
        <v/>
      </c>
      <c r="K414" s="471" t="n"/>
      <c r="L414" s="471" t="n"/>
      <c r="M414" s="471" t="n"/>
      <c r="N414" s="471" t="n"/>
      <c r="O414" s="471" t="n"/>
      <c r="P414" s="471" t="n"/>
      <c r="Q414" s="471" t="n"/>
      <c r="R414" s="471" t="n"/>
      <c r="S414" s="476" t="n"/>
    </row>
    <row r="415" ht="22.2" customHeight="1" s="330">
      <c r="A41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416" ht="22.2" customHeight="1" s="330">
      <c r="A416" s="254">
        <f>A2</f>
        <v/>
      </c>
    </row>
    <row r="417" ht="22.2" customHeight="1" s="330">
      <c r="A417" s="253" t="inlineStr">
        <is>
          <t xml:space="preserve">    ระหว่างวันที่</t>
        </is>
      </c>
      <c r="D417" s="254">
        <f>D3</f>
        <v/>
      </c>
      <c r="E417" s="254" t="inlineStr">
        <is>
          <t xml:space="preserve">   เดือน  </t>
        </is>
      </c>
      <c r="F417" s="254">
        <f>F3</f>
        <v/>
      </c>
      <c r="H417" s="254">
        <f>H3</f>
        <v/>
      </c>
      <c r="I417" s="254" t="inlineStr">
        <is>
          <t xml:space="preserve">     ถึง วันที่</t>
        </is>
      </c>
      <c r="J417" s="254">
        <f>J3</f>
        <v/>
      </c>
      <c r="K417" s="254" t="inlineStr">
        <is>
          <t xml:space="preserve">   เดือน </t>
        </is>
      </c>
      <c r="L417" s="254">
        <f>L3</f>
        <v/>
      </c>
      <c r="N417" s="254">
        <f>N3</f>
        <v/>
      </c>
      <c r="P417" s="254" t="n"/>
      <c r="R417" s="254" t="n"/>
    </row>
    <row r="418" ht="22.2" customHeight="1" s="330">
      <c r="G418" s="58" t="inlineStr">
        <is>
          <t>ü</t>
        </is>
      </c>
      <c r="H418" s="290" t="inlineStr">
        <is>
          <t>ครู</t>
        </is>
      </c>
      <c r="I418" s="249" t="inlineStr">
        <is>
          <t>หน้าที่พิเศษ</t>
        </is>
      </c>
      <c r="J418" s="8" t="inlineStr">
        <is>
          <t>หัวหน้างานความร่วมมือ</t>
        </is>
      </c>
    </row>
    <row r="419" ht="22.2" customHeight="1" s="330">
      <c r="A419" s="28" t="inlineStr">
        <is>
          <t>ที่</t>
        </is>
      </c>
      <c r="B419" s="28" t="inlineStr">
        <is>
          <t>ชื่อ-สกุล</t>
        </is>
      </c>
      <c r="C419" s="334" t="n"/>
      <c r="D419" s="335" t="n"/>
      <c r="E419" s="16" t="inlineStr">
        <is>
          <t>ตำแหน่ง</t>
        </is>
      </c>
      <c r="F419" s="17" t="inlineStr">
        <is>
          <t>ระยะเวลาที่สอน</t>
        </is>
      </c>
      <c r="G419" s="362" t="n"/>
      <c r="H419" s="17" t="inlineStr">
        <is>
          <t>รหัสวิชา</t>
        </is>
      </c>
      <c r="I419" s="275" t="inlineStr">
        <is>
          <t>ชั้น,แผนก,ห้อง</t>
        </is>
      </c>
      <c r="J419" s="17" t="inlineStr">
        <is>
          <t>เวลาสอน</t>
        </is>
      </c>
      <c r="K419" s="335" t="n"/>
      <c r="L419" s="17" t="inlineStr">
        <is>
          <t>ปวช.(คาบ)</t>
        </is>
      </c>
      <c r="M419" s="362" t="n"/>
      <c r="N419" s="244" t="inlineStr">
        <is>
          <t>เงิน</t>
        </is>
      </c>
      <c r="O419" s="275" t="inlineStr">
        <is>
          <t>ยอดเงิน</t>
        </is>
      </c>
      <c r="P419" s="473" t="inlineStr">
        <is>
          <t>ปวส.(คาบ)</t>
        </is>
      </c>
      <c r="Q419" s="362" t="n"/>
      <c r="R419" s="244" t="inlineStr">
        <is>
          <t>เงิน</t>
        </is>
      </c>
      <c r="S419" s="275" t="inlineStr">
        <is>
          <t>ยอดเงิน</t>
        </is>
      </c>
    </row>
    <row r="420" ht="22.2" customHeight="1" s="330">
      <c r="A420" s="60" t="n"/>
      <c r="B420" s="9" t="n"/>
      <c r="C420" s="10" t="n"/>
      <c r="D420" s="14" t="n"/>
      <c r="E420" s="11" t="n"/>
      <c r="F420" s="276" t="inlineStr">
        <is>
          <t>ส.</t>
        </is>
      </c>
      <c r="G420" s="276" t="inlineStr">
        <is>
          <t>วดป.</t>
        </is>
      </c>
      <c r="H420" s="474" t="n"/>
      <c r="I420" s="276" t="n"/>
      <c r="J420" s="475" t="n"/>
      <c r="K420" s="476" t="n"/>
      <c r="L420" s="276" t="inlineStr">
        <is>
          <t>ใน</t>
        </is>
      </c>
      <c r="M420" s="276" t="inlineStr">
        <is>
          <t>นอก</t>
        </is>
      </c>
      <c r="N420" s="276" t="inlineStr">
        <is>
          <t>ต่อ ชม.</t>
        </is>
      </c>
      <c r="O420" s="276" t="inlineStr">
        <is>
          <t>(บาท)</t>
        </is>
      </c>
      <c r="P420" s="60" t="inlineStr">
        <is>
          <t>ใน</t>
        </is>
      </c>
      <c r="Q420" s="60" t="inlineStr">
        <is>
          <t>นอก</t>
        </is>
      </c>
      <c r="R420" s="276" t="inlineStr">
        <is>
          <t>ต่อ ชม.</t>
        </is>
      </c>
      <c r="S420" s="276" t="inlineStr">
        <is>
          <t>(บาท)</t>
        </is>
      </c>
    </row>
    <row r="421" ht="22.2" customHeight="1" s="330">
      <c r="A421" s="275" t="n">
        <v>10</v>
      </c>
      <c r="B421" s="477">
        <f>AB12</f>
        <v/>
      </c>
      <c r="C421" s="334" t="n"/>
      <c r="D421" s="335" t="n"/>
      <c r="E421" s="275" t="inlineStr">
        <is>
          <t>ครู</t>
        </is>
      </c>
      <c r="F421" s="6">
        <f>F7</f>
        <v/>
      </c>
      <c r="G421" s="303" t="inlineStr">
        <is>
          <t>จันทร์</t>
        </is>
      </c>
      <c r="H421" s="325" t="inlineStr">
        <is>
          <t>20101-2105</t>
        </is>
      </c>
      <c r="I421" s="325" t="inlineStr">
        <is>
          <t>ปวช.2/2 ชย. (ปกติ)</t>
        </is>
      </c>
      <c r="J421" s="332" t="inlineStr">
        <is>
          <t>08.10-12.10</t>
        </is>
      </c>
      <c r="K421" s="335" t="n"/>
      <c r="L421" s="265" t="n"/>
      <c r="M421" s="332" t="n"/>
      <c r="N421" s="332" t="n"/>
      <c r="O421" s="244">
        <f>M421*N421</f>
        <v/>
      </c>
      <c r="P421" s="332" t="n"/>
      <c r="Q421" s="265" t="n"/>
      <c r="R421" s="332" t="n"/>
      <c r="S421" s="244">
        <f>Q421*R421</f>
        <v/>
      </c>
    </row>
    <row r="422" ht="22.2" customHeight="1" s="330">
      <c r="A422" s="4" t="n"/>
      <c r="B422" s="5" t="n"/>
      <c r="D422" s="3" t="n"/>
      <c r="E422" s="51" t="n"/>
      <c r="F422" s="249" t="n"/>
      <c r="G422" s="308">
        <f>G376</f>
        <v/>
      </c>
      <c r="H422" s="325" t="inlineStr">
        <is>
          <t>20101-2105</t>
        </is>
      </c>
      <c r="I422" s="325" t="inlineStr">
        <is>
          <t>ปวช.2/1 ชย. (ปกติ)</t>
        </is>
      </c>
      <c r="J422" s="252" t="inlineStr">
        <is>
          <t>13.10-17.10</t>
        </is>
      </c>
      <c r="K422" s="331" t="n"/>
      <c r="L422" s="252" t="n"/>
      <c r="M422" s="252" t="n"/>
      <c r="N422" s="252" t="n"/>
      <c r="O422" s="244">
        <f>M422*N422</f>
        <v/>
      </c>
      <c r="P422" s="252" t="n"/>
      <c r="Q422" s="252" t="n"/>
      <c r="R422" s="252" t="n"/>
      <c r="S422" s="244">
        <f>Q422*R422</f>
        <v/>
      </c>
    </row>
    <row r="423" ht="22.2" customHeight="1" s="330">
      <c r="A423" s="4" t="n"/>
      <c r="E423" s="4" t="n"/>
      <c r="F423" s="249" t="n"/>
      <c r="G423" s="248" t="n"/>
      <c r="H423" s="252" t="n"/>
      <c r="I423" s="252" t="n"/>
      <c r="J423" s="252" t="n"/>
      <c r="K423" s="331" t="n"/>
      <c r="L423" s="252" t="n"/>
      <c r="M423" s="252" t="n"/>
      <c r="N423" s="252" t="n"/>
      <c r="O423" s="244">
        <f>M423*N423</f>
        <v/>
      </c>
      <c r="P423" s="252" t="n"/>
      <c r="Q423" s="252" t="n"/>
      <c r="R423" s="252" t="n"/>
      <c r="S423" s="244">
        <f>Q423*R423</f>
        <v/>
      </c>
    </row>
    <row r="424" ht="22.2" customHeight="1" s="330">
      <c r="A424" s="4" t="n"/>
      <c r="D424" s="8" t="inlineStr">
        <is>
          <t> </t>
        </is>
      </c>
      <c r="E424" s="4" t="n"/>
      <c r="F424" s="249" t="n"/>
      <c r="G424" s="248" t="n"/>
      <c r="H424" s="252" t="n"/>
      <c r="I424" s="252" t="n"/>
      <c r="J424" s="252" t="n"/>
      <c r="K424" s="331" t="n"/>
      <c r="L424" s="252" t="n"/>
      <c r="M424" s="252" t="n"/>
      <c r="N424" s="252" t="n"/>
      <c r="O424" s="244">
        <f>M424*N424</f>
        <v/>
      </c>
      <c r="P424" s="252" t="n"/>
      <c r="Q424" s="252" t="n"/>
      <c r="R424" s="252" t="n"/>
      <c r="S424" s="244">
        <f>Q424*R424</f>
        <v/>
      </c>
    </row>
    <row r="425" ht="22.2" customHeight="1" s="330">
      <c r="A425" s="4" t="n"/>
      <c r="E425" s="4" t="n"/>
      <c r="G425" s="311" t="n"/>
      <c r="H425" s="276" t="n"/>
      <c r="I425" s="276" t="n"/>
      <c r="J425" s="276" t="n"/>
      <c r="K425" s="476" t="n"/>
      <c r="L425" s="252" t="n"/>
      <c r="M425" s="252" t="n"/>
      <c r="N425" s="252" t="n"/>
      <c r="O425" s="244">
        <f>M425*N425</f>
        <v/>
      </c>
      <c r="P425" s="252" t="n"/>
      <c r="Q425" s="252" t="n"/>
      <c r="R425" s="252" t="n"/>
      <c r="S425" s="244">
        <f>Q425*R425</f>
        <v/>
      </c>
    </row>
    <row r="426" ht="22.2" customHeight="1" s="330">
      <c r="A426" s="4" t="n"/>
      <c r="B426" s="248" t="n"/>
      <c r="C426" s="249" t="n"/>
      <c r="D426" s="249" t="n"/>
      <c r="E426" s="252" t="n"/>
      <c r="G426" s="62" t="inlineStr">
        <is>
          <t>อังคาร</t>
        </is>
      </c>
      <c r="H426" s="325" t="inlineStr">
        <is>
          <t>20101-2105</t>
        </is>
      </c>
      <c r="I426" s="325" t="inlineStr">
        <is>
          <t>ปวช.2/3 ชย. (ปกติ)</t>
        </is>
      </c>
      <c r="J426" s="252" t="inlineStr">
        <is>
          <t>13.10-17.10</t>
        </is>
      </c>
      <c r="K426" s="331" t="n"/>
      <c r="L426" s="265" t="n"/>
      <c r="M426" s="332" t="n"/>
      <c r="N426" s="332" t="n"/>
      <c r="O426" s="244">
        <f>M426*N426</f>
        <v/>
      </c>
      <c r="P426" s="332" t="n"/>
      <c r="Q426" s="265" t="n"/>
      <c r="R426" s="332" t="n"/>
      <c r="S426" s="244">
        <f>Q426*R426</f>
        <v/>
      </c>
    </row>
    <row r="427" ht="22.2" customHeight="1" s="330">
      <c r="A427" s="4" t="n"/>
      <c r="B427" s="5" t="n"/>
      <c r="D427" s="3" t="n"/>
      <c r="E427" s="3" t="n"/>
      <c r="G427" s="308">
        <f>G381</f>
        <v/>
      </c>
      <c r="H427" s="325" t="n"/>
      <c r="I427" s="325" t="n"/>
      <c r="J427" s="252" t="n"/>
      <c r="K427" s="331" t="n"/>
      <c r="L427" s="252" t="n"/>
      <c r="M427" s="252" t="n"/>
      <c r="N427" s="252" t="n"/>
      <c r="O427" s="244">
        <f>M427*N427</f>
        <v/>
      </c>
      <c r="P427" s="252" t="n"/>
      <c r="Q427" s="252" t="n"/>
      <c r="R427" s="252" t="n"/>
      <c r="S427" s="244">
        <f>Q427*R427</f>
        <v/>
      </c>
    </row>
    <row r="428" ht="22.2" customHeight="1" s="330">
      <c r="A428" s="4" t="n"/>
      <c r="B428" s="5" t="n"/>
      <c r="D428" s="3" t="n"/>
      <c r="E428" s="3" t="n"/>
      <c r="G428" s="252" t="n"/>
      <c r="H428" s="252" t="n"/>
      <c r="I428" s="252" t="n"/>
      <c r="J428" s="252" t="n"/>
      <c r="K428" s="331" t="n"/>
      <c r="L428" s="252" t="n"/>
      <c r="M428" s="252" t="n"/>
      <c r="N428" s="252" t="n"/>
      <c r="O428" s="244">
        <f>M428*N428</f>
        <v/>
      </c>
      <c r="P428" s="252" t="n"/>
      <c r="Q428" s="252" t="n"/>
      <c r="R428" s="252" t="n"/>
      <c r="S428" s="244">
        <f>Q428*R428</f>
        <v/>
      </c>
    </row>
    <row r="429" ht="22.2" customHeight="1" s="330">
      <c r="A429" s="4" t="n"/>
      <c r="E429" s="4" t="n"/>
      <c r="G429" s="62" t="n"/>
      <c r="H429" s="249" t="n"/>
      <c r="I429" s="252" t="n"/>
      <c r="J429" s="252" t="n"/>
      <c r="K429" s="331" t="n"/>
      <c r="L429" s="252" t="n"/>
      <c r="M429" s="252" t="n"/>
      <c r="N429" s="252" t="n"/>
      <c r="O429" s="244">
        <f>M429*N429</f>
        <v/>
      </c>
      <c r="P429" s="252" t="n"/>
      <c r="Q429" s="252" t="n"/>
      <c r="R429" s="252" t="n"/>
      <c r="S429" s="244">
        <f>Q429*R429</f>
        <v/>
      </c>
    </row>
    <row r="430" ht="22.2" customHeight="1" s="330">
      <c r="A430" s="4" t="n"/>
      <c r="D430" s="8" t="inlineStr">
        <is>
          <t> </t>
        </is>
      </c>
      <c r="E430" s="4" t="n"/>
      <c r="G430" s="63" t="n"/>
      <c r="H430" s="276" t="n"/>
      <c r="I430" s="276" t="n"/>
      <c r="J430" s="276" t="n"/>
      <c r="K430" s="476" t="n"/>
      <c r="L430" s="252" t="n"/>
      <c r="M430" s="252" t="n"/>
      <c r="N430" s="252" t="n"/>
      <c r="O430" s="244">
        <f>M430*N430</f>
        <v/>
      </c>
      <c r="P430" s="252" t="n"/>
      <c r="Q430" s="252" t="n"/>
      <c r="R430" s="252" t="n"/>
      <c r="S430" s="244">
        <f>Q430*R430</f>
        <v/>
      </c>
    </row>
    <row r="431" ht="22.2" customHeight="1" s="330">
      <c r="A431" s="4" t="n"/>
      <c r="E431" s="4" t="n"/>
      <c r="G431" s="308" t="inlineStr">
        <is>
          <t>พุธ</t>
        </is>
      </c>
      <c r="H431" s="325" t="inlineStr">
        <is>
          <t>20101-2105</t>
        </is>
      </c>
      <c r="I431" s="325" t="inlineStr">
        <is>
          <t>ปวช.3/10 ชย. (ทวิ)</t>
        </is>
      </c>
      <c r="J431" s="332" t="inlineStr">
        <is>
          <t>08.10-12.10</t>
        </is>
      </c>
      <c r="K431" s="335" t="n"/>
      <c r="L431" s="265" t="n"/>
      <c r="M431" s="332" t="n"/>
      <c r="N431" s="332" t="n"/>
      <c r="O431" s="244">
        <f>M431*N431</f>
        <v/>
      </c>
      <c r="P431" s="332" t="n"/>
      <c r="Q431" s="265" t="n"/>
      <c r="R431" s="332" t="n"/>
      <c r="S431" s="244">
        <f>Q431*R431</f>
        <v/>
      </c>
    </row>
    <row r="432" ht="22.2" customHeight="1" s="330">
      <c r="A432" s="4" t="n"/>
      <c r="B432" s="248" t="n"/>
      <c r="C432" s="249" t="n"/>
      <c r="D432" s="249" t="n"/>
      <c r="E432" s="252" t="n"/>
      <c r="G432" s="308">
        <f>G386</f>
        <v/>
      </c>
      <c r="H432" s="325" t="inlineStr">
        <is>
          <t>20101-2105</t>
        </is>
      </c>
      <c r="I432" s="325" t="inlineStr">
        <is>
          <t>ปวช.3/9 ชย. (ทวิ)</t>
        </is>
      </c>
      <c r="J432" s="252" t="inlineStr">
        <is>
          <t>13.10-17.10</t>
        </is>
      </c>
      <c r="K432" s="331" t="n"/>
      <c r="L432" s="252" t="n"/>
      <c r="M432" s="252" t="n"/>
      <c r="N432" s="252" t="n"/>
      <c r="O432" s="244">
        <f>M432*N432</f>
        <v/>
      </c>
      <c r="P432" s="252" t="n"/>
      <c r="Q432" s="252" t="n"/>
      <c r="R432" s="252" t="n"/>
      <c r="S432" s="244">
        <f>Q432*R432</f>
        <v/>
      </c>
    </row>
    <row r="433" ht="22.2" customHeight="1" s="330">
      <c r="A433" s="4" t="n"/>
      <c r="B433" s="5" t="n"/>
      <c r="D433" s="3" t="n"/>
      <c r="E433" s="3" t="n"/>
      <c r="G433" s="252" t="n"/>
      <c r="H433" s="252" t="n"/>
      <c r="I433" s="252" t="n"/>
      <c r="J433" s="252" t="n"/>
      <c r="K433" s="331" t="n"/>
      <c r="L433" s="252" t="n"/>
      <c r="M433" s="252" t="n"/>
      <c r="N433" s="252" t="n"/>
      <c r="O433" s="244">
        <f>M433*N433</f>
        <v/>
      </c>
      <c r="P433" s="252" t="n"/>
      <c r="Q433" s="252" t="n"/>
      <c r="R433" s="252" t="n"/>
      <c r="S433" s="244">
        <f>Q433*R433</f>
        <v/>
      </c>
    </row>
    <row r="434" ht="22.2" customHeight="1" s="330">
      <c r="A434" s="4" t="n"/>
      <c r="E434" s="4" t="n"/>
      <c r="G434" s="248" t="n"/>
      <c r="H434" s="248" t="n"/>
      <c r="I434" s="252" t="n"/>
      <c r="J434" s="252" t="n"/>
      <c r="K434" s="331" t="n"/>
      <c r="L434" s="252" t="n"/>
      <c r="M434" s="252" t="n"/>
      <c r="N434" s="252" t="n"/>
      <c r="O434" s="244">
        <f>M434*N434</f>
        <v/>
      </c>
      <c r="P434" s="252" t="n"/>
      <c r="Q434" s="252" t="n"/>
      <c r="R434" s="252" t="n"/>
      <c r="S434" s="244">
        <f>Q434*R434</f>
        <v/>
      </c>
    </row>
    <row r="435" ht="22.2" customHeight="1" s="330">
      <c r="A435" s="4" t="n"/>
      <c r="E435" s="4" t="n"/>
      <c r="G435" s="277" t="n"/>
      <c r="H435" s="277" t="n"/>
      <c r="I435" s="276" t="n"/>
      <c r="J435" s="276" t="n"/>
      <c r="K435" s="476" t="n"/>
      <c r="L435" s="276" t="n"/>
      <c r="M435" s="276" t="n"/>
      <c r="N435" s="276" t="n"/>
      <c r="O435" s="244">
        <f>M435*N435</f>
        <v/>
      </c>
      <c r="P435" s="276" t="n"/>
      <c r="Q435" s="276" t="n"/>
      <c r="R435" s="276" t="n"/>
      <c r="S435" s="244">
        <f>Q435*R435</f>
        <v/>
      </c>
    </row>
    <row r="436" ht="22.2" customHeight="1" s="330">
      <c r="A436" s="4" t="n"/>
      <c r="E436" s="4" t="n"/>
      <c r="G436" s="62" t="inlineStr">
        <is>
          <t>พฤหัส</t>
        </is>
      </c>
      <c r="H436" s="325" t="inlineStr">
        <is>
          <t>20101-5103</t>
        </is>
      </c>
      <c r="I436" s="325" t="inlineStr">
        <is>
          <t>ปวช.2/9 ชย. (ทวิ)</t>
        </is>
      </c>
      <c r="J436" s="332" t="inlineStr">
        <is>
          <t>08.10-12.10</t>
        </is>
      </c>
      <c r="K436" s="335" t="n"/>
      <c r="L436" s="265" t="n"/>
      <c r="M436" s="332" t="n"/>
      <c r="N436" s="325" t="n"/>
      <c r="O436" s="244">
        <f>M436*N436</f>
        <v/>
      </c>
      <c r="P436" s="209" t="n"/>
      <c r="Q436" s="209" t="n"/>
      <c r="R436" s="209" t="n"/>
      <c r="S436" s="244">
        <f>Q436*R436</f>
        <v/>
      </c>
      <c r="T436" s="7" t="n"/>
      <c r="U436" s="23" t="inlineStr">
        <is>
          <t>เบิก ธุรการ</t>
        </is>
      </c>
      <c r="V436" s="66" t="n"/>
      <c r="W436" s="22" t="n"/>
      <c r="X436" s="22" t="n"/>
    </row>
    <row r="437" ht="22.2" customHeight="1" s="330">
      <c r="A437" s="4" t="n"/>
      <c r="E437" s="4" t="n"/>
      <c r="G437" s="308">
        <f>G391</f>
        <v/>
      </c>
      <c r="H437" s="325" t="inlineStr">
        <is>
          <t>20101-5103</t>
        </is>
      </c>
      <c r="I437" s="325" t="inlineStr">
        <is>
          <t>ปวช.2/9 ชย. (ทวิ)</t>
        </is>
      </c>
      <c r="J437" s="252" t="inlineStr">
        <is>
          <t>15.10-18.10</t>
        </is>
      </c>
      <c r="K437" s="331" t="n"/>
      <c r="L437" s="252" t="n"/>
      <c r="M437" s="252" t="n"/>
      <c r="N437" s="252" t="n"/>
      <c r="O437" s="244">
        <f>M437*N437</f>
        <v/>
      </c>
      <c r="P437" s="4" t="n"/>
      <c r="Q437" s="4" t="n"/>
      <c r="R437" s="4" t="n"/>
      <c r="S437" s="244">
        <f>Q437*R437</f>
        <v/>
      </c>
      <c r="T437" s="22" t="inlineStr">
        <is>
          <t> </t>
        </is>
      </c>
      <c r="U437" s="23" t="inlineStr">
        <is>
          <t>16.10-19.10</t>
        </is>
      </c>
      <c r="V437" s="66" t="n"/>
      <c r="W437" s="22" t="n"/>
      <c r="X437" s="22" t="n"/>
    </row>
    <row r="438" ht="22.2" customHeight="1" s="330">
      <c r="A438" s="4" t="n"/>
      <c r="B438" s="5" t="n"/>
      <c r="E438" s="4" t="n"/>
      <c r="G438" s="252" t="n"/>
      <c r="H438" s="325" t="n"/>
      <c r="I438" s="325" t="n"/>
      <c r="J438" s="252" t="n"/>
      <c r="K438" s="331" t="n"/>
      <c r="L438" s="252" t="n"/>
      <c r="M438" s="252" t="n"/>
      <c r="N438" s="252" t="n"/>
      <c r="O438" s="244">
        <f>M438*N438</f>
        <v/>
      </c>
      <c r="P438" s="325" t="n"/>
      <c r="Q438" s="325" t="n"/>
      <c r="R438" s="325" t="n"/>
      <c r="S438" s="244">
        <f>Q438*R438</f>
        <v/>
      </c>
    </row>
    <row r="439" ht="22.2" customHeight="1" s="330">
      <c r="A439" s="4" t="n"/>
      <c r="E439" s="4" t="n"/>
      <c r="G439" s="252" t="n"/>
      <c r="H439" s="252" t="n"/>
      <c r="I439" s="252" t="n"/>
      <c r="J439" s="252" t="n"/>
      <c r="K439" s="331" t="n"/>
      <c r="L439" s="252" t="n"/>
      <c r="M439" s="252" t="n"/>
      <c r="N439" s="252" t="n"/>
      <c r="O439" s="244">
        <f>M439*N439</f>
        <v/>
      </c>
      <c r="P439" s="252" t="n"/>
      <c r="Q439" s="252" t="n"/>
      <c r="R439" s="252" t="n"/>
      <c r="S439" s="244">
        <f>Q439*R439</f>
        <v/>
      </c>
    </row>
    <row r="440" ht="22.2" customHeight="1" s="330">
      <c r="A440" s="4" t="n"/>
      <c r="E440" s="4" t="n"/>
      <c r="G440" s="276" t="n"/>
      <c r="H440" s="301" t="n"/>
      <c r="I440" s="276" t="n"/>
      <c r="J440" s="276" t="n"/>
      <c r="K440" s="476" t="n"/>
      <c r="L440" s="276" t="n"/>
      <c r="M440" s="276" t="n"/>
      <c r="N440" s="276" t="n"/>
      <c r="O440" s="244">
        <f>M440*N440</f>
        <v/>
      </c>
      <c r="P440" s="276" t="n"/>
      <c r="Q440" s="276" t="n"/>
      <c r="R440" s="276" t="n"/>
      <c r="S440" s="244">
        <f>Q440*R440</f>
        <v/>
      </c>
    </row>
    <row r="441" ht="22.2" customHeight="1" s="330">
      <c r="A441" s="4" t="n"/>
      <c r="E441" s="4" t="n"/>
      <c r="G441" s="62" t="inlineStr">
        <is>
          <t>ศุกร์</t>
        </is>
      </c>
      <c r="H441" s="325" t="n"/>
      <c r="I441" s="325" t="n"/>
      <c r="J441" s="325" t="n"/>
      <c r="K441" s="331" t="n"/>
      <c r="L441" s="252" t="n"/>
      <c r="M441" s="332" t="n"/>
      <c r="N441" s="332" t="n"/>
      <c r="O441" s="244">
        <f>M441*N441</f>
        <v/>
      </c>
      <c r="P441" s="332" t="n"/>
      <c r="Q441" s="265" t="n"/>
      <c r="R441" s="332" t="n"/>
      <c r="S441" s="244">
        <f>Q441*R441</f>
        <v/>
      </c>
    </row>
    <row r="442" ht="22.2" customHeight="1" s="330">
      <c r="A442" s="4" t="n"/>
      <c r="E442" s="4" t="n"/>
      <c r="G442" s="308">
        <f>G396</f>
        <v/>
      </c>
      <c r="H442" s="325" t="n"/>
      <c r="I442" s="325" t="n"/>
      <c r="J442" s="325" t="n"/>
      <c r="K442" s="331" t="n"/>
      <c r="L442" s="252" t="n"/>
      <c r="M442" s="252" t="n"/>
      <c r="N442" s="252" t="n"/>
      <c r="O442" s="244">
        <f>M442*N442</f>
        <v/>
      </c>
      <c r="P442" s="252" t="n"/>
      <c r="Q442" s="252" t="n"/>
      <c r="R442" s="252" t="n"/>
      <c r="S442" s="244">
        <f>Q442*R442</f>
        <v/>
      </c>
    </row>
    <row r="443" ht="22.2" customHeight="1" s="330">
      <c r="A443" s="4" t="n"/>
      <c r="E443" s="4" t="n"/>
      <c r="G443" s="252" t="n"/>
      <c r="H443" s="252" t="n"/>
      <c r="I443" s="252" t="n"/>
      <c r="J443" s="252" t="n"/>
      <c r="K443" s="331" t="n"/>
      <c r="L443" s="252" t="n"/>
      <c r="M443" s="252" t="n"/>
      <c r="N443" s="252" t="n"/>
      <c r="O443" s="244">
        <f>M443*N443</f>
        <v/>
      </c>
      <c r="P443" s="252" t="n"/>
      <c r="Q443" s="252" t="n"/>
      <c r="R443" s="252" t="n"/>
      <c r="S443" s="244">
        <f>Q443*R443</f>
        <v/>
      </c>
    </row>
    <row r="444" ht="22.2" customHeight="1" s="330">
      <c r="A444" s="4" t="n"/>
      <c r="E444" s="4" t="n"/>
      <c r="G444" s="252" t="n"/>
      <c r="H444" s="249" t="inlineStr">
        <is>
          <t> </t>
        </is>
      </c>
      <c r="I444" s="252" t="n"/>
      <c r="J444" s="252" t="n"/>
      <c r="K444" s="331" t="n"/>
      <c r="L444" s="252" t="n"/>
      <c r="M444" s="252" t="n"/>
      <c r="N444" s="252" t="n"/>
      <c r="O444" s="244">
        <f>M444*N444</f>
        <v/>
      </c>
      <c r="P444" s="252" t="n"/>
      <c r="Q444" s="252" t="n"/>
      <c r="R444" s="252" t="n"/>
      <c r="S444" s="244">
        <f>Q444*R444</f>
        <v/>
      </c>
    </row>
    <row r="445" ht="22.2" customHeight="1" s="330">
      <c r="A445" s="4" t="n"/>
      <c r="E445" s="4" t="n"/>
      <c r="F445" s="4" t="n"/>
      <c r="G445" s="278" t="n"/>
      <c r="H445" s="301" t="n"/>
      <c r="I445" s="276" t="n"/>
      <c r="J445" s="276" t="n"/>
      <c r="K445" s="476" t="n"/>
      <c r="L445" s="276" t="n"/>
      <c r="M445" s="276" t="n"/>
      <c r="N445" s="276" t="n"/>
      <c r="O445" s="244">
        <f>M445*N445</f>
        <v/>
      </c>
      <c r="P445" s="276" t="n"/>
      <c r="Q445" s="276" t="n"/>
      <c r="R445" s="276" t="n"/>
      <c r="S445" s="244">
        <f>Q445*R445</f>
        <v/>
      </c>
    </row>
    <row r="446" ht="22.2" customHeight="1" s="330">
      <c r="A446" s="4" t="n"/>
      <c r="E446" s="4" t="n"/>
      <c r="F446" s="4" t="n"/>
      <c r="G446" s="17" t="inlineStr">
        <is>
          <t>รวมขั่วโมงที่สอนแยก ภาระงาน/ เกินภาระงาน</t>
        </is>
      </c>
      <c r="H446" s="467" t="n"/>
      <c r="I446" s="467" t="n"/>
      <c r="J446" s="467" t="n"/>
      <c r="K446" s="362" t="n"/>
      <c r="L446" s="17">
        <f>SUM(L421:L445)</f>
        <v/>
      </c>
      <c r="M446" s="17">
        <f>SUM(M421:M445)</f>
        <v/>
      </c>
      <c r="N446" s="17" t="n"/>
      <c r="O446" s="17" t="n"/>
      <c r="P446" s="17">
        <f>SUM(P421:P445)</f>
        <v/>
      </c>
      <c r="Q446" s="17">
        <f>SUM(Q421:Q445)</f>
        <v/>
      </c>
      <c r="R446" s="279" t="n"/>
      <c r="S446" s="17" t="n"/>
      <c r="T446" s="25" t="n"/>
      <c r="U446" s="26" t="inlineStr">
        <is>
          <t xml:space="preserve">     PLC</t>
        </is>
      </c>
      <c r="V446" s="64" t="n"/>
      <c r="W446" s="27" t="n"/>
      <c r="X446" s="27" t="n"/>
    </row>
    <row r="447" ht="22.2" customHeight="1" s="330">
      <c r="A447" s="4" t="n"/>
      <c r="E447" s="4" t="n"/>
      <c r="F447" s="4" t="n"/>
      <c r="G447" s="17" t="inlineStr">
        <is>
          <t>รวมจำนวนชั่วโมงสอนคาบต่อสับดาห์</t>
        </is>
      </c>
      <c r="H447" s="467" t="n"/>
      <c r="I447" s="467" t="n"/>
      <c r="J447" s="467" t="n"/>
      <c r="K447" s="362" t="n"/>
      <c r="L447" s="17">
        <f>L446+M446</f>
        <v/>
      </c>
      <c r="M447" s="362" t="n"/>
      <c r="N447" s="298" t="n"/>
      <c r="O447" s="17" t="n"/>
      <c r="P447" s="17">
        <f>P446+Q446</f>
        <v/>
      </c>
      <c r="Q447" s="362" t="n"/>
      <c r="R447" s="278" t="n"/>
      <c r="S447" s="276" t="n"/>
      <c r="T447" s="27" t="inlineStr">
        <is>
          <t> </t>
        </is>
      </c>
      <c r="U447" s="26" t="inlineStr">
        <is>
          <t>17.10-19.10</t>
        </is>
      </c>
      <c r="V447" s="64" t="n"/>
      <c r="W447" s="27" t="n"/>
      <c r="X447" s="27" t="n"/>
    </row>
    <row r="448" ht="22.2" customHeight="1" s="330">
      <c r="A448" s="4" t="n"/>
      <c r="E448" s="4" t="n"/>
      <c r="F448" s="4" t="n"/>
      <c r="G448" s="17" t="inlineStr">
        <is>
          <t>จำนวนชั่วโมงสอนตามภาระงานสอน</t>
        </is>
      </c>
      <c r="H448" s="467" t="n"/>
      <c r="I448" s="467" t="n"/>
      <c r="J448" s="467" t="n"/>
      <c r="K448" s="362" t="n"/>
      <c r="L448" s="485" t="inlineStr">
        <is>
          <t>12</t>
        </is>
      </c>
      <c r="M448" s="362" t="n"/>
      <c r="N448" s="151" t="n"/>
      <c r="O448" s="154" t="n"/>
      <c r="P448" s="153" t="inlineStr">
        <is>
          <t>0</t>
        </is>
      </c>
      <c r="Q448" s="362" t="n"/>
      <c r="R448" s="249" t="n"/>
      <c r="S448" s="252" t="n"/>
    </row>
    <row r="449" ht="22.2" customHeight="1" s="330" thickBot="1">
      <c r="A449" s="4" t="n"/>
      <c r="E449" s="4" t="n"/>
      <c r="F449" s="15" t="n"/>
      <c r="G449" s="17" t="inlineStr">
        <is>
          <t>จำนวนชั่วโมงบิกเกินภาระงานสอน/ค่าสอน</t>
        </is>
      </c>
      <c r="H449" s="467" t="n"/>
      <c r="I449" s="467" t="n"/>
      <c r="J449" s="467" t="n"/>
      <c r="K449" s="362" t="n"/>
      <c r="L449" s="18" t="n">
        <v>0</v>
      </c>
      <c r="M449" s="18">
        <f>SUM(M421:M445)</f>
        <v/>
      </c>
      <c r="N449" s="18" t="n"/>
      <c r="O449" s="18">
        <f>SUM(O421:O445)</f>
        <v/>
      </c>
      <c r="P449" s="18" t="n">
        <v>0</v>
      </c>
      <c r="Q449" s="18">
        <f>SUM(Q421:Q445)</f>
        <v/>
      </c>
      <c r="R449" s="19" t="n"/>
      <c r="S449" s="18">
        <f>SUM(S421:S445)</f>
        <v/>
      </c>
    </row>
    <row r="450" ht="22.2" customHeight="1" s="330" thickTop="1">
      <c r="A450" s="299" t="inlineStr">
        <is>
          <t>รวมจำนวนหน่วยชั่วโมงที่ขอเบิกค่าสอน ….</t>
        </is>
      </c>
      <c r="B450" s="467" t="n"/>
      <c r="C450" s="467" t="n"/>
      <c r="D450" s="467" t="n"/>
      <c r="E450" s="467" t="n"/>
      <c r="F450" s="467" t="n"/>
      <c r="G450" s="467" t="n"/>
      <c r="H450" s="298">
        <f>M449+Q449</f>
        <v/>
      </c>
      <c r="I450" s="298" t="inlineStr">
        <is>
          <t>….ชั่วโมง</t>
        </is>
      </c>
      <c r="J450" s="298" t="n"/>
      <c r="K450" s="301" t="inlineStr">
        <is>
          <t>ยอดเงินรวม</t>
        </is>
      </c>
      <c r="L450" s="471" t="n"/>
      <c r="M450" s="471" t="n"/>
      <c r="N450" s="301" t="n"/>
      <c r="O450" s="301" t="n"/>
      <c r="P450" s="302">
        <f>S449+O449</f>
        <v/>
      </c>
      <c r="Q450" s="482" t="n"/>
      <c r="R450" s="21" t="n"/>
      <c r="S450" s="20" t="inlineStr">
        <is>
          <t>..บาท</t>
        </is>
      </c>
    </row>
    <row r="451" ht="22.2" customHeight="1" s="330">
      <c r="A451" s="207" t="inlineStr">
        <is>
          <t>ผู้ขอเบิก</t>
        </is>
      </c>
      <c r="B451" s="334" t="n"/>
      <c r="C451" s="334" t="n"/>
      <c r="D451" s="334" t="n"/>
      <c r="E451" s="334" t="n"/>
      <c r="F451" s="334" t="n"/>
      <c r="G451" s="335" t="n"/>
      <c r="H451" s="207" t="inlineStr">
        <is>
          <t>ผู้รับรอง</t>
        </is>
      </c>
      <c r="I451" s="334" t="n"/>
      <c r="J451" s="334" t="n"/>
      <c r="K451" s="334" t="n"/>
      <c r="L451" s="335" t="n"/>
      <c r="M451" s="207" t="inlineStr">
        <is>
          <t>ผู้ตรวจ</t>
        </is>
      </c>
      <c r="N451" s="334" t="n"/>
      <c r="O451" s="334" t="n"/>
      <c r="P451" s="334" t="n"/>
      <c r="Q451" s="334" t="n"/>
      <c r="R451" s="334" t="n"/>
      <c r="S451" s="335" t="n"/>
    </row>
    <row r="452" ht="22.2" customHeight="1" s="330">
      <c r="A452" s="252" t="inlineStr">
        <is>
          <t>ลงชื่อ……………………………………………</t>
        </is>
      </c>
      <c r="G452" s="331" t="n"/>
      <c r="H452" s="252" t="inlineStr">
        <is>
          <t>ลงชื่อ……………………………………………</t>
        </is>
      </c>
      <c r="L452" s="331" t="n"/>
      <c r="M452" s="252" t="inlineStr">
        <is>
          <t>ลงชื่อ……………………………………………</t>
        </is>
      </c>
      <c r="S452" s="331" t="n"/>
    </row>
    <row r="453" ht="22.2" customHeight="1" s="330">
      <c r="A453" s="12" t="inlineStr">
        <is>
          <t>(</t>
        </is>
      </c>
      <c r="B453" s="309">
        <f>B421</f>
        <v/>
      </c>
      <c r="G453" s="310" t="inlineStr">
        <is>
          <t>)</t>
        </is>
      </c>
      <c r="H453" s="309" t="inlineStr">
        <is>
          <t>(</t>
        </is>
      </c>
      <c r="I453" s="314">
        <f>I407</f>
        <v/>
      </c>
      <c r="L453" s="13" t="inlineStr">
        <is>
          <t>)</t>
        </is>
      </c>
      <c r="M453" s="61" t="inlineStr">
        <is>
          <t>(</t>
        </is>
      </c>
      <c r="N453" s="61" t="n"/>
      <c r="O453" s="309" t="inlineStr">
        <is>
          <t>นายพิสุทธิศักดิ์  กล่อมนาค</t>
        </is>
      </c>
      <c r="R453" s="29" t="n"/>
      <c r="S453" s="310" t="inlineStr">
        <is>
          <t>)</t>
        </is>
      </c>
    </row>
    <row r="454" ht="22.2" customHeight="1" s="330">
      <c r="A454" s="483" t="inlineStr">
        <is>
          <t xml:space="preserve">                 ตำแหน่ง  ครู </t>
        </is>
      </c>
      <c r="G454" s="331" t="n"/>
      <c r="H454" s="62" t="inlineStr">
        <is>
          <t>ตำแหน่ง หัวหน้าแผนก</t>
        </is>
      </c>
      <c r="L454" s="331" t="n"/>
      <c r="M454" s="62" t="inlineStr">
        <is>
          <t>ตำแหน่ง   ผู้ตรวจสอบ</t>
        </is>
      </c>
      <c r="S454" s="331" t="n"/>
    </row>
    <row r="455" ht="22.2" customHeight="1" s="330">
      <c r="A455" s="63">
        <f>A41</f>
        <v/>
      </c>
      <c r="B455" s="471" t="n"/>
      <c r="C455" s="471" t="n"/>
      <c r="D455" s="471" t="n"/>
      <c r="E455" s="471" t="n"/>
      <c r="F455" s="471" t="n"/>
      <c r="G455" s="476" t="n"/>
      <c r="H455" s="62">
        <f>A41</f>
        <v/>
      </c>
      <c r="L455" s="331" t="n"/>
      <c r="M455" s="63">
        <f>A41</f>
        <v/>
      </c>
      <c r="N455" s="471" t="n"/>
      <c r="O455" s="471" t="n"/>
      <c r="P455" s="471" t="n"/>
      <c r="Q455" s="471" t="n"/>
      <c r="R455" s="471" t="n"/>
      <c r="S455" s="476" t="n"/>
    </row>
    <row r="456" ht="22.2" customHeight="1" s="330">
      <c r="A456" s="207" t="inlineStr">
        <is>
          <t>ผู้ตรวจ</t>
        </is>
      </c>
      <c r="B456" s="334" t="n"/>
      <c r="C456" s="334" t="n"/>
      <c r="D456" s="334" t="n"/>
      <c r="E456" s="334" t="n"/>
      <c r="F456" s="334" t="n"/>
      <c r="G456" s="334" t="n"/>
      <c r="H456" s="334" t="n"/>
      <c r="I456" s="335" t="n"/>
      <c r="J456" s="207" t="inlineStr">
        <is>
          <t>ผู้เห็นชอบ</t>
        </is>
      </c>
      <c r="K456" s="334" t="n"/>
      <c r="L456" s="334" t="n"/>
      <c r="M456" s="334" t="n"/>
      <c r="N456" s="334" t="n"/>
      <c r="O456" s="334" t="n"/>
      <c r="P456" s="334" t="n"/>
      <c r="Q456" s="334" t="n"/>
      <c r="R456" s="334" t="n"/>
      <c r="S456" s="335" t="n"/>
    </row>
    <row r="457" ht="22.2" customHeight="1" s="330">
      <c r="A457" s="252" t="inlineStr">
        <is>
          <t>ลงชื่อ……………………………………………</t>
        </is>
      </c>
      <c r="I457" s="331" t="n"/>
      <c r="J457" s="252" t="inlineStr">
        <is>
          <t>ลงชื่อ……………………………………………</t>
        </is>
      </c>
      <c r="S457" s="331" t="n"/>
    </row>
    <row r="458" ht="22.2" customHeight="1" s="330">
      <c r="A458" s="12" t="n"/>
      <c r="B458" s="309" t="inlineStr">
        <is>
          <t xml:space="preserve">          (นางศิวรักษ์   บุญประเสริฐ)</t>
        </is>
      </c>
      <c r="I458" s="310" t="n"/>
      <c r="J458" s="29" t="n"/>
      <c r="K458" s="29" t="n"/>
      <c r="L458" s="309" t="inlineStr">
        <is>
          <t>(นายปรีชา  โพธิ์เกิด)</t>
        </is>
      </c>
      <c r="R458" s="29" t="n"/>
      <c r="S458" s="13" t="n"/>
    </row>
    <row r="459" ht="22.2" customHeight="1" s="330">
      <c r="A459" s="62" t="inlineStr">
        <is>
          <t>ตำแหน่งครู  หัวหน้างานพัฒนาหลักสูตร ฯ</t>
        </is>
      </c>
      <c r="I459" s="331" t="n"/>
      <c r="J459" s="62" t="inlineStr">
        <is>
          <t>ตำแหน่ง  รองผู้อำนวยการฝ่ายวิชาการ</t>
        </is>
      </c>
      <c r="S459" s="331" t="n"/>
    </row>
    <row r="460" ht="22.2" customHeight="1" s="330">
      <c r="A460" s="63">
        <f>A41</f>
        <v/>
      </c>
      <c r="B460" s="471" t="n"/>
      <c r="C460" s="471" t="n"/>
      <c r="D460" s="471" t="n"/>
      <c r="E460" s="471" t="n"/>
      <c r="F460" s="471" t="n"/>
      <c r="G460" s="471" t="n"/>
      <c r="H460" s="471" t="n"/>
      <c r="I460" s="476" t="n"/>
      <c r="J460" s="63">
        <f>A41</f>
        <v/>
      </c>
      <c r="K460" s="471" t="n"/>
      <c r="L460" s="471" t="n"/>
      <c r="M460" s="471" t="n"/>
      <c r="N460" s="471" t="n"/>
      <c r="O460" s="471" t="n"/>
      <c r="P460" s="471" t="n"/>
      <c r="Q460" s="471" t="n"/>
      <c r="R460" s="471" t="n"/>
      <c r="S460" s="476" t="n"/>
    </row>
    <row r="461" ht="22.2" customHeight="1" s="330">
      <c r="A46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462" ht="22.2" customHeight="1" s="330">
      <c r="A462" s="254">
        <f>A2</f>
        <v/>
      </c>
    </row>
    <row r="463" ht="22.2" customHeight="1" s="330">
      <c r="A463" s="253" t="inlineStr">
        <is>
          <t xml:space="preserve">    ระหว่างวันที่</t>
        </is>
      </c>
      <c r="D463" s="254">
        <f>D3</f>
        <v/>
      </c>
      <c r="E463" s="254" t="inlineStr">
        <is>
          <t xml:space="preserve">   เดือน  </t>
        </is>
      </c>
      <c r="F463" s="254">
        <f>F3</f>
        <v/>
      </c>
      <c r="H463" s="254">
        <f>H3</f>
        <v/>
      </c>
      <c r="I463" s="254" t="inlineStr">
        <is>
          <t xml:space="preserve">     ถึง วันที่</t>
        </is>
      </c>
      <c r="J463" s="254">
        <f>J3</f>
        <v/>
      </c>
      <c r="K463" s="254" t="inlineStr">
        <is>
          <t xml:space="preserve">   เดือน </t>
        </is>
      </c>
      <c r="L463" s="254">
        <f>L3</f>
        <v/>
      </c>
      <c r="N463" s="254">
        <f>N3</f>
        <v/>
      </c>
      <c r="P463" s="254" t="n"/>
      <c r="R463" s="254" t="n"/>
    </row>
    <row r="464" ht="22.2" customHeight="1" s="330">
      <c r="G464" s="58" t="inlineStr">
        <is>
          <t>ü</t>
        </is>
      </c>
      <c r="H464" s="290" t="inlineStr">
        <is>
          <t>ครู</t>
        </is>
      </c>
      <c r="I464" s="249" t="inlineStr">
        <is>
          <t>หน้าที่พิเศษ</t>
        </is>
      </c>
    </row>
    <row r="465" ht="22.2" customHeight="1" s="330">
      <c r="A465" s="28" t="inlineStr">
        <is>
          <t>ที่</t>
        </is>
      </c>
      <c r="B465" s="28" t="inlineStr">
        <is>
          <t>ชื่อ-สกุล</t>
        </is>
      </c>
      <c r="C465" s="334" t="n"/>
      <c r="D465" s="335" t="n"/>
      <c r="E465" s="16" t="inlineStr">
        <is>
          <t>ตำแหน่ง</t>
        </is>
      </c>
      <c r="F465" s="17" t="inlineStr">
        <is>
          <t>ระยะเวลาที่สอน</t>
        </is>
      </c>
      <c r="G465" s="362" t="n"/>
      <c r="H465" s="17" t="inlineStr">
        <is>
          <t>รหัสวิชา</t>
        </is>
      </c>
      <c r="I465" s="275" t="inlineStr">
        <is>
          <t>ชั้น,แผนก,ห้อง</t>
        </is>
      </c>
      <c r="J465" s="17" t="inlineStr">
        <is>
          <t>เวลาสอน</t>
        </is>
      </c>
      <c r="K465" s="335" t="n"/>
      <c r="L465" s="17" t="inlineStr">
        <is>
          <t>ปวช.(คาบ)</t>
        </is>
      </c>
      <c r="M465" s="362" t="n"/>
      <c r="N465" s="244" t="inlineStr">
        <is>
          <t>เงิน</t>
        </is>
      </c>
      <c r="O465" s="275" t="inlineStr">
        <is>
          <t>ยอดเงิน</t>
        </is>
      </c>
      <c r="P465" s="473" t="inlineStr">
        <is>
          <t>ปวส.(คาบ)</t>
        </is>
      </c>
      <c r="Q465" s="362" t="n"/>
      <c r="R465" s="244" t="inlineStr">
        <is>
          <t>เงิน</t>
        </is>
      </c>
      <c r="S465" s="275" t="inlineStr">
        <is>
          <t>ยอดเงิน</t>
        </is>
      </c>
    </row>
    <row r="466" ht="22.2" customHeight="1" s="330">
      <c r="A466" s="60" t="n"/>
      <c r="B466" s="9" t="n"/>
      <c r="C466" s="10" t="n"/>
      <c r="D466" s="14" t="n"/>
      <c r="E466" s="11" t="n"/>
      <c r="F466" s="276" t="inlineStr">
        <is>
          <t>ส.</t>
        </is>
      </c>
      <c r="G466" s="276" t="inlineStr">
        <is>
          <t>วดป.</t>
        </is>
      </c>
      <c r="H466" s="474" t="n"/>
      <c r="I466" s="276" t="n"/>
      <c r="J466" s="475" t="n"/>
      <c r="K466" s="476" t="n"/>
      <c r="L466" s="276" t="inlineStr">
        <is>
          <t>ใน</t>
        </is>
      </c>
      <c r="M466" s="276" t="inlineStr">
        <is>
          <t>นอก</t>
        </is>
      </c>
      <c r="N466" s="276" t="inlineStr">
        <is>
          <t>ต่อ ชม.</t>
        </is>
      </c>
      <c r="O466" s="276" t="inlineStr">
        <is>
          <t>(บาท)</t>
        </is>
      </c>
      <c r="P466" s="60" t="inlineStr">
        <is>
          <t>ใน</t>
        </is>
      </c>
      <c r="Q466" s="60" t="inlineStr">
        <is>
          <t>นอก</t>
        </is>
      </c>
      <c r="R466" s="276" t="inlineStr">
        <is>
          <t>ต่อ ชม.</t>
        </is>
      </c>
      <c r="S466" s="276" t="inlineStr">
        <is>
          <t>(บาท)</t>
        </is>
      </c>
    </row>
    <row r="467" ht="22.2" customHeight="1" s="330">
      <c r="A467" s="275" t="n">
        <v>11</v>
      </c>
      <c r="B467" s="477">
        <f>AB13</f>
        <v/>
      </c>
      <c r="C467" s="334" t="n"/>
      <c r="D467" s="335" t="n"/>
      <c r="E467" s="275" t="inlineStr">
        <is>
          <t>ครู</t>
        </is>
      </c>
      <c r="F467" s="6">
        <f>F7</f>
        <v/>
      </c>
      <c r="G467" s="303" t="inlineStr">
        <is>
          <t>จันทร์</t>
        </is>
      </c>
      <c r="H467" s="325" t="inlineStr">
        <is>
          <t>20101-2109</t>
        </is>
      </c>
      <c r="I467" s="325" t="inlineStr">
        <is>
          <t>ปวช.3/2 ชย. (ปกติ)</t>
        </is>
      </c>
      <c r="J467" s="332" t="inlineStr">
        <is>
          <t>08.10-12.10</t>
        </is>
      </c>
      <c r="K467" s="335" t="n"/>
      <c r="L467" s="265" t="n"/>
      <c r="M467" s="332" t="n"/>
      <c r="N467" s="332" t="n"/>
      <c r="O467" s="244">
        <f>M467*N467</f>
        <v/>
      </c>
      <c r="P467" s="332" t="n"/>
      <c r="Q467" s="265" t="n"/>
      <c r="R467" s="332" t="n"/>
      <c r="S467" s="244">
        <f>Q467*R467</f>
        <v/>
      </c>
    </row>
    <row r="468" ht="22.2" customHeight="1" s="330">
      <c r="A468" s="4" t="n"/>
      <c r="B468" s="478" t="n"/>
      <c r="D468" s="331" t="n"/>
      <c r="E468" s="51" t="n"/>
      <c r="F468" s="249" t="n"/>
      <c r="G468" s="308">
        <f>G422</f>
        <v/>
      </c>
      <c r="H468" s="325" t="inlineStr">
        <is>
          <t>20101-2109</t>
        </is>
      </c>
      <c r="I468" s="325" t="inlineStr">
        <is>
          <t>ปวช.3/2 ชย. (ปกติ)</t>
        </is>
      </c>
      <c r="J468" s="252" t="inlineStr">
        <is>
          <t>13.10-16.10</t>
        </is>
      </c>
      <c r="K468" s="331" t="n"/>
      <c r="L468" s="252" t="n"/>
      <c r="M468" s="252" t="n"/>
      <c r="N468" s="252" t="n"/>
      <c r="O468" s="244">
        <f>M468*N468</f>
        <v/>
      </c>
      <c r="P468" s="252" t="n"/>
      <c r="Q468" s="252" t="n"/>
      <c r="R468" s="252" t="n"/>
      <c r="S468" s="244">
        <f>Q468*R468</f>
        <v/>
      </c>
    </row>
    <row r="469" ht="22.2" customHeight="1" s="330">
      <c r="A469" s="4" t="n"/>
      <c r="B469" s="5" t="n"/>
      <c r="D469" s="3" t="n"/>
      <c r="E469" s="3" t="n"/>
      <c r="F469" s="249" t="n"/>
      <c r="G469" s="248" t="n"/>
      <c r="H469" s="325" t="inlineStr">
        <is>
          <t>20101-8501</t>
        </is>
      </c>
      <c r="I469" s="325" t="inlineStr">
        <is>
          <t>ปวช.3/1,2 ชย. (ปกติ)</t>
        </is>
      </c>
      <c r="J469" s="252" t="inlineStr">
        <is>
          <t>16.10-18.10</t>
        </is>
      </c>
      <c r="K469" s="331" t="n"/>
      <c r="L469" s="252" t="n"/>
      <c r="M469" s="252" t="n"/>
      <c r="N469" s="252" t="n"/>
      <c r="O469" s="244">
        <f>M469*N469</f>
        <v/>
      </c>
      <c r="P469" s="252" t="n"/>
      <c r="Q469" s="252" t="n"/>
      <c r="R469" s="252" t="n"/>
      <c r="S469" s="244">
        <f>Q469*R469</f>
        <v/>
      </c>
    </row>
    <row r="470" ht="22.2" customHeight="1" s="330">
      <c r="A470" s="4" t="n"/>
      <c r="B470" s="5" t="n"/>
      <c r="E470" s="4" t="n"/>
      <c r="F470" s="249" t="n"/>
      <c r="G470" s="248" t="n"/>
      <c r="H470" s="252" t="n"/>
      <c r="I470" s="252" t="n"/>
      <c r="J470" s="252" t="n"/>
      <c r="K470" s="331" t="n"/>
      <c r="L470" s="252" t="n"/>
      <c r="M470" s="252" t="n"/>
      <c r="N470" s="252" t="n"/>
      <c r="O470" s="244">
        <f>M470*N470</f>
        <v/>
      </c>
      <c r="P470" s="252" t="n"/>
      <c r="Q470" s="252" t="n"/>
      <c r="R470" s="252" t="n"/>
      <c r="S470" s="244">
        <f>Q470*R470</f>
        <v/>
      </c>
    </row>
    <row r="471" ht="22.2" customHeight="1" s="330">
      <c r="A471" s="4" t="n"/>
      <c r="E471" s="4" t="n"/>
      <c r="G471" s="311" t="n"/>
      <c r="H471" s="276" t="n"/>
      <c r="I471" s="276" t="n"/>
      <c r="J471" s="276" t="n"/>
      <c r="K471" s="476" t="n"/>
      <c r="L471" s="252" t="n"/>
      <c r="M471" s="252" t="n"/>
      <c r="N471" s="252" t="n"/>
      <c r="O471" s="244">
        <f>M471*N471</f>
        <v/>
      </c>
      <c r="P471" s="252" t="n"/>
      <c r="Q471" s="252" t="n"/>
      <c r="R471" s="252" t="n"/>
      <c r="S471" s="244">
        <f>Q471*R471</f>
        <v/>
      </c>
    </row>
    <row r="472" ht="22.2" customHeight="1" s="330">
      <c r="A472" s="4" t="n"/>
      <c r="D472" s="331" t="n"/>
      <c r="E472" s="56" t="n"/>
      <c r="G472" s="62" t="inlineStr">
        <is>
          <t>อังคาร</t>
        </is>
      </c>
      <c r="H472" s="325" t="inlineStr">
        <is>
          <t>20101-2109</t>
        </is>
      </c>
      <c r="I472" s="325" t="inlineStr">
        <is>
          <t>ปวช.3/1 ชย. (ปกติ)</t>
        </is>
      </c>
      <c r="J472" s="332" t="inlineStr">
        <is>
          <t>08.10-12.10</t>
        </is>
      </c>
      <c r="K472" s="335" t="n"/>
      <c r="L472" s="265" t="n"/>
      <c r="M472" s="332" t="n"/>
      <c r="N472" s="332" t="n"/>
      <c r="O472" s="244">
        <f>M472*N472</f>
        <v/>
      </c>
      <c r="P472" s="332" t="n"/>
      <c r="Q472" s="265" t="n"/>
      <c r="R472" s="332" t="n"/>
      <c r="S472" s="244">
        <f>Q472*R472</f>
        <v/>
      </c>
      <c r="T472" s="7" t="n"/>
      <c r="U472" s="23" t="inlineStr">
        <is>
          <t>เบิก ธุรการ</t>
        </is>
      </c>
      <c r="V472" s="66" t="n"/>
      <c r="W472" s="22" t="n"/>
      <c r="X472" s="22" t="n"/>
    </row>
    <row r="473" ht="22.2" customHeight="1" s="330">
      <c r="A473" s="4" t="n"/>
      <c r="D473" s="3" t="n"/>
      <c r="E473" s="3" t="n"/>
      <c r="G473" s="308">
        <f>G427</f>
        <v/>
      </c>
      <c r="H473" s="325" t="inlineStr">
        <is>
          <t>20101-2109</t>
        </is>
      </c>
      <c r="I473" s="325" t="inlineStr">
        <is>
          <t>ปวช.3/1 ชย. (ปกติ)</t>
        </is>
      </c>
      <c r="J473" s="252" t="inlineStr">
        <is>
          <t>13.10-16.10</t>
        </is>
      </c>
      <c r="K473" s="331" t="n"/>
      <c r="L473" s="252" t="n"/>
      <c r="M473" s="252" t="n"/>
      <c r="N473" s="252" t="n"/>
      <c r="O473" s="244">
        <f>M473*N473</f>
        <v/>
      </c>
      <c r="P473" s="252" t="n"/>
      <c r="Q473" s="252" t="n"/>
      <c r="R473" s="252" t="n"/>
      <c r="S473" s="244">
        <f>Q473*R473</f>
        <v/>
      </c>
      <c r="T473" s="22" t="inlineStr">
        <is>
          <t> </t>
        </is>
      </c>
      <c r="U473" s="23" t="inlineStr">
        <is>
          <t>16.10-19.10</t>
        </is>
      </c>
      <c r="V473" s="66" t="n"/>
      <c r="W473" s="22" t="n"/>
      <c r="X473" s="22" t="n"/>
    </row>
    <row r="474" ht="22.2" customHeight="1" s="330">
      <c r="A474" s="4" t="n"/>
      <c r="B474" s="5" t="n"/>
      <c r="D474" s="3" t="n"/>
      <c r="E474" s="3" t="n"/>
      <c r="G474" s="252" t="n"/>
      <c r="H474" s="325" t="inlineStr">
        <is>
          <t>20101-8501</t>
        </is>
      </c>
      <c r="I474" s="325" t="inlineStr">
        <is>
          <t>ปวช.3/1,2 ชย. (ปกติ)</t>
        </is>
      </c>
      <c r="J474" s="252" t="inlineStr">
        <is>
          <t>16.10-18.10</t>
        </is>
      </c>
      <c r="K474" s="331" t="n"/>
      <c r="L474" s="252" t="n"/>
      <c r="M474" s="252" t="n"/>
      <c r="N474" s="252" t="n"/>
      <c r="O474" s="244">
        <f>M474*N474</f>
        <v/>
      </c>
      <c r="P474" s="252" t="n"/>
      <c r="Q474" s="252" t="n"/>
      <c r="R474" s="252" t="n"/>
      <c r="S474" s="244">
        <f>Q474*R474</f>
        <v/>
      </c>
    </row>
    <row r="475" ht="22.2" customHeight="1" s="330">
      <c r="A475" s="4" t="n"/>
      <c r="E475" s="4" t="n"/>
      <c r="G475" s="62" t="n"/>
      <c r="H475" s="249" t="n"/>
      <c r="I475" s="252" t="n"/>
      <c r="J475" s="252" t="n"/>
      <c r="K475" s="331" t="n"/>
      <c r="L475" s="252" t="n"/>
      <c r="M475" s="252" t="n"/>
      <c r="N475" s="252" t="n"/>
      <c r="O475" s="244">
        <f>M475*N475</f>
        <v/>
      </c>
      <c r="P475" s="252" t="n"/>
      <c r="Q475" s="252" t="n"/>
      <c r="R475" s="252" t="n"/>
      <c r="S475" s="244">
        <f>Q475*R475</f>
        <v/>
      </c>
    </row>
    <row r="476" ht="22.2" customHeight="1" s="330">
      <c r="A476" s="4" t="n"/>
      <c r="D476" s="8" t="inlineStr">
        <is>
          <t> </t>
        </is>
      </c>
      <c r="E476" s="4" t="n"/>
      <c r="G476" s="63" t="n"/>
      <c r="H476" s="276" t="n"/>
      <c r="I476" s="276" t="n"/>
      <c r="J476" s="276" t="n"/>
      <c r="K476" s="476" t="n"/>
      <c r="L476" s="252" t="n"/>
      <c r="M476" s="252" t="n"/>
      <c r="N476" s="252" t="n"/>
      <c r="O476" s="244">
        <f>M476*N476</f>
        <v/>
      </c>
      <c r="P476" s="252" t="n"/>
      <c r="Q476" s="252" t="n"/>
      <c r="R476" s="252" t="n"/>
      <c r="S476" s="244">
        <f>Q476*R476</f>
        <v/>
      </c>
    </row>
    <row r="477" ht="22.2" customHeight="1" s="330">
      <c r="A477" s="4" t="n"/>
      <c r="E477" s="4" t="n"/>
      <c r="G477" s="308" t="inlineStr">
        <is>
          <t>พุธ</t>
        </is>
      </c>
      <c r="H477" s="325" t="inlineStr">
        <is>
          <t>20101-2109</t>
        </is>
      </c>
      <c r="I477" s="325" t="inlineStr">
        <is>
          <t>ปวช.3/4 ชย. (ปกติ)</t>
        </is>
      </c>
      <c r="J477" s="332" t="inlineStr">
        <is>
          <t>08.10-12.10</t>
        </is>
      </c>
      <c r="K477" s="335" t="n"/>
      <c r="L477" s="265" t="n"/>
      <c r="M477" s="332" t="n"/>
      <c r="N477" s="332" t="n"/>
      <c r="O477" s="244">
        <f>M477*N477</f>
        <v/>
      </c>
      <c r="P477" s="332" t="n"/>
      <c r="Q477" s="265" t="n"/>
      <c r="R477" s="332" t="n"/>
      <c r="S477" s="244">
        <f>Q477*R477</f>
        <v/>
      </c>
    </row>
    <row r="478" ht="22.2" customHeight="1" s="330">
      <c r="A478" s="4" t="n"/>
      <c r="B478" s="248" t="n"/>
      <c r="C478" s="249" t="n"/>
      <c r="D478" s="249" t="n"/>
      <c r="E478" s="252" t="n"/>
      <c r="G478" s="308">
        <f>G432</f>
        <v/>
      </c>
      <c r="H478" s="325" t="inlineStr">
        <is>
          <t>20101-2109</t>
        </is>
      </c>
      <c r="I478" s="325" t="inlineStr">
        <is>
          <t>ปวช.3/4 ชย. (ปกติ)</t>
        </is>
      </c>
      <c r="J478" s="252" t="inlineStr">
        <is>
          <t>13.10-16.10</t>
        </is>
      </c>
      <c r="K478" s="331" t="n"/>
      <c r="L478" s="252" t="n"/>
      <c r="M478" s="252" t="n"/>
      <c r="N478" s="252" t="n"/>
      <c r="O478" s="244">
        <f>M478*N478</f>
        <v/>
      </c>
      <c r="P478" s="252" t="n"/>
      <c r="Q478" s="252" t="n"/>
      <c r="R478" s="252" t="n"/>
      <c r="S478" s="244">
        <f>Q478*R478</f>
        <v/>
      </c>
    </row>
    <row r="479" ht="22.2" customHeight="1" s="330">
      <c r="A479" s="4" t="n"/>
      <c r="B479" s="5" t="n"/>
      <c r="D479" s="3" t="n"/>
      <c r="E479" s="3" t="n"/>
      <c r="G479" s="252" t="n"/>
      <c r="H479" s="325" t="n"/>
      <c r="I479" s="325" t="n"/>
      <c r="J479" s="252" t="n"/>
      <c r="K479" s="331" t="n"/>
      <c r="L479" s="252" t="n"/>
      <c r="M479" s="252" t="n"/>
      <c r="N479" s="252" t="n"/>
      <c r="O479" s="244">
        <f>M479*N479</f>
        <v/>
      </c>
      <c r="P479" s="252" t="n"/>
      <c r="Q479" s="252" t="n"/>
      <c r="R479" s="252" t="n"/>
      <c r="S479" s="244">
        <f>Q479*R479</f>
        <v/>
      </c>
    </row>
    <row r="480" ht="22.2" customHeight="1" s="330">
      <c r="A480" s="4" t="n"/>
      <c r="E480" s="4" t="n"/>
      <c r="G480" s="248" t="n"/>
      <c r="H480" s="252" t="n"/>
      <c r="I480" s="252" t="n"/>
      <c r="J480" s="252" t="n"/>
      <c r="K480" s="331" t="n"/>
      <c r="L480" s="252" t="n"/>
      <c r="M480" s="252" t="n"/>
      <c r="N480" s="252" t="n"/>
      <c r="O480" s="244">
        <f>M480*N480</f>
        <v/>
      </c>
      <c r="P480" s="252" t="n"/>
      <c r="Q480" s="252" t="n"/>
      <c r="R480" s="252" t="n"/>
      <c r="S480" s="244">
        <f>Q480*R480</f>
        <v/>
      </c>
    </row>
    <row r="481" ht="22.2" customHeight="1" s="330">
      <c r="A481" s="4" t="n"/>
      <c r="E481" s="4" t="n"/>
      <c r="G481" s="277" t="n"/>
      <c r="H481" s="252" t="n"/>
      <c r="I481" s="276" t="n"/>
      <c r="J481" s="276" t="n"/>
      <c r="K481" s="476" t="n"/>
      <c r="L481" s="276" t="n"/>
      <c r="M481" s="276" t="n"/>
      <c r="N481" s="276" t="n"/>
      <c r="O481" s="244">
        <f>M481*N481</f>
        <v/>
      </c>
      <c r="P481" s="276" t="n"/>
      <c r="Q481" s="276" t="n"/>
      <c r="R481" s="276" t="n"/>
      <c r="S481" s="244">
        <f>Q481*R481</f>
        <v/>
      </c>
    </row>
    <row r="482" ht="22.2" customHeight="1" s="330">
      <c r="A482" s="4" t="n"/>
      <c r="D482" s="331" t="n"/>
      <c r="E482" s="56" t="n"/>
      <c r="G482" s="62" t="inlineStr">
        <is>
          <t>พฤหัส</t>
        </is>
      </c>
      <c r="H482" s="332" t="n"/>
      <c r="I482" s="325" t="n"/>
      <c r="J482" s="332" t="n"/>
      <c r="K482" s="335" t="n"/>
      <c r="L482" s="252" t="n"/>
      <c r="M482" s="252" t="n"/>
      <c r="N482" s="252" t="n"/>
      <c r="O482" s="244">
        <f>M482*N482</f>
        <v/>
      </c>
      <c r="P482" s="252" t="n"/>
      <c r="Q482" s="275" t="n"/>
      <c r="R482" s="275" t="n"/>
      <c r="S482" s="244">
        <f>Q482*R482</f>
        <v/>
      </c>
    </row>
    <row r="483" ht="22.2" customHeight="1" s="330">
      <c r="A483" s="4" t="n"/>
      <c r="D483" s="3" t="n"/>
      <c r="E483" s="3" t="n"/>
      <c r="G483" s="308">
        <f>G437</f>
        <v/>
      </c>
      <c r="H483" s="325" t="n"/>
      <c r="I483" s="325" t="n"/>
      <c r="J483" s="252" t="n"/>
      <c r="K483" s="331" t="n"/>
      <c r="L483" s="252" t="n"/>
      <c r="M483" s="252" t="n"/>
      <c r="N483" s="252" t="n"/>
      <c r="O483" s="244">
        <f>M483*N483</f>
        <v/>
      </c>
      <c r="P483" s="252" t="n"/>
      <c r="Q483" s="252" t="n"/>
      <c r="R483" s="252" t="n"/>
      <c r="S483" s="244">
        <f>Q483*R483</f>
        <v/>
      </c>
    </row>
    <row r="484" ht="22.2" customHeight="1" s="330">
      <c r="A484" s="4" t="n"/>
      <c r="B484" s="5" t="n"/>
      <c r="E484" s="4" t="n"/>
      <c r="G484" s="252" t="n"/>
      <c r="H484" s="325" t="n"/>
      <c r="I484" s="325" t="n"/>
      <c r="J484" s="252" t="n"/>
      <c r="K484" s="331" t="n"/>
      <c r="L484" s="325" t="n"/>
      <c r="M484" s="325" t="n"/>
      <c r="N484" s="325" t="n"/>
      <c r="O484" s="244">
        <f>M484*N484</f>
        <v/>
      </c>
      <c r="P484" s="325" t="n"/>
      <c r="Q484" s="325" t="n"/>
      <c r="R484" s="325" t="n"/>
      <c r="S484" s="244">
        <f>Q484*R484</f>
        <v/>
      </c>
    </row>
    <row r="485" ht="22.2" customHeight="1" s="330">
      <c r="A485" s="4" t="n"/>
      <c r="E485" s="4" t="n"/>
      <c r="G485" s="252" t="n"/>
      <c r="H485" s="252" t="n"/>
      <c r="I485" s="252" t="n"/>
      <c r="J485" s="252" t="n"/>
      <c r="K485" s="331" t="n"/>
      <c r="L485" s="252" t="n"/>
      <c r="M485" s="252" t="n"/>
      <c r="N485" s="252" t="n"/>
      <c r="O485" s="244">
        <f>M485*N485</f>
        <v/>
      </c>
      <c r="P485" s="252" t="n"/>
      <c r="Q485" s="252" t="n"/>
      <c r="R485" s="252" t="n"/>
      <c r="S485" s="244">
        <f>Q485*R485</f>
        <v/>
      </c>
    </row>
    <row r="486" ht="22.2" customHeight="1" s="330">
      <c r="A486" s="4" t="n"/>
      <c r="E486" s="4" t="n"/>
      <c r="G486" s="276" t="n"/>
      <c r="H486" s="301" t="n"/>
      <c r="I486" s="276" t="n"/>
      <c r="J486" s="276" t="n"/>
      <c r="K486" s="476" t="n"/>
      <c r="L486" s="276" t="n"/>
      <c r="M486" s="276" t="n"/>
      <c r="N486" s="276" t="n"/>
      <c r="O486" s="244">
        <f>M486*N486</f>
        <v/>
      </c>
      <c r="P486" s="276" t="n"/>
      <c r="Q486" s="276" t="n"/>
      <c r="R486" s="276" t="n"/>
      <c r="S486" s="244">
        <f>Q486*R486</f>
        <v/>
      </c>
    </row>
    <row r="487" ht="22.2" customHeight="1" s="330">
      <c r="A487" s="4" t="n"/>
      <c r="E487" s="4" t="n"/>
      <c r="G487" s="62" t="inlineStr">
        <is>
          <t>ศุกร์</t>
        </is>
      </c>
      <c r="H487" s="325" t="inlineStr">
        <is>
          <t>20101-2109</t>
        </is>
      </c>
      <c r="I487" s="325" t="inlineStr">
        <is>
          <t>ปวช.3/3 ชย. (ปกติ)</t>
        </is>
      </c>
      <c r="J487" s="332" t="inlineStr">
        <is>
          <t>09.10-12.10</t>
        </is>
      </c>
      <c r="K487" s="335" t="n"/>
      <c r="L487" s="252" t="n"/>
      <c r="M487" s="252" t="n"/>
      <c r="N487" s="252" t="n"/>
      <c r="O487" s="244">
        <f>M487*N487</f>
        <v/>
      </c>
      <c r="P487" s="332" t="n"/>
      <c r="Q487" s="265" t="n"/>
      <c r="R487" s="332" t="n"/>
      <c r="S487" s="244">
        <f>Q487*R487</f>
        <v/>
      </c>
      <c r="T487" s="25" t="n"/>
      <c r="U487" s="26" t="inlineStr">
        <is>
          <t xml:space="preserve">     PLC</t>
        </is>
      </c>
      <c r="V487" s="64" t="n"/>
      <c r="W487" s="27" t="n"/>
      <c r="X487" s="27" t="n"/>
    </row>
    <row r="488" ht="22.2" customHeight="1" s="330">
      <c r="A488" s="4" t="n"/>
      <c r="E488" s="4" t="n"/>
      <c r="G488" s="308">
        <f>G442</f>
        <v/>
      </c>
      <c r="H488" s="325" t="inlineStr">
        <is>
          <t>20101-2109</t>
        </is>
      </c>
      <c r="I488" s="325" t="inlineStr">
        <is>
          <t>ปวช.3/3 ชย. (ปกติ)</t>
        </is>
      </c>
      <c r="J488" s="252" t="inlineStr">
        <is>
          <t>13.10-17.10</t>
        </is>
      </c>
      <c r="K488" s="331" t="n"/>
      <c r="L488" s="252" t="n"/>
      <c r="M488" s="252" t="n"/>
      <c r="N488" s="252" t="n"/>
      <c r="O488" s="244">
        <f>M488*N488</f>
        <v/>
      </c>
      <c r="P488" s="252" t="n"/>
      <c r="Q488" s="252" t="n"/>
      <c r="R488" s="252" t="n"/>
      <c r="S488" s="244">
        <f>Q488*R488</f>
        <v/>
      </c>
      <c r="T488" s="27" t="inlineStr">
        <is>
          <t> </t>
        </is>
      </c>
      <c r="U488" s="26" t="inlineStr">
        <is>
          <t>17.10-19.10</t>
        </is>
      </c>
      <c r="V488" s="64" t="n"/>
      <c r="W488" s="27" t="n"/>
      <c r="X488" s="27" t="n"/>
    </row>
    <row r="489" ht="22.2" customHeight="1" s="330">
      <c r="A489" s="4" t="n"/>
      <c r="E489" s="4" t="n"/>
      <c r="G489" s="252" t="n"/>
      <c r="H489" s="252" t="n"/>
      <c r="I489" s="252" t="n"/>
      <c r="J489" s="252" t="n"/>
      <c r="K489" s="331" t="n"/>
      <c r="L489" s="252" t="n"/>
      <c r="M489" s="252" t="n"/>
      <c r="N489" s="252" t="n"/>
      <c r="O489" s="244">
        <f>M489*N489</f>
        <v/>
      </c>
      <c r="P489" s="252" t="n"/>
      <c r="Q489" s="252" t="n"/>
      <c r="R489" s="252" t="n"/>
      <c r="S489" s="244">
        <f>Q489*R489</f>
        <v/>
      </c>
    </row>
    <row r="490" ht="22.2" customHeight="1" s="330">
      <c r="A490" s="4" t="n"/>
      <c r="E490" s="4" t="n"/>
      <c r="G490" s="252" t="n"/>
      <c r="H490" s="249" t="inlineStr">
        <is>
          <t> </t>
        </is>
      </c>
      <c r="I490" s="252" t="n"/>
      <c r="J490" s="252" t="n"/>
      <c r="K490" s="331" t="n"/>
      <c r="L490" s="252" t="n"/>
      <c r="M490" s="252" t="n"/>
      <c r="N490" s="252" t="n"/>
      <c r="O490" s="244">
        <f>M490*N490</f>
        <v/>
      </c>
      <c r="P490" s="252" t="n"/>
      <c r="Q490" s="252" t="n"/>
      <c r="R490" s="252" t="n"/>
      <c r="S490" s="244">
        <f>Q490*R490</f>
        <v/>
      </c>
    </row>
    <row r="491" ht="22.2" customHeight="1" s="330">
      <c r="A491" s="4" t="n"/>
      <c r="E491" s="4" t="n"/>
      <c r="F491" s="4" t="n"/>
      <c r="G491" s="278" t="n"/>
      <c r="H491" s="301" t="n"/>
      <c r="I491" s="276" t="n"/>
      <c r="J491" s="276" t="n"/>
      <c r="K491" s="476" t="n"/>
      <c r="L491" s="276" t="n"/>
      <c r="M491" s="276" t="n"/>
      <c r="N491" s="276" t="n"/>
      <c r="O491" s="244">
        <f>M491*N491</f>
        <v/>
      </c>
      <c r="P491" s="276" t="n"/>
      <c r="Q491" s="276" t="n"/>
      <c r="R491" s="276" t="n"/>
      <c r="S491" s="244">
        <f>Q491*R491</f>
        <v/>
      </c>
    </row>
    <row r="492" ht="22.2" customHeight="1" s="330">
      <c r="A492" s="4" t="n"/>
      <c r="E492" s="4" t="n"/>
      <c r="F492" s="4" t="n"/>
      <c r="G492" s="17" t="inlineStr">
        <is>
          <t>รวมขั่วโมงที่สอนแยก ภาระงาน/ เกินภาระงาน</t>
        </is>
      </c>
      <c r="H492" s="467" t="n"/>
      <c r="I492" s="467" t="n"/>
      <c r="J492" s="467" t="n"/>
      <c r="K492" s="362" t="n"/>
      <c r="L492" s="17">
        <f>SUM(L467:L491)</f>
        <v/>
      </c>
      <c r="M492" s="17">
        <f>SUM(M467:M491)</f>
        <v/>
      </c>
      <c r="N492" s="17" t="n"/>
      <c r="O492" s="17" t="n"/>
      <c r="P492" s="17">
        <f>SUM(P467:P491)</f>
        <v/>
      </c>
      <c r="Q492" s="17">
        <f>SUM(Q467:Q491)</f>
        <v/>
      </c>
      <c r="R492" s="279" t="n"/>
      <c r="S492" s="17" t="n"/>
    </row>
    <row r="493" ht="22.2" customHeight="1" s="330">
      <c r="A493" s="4" t="n"/>
      <c r="E493" s="4" t="n"/>
      <c r="F493" s="4" t="n"/>
      <c r="G493" s="17" t="inlineStr">
        <is>
          <t>รวมจำนวนชั่วโมงสอนคาบต่อสับดาห์</t>
        </is>
      </c>
      <c r="H493" s="467" t="n"/>
      <c r="I493" s="467" t="n"/>
      <c r="J493" s="467" t="n"/>
      <c r="K493" s="362" t="n"/>
      <c r="L493" s="17">
        <f>L492+M492</f>
        <v/>
      </c>
      <c r="M493" s="362" t="n"/>
      <c r="N493" s="17" t="n"/>
      <c r="O493" s="298" t="n"/>
      <c r="P493" s="17">
        <f>P492+Q492</f>
        <v/>
      </c>
      <c r="Q493" s="362" t="n"/>
      <c r="R493" s="278" t="n"/>
      <c r="S493" s="276" t="n"/>
    </row>
    <row r="494" ht="22.2" customHeight="1" s="330">
      <c r="A494" s="4" t="n"/>
      <c r="E494" s="4" t="n"/>
      <c r="F494" s="4" t="n"/>
      <c r="G494" s="17" t="inlineStr">
        <is>
          <t>จำนวนชั่วโมงสอนตามภาระงานสอน</t>
        </is>
      </c>
      <c r="H494" s="467" t="n"/>
      <c r="I494" s="467" t="n"/>
      <c r="J494" s="467" t="n"/>
      <c r="K494" s="362" t="n"/>
      <c r="L494" s="153" t="inlineStr">
        <is>
          <t>18</t>
        </is>
      </c>
      <c r="M494" s="362" t="n"/>
      <c r="N494" s="152" t="n"/>
      <c r="O494" s="153" t="n"/>
      <c r="P494" s="153" t="inlineStr">
        <is>
          <t>0</t>
        </is>
      </c>
      <c r="Q494" s="362" t="n"/>
      <c r="R494" s="249" t="n"/>
      <c r="S494" s="252" t="n"/>
    </row>
    <row r="495" ht="22.2" customHeight="1" s="330" thickBot="1">
      <c r="A495" s="4" t="n"/>
      <c r="E495" s="4" t="n"/>
      <c r="F495" s="15" t="n"/>
      <c r="G495" s="17" t="inlineStr">
        <is>
          <t>จำนวนชั่วโมงบิกเกินภาระงานสอน/ค่าสอน</t>
        </is>
      </c>
      <c r="H495" s="467" t="n"/>
      <c r="I495" s="467" t="n"/>
      <c r="J495" s="467" t="n"/>
      <c r="K495" s="362" t="n"/>
      <c r="L495" s="18" t="n">
        <v>0</v>
      </c>
      <c r="M495" s="18">
        <f>SUM(M467:M491)</f>
        <v/>
      </c>
      <c r="N495" s="18" t="n"/>
      <c r="O495" s="18">
        <f>SUM(O467:O491)</f>
        <v/>
      </c>
      <c r="P495" s="18" t="n">
        <v>0</v>
      </c>
      <c r="Q495" s="18">
        <f>SUM(Q467:Q491)</f>
        <v/>
      </c>
      <c r="R495" s="19" t="n"/>
      <c r="S495" s="18">
        <f>SUM(S467:S491)</f>
        <v/>
      </c>
    </row>
    <row r="496" ht="22.2" customHeight="1" s="330" thickTop="1">
      <c r="A496" s="299" t="inlineStr">
        <is>
          <t>รวมจำนวนหน่วยชั่วโมงที่ขอเบิกค่าสอน ….</t>
        </is>
      </c>
      <c r="B496" s="467" t="n"/>
      <c r="C496" s="467" t="n"/>
      <c r="D496" s="467" t="n"/>
      <c r="E496" s="467" t="n"/>
      <c r="F496" s="467" t="n"/>
      <c r="G496" s="467" t="n"/>
      <c r="H496" s="298">
        <f>M495+Q495</f>
        <v/>
      </c>
      <c r="I496" s="298" t="inlineStr">
        <is>
          <t>….ชั่วโมง</t>
        </is>
      </c>
      <c r="J496" s="298" t="n"/>
      <c r="K496" s="301" t="inlineStr">
        <is>
          <t>ยอดเงินรวม</t>
        </is>
      </c>
      <c r="L496" s="471" t="n"/>
      <c r="M496" s="471" t="n"/>
      <c r="N496" s="301" t="n"/>
      <c r="O496" s="301" t="n"/>
      <c r="P496" s="302">
        <f>S495+O495</f>
        <v/>
      </c>
      <c r="Q496" s="482" t="n"/>
      <c r="R496" s="21" t="n"/>
      <c r="S496" s="20" t="inlineStr">
        <is>
          <t>..บาท</t>
        </is>
      </c>
    </row>
    <row r="497" ht="22.2" customHeight="1" s="330">
      <c r="A497" s="207" t="inlineStr">
        <is>
          <t>ผู้ขอเบิก</t>
        </is>
      </c>
      <c r="B497" s="334" t="n"/>
      <c r="C497" s="334" t="n"/>
      <c r="D497" s="334" t="n"/>
      <c r="E497" s="334" t="n"/>
      <c r="F497" s="334" t="n"/>
      <c r="G497" s="335" t="n"/>
      <c r="H497" s="207" t="inlineStr">
        <is>
          <t>ผู้รับรอง</t>
        </is>
      </c>
      <c r="I497" s="334" t="n"/>
      <c r="J497" s="334" t="n"/>
      <c r="K497" s="334" t="n"/>
      <c r="L497" s="335" t="n"/>
      <c r="M497" s="207" t="inlineStr">
        <is>
          <t>ผู้ตรวจ</t>
        </is>
      </c>
      <c r="N497" s="334" t="n"/>
      <c r="O497" s="334" t="n"/>
      <c r="P497" s="334" t="n"/>
      <c r="Q497" s="334" t="n"/>
      <c r="R497" s="334" t="n"/>
      <c r="S497" s="335" t="n"/>
    </row>
    <row r="498" ht="22.2" customHeight="1" s="330">
      <c r="A498" s="252" t="inlineStr">
        <is>
          <t>ลงชื่อ……………………………………………</t>
        </is>
      </c>
      <c r="G498" s="331" t="n"/>
      <c r="H498" s="252" t="inlineStr">
        <is>
          <t>ลงชื่อ……………………………………………</t>
        </is>
      </c>
      <c r="L498" s="331" t="n"/>
      <c r="M498" s="252" t="inlineStr">
        <is>
          <t>ลงชื่อ……………………………………………</t>
        </is>
      </c>
      <c r="S498" s="331" t="n"/>
    </row>
    <row r="499" ht="22.2" customHeight="1" s="330">
      <c r="A499" s="12" t="inlineStr">
        <is>
          <t>(</t>
        </is>
      </c>
      <c r="B499" s="309">
        <f>B467</f>
        <v/>
      </c>
      <c r="G499" s="310" t="inlineStr">
        <is>
          <t>)</t>
        </is>
      </c>
      <c r="H499" s="309" t="inlineStr">
        <is>
          <t>(</t>
        </is>
      </c>
      <c r="I499" s="314">
        <f>I453</f>
        <v/>
      </c>
      <c r="L499" s="13" t="inlineStr">
        <is>
          <t>)</t>
        </is>
      </c>
      <c r="M499" s="61" t="inlineStr">
        <is>
          <t>(</t>
        </is>
      </c>
      <c r="N499" s="61" t="n"/>
      <c r="O499" s="309" t="inlineStr">
        <is>
          <t>นายพิสุทธิศักดิ์  กล่อมนาค</t>
        </is>
      </c>
      <c r="R499" s="29" t="n"/>
      <c r="S499" s="310" t="inlineStr">
        <is>
          <t>)</t>
        </is>
      </c>
    </row>
    <row r="500" ht="22.2" customHeight="1" s="330">
      <c r="A500" s="483" t="inlineStr">
        <is>
          <t xml:space="preserve">                 ตำแหน่ง  ครู </t>
        </is>
      </c>
      <c r="G500" s="331" t="n"/>
      <c r="H500" s="62" t="inlineStr">
        <is>
          <t>ตำแหน่ง หัวหน้าแผนก</t>
        </is>
      </c>
      <c r="L500" s="331" t="n"/>
      <c r="M500" s="62" t="inlineStr">
        <is>
          <t>ตำแหน่ง   ผู้ตรวจสอบ</t>
        </is>
      </c>
      <c r="S500" s="331" t="n"/>
    </row>
    <row r="501" ht="22.2" customHeight="1" s="330">
      <c r="A501" s="63">
        <f>A41</f>
        <v/>
      </c>
      <c r="B501" s="471" t="n"/>
      <c r="C501" s="471" t="n"/>
      <c r="D501" s="471" t="n"/>
      <c r="E501" s="471" t="n"/>
      <c r="F501" s="471" t="n"/>
      <c r="G501" s="476" t="n"/>
      <c r="H501" s="62">
        <f>A41</f>
        <v/>
      </c>
      <c r="L501" s="331" t="n"/>
      <c r="M501" s="63">
        <f>A41</f>
        <v/>
      </c>
      <c r="N501" s="471" t="n"/>
      <c r="O501" s="471" t="n"/>
      <c r="P501" s="471" t="n"/>
      <c r="Q501" s="471" t="n"/>
      <c r="R501" s="471" t="n"/>
      <c r="S501" s="476" t="n"/>
    </row>
    <row r="502" ht="22.2" customHeight="1" s="330">
      <c r="A502" s="207" t="inlineStr">
        <is>
          <t>ผู้ตรวจ</t>
        </is>
      </c>
      <c r="B502" s="334" t="n"/>
      <c r="C502" s="334" t="n"/>
      <c r="D502" s="334" t="n"/>
      <c r="E502" s="334" t="n"/>
      <c r="F502" s="334" t="n"/>
      <c r="G502" s="334" t="n"/>
      <c r="H502" s="334" t="n"/>
      <c r="I502" s="335" t="n"/>
      <c r="J502" s="207" t="inlineStr">
        <is>
          <t>ผู้เห็นชอบ</t>
        </is>
      </c>
      <c r="K502" s="334" t="n"/>
      <c r="L502" s="334" t="n"/>
      <c r="M502" s="334" t="n"/>
      <c r="N502" s="334" t="n"/>
      <c r="O502" s="334" t="n"/>
      <c r="P502" s="334" t="n"/>
      <c r="Q502" s="334" t="n"/>
      <c r="R502" s="334" t="n"/>
      <c r="S502" s="335" t="n"/>
    </row>
    <row r="503" ht="22.2" customHeight="1" s="330">
      <c r="A503" s="252" t="inlineStr">
        <is>
          <t>ลงชื่อ……………………………………………</t>
        </is>
      </c>
      <c r="I503" s="331" t="n"/>
      <c r="J503" s="252" t="inlineStr">
        <is>
          <t>ลงชื่อ……………………………………………</t>
        </is>
      </c>
      <c r="S503" s="331" t="n"/>
    </row>
    <row r="504" ht="22.2" customHeight="1" s="330">
      <c r="A504" s="12" t="n"/>
      <c r="B504" s="309" t="inlineStr">
        <is>
          <t xml:space="preserve">          (นางศิวรักษ์   บุญประเสริฐ)</t>
        </is>
      </c>
      <c r="I504" s="310" t="n"/>
      <c r="J504" s="29" t="n"/>
      <c r="K504" s="29" t="n"/>
      <c r="L504" s="309" t="inlineStr">
        <is>
          <t>(นายปรีชา  โพธิ์เกิด)</t>
        </is>
      </c>
      <c r="R504" s="29" t="n"/>
      <c r="S504" s="13" t="n"/>
    </row>
    <row r="505" ht="22.2" customHeight="1" s="330">
      <c r="A505" s="62" t="inlineStr">
        <is>
          <t>ตำแหน่งครู  หัวหน้างานพัฒนาหลักสูตร ฯ</t>
        </is>
      </c>
      <c r="I505" s="331" t="n"/>
      <c r="J505" s="62" t="inlineStr">
        <is>
          <t>ตำแหน่ง  รองผู้อำนวยการฝ่ายวิชาการ</t>
        </is>
      </c>
      <c r="S505" s="331" t="n"/>
    </row>
    <row r="506" ht="22.2" customHeight="1" s="330">
      <c r="A506" s="63">
        <f>A41</f>
        <v/>
      </c>
      <c r="B506" s="471" t="n"/>
      <c r="C506" s="471" t="n"/>
      <c r="D506" s="471" t="n"/>
      <c r="E506" s="471" t="n"/>
      <c r="F506" s="471" t="n"/>
      <c r="G506" s="471" t="n"/>
      <c r="H506" s="471" t="n"/>
      <c r="I506" s="476" t="n"/>
      <c r="J506" s="63">
        <f>A41</f>
        <v/>
      </c>
      <c r="K506" s="471" t="n"/>
      <c r="L506" s="471" t="n"/>
      <c r="M506" s="471" t="n"/>
      <c r="N506" s="471" t="n"/>
      <c r="O506" s="471" t="n"/>
      <c r="P506" s="471" t="n"/>
      <c r="Q506" s="471" t="n"/>
      <c r="R506" s="471" t="n"/>
      <c r="S506" s="476" t="n"/>
    </row>
    <row r="507" ht="22.2" customHeight="1" s="330">
      <c r="A50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508" ht="22.2" customHeight="1" s="330">
      <c r="A508" s="254">
        <f>A2</f>
        <v/>
      </c>
    </row>
    <row r="509" ht="22.2" customHeight="1" s="330">
      <c r="A509" s="253" t="inlineStr">
        <is>
          <t xml:space="preserve">    ระหว่างวันที่</t>
        </is>
      </c>
      <c r="D509" s="254">
        <f>D3</f>
        <v/>
      </c>
      <c r="E509" s="254" t="inlineStr">
        <is>
          <t xml:space="preserve">   เดือน  </t>
        </is>
      </c>
      <c r="F509" s="254">
        <f>F3</f>
        <v/>
      </c>
      <c r="H509" s="254">
        <f>H3</f>
        <v/>
      </c>
      <c r="I509" s="254" t="inlineStr">
        <is>
          <t xml:space="preserve">     ถึง วันที่</t>
        </is>
      </c>
      <c r="J509" s="254">
        <f>J3</f>
        <v/>
      </c>
      <c r="K509" s="254" t="inlineStr">
        <is>
          <t xml:space="preserve">   เดือน </t>
        </is>
      </c>
      <c r="L509" s="254">
        <f>L3</f>
        <v/>
      </c>
      <c r="N509" s="254">
        <f>N3</f>
        <v/>
      </c>
      <c r="P509" s="254" t="n"/>
      <c r="R509" s="254" t="n"/>
    </row>
    <row r="510" ht="22.2" customHeight="1" s="330">
      <c r="G510" s="58" t="inlineStr">
        <is>
          <t>ü</t>
        </is>
      </c>
      <c r="H510" s="290" t="inlineStr">
        <is>
          <t>ครู</t>
        </is>
      </c>
      <c r="I510" s="249" t="inlineStr">
        <is>
          <t>หน้าที่พิเศษ</t>
        </is>
      </c>
      <c r="J510" s="290" t="inlineStr">
        <is>
          <t>หัวหน้างานโครงการพิเศษและบริการชุมชน</t>
        </is>
      </c>
    </row>
    <row r="511" ht="22.2" customHeight="1" s="330">
      <c r="A511" s="28" t="inlineStr">
        <is>
          <t>ที่</t>
        </is>
      </c>
      <c r="B511" s="28" t="inlineStr">
        <is>
          <t>ชื่อ-สกุล</t>
        </is>
      </c>
      <c r="C511" s="334" t="n"/>
      <c r="D511" s="335" t="n"/>
      <c r="E511" s="16" t="inlineStr">
        <is>
          <t>ตำแหน่ง</t>
        </is>
      </c>
      <c r="F511" s="17" t="inlineStr">
        <is>
          <t>ระยะเวลาที่สอน</t>
        </is>
      </c>
      <c r="G511" s="362" t="n"/>
      <c r="H511" s="17" t="inlineStr">
        <is>
          <t>รหัสวิชา</t>
        </is>
      </c>
      <c r="I511" s="275" t="inlineStr">
        <is>
          <t>ชั้น,แผนก,ห้อง</t>
        </is>
      </c>
      <c r="J511" s="17" t="inlineStr">
        <is>
          <t>เวลาสอน</t>
        </is>
      </c>
      <c r="K511" s="335" t="n"/>
      <c r="L511" s="17" t="inlineStr">
        <is>
          <t>ปวช.(คาบ)</t>
        </is>
      </c>
      <c r="M511" s="362" t="n"/>
      <c r="N511" s="244" t="inlineStr">
        <is>
          <t>เงิน</t>
        </is>
      </c>
      <c r="O511" s="275" t="inlineStr">
        <is>
          <t>ยอดเงิน</t>
        </is>
      </c>
      <c r="P511" s="473" t="inlineStr">
        <is>
          <t>ปวส.(คาบ)</t>
        </is>
      </c>
      <c r="Q511" s="362" t="n"/>
      <c r="R511" s="244" t="inlineStr">
        <is>
          <t>เงิน</t>
        </is>
      </c>
      <c r="S511" s="275" t="inlineStr">
        <is>
          <t>ยอดเงิน</t>
        </is>
      </c>
    </row>
    <row r="512" ht="22.2" customHeight="1" s="330">
      <c r="A512" s="60" t="n"/>
      <c r="B512" s="9" t="n"/>
      <c r="C512" s="10" t="n"/>
      <c r="D512" s="14" t="n"/>
      <c r="E512" s="11" t="n"/>
      <c r="F512" s="276" t="inlineStr">
        <is>
          <t>ส.</t>
        </is>
      </c>
      <c r="G512" s="276" t="inlineStr">
        <is>
          <t>วดป.</t>
        </is>
      </c>
      <c r="H512" s="474" t="n"/>
      <c r="I512" s="276" t="n"/>
      <c r="J512" s="475" t="n"/>
      <c r="K512" s="476" t="n"/>
      <c r="L512" s="276" t="inlineStr">
        <is>
          <t>ใน</t>
        </is>
      </c>
      <c r="M512" s="276" t="inlineStr">
        <is>
          <t>นอก</t>
        </is>
      </c>
      <c r="N512" s="276" t="inlineStr">
        <is>
          <t>ต่อ ชม.</t>
        </is>
      </c>
      <c r="O512" s="276" t="inlineStr">
        <is>
          <t>(บาท)</t>
        </is>
      </c>
      <c r="P512" s="60" t="inlineStr">
        <is>
          <t>ใน</t>
        </is>
      </c>
      <c r="Q512" s="60" t="inlineStr">
        <is>
          <t>นอก</t>
        </is>
      </c>
      <c r="R512" s="276" t="inlineStr">
        <is>
          <t>ต่อ ชม.</t>
        </is>
      </c>
      <c r="S512" s="276" t="inlineStr">
        <is>
          <t>(บาท)</t>
        </is>
      </c>
    </row>
    <row r="513" ht="22.2" customHeight="1" s="330">
      <c r="A513" s="275" t="n">
        <v>12</v>
      </c>
      <c r="B513" s="477">
        <f>AB14</f>
        <v/>
      </c>
      <c r="C513" s="334" t="n"/>
      <c r="D513" s="335" t="n"/>
      <c r="E513" s="275" t="inlineStr">
        <is>
          <t>ครู</t>
        </is>
      </c>
      <c r="F513" s="6">
        <f>F7</f>
        <v/>
      </c>
      <c r="G513" s="303" t="inlineStr">
        <is>
          <t>จันทร์</t>
        </is>
      </c>
      <c r="H513" s="332" t="inlineStr">
        <is>
          <t>20101-2008</t>
        </is>
      </c>
      <c r="I513" s="325" t="inlineStr">
        <is>
          <t>ปวช.1/8 ชย. (ปกติ)</t>
        </is>
      </c>
      <c r="J513" s="252" t="inlineStr">
        <is>
          <t>13.10-17.10</t>
        </is>
      </c>
      <c r="K513" s="331" t="n"/>
      <c r="L513" s="265" t="n"/>
      <c r="M513" s="332" t="n"/>
      <c r="N513" s="332" t="n"/>
      <c r="O513" s="244">
        <f>M513*N513</f>
        <v/>
      </c>
      <c r="P513" s="332" t="n"/>
      <c r="Q513" s="265" t="n"/>
      <c r="R513" s="332" t="n"/>
      <c r="S513" s="244">
        <f>Q513*R513</f>
        <v/>
      </c>
    </row>
    <row r="514" ht="22.2" customHeight="1" s="330">
      <c r="A514" s="4" t="n"/>
      <c r="B514" s="478" t="n"/>
      <c r="D514" s="331" t="n"/>
      <c r="E514" s="51" t="n"/>
      <c r="F514" s="249" t="n"/>
      <c r="G514" s="308">
        <f>G468</f>
        <v/>
      </c>
      <c r="H514" s="325" t="n"/>
      <c r="I514" s="325" t="n"/>
      <c r="J514" s="252" t="n"/>
      <c r="K514" s="331" t="n"/>
      <c r="L514" s="252" t="n"/>
      <c r="M514" s="252" t="n"/>
      <c r="N514" s="252" t="n"/>
      <c r="O514" s="244">
        <f>M514*N514</f>
        <v/>
      </c>
      <c r="P514" s="252" t="n"/>
      <c r="Q514" s="252" t="n"/>
      <c r="R514" s="252" t="n"/>
      <c r="S514" s="244">
        <f>Q514*R514</f>
        <v/>
      </c>
    </row>
    <row r="515" ht="22.2" customHeight="1" s="330">
      <c r="A515" s="4" t="n"/>
      <c r="B515" s="5" t="n"/>
      <c r="D515" s="3" t="n"/>
      <c r="E515" s="3" t="n"/>
      <c r="F515" s="249" t="n"/>
      <c r="G515" s="248" t="n"/>
      <c r="H515" s="252" t="n"/>
      <c r="I515" s="252" t="n"/>
      <c r="J515" s="252" t="n"/>
      <c r="K515" s="331" t="n"/>
      <c r="L515" s="252" t="n"/>
      <c r="M515" s="252" t="n"/>
      <c r="N515" s="252" t="n"/>
      <c r="O515" s="244">
        <f>M515*N515</f>
        <v/>
      </c>
      <c r="P515" s="252" t="n"/>
      <c r="Q515" s="252" t="n"/>
      <c r="R515" s="252" t="n"/>
      <c r="S515" s="244">
        <f>Q515*R515</f>
        <v/>
      </c>
    </row>
    <row r="516" ht="22.2" customHeight="1" s="330">
      <c r="A516" s="4" t="n"/>
      <c r="B516" s="5" t="n"/>
      <c r="E516" s="4" t="n"/>
      <c r="F516" s="249" t="n"/>
      <c r="G516" s="248" t="n"/>
      <c r="H516" s="252" t="n"/>
      <c r="I516" s="252" t="n"/>
      <c r="J516" s="252" t="n"/>
      <c r="K516" s="331" t="n"/>
      <c r="L516" s="252" t="n"/>
      <c r="M516" s="252" t="n"/>
      <c r="N516" s="252" t="n"/>
      <c r="O516" s="244">
        <f>M516*N516</f>
        <v/>
      </c>
      <c r="P516" s="252" t="n"/>
      <c r="Q516" s="252" t="n"/>
      <c r="R516" s="252" t="n"/>
      <c r="S516" s="244">
        <f>Q516*R516</f>
        <v/>
      </c>
    </row>
    <row r="517" ht="22.2" customHeight="1" s="330">
      <c r="A517" s="4" t="n"/>
      <c r="E517" s="4" t="n"/>
      <c r="G517" s="311" t="n"/>
      <c r="H517" s="276" t="n"/>
      <c r="I517" s="276" t="n"/>
      <c r="J517" s="276" t="n"/>
      <c r="K517" s="476" t="n"/>
      <c r="L517" s="252" t="n"/>
      <c r="M517" s="252" t="n"/>
      <c r="N517" s="252" t="n"/>
      <c r="O517" s="244">
        <f>M517*N517</f>
        <v/>
      </c>
      <c r="P517" s="252" t="n"/>
      <c r="Q517" s="252" t="n"/>
      <c r="R517" s="252" t="n"/>
      <c r="S517" s="244">
        <f>Q517*R517</f>
        <v/>
      </c>
    </row>
    <row r="518" ht="22.2" customHeight="1" s="330">
      <c r="A518" s="4" t="n"/>
      <c r="E518" s="4" t="n"/>
      <c r="G518" s="62" t="inlineStr">
        <is>
          <t>อังคาร</t>
        </is>
      </c>
      <c r="H518" s="325" t="inlineStr">
        <is>
          <t>20101-2002</t>
        </is>
      </c>
      <c r="I518" s="325" t="inlineStr">
        <is>
          <t>ปวช.2/7 ชย. (ปกติ)</t>
        </is>
      </c>
      <c r="J518" s="332" t="inlineStr">
        <is>
          <t>08.10-12.10</t>
        </is>
      </c>
      <c r="K518" s="335" t="n"/>
      <c r="L518" s="265" t="n"/>
      <c r="M518" s="332" t="n"/>
      <c r="N518" s="332" t="n"/>
      <c r="O518" s="244">
        <f>M518*N518</f>
        <v/>
      </c>
      <c r="P518" s="332" t="n"/>
      <c r="Q518" s="265" t="n"/>
      <c r="R518" s="332" t="n"/>
      <c r="S518" s="244">
        <f>Q518*R518</f>
        <v/>
      </c>
    </row>
    <row r="519" ht="22.2" customHeight="1" s="330">
      <c r="A519" s="4" t="n"/>
      <c r="E519" s="4" t="n"/>
      <c r="G519" s="308">
        <f>G473</f>
        <v/>
      </c>
      <c r="H519" s="325" t="inlineStr">
        <is>
          <t>20101-2002</t>
        </is>
      </c>
      <c r="I519" s="325" t="inlineStr">
        <is>
          <t>ปวช.2/7 ชย. (ปกติ)</t>
        </is>
      </c>
      <c r="J519" s="252" t="inlineStr">
        <is>
          <t>13.10-16.10</t>
        </is>
      </c>
      <c r="K519" s="331" t="n"/>
      <c r="L519" s="252" t="n"/>
      <c r="M519" s="252" t="n"/>
      <c r="N519" s="252" t="n"/>
      <c r="O519" s="244">
        <f>M519*N519</f>
        <v/>
      </c>
      <c r="P519" s="252" t="n"/>
      <c r="Q519" s="252" t="n"/>
      <c r="R519" s="252" t="n"/>
      <c r="S519" s="244">
        <f>Q519*R519</f>
        <v/>
      </c>
    </row>
    <row r="520" ht="22.2" customHeight="1" s="330">
      <c r="A520" s="4" t="n"/>
      <c r="B520" s="5" t="n"/>
      <c r="D520" s="3" t="n"/>
      <c r="E520" s="3" t="n"/>
      <c r="G520" s="252" t="n"/>
      <c r="H520" s="252" t="n"/>
      <c r="I520" s="252" t="n"/>
      <c r="J520" s="252" t="n"/>
      <c r="K520" s="331" t="n"/>
      <c r="L520" s="252" t="n"/>
      <c r="M520" s="252" t="n"/>
      <c r="N520" s="252" t="n"/>
      <c r="O520" s="244">
        <f>M520*N520</f>
        <v/>
      </c>
      <c r="P520" s="252" t="n"/>
      <c r="Q520" s="252" t="n"/>
      <c r="R520" s="252" t="n"/>
      <c r="S520" s="244">
        <f>Q520*R520</f>
        <v/>
      </c>
    </row>
    <row r="521" ht="22.2" customHeight="1" s="330">
      <c r="A521" s="4" t="n"/>
      <c r="E521" s="4" t="n"/>
      <c r="G521" s="62" t="n"/>
      <c r="H521" s="249" t="n"/>
      <c r="I521" s="252" t="n"/>
      <c r="J521" s="252" t="n"/>
      <c r="K521" s="331" t="n"/>
      <c r="L521" s="252" t="n"/>
      <c r="M521" s="252" t="n"/>
      <c r="N521" s="252" t="n"/>
      <c r="O521" s="244">
        <f>M521*N521</f>
        <v/>
      </c>
      <c r="P521" s="252" t="n"/>
      <c r="Q521" s="252" t="n"/>
      <c r="R521" s="252" t="n"/>
      <c r="S521" s="244">
        <f>Q521*R521</f>
        <v/>
      </c>
    </row>
    <row r="522" ht="22.2" customHeight="1" s="330">
      <c r="A522" s="4" t="n"/>
      <c r="D522" s="8" t="inlineStr">
        <is>
          <t> </t>
        </is>
      </c>
      <c r="E522" s="4" t="n"/>
      <c r="G522" s="63" t="n"/>
      <c r="H522" s="276" t="n"/>
      <c r="I522" s="276" t="n"/>
      <c r="J522" s="276" t="n"/>
      <c r="K522" s="476" t="n"/>
      <c r="L522" s="252" t="n"/>
      <c r="M522" s="252" t="n"/>
      <c r="N522" s="252" t="n"/>
      <c r="O522" s="244">
        <f>M522*N522</f>
        <v/>
      </c>
      <c r="P522" s="252" t="n"/>
      <c r="Q522" s="252" t="n"/>
      <c r="R522" s="252" t="n"/>
      <c r="S522" s="244">
        <f>Q522*R522</f>
        <v/>
      </c>
    </row>
    <row r="523" ht="22.2" customHeight="1" s="330">
      <c r="A523" s="4" t="n"/>
      <c r="E523" s="4" t="n"/>
      <c r="G523" s="308" t="inlineStr">
        <is>
          <t>พุธ</t>
        </is>
      </c>
      <c r="H523" s="325" t="n"/>
      <c r="I523" s="325" t="n"/>
      <c r="J523" s="332" t="n"/>
      <c r="K523" s="335" t="n"/>
      <c r="L523" s="265" t="n"/>
      <c r="M523" s="332" t="n"/>
      <c r="N523" s="332" t="n"/>
      <c r="O523" s="244">
        <f>M523*N523</f>
        <v/>
      </c>
      <c r="P523" s="332" t="n"/>
      <c r="Q523" s="265" t="n"/>
      <c r="R523" s="332" t="n"/>
      <c r="S523" s="244">
        <f>Q523*R523</f>
        <v/>
      </c>
    </row>
    <row r="524" ht="22.2" customHeight="1" s="330">
      <c r="A524" s="4" t="n"/>
      <c r="B524" s="248" t="n"/>
      <c r="C524" s="249" t="n"/>
      <c r="D524" s="249" t="n"/>
      <c r="E524" s="252" t="n"/>
      <c r="G524" s="308">
        <f>G478</f>
        <v/>
      </c>
      <c r="H524" s="325" t="n"/>
      <c r="I524" s="325" t="n"/>
      <c r="J524" s="252" t="n"/>
      <c r="K524" s="331" t="n"/>
      <c r="L524" s="252" t="n"/>
      <c r="M524" s="252" t="n"/>
      <c r="N524" s="252" t="n"/>
      <c r="O524" s="244">
        <f>M524*N524</f>
        <v/>
      </c>
      <c r="P524" s="252" t="n"/>
      <c r="Q524" s="252" t="n"/>
      <c r="R524" s="252" t="n"/>
      <c r="S524" s="244">
        <f>Q524*R524</f>
        <v/>
      </c>
    </row>
    <row r="525" ht="22.2" customHeight="1" s="330">
      <c r="A525" s="4" t="n"/>
      <c r="B525" s="5" t="n"/>
      <c r="D525" s="3" t="n"/>
      <c r="E525" s="3" t="n"/>
      <c r="G525" s="252" t="n"/>
      <c r="H525" s="325" t="n"/>
      <c r="I525" s="325" t="n"/>
      <c r="J525" s="252" t="n"/>
      <c r="K525" s="331" t="n"/>
      <c r="L525" s="252" t="n"/>
      <c r="M525" s="252" t="n"/>
      <c r="N525" s="252" t="n"/>
      <c r="O525" s="244">
        <f>M525*N525</f>
        <v/>
      </c>
      <c r="P525" s="252" t="n"/>
      <c r="Q525" s="252" t="n"/>
      <c r="R525" s="252" t="n"/>
      <c r="S525" s="244">
        <f>Q525*R525</f>
        <v/>
      </c>
    </row>
    <row r="526" ht="22.2" customHeight="1" s="330">
      <c r="A526" s="4" t="n"/>
      <c r="E526" s="4" t="n"/>
      <c r="G526" s="248" t="n"/>
      <c r="H526" s="252" t="n"/>
      <c r="I526" s="252" t="n"/>
      <c r="J526" s="252" t="n"/>
      <c r="K526" s="331" t="n"/>
      <c r="L526" s="252" t="n"/>
      <c r="M526" s="252" t="n"/>
      <c r="N526" s="252" t="n"/>
      <c r="O526" s="244">
        <f>M526*N526</f>
        <v/>
      </c>
      <c r="P526" s="252" t="n"/>
      <c r="Q526" s="252" t="n"/>
      <c r="R526" s="252" t="n"/>
      <c r="S526" s="244">
        <f>Q526*R526</f>
        <v/>
      </c>
    </row>
    <row r="527" ht="22.2" customHeight="1" s="330">
      <c r="A527" s="4" t="n"/>
      <c r="E527" s="4" t="n"/>
      <c r="G527" s="277" t="n"/>
      <c r="H527" s="276" t="n"/>
      <c r="I527" s="276" t="n"/>
      <c r="J527" s="276" t="n"/>
      <c r="K527" s="476" t="n"/>
      <c r="L527" s="276" t="n"/>
      <c r="M527" s="276" t="n"/>
      <c r="N527" s="276" t="n"/>
      <c r="O527" s="244">
        <f>M527*N527</f>
        <v/>
      </c>
      <c r="P527" s="276" t="n"/>
      <c r="Q527" s="276" t="n"/>
      <c r="R527" s="276" t="n"/>
      <c r="S527" s="244">
        <f>Q527*R527</f>
        <v/>
      </c>
    </row>
    <row r="528" ht="22.2" customHeight="1" s="330">
      <c r="A528" s="4" t="n"/>
      <c r="E528" s="4" t="n"/>
      <c r="G528" s="62" t="inlineStr">
        <is>
          <t>พฤหัส</t>
        </is>
      </c>
      <c r="H528" s="325" t="inlineStr">
        <is>
          <t>20101-2002</t>
        </is>
      </c>
      <c r="I528" s="325" t="inlineStr">
        <is>
          <t>ปวช.2/6 ชย. (ปกติ)</t>
        </is>
      </c>
      <c r="J528" s="332" t="inlineStr">
        <is>
          <t>08.10-12.10</t>
        </is>
      </c>
      <c r="K528" s="335" t="n"/>
      <c r="L528" s="252" t="n"/>
      <c r="M528" s="252" t="n"/>
      <c r="N528" s="252" t="n"/>
      <c r="O528" s="244">
        <f>M528*N528</f>
        <v/>
      </c>
      <c r="P528" s="208" t="n"/>
      <c r="Q528" s="209" t="n"/>
      <c r="R528" s="209" t="n"/>
      <c r="S528" s="244">
        <f>Q528*R528</f>
        <v/>
      </c>
    </row>
    <row r="529" ht="22.2" customHeight="1" s="330">
      <c r="A529" s="4" t="n"/>
      <c r="E529" s="4" t="n"/>
      <c r="G529" s="308">
        <f>G483</f>
        <v/>
      </c>
      <c r="H529" s="325" t="inlineStr">
        <is>
          <t>20000-2004</t>
        </is>
      </c>
      <c r="I529" s="325" t="inlineStr">
        <is>
          <t>ปวช.2/3 3/9,10 ชย.</t>
        </is>
      </c>
      <c r="J529" s="252" t="inlineStr">
        <is>
          <t>13.10-15.10</t>
        </is>
      </c>
      <c r="K529" s="331" t="n"/>
      <c r="L529" s="252" t="n"/>
      <c r="M529" s="252" t="n"/>
      <c r="N529" s="252" t="n"/>
      <c r="O529" s="244">
        <f>M529*N529</f>
        <v/>
      </c>
      <c r="P529" s="252" t="n"/>
      <c r="Q529" s="252" t="n"/>
      <c r="R529" s="252" t="n"/>
      <c r="S529" s="244">
        <f>Q529*R529</f>
        <v/>
      </c>
    </row>
    <row r="530" ht="22.2" customHeight="1" s="330">
      <c r="A530" s="4" t="n"/>
      <c r="B530" s="5" t="n"/>
      <c r="E530" s="4" t="n"/>
      <c r="G530" s="252" t="n"/>
      <c r="H530" s="325" t="inlineStr">
        <is>
          <t>20101-2002</t>
        </is>
      </c>
      <c r="I530" s="325" t="inlineStr">
        <is>
          <t>ปวช.2/6 ชย. (ปกติ)</t>
        </is>
      </c>
      <c r="J530" s="252" t="inlineStr">
        <is>
          <t>15.10-18.10</t>
        </is>
      </c>
      <c r="K530" s="331" t="n"/>
      <c r="L530" s="325" t="n"/>
      <c r="M530" s="325" t="n"/>
      <c r="N530" s="325" t="n"/>
      <c r="O530" s="244">
        <f>M530*N530</f>
        <v/>
      </c>
      <c r="P530" s="4" t="n"/>
      <c r="Q530" s="4" t="n"/>
      <c r="R530" s="4" t="n"/>
      <c r="S530" s="244">
        <f>Q530*R530</f>
        <v/>
      </c>
    </row>
    <row r="531" ht="22.2" customHeight="1" s="330">
      <c r="A531" s="4" t="n"/>
      <c r="E531" s="4" t="n"/>
      <c r="G531" s="252" t="n"/>
      <c r="H531" s="252" t="n"/>
      <c r="I531" s="252" t="n"/>
      <c r="J531" s="252" t="n"/>
      <c r="K531" s="331" t="n"/>
      <c r="L531" s="252" t="n"/>
      <c r="M531" s="252" t="n"/>
      <c r="N531" s="252" t="n"/>
      <c r="O531" s="244">
        <f>M531*N531</f>
        <v/>
      </c>
      <c r="P531" s="252" t="n"/>
      <c r="Q531" s="252" t="n"/>
      <c r="R531" s="252" t="n"/>
      <c r="S531" s="244">
        <f>Q531*R531</f>
        <v/>
      </c>
    </row>
    <row r="532" ht="22.2" customHeight="1" s="330">
      <c r="A532" s="4" t="n"/>
      <c r="E532" s="4" t="n"/>
      <c r="G532" s="276" t="n"/>
      <c r="H532" s="301" t="n"/>
      <c r="I532" s="276" t="n"/>
      <c r="J532" s="276" t="n"/>
      <c r="K532" s="476" t="n"/>
      <c r="L532" s="276" t="n"/>
      <c r="M532" s="276" t="n"/>
      <c r="N532" s="276" t="n"/>
      <c r="O532" s="244">
        <f>M532*N532</f>
        <v/>
      </c>
      <c r="P532" s="276" t="n"/>
      <c r="Q532" s="276" t="n"/>
      <c r="R532" s="276" t="n"/>
      <c r="S532" s="244">
        <f>Q532*R532</f>
        <v/>
      </c>
    </row>
    <row r="533" ht="22.2" customHeight="1" s="330">
      <c r="A533" s="4" t="n"/>
      <c r="E533" s="4" t="n"/>
      <c r="G533" s="62" t="inlineStr">
        <is>
          <t>ศุกร์</t>
        </is>
      </c>
      <c r="H533" s="325" t="inlineStr">
        <is>
          <t>20101-2002</t>
        </is>
      </c>
      <c r="I533" s="325" t="inlineStr">
        <is>
          <t>ปวช.2/5 ชย. (ปกติ)</t>
        </is>
      </c>
      <c r="J533" s="332" t="inlineStr">
        <is>
          <t>08.10-12.10</t>
        </is>
      </c>
      <c r="K533" s="335" t="n"/>
      <c r="L533" s="252" t="n"/>
      <c r="M533" s="252" t="n"/>
      <c r="N533" s="252" t="n"/>
      <c r="O533" s="244">
        <f>M533*N533</f>
        <v/>
      </c>
      <c r="P533" s="332" t="n"/>
      <c r="Q533" s="265" t="n"/>
      <c r="R533" s="332" t="n"/>
      <c r="S533" s="244">
        <f>Q533*R533</f>
        <v/>
      </c>
    </row>
    <row r="534" ht="22.2" customHeight="1" s="330">
      <c r="A534" s="4" t="n"/>
      <c r="E534" s="4" t="n"/>
      <c r="G534" s="308">
        <f>G488</f>
        <v/>
      </c>
      <c r="H534" s="325" t="inlineStr">
        <is>
          <t>20101-2002</t>
        </is>
      </c>
      <c r="I534" s="325" t="inlineStr">
        <is>
          <t>ปวช.2/5 ชย. (ปกติ)</t>
        </is>
      </c>
      <c r="J534" s="252" t="inlineStr">
        <is>
          <t>13.10-16.10</t>
        </is>
      </c>
      <c r="K534" s="331" t="n"/>
      <c r="L534" s="252" t="n"/>
      <c r="M534" s="252" t="n"/>
      <c r="N534" s="252" t="n"/>
      <c r="O534" s="244">
        <f>M534*N534</f>
        <v/>
      </c>
      <c r="P534" s="252" t="n"/>
      <c r="Q534" s="252" t="n"/>
      <c r="R534" s="252" t="n"/>
      <c r="S534" s="244">
        <f>Q534*R534</f>
        <v/>
      </c>
    </row>
    <row r="535" ht="22.2" customHeight="1" s="330">
      <c r="A535" s="4" t="n"/>
      <c r="E535" s="4" t="n"/>
      <c r="G535" s="252" t="n"/>
      <c r="H535" s="252" t="n"/>
      <c r="I535" s="252" t="n"/>
      <c r="J535" s="252" t="n"/>
      <c r="K535" s="331" t="n"/>
      <c r="L535" s="252" t="n"/>
      <c r="M535" s="252" t="n"/>
      <c r="N535" s="252" t="n"/>
      <c r="O535" s="244">
        <f>M535*N535</f>
        <v/>
      </c>
      <c r="P535" s="252" t="n"/>
      <c r="Q535" s="252" t="n"/>
      <c r="R535" s="252" t="n"/>
      <c r="S535" s="244">
        <f>Q535*R535</f>
        <v/>
      </c>
    </row>
    <row r="536" ht="22.2" customHeight="1" s="330">
      <c r="A536" s="4" t="n"/>
      <c r="E536" s="4" t="n"/>
      <c r="G536" s="252" t="n"/>
      <c r="H536" s="249" t="inlineStr">
        <is>
          <t> </t>
        </is>
      </c>
      <c r="I536" s="252" t="n"/>
      <c r="J536" s="252" t="n"/>
      <c r="K536" s="331" t="n"/>
      <c r="L536" s="252" t="n"/>
      <c r="M536" s="252" t="n"/>
      <c r="N536" s="252" t="n"/>
      <c r="O536" s="244">
        <f>M536*N536</f>
        <v/>
      </c>
      <c r="P536" s="252" t="n"/>
      <c r="Q536" s="252" t="n"/>
      <c r="R536" s="252" t="n"/>
      <c r="S536" s="244">
        <f>Q536*R536</f>
        <v/>
      </c>
    </row>
    <row r="537" ht="22.2" customHeight="1" s="330">
      <c r="A537" s="4" t="n"/>
      <c r="E537" s="4" t="n"/>
      <c r="F537" s="4" t="n"/>
      <c r="G537" s="278" t="n"/>
      <c r="H537" s="301" t="n"/>
      <c r="I537" s="276" t="n"/>
      <c r="J537" s="276" t="n"/>
      <c r="K537" s="476" t="n"/>
      <c r="L537" s="276" t="n"/>
      <c r="M537" s="276" t="n"/>
      <c r="N537" s="276" t="n"/>
      <c r="O537" s="244">
        <f>M537*N537</f>
        <v/>
      </c>
      <c r="P537" s="276" t="n"/>
      <c r="Q537" s="276" t="n"/>
      <c r="R537" s="276" t="n"/>
      <c r="S537" s="244">
        <f>Q537*R537</f>
        <v/>
      </c>
    </row>
    <row r="538" ht="22.2" customHeight="1" s="330">
      <c r="A538" s="4" t="n"/>
      <c r="E538" s="4" t="n"/>
      <c r="F538" s="4" t="n"/>
      <c r="G538" s="17" t="inlineStr">
        <is>
          <t>รวมขั่วโมงที่สอนแยก ภาระงาน/ เกินภาระงาน</t>
        </is>
      </c>
      <c r="H538" s="467" t="n"/>
      <c r="I538" s="467" t="n"/>
      <c r="J538" s="467" t="n"/>
      <c r="K538" s="362" t="n"/>
      <c r="L538" s="17">
        <f>SUM(L513:L537)</f>
        <v/>
      </c>
      <c r="M538" s="17">
        <f>SUM(M513:M537)</f>
        <v/>
      </c>
      <c r="N538" s="17" t="n"/>
      <c r="O538" s="17" t="n"/>
      <c r="P538" s="17">
        <f>SUM(P513:P537)</f>
        <v/>
      </c>
      <c r="Q538" s="17">
        <f>SUM(Q513:Q537)</f>
        <v/>
      </c>
      <c r="R538" s="279" t="n"/>
      <c r="S538" s="17" t="n"/>
    </row>
    <row r="539" ht="22.2" customHeight="1" s="330">
      <c r="A539" s="4" t="n"/>
      <c r="E539" s="4" t="n"/>
      <c r="F539" s="4" t="n"/>
      <c r="G539" s="17" t="inlineStr">
        <is>
          <t>รวมจำนวนชั่วโมงสอนคาบต่อสับดาห์</t>
        </is>
      </c>
      <c r="H539" s="467" t="n"/>
      <c r="I539" s="467" t="n"/>
      <c r="J539" s="467" t="n"/>
      <c r="K539" s="362" t="n"/>
      <c r="L539" s="17">
        <f>L538+M538</f>
        <v/>
      </c>
      <c r="M539" s="362" t="n"/>
      <c r="N539" s="17" t="n"/>
      <c r="O539" s="298" t="n"/>
      <c r="P539" s="17">
        <f>P538+Q538</f>
        <v/>
      </c>
      <c r="Q539" s="362" t="n"/>
      <c r="R539" s="278" t="n"/>
      <c r="S539" s="276" t="n"/>
    </row>
    <row r="540" ht="22.2" customHeight="1" s="330">
      <c r="A540" s="4" t="n"/>
      <c r="E540" s="4" t="n"/>
      <c r="F540" s="4" t="n"/>
      <c r="G540" s="17" t="inlineStr">
        <is>
          <t>จำนวนชั่วโมงสอนตามภาระงานสอน</t>
        </is>
      </c>
      <c r="H540" s="467" t="n"/>
      <c r="I540" s="467" t="n"/>
      <c r="J540" s="467" t="n"/>
      <c r="K540" s="362" t="n"/>
      <c r="L540" s="153" t="inlineStr">
        <is>
          <t>12</t>
        </is>
      </c>
      <c r="M540" s="362" t="n"/>
      <c r="N540" s="152" t="n"/>
      <c r="O540" s="153" t="n"/>
      <c r="P540" s="153" t="inlineStr">
        <is>
          <t>0</t>
        </is>
      </c>
      <c r="Q540" s="362" t="n"/>
      <c r="R540" s="249" t="n"/>
      <c r="S540" s="252" t="n"/>
    </row>
    <row r="541" ht="22.2" customHeight="1" s="330" thickBot="1">
      <c r="A541" s="4" t="n"/>
      <c r="E541" s="4" t="n"/>
      <c r="F541" s="15" t="n"/>
      <c r="G541" s="17" t="inlineStr">
        <is>
          <t>จำนวนชั่วโมงบิกเกินภาระงานสอน/ค่าสอน</t>
        </is>
      </c>
      <c r="H541" s="467" t="n"/>
      <c r="I541" s="467" t="n"/>
      <c r="J541" s="467" t="n"/>
      <c r="K541" s="362" t="n"/>
      <c r="L541" s="18" t="n">
        <v>0</v>
      </c>
      <c r="M541" s="18">
        <f>SUM(M513:M537)</f>
        <v/>
      </c>
      <c r="N541" s="18" t="n"/>
      <c r="O541" s="18">
        <f>SUM(O513:O537)</f>
        <v/>
      </c>
      <c r="P541" s="18" t="n">
        <v>0</v>
      </c>
      <c r="Q541" s="18">
        <f>SUM(Q513:Q537)</f>
        <v/>
      </c>
      <c r="R541" s="19" t="n"/>
      <c r="S541" s="18">
        <f>SUM(S513:S537)</f>
        <v/>
      </c>
    </row>
    <row r="542" ht="22.2" customHeight="1" s="330" thickTop="1">
      <c r="A542" s="299" t="inlineStr">
        <is>
          <t>รวมจำนวนหน่วยชั่วโมงที่ขอเบิกค่าสอน ….</t>
        </is>
      </c>
      <c r="B542" s="467" t="n"/>
      <c r="C542" s="467" t="n"/>
      <c r="D542" s="467" t="n"/>
      <c r="E542" s="467" t="n"/>
      <c r="F542" s="467" t="n"/>
      <c r="G542" s="467" t="n"/>
      <c r="H542" s="298">
        <f>M541+Q541</f>
        <v/>
      </c>
      <c r="I542" s="298" t="inlineStr">
        <is>
          <t>….ชั่วโมง</t>
        </is>
      </c>
      <c r="J542" s="298" t="n"/>
      <c r="K542" s="301" t="inlineStr">
        <is>
          <t>ยอดเงินรวม</t>
        </is>
      </c>
      <c r="L542" s="471" t="n"/>
      <c r="M542" s="471" t="n"/>
      <c r="N542" s="301" t="n"/>
      <c r="O542" s="301" t="n"/>
      <c r="P542" s="302">
        <f>S541+O541</f>
        <v/>
      </c>
      <c r="Q542" s="482" t="n"/>
      <c r="R542" s="21" t="n"/>
      <c r="S542" s="20" t="inlineStr">
        <is>
          <t>..บาท</t>
        </is>
      </c>
    </row>
    <row r="543" ht="22.2" customHeight="1" s="330">
      <c r="A543" s="207" t="inlineStr">
        <is>
          <t>ผู้ขอเบิก</t>
        </is>
      </c>
      <c r="B543" s="334" t="n"/>
      <c r="C543" s="334" t="n"/>
      <c r="D543" s="334" t="n"/>
      <c r="E543" s="334" t="n"/>
      <c r="F543" s="334" t="n"/>
      <c r="G543" s="335" t="n"/>
      <c r="H543" s="207" t="inlineStr">
        <is>
          <t>ผู้รับรอง</t>
        </is>
      </c>
      <c r="I543" s="334" t="n"/>
      <c r="J543" s="334" t="n"/>
      <c r="K543" s="334" t="n"/>
      <c r="L543" s="335" t="n"/>
      <c r="M543" s="207" t="inlineStr">
        <is>
          <t>ผู้ตรวจ</t>
        </is>
      </c>
      <c r="N543" s="334" t="n"/>
      <c r="O543" s="334" t="n"/>
      <c r="P543" s="334" t="n"/>
      <c r="Q543" s="334" t="n"/>
      <c r="R543" s="334" t="n"/>
      <c r="S543" s="335" t="n"/>
    </row>
    <row r="544" ht="22.2" customHeight="1" s="330">
      <c r="A544" s="252" t="inlineStr">
        <is>
          <t>ลงชื่อ……………………………………………</t>
        </is>
      </c>
      <c r="G544" s="331" t="n"/>
      <c r="H544" s="252" t="inlineStr">
        <is>
          <t>ลงชื่อ……………………………………………</t>
        </is>
      </c>
      <c r="L544" s="331" t="n"/>
      <c r="M544" s="252" t="inlineStr">
        <is>
          <t>ลงชื่อ……………………………………………</t>
        </is>
      </c>
      <c r="S544" s="331" t="n"/>
    </row>
    <row r="545" ht="22.2" customHeight="1" s="330">
      <c r="A545" s="12" t="inlineStr">
        <is>
          <t>(</t>
        </is>
      </c>
      <c r="B545" s="309">
        <f>B513</f>
        <v/>
      </c>
      <c r="G545" s="310" t="inlineStr">
        <is>
          <t>)</t>
        </is>
      </c>
      <c r="H545" s="309" t="inlineStr">
        <is>
          <t>(</t>
        </is>
      </c>
      <c r="I545" s="314">
        <f>I499</f>
        <v/>
      </c>
      <c r="L545" s="13" t="inlineStr">
        <is>
          <t>)</t>
        </is>
      </c>
      <c r="M545" s="61" t="inlineStr">
        <is>
          <t>(</t>
        </is>
      </c>
      <c r="N545" s="61" t="n"/>
      <c r="O545" s="309" t="inlineStr">
        <is>
          <t>นายพิสุทธิศักดิ์  กล่อมนาค</t>
        </is>
      </c>
      <c r="R545" s="29" t="n"/>
      <c r="S545" s="310" t="inlineStr">
        <is>
          <t>)</t>
        </is>
      </c>
    </row>
    <row r="546" ht="22.2" customHeight="1" s="330">
      <c r="A546" s="483" t="inlineStr">
        <is>
          <t xml:space="preserve">                 ตำแหน่ง  ครู </t>
        </is>
      </c>
      <c r="G546" s="331" t="n"/>
      <c r="H546" s="62" t="inlineStr">
        <is>
          <t>ตำแหน่ง หัวหน้าแผนก</t>
        </is>
      </c>
      <c r="L546" s="331" t="n"/>
      <c r="M546" s="62" t="inlineStr">
        <is>
          <t>ตำแหน่ง   ผู้ตรวจสอบ</t>
        </is>
      </c>
      <c r="S546" s="331" t="n"/>
    </row>
    <row r="547" ht="22.2" customHeight="1" s="330">
      <c r="A547" s="63">
        <f>A87</f>
        <v/>
      </c>
      <c r="B547" s="471" t="n"/>
      <c r="C547" s="471" t="n"/>
      <c r="D547" s="471" t="n"/>
      <c r="E547" s="471" t="n"/>
      <c r="F547" s="471" t="n"/>
      <c r="G547" s="476" t="n"/>
      <c r="H547" s="62">
        <f>A87</f>
        <v/>
      </c>
      <c r="L547" s="331" t="n"/>
      <c r="M547" s="63">
        <f>A87</f>
        <v/>
      </c>
      <c r="N547" s="471" t="n"/>
      <c r="O547" s="471" t="n"/>
      <c r="P547" s="471" t="n"/>
      <c r="Q547" s="471" t="n"/>
      <c r="R547" s="471" t="n"/>
      <c r="S547" s="476" t="n"/>
    </row>
    <row r="548" ht="22.2" customHeight="1" s="330">
      <c r="A548" s="207" t="inlineStr">
        <is>
          <t>ผู้ตรวจ</t>
        </is>
      </c>
      <c r="B548" s="334" t="n"/>
      <c r="C548" s="334" t="n"/>
      <c r="D548" s="334" t="n"/>
      <c r="E548" s="334" t="n"/>
      <c r="F548" s="334" t="n"/>
      <c r="G548" s="334" t="n"/>
      <c r="H548" s="334" t="n"/>
      <c r="I548" s="335" t="n"/>
      <c r="J548" s="207" t="inlineStr">
        <is>
          <t>ผู้เห็นชอบ</t>
        </is>
      </c>
      <c r="K548" s="334" t="n"/>
      <c r="L548" s="334" t="n"/>
      <c r="M548" s="334" t="n"/>
      <c r="N548" s="334" t="n"/>
      <c r="O548" s="334" t="n"/>
      <c r="P548" s="334" t="n"/>
      <c r="Q548" s="334" t="n"/>
      <c r="R548" s="334" t="n"/>
      <c r="S548" s="335" t="n"/>
    </row>
    <row r="549" ht="22.2" customHeight="1" s="330">
      <c r="A549" s="252" t="inlineStr">
        <is>
          <t>ลงชื่อ……………………………………………</t>
        </is>
      </c>
      <c r="I549" s="331" t="n"/>
      <c r="J549" s="252" t="inlineStr">
        <is>
          <t>ลงชื่อ……………………………………………</t>
        </is>
      </c>
      <c r="S549" s="331" t="n"/>
    </row>
    <row r="550" ht="22.2" customHeight="1" s="330">
      <c r="A550" s="12" t="n"/>
      <c r="B550" s="309" t="inlineStr">
        <is>
          <t xml:space="preserve">          (นางศิวรักษ์   บุญประเสริฐ)</t>
        </is>
      </c>
      <c r="I550" s="310" t="n"/>
      <c r="J550" s="29" t="n"/>
      <c r="K550" s="29" t="n"/>
      <c r="L550" s="309" t="inlineStr">
        <is>
          <t>(นายปรีชา  โพธิ์เกิด)</t>
        </is>
      </c>
      <c r="R550" s="29" t="n"/>
      <c r="S550" s="13" t="n"/>
    </row>
    <row r="551" ht="22.2" customHeight="1" s="330">
      <c r="A551" s="62" t="inlineStr">
        <is>
          <t>ตำแหน่งครู  หัวหน้างานพัฒนาหลักสูตร ฯ</t>
        </is>
      </c>
      <c r="I551" s="331" t="n"/>
      <c r="J551" s="62" t="inlineStr">
        <is>
          <t>ตำแหน่ง  รองผู้อำนวยการฝ่ายวิชาการ</t>
        </is>
      </c>
      <c r="S551" s="331" t="n"/>
    </row>
    <row r="552" ht="22.2" customHeight="1" s="330">
      <c r="A552" s="63">
        <f>A87</f>
        <v/>
      </c>
      <c r="B552" s="471" t="n"/>
      <c r="C552" s="471" t="n"/>
      <c r="D552" s="471" t="n"/>
      <c r="E552" s="471" t="n"/>
      <c r="F552" s="471" t="n"/>
      <c r="G552" s="471" t="n"/>
      <c r="H552" s="471" t="n"/>
      <c r="I552" s="476" t="n"/>
      <c r="J552" s="63">
        <f>A87</f>
        <v/>
      </c>
      <c r="K552" s="471" t="n"/>
      <c r="L552" s="471" t="n"/>
      <c r="M552" s="471" t="n"/>
      <c r="N552" s="471" t="n"/>
      <c r="O552" s="471" t="n"/>
      <c r="P552" s="471" t="n"/>
      <c r="Q552" s="471" t="n"/>
      <c r="R552" s="471" t="n"/>
      <c r="S552" s="476" t="n"/>
    </row>
    <row r="553" ht="22.2" customHeight="1" s="330">
      <c r="A55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554" ht="22.2" customHeight="1" s="330">
      <c r="A554" s="254">
        <f>A2</f>
        <v/>
      </c>
    </row>
    <row r="555" ht="22.2" customHeight="1" s="330">
      <c r="A555" s="253" t="inlineStr">
        <is>
          <t xml:space="preserve">    ระหว่างวันที่</t>
        </is>
      </c>
      <c r="D555" s="254">
        <f>D3</f>
        <v/>
      </c>
      <c r="E555" s="254" t="inlineStr">
        <is>
          <t xml:space="preserve">   เดือน  </t>
        </is>
      </c>
      <c r="F555" s="254">
        <f>F3</f>
        <v/>
      </c>
      <c r="H555" s="254">
        <f>H3</f>
        <v/>
      </c>
      <c r="I555" s="254" t="inlineStr">
        <is>
          <t xml:space="preserve">     ถึง วันที่</t>
        </is>
      </c>
      <c r="J555" s="254">
        <f>J3</f>
        <v/>
      </c>
      <c r="K555" s="254" t="inlineStr">
        <is>
          <t xml:space="preserve">   เดือน </t>
        </is>
      </c>
      <c r="L555" s="254">
        <f>L3</f>
        <v/>
      </c>
      <c r="N555" s="254">
        <f>N3</f>
        <v/>
      </c>
      <c r="P555" s="254" t="n"/>
      <c r="R555" s="254" t="n"/>
    </row>
    <row r="556" ht="22.2" customHeight="1" s="330">
      <c r="G556" s="58" t="inlineStr">
        <is>
          <t>ü</t>
        </is>
      </c>
      <c r="H556" s="301" t="inlineStr">
        <is>
          <t>ครู</t>
        </is>
      </c>
      <c r="I556" s="301" t="inlineStr">
        <is>
          <t>หน้าที่พิเศษ</t>
        </is>
      </c>
      <c r="J556" s="290" t="n"/>
      <c r="K556" s="290" t="n"/>
      <c r="L556" s="290" t="n"/>
      <c r="M556" s="290" t="n"/>
      <c r="N556" s="290" t="n"/>
      <c r="O556" s="290" t="n"/>
      <c r="P556" s="290" t="n"/>
      <c r="Q556" s="290" t="n"/>
      <c r="R556" s="290" t="n"/>
      <c r="S556" s="290" t="n"/>
    </row>
    <row r="557" ht="22.2" customHeight="1" s="330">
      <c r="A557" s="28" t="inlineStr">
        <is>
          <t>ที่</t>
        </is>
      </c>
      <c r="B557" s="28" t="inlineStr">
        <is>
          <t>ชื่อ-สกุล</t>
        </is>
      </c>
      <c r="C557" s="334" t="n"/>
      <c r="D557" s="335" t="n"/>
      <c r="E557" s="16" t="inlineStr">
        <is>
          <t>ตำแหน่ง</t>
        </is>
      </c>
      <c r="F557" s="17" t="inlineStr">
        <is>
          <t>ระยะเวลาที่สอน</t>
        </is>
      </c>
      <c r="G557" s="362" t="n"/>
      <c r="H557" s="17" t="inlineStr">
        <is>
          <t>รหัสวิชา</t>
        </is>
      </c>
      <c r="I557" s="275" t="inlineStr">
        <is>
          <t>ชั้น,แผนก,ห้อง</t>
        </is>
      </c>
      <c r="J557" s="17" t="inlineStr">
        <is>
          <t>เวลาสอน</t>
        </is>
      </c>
      <c r="K557" s="335" t="n"/>
      <c r="L557" s="17" t="inlineStr">
        <is>
          <t>ปวช.(คาบ)</t>
        </is>
      </c>
      <c r="M557" s="362" t="n"/>
      <c r="N557" s="244" t="inlineStr">
        <is>
          <t>เงิน</t>
        </is>
      </c>
      <c r="O557" s="275" t="inlineStr">
        <is>
          <t>ยอดเงิน</t>
        </is>
      </c>
      <c r="P557" s="473" t="inlineStr">
        <is>
          <t>ปวส.(คาบ)</t>
        </is>
      </c>
      <c r="Q557" s="362" t="n"/>
      <c r="R557" s="244" t="inlineStr">
        <is>
          <t>เงิน</t>
        </is>
      </c>
      <c r="S557" s="275" t="inlineStr">
        <is>
          <t>ยอดเงิน</t>
        </is>
      </c>
    </row>
    <row r="558" ht="22.2" customHeight="1" s="330">
      <c r="A558" s="60" t="n"/>
      <c r="B558" s="9" t="n"/>
      <c r="C558" s="10" t="n"/>
      <c r="D558" s="14" t="n"/>
      <c r="E558" s="11" t="n"/>
      <c r="F558" s="276" t="inlineStr">
        <is>
          <t>ส.</t>
        </is>
      </c>
      <c r="G558" s="276" t="inlineStr">
        <is>
          <t>วดป.</t>
        </is>
      </c>
      <c r="H558" s="474" t="n"/>
      <c r="I558" s="276" t="n"/>
      <c r="J558" s="475" t="n"/>
      <c r="K558" s="476" t="n"/>
      <c r="L558" s="276" t="inlineStr">
        <is>
          <t>ใน</t>
        </is>
      </c>
      <c r="M558" s="276" t="inlineStr">
        <is>
          <t>นอก</t>
        </is>
      </c>
      <c r="N558" s="276" t="inlineStr">
        <is>
          <t>ต่อ ชม.</t>
        </is>
      </c>
      <c r="O558" s="276" t="inlineStr">
        <is>
          <t>(บาท)</t>
        </is>
      </c>
      <c r="P558" s="60" t="inlineStr">
        <is>
          <t>ใน</t>
        </is>
      </c>
      <c r="Q558" s="60" t="inlineStr">
        <is>
          <t>นอก</t>
        </is>
      </c>
      <c r="R558" s="276" t="inlineStr">
        <is>
          <t>ต่อ ชม.</t>
        </is>
      </c>
      <c r="S558" s="276" t="inlineStr">
        <is>
          <t>(บาท)</t>
        </is>
      </c>
    </row>
    <row r="559" ht="22.2" customHeight="1" s="330">
      <c r="A559" s="275" t="n">
        <v>13</v>
      </c>
      <c r="B559" s="477">
        <f>AB15</f>
        <v/>
      </c>
      <c r="C559" s="334" t="n"/>
      <c r="D559" s="335" t="n"/>
      <c r="E559" s="275" t="inlineStr">
        <is>
          <t>ครู</t>
        </is>
      </c>
      <c r="F559" s="6">
        <f>F7</f>
        <v/>
      </c>
      <c r="G559" s="303" t="inlineStr">
        <is>
          <t>จันทร์</t>
        </is>
      </c>
      <c r="H559" s="332" t="n"/>
      <c r="I559" s="332" t="n"/>
      <c r="J559" s="332" t="n"/>
      <c r="K559" s="335" t="n"/>
      <c r="L559" s="265" t="n"/>
      <c r="M559" s="332" t="n"/>
      <c r="N559" s="332" t="n"/>
      <c r="O559" s="244">
        <f>M559*N559</f>
        <v/>
      </c>
      <c r="P559" s="332" t="n"/>
      <c r="Q559" s="265" t="n"/>
      <c r="R559" s="332" t="n"/>
      <c r="S559" s="244">
        <f>Q559*R559</f>
        <v/>
      </c>
    </row>
    <row r="560" ht="22.2" customHeight="1" s="330">
      <c r="A560" s="4" t="n"/>
      <c r="B560" s="478" t="n"/>
      <c r="D560" s="331" t="n"/>
      <c r="E560" s="252" t="n"/>
      <c r="F560" s="249" t="n"/>
      <c r="G560" s="308">
        <f>G468</f>
        <v/>
      </c>
      <c r="H560" s="325" t="n"/>
      <c r="I560" s="325" t="n"/>
      <c r="J560" s="252" t="n"/>
      <c r="K560" s="331" t="n"/>
      <c r="L560" s="252" t="n"/>
      <c r="M560" s="252" t="n"/>
      <c r="N560" s="252" t="n"/>
      <c r="O560" s="244">
        <f>M560*N560</f>
        <v/>
      </c>
      <c r="P560" s="252" t="n"/>
      <c r="Q560" s="252" t="n"/>
      <c r="R560" s="252" t="n"/>
      <c r="S560" s="244">
        <f>Q560*R560</f>
        <v/>
      </c>
      <c r="T560" s="290" t="n"/>
    </row>
    <row r="561" ht="22.2" customHeight="1" s="330">
      <c r="A561" s="4" t="n"/>
      <c r="B561" s="5" t="n"/>
      <c r="D561" s="3" t="n"/>
      <c r="E561" s="3" t="n"/>
      <c r="F561" s="249" t="n"/>
      <c r="G561" s="248" t="n"/>
      <c r="H561" s="325" t="n"/>
      <c r="I561" s="252" t="n"/>
      <c r="J561" s="252" t="n"/>
      <c r="K561" s="331" t="n"/>
      <c r="L561" s="252" t="n"/>
      <c r="M561" s="252" t="n"/>
      <c r="N561" s="252" t="n"/>
      <c r="O561" s="244">
        <f>M561*N561</f>
        <v/>
      </c>
      <c r="P561" s="252" t="n"/>
      <c r="Q561" s="252" t="n"/>
      <c r="R561" s="252" t="n"/>
      <c r="S561" s="244">
        <f>Q561*R561</f>
        <v/>
      </c>
    </row>
    <row r="562" ht="22.2" customHeight="1" s="330">
      <c r="A562" s="4" t="n"/>
      <c r="B562" s="5" t="n"/>
      <c r="E562" s="4" t="n"/>
      <c r="F562" s="249" t="n"/>
      <c r="G562" s="248" t="n"/>
      <c r="H562" s="252" t="n"/>
      <c r="I562" s="252" t="n"/>
      <c r="J562" s="252" t="n"/>
      <c r="K562" s="331" t="n"/>
      <c r="L562" s="252" t="n"/>
      <c r="M562" s="252" t="n"/>
      <c r="N562" s="252" t="n"/>
      <c r="O562" s="244">
        <f>M562*N562</f>
        <v/>
      </c>
      <c r="P562" s="252" t="n"/>
      <c r="Q562" s="252" t="n"/>
      <c r="R562" s="252" t="n"/>
      <c r="S562" s="244">
        <f>Q562*R562</f>
        <v/>
      </c>
    </row>
    <row r="563" ht="22.2" customHeight="1" s="330">
      <c r="A563" s="4" t="n"/>
      <c r="E563" s="4" t="n"/>
      <c r="G563" s="311" t="n"/>
      <c r="H563" s="276" t="n"/>
      <c r="I563" s="276" t="n"/>
      <c r="J563" s="276" t="n"/>
      <c r="K563" s="476" t="n"/>
      <c r="L563" s="252" t="n"/>
      <c r="M563" s="252" t="n"/>
      <c r="N563" s="252" t="n"/>
      <c r="O563" s="244">
        <f>M563*N563</f>
        <v/>
      </c>
      <c r="P563" s="252" t="n"/>
      <c r="Q563" s="252" t="n"/>
      <c r="R563" s="252" t="n"/>
      <c r="S563" s="244">
        <f>Q563*R563</f>
        <v/>
      </c>
    </row>
    <row r="564" ht="22.2" customHeight="1" s="330">
      <c r="A564" s="4" t="n"/>
      <c r="E564" s="4" t="n"/>
      <c r="G564" s="62" t="inlineStr">
        <is>
          <t>อังคาร</t>
        </is>
      </c>
      <c r="H564" s="332" t="inlineStr">
        <is>
          <t>20101-2007</t>
        </is>
      </c>
      <c r="I564" s="325" t="inlineStr">
        <is>
          <t>ปวช.3/9,10 ชย. (ทวิ)</t>
        </is>
      </c>
      <c r="J564" s="332" t="inlineStr">
        <is>
          <t>08.10-10.10</t>
        </is>
      </c>
      <c r="K564" s="335" t="n"/>
      <c r="L564" s="265" t="n"/>
      <c r="M564" s="332" t="n"/>
      <c r="N564" s="332" t="n"/>
      <c r="O564" s="244">
        <f>M564*N564</f>
        <v/>
      </c>
      <c r="P564" s="332" t="n"/>
      <c r="Q564" s="265" t="n"/>
      <c r="R564" s="332" t="n"/>
      <c r="S564" s="244">
        <f>Q564*R564</f>
        <v/>
      </c>
      <c r="T564" s="24" t="n"/>
      <c r="U564" s="24" t="inlineStr">
        <is>
          <t>สอน ป.ตรี</t>
        </is>
      </c>
      <c r="V564" s="65" t="n"/>
      <c r="W564" s="24" t="n"/>
      <c r="X564" s="24" t="n"/>
    </row>
    <row r="565" ht="22.2" customHeight="1" s="330">
      <c r="A565" s="4" t="n"/>
      <c r="E565" s="4" t="n"/>
      <c r="G565" s="308">
        <f>G473</f>
        <v/>
      </c>
      <c r="H565" s="325" t="inlineStr">
        <is>
          <t>20101-2006</t>
        </is>
      </c>
      <c r="I565" s="325" t="inlineStr">
        <is>
          <t>ปวช.2/1,2 ชย. (ปกติ)</t>
        </is>
      </c>
      <c r="J565" s="325" t="inlineStr">
        <is>
          <t>10.10-12.10</t>
        </is>
      </c>
      <c r="K565" s="331" t="n"/>
      <c r="L565" s="252" t="n"/>
      <c r="M565" s="252" t="n"/>
      <c r="N565" s="252" t="n"/>
      <c r="O565" s="244">
        <f>M565*N565</f>
        <v/>
      </c>
      <c r="P565" s="252" t="n"/>
      <c r="Q565" s="252" t="n"/>
      <c r="R565" s="252" t="n"/>
      <c r="S565" s="244">
        <f>Q565*R565</f>
        <v/>
      </c>
      <c r="T565" s="24" t="n"/>
      <c r="U565" s="24" t="inlineStr">
        <is>
          <t>18.10-21.10</t>
        </is>
      </c>
      <c r="V565" s="65" t="n"/>
      <c r="W565" s="24" t="n"/>
      <c r="X565" s="24" t="n"/>
    </row>
    <row r="566" ht="22.2" customHeight="1" s="330">
      <c r="A566" s="4" t="n"/>
      <c r="B566" s="5" t="n"/>
      <c r="D566" s="3" t="n"/>
      <c r="E566" s="3" t="n"/>
      <c r="G566" s="252" t="n"/>
      <c r="H566" s="325" t="inlineStr">
        <is>
          <t>20101-2006</t>
        </is>
      </c>
      <c r="I566" s="325" t="inlineStr">
        <is>
          <t>ปวช.2/5,6 ชย. (ปกติ)</t>
        </is>
      </c>
      <c r="J566" s="252" t="inlineStr">
        <is>
          <t>17.10-19.10</t>
        </is>
      </c>
      <c r="K566" s="331" t="n"/>
      <c r="L566" s="252" t="n"/>
      <c r="M566" s="252" t="n"/>
      <c r="N566" s="252" t="n"/>
      <c r="O566" s="244">
        <f>M566*N566</f>
        <v/>
      </c>
      <c r="P566" s="252" t="n"/>
      <c r="Q566" s="252" t="n"/>
      <c r="R566" s="252" t="n"/>
      <c r="S566" s="244">
        <f>Q566*R566</f>
        <v/>
      </c>
    </row>
    <row r="567" ht="22.2" customHeight="1" s="330">
      <c r="A567" s="4" t="n"/>
      <c r="E567" s="4" t="n"/>
      <c r="G567" s="62" t="n"/>
      <c r="H567" s="249" t="n"/>
      <c r="I567" s="252" t="n"/>
      <c r="J567" s="252" t="n"/>
      <c r="K567" s="331" t="n"/>
      <c r="L567" s="252" t="n"/>
      <c r="M567" s="252" t="n"/>
      <c r="N567" s="252" t="n"/>
      <c r="O567" s="244">
        <f>M567*N567</f>
        <v/>
      </c>
      <c r="P567" s="252" t="n"/>
      <c r="Q567" s="252" t="n"/>
      <c r="R567" s="252" t="n"/>
      <c r="S567" s="244">
        <f>Q567*R567</f>
        <v/>
      </c>
    </row>
    <row r="568" ht="22.2" customHeight="1" s="330">
      <c r="A568" s="4" t="n"/>
      <c r="D568" s="8" t="inlineStr">
        <is>
          <t> </t>
        </is>
      </c>
      <c r="E568" s="4" t="n"/>
      <c r="G568" s="63" t="n"/>
      <c r="H568" s="276" t="n"/>
      <c r="I568" s="276" t="n"/>
      <c r="J568" s="276" t="n"/>
      <c r="K568" s="476" t="n"/>
      <c r="L568" s="252" t="n"/>
      <c r="M568" s="252" t="n"/>
      <c r="N568" s="252" t="n"/>
      <c r="O568" s="244">
        <f>M568*N568</f>
        <v/>
      </c>
      <c r="P568" s="252" t="n"/>
      <c r="Q568" s="252" t="n"/>
      <c r="R568" s="252" t="n"/>
      <c r="S568" s="244">
        <f>Q568*R568</f>
        <v/>
      </c>
    </row>
    <row r="569" ht="22.2" customHeight="1" s="330">
      <c r="A569" s="4" t="n"/>
      <c r="E569" s="4" t="n"/>
      <c r="G569" s="308" t="inlineStr">
        <is>
          <t>พุธ</t>
        </is>
      </c>
      <c r="H569" s="325" t="inlineStr">
        <is>
          <t>20101-2209</t>
        </is>
      </c>
      <c r="I569" s="325" t="inlineStr">
        <is>
          <t>ปวช.2/5,6 ชย. (ปกติ)</t>
        </is>
      </c>
      <c r="J569" s="332" t="inlineStr">
        <is>
          <t>08.10-12.10</t>
        </is>
      </c>
      <c r="K569" s="335" t="n"/>
      <c r="L569" s="265" t="n"/>
      <c r="M569" s="332" t="n"/>
      <c r="N569" s="332" t="n"/>
      <c r="O569" s="244">
        <f>M569*N569</f>
        <v/>
      </c>
      <c r="P569" s="332" t="n"/>
      <c r="Q569" s="265" t="n"/>
      <c r="R569" s="332" t="n"/>
      <c r="S569" s="244">
        <f>Q569*R569</f>
        <v/>
      </c>
      <c r="T569" s="7" t="n"/>
      <c r="U569" s="23" t="inlineStr">
        <is>
          <t>เบิก ธุรการ</t>
        </is>
      </c>
      <c r="V569" s="66" t="n"/>
      <c r="W569" s="22" t="n"/>
      <c r="X569" s="22" t="n"/>
    </row>
    <row r="570" ht="22.2" customHeight="1" s="330">
      <c r="A570" s="4" t="n"/>
      <c r="B570" s="248" t="n"/>
      <c r="C570" s="249" t="n"/>
      <c r="D570" s="249" t="n"/>
      <c r="E570" s="252" t="n"/>
      <c r="G570" s="308">
        <f>G478</f>
        <v/>
      </c>
      <c r="H570" s="325" t="inlineStr">
        <is>
          <t>20101-2209</t>
        </is>
      </c>
      <c r="I570" s="325" t="inlineStr">
        <is>
          <t>ปวช.2/5,6 ชย. (ปกติ)</t>
        </is>
      </c>
      <c r="J570" s="252" t="inlineStr">
        <is>
          <t>13.10-16.10</t>
        </is>
      </c>
      <c r="K570" s="331" t="n"/>
      <c r="L570" s="252" t="n"/>
      <c r="M570" s="252" t="n"/>
      <c r="N570" s="252" t="n"/>
      <c r="O570" s="244">
        <f>M570*N570</f>
        <v/>
      </c>
      <c r="P570" s="252" t="n"/>
      <c r="Q570" s="252" t="n"/>
      <c r="R570" s="252" t="n"/>
      <c r="S570" s="244">
        <f>Q570*R570</f>
        <v/>
      </c>
      <c r="T570" s="22" t="inlineStr">
        <is>
          <t> </t>
        </is>
      </c>
      <c r="U570" s="23" t="inlineStr">
        <is>
          <t>16.10-19.10</t>
        </is>
      </c>
      <c r="V570" s="66" t="n"/>
      <c r="W570" s="22" t="n"/>
      <c r="X570" s="22" t="n"/>
    </row>
    <row r="571" ht="22.2" customHeight="1" s="330">
      <c r="A571" s="4" t="n"/>
      <c r="B571" s="5" t="n"/>
      <c r="D571" s="3" t="n"/>
      <c r="E571" s="3" t="n"/>
      <c r="G571" s="252" t="n"/>
      <c r="H571" s="325" t="inlineStr">
        <is>
          <t>20101-2006</t>
        </is>
      </c>
      <c r="I571" s="325" t="inlineStr">
        <is>
          <t>ปวช.2/7,8 ชย. (ปกติ)</t>
        </is>
      </c>
      <c r="J571" s="252" t="inlineStr">
        <is>
          <t>17.10-19.10</t>
        </is>
      </c>
      <c r="K571" s="331" t="n"/>
      <c r="L571" s="252" t="n"/>
      <c r="M571" s="252" t="n"/>
      <c r="N571" s="252" t="n"/>
      <c r="O571" s="244">
        <f>M571*N571</f>
        <v/>
      </c>
      <c r="P571" s="252" t="n"/>
      <c r="Q571" s="252" t="n"/>
      <c r="R571" s="252" t="n"/>
      <c r="S571" s="244">
        <f>Q571*R571</f>
        <v/>
      </c>
    </row>
    <row r="572" ht="22.2" customHeight="1" s="330">
      <c r="A572" s="4" t="n"/>
      <c r="E572" s="4" t="n"/>
      <c r="G572" s="248" t="n"/>
      <c r="H572" s="248" t="n"/>
      <c r="I572" s="252" t="n"/>
      <c r="J572" s="252" t="n"/>
      <c r="K572" s="331" t="n"/>
      <c r="L572" s="252" t="n"/>
      <c r="M572" s="252" t="n"/>
      <c r="N572" s="252" t="n"/>
      <c r="O572" s="244">
        <f>M572*N572</f>
        <v/>
      </c>
      <c r="P572" s="252" t="n"/>
      <c r="Q572" s="252" t="n"/>
      <c r="R572" s="252" t="n"/>
      <c r="S572" s="244">
        <f>Q572*R572</f>
        <v/>
      </c>
    </row>
    <row r="573" ht="22.2" customHeight="1" s="330">
      <c r="A573" s="4" t="n"/>
      <c r="E573" s="4" t="n"/>
      <c r="G573" s="277" t="n"/>
      <c r="H573" s="277" t="n"/>
      <c r="I573" s="276" t="n"/>
      <c r="J573" s="276" t="n"/>
      <c r="K573" s="476" t="n"/>
      <c r="L573" s="276" t="n"/>
      <c r="M573" s="276" t="n"/>
      <c r="N573" s="276" t="n"/>
      <c r="O573" s="244">
        <f>M573*N573</f>
        <v/>
      </c>
      <c r="P573" s="276" t="n"/>
      <c r="Q573" s="276" t="n"/>
      <c r="R573" s="276" t="n"/>
      <c r="S573" s="244">
        <f>Q573*R573</f>
        <v/>
      </c>
    </row>
    <row r="574" ht="22.2" customHeight="1" s="330">
      <c r="A574" s="4" t="n"/>
      <c r="E574" s="4" t="n"/>
      <c r="G574" s="62" t="inlineStr">
        <is>
          <t>พฤหัส</t>
        </is>
      </c>
      <c r="H574" s="325" t="inlineStr">
        <is>
          <t>20101-2209</t>
        </is>
      </c>
      <c r="I574" s="325" t="inlineStr">
        <is>
          <t>ปวช.2/7,8 ชย. (ปกติ)</t>
        </is>
      </c>
      <c r="J574" s="332" t="inlineStr">
        <is>
          <t>08.10-12.10</t>
        </is>
      </c>
      <c r="K574" s="335" t="n"/>
      <c r="L574" s="265" t="n"/>
      <c r="M574" s="252" t="n"/>
      <c r="N574" s="252" t="n"/>
      <c r="O574" s="244">
        <f>M574*N574</f>
        <v/>
      </c>
      <c r="P574" s="252" t="n"/>
      <c r="Q574" s="275" t="n"/>
      <c r="R574" s="275" t="n"/>
      <c r="S574" s="244">
        <f>Q574*R574</f>
        <v/>
      </c>
      <c r="T574" s="25" t="n"/>
      <c r="U574" s="26" t="inlineStr">
        <is>
          <t xml:space="preserve">     PLC</t>
        </is>
      </c>
      <c r="V574" s="64" t="n"/>
      <c r="W574" s="27" t="n"/>
      <c r="X574" s="27" t="n"/>
    </row>
    <row r="575" ht="22.2" customHeight="1" s="330">
      <c r="A575" s="4" t="n"/>
      <c r="E575" s="4" t="n"/>
      <c r="G575" s="308">
        <f>G483</f>
        <v/>
      </c>
      <c r="H575" s="325" t="inlineStr">
        <is>
          <t>20000-2002</t>
        </is>
      </c>
      <c r="I575" s="325" t="inlineStr">
        <is>
          <t>ปวช.1/3,4 ชย. (ปกติ)</t>
        </is>
      </c>
      <c r="J575" s="325" t="inlineStr">
        <is>
          <t>13.10-15.10</t>
        </is>
      </c>
      <c r="K575" s="331" t="n"/>
      <c r="L575" s="252" t="n"/>
      <c r="M575" s="252" t="n"/>
      <c r="N575" s="252" t="n"/>
      <c r="O575" s="244">
        <f>M575*N575</f>
        <v/>
      </c>
      <c r="P575" s="252" t="n"/>
      <c r="Q575" s="252" t="n"/>
      <c r="R575" s="252" t="n"/>
      <c r="S575" s="244">
        <f>Q575*R575</f>
        <v/>
      </c>
      <c r="T575" s="27" t="inlineStr">
        <is>
          <t> </t>
        </is>
      </c>
      <c r="U575" s="26" t="inlineStr">
        <is>
          <t>17.10-19.10</t>
        </is>
      </c>
      <c r="V575" s="64" t="n"/>
      <c r="W575" s="27" t="n"/>
      <c r="X575" s="27" t="n"/>
    </row>
    <row r="576" ht="22.2" customHeight="1" s="330">
      <c r="A576" s="4" t="n"/>
      <c r="B576" s="5" t="n"/>
      <c r="E576" s="4" t="n"/>
      <c r="G576" s="252" t="n"/>
      <c r="H576" s="325" t="inlineStr">
        <is>
          <t>20101-2209</t>
        </is>
      </c>
      <c r="I576" s="325" t="inlineStr">
        <is>
          <t>ปวช.2/7,8 ชย. (ปกติ)</t>
        </is>
      </c>
      <c r="J576" s="325" t="inlineStr">
        <is>
          <t>15.10-18.10</t>
        </is>
      </c>
      <c r="K576" s="331" t="n"/>
      <c r="L576" s="325" t="n"/>
      <c r="M576" s="325" t="n"/>
      <c r="N576" s="325" t="n"/>
      <c r="O576" s="244">
        <f>M576*N576</f>
        <v/>
      </c>
      <c r="P576" s="325" t="n"/>
      <c r="Q576" s="325" t="n"/>
      <c r="R576" s="325" t="n"/>
      <c r="S576" s="244">
        <f>Q576*R576</f>
        <v/>
      </c>
    </row>
    <row r="577" ht="22.2" customHeight="1" s="330">
      <c r="A577" s="4" t="n"/>
      <c r="E577" s="4" t="n"/>
      <c r="G577" s="252" t="n"/>
      <c r="H577" s="252" t="n"/>
      <c r="I577" s="252" t="n"/>
      <c r="J577" s="252" t="n"/>
      <c r="K577" s="331" t="n"/>
      <c r="L577" s="252" t="n"/>
      <c r="M577" s="252" t="n"/>
      <c r="N577" s="252" t="n"/>
      <c r="O577" s="244">
        <f>M577*N577</f>
        <v/>
      </c>
      <c r="P577" s="252" t="n"/>
      <c r="Q577" s="252" t="n"/>
      <c r="R577" s="252" t="n"/>
      <c r="S577" s="244">
        <f>Q577*R577</f>
        <v/>
      </c>
    </row>
    <row r="578" ht="22.2" customHeight="1" s="330">
      <c r="A578" s="4" t="n"/>
      <c r="E578" s="4" t="n"/>
      <c r="G578" s="276" t="n"/>
      <c r="H578" s="301" t="n"/>
      <c r="I578" s="276" t="n"/>
      <c r="J578" s="276" t="n"/>
      <c r="K578" s="476" t="n"/>
      <c r="L578" s="276" t="n"/>
      <c r="M578" s="276" t="n"/>
      <c r="N578" s="276" t="n"/>
      <c r="O578" s="244">
        <f>M578*N578</f>
        <v/>
      </c>
      <c r="P578" s="276" t="n"/>
      <c r="Q578" s="276" t="n"/>
      <c r="R578" s="276" t="n"/>
      <c r="S578" s="244">
        <f>Q578*R578</f>
        <v/>
      </c>
    </row>
    <row r="579" ht="22.2" customHeight="1" s="330">
      <c r="A579" s="4" t="n"/>
      <c r="E579" s="4" t="n"/>
      <c r="G579" s="62" t="inlineStr">
        <is>
          <t>ศุกร์</t>
        </is>
      </c>
      <c r="H579" s="325" t="inlineStr">
        <is>
          <t>20101-2008</t>
        </is>
      </c>
      <c r="I579" s="325" t="inlineStr">
        <is>
          <t>ปวช.1/6 ชย. (ปกติ)</t>
        </is>
      </c>
      <c r="J579" s="332" t="inlineStr">
        <is>
          <t>08.10-12.10</t>
        </is>
      </c>
      <c r="K579" s="335" t="n"/>
      <c r="L579" s="265" t="n"/>
      <c r="M579" s="332" t="n"/>
      <c r="N579" s="332" t="n"/>
      <c r="O579" s="244">
        <f>M579*N579</f>
        <v/>
      </c>
      <c r="P579" s="332" t="n"/>
      <c r="Q579" s="265" t="n"/>
      <c r="R579" s="332" t="n"/>
      <c r="S579" s="244">
        <f>Q579*R579</f>
        <v/>
      </c>
    </row>
    <row r="580" ht="22.2" customHeight="1" s="330">
      <c r="A580" s="4" t="n"/>
      <c r="E580" s="4" t="n"/>
      <c r="G580" s="308">
        <f>G488</f>
        <v/>
      </c>
      <c r="H580" s="325" t="inlineStr">
        <is>
          <t>20101-2006</t>
        </is>
      </c>
      <c r="I580" s="325" t="inlineStr">
        <is>
          <t>ปวช.2/3 ชย. (ปกติ)</t>
        </is>
      </c>
      <c r="J580" s="252" t="inlineStr">
        <is>
          <t>13.10-15.10</t>
        </is>
      </c>
      <c r="K580" s="331" t="n"/>
      <c r="L580" s="252" t="n"/>
      <c r="M580" s="252" t="n"/>
      <c r="N580" s="252" t="n"/>
      <c r="O580" s="244">
        <f>M580*N580</f>
        <v/>
      </c>
      <c r="P580" s="252" t="n"/>
      <c r="Q580" s="252" t="n"/>
      <c r="R580" s="252" t="n"/>
      <c r="S580" s="244">
        <f>Q580*R580</f>
        <v/>
      </c>
    </row>
    <row r="581" ht="22.2" customHeight="1" s="330">
      <c r="A581" s="4" t="n"/>
      <c r="E581" s="4" t="n"/>
      <c r="G581" s="252" t="n"/>
      <c r="H581" s="325" t="inlineStr">
        <is>
          <t>20101-2107</t>
        </is>
      </c>
      <c r="I581" s="325" t="inlineStr">
        <is>
          <t>ปวช.2/3 ชย. (ปกติ)</t>
        </is>
      </c>
      <c r="J581" s="325" t="inlineStr">
        <is>
          <t>15.10-17.10</t>
        </is>
      </c>
      <c r="K581" s="331" t="n"/>
      <c r="L581" s="252" t="n"/>
      <c r="M581" s="252" t="n"/>
      <c r="N581" s="252" t="n"/>
      <c r="O581" s="244">
        <f>M581*N581</f>
        <v/>
      </c>
      <c r="P581" s="252" t="n"/>
      <c r="Q581" s="252" t="n"/>
      <c r="R581" s="252" t="n"/>
      <c r="S581" s="244">
        <f>Q581*R581</f>
        <v/>
      </c>
    </row>
    <row r="582" ht="22.2" customHeight="1" s="330">
      <c r="A582" s="4" t="n"/>
      <c r="E582" s="4" t="n"/>
      <c r="G582" s="252" t="n"/>
      <c r="H582" s="249" t="n"/>
      <c r="I582" s="252" t="n"/>
      <c r="J582" s="252" t="n"/>
      <c r="K582" s="331" t="n"/>
      <c r="L582" s="252" t="n"/>
      <c r="M582" s="252" t="n"/>
      <c r="N582" s="252" t="n"/>
      <c r="O582" s="244">
        <f>M582*N582</f>
        <v/>
      </c>
      <c r="P582" s="252" t="n"/>
      <c r="Q582" s="252" t="n"/>
      <c r="R582" s="252" t="n"/>
      <c r="S582" s="244">
        <f>Q582*R582</f>
        <v/>
      </c>
    </row>
    <row r="583" ht="22.2" customHeight="1" s="330">
      <c r="A583" s="4" t="n"/>
      <c r="E583" s="4" t="n"/>
      <c r="F583" s="4" t="n"/>
      <c r="G583" s="278" t="n"/>
      <c r="H583" s="301" t="n"/>
      <c r="I583" s="276" t="n"/>
      <c r="J583" s="276" t="n"/>
      <c r="K583" s="476" t="n"/>
      <c r="L583" s="276" t="n"/>
      <c r="M583" s="276" t="n"/>
      <c r="N583" s="276" t="n"/>
      <c r="O583" s="244">
        <f>M583*N583</f>
        <v/>
      </c>
      <c r="P583" s="276" t="n"/>
      <c r="Q583" s="276" t="n"/>
      <c r="R583" s="276" t="n"/>
      <c r="S583" s="244">
        <f>Q583*R583</f>
        <v/>
      </c>
    </row>
    <row r="584" ht="22.2" customHeight="1" s="330">
      <c r="A584" s="4" t="n"/>
      <c r="E584" s="4" t="n"/>
      <c r="F584" s="4" t="n"/>
      <c r="G584" s="17" t="inlineStr">
        <is>
          <t>รวมขั่วโมงที่สอนแยก ภาระงาน/ เกินภาระงาน</t>
        </is>
      </c>
      <c r="H584" s="467" t="n"/>
      <c r="I584" s="467" t="n"/>
      <c r="J584" s="467" t="n"/>
      <c r="K584" s="362" t="n"/>
      <c r="L584" s="17">
        <f>SUM(L559:L583)</f>
        <v/>
      </c>
      <c r="M584" s="17">
        <f>SUM(M559:M583)</f>
        <v/>
      </c>
      <c r="N584" s="17" t="n"/>
      <c r="O584" s="17" t="n"/>
      <c r="P584" s="17">
        <f>SUM(P559:P583)</f>
        <v/>
      </c>
      <c r="Q584" s="17">
        <f>SUM(Q559:Q583)</f>
        <v/>
      </c>
      <c r="R584" s="279" t="n"/>
      <c r="S584" s="17" t="n"/>
      <c r="T584" s="24" t="n"/>
      <c r="U584" s="24" t="inlineStr">
        <is>
          <t>สอน ป.ตรี</t>
        </is>
      </c>
      <c r="V584" s="65" t="n"/>
      <c r="W584" s="24" t="n"/>
      <c r="X584" s="24" t="n"/>
    </row>
    <row r="585" ht="22.2" customHeight="1" s="330">
      <c r="A585" s="4" t="n"/>
      <c r="E585" s="4" t="n"/>
      <c r="F585" s="4" t="n"/>
      <c r="G585" s="17" t="inlineStr">
        <is>
          <t>รวมจำนวนชั่วโมงสอนคาบต่อสับดาห์</t>
        </is>
      </c>
      <c r="H585" s="467" t="n"/>
      <c r="I585" s="467" t="n"/>
      <c r="J585" s="467" t="n"/>
      <c r="K585" s="362" t="n"/>
      <c r="L585" s="17">
        <f>L584+M584</f>
        <v/>
      </c>
      <c r="M585" s="362" t="n"/>
      <c r="N585" s="298" t="n"/>
      <c r="O585" s="17" t="n"/>
      <c r="P585" s="17">
        <f>P584+Q584</f>
        <v/>
      </c>
      <c r="Q585" s="362" t="n"/>
      <c r="R585" s="278" t="n"/>
      <c r="S585" s="276" t="n"/>
      <c r="T585" s="24" t="n"/>
      <c r="U585" s="24" t="inlineStr">
        <is>
          <t>17.10-20.10</t>
        </is>
      </c>
      <c r="V585" s="65" t="n"/>
      <c r="W585" s="24" t="n"/>
      <c r="X585" s="24" t="n"/>
    </row>
    <row r="586" ht="22.2" customHeight="1" s="330">
      <c r="A586" s="4" t="n"/>
      <c r="E586" s="4" t="n"/>
      <c r="F586" s="4" t="n"/>
      <c r="G586" s="17" t="inlineStr">
        <is>
          <t>จำนวนชั่วโมงสอนตามภาระงานสอน</t>
        </is>
      </c>
      <c r="H586" s="467" t="n"/>
      <c r="I586" s="467" t="n"/>
      <c r="J586" s="467" t="n"/>
      <c r="K586" s="362" t="n"/>
      <c r="L586" s="17" t="n">
        <v>18</v>
      </c>
      <c r="M586" s="362" t="n"/>
      <c r="N586" s="298" t="n"/>
      <c r="O586" s="17" t="n"/>
      <c r="P586" s="17" t="n">
        <v>0</v>
      </c>
      <c r="Q586" s="362" t="n"/>
      <c r="R586" s="249" t="n"/>
      <c r="S586" s="252" t="n"/>
    </row>
    <row r="587" ht="22.2" customHeight="1" s="330" thickBot="1">
      <c r="A587" s="4" t="n"/>
      <c r="E587" s="4" t="n"/>
      <c r="F587" s="15" t="n"/>
      <c r="G587" s="17" t="inlineStr">
        <is>
          <t>จำนวนชั่วโมงบิกเกินภาระงานสอน/ค่าสอน</t>
        </is>
      </c>
      <c r="H587" s="467" t="n"/>
      <c r="I587" s="467" t="n"/>
      <c r="J587" s="467" t="n"/>
      <c r="K587" s="362" t="n"/>
      <c r="L587" s="18" t="n">
        <v>0</v>
      </c>
      <c r="M587" s="18">
        <f>SUM(M559:M583)</f>
        <v/>
      </c>
      <c r="N587" s="18" t="n"/>
      <c r="O587" s="18">
        <f>SUM(O559:O583)</f>
        <v/>
      </c>
      <c r="P587" s="18" t="n">
        <v>0</v>
      </c>
      <c r="Q587" s="18">
        <f>SUM(Q559:Q583)</f>
        <v/>
      </c>
      <c r="R587" s="19" t="n"/>
      <c r="S587" s="18">
        <f>SUM(S559:S583)</f>
        <v/>
      </c>
    </row>
    <row r="588" ht="22.2" customHeight="1" s="330" thickTop="1">
      <c r="A588" s="299" t="inlineStr">
        <is>
          <t>รวมจำนวนหน่วยชั่วโมงที่ขอเบิกค่าสอน ….</t>
        </is>
      </c>
      <c r="B588" s="467" t="n"/>
      <c r="C588" s="467" t="n"/>
      <c r="D588" s="467" t="n"/>
      <c r="E588" s="467" t="n"/>
      <c r="F588" s="467" t="n"/>
      <c r="G588" s="467" t="n"/>
      <c r="H588" s="298">
        <f>M587+Q587</f>
        <v/>
      </c>
      <c r="I588" s="298" t="inlineStr">
        <is>
          <t>….ชั่วโมง</t>
        </is>
      </c>
      <c r="J588" s="298" t="n"/>
      <c r="K588" s="301" t="inlineStr">
        <is>
          <t>ยอดเงินรวม</t>
        </is>
      </c>
      <c r="L588" s="471" t="n"/>
      <c r="M588" s="471" t="n"/>
      <c r="N588" s="301" t="n"/>
      <c r="O588" s="301" t="n"/>
      <c r="P588" s="302">
        <f>S587+O587</f>
        <v/>
      </c>
      <c r="Q588" s="482" t="n"/>
      <c r="R588" s="21" t="n"/>
      <c r="S588" s="20" t="inlineStr">
        <is>
          <t>..บาท</t>
        </is>
      </c>
    </row>
    <row r="589" ht="22.2" customHeight="1" s="330">
      <c r="A589" s="207" t="inlineStr">
        <is>
          <t>ผู้ขอเบิก</t>
        </is>
      </c>
      <c r="B589" s="334" t="n"/>
      <c r="C589" s="334" t="n"/>
      <c r="D589" s="334" t="n"/>
      <c r="E589" s="334" t="n"/>
      <c r="F589" s="334" t="n"/>
      <c r="G589" s="335" t="n"/>
      <c r="H589" s="207" t="inlineStr">
        <is>
          <t>ผู้รับรอง</t>
        </is>
      </c>
      <c r="I589" s="334" t="n"/>
      <c r="J589" s="334" t="n"/>
      <c r="K589" s="334" t="n"/>
      <c r="L589" s="335" t="n"/>
      <c r="M589" s="207" t="inlineStr">
        <is>
          <t>ผู้ตรวจ</t>
        </is>
      </c>
      <c r="N589" s="334" t="n"/>
      <c r="O589" s="334" t="n"/>
      <c r="P589" s="334" t="n"/>
      <c r="Q589" s="334" t="n"/>
      <c r="R589" s="334" t="n"/>
      <c r="S589" s="335" t="n"/>
    </row>
    <row r="590" ht="22.2" customHeight="1" s="330">
      <c r="A590" s="252" t="inlineStr">
        <is>
          <t>ลงชื่อ……………………………………………</t>
        </is>
      </c>
      <c r="G590" s="331" t="n"/>
      <c r="H590" s="252" t="inlineStr">
        <is>
          <t>ลงชื่อ……………………………………………</t>
        </is>
      </c>
      <c r="L590" s="331" t="n"/>
      <c r="M590" s="252" t="inlineStr">
        <is>
          <t>ลงชื่อ……………………………………………</t>
        </is>
      </c>
      <c r="S590" s="331" t="n"/>
    </row>
    <row r="591" ht="22.2" customHeight="1" s="330">
      <c r="A591" s="12" t="inlineStr">
        <is>
          <t>(</t>
        </is>
      </c>
      <c r="B591" s="309">
        <f>B559</f>
        <v/>
      </c>
      <c r="G591" s="310" t="inlineStr">
        <is>
          <t>)</t>
        </is>
      </c>
      <c r="H591" s="309" t="inlineStr">
        <is>
          <t>(</t>
        </is>
      </c>
      <c r="I591" s="314">
        <f>I545</f>
        <v/>
      </c>
      <c r="L591" s="13" t="inlineStr">
        <is>
          <t>)</t>
        </is>
      </c>
      <c r="M591" s="61" t="inlineStr">
        <is>
          <t>(</t>
        </is>
      </c>
      <c r="N591" s="61" t="n"/>
      <c r="O591" s="309" t="inlineStr">
        <is>
          <t>นายพิสุทธิศักดิ์  กล่อมนาค</t>
        </is>
      </c>
      <c r="R591" s="29" t="n"/>
      <c r="S591" s="310" t="inlineStr">
        <is>
          <t>)</t>
        </is>
      </c>
    </row>
    <row r="592" ht="22.2" customHeight="1" s="330">
      <c r="A592" s="483" t="inlineStr">
        <is>
          <t xml:space="preserve">                        ตำแหน่ง ครู</t>
        </is>
      </c>
      <c r="G592" s="331" t="n"/>
      <c r="H592" s="62" t="inlineStr">
        <is>
          <t>ตำแหน่ง หัวหน้าแผนก</t>
        </is>
      </c>
      <c r="L592" s="331" t="n"/>
      <c r="M592" s="62" t="inlineStr">
        <is>
          <t>ตำแหน่ง   ผู้ตรวจสอบ</t>
        </is>
      </c>
      <c r="S592" s="331" t="n"/>
    </row>
    <row r="593" ht="22.2" customHeight="1" s="330">
      <c r="A593" s="63">
        <f>A41</f>
        <v/>
      </c>
      <c r="B593" s="471" t="n"/>
      <c r="C593" s="471" t="n"/>
      <c r="D593" s="471" t="n"/>
      <c r="E593" s="471" t="n"/>
      <c r="F593" s="471" t="n"/>
      <c r="G593" s="476" t="n"/>
      <c r="H593" s="62">
        <f>A41</f>
        <v/>
      </c>
      <c r="L593" s="331" t="n"/>
      <c r="M593" s="63">
        <f>A41</f>
        <v/>
      </c>
      <c r="N593" s="471" t="n"/>
      <c r="O593" s="471" t="n"/>
      <c r="P593" s="471" t="n"/>
      <c r="Q593" s="471" t="n"/>
      <c r="R593" s="471" t="n"/>
      <c r="S593" s="476" t="n"/>
    </row>
    <row r="594" ht="22.2" customHeight="1" s="330">
      <c r="A594" s="207" t="inlineStr">
        <is>
          <t>ผู้ตรวจ</t>
        </is>
      </c>
      <c r="B594" s="334" t="n"/>
      <c r="C594" s="334" t="n"/>
      <c r="D594" s="334" t="n"/>
      <c r="E594" s="334" t="n"/>
      <c r="F594" s="334" t="n"/>
      <c r="G594" s="334" t="n"/>
      <c r="H594" s="334" t="n"/>
      <c r="I594" s="335" t="n"/>
      <c r="J594" s="207" t="inlineStr">
        <is>
          <t>ผู้เห็นชอบ</t>
        </is>
      </c>
      <c r="K594" s="334" t="n"/>
      <c r="L594" s="334" t="n"/>
      <c r="M594" s="334" t="n"/>
      <c r="N594" s="334" t="n"/>
      <c r="O594" s="334" t="n"/>
      <c r="P594" s="334" t="n"/>
      <c r="Q594" s="334" t="n"/>
      <c r="R594" s="334" t="n"/>
      <c r="S594" s="335" t="n"/>
    </row>
    <row r="595" ht="22.2" customHeight="1" s="330">
      <c r="A595" s="252" t="inlineStr">
        <is>
          <t>ลงชื่อ……………………………………………</t>
        </is>
      </c>
      <c r="I595" s="331" t="n"/>
      <c r="J595" s="252" t="inlineStr">
        <is>
          <t>ลงชื่อ……………………………………………</t>
        </is>
      </c>
      <c r="S595" s="331" t="n"/>
    </row>
    <row r="596" ht="22.2" customHeight="1" s="330">
      <c r="A596" s="12" t="n"/>
      <c r="B596" s="309" t="inlineStr">
        <is>
          <t xml:space="preserve">          (นางศิวรักษ์   บุญประเสริฐ)</t>
        </is>
      </c>
      <c r="I596" s="310" t="n"/>
      <c r="J596" s="29" t="n"/>
      <c r="K596" s="29" t="n"/>
      <c r="L596" s="309" t="inlineStr">
        <is>
          <t>(นายปรีชา  โพธิ์เกิด)</t>
        </is>
      </c>
      <c r="R596" s="29" t="n"/>
      <c r="S596" s="13" t="n"/>
    </row>
    <row r="597" ht="22.2" customHeight="1" s="330">
      <c r="A597" s="62" t="inlineStr">
        <is>
          <t>ตำแหน่งครู  หัวหน้างานพัฒนาหลักสูตร ฯ</t>
        </is>
      </c>
      <c r="I597" s="331" t="n"/>
      <c r="J597" s="62" t="inlineStr">
        <is>
          <t>ตำแหน่ง  รองผู้อำนวยการฝ่ายวิชาการ</t>
        </is>
      </c>
      <c r="S597" s="331" t="n"/>
    </row>
    <row r="598" ht="22.2" customHeight="1" s="330">
      <c r="A598" s="63">
        <f>A41</f>
        <v/>
      </c>
      <c r="B598" s="471" t="n"/>
      <c r="C598" s="471" t="n"/>
      <c r="D598" s="471" t="n"/>
      <c r="E598" s="471" t="n"/>
      <c r="F598" s="471" t="n"/>
      <c r="G598" s="471" t="n"/>
      <c r="H598" s="471" t="n"/>
      <c r="I598" s="476" t="n"/>
      <c r="J598" s="63">
        <f>A41</f>
        <v/>
      </c>
      <c r="K598" s="471" t="n"/>
      <c r="L598" s="471" t="n"/>
      <c r="M598" s="471" t="n"/>
      <c r="N598" s="471" t="n"/>
      <c r="O598" s="471" t="n"/>
      <c r="P598" s="471" t="n"/>
      <c r="Q598" s="471" t="n"/>
      <c r="R598" s="471" t="n"/>
      <c r="S598" s="476" t="n"/>
    </row>
    <row r="599" ht="22.2" customHeight="1" s="330">
      <c r="A59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00" ht="22.2" customHeight="1" s="330">
      <c r="A600" s="254">
        <f>A2</f>
        <v/>
      </c>
    </row>
    <row r="601" ht="22.2" customHeight="1" s="330">
      <c r="A601" s="253" t="inlineStr">
        <is>
          <t xml:space="preserve">    ระหว่างวันที่</t>
        </is>
      </c>
      <c r="D601" s="254">
        <f>D49</f>
        <v/>
      </c>
      <c r="E601" s="254" t="inlineStr">
        <is>
          <t xml:space="preserve">   เดือน  </t>
        </is>
      </c>
      <c r="F601" s="254">
        <f>F49</f>
        <v/>
      </c>
      <c r="H601" s="254">
        <f>H49</f>
        <v/>
      </c>
      <c r="I601" s="254" t="inlineStr">
        <is>
          <t xml:space="preserve">     ถึง วันที่</t>
        </is>
      </c>
      <c r="J601" s="254">
        <f>J49</f>
        <v/>
      </c>
      <c r="K601" s="254" t="inlineStr">
        <is>
          <t xml:space="preserve">   เดือน </t>
        </is>
      </c>
      <c r="L601" s="254">
        <f>L49</f>
        <v/>
      </c>
      <c r="N601" s="254">
        <f>N49</f>
        <v/>
      </c>
      <c r="P601" s="254" t="n"/>
      <c r="R601" s="254" t="n"/>
    </row>
    <row r="602" ht="22.2" customHeight="1" s="330">
      <c r="G602" s="58" t="inlineStr">
        <is>
          <t>ü</t>
        </is>
      </c>
      <c r="H602" s="301" t="inlineStr">
        <is>
          <t>ครู</t>
        </is>
      </c>
      <c r="I602" s="301" t="inlineStr">
        <is>
          <t>หน้าที่พิเศษ</t>
        </is>
      </c>
      <c r="J602" s="290" t="n"/>
      <c r="K602" s="290" t="n"/>
      <c r="L602" s="290" t="n"/>
      <c r="M602" s="290" t="n"/>
      <c r="N602" s="290" t="n"/>
      <c r="O602" s="290" t="n"/>
      <c r="P602" s="290" t="n"/>
      <c r="Q602" s="290" t="n"/>
      <c r="R602" s="290" t="n"/>
      <c r="S602" s="290" t="n"/>
    </row>
    <row r="603" ht="22.2" customHeight="1" s="330">
      <c r="A603" s="28" t="inlineStr">
        <is>
          <t>ที่</t>
        </is>
      </c>
      <c r="B603" s="28" t="inlineStr">
        <is>
          <t>ชื่อ-สกุล</t>
        </is>
      </c>
      <c r="C603" s="334" t="n"/>
      <c r="D603" s="335" t="n"/>
      <c r="E603" s="16" t="inlineStr">
        <is>
          <t>ตำแหน่ง</t>
        </is>
      </c>
      <c r="F603" s="17" t="inlineStr">
        <is>
          <t>ระยะเวลาที่สอน</t>
        </is>
      </c>
      <c r="G603" s="362" t="n"/>
      <c r="H603" s="17" t="inlineStr">
        <is>
          <t>รหัสวิชา</t>
        </is>
      </c>
      <c r="I603" s="275" t="inlineStr">
        <is>
          <t>ชั้น,แผนก,ห้อง</t>
        </is>
      </c>
      <c r="J603" s="17" t="inlineStr">
        <is>
          <t>เวลาสอน</t>
        </is>
      </c>
      <c r="K603" s="335" t="n"/>
      <c r="L603" s="17" t="inlineStr">
        <is>
          <t>ปวช.(คาบ)</t>
        </is>
      </c>
      <c r="M603" s="362" t="n"/>
      <c r="N603" s="244" t="inlineStr">
        <is>
          <t>เงิน</t>
        </is>
      </c>
      <c r="O603" s="275" t="inlineStr">
        <is>
          <t>ยอดเงิน</t>
        </is>
      </c>
      <c r="P603" s="473" t="inlineStr">
        <is>
          <t>ปวส.(คาบ)</t>
        </is>
      </c>
      <c r="Q603" s="362" t="n"/>
      <c r="R603" s="244" t="inlineStr">
        <is>
          <t>เงิน</t>
        </is>
      </c>
      <c r="S603" s="275" t="inlineStr">
        <is>
          <t>ยอดเงิน</t>
        </is>
      </c>
    </row>
    <row r="604" ht="22.2" customHeight="1" s="330">
      <c r="A604" s="60" t="n"/>
      <c r="B604" s="9" t="n"/>
      <c r="C604" s="10" t="n"/>
      <c r="D604" s="14" t="n"/>
      <c r="E604" s="11" t="n"/>
      <c r="F604" s="276" t="inlineStr">
        <is>
          <t>ส.</t>
        </is>
      </c>
      <c r="G604" s="276" t="inlineStr">
        <is>
          <t>วดป.</t>
        </is>
      </c>
      <c r="H604" s="474" t="n"/>
      <c r="I604" s="276" t="n"/>
      <c r="J604" s="475" t="n"/>
      <c r="K604" s="476" t="n"/>
      <c r="L604" s="276" t="inlineStr">
        <is>
          <t>ใน</t>
        </is>
      </c>
      <c r="M604" s="276" t="inlineStr">
        <is>
          <t>นอก</t>
        </is>
      </c>
      <c r="N604" s="276" t="inlineStr">
        <is>
          <t>ต่อ ชม.</t>
        </is>
      </c>
      <c r="O604" s="276" t="inlineStr">
        <is>
          <t>(บาท)</t>
        </is>
      </c>
      <c r="P604" s="60" t="inlineStr">
        <is>
          <t>ใน</t>
        </is>
      </c>
      <c r="Q604" s="60" t="inlineStr">
        <is>
          <t>นอก</t>
        </is>
      </c>
      <c r="R604" s="276" t="inlineStr">
        <is>
          <t>ต่อ ชม.</t>
        </is>
      </c>
      <c r="S604" s="276" t="inlineStr">
        <is>
          <t>(บาท)</t>
        </is>
      </c>
    </row>
    <row r="605" ht="22.2" customHeight="1" s="330">
      <c r="A605" s="275" t="n">
        <v>14</v>
      </c>
      <c r="B605" s="477">
        <f>AB16</f>
        <v/>
      </c>
      <c r="C605" s="334" t="n"/>
      <c r="D605" s="335" t="n"/>
      <c r="E605" s="275" t="inlineStr">
        <is>
          <t>ครู</t>
        </is>
      </c>
      <c r="F605" s="6">
        <f>F7</f>
        <v/>
      </c>
      <c r="G605" s="303" t="inlineStr">
        <is>
          <t>จันทร์</t>
        </is>
      </c>
      <c r="H605" s="325" t="inlineStr">
        <is>
          <t>30101-2003</t>
        </is>
      </c>
      <c r="I605" s="325" t="inlineStr">
        <is>
          <t>ปวส.1/7 สย. (ทวิ)</t>
        </is>
      </c>
      <c r="J605" s="252" t="inlineStr">
        <is>
          <t>13.10-16.10</t>
        </is>
      </c>
      <c r="K605" s="331" t="n"/>
      <c r="L605" s="265" t="n"/>
      <c r="M605" s="332" t="n"/>
      <c r="N605" s="332" t="n"/>
      <c r="O605" s="244">
        <f>M605*N605</f>
        <v/>
      </c>
      <c r="P605" s="332" t="n"/>
      <c r="Q605" s="265" t="n"/>
      <c r="R605" s="332" t="n"/>
      <c r="S605" s="244">
        <f>Q605*R605</f>
        <v/>
      </c>
    </row>
    <row r="606" ht="22.2" customHeight="1" s="330">
      <c r="A606" s="4" t="n"/>
      <c r="B606" s="478" t="n"/>
      <c r="D606" s="331" t="n"/>
      <c r="E606" s="252" t="n"/>
      <c r="F606" s="249" t="n"/>
      <c r="G606" s="308">
        <f>G514</f>
        <v/>
      </c>
      <c r="H606" s="325" t="n"/>
      <c r="I606" s="325" t="n"/>
      <c r="J606" s="252" t="n"/>
      <c r="K606" s="331" t="n"/>
      <c r="L606" s="252" t="n"/>
      <c r="M606" s="252" t="n"/>
      <c r="N606" s="252" t="n"/>
      <c r="O606" s="244">
        <f>M606*N606</f>
        <v/>
      </c>
      <c r="P606" s="252" t="n"/>
      <c r="Q606" s="252" t="n"/>
      <c r="R606" s="252" t="n"/>
      <c r="S606" s="244">
        <f>Q606*R606</f>
        <v/>
      </c>
    </row>
    <row r="607" ht="22.2" customHeight="1" s="330">
      <c r="A607" s="4" t="n"/>
      <c r="B607" s="5" t="n"/>
      <c r="D607" s="3" t="n"/>
      <c r="E607" s="3" t="n"/>
      <c r="F607" s="249" t="n"/>
      <c r="G607" s="248" t="n"/>
      <c r="H607" s="252" t="n"/>
      <c r="I607" s="252" t="n"/>
      <c r="J607" s="252" t="n"/>
      <c r="K607" s="331" t="n"/>
      <c r="L607" s="252" t="n"/>
      <c r="M607" s="252" t="n"/>
      <c r="N607" s="252" t="n"/>
      <c r="O607" s="244">
        <f>M607*N607</f>
        <v/>
      </c>
      <c r="P607" s="252" t="n"/>
      <c r="Q607" s="252" t="n"/>
      <c r="R607" s="252" t="n"/>
      <c r="S607" s="244">
        <f>Q607*R607</f>
        <v/>
      </c>
    </row>
    <row r="608" ht="22.2" customHeight="1" s="330">
      <c r="A608" s="4" t="n"/>
      <c r="B608" s="5" t="n"/>
      <c r="E608" s="4" t="n"/>
      <c r="F608" s="249" t="n"/>
      <c r="G608" s="248" t="n"/>
      <c r="H608" s="252" t="n"/>
      <c r="I608" s="252" t="n"/>
      <c r="J608" s="252" t="n"/>
      <c r="K608" s="331" t="n"/>
      <c r="L608" s="252" t="n"/>
      <c r="M608" s="252" t="n"/>
      <c r="N608" s="252" t="n"/>
      <c r="O608" s="244">
        <f>M608*N608</f>
        <v/>
      </c>
      <c r="P608" s="252" t="n"/>
      <c r="Q608" s="252" t="n"/>
      <c r="R608" s="252" t="n"/>
      <c r="S608" s="244">
        <f>Q608*R608</f>
        <v/>
      </c>
    </row>
    <row r="609" ht="22.2" customHeight="1" s="330">
      <c r="A609" s="4" t="n"/>
      <c r="E609" s="4" t="n"/>
      <c r="G609" s="311" t="n"/>
      <c r="H609" s="276" t="n"/>
      <c r="I609" s="276" t="n"/>
      <c r="J609" s="276" t="n"/>
      <c r="K609" s="476" t="n"/>
      <c r="L609" s="252" t="n"/>
      <c r="M609" s="252" t="n"/>
      <c r="N609" s="252" t="n"/>
      <c r="O609" s="244">
        <f>M609*N609</f>
        <v/>
      </c>
      <c r="P609" s="252" t="n"/>
      <c r="Q609" s="252" t="n"/>
      <c r="R609" s="252" t="n"/>
      <c r="S609" s="244">
        <f>Q609*R609</f>
        <v/>
      </c>
    </row>
    <row r="610" ht="22.2" customHeight="1" s="330">
      <c r="A610" s="4" t="n"/>
      <c r="E610" s="4" t="n"/>
      <c r="G610" s="62" t="inlineStr">
        <is>
          <t>อังคาร</t>
        </is>
      </c>
      <c r="H610" s="325" t="inlineStr">
        <is>
          <t>30100-0105</t>
        </is>
      </c>
      <c r="I610" s="325" t="inlineStr">
        <is>
          <t>ปวส.1/7 สย. (ทวิ)</t>
        </is>
      </c>
      <c r="J610" s="332" t="inlineStr">
        <is>
          <t>08.10-11.10</t>
        </is>
      </c>
      <c r="K610" s="335" t="n"/>
      <c r="L610" s="265" t="n"/>
      <c r="M610" s="332" t="n"/>
      <c r="N610" s="332" t="n"/>
      <c r="O610" s="244">
        <f>M610*N610</f>
        <v/>
      </c>
      <c r="P610" s="332" t="n"/>
      <c r="Q610" s="265" t="n"/>
      <c r="R610" s="332" t="n"/>
      <c r="S610" s="244">
        <f>Q610*R610</f>
        <v/>
      </c>
    </row>
    <row r="611" ht="22.2" customHeight="1" s="330">
      <c r="A611" s="4" t="n"/>
      <c r="E611" s="4" t="n"/>
      <c r="G611" s="308">
        <f>G519</f>
        <v/>
      </c>
      <c r="H611" s="325" t="inlineStr">
        <is>
          <t>30101-8001</t>
        </is>
      </c>
      <c r="I611" s="325" t="inlineStr">
        <is>
          <t>ปวส.2/4 สย. (ปกติ)</t>
        </is>
      </c>
      <c r="J611" s="252" t="inlineStr">
        <is>
          <t>13.10-17.10</t>
        </is>
      </c>
      <c r="K611" s="331" t="n"/>
      <c r="L611" s="252" t="n"/>
      <c r="M611" s="252" t="n"/>
      <c r="N611" s="252" t="n"/>
      <c r="O611" s="244">
        <f>M611*N611</f>
        <v/>
      </c>
      <c r="P611" s="252" t="n"/>
      <c r="Q611" s="252" t="n"/>
      <c r="R611" s="252" t="n"/>
      <c r="S611" s="244">
        <f>Q611*R611</f>
        <v/>
      </c>
    </row>
    <row r="612" ht="22.2" customHeight="1" s="330">
      <c r="A612" s="4" t="n"/>
      <c r="B612" s="5" t="n"/>
      <c r="D612" s="3" t="n"/>
      <c r="E612" s="3" t="n"/>
      <c r="G612" s="252" t="n"/>
      <c r="H612" s="252" t="n"/>
      <c r="I612" s="252" t="n"/>
      <c r="J612" s="252" t="n"/>
      <c r="K612" s="331" t="n"/>
      <c r="L612" s="252" t="n"/>
      <c r="M612" s="252" t="n"/>
      <c r="N612" s="252" t="n"/>
      <c r="O612" s="244">
        <f>M612*N612</f>
        <v/>
      </c>
      <c r="P612" s="252" t="n"/>
      <c r="Q612" s="252" t="n"/>
      <c r="R612" s="252" t="n"/>
      <c r="S612" s="244">
        <f>Q612*R612</f>
        <v/>
      </c>
    </row>
    <row r="613" ht="22.2" customHeight="1" s="330">
      <c r="A613" s="4" t="n"/>
      <c r="E613" s="4" t="n"/>
      <c r="G613" s="62" t="n"/>
      <c r="H613" s="249" t="n"/>
      <c r="I613" s="252" t="n"/>
      <c r="J613" s="252" t="n"/>
      <c r="K613" s="331" t="n"/>
      <c r="L613" s="252" t="n"/>
      <c r="M613" s="252" t="n"/>
      <c r="N613" s="252" t="n"/>
      <c r="O613" s="244">
        <f>M613*N613</f>
        <v/>
      </c>
      <c r="P613" s="252" t="n"/>
      <c r="Q613" s="252" t="n"/>
      <c r="R613" s="252" t="n"/>
      <c r="S613" s="244">
        <f>Q613*R613</f>
        <v/>
      </c>
    </row>
    <row r="614" ht="22.2" customHeight="1" s="330">
      <c r="A614" s="4" t="n"/>
      <c r="D614" s="8" t="inlineStr">
        <is>
          <t> </t>
        </is>
      </c>
      <c r="E614" s="4" t="n"/>
      <c r="G614" s="63" t="n"/>
      <c r="H614" s="276" t="n"/>
      <c r="I614" s="276" t="n"/>
      <c r="J614" s="276" t="n"/>
      <c r="K614" s="476" t="n"/>
      <c r="L614" s="252" t="n"/>
      <c r="M614" s="252" t="n"/>
      <c r="N614" s="252" t="n"/>
      <c r="O614" s="244">
        <f>M614*N614</f>
        <v/>
      </c>
      <c r="P614" s="276" t="n"/>
      <c r="Q614" s="276" t="n"/>
      <c r="R614" s="276" t="n"/>
      <c r="S614" s="244">
        <f>Q614*R614</f>
        <v/>
      </c>
    </row>
    <row r="615" ht="22.2" customHeight="1" s="330">
      <c r="A615" s="4" t="n"/>
      <c r="E615" s="4" t="n"/>
      <c r="G615" s="308" t="inlineStr">
        <is>
          <t>พุธ</t>
        </is>
      </c>
      <c r="H615" s="325" t="inlineStr">
        <is>
          <t>30101-2002</t>
        </is>
      </c>
      <c r="I615" s="325" t="inlineStr">
        <is>
          <t>ปวส.1/5,6 สย. (ม.6)</t>
        </is>
      </c>
      <c r="J615" s="332" t="inlineStr">
        <is>
          <t>08.10-11.10</t>
        </is>
      </c>
      <c r="K615" s="335" t="n"/>
      <c r="L615" s="265" t="n"/>
      <c r="M615" s="332" t="n"/>
      <c r="N615" s="332" t="n"/>
      <c r="O615" s="244">
        <f>M615*N615</f>
        <v/>
      </c>
      <c r="P615" s="179" t="n"/>
      <c r="Q615" s="179" t="n"/>
      <c r="R615" s="180" t="n"/>
      <c r="S615" s="244">
        <f>Q615*R615</f>
        <v/>
      </c>
    </row>
    <row r="616" ht="22.2" customHeight="1" s="330">
      <c r="A616" s="4" t="n"/>
      <c r="B616" s="248" t="n"/>
      <c r="C616" s="249" t="n"/>
      <c r="D616" s="249" t="n"/>
      <c r="E616" s="252" t="n"/>
      <c r="G616" s="308">
        <f>G524</f>
        <v/>
      </c>
      <c r="H616" s="325" t="inlineStr">
        <is>
          <t>30100-0105</t>
        </is>
      </c>
      <c r="I616" s="325" t="inlineStr">
        <is>
          <t>ปวส.2/5,6 สย. (ม.6)</t>
        </is>
      </c>
      <c r="J616" s="252" t="inlineStr">
        <is>
          <t>13.10-16.10</t>
        </is>
      </c>
      <c r="K616" s="331" t="n"/>
      <c r="L616" s="252" t="n"/>
      <c r="M616" s="252" t="n"/>
      <c r="N616" s="252" t="n"/>
      <c r="O616" s="244">
        <f>M616*N616</f>
        <v/>
      </c>
      <c r="P616" s="252" t="n"/>
      <c r="Q616" s="252" t="n"/>
      <c r="R616" s="252" t="n"/>
      <c r="S616" s="244">
        <f>Q616*R616</f>
        <v/>
      </c>
    </row>
    <row r="617" ht="22.2" customHeight="1" s="330">
      <c r="A617" s="4" t="n"/>
      <c r="B617" s="5" t="n"/>
      <c r="D617" s="3" t="n"/>
      <c r="E617" s="3" t="n"/>
      <c r="G617" s="252" t="n"/>
      <c r="H617" s="252" t="n"/>
      <c r="I617" s="252" t="n"/>
      <c r="J617" s="252" t="n"/>
      <c r="K617" s="331" t="n"/>
      <c r="L617" s="252" t="n"/>
      <c r="M617" s="252" t="n"/>
      <c r="N617" s="252" t="n"/>
      <c r="O617" s="244">
        <f>M617*N617</f>
        <v/>
      </c>
      <c r="P617" s="252" t="n"/>
      <c r="Q617" s="252" t="n"/>
      <c r="R617" s="252" t="n"/>
      <c r="S617" s="244">
        <f>Q617*R617</f>
        <v/>
      </c>
    </row>
    <row r="618" ht="22.2" customHeight="1" s="330">
      <c r="A618" s="4" t="n"/>
      <c r="E618" s="4" t="n"/>
      <c r="G618" s="248" t="n"/>
      <c r="H618" s="248" t="n"/>
      <c r="I618" s="252" t="n"/>
      <c r="J618" s="252" t="n"/>
      <c r="K618" s="331" t="n"/>
      <c r="L618" s="252" t="n"/>
      <c r="M618" s="252" t="n"/>
      <c r="N618" s="252" t="n"/>
      <c r="O618" s="244">
        <f>M618*N618</f>
        <v/>
      </c>
      <c r="P618" s="252" t="n"/>
      <c r="Q618" s="252" t="n"/>
      <c r="R618" s="252" t="n"/>
      <c r="S618" s="244">
        <f>Q618*R618</f>
        <v/>
      </c>
    </row>
    <row r="619" ht="22.2" customHeight="1" s="330">
      <c r="A619" s="4" t="n"/>
      <c r="E619" s="4" t="n"/>
      <c r="G619" s="277" t="n"/>
      <c r="H619" s="277" t="n"/>
      <c r="I619" s="276" t="n"/>
      <c r="J619" s="276" t="n"/>
      <c r="K619" s="476" t="n"/>
      <c r="L619" s="276" t="n"/>
      <c r="M619" s="276" t="n"/>
      <c r="N619" s="276" t="n"/>
      <c r="O619" s="244">
        <f>M619*N619</f>
        <v/>
      </c>
      <c r="P619" s="276" t="n"/>
      <c r="Q619" s="276" t="n"/>
      <c r="R619" s="276" t="n"/>
      <c r="S619" s="244">
        <f>Q619*R619</f>
        <v/>
      </c>
    </row>
    <row r="620" ht="22.2" customHeight="1" s="330">
      <c r="A620" s="4" t="n"/>
      <c r="E620" s="4" t="n"/>
      <c r="G620" s="62" t="inlineStr">
        <is>
          <t>พฤหัส</t>
        </is>
      </c>
      <c r="H620" s="325" t="inlineStr">
        <is>
          <t>30000-2002</t>
        </is>
      </c>
      <c r="I620" s="325" t="inlineStr">
        <is>
          <t>ปวส.1/3,4 สย. (ม.6)</t>
        </is>
      </c>
      <c r="J620" s="252" t="inlineStr">
        <is>
          <t>13.10-15.10</t>
        </is>
      </c>
      <c r="K620" s="331" t="n"/>
      <c r="L620" s="265" t="n"/>
      <c r="M620" s="252" t="n"/>
      <c r="N620" s="252" t="n"/>
      <c r="O620" s="244">
        <f>M620*N620</f>
        <v/>
      </c>
      <c r="P620" s="179" t="n"/>
      <c r="Q620" s="156" t="n"/>
      <c r="R620" s="156" t="n"/>
      <c r="S620" s="244">
        <f>Q620*R620</f>
        <v/>
      </c>
    </row>
    <row r="621" ht="22.2" customHeight="1" s="330">
      <c r="A621" s="4" t="n"/>
      <c r="E621" s="4" t="n"/>
      <c r="G621" s="308">
        <f>G529</f>
        <v/>
      </c>
      <c r="H621" s="325" t="n"/>
      <c r="I621" s="325" t="n"/>
      <c r="J621" s="252" t="n"/>
      <c r="K621" s="331" t="n"/>
      <c r="L621" s="252" t="n"/>
      <c r="M621" s="252" t="n"/>
      <c r="N621" s="252" t="n"/>
      <c r="O621" s="244">
        <f>M621*N621</f>
        <v/>
      </c>
      <c r="P621" s="56" t="n"/>
      <c r="Q621" s="56" t="n"/>
      <c r="R621" s="56" t="n"/>
      <c r="S621" s="244">
        <f>Q621*R621</f>
        <v/>
      </c>
    </row>
    <row r="622" ht="22.2" customHeight="1" s="330">
      <c r="A622" s="4" t="n"/>
      <c r="B622" s="5" t="n"/>
      <c r="E622" s="4" t="n"/>
      <c r="G622" s="252" t="n"/>
      <c r="H622" s="325" t="n"/>
      <c r="I622" s="325" t="n"/>
      <c r="J622" s="252" t="n"/>
      <c r="K622" s="331" t="n"/>
      <c r="L622" s="325" t="n"/>
      <c r="M622" s="325" t="n"/>
      <c r="N622" s="325" t="n"/>
      <c r="O622" s="244">
        <f>M622*N622</f>
        <v/>
      </c>
      <c r="P622" s="56" t="n"/>
      <c r="Q622" s="56" t="n"/>
      <c r="R622" s="56" t="n"/>
      <c r="S622" s="244">
        <f>Q622*R622</f>
        <v/>
      </c>
    </row>
    <row r="623" ht="22.2" customHeight="1" s="330">
      <c r="A623" s="4" t="n"/>
      <c r="E623" s="4" t="n"/>
      <c r="G623" s="252" t="n"/>
      <c r="H623" s="252" t="n"/>
      <c r="I623" s="252" t="n"/>
      <c r="J623" s="252" t="n"/>
      <c r="K623" s="331" t="n"/>
      <c r="L623" s="252" t="n"/>
      <c r="M623" s="252" t="n"/>
      <c r="N623" s="252" t="n"/>
      <c r="O623" s="244">
        <f>M623*N623</f>
        <v/>
      </c>
      <c r="P623" s="252" t="n"/>
      <c r="Q623" s="252" t="n"/>
      <c r="R623" s="252" t="n"/>
      <c r="S623" s="244">
        <f>Q623*R623</f>
        <v/>
      </c>
    </row>
    <row r="624" ht="22.2" customHeight="1" s="330">
      <c r="A624" s="4" t="n"/>
      <c r="E624" s="4" t="n"/>
      <c r="G624" s="276" t="n"/>
      <c r="H624" s="301" t="n"/>
      <c r="I624" s="276" t="n"/>
      <c r="J624" s="276" t="n"/>
      <c r="K624" s="476" t="n"/>
      <c r="L624" s="276" t="n"/>
      <c r="M624" s="276" t="n"/>
      <c r="N624" s="276" t="n"/>
      <c r="O624" s="244">
        <f>M624*N624</f>
        <v/>
      </c>
      <c r="P624" s="276" t="n"/>
      <c r="Q624" s="276" t="n"/>
      <c r="R624" s="276" t="n"/>
      <c r="S624" s="244">
        <f>Q624*R624</f>
        <v/>
      </c>
    </row>
    <row r="625" ht="22.2" customHeight="1" s="330">
      <c r="A625" s="4" t="n"/>
      <c r="E625" s="4" t="n"/>
      <c r="G625" s="62" t="inlineStr">
        <is>
          <t>ศุกร์</t>
        </is>
      </c>
      <c r="H625" s="325" t="inlineStr">
        <is>
          <t>30101-2109</t>
        </is>
      </c>
      <c r="I625" s="325" t="inlineStr">
        <is>
          <t>ปวส.2/7 สย. (ม.6)</t>
        </is>
      </c>
      <c r="J625" s="332" t="inlineStr">
        <is>
          <t>08.10-12.10</t>
        </is>
      </c>
      <c r="K625" s="335" t="n"/>
      <c r="L625" s="252" t="n"/>
      <c r="M625" s="332" t="n"/>
      <c r="N625" s="332" t="n"/>
      <c r="O625" s="244">
        <f>M625*N625</f>
        <v/>
      </c>
      <c r="P625" s="332" t="n"/>
      <c r="Q625" s="265" t="n"/>
      <c r="R625" s="332" t="n"/>
      <c r="S625" s="244">
        <f>Q625*R625</f>
        <v/>
      </c>
    </row>
    <row r="626" ht="22.2" customHeight="1" s="330">
      <c r="A626" s="4" t="n"/>
      <c r="E626" s="4" t="n"/>
      <c r="G626" s="308">
        <f>G534</f>
        <v/>
      </c>
      <c r="H626" s="325" t="inlineStr">
        <is>
          <t>30101-2109</t>
        </is>
      </c>
      <c r="I626" s="325" t="inlineStr">
        <is>
          <t>ปวส.2/7 สย. (ม.6)</t>
        </is>
      </c>
      <c r="J626" s="252" t="inlineStr">
        <is>
          <t>13.10-14.10</t>
        </is>
      </c>
      <c r="K626" s="331" t="n"/>
      <c r="L626" s="252" t="n"/>
      <c r="M626" s="252" t="n"/>
      <c r="N626" s="252" t="n"/>
      <c r="O626" s="244">
        <f>M626*N626</f>
        <v/>
      </c>
      <c r="P626" s="252" t="n"/>
      <c r="Q626" s="252" t="n"/>
      <c r="R626" s="252" t="n"/>
      <c r="S626" s="244">
        <f>Q626*R626</f>
        <v/>
      </c>
    </row>
    <row r="627" ht="22.2" customHeight="1" s="330">
      <c r="A627" s="4" t="n"/>
      <c r="E627" s="4" t="n"/>
      <c r="G627" s="252" t="n"/>
      <c r="H627" s="325" t="inlineStr">
        <is>
          <t>30100-0104</t>
        </is>
      </c>
      <c r="I627" s="325" t="inlineStr">
        <is>
          <t>ปวส.1/2 สย. (ปกติ)</t>
        </is>
      </c>
      <c r="J627" s="252" t="inlineStr">
        <is>
          <t>14.10-18.10</t>
        </is>
      </c>
      <c r="K627" s="331" t="n"/>
      <c r="L627" s="252" t="n"/>
      <c r="M627" s="252" t="n"/>
      <c r="N627" s="252" t="n"/>
      <c r="O627" s="244">
        <f>M627*N627</f>
        <v/>
      </c>
      <c r="P627" s="252" t="n"/>
      <c r="Q627" s="252" t="n"/>
      <c r="R627" s="252" t="n"/>
      <c r="S627" s="244">
        <f>Q627*R627</f>
        <v/>
      </c>
    </row>
    <row r="628" ht="22.2" customHeight="1" s="330">
      <c r="A628" s="4" t="n"/>
      <c r="E628" s="4" t="n"/>
      <c r="G628" s="252" t="n"/>
      <c r="H628" s="249" t="n"/>
      <c r="I628" s="252" t="n"/>
      <c r="J628" s="252" t="n"/>
      <c r="K628" s="331" t="n"/>
      <c r="L628" s="252" t="n"/>
      <c r="M628" s="252" t="n"/>
      <c r="N628" s="252" t="n"/>
      <c r="O628" s="244">
        <f>M628*N628</f>
        <v/>
      </c>
      <c r="P628" s="252" t="n"/>
      <c r="Q628" s="252" t="n"/>
      <c r="R628" s="252" t="n"/>
      <c r="S628" s="244">
        <f>Q628*R628</f>
        <v/>
      </c>
    </row>
    <row r="629" ht="22.2" customHeight="1" s="330">
      <c r="A629" s="4" t="n"/>
      <c r="E629" s="4" t="n"/>
      <c r="F629" s="4" t="n"/>
      <c r="G629" s="278" t="n"/>
      <c r="H629" s="301" t="n"/>
      <c r="I629" s="276" t="n"/>
      <c r="J629" s="276" t="n"/>
      <c r="K629" s="476" t="n"/>
      <c r="L629" s="276" t="n"/>
      <c r="M629" s="276" t="n"/>
      <c r="N629" s="276" t="n"/>
      <c r="O629" s="244">
        <f>M629*N629</f>
        <v/>
      </c>
      <c r="P629" s="276" t="n"/>
      <c r="Q629" s="276" t="n"/>
      <c r="R629" s="276" t="n"/>
      <c r="S629" s="244">
        <f>Q629*R629</f>
        <v/>
      </c>
    </row>
    <row r="630" ht="22.2" customHeight="1" s="330">
      <c r="A630" s="4" t="n"/>
      <c r="E630" s="4" t="n"/>
      <c r="F630" s="4" t="n"/>
      <c r="G630" s="17" t="inlineStr">
        <is>
          <t>รวมขั่วโมงที่สอนแยก ภาระงาน/ เกินภาระงาน</t>
        </is>
      </c>
      <c r="H630" s="467" t="n"/>
      <c r="I630" s="467" t="n"/>
      <c r="J630" s="467" t="n"/>
      <c r="K630" s="362" t="n"/>
      <c r="L630" s="17">
        <f>SUM(L605:L629)</f>
        <v/>
      </c>
      <c r="M630" s="17">
        <f>SUM(M605:M629)</f>
        <v/>
      </c>
      <c r="N630" s="17" t="n"/>
      <c r="O630" s="17" t="n"/>
      <c r="P630" s="17">
        <f>SUM(P605:P629)</f>
        <v/>
      </c>
      <c r="Q630" s="17">
        <f>SUM(Q605:Q629)</f>
        <v/>
      </c>
      <c r="R630" s="279" t="n"/>
      <c r="S630" s="17" t="n"/>
    </row>
    <row r="631" ht="22.2" customHeight="1" s="330">
      <c r="A631" s="4" t="n"/>
      <c r="E631" s="4" t="n"/>
      <c r="F631" s="4" t="n"/>
      <c r="G631" s="17" t="inlineStr">
        <is>
          <t>รวมจำนวนชั่วโมงสอนคาบต่อสับดาห์</t>
        </is>
      </c>
      <c r="H631" s="467" t="n"/>
      <c r="I631" s="467" t="n"/>
      <c r="J631" s="467" t="n"/>
      <c r="K631" s="362" t="n"/>
      <c r="L631" s="17">
        <f>L630+M630</f>
        <v/>
      </c>
      <c r="M631" s="362" t="n"/>
      <c r="N631" s="298" t="n"/>
      <c r="O631" s="17" t="n"/>
      <c r="P631" s="17">
        <f>P630+Q630</f>
        <v/>
      </c>
      <c r="Q631" s="362" t="n"/>
      <c r="R631" s="278" t="n"/>
      <c r="S631" s="276" t="n"/>
    </row>
    <row r="632" ht="22.2" customHeight="1" s="330">
      <c r="A632" s="4" t="n"/>
      <c r="E632" s="4" t="n"/>
      <c r="F632" s="4" t="n"/>
      <c r="G632" s="17" t="inlineStr">
        <is>
          <t>จำนวนชั่วโมงสอนตามภาระงานสอน</t>
        </is>
      </c>
      <c r="H632" s="467" t="n"/>
      <c r="I632" s="467" t="n"/>
      <c r="J632" s="467" t="n"/>
      <c r="K632" s="362" t="n"/>
      <c r="L632" s="17" t="n">
        <v>0</v>
      </c>
      <c r="M632" s="362" t="n"/>
      <c r="N632" s="298" t="n"/>
      <c r="O632" s="17" t="n"/>
      <c r="P632" s="17" t="n">
        <v>15</v>
      </c>
      <c r="Q632" s="362" t="n"/>
      <c r="R632" s="249" t="n"/>
      <c r="S632" s="252" t="n"/>
    </row>
    <row r="633" ht="22.2" customHeight="1" s="330" thickBot="1">
      <c r="A633" s="4" t="n"/>
      <c r="E633" s="4" t="n"/>
      <c r="F633" s="15" t="n"/>
      <c r="G633" s="17" t="inlineStr">
        <is>
          <t>จำนวนชั่วโมงบิกเกินภาระงานสอน/ค่าสอน</t>
        </is>
      </c>
      <c r="H633" s="467" t="n"/>
      <c r="I633" s="467" t="n"/>
      <c r="J633" s="467" t="n"/>
      <c r="K633" s="362" t="n"/>
      <c r="L633" s="18" t="n">
        <v>0</v>
      </c>
      <c r="M633" s="18">
        <f>SUM(M605:M629)</f>
        <v/>
      </c>
      <c r="N633" s="18" t="n"/>
      <c r="O633" s="18">
        <f>SUM(O605:O629)</f>
        <v/>
      </c>
      <c r="P633" s="18" t="n">
        <v>0</v>
      </c>
      <c r="Q633" s="18">
        <f>SUM(Q605:Q629)</f>
        <v/>
      </c>
      <c r="R633" s="19" t="n"/>
      <c r="S633" s="18">
        <f>SUM(S605:S629)</f>
        <v/>
      </c>
    </row>
    <row r="634" ht="22.2" customHeight="1" s="330" thickTop="1">
      <c r="A634" s="299" t="inlineStr">
        <is>
          <t>รวมจำนวนหน่วยชั่วโมงที่ขอเบิกค่าสอน ….</t>
        </is>
      </c>
      <c r="B634" s="467" t="n"/>
      <c r="C634" s="467" t="n"/>
      <c r="D634" s="467" t="n"/>
      <c r="E634" s="467" t="n"/>
      <c r="F634" s="467" t="n"/>
      <c r="G634" s="467" t="n"/>
      <c r="H634" s="298">
        <f>M633+Q633</f>
        <v/>
      </c>
      <c r="I634" s="298" t="inlineStr">
        <is>
          <t>….ชั่วโมง</t>
        </is>
      </c>
      <c r="J634" s="298" t="n"/>
      <c r="K634" s="301" t="inlineStr">
        <is>
          <t>ยอดเงินรวม</t>
        </is>
      </c>
      <c r="L634" s="471" t="n"/>
      <c r="M634" s="471" t="n"/>
      <c r="N634" s="301" t="n"/>
      <c r="O634" s="301" t="n"/>
      <c r="P634" s="302">
        <f>S633+O633</f>
        <v/>
      </c>
      <c r="Q634" s="482" t="n"/>
      <c r="R634" s="21" t="n"/>
      <c r="S634" s="20" t="inlineStr">
        <is>
          <t>..บาท</t>
        </is>
      </c>
    </row>
    <row r="635" ht="22.2" customHeight="1" s="330">
      <c r="A635" s="207" t="inlineStr">
        <is>
          <t>ผู้ขอเบิก</t>
        </is>
      </c>
      <c r="B635" s="334" t="n"/>
      <c r="C635" s="334" t="n"/>
      <c r="D635" s="334" t="n"/>
      <c r="E635" s="334" t="n"/>
      <c r="F635" s="334" t="n"/>
      <c r="G635" s="335" t="n"/>
      <c r="H635" s="207" t="inlineStr">
        <is>
          <t>ผู้รับรอง</t>
        </is>
      </c>
      <c r="I635" s="334" t="n"/>
      <c r="J635" s="334" t="n"/>
      <c r="K635" s="334" t="n"/>
      <c r="L635" s="335" t="n"/>
      <c r="M635" s="207" t="inlineStr">
        <is>
          <t>ผู้ตรวจ</t>
        </is>
      </c>
      <c r="N635" s="334" t="n"/>
      <c r="O635" s="334" t="n"/>
      <c r="P635" s="334" t="n"/>
      <c r="Q635" s="334" t="n"/>
      <c r="R635" s="334" t="n"/>
      <c r="S635" s="335" t="n"/>
    </row>
    <row r="636" ht="22.2" customHeight="1" s="330">
      <c r="A636" s="252" t="inlineStr">
        <is>
          <t>ลงชื่อ……………………………………………</t>
        </is>
      </c>
      <c r="G636" s="331" t="n"/>
      <c r="H636" s="252" t="inlineStr">
        <is>
          <t>ลงชื่อ……………………………………………</t>
        </is>
      </c>
      <c r="L636" s="331" t="n"/>
      <c r="M636" s="252" t="inlineStr">
        <is>
          <t>ลงชื่อ……………………………………………</t>
        </is>
      </c>
      <c r="S636" s="331" t="n"/>
    </row>
    <row r="637" ht="22.2" customHeight="1" s="330">
      <c r="A637" s="12" t="inlineStr">
        <is>
          <t>(</t>
        </is>
      </c>
      <c r="B637" s="309">
        <f>B605</f>
        <v/>
      </c>
      <c r="G637" s="310" t="inlineStr">
        <is>
          <t>)</t>
        </is>
      </c>
      <c r="H637" s="309" t="inlineStr">
        <is>
          <t>(</t>
        </is>
      </c>
      <c r="I637" s="314">
        <f>I591</f>
        <v/>
      </c>
      <c r="L637" s="13" t="inlineStr">
        <is>
          <t>)</t>
        </is>
      </c>
      <c r="M637" s="61" t="inlineStr">
        <is>
          <t>(</t>
        </is>
      </c>
      <c r="N637" s="61" t="n"/>
      <c r="O637" s="309" t="inlineStr">
        <is>
          <t>นายพิสุทธิศักดิ์  กล่อมนาค</t>
        </is>
      </c>
      <c r="R637" s="29" t="n"/>
      <c r="S637" s="310" t="inlineStr">
        <is>
          <t>)</t>
        </is>
      </c>
    </row>
    <row r="638" ht="22.2" customHeight="1" s="330">
      <c r="A638" s="483" t="inlineStr">
        <is>
          <t xml:space="preserve">                        ตำแหน่ง ครู</t>
        </is>
      </c>
      <c r="G638" s="331" t="n"/>
      <c r="H638" s="62" t="inlineStr">
        <is>
          <t>ตำแหน่ง หัวหน้าแผนก</t>
        </is>
      </c>
      <c r="L638" s="331" t="n"/>
      <c r="M638" s="62" t="inlineStr">
        <is>
          <t>ตำแหน่ง   ผู้ตรวจสอบ</t>
        </is>
      </c>
      <c r="S638" s="331" t="n"/>
    </row>
    <row r="639" ht="22.2" customHeight="1" s="330">
      <c r="A639" s="63">
        <f>A87</f>
        <v/>
      </c>
      <c r="B639" s="471" t="n"/>
      <c r="C639" s="471" t="n"/>
      <c r="D639" s="471" t="n"/>
      <c r="E639" s="471" t="n"/>
      <c r="F639" s="471" t="n"/>
      <c r="G639" s="476" t="n"/>
      <c r="H639" s="62">
        <f>A87</f>
        <v/>
      </c>
      <c r="L639" s="331" t="n"/>
      <c r="M639" s="63">
        <f>A87</f>
        <v/>
      </c>
      <c r="N639" s="471" t="n"/>
      <c r="O639" s="471" t="n"/>
      <c r="P639" s="471" t="n"/>
      <c r="Q639" s="471" t="n"/>
      <c r="R639" s="471" t="n"/>
      <c r="S639" s="476" t="n"/>
    </row>
    <row r="640" ht="22.2" customHeight="1" s="330">
      <c r="A640" s="207" t="inlineStr">
        <is>
          <t>ผู้ตรวจ</t>
        </is>
      </c>
      <c r="B640" s="334" t="n"/>
      <c r="C640" s="334" t="n"/>
      <c r="D640" s="334" t="n"/>
      <c r="E640" s="334" t="n"/>
      <c r="F640" s="334" t="n"/>
      <c r="G640" s="334" t="n"/>
      <c r="H640" s="334" t="n"/>
      <c r="I640" s="335" t="n"/>
      <c r="J640" s="207" t="inlineStr">
        <is>
          <t>ผู้เห็นชอบ</t>
        </is>
      </c>
      <c r="K640" s="334" t="n"/>
      <c r="L640" s="334" t="n"/>
      <c r="M640" s="334" t="n"/>
      <c r="N640" s="334" t="n"/>
      <c r="O640" s="334" t="n"/>
      <c r="P640" s="334" t="n"/>
      <c r="Q640" s="334" t="n"/>
      <c r="R640" s="334" t="n"/>
      <c r="S640" s="335" t="n"/>
    </row>
    <row r="641" ht="22.2" customHeight="1" s="330">
      <c r="A641" s="252" t="inlineStr">
        <is>
          <t>ลงชื่อ……………………………………………</t>
        </is>
      </c>
      <c r="I641" s="331" t="n"/>
      <c r="J641" s="252" t="inlineStr">
        <is>
          <t>ลงชื่อ……………………………………………</t>
        </is>
      </c>
      <c r="S641" s="331" t="n"/>
    </row>
    <row r="642" ht="22.2" customHeight="1" s="330">
      <c r="A642" s="12" t="n"/>
      <c r="B642" s="309" t="inlineStr">
        <is>
          <t xml:space="preserve">          (นางศิวรักษ์   บุญประเสริฐ)</t>
        </is>
      </c>
      <c r="I642" s="310" t="n"/>
      <c r="J642" s="29" t="n"/>
      <c r="K642" s="29" t="n"/>
      <c r="L642" s="309" t="inlineStr">
        <is>
          <t>(นายปรีชา  โพธิ์เกิด)</t>
        </is>
      </c>
      <c r="R642" s="29" t="n"/>
      <c r="S642" s="13" t="n"/>
    </row>
    <row r="643" ht="22.2" customHeight="1" s="330">
      <c r="A643" s="62" t="inlineStr">
        <is>
          <t>ตำแหน่งครู  หัวหน้างานพัฒนาหลักสูตร ฯ</t>
        </is>
      </c>
      <c r="I643" s="331" t="n"/>
      <c r="J643" s="62" t="inlineStr">
        <is>
          <t>ตำแหน่ง  รองผู้อำนวยการฝ่ายวิชาการ</t>
        </is>
      </c>
      <c r="S643" s="331" t="n"/>
    </row>
    <row r="644" ht="22.2" customHeight="1" s="330">
      <c r="A644" s="63">
        <f>A87</f>
        <v/>
      </c>
      <c r="B644" s="471" t="n"/>
      <c r="C644" s="471" t="n"/>
      <c r="D644" s="471" t="n"/>
      <c r="E644" s="471" t="n"/>
      <c r="F644" s="471" t="n"/>
      <c r="G644" s="471" t="n"/>
      <c r="H644" s="471" t="n"/>
      <c r="I644" s="476" t="n"/>
      <c r="J644" s="63">
        <f>A87</f>
        <v/>
      </c>
      <c r="K644" s="471" t="n"/>
      <c r="L644" s="471" t="n"/>
      <c r="M644" s="471" t="n"/>
      <c r="N644" s="471" t="n"/>
      <c r="O644" s="471" t="n"/>
      <c r="P644" s="471" t="n"/>
      <c r="Q644" s="471" t="n"/>
      <c r="R644" s="471" t="n"/>
      <c r="S644" s="476" t="n"/>
    </row>
    <row r="645" ht="22.2" customHeight="1" s="330">
      <c r="A64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46" ht="22.2" customHeight="1" s="330">
      <c r="A646" s="254">
        <f>A2</f>
        <v/>
      </c>
    </row>
    <row r="647" ht="22.2" customHeight="1" s="330">
      <c r="A647" s="253" t="inlineStr">
        <is>
          <t xml:space="preserve">    ระหว่างวันที่</t>
        </is>
      </c>
      <c r="D647" s="254">
        <f>D49</f>
        <v/>
      </c>
      <c r="E647" s="254" t="inlineStr">
        <is>
          <t xml:space="preserve">   เดือน  </t>
        </is>
      </c>
      <c r="F647" s="254">
        <f>F49</f>
        <v/>
      </c>
      <c r="H647" s="254">
        <f>H49</f>
        <v/>
      </c>
      <c r="I647" s="254" t="inlineStr">
        <is>
          <t xml:space="preserve">     ถึง วันที่</t>
        </is>
      </c>
      <c r="J647" s="254">
        <f>J49</f>
        <v/>
      </c>
      <c r="K647" s="254" t="inlineStr">
        <is>
          <t xml:space="preserve">   เดือน </t>
        </is>
      </c>
      <c r="L647" s="254">
        <f>L49</f>
        <v/>
      </c>
      <c r="N647" s="254">
        <f>N49</f>
        <v/>
      </c>
      <c r="P647" s="254" t="n"/>
      <c r="R647" s="254" t="n"/>
    </row>
    <row r="648" ht="22.2" customHeight="1" s="330">
      <c r="G648" s="58" t="inlineStr">
        <is>
          <t>ü</t>
        </is>
      </c>
      <c r="H648" s="301" t="inlineStr">
        <is>
          <t>ครู</t>
        </is>
      </c>
      <c r="I648" s="301" t="inlineStr">
        <is>
          <t>หน้าที่พิเศษ</t>
        </is>
      </c>
      <c r="J648" s="290" t="n"/>
      <c r="K648" s="290" t="n"/>
      <c r="L648" s="290" t="n"/>
      <c r="M648" s="290" t="n"/>
      <c r="N648" s="290" t="n"/>
      <c r="O648" s="290" t="n"/>
      <c r="P648" s="290" t="n"/>
      <c r="Q648" s="290" t="n"/>
      <c r="R648" s="290" t="n"/>
      <c r="S648" s="290" t="n"/>
    </row>
    <row r="649" ht="22.2" customHeight="1" s="330">
      <c r="A649" s="28" t="inlineStr">
        <is>
          <t>ที่</t>
        </is>
      </c>
      <c r="B649" s="28" t="inlineStr">
        <is>
          <t>ชื่อ-สกุล</t>
        </is>
      </c>
      <c r="C649" s="334" t="n"/>
      <c r="D649" s="335" t="n"/>
      <c r="E649" s="16" t="inlineStr">
        <is>
          <t>ตำแหน่ง</t>
        </is>
      </c>
      <c r="F649" s="17" t="inlineStr">
        <is>
          <t>ระยะเวลาที่สอน</t>
        </is>
      </c>
      <c r="G649" s="362" t="n"/>
      <c r="H649" s="17" t="inlineStr">
        <is>
          <t>รหัสวิชา</t>
        </is>
      </c>
      <c r="I649" s="275" t="inlineStr">
        <is>
          <t>ชั้น,แผนก,ห้อง</t>
        </is>
      </c>
      <c r="J649" s="17" t="inlineStr">
        <is>
          <t>เวลาสอน</t>
        </is>
      </c>
      <c r="K649" s="335" t="n"/>
      <c r="L649" s="17" t="inlineStr">
        <is>
          <t>ปวช.(คาบ)</t>
        </is>
      </c>
      <c r="M649" s="362" t="n"/>
      <c r="N649" s="244" t="inlineStr">
        <is>
          <t>เงิน</t>
        </is>
      </c>
      <c r="O649" s="275" t="inlineStr">
        <is>
          <t>ยอดเงิน</t>
        </is>
      </c>
      <c r="P649" s="473" t="inlineStr">
        <is>
          <t>ปวส.(คาบ)</t>
        </is>
      </c>
      <c r="Q649" s="362" t="n"/>
      <c r="R649" s="244" t="inlineStr">
        <is>
          <t>เงิน</t>
        </is>
      </c>
      <c r="S649" s="275" t="inlineStr">
        <is>
          <t>ยอดเงิน</t>
        </is>
      </c>
    </row>
    <row r="650" ht="22.2" customHeight="1" s="330">
      <c r="A650" s="60" t="n"/>
      <c r="B650" s="9" t="n"/>
      <c r="C650" s="10" t="n"/>
      <c r="D650" s="14" t="n"/>
      <c r="E650" s="11" t="n"/>
      <c r="F650" s="276" t="inlineStr">
        <is>
          <t>ส.</t>
        </is>
      </c>
      <c r="G650" s="276" t="inlineStr">
        <is>
          <t>วดป.</t>
        </is>
      </c>
      <c r="H650" s="474" t="n"/>
      <c r="I650" s="276" t="n"/>
      <c r="J650" s="475" t="n"/>
      <c r="K650" s="476" t="n"/>
      <c r="L650" s="276" t="inlineStr">
        <is>
          <t>ใน</t>
        </is>
      </c>
      <c r="M650" s="276" t="inlineStr">
        <is>
          <t>นอก</t>
        </is>
      </c>
      <c r="N650" s="276" t="inlineStr">
        <is>
          <t>ต่อ ชม.</t>
        </is>
      </c>
      <c r="O650" s="276" t="inlineStr">
        <is>
          <t>(บาท)</t>
        </is>
      </c>
      <c r="P650" s="60" t="inlineStr">
        <is>
          <t>ใน</t>
        </is>
      </c>
      <c r="Q650" s="60" t="inlineStr">
        <is>
          <t>นอก</t>
        </is>
      </c>
      <c r="R650" s="276" t="inlineStr">
        <is>
          <t>ต่อ ชม.</t>
        </is>
      </c>
      <c r="S650" s="276" t="inlineStr">
        <is>
          <t>(บาท)</t>
        </is>
      </c>
    </row>
    <row r="651" ht="22.2" customHeight="1" s="330">
      <c r="A651" s="275" t="n">
        <v>15</v>
      </c>
      <c r="B651" s="477">
        <f>AB17</f>
        <v/>
      </c>
      <c r="C651" s="334" t="n"/>
      <c r="D651" s="335" t="n"/>
      <c r="E651" s="275" t="inlineStr">
        <is>
          <t>ครู</t>
        </is>
      </c>
      <c r="F651" s="6">
        <f>F53</f>
        <v/>
      </c>
      <c r="G651" s="303" t="inlineStr">
        <is>
          <t>จันทร์</t>
        </is>
      </c>
      <c r="H651" s="252" t="inlineStr">
        <is>
          <t>30101-2007</t>
        </is>
      </c>
      <c r="I651" s="325" t="inlineStr">
        <is>
          <t>ปวส.1/6 ชย. (ปกติ)</t>
        </is>
      </c>
      <c r="J651" s="332" t="inlineStr">
        <is>
          <t>08.10-12.10</t>
        </is>
      </c>
      <c r="K651" s="335" t="n"/>
      <c r="L651" s="265" t="n"/>
      <c r="M651" s="332" t="n"/>
      <c r="N651" s="332" t="n"/>
      <c r="O651" s="244">
        <f>M651*N651</f>
        <v/>
      </c>
      <c r="P651" s="332" t="n"/>
      <c r="Q651" s="265" t="n"/>
      <c r="R651" s="332" t="n"/>
      <c r="S651" s="244">
        <f>Q651*R651</f>
        <v/>
      </c>
    </row>
    <row r="652" ht="22.2" customHeight="1" s="330">
      <c r="A652" s="4" t="n"/>
      <c r="B652" s="478" t="n"/>
      <c r="D652" s="331" t="n"/>
      <c r="E652" s="252" t="n"/>
      <c r="F652" s="249" t="n"/>
      <c r="G652" s="308">
        <f>G560</f>
        <v/>
      </c>
      <c r="H652" s="252" t="inlineStr">
        <is>
          <t>30101-2007</t>
        </is>
      </c>
      <c r="I652" s="325" t="inlineStr">
        <is>
          <t>ปวส.1/5 ชย. (ปกติ)</t>
        </is>
      </c>
      <c r="J652" s="252" t="inlineStr">
        <is>
          <t>13.10-17.10</t>
        </is>
      </c>
      <c r="K652" s="331" t="n"/>
      <c r="L652" s="252" t="n"/>
      <c r="M652" s="252" t="n"/>
      <c r="N652" s="252" t="n"/>
      <c r="O652" s="244">
        <f>M652*N652</f>
        <v/>
      </c>
      <c r="P652" s="252" t="n"/>
      <c r="Q652" s="252" t="n"/>
      <c r="R652" s="252" t="n"/>
      <c r="S652" s="244">
        <f>Q652*R652</f>
        <v/>
      </c>
    </row>
    <row r="653" ht="22.2" customHeight="1" s="330">
      <c r="A653" s="4" t="n"/>
      <c r="B653" s="5" t="n"/>
      <c r="D653" s="3" t="n"/>
      <c r="E653" s="3" t="n"/>
      <c r="F653" s="249" t="n"/>
      <c r="G653" s="248" t="n"/>
      <c r="H653" s="252" t="n"/>
      <c r="I653" s="252" t="n"/>
      <c r="J653" s="252" t="n"/>
      <c r="K653" s="331" t="n"/>
      <c r="L653" s="252" t="n"/>
      <c r="M653" s="252" t="n"/>
      <c r="N653" s="252" t="n"/>
      <c r="O653" s="244">
        <f>M653*N653</f>
        <v/>
      </c>
      <c r="P653" s="252" t="n"/>
      <c r="Q653" s="252" t="n"/>
      <c r="R653" s="252" t="n"/>
      <c r="S653" s="244">
        <f>Q653*R653</f>
        <v/>
      </c>
    </row>
    <row r="654" ht="22.2" customHeight="1" s="330">
      <c r="A654" s="4" t="n"/>
      <c r="B654" s="5" t="n"/>
      <c r="E654" s="4" t="n"/>
      <c r="F654" s="249" t="n"/>
      <c r="G654" s="248" t="n"/>
      <c r="H654" s="252" t="n"/>
      <c r="I654" s="252" t="n"/>
      <c r="J654" s="252" t="n"/>
      <c r="K654" s="331" t="n"/>
      <c r="L654" s="252" t="n"/>
      <c r="M654" s="252" t="n"/>
      <c r="N654" s="252" t="n"/>
      <c r="O654" s="244">
        <f>M654*N654</f>
        <v/>
      </c>
      <c r="P654" s="252" t="n"/>
      <c r="Q654" s="252" t="n"/>
      <c r="R654" s="252" t="n"/>
      <c r="S654" s="244">
        <f>Q654*R654</f>
        <v/>
      </c>
    </row>
    <row r="655" ht="22.2" customHeight="1" s="330">
      <c r="A655" s="4" t="n"/>
      <c r="E655" s="4" t="n"/>
      <c r="G655" s="311" t="n"/>
      <c r="H655" s="276" t="n"/>
      <c r="I655" s="276" t="n"/>
      <c r="J655" s="276" t="n"/>
      <c r="K655" s="476" t="n"/>
      <c r="L655" s="252" t="n"/>
      <c r="M655" s="252" t="n"/>
      <c r="N655" s="252" t="n"/>
      <c r="O655" s="244">
        <f>M655*N655</f>
        <v/>
      </c>
      <c r="P655" s="252" t="n"/>
      <c r="Q655" s="252" t="n"/>
      <c r="R655" s="252" t="n"/>
      <c r="S655" s="244">
        <f>Q655*R655</f>
        <v/>
      </c>
    </row>
    <row r="656" ht="22.2" customHeight="1" s="330">
      <c r="A656" s="4" t="n"/>
      <c r="E656" s="4" t="n"/>
      <c r="G656" s="62" t="inlineStr">
        <is>
          <t>อังคาร</t>
        </is>
      </c>
      <c r="H656" s="252" t="inlineStr">
        <is>
          <t>30101-2002</t>
        </is>
      </c>
      <c r="I656" s="325" t="inlineStr">
        <is>
          <t>ปวส.1/3,4 สย. (ม.6)</t>
        </is>
      </c>
      <c r="J656" s="332" t="inlineStr">
        <is>
          <t>08.10-11.10</t>
        </is>
      </c>
      <c r="K656" s="335" t="n"/>
      <c r="L656" s="265" t="n"/>
      <c r="M656" s="332" t="n"/>
      <c r="N656" s="332" t="n"/>
      <c r="O656" s="244">
        <f>M656*N656</f>
        <v/>
      </c>
      <c r="P656" s="332" t="n"/>
      <c r="Q656" s="265" t="n"/>
      <c r="R656" s="332" t="n"/>
      <c r="S656" s="244">
        <f>Q656*R656</f>
        <v/>
      </c>
    </row>
    <row r="657" ht="22.2" customHeight="1" s="330">
      <c r="A657" s="4" t="n"/>
      <c r="E657" s="4" t="n"/>
      <c r="G657" s="308">
        <f>G565</f>
        <v/>
      </c>
      <c r="H657" s="252" t="inlineStr">
        <is>
          <t>30101-2001</t>
        </is>
      </c>
      <c r="I657" s="325" t="inlineStr">
        <is>
          <t>ปวส.1/1,2 ชย. (ปกติ)</t>
        </is>
      </c>
      <c r="J657" s="252" t="inlineStr">
        <is>
          <t>13.10-16.10</t>
        </is>
      </c>
      <c r="K657" s="331" t="n"/>
      <c r="L657" s="252" t="n"/>
      <c r="M657" s="252" t="n"/>
      <c r="N657" s="252" t="n"/>
      <c r="O657" s="244">
        <f>M657*N657</f>
        <v/>
      </c>
      <c r="P657" s="252" t="n"/>
      <c r="Q657" s="252" t="n"/>
      <c r="R657" s="252" t="n"/>
      <c r="S657" s="244">
        <f>Q657*R657</f>
        <v/>
      </c>
    </row>
    <row r="658" ht="22.2" customHeight="1" s="330">
      <c r="A658" s="4" t="n"/>
      <c r="B658" s="5" t="n"/>
      <c r="D658" s="3" t="n"/>
      <c r="E658" s="3" t="n"/>
      <c r="G658" s="252" t="n"/>
      <c r="H658" s="325" t="n"/>
      <c r="I658" s="325" t="n"/>
      <c r="J658" s="325" t="n"/>
      <c r="K658" s="331" t="n"/>
      <c r="L658" s="252" t="n"/>
      <c r="M658" s="252" t="n"/>
      <c r="N658" s="252" t="n"/>
      <c r="O658" s="244">
        <f>M658*N658</f>
        <v/>
      </c>
      <c r="P658" s="252" t="n"/>
      <c r="Q658" s="252" t="n"/>
      <c r="R658" s="252" t="n"/>
      <c r="S658" s="244">
        <f>Q658*R658</f>
        <v/>
      </c>
    </row>
    <row r="659" ht="22.2" customHeight="1" s="330">
      <c r="A659" s="4" t="n"/>
      <c r="E659" s="4" t="n"/>
      <c r="G659" s="62" t="n"/>
      <c r="H659" s="249" t="n"/>
      <c r="I659" s="252" t="n"/>
      <c r="J659" s="252" t="n"/>
      <c r="K659" s="331" t="n"/>
      <c r="L659" s="252" t="n"/>
      <c r="M659" s="252" t="n"/>
      <c r="N659" s="252" t="n"/>
      <c r="O659" s="244">
        <f>M659*N659</f>
        <v/>
      </c>
      <c r="P659" s="252" t="n"/>
      <c r="Q659" s="252" t="n"/>
      <c r="R659" s="252" t="n"/>
      <c r="S659" s="244">
        <f>Q659*R659</f>
        <v/>
      </c>
    </row>
    <row r="660" ht="22.2" customHeight="1" s="330">
      <c r="A660" s="4" t="n"/>
      <c r="D660" s="8" t="inlineStr">
        <is>
          <t> </t>
        </is>
      </c>
      <c r="E660" s="4" t="n"/>
      <c r="G660" s="63" t="n"/>
      <c r="H660" s="276" t="n"/>
      <c r="I660" s="276" t="n"/>
      <c r="J660" s="276" t="n"/>
      <c r="K660" s="476" t="n"/>
      <c r="L660" s="252" t="n"/>
      <c r="M660" s="252" t="n"/>
      <c r="N660" s="252" t="n"/>
      <c r="O660" s="244">
        <f>M660*N660</f>
        <v/>
      </c>
      <c r="P660" s="252" t="n"/>
      <c r="Q660" s="252" t="n"/>
      <c r="R660" s="252" t="n"/>
      <c r="S660" s="244">
        <f>Q660*R660</f>
        <v/>
      </c>
    </row>
    <row r="661" ht="22.2" customHeight="1" s="330">
      <c r="A661" s="4" t="n"/>
      <c r="E661" s="4" t="n"/>
      <c r="G661" s="308" t="inlineStr">
        <is>
          <t>พุธ</t>
        </is>
      </c>
      <c r="H661" s="252" t="inlineStr">
        <is>
          <t>30101-2001</t>
        </is>
      </c>
      <c r="I661" s="325" t="inlineStr">
        <is>
          <t>ปวส.1/7 สย. (ทวิ)</t>
        </is>
      </c>
      <c r="J661" s="252" t="inlineStr">
        <is>
          <t>13.10-16.10</t>
        </is>
      </c>
      <c r="K661" s="331" t="n"/>
      <c r="L661" s="265" t="n"/>
      <c r="M661" s="332" t="n"/>
      <c r="N661" s="332" t="n"/>
      <c r="O661" s="244">
        <f>M661*N661</f>
        <v/>
      </c>
      <c r="P661" s="332" t="n"/>
      <c r="Q661" s="265" t="n"/>
      <c r="R661" s="332" t="n"/>
      <c r="S661" s="244">
        <f>Q661*R661</f>
        <v/>
      </c>
    </row>
    <row r="662" ht="22.2" customHeight="1" s="330">
      <c r="A662" s="4" t="n"/>
      <c r="B662" s="248" t="n"/>
      <c r="C662" s="249" t="n"/>
      <c r="D662" s="249" t="n"/>
      <c r="E662" s="252" t="n"/>
      <c r="G662" s="308">
        <f>G570</f>
        <v/>
      </c>
      <c r="H662" s="325" t="n"/>
      <c r="I662" s="325" t="n"/>
      <c r="J662" s="252" t="n"/>
      <c r="K662" s="331" t="n"/>
      <c r="L662" s="252" t="n"/>
      <c r="M662" s="252" t="n"/>
      <c r="N662" s="252" t="n"/>
      <c r="O662" s="244">
        <f>M662*N662</f>
        <v/>
      </c>
      <c r="P662" s="252" t="n"/>
      <c r="Q662" s="252" t="n"/>
      <c r="R662" s="252" t="n"/>
      <c r="S662" s="244">
        <f>Q662*R662</f>
        <v/>
      </c>
    </row>
    <row r="663" ht="22.2" customHeight="1" s="330">
      <c r="A663" s="4" t="n"/>
      <c r="B663" s="5" t="n"/>
      <c r="D663" s="3" t="n"/>
      <c r="E663" s="3" t="n"/>
      <c r="G663" s="252" t="n"/>
      <c r="H663" s="325" t="n"/>
      <c r="I663" s="325" t="n"/>
      <c r="J663" s="325" t="n"/>
      <c r="K663" s="331" t="n"/>
      <c r="L663" s="252" t="n"/>
      <c r="M663" s="252" t="n"/>
      <c r="N663" s="252" t="n"/>
      <c r="O663" s="244">
        <f>M663*N663</f>
        <v/>
      </c>
      <c r="P663" s="252" t="n"/>
      <c r="Q663" s="252" t="n"/>
      <c r="R663" s="252" t="n"/>
      <c r="S663" s="244">
        <f>Q663*R663</f>
        <v/>
      </c>
    </row>
    <row r="664" ht="22.2" customHeight="1" s="330">
      <c r="A664" s="4" t="n"/>
      <c r="E664" s="4" t="n"/>
      <c r="G664" s="248" t="n"/>
      <c r="H664" s="248" t="n"/>
      <c r="I664" s="252" t="n"/>
      <c r="J664" s="252" t="n"/>
      <c r="K664" s="331" t="n"/>
      <c r="L664" s="252" t="n"/>
      <c r="M664" s="252" t="n"/>
      <c r="N664" s="252" t="n"/>
      <c r="O664" s="244">
        <f>M664*N664</f>
        <v/>
      </c>
      <c r="P664" s="252" t="n"/>
      <c r="Q664" s="252" t="n"/>
      <c r="R664" s="252" t="n"/>
      <c r="S664" s="244">
        <f>Q664*R664</f>
        <v/>
      </c>
    </row>
    <row r="665" ht="22.2" customHeight="1" s="330">
      <c r="A665" s="4" t="n"/>
      <c r="E665" s="4" t="n"/>
      <c r="G665" s="277" t="n"/>
      <c r="H665" s="277" t="n"/>
      <c r="I665" s="276" t="n"/>
      <c r="J665" s="276" t="n"/>
      <c r="K665" s="476" t="n"/>
      <c r="L665" s="276" t="n"/>
      <c r="M665" s="276" t="n"/>
      <c r="N665" s="276" t="n"/>
      <c r="O665" s="244">
        <f>M665*N665</f>
        <v/>
      </c>
      <c r="P665" s="276" t="n"/>
      <c r="Q665" s="276" t="n"/>
      <c r="R665" s="276" t="n"/>
      <c r="S665" s="244">
        <f>Q665*R665</f>
        <v/>
      </c>
    </row>
    <row r="666" ht="22.2" customHeight="1" s="330">
      <c r="A666" s="4" t="n"/>
      <c r="E666" s="4" t="n"/>
      <c r="G666" s="62" t="inlineStr">
        <is>
          <t>พฤหัส</t>
        </is>
      </c>
      <c r="H666" s="252" t="inlineStr">
        <is>
          <t>30101-2007</t>
        </is>
      </c>
      <c r="I666" s="325" t="inlineStr">
        <is>
          <t>ปวส.1/4 สย. (ม.6)</t>
        </is>
      </c>
      <c r="J666" s="332" t="inlineStr">
        <is>
          <t>08.10-12.10</t>
        </is>
      </c>
      <c r="K666" s="335" t="n"/>
      <c r="L666" s="265" t="n"/>
      <c r="M666" s="332" t="n"/>
      <c r="N666" s="325" t="n"/>
      <c r="O666" s="244">
        <f>M666*N666</f>
        <v/>
      </c>
      <c r="P666" s="252" t="n"/>
      <c r="Q666" s="275" t="n"/>
      <c r="R666" s="275" t="n"/>
      <c r="S666" s="244">
        <f>Q666*R666</f>
        <v/>
      </c>
    </row>
    <row r="667" ht="22.2" customHeight="1" s="330">
      <c r="A667" s="4" t="n"/>
      <c r="E667" s="4" t="n"/>
      <c r="G667" s="308">
        <f>G575</f>
        <v/>
      </c>
      <c r="H667" s="252" t="inlineStr">
        <is>
          <t>30101-2007</t>
        </is>
      </c>
      <c r="I667" s="325" t="inlineStr">
        <is>
          <t>ปวส.1/3 สย. (ม.6)</t>
        </is>
      </c>
      <c r="J667" s="252" t="inlineStr">
        <is>
          <t>15.10-19.10</t>
        </is>
      </c>
      <c r="K667" s="331" t="n"/>
      <c r="L667" s="252" t="n"/>
      <c r="M667" s="252" t="n"/>
      <c r="N667" s="252" t="n"/>
      <c r="O667" s="244">
        <f>M667*N667</f>
        <v/>
      </c>
      <c r="P667" s="252" t="n"/>
      <c r="Q667" s="252" t="n"/>
      <c r="R667" s="252" t="n"/>
      <c r="S667" s="244">
        <f>Q667*R667</f>
        <v/>
      </c>
    </row>
    <row r="668" ht="22.2" customHeight="1" s="330">
      <c r="A668" s="4" t="n"/>
      <c r="B668" s="5" t="n"/>
      <c r="E668" s="4" t="n"/>
      <c r="G668" s="252" t="n"/>
      <c r="H668" s="325" t="n"/>
      <c r="I668" s="325" t="n"/>
      <c r="J668" s="325" t="n"/>
      <c r="K668" s="331" t="n"/>
      <c r="L668" s="325" t="n"/>
      <c r="M668" s="325" t="n"/>
      <c r="N668" s="325" t="n"/>
      <c r="O668" s="244">
        <f>M668*N668</f>
        <v/>
      </c>
      <c r="P668" s="325" t="n"/>
      <c r="Q668" s="325" t="n"/>
      <c r="R668" s="325" t="n"/>
      <c r="S668" s="244">
        <f>Q668*R668</f>
        <v/>
      </c>
    </row>
    <row r="669" ht="22.2" customHeight="1" s="330">
      <c r="A669" s="4" t="n"/>
      <c r="E669" s="4" t="n"/>
      <c r="G669" s="252" t="n"/>
      <c r="H669" s="252" t="n"/>
      <c r="I669" s="252" t="n"/>
      <c r="J669" s="252" t="n"/>
      <c r="K669" s="331" t="n"/>
      <c r="L669" s="252" t="n"/>
      <c r="M669" s="252" t="n"/>
      <c r="N669" s="252" t="n"/>
      <c r="O669" s="244">
        <f>M669*N669</f>
        <v/>
      </c>
      <c r="P669" s="252" t="n"/>
      <c r="Q669" s="252" t="n"/>
      <c r="R669" s="252" t="n"/>
      <c r="S669" s="244">
        <f>Q669*R669</f>
        <v/>
      </c>
    </row>
    <row r="670" ht="22.2" customHeight="1" s="330">
      <c r="A670" s="4" t="n"/>
      <c r="E670" s="4" t="n"/>
      <c r="G670" s="276" t="n"/>
      <c r="H670" s="301" t="n"/>
      <c r="I670" s="276" t="n"/>
      <c r="J670" s="276" t="n"/>
      <c r="K670" s="476" t="n"/>
      <c r="L670" s="276" t="n"/>
      <c r="M670" s="276" t="n"/>
      <c r="N670" s="276" t="n"/>
      <c r="O670" s="244">
        <f>M670*N670</f>
        <v/>
      </c>
      <c r="P670" s="276" t="n"/>
      <c r="Q670" s="276" t="n"/>
      <c r="R670" s="276" t="n"/>
      <c r="S670" s="244">
        <f>Q670*R670</f>
        <v/>
      </c>
    </row>
    <row r="671" ht="22.2" customHeight="1" s="330">
      <c r="A671" s="4" t="n"/>
      <c r="E671" s="4" t="n"/>
      <c r="G671" s="62" t="inlineStr">
        <is>
          <t>ศุกร์</t>
        </is>
      </c>
      <c r="H671" s="252" t="inlineStr">
        <is>
          <t>30101-2007</t>
        </is>
      </c>
      <c r="I671" s="325" t="inlineStr">
        <is>
          <t>ปวส.1/7 สย. (ทวิ)</t>
        </is>
      </c>
      <c r="J671" s="332" t="inlineStr">
        <is>
          <t>08.10-12.10</t>
        </is>
      </c>
      <c r="K671" s="335" t="n"/>
      <c r="L671" s="265" t="n"/>
      <c r="M671" s="332" t="n"/>
      <c r="N671" s="332" t="n"/>
      <c r="O671" s="244">
        <f>M671*N671</f>
        <v/>
      </c>
      <c r="P671" s="332" t="n"/>
      <c r="Q671" s="265" t="n"/>
      <c r="R671" s="332" t="n"/>
      <c r="S671" s="244">
        <f>Q671*R671</f>
        <v/>
      </c>
    </row>
    <row r="672" ht="22.2" customHeight="1" s="330">
      <c r="A672" s="4" t="n"/>
      <c r="E672" s="4" t="n"/>
      <c r="G672" s="308">
        <f>G580</f>
        <v/>
      </c>
      <c r="H672" s="325" t="n"/>
      <c r="I672" s="325" t="n"/>
      <c r="J672" s="325" t="n"/>
      <c r="K672" s="331" t="n"/>
      <c r="L672" s="252" t="n"/>
      <c r="M672" s="252" t="n"/>
      <c r="N672" s="252" t="n"/>
      <c r="O672" s="244">
        <f>M672*N672</f>
        <v/>
      </c>
      <c r="P672" s="252" t="n"/>
      <c r="Q672" s="252" t="n"/>
      <c r="R672" s="252" t="n"/>
      <c r="S672" s="244">
        <f>Q672*R672</f>
        <v/>
      </c>
    </row>
    <row r="673" ht="22.2" customHeight="1" s="330">
      <c r="A673" s="4" t="n"/>
      <c r="E673" s="4" t="n"/>
      <c r="G673" s="252" t="n"/>
      <c r="H673" s="325" t="n"/>
      <c r="I673" s="325" t="n"/>
      <c r="J673" s="325" t="n"/>
      <c r="K673" s="331" t="n"/>
      <c r="L673" s="252" t="n"/>
      <c r="M673" s="252" t="n"/>
      <c r="N673" s="252" t="n"/>
      <c r="O673" s="244">
        <f>M673*N673</f>
        <v/>
      </c>
      <c r="P673" s="252" t="n"/>
      <c r="Q673" s="252" t="n"/>
      <c r="R673" s="252" t="n"/>
      <c r="S673" s="244">
        <f>Q673*R673</f>
        <v/>
      </c>
    </row>
    <row r="674" ht="22.2" customHeight="1" s="330">
      <c r="A674" s="4" t="n"/>
      <c r="E674" s="4" t="n"/>
      <c r="G674" s="252" t="n"/>
      <c r="H674" s="249" t="n"/>
      <c r="I674" s="252" t="n"/>
      <c r="J674" s="252" t="n"/>
      <c r="K674" s="331" t="n"/>
      <c r="L674" s="252" t="n"/>
      <c r="M674" s="252" t="n"/>
      <c r="N674" s="252" t="n"/>
      <c r="O674" s="244">
        <f>M674*N674</f>
        <v/>
      </c>
      <c r="P674" s="252" t="n"/>
      <c r="Q674" s="252" t="n"/>
      <c r="R674" s="252" t="n"/>
      <c r="S674" s="244">
        <f>Q674*R674</f>
        <v/>
      </c>
    </row>
    <row r="675" ht="22.2" customHeight="1" s="330">
      <c r="A675" s="4" t="n"/>
      <c r="E675" s="4" t="n"/>
      <c r="F675" s="4" t="n"/>
      <c r="G675" s="278" t="n"/>
      <c r="H675" s="301" t="n"/>
      <c r="I675" s="276" t="n"/>
      <c r="J675" s="276" t="n"/>
      <c r="K675" s="476" t="n"/>
      <c r="L675" s="276" t="n"/>
      <c r="M675" s="276" t="n"/>
      <c r="N675" s="276" t="n"/>
      <c r="O675" s="244">
        <f>M675*N675</f>
        <v/>
      </c>
      <c r="P675" s="276" t="n"/>
      <c r="Q675" s="276" t="n"/>
      <c r="R675" s="276" t="n"/>
      <c r="S675" s="244">
        <f>Q675*R675</f>
        <v/>
      </c>
    </row>
    <row r="676" ht="22.2" customHeight="1" s="330">
      <c r="A676" s="4" t="n"/>
      <c r="E676" s="4" t="n"/>
      <c r="F676" s="4" t="n"/>
      <c r="G676" s="17" t="inlineStr">
        <is>
          <t>รวมขั่วโมงที่สอนแยก ภาระงาน/ เกินภาระงาน</t>
        </is>
      </c>
      <c r="H676" s="467" t="n"/>
      <c r="I676" s="467" t="n"/>
      <c r="J676" s="467" t="n"/>
      <c r="K676" s="362" t="n"/>
      <c r="L676" s="17">
        <f>SUM(L651:L675)</f>
        <v/>
      </c>
      <c r="M676" s="17">
        <f>SUM(M651:M675)</f>
        <v/>
      </c>
      <c r="N676" s="17" t="n"/>
      <c r="O676" s="17" t="n"/>
      <c r="P676" s="17">
        <f>SUM(P651:P675)</f>
        <v/>
      </c>
      <c r="Q676" s="17">
        <f>SUM(Q651:Q675)</f>
        <v/>
      </c>
      <c r="R676" s="279" t="n"/>
      <c r="S676" s="17" t="n"/>
    </row>
    <row r="677" ht="22.2" customHeight="1" s="330">
      <c r="A677" s="4" t="n"/>
      <c r="E677" s="4" t="n"/>
      <c r="F677" s="4" t="n"/>
      <c r="G677" s="17" t="inlineStr">
        <is>
          <t>รวมจำนวนชั่วโมงสอนคาบต่อสับดาห์</t>
        </is>
      </c>
      <c r="H677" s="467" t="n"/>
      <c r="I677" s="467" t="n"/>
      <c r="J677" s="467" t="n"/>
      <c r="K677" s="362" t="n"/>
      <c r="L677" s="17">
        <f>L676+M676</f>
        <v/>
      </c>
      <c r="M677" s="362" t="n"/>
      <c r="N677" s="298" t="n"/>
      <c r="O677" s="17" t="n"/>
      <c r="P677" s="17">
        <f>P676+Q676</f>
        <v/>
      </c>
      <c r="Q677" s="362" t="n"/>
      <c r="R677" s="278" t="n"/>
      <c r="S677" s="276" t="n"/>
    </row>
    <row r="678" ht="22.2" customHeight="1" s="330">
      <c r="A678" s="4" t="n"/>
      <c r="E678" s="4" t="n"/>
      <c r="F678" s="4" t="n"/>
      <c r="G678" s="17" t="inlineStr">
        <is>
          <t>จำนวนชั่วโมงสอนตามภาระงานสอน</t>
        </is>
      </c>
      <c r="H678" s="467" t="n"/>
      <c r="I678" s="467" t="n"/>
      <c r="J678" s="467" t="n"/>
      <c r="K678" s="362" t="n"/>
      <c r="L678" s="17" t="n">
        <v>0</v>
      </c>
      <c r="M678" s="362" t="n"/>
      <c r="N678" s="298" t="n"/>
      <c r="O678" s="17" t="n"/>
      <c r="P678" s="17" t="n">
        <v>15</v>
      </c>
      <c r="Q678" s="362" t="n"/>
      <c r="R678" s="249" t="n"/>
      <c r="S678" s="252" t="n"/>
    </row>
    <row r="679" ht="22.2" customHeight="1" s="330" thickBot="1">
      <c r="A679" s="4" t="n"/>
      <c r="E679" s="4" t="n"/>
      <c r="F679" s="15" t="n"/>
      <c r="G679" s="17" t="inlineStr">
        <is>
          <t>จำนวนชั่วโมงบิกเกินภาระงานสอน/ค่าสอน</t>
        </is>
      </c>
      <c r="H679" s="467" t="n"/>
      <c r="I679" s="467" t="n"/>
      <c r="J679" s="467" t="n"/>
      <c r="K679" s="362" t="n"/>
      <c r="L679" s="18" t="n">
        <v>0</v>
      </c>
      <c r="M679" s="18">
        <f>SUM(M651:M675)</f>
        <v/>
      </c>
      <c r="N679" s="18" t="n"/>
      <c r="O679" s="18">
        <f>SUM(O651:O675)</f>
        <v/>
      </c>
      <c r="P679" s="18" t="n">
        <v>0</v>
      </c>
      <c r="Q679" s="18">
        <f>SUM(Q651:Q675)</f>
        <v/>
      </c>
      <c r="R679" s="19" t="n"/>
      <c r="S679" s="18">
        <f>SUM(S651:S675)</f>
        <v/>
      </c>
    </row>
    <row r="680" ht="22.2" customHeight="1" s="330" thickTop="1">
      <c r="A680" s="299" t="inlineStr">
        <is>
          <t>รวมจำนวนหน่วยชั่วโมงที่ขอเบิกค่าสอน ….</t>
        </is>
      </c>
      <c r="B680" s="467" t="n"/>
      <c r="C680" s="467" t="n"/>
      <c r="D680" s="467" t="n"/>
      <c r="E680" s="467" t="n"/>
      <c r="F680" s="467" t="n"/>
      <c r="G680" s="467" t="n"/>
      <c r="H680" s="298">
        <f>M679+Q679</f>
        <v/>
      </c>
      <c r="I680" s="298" t="inlineStr">
        <is>
          <t>….ชั่วโมง</t>
        </is>
      </c>
      <c r="J680" s="298" t="n"/>
      <c r="K680" s="301" t="inlineStr">
        <is>
          <t>ยอดเงินรวม</t>
        </is>
      </c>
      <c r="L680" s="471" t="n"/>
      <c r="M680" s="471" t="n"/>
      <c r="N680" s="301" t="n"/>
      <c r="O680" s="301" t="n"/>
      <c r="P680" s="302">
        <f>S679+O679</f>
        <v/>
      </c>
      <c r="Q680" s="482" t="n"/>
      <c r="R680" s="21" t="n"/>
      <c r="S680" s="20" t="inlineStr">
        <is>
          <t>..บาท</t>
        </is>
      </c>
    </row>
    <row r="681" ht="22.2" customHeight="1" s="330">
      <c r="A681" s="207" t="inlineStr">
        <is>
          <t>ผู้ขอเบิก</t>
        </is>
      </c>
      <c r="B681" s="334" t="n"/>
      <c r="C681" s="334" t="n"/>
      <c r="D681" s="334" t="n"/>
      <c r="E681" s="334" t="n"/>
      <c r="F681" s="334" t="n"/>
      <c r="G681" s="335" t="n"/>
      <c r="H681" s="207" t="inlineStr">
        <is>
          <t>ผู้รับรอง</t>
        </is>
      </c>
      <c r="I681" s="334" t="n"/>
      <c r="J681" s="334" t="n"/>
      <c r="K681" s="334" t="n"/>
      <c r="L681" s="335" t="n"/>
      <c r="M681" s="207" t="inlineStr">
        <is>
          <t>ผู้ตรวจ</t>
        </is>
      </c>
      <c r="N681" s="334" t="n"/>
      <c r="O681" s="334" t="n"/>
      <c r="P681" s="334" t="n"/>
      <c r="Q681" s="334" t="n"/>
      <c r="R681" s="334" t="n"/>
      <c r="S681" s="335" t="n"/>
    </row>
    <row r="682" ht="22.2" customHeight="1" s="330">
      <c r="A682" s="252" t="inlineStr">
        <is>
          <t>ลงชื่อ……………………………………………</t>
        </is>
      </c>
      <c r="G682" s="331" t="n"/>
      <c r="H682" s="252" t="inlineStr">
        <is>
          <t>ลงชื่อ……………………………………………</t>
        </is>
      </c>
      <c r="L682" s="331" t="n"/>
      <c r="M682" s="252" t="inlineStr">
        <is>
          <t>ลงชื่อ……………………………………………</t>
        </is>
      </c>
      <c r="S682" s="331" t="n"/>
    </row>
    <row r="683" ht="22.2" customHeight="1" s="330">
      <c r="A683" s="12" t="inlineStr">
        <is>
          <t>(</t>
        </is>
      </c>
      <c r="B683" s="309">
        <f>B651</f>
        <v/>
      </c>
      <c r="G683" s="310" t="inlineStr">
        <is>
          <t>)</t>
        </is>
      </c>
      <c r="H683" s="309" t="inlineStr">
        <is>
          <t>(</t>
        </is>
      </c>
      <c r="I683" s="314">
        <f>I637</f>
        <v/>
      </c>
      <c r="L683" s="13" t="inlineStr">
        <is>
          <t>)</t>
        </is>
      </c>
      <c r="M683" s="61" t="inlineStr">
        <is>
          <t>(</t>
        </is>
      </c>
      <c r="N683" s="61" t="n"/>
      <c r="O683" s="309" t="inlineStr">
        <is>
          <t>นายพิสุทธิศักดิ์  กล่อมนาค</t>
        </is>
      </c>
      <c r="R683" s="29" t="n"/>
      <c r="S683" s="310" t="inlineStr">
        <is>
          <t>)</t>
        </is>
      </c>
    </row>
    <row r="684" ht="22.2" customHeight="1" s="330">
      <c r="A684" s="483" t="inlineStr">
        <is>
          <t xml:space="preserve">                        ตำแหน่ง ครู</t>
        </is>
      </c>
      <c r="G684" s="331" t="n"/>
      <c r="H684" s="62" t="inlineStr">
        <is>
          <t>ตำแหน่ง หัวหน้าแผนก</t>
        </is>
      </c>
      <c r="L684" s="331" t="n"/>
      <c r="M684" s="62" t="inlineStr">
        <is>
          <t>ตำแหน่ง   ผู้ตรวจสอบ</t>
        </is>
      </c>
      <c r="S684" s="331" t="n"/>
    </row>
    <row r="685" ht="22.2" customHeight="1" s="330">
      <c r="A685" s="63">
        <f>A87</f>
        <v/>
      </c>
      <c r="B685" s="471" t="n"/>
      <c r="C685" s="471" t="n"/>
      <c r="D685" s="471" t="n"/>
      <c r="E685" s="471" t="n"/>
      <c r="F685" s="471" t="n"/>
      <c r="G685" s="476" t="n"/>
      <c r="H685" s="62">
        <f>A87</f>
        <v/>
      </c>
      <c r="L685" s="331" t="n"/>
      <c r="M685" s="63">
        <f>A87</f>
        <v/>
      </c>
      <c r="N685" s="471" t="n"/>
      <c r="O685" s="471" t="n"/>
      <c r="P685" s="471" t="n"/>
      <c r="Q685" s="471" t="n"/>
      <c r="R685" s="471" t="n"/>
      <c r="S685" s="476" t="n"/>
    </row>
    <row r="686" ht="22.2" customHeight="1" s="330">
      <c r="A686" s="207" t="inlineStr">
        <is>
          <t>ผู้ตรวจ</t>
        </is>
      </c>
      <c r="B686" s="334" t="n"/>
      <c r="C686" s="334" t="n"/>
      <c r="D686" s="334" t="n"/>
      <c r="E686" s="334" t="n"/>
      <c r="F686" s="334" t="n"/>
      <c r="G686" s="334" t="n"/>
      <c r="H686" s="334" t="n"/>
      <c r="I686" s="335" t="n"/>
      <c r="J686" s="207" t="inlineStr">
        <is>
          <t>ผู้เห็นชอบ</t>
        </is>
      </c>
      <c r="K686" s="334" t="n"/>
      <c r="L686" s="334" t="n"/>
      <c r="M686" s="334" t="n"/>
      <c r="N686" s="334" t="n"/>
      <c r="O686" s="334" t="n"/>
      <c r="P686" s="334" t="n"/>
      <c r="Q686" s="334" t="n"/>
      <c r="R686" s="334" t="n"/>
      <c r="S686" s="335" t="n"/>
    </row>
    <row r="687" ht="22.2" customHeight="1" s="330">
      <c r="A687" s="252" t="inlineStr">
        <is>
          <t>ลงชื่อ……………………………………………</t>
        </is>
      </c>
      <c r="I687" s="331" t="n"/>
      <c r="J687" s="252" t="inlineStr">
        <is>
          <t>ลงชื่อ……………………………………………</t>
        </is>
      </c>
      <c r="S687" s="331" t="n"/>
    </row>
    <row r="688" ht="22.2" customHeight="1" s="330">
      <c r="A688" s="12" t="n"/>
      <c r="B688" s="309" t="inlineStr">
        <is>
          <t xml:space="preserve">          (นางศิวรักษ์   บุญประเสริฐ)</t>
        </is>
      </c>
      <c r="I688" s="310" t="n"/>
      <c r="J688" s="29" t="n"/>
      <c r="K688" s="29" t="n"/>
      <c r="L688" s="309" t="inlineStr">
        <is>
          <t>(นายปรีชา  โพธิ์เกิด)</t>
        </is>
      </c>
      <c r="R688" s="29" t="n"/>
      <c r="S688" s="13" t="n"/>
    </row>
    <row r="689" ht="22.2" customHeight="1" s="330">
      <c r="A689" s="62" t="inlineStr">
        <is>
          <t>ตำแหน่งครู  หัวหน้างานพัฒนาหลักสูตร ฯ</t>
        </is>
      </c>
      <c r="I689" s="331" t="n"/>
      <c r="J689" s="62" t="inlineStr">
        <is>
          <t>ตำแหน่ง  รองผู้อำนวยการฝ่ายวิชาการ</t>
        </is>
      </c>
      <c r="S689" s="331" t="n"/>
    </row>
    <row r="690" ht="22.2" customHeight="1" s="330">
      <c r="A690" s="63">
        <f>A87</f>
        <v/>
      </c>
      <c r="B690" s="471" t="n"/>
      <c r="C690" s="471" t="n"/>
      <c r="D690" s="471" t="n"/>
      <c r="E690" s="471" t="n"/>
      <c r="F690" s="471" t="n"/>
      <c r="G690" s="471" t="n"/>
      <c r="H690" s="471" t="n"/>
      <c r="I690" s="476" t="n"/>
      <c r="J690" s="63">
        <f>A87</f>
        <v/>
      </c>
      <c r="K690" s="471" t="n"/>
      <c r="L690" s="471" t="n"/>
      <c r="M690" s="471" t="n"/>
      <c r="N690" s="471" t="n"/>
      <c r="O690" s="471" t="n"/>
      <c r="P690" s="471" t="n"/>
      <c r="Q690" s="471" t="n"/>
      <c r="R690" s="471" t="n"/>
      <c r="S690" s="476" t="n"/>
    </row>
    <row r="691" ht="22.2" customHeight="1" s="330">
      <c r="A69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92" ht="22.2" customHeight="1" s="330">
      <c r="A692" s="254">
        <f>A2</f>
        <v/>
      </c>
    </row>
    <row r="693" ht="22.2" customHeight="1" s="330">
      <c r="A693" s="253" t="inlineStr">
        <is>
          <t xml:space="preserve">    ระหว่างวันที่</t>
        </is>
      </c>
      <c r="D693" s="254">
        <f>D95</f>
        <v/>
      </c>
      <c r="E693" s="254" t="inlineStr">
        <is>
          <t xml:space="preserve">   เดือน  </t>
        </is>
      </c>
      <c r="F693" s="254">
        <f>F95</f>
        <v/>
      </c>
      <c r="H693" s="254">
        <f>H95</f>
        <v/>
      </c>
      <c r="I693" s="254" t="inlineStr">
        <is>
          <t xml:space="preserve">     ถึง วันที่</t>
        </is>
      </c>
      <c r="J693" s="254">
        <f>J95</f>
        <v/>
      </c>
      <c r="K693" s="254" t="inlineStr">
        <is>
          <t xml:space="preserve">   เดือน </t>
        </is>
      </c>
      <c r="L693" s="254">
        <f>L95</f>
        <v/>
      </c>
      <c r="N693" s="254">
        <f>N95</f>
        <v/>
      </c>
      <c r="P693" s="254" t="n"/>
      <c r="R693" s="254" t="n"/>
    </row>
    <row r="694" ht="22.2" customHeight="1" s="330">
      <c r="G694" s="58" t="inlineStr">
        <is>
          <t>ü</t>
        </is>
      </c>
      <c r="H694" s="301" t="inlineStr">
        <is>
          <t>ครู</t>
        </is>
      </c>
      <c r="I694" s="301" t="inlineStr">
        <is>
          <t>หน้าที่พิเศษ</t>
        </is>
      </c>
      <c r="J694" s="290" t="n"/>
      <c r="K694" s="290" t="n"/>
      <c r="L694" s="290" t="n"/>
      <c r="M694" s="290" t="n"/>
      <c r="N694" s="290" t="n"/>
      <c r="O694" s="290" t="n"/>
      <c r="P694" s="290" t="n"/>
      <c r="Q694" s="290" t="n"/>
      <c r="R694" s="290" t="n"/>
      <c r="S694" s="290" t="n"/>
    </row>
    <row r="695" ht="22.2" customHeight="1" s="330">
      <c r="A695" s="28" t="inlineStr">
        <is>
          <t>ที่</t>
        </is>
      </c>
      <c r="B695" s="28" t="inlineStr">
        <is>
          <t>ชื่อ-สกุล</t>
        </is>
      </c>
      <c r="C695" s="334" t="n"/>
      <c r="D695" s="335" t="n"/>
      <c r="E695" s="16" t="inlineStr">
        <is>
          <t>ตำแหน่ง</t>
        </is>
      </c>
      <c r="F695" s="17" t="inlineStr">
        <is>
          <t>ระยะเวลาที่สอน</t>
        </is>
      </c>
      <c r="G695" s="362" t="n"/>
      <c r="H695" s="17" t="inlineStr">
        <is>
          <t>รหัสวิชา</t>
        </is>
      </c>
      <c r="I695" s="275" t="inlineStr">
        <is>
          <t>ชั้น,แผนก,ห้อง</t>
        </is>
      </c>
      <c r="J695" s="17" t="inlineStr">
        <is>
          <t>เวลาสอน</t>
        </is>
      </c>
      <c r="K695" s="335" t="n"/>
      <c r="L695" s="17" t="inlineStr">
        <is>
          <t>ปวช.(คาบ)</t>
        </is>
      </c>
      <c r="M695" s="362" t="n"/>
      <c r="N695" s="244" t="inlineStr">
        <is>
          <t>เงิน</t>
        </is>
      </c>
      <c r="O695" s="275" t="inlineStr">
        <is>
          <t>ยอดเงิน</t>
        </is>
      </c>
      <c r="P695" s="473" t="inlineStr">
        <is>
          <t>ปวส.(คาบ)</t>
        </is>
      </c>
      <c r="Q695" s="362" t="n"/>
      <c r="R695" s="244" t="inlineStr">
        <is>
          <t>เงิน</t>
        </is>
      </c>
      <c r="S695" s="275" t="inlineStr">
        <is>
          <t>ยอดเงิน</t>
        </is>
      </c>
    </row>
    <row r="696" ht="22.2" customHeight="1" s="330">
      <c r="A696" s="60" t="n"/>
      <c r="B696" s="9" t="n"/>
      <c r="C696" s="10" t="n"/>
      <c r="D696" s="14" t="n"/>
      <c r="E696" s="11" t="n"/>
      <c r="F696" s="276" t="inlineStr">
        <is>
          <t>ส.</t>
        </is>
      </c>
      <c r="G696" s="276" t="inlineStr">
        <is>
          <t>วดป.</t>
        </is>
      </c>
      <c r="H696" s="474" t="n"/>
      <c r="I696" s="276" t="n"/>
      <c r="J696" s="475" t="n"/>
      <c r="K696" s="476" t="n"/>
      <c r="L696" s="276" t="inlineStr">
        <is>
          <t>ใน</t>
        </is>
      </c>
      <c r="M696" s="276" t="inlineStr">
        <is>
          <t>นอก</t>
        </is>
      </c>
      <c r="N696" s="276" t="inlineStr">
        <is>
          <t>ต่อ ชม.</t>
        </is>
      </c>
      <c r="O696" s="276" t="inlineStr">
        <is>
          <t>(บาท)</t>
        </is>
      </c>
      <c r="P696" s="60" t="inlineStr">
        <is>
          <t>ใน</t>
        </is>
      </c>
      <c r="Q696" s="60" t="inlineStr">
        <is>
          <t>นอก</t>
        </is>
      </c>
      <c r="R696" s="276" t="inlineStr">
        <is>
          <t>ต่อ ชม.</t>
        </is>
      </c>
      <c r="S696" s="276" t="inlineStr">
        <is>
          <t>(บาท)</t>
        </is>
      </c>
    </row>
    <row r="697" ht="22.2" customHeight="1" s="330">
      <c r="A697" s="275" t="n">
        <v>16</v>
      </c>
      <c r="B697" s="477">
        <f>AB18</f>
        <v/>
      </c>
      <c r="C697" s="334" t="n"/>
      <c r="D697" s="335" t="n"/>
      <c r="E697" s="275" t="inlineStr">
        <is>
          <t>ครู</t>
        </is>
      </c>
      <c r="F697" s="6">
        <f>F99</f>
        <v/>
      </c>
      <c r="G697" s="303" t="inlineStr">
        <is>
          <t>จันทร์</t>
        </is>
      </c>
      <c r="H697" s="332" t="n"/>
      <c r="I697" s="325" t="n"/>
      <c r="J697" s="332" t="n"/>
      <c r="K697" s="335" t="n"/>
      <c r="L697" s="332" t="n"/>
      <c r="M697" s="332" t="n"/>
      <c r="N697" s="332" t="n"/>
      <c r="O697" s="244">
        <f>M697*N697</f>
        <v/>
      </c>
      <c r="P697" s="332" t="n"/>
      <c r="Q697" s="265" t="n"/>
      <c r="R697" s="332" t="n"/>
      <c r="S697" s="244">
        <f>Q697*R697</f>
        <v/>
      </c>
    </row>
    <row r="698" ht="22.2" customHeight="1" s="330">
      <c r="A698" s="4" t="n"/>
      <c r="B698" s="478" t="n"/>
      <c r="D698" s="331" t="n"/>
      <c r="E698" s="252" t="n"/>
      <c r="F698" s="249" t="n"/>
      <c r="G698" s="308">
        <f>G606</f>
        <v/>
      </c>
      <c r="H698" s="325" t="n"/>
      <c r="I698" s="325" t="n"/>
      <c r="J698" s="252" t="n"/>
      <c r="K698" s="331" t="n"/>
      <c r="L698" s="252" t="n"/>
      <c r="M698" s="252" t="n"/>
      <c r="N698" s="252" t="n"/>
      <c r="O698" s="244">
        <f>M698*N698</f>
        <v/>
      </c>
      <c r="P698" s="252" t="n"/>
      <c r="Q698" s="252" t="n"/>
      <c r="R698" s="252" t="n"/>
      <c r="S698" s="244">
        <f>Q698*R698</f>
        <v/>
      </c>
    </row>
    <row r="699" ht="22.2" customHeight="1" s="330">
      <c r="A699" s="4" t="n"/>
      <c r="B699" s="5" t="n"/>
      <c r="D699" s="3" t="n"/>
      <c r="E699" s="3" t="n"/>
      <c r="F699" s="249" t="n"/>
      <c r="G699" s="248" t="n"/>
      <c r="H699" s="252" t="n"/>
      <c r="I699" s="252" t="n"/>
      <c r="J699" s="252" t="n"/>
      <c r="K699" s="331" t="n"/>
      <c r="L699" s="252" t="n"/>
      <c r="M699" s="252" t="n"/>
      <c r="N699" s="252" t="n"/>
      <c r="O699" s="244">
        <f>M699*N699</f>
        <v/>
      </c>
      <c r="P699" s="252" t="n"/>
      <c r="Q699" s="252" t="n"/>
      <c r="R699" s="252" t="n"/>
      <c r="S699" s="244">
        <f>Q699*R699</f>
        <v/>
      </c>
    </row>
    <row r="700" ht="22.2" customHeight="1" s="330">
      <c r="A700" s="4" t="n"/>
      <c r="B700" s="5" t="n"/>
      <c r="E700" s="4" t="n"/>
      <c r="F700" s="249" t="n"/>
      <c r="G700" s="248" t="n"/>
      <c r="H700" s="252" t="n"/>
      <c r="I700" s="252" t="n"/>
      <c r="J700" s="252" t="n"/>
      <c r="K700" s="331" t="n"/>
      <c r="L700" s="252" t="n"/>
      <c r="M700" s="252" t="n"/>
      <c r="N700" s="252" t="n"/>
      <c r="O700" s="244">
        <f>M700*N700</f>
        <v/>
      </c>
      <c r="P700" s="252" t="n"/>
      <c r="Q700" s="252" t="n"/>
      <c r="R700" s="252" t="n"/>
      <c r="S700" s="244">
        <f>Q700*R700</f>
        <v/>
      </c>
    </row>
    <row r="701" ht="22.2" customHeight="1" s="330">
      <c r="A701" s="4" t="n"/>
      <c r="E701" s="4" t="n"/>
      <c r="G701" s="311" t="n"/>
      <c r="H701" s="276" t="n"/>
      <c r="I701" s="276" t="n"/>
      <c r="J701" s="276" t="n"/>
      <c r="K701" s="476" t="n"/>
      <c r="L701" s="252" t="n"/>
      <c r="M701" s="252" t="n"/>
      <c r="N701" s="252" t="n"/>
      <c r="O701" s="244">
        <f>M701*N701</f>
        <v/>
      </c>
      <c r="P701" s="252" t="n"/>
      <c r="Q701" s="252" t="n"/>
      <c r="R701" s="252" t="n"/>
      <c r="S701" s="244">
        <f>Q701*R701</f>
        <v/>
      </c>
    </row>
    <row r="702" ht="22.2" customHeight="1" s="330">
      <c r="A702" s="4" t="n"/>
      <c r="E702" s="4" t="n"/>
      <c r="G702" s="62" t="inlineStr">
        <is>
          <t>อังคาร</t>
        </is>
      </c>
      <c r="H702" s="325" t="inlineStr">
        <is>
          <t>20101-2102</t>
        </is>
      </c>
      <c r="I702" s="325" t="inlineStr">
        <is>
          <t>ปวช.1/6 ชย. (ปกติ)</t>
        </is>
      </c>
      <c r="J702" s="332" t="inlineStr">
        <is>
          <t>08.10-12.10</t>
        </is>
      </c>
      <c r="K702" s="335" t="n"/>
      <c r="L702" s="265" t="n"/>
      <c r="M702" s="332" t="n"/>
      <c r="N702" s="332" t="n"/>
      <c r="O702" s="244">
        <f>M702*N702</f>
        <v/>
      </c>
      <c r="P702" s="332" t="n"/>
      <c r="Q702" s="265" t="n"/>
      <c r="R702" s="332" t="n"/>
      <c r="S702" s="244">
        <f>Q702*R702</f>
        <v/>
      </c>
    </row>
    <row r="703" ht="22.2" customHeight="1" s="330">
      <c r="A703" s="4" t="n"/>
      <c r="E703" s="4" t="n"/>
      <c r="G703" s="308">
        <f>G611</f>
        <v/>
      </c>
      <c r="H703" s="325" t="inlineStr">
        <is>
          <t>20101-2102</t>
        </is>
      </c>
      <c r="I703" s="325" t="inlineStr">
        <is>
          <t>ปวช.1/6 ชย. (ปกติ)</t>
        </is>
      </c>
      <c r="J703" s="325" t="inlineStr">
        <is>
          <t>13.10-16.10</t>
        </is>
      </c>
      <c r="K703" s="331" t="n"/>
      <c r="L703" s="252" t="n"/>
      <c r="M703" s="252" t="n"/>
      <c r="N703" s="252" t="n"/>
      <c r="O703" s="244">
        <f>M703*N703</f>
        <v/>
      </c>
      <c r="P703" s="252" t="n"/>
      <c r="Q703" s="252" t="n"/>
      <c r="R703" s="252" t="n"/>
      <c r="S703" s="244">
        <f>Q703*R703</f>
        <v/>
      </c>
    </row>
    <row r="704" ht="22.2" customHeight="1" s="330">
      <c r="A704" s="4" t="n"/>
      <c r="B704" s="5" t="n"/>
      <c r="D704" s="3" t="n"/>
      <c r="E704" s="3" t="n"/>
      <c r="G704" s="252" t="n"/>
      <c r="H704" s="252" t="n"/>
      <c r="I704" s="252" t="n"/>
      <c r="J704" s="252" t="n"/>
      <c r="K704" s="331" t="n"/>
      <c r="L704" s="252" t="n"/>
      <c r="M704" s="252" t="n"/>
      <c r="N704" s="252" t="n"/>
      <c r="O704" s="244">
        <f>M704*N704</f>
        <v/>
      </c>
      <c r="P704" s="252" t="n"/>
      <c r="Q704" s="252" t="n"/>
      <c r="R704" s="252" t="n"/>
      <c r="S704" s="244">
        <f>Q704*R704</f>
        <v/>
      </c>
    </row>
    <row r="705" ht="22.2" customHeight="1" s="330">
      <c r="A705" s="4" t="n"/>
      <c r="E705" s="4" t="n"/>
      <c r="G705" s="62" t="n"/>
      <c r="H705" s="249" t="n"/>
      <c r="I705" s="252" t="n"/>
      <c r="J705" s="252" t="n"/>
      <c r="K705" s="331" t="n"/>
      <c r="L705" s="252" t="n"/>
      <c r="M705" s="252" t="n"/>
      <c r="N705" s="252" t="n"/>
      <c r="O705" s="244">
        <f>M705*N705</f>
        <v/>
      </c>
      <c r="P705" s="252" t="n"/>
      <c r="Q705" s="252" t="n"/>
      <c r="R705" s="252" t="n"/>
      <c r="S705" s="244">
        <f>Q705*R705</f>
        <v/>
      </c>
    </row>
    <row r="706" ht="22.2" customHeight="1" s="330">
      <c r="A706" s="4" t="n"/>
      <c r="D706" s="8" t="inlineStr">
        <is>
          <t> </t>
        </is>
      </c>
      <c r="E706" s="4" t="n"/>
      <c r="G706" s="63" t="n"/>
      <c r="H706" s="276" t="n"/>
      <c r="I706" s="252" t="n"/>
      <c r="J706" s="276" t="n"/>
      <c r="K706" s="476" t="n"/>
      <c r="L706" s="252" t="n"/>
      <c r="M706" s="252" t="n"/>
      <c r="N706" s="252" t="n"/>
      <c r="O706" s="244">
        <f>M706*N706</f>
        <v/>
      </c>
      <c r="P706" s="252" t="n"/>
      <c r="Q706" s="252" t="n"/>
      <c r="R706" s="252" t="n"/>
      <c r="S706" s="244">
        <f>Q706*R706</f>
        <v/>
      </c>
    </row>
    <row r="707" ht="22.2" customHeight="1" s="330">
      <c r="A707" s="4" t="n"/>
      <c r="E707" s="4" t="n"/>
      <c r="G707" s="308" t="inlineStr">
        <is>
          <t>พุธ</t>
        </is>
      </c>
      <c r="H707" s="325" t="inlineStr">
        <is>
          <t>20101-2102</t>
        </is>
      </c>
      <c r="I707" s="332" t="inlineStr">
        <is>
          <t>ปวช.1/10 ชย. (ทวิ)</t>
        </is>
      </c>
      <c r="J707" s="332" t="inlineStr">
        <is>
          <t>08.10-12.10</t>
        </is>
      </c>
      <c r="K707" s="335" t="n"/>
      <c r="L707" s="332" t="n"/>
      <c r="M707" s="182" t="n"/>
      <c r="N707" s="179" t="n"/>
      <c r="O707" s="244">
        <f>M707*N707</f>
        <v/>
      </c>
      <c r="P707" s="332" t="n"/>
      <c r="Q707" s="265" t="n"/>
      <c r="R707" s="332" t="n"/>
      <c r="S707" s="244">
        <f>Q707*R707</f>
        <v/>
      </c>
    </row>
    <row r="708" ht="22.2" customHeight="1" s="330">
      <c r="A708" s="4" t="n"/>
      <c r="B708" s="248" t="n"/>
      <c r="C708" s="249" t="n"/>
      <c r="D708" s="249" t="n"/>
      <c r="E708" s="252" t="n"/>
      <c r="G708" s="308">
        <f>G616</f>
        <v/>
      </c>
      <c r="H708" s="325" t="inlineStr">
        <is>
          <t>20101-2102</t>
        </is>
      </c>
      <c r="I708" s="325" t="inlineStr">
        <is>
          <t>ปวช.1/10 ชย. (ทวิ)</t>
        </is>
      </c>
      <c r="J708" s="325" t="inlineStr">
        <is>
          <t>13.10-16.10</t>
        </is>
      </c>
      <c r="K708" s="331" t="n"/>
      <c r="L708" s="252" t="n"/>
      <c r="M708" s="331" t="n"/>
      <c r="N708" s="56" t="n"/>
      <c r="O708" s="244">
        <f>M708*N708</f>
        <v/>
      </c>
      <c r="P708" s="252" t="n"/>
      <c r="Q708" s="252" t="n"/>
      <c r="R708" s="252" t="n"/>
      <c r="S708" s="244">
        <f>Q708*R708</f>
        <v/>
      </c>
    </row>
    <row r="709" ht="22.2" customHeight="1" s="330">
      <c r="A709" s="4" t="n"/>
      <c r="B709" s="5" t="n"/>
      <c r="D709" s="3" t="n"/>
      <c r="E709" s="3" t="n"/>
      <c r="G709" s="252" t="n"/>
      <c r="H709" s="252" t="n"/>
      <c r="I709" s="252" t="n"/>
      <c r="J709" s="252" t="n"/>
      <c r="K709" s="331" t="n"/>
      <c r="L709" s="252" t="n"/>
      <c r="M709" s="252" t="n"/>
      <c r="N709" s="252" t="n"/>
      <c r="O709" s="244">
        <f>M709*N709</f>
        <v/>
      </c>
      <c r="P709" s="252" t="n"/>
      <c r="Q709" s="252" t="n"/>
      <c r="R709" s="252" t="n"/>
      <c r="S709" s="244">
        <f>Q709*R709</f>
        <v/>
      </c>
    </row>
    <row r="710" ht="22.2" customHeight="1" s="330">
      <c r="A710" s="4" t="n"/>
      <c r="E710" s="4" t="n"/>
      <c r="G710" s="248" t="n"/>
      <c r="H710" s="248" t="n"/>
      <c r="I710" s="252" t="n"/>
      <c r="J710" s="252" t="n"/>
      <c r="K710" s="331" t="n"/>
      <c r="L710" s="252" t="n"/>
      <c r="M710" s="252" t="n"/>
      <c r="N710" s="252" t="n"/>
      <c r="O710" s="244">
        <f>M710*N710</f>
        <v/>
      </c>
      <c r="P710" s="252" t="n"/>
      <c r="Q710" s="252" t="n"/>
      <c r="R710" s="252" t="n"/>
      <c r="S710" s="244">
        <f>Q710*R710</f>
        <v/>
      </c>
    </row>
    <row r="711" ht="22.2" customHeight="1" s="330">
      <c r="A711" s="4" t="n"/>
      <c r="E711" s="4" t="n"/>
      <c r="G711" s="277" t="n"/>
      <c r="H711" s="277" t="n"/>
      <c r="I711" s="276" t="n"/>
      <c r="J711" s="276" t="n"/>
      <c r="K711" s="476" t="n"/>
      <c r="L711" s="276" t="n"/>
      <c r="M711" s="276" t="n"/>
      <c r="N711" s="276" t="n"/>
      <c r="O711" s="244">
        <f>M711*N711</f>
        <v/>
      </c>
      <c r="P711" s="276" t="n"/>
      <c r="Q711" s="276" t="n"/>
      <c r="R711" s="276" t="n"/>
      <c r="S711" s="244">
        <f>Q711*R711</f>
        <v/>
      </c>
    </row>
    <row r="712" ht="22.2" customHeight="1" s="330">
      <c r="A712" s="4" t="n"/>
      <c r="E712" s="4" t="n"/>
      <c r="G712" s="62" t="inlineStr">
        <is>
          <t>พฤหัส</t>
        </is>
      </c>
      <c r="H712" s="325" t="inlineStr">
        <is>
          <t>20101-2102</t>
        </is>
      </c>
      <c r="I712" s="325" t="inlineStr">
        <is>
          <t>ปวช.1/8 ชย. (ปกติ)</t>
        </is>
      </c>
      <c r="J712" s="332" t="inlineStr">
        <is>
          <t>08.10-12.10</t>
        </is>
      </c>
      <c r="K712" s="335" t="n"/>
      <c r="L712" s="252" t="n"/>
      <c r="M712" s="252" t="n"/>
      <c r="N712" s="252" t="n"/>
      <c r="O712" s="244">
        <f>M712*N712</f>
        <v/>
      </c>
      <c r="P712" s="252" t="n"/>
      <c r="Q712" s="275" t="n"/>
      <c r="R712" s="275" t="n"/>
      <c r="S712" s="244">
        <f>Q712*R712</f>
        <v/>
      </c>
    </row>
    <row r="713" ht="22.2" customHeight="1" s="330">
      <c r="A713" s="4" t="n"/>
      <c r="E713" s="4" t="n"/>
      <c r="G713" s="308">
        <f>G621</f>
        <v/>
      </c>
      <c r="H713" s="325" t="inlineStr">
        <is>
          <t>20000-2002</t>
        </is>
      </c>
      <c r="I713" s="325" t="inlineStr">
        <is>
          <t>ปวช.1/1,2 ชย. (ปกติ)</t>
        </is>
      </c>
      <c r="J713" s="252" t="inlineStr">
        <is>
          <t>13.10-15.10</t>
        </is>
      </c>
      <c r="K713" s="331" t="n"/>
      <c r="L713" s="325" t="n"/>
      <c r="M713" s="252" t="n"/>
      <c r="N713" s="252" t="n"/>
      <c r="O713" s="244">
        <f>M713*N713</f>
        <v/>
      </c>
      <c r="P713" s="252" t="n"/>
      <c r="Q713" s="252" t="n"/>
      <c r="R713" s="252" t="n"/>
      <c r="S713" s="244">
        <f>Q713*R713</f>
        <v/>
      </c>
    </row>
    <row r="714" ht="22.2" customHeight="1" s="330">
      <c r="A714" s="4" t="n"/>
      <c r="B714" s="5" t="n"/>
      <c r="E714" s="4" t="n"/>
      <c r="G714" s="252" t="n"/>
      <c r="H714" s="325" t="inlineStr">
        <is>
          <t>20101-2102</t>
        </is>
      </c>
      <c r="I714" s="325" t="inlineStr">
        <is>
          <t>ปวช.1/8 ชย. (ปกติ)</t>
        </is>
      </c>
      <c r="J714" s="252" t="inlineStr">
        <is>
          <t>15.10-18.10</t>
        </is>
      </c>
      <c r="K714" s="331" t="n"/>
      <c r="L714" s="325" t="n"/>
      <c r="M714" s="325" t="n"/>
      <c r="N714" s="325" t="n"/>
      <c r="O714" s="244">
        <f>M714*N714</f>
        <v/>
      </c>
      <c r="P714" s="325" t="n"/>
      <c r="Q714" s="325" t="n"/>
      <c r="R714" s="325" t="n"/>
      <c r="S714" s="244">
        <f>Q714*R714</f>
        <v/>
      </c>
    </row>
    <row r="715" ht="22.2" customHeight="1" s="330">
      <c r="A715" s="4" t="n"/>
      <c r="E715" s="4" t="n"/>
      <c r="G715" s="252" t="n"/>
      <c r="H715" s="252" t="n"/>
      <c r="I715" s="252" t="n"/>
      <c r="J715" s="252" t="n"/>
      <c r="K715" s="331" t="n"/>
      <c r="L715" s="252" t="n"/>
      <c r="M715" s="252" t="n"/>
      <c r="N715" s="252" t="n"/>
      <c r="O715" s="244">
        <f>M715*N715</f>
        <v/>
      </c>
      <c r="P715" s="252" t="n"/>
      <c r="Q715" s="252" t="n"/>
      <c r="R715" s="252" t="n"/>
      <c r="S715" s="244">
        <f>Q715*R715</f>
        <v/>
      </c>
    </row>
    <row r="716" ht="22.2" customHeight="1" s="330">
      <c r="A716" s="4" t="n"/>
      <c r="E716" s="4" t="n"/>
      <c r="G716" s="276" t="n"/>
      <c r="H716" s="301" t="n"/>
      <c r="I716" s="276" t="n"/>
      <c r="J716" s="276" t="n"/>
      <c r="K716" s="476" t="n"/>
      <c r="L716" s="276" t="n"/>
      <c r="M716" s="276" t="n"/>
      <c r="N716" s="276" t="n"/>
      <c r="O716" s="244">
        <f>M716*N716</f>
        <v/>
      </c>
      <c r="P716" s="276" t="n"/>
      <c r="Q716" s="276" t="n"/>
      <c r="R716" s="276" t="n"/>
      <c r="S716" s="244">
        <f>Q716*R716</f>
        <v/>
      </c>
    </row>
    <row r="717" ht="22.2" customHeight="1" s="330">
      <c r="A717" s="4" t="n"/>
      <c r="E717" s="4" t="n"/>
      <c r="G717" s="62" t="inlineStr">
        <is>
          <t>ศุกร์</t>
        </is>
      </c>
      <c r="H717" s="332" t="inlineStr">
        <is>
          <t>20101-2008</t>
        </is>
      </c>
      <c r="I717" s="325" t="inlineStr">
        <is>
          <t>ปวช.1/5 ชย. (ปกติ)</t>
        </is>
      </c>
      <c r="J717" s="332" t="inlineStr">
        <is>
          <t>08.10-12.10</t>
        </is>
      </c>
      <c r="K717" s="335" t="n"/>
      <c r="L717" s="265" t="n"/>
      <c r="M717" s="332" t="n"/>
      <c r="N717" s="332" t="n"/>
      <c r="O717" s="244">
        <f>M717*N717</f>
        <v/>
      </c>
      <c r="P717" s="332" t="n"/>
      <c r="Q717" s="265" t="n"/>
      <c r="R717" s="332" t="n"/>
      <c r="S717" s="244">
        <f>Q717*R717</f>
        <v/>
      </c>
    </row>
    <row r="718" ht="22.2" customHeight="1" s="330">
      <c r="A718" s="4" t="n"/>
      <c r="E718" s="4" t="n"/>
      <c r="G718" s="308">
        <f>G626</f>
        <v/>
      </c>
      <c r="H718" s="325" t="inlineStr">
        <is>
          <t>20101-2106</t>
        </is>
      </c>
      <c r="I718" s="325" t="inlineStr">
        <is>
          <t>ปวช.3/7 ชย. (ปกติ)</t>
        </is>
      </c>
      <c r="J718" s="252" t="inlineStr">
        <is>
          <t>13.10-17.10</t>
        </is>
      </c>
      <c r="K718" s="331" t="n"/>
      <c r="L718" s="252" t="n"/>
      <c r="M718" s="252" t="n"/>
      <c r="N718" s="252" t="n"/>
      <c r="O718" s="244">
        <f>M718*N718</f>
        <v/>
      </c>
      <c r="P718" s="252" t="n"/>
      <c r="Q718" s="252" t="n"/>
      <c r="R718" s="252" t="n"/>
      <c r="S718" s="244">
        <f>Q718*R718</f>
        <v/>
      </c>
    </row>
    <row r="719" ht="22.2" customHeight="1" s="330">
      <c r="A719" s="4" t="n"/>
      <c r="E719" s="4" t="n"/>
      <c r="G719" s="252" t="n"/>
      <c r="H719" s="325" t="n"/>
      <c r="I719" s="325" t="n"/>
      <c r="J719" s="325" t="n"/>
      <c r="K719" s="331" t="n"/>
      <c r="L719" s="252" t="n"/>
      <c r="M719" s="252" t="n"/>
      <c r="N719" s="252" t="n"/>
      <c r="O719" s="244">
        <f>M719*N719</f>
        <v/>
      </c>
      <c r="P719" s="252" t="n"/>
      <c r="Q719" s="252" t="n"/>
      <c r="R719" s="252" t="n"/>
      <c r="S719" s="244">
        <f>Q719*R719</f>
        <v/>
      </c>
    </row>
    <row r="720" ht="22.2" customHeight="1" s="330">
      <c r="A720" s="4" t="n"/>
      <c r="E720" s="4" t="n"/>
      <c r="G720" s="252" t="n"/>
      <c r="H720" s="249" t="n"/>
      <c r="I720" s="252" t="n"/>
      <c r="J720" s="252" t="n"/>
      <c r="K720" s="331" t="n"/>
      <c r="L720" s="252" t="n"/>
      <c r="M720" s="252" t="n"/>
      <c r="N720" s="252" t="n"/>
      <c r="O720" s="244">
        <f>M720*N720</f>
        <v/>
      </c>
      <c r="P720" s="252" t="n"/>
      <c r="Q720" s="252" t="n"/>
      <c r="R720" s="252" t="n"/>
      <c r="S720" s="244">
        <f>Q720*R720</f>
        <v/>
      </c>
    </row>
    <row r="721" ht="22.2" customHeight="1" s="330">
      <c r="A721" s="4" t="n"/>
      <c r="E721" s="4" t="n"/>
      <c r="F721" s="4" t="n"/>
      <c r="G721" s="278" t="n"/>
      <c r="H721" s="301" t="n"/>
      <c r="I721" s="276" t="n"/>
      <c r="J721" s="276" t="n"/>
      <c r="K721" s="476" t="n"/>
      <c r="L721" s="276" t="n"/>
      <c r="M721" s="276" t="n"/>
      <c r="N721" s="276" t="n"/>
      <c r="O721" s="244">
        <f>M721*N721</f>
        <v/>
      </c>
      <c r="P721" s="276" t="n"/>
      <c r="Q721" s="276" t="n"/>
      <c r="R721" s="276" t="n"/>
      <c r="S721" s="244">
        <f>Q721*R721</f>
        <v/>
      </c>
    </row>
    <row r="722" ht="22.2" customHeight="1" s="330">
      <c r="A722" s="4" t="n"/>
      <c r="E722" s="4" t="n"/>
      <c r="F722" s="4" t="n"/>
      <c r="G722" s="17" t="inlineStr">
        <is>
          <t>รวมขั่วโมงที่สอนแยก ภาระงาน/ เกินภาระงาน</t>
        </is>
      </c>
      <c r="H722" s="467" t="n"/>
      <c r="I722" s="467" t="n"/>
      <c r="J722" s="467" t="n"/>
      <c r="K722" s="362" t="n"/>
      <c r="L722" s="17">
        <f>SUM(L697:L721)</f>
        <v/>
      </c>
      <c r="M722" s="17">
        <f>SUM(M697:M721)</f>
        <v/>
      </c>
      <c r="N722" s="17" t="n"/>
      <c r="O722" s="17" t="n"/>
      <c r="P722" s="17">
        <f>SUM(P697:P721)</f>
        <v/>
      </c>
      <c r="Q722" s="17">
        <f>SUM(Q697:Q721)</f>
        <v/>
      </c>
      <c r="R722" s="279" t="n"/>
      <c r="S722" s="17" t="n"/>
    </row>
    <row r="723" ht="22.2" customHeight="1" s="330">
      <c r="A723" s="4" t="n"/>
      <c r="E723" s="4" t="n"/>
      <c r="F723" s="4" t="n"/>
      <c r="G723" s="17" t="inlineStr">
        <is>
          <t>รวมจำนวนชั่วโมงสอนคาบต่อสับดาห์</t>
        </is>
      </c>
      <c r="H723" s="467" t="n"/>
      <c r="I723" s="467" t="n"/>
      <c r="J723" s="467" t="n"/>
      <c r="K723" s="362" t="n"/>
      <c r="L723" s="17">
        <f>L722+M722</f>
        <v/>
      </c>
      <c r="M723" s="362" t="n"/>
      <c r="N723" s="298" t="n"/>
      <c r="O723" s="17" t="n"/>
      <c r="P723" s="17">
        <f>P722+Q722</f>
        <v/>
      </c>
      <c r="Q723" s="362" t="n"/>
      <c r="R723" s="278" t="n"/>
      <c r="S723" s="276" t="n"/>
    </row>
    <row r="724" ht="22.2" customHeight="1" s="330">
      <c r="A724" s="4" t="n"/>
      <c r="E724" s="4" t="n"/>
      <c r="F724" s="4" t="n"/>
      <c r="G724" s="17" t="inlineStr">
        <is>
          <t>จำนวนชั่วโมงสอนตามภาระงานสอน</t>
        </is>
      </c>
      <c r="H724" s="467" t="n"/>
      <c r="I724" s="467" t="n"/>
      <c r="J724" s="467" t="n"/>
      <c r="K724" s="362" t="n"/>
      <c r="L724" s="17" t="n">
        <v>18</v>
      </c>
      <c r="M724" s="362" t="n"/>
      <c r="N724" s="298" t="n"/>
      <c r="O724" s="17" t="n"/>
      <c r="P724" s="17" t="n">
        <v>0</v>
      </c>
      <c r="Q724" s="362" t="n"/>
      <c r="R724" s="249" t="n"/>
      <c r="S724" s="252" t="n"/>
    </row>
    <row r="725" ht="22.2" customHeight="1" s="330" thickBot="1">
      <c r="A725" s="4" t="n"/>
      <c r="E725" s="4" t="n"/>
      <c r="F725" s="15" t="n"/>
      <c r="G725" s="17" t="inlineStr">
        <is>
          <t>จำนวนชั่วโมงบิกเกินภาระงานสอน/ค่าสอน</t>
        </is>
      </c>
      <c r="H725" s="467" t="n"/>
      <c r="I725" s="467" t="n"/>
      <c r="J725" s="467" t="n"/>
      <c r="K725" s="362" t="n"/>
      <c r="L725" s="18" t="n">
        <v>0</v>
      </c>
      <c r="M725" s="18">
        <f>SUM(M697:M721)</f>
        <v/>
      </c>
      <c r="N725" s="18" t="n"/>
      <c r="O725" s="18">
        <f>SUM(O697:O721)</f>
        <v/>
      </c>
      <c r="P725" s="18" t="n">
        <v>0</v>
      </c>
      <c r="Q725" s="18">
        <f>SUM(Q697:Q721)</f>
        <v/>
      </c>
      <c r="R725" s="19" t="n"/>
      <c r="S725" s="18">
        <f>SUM(S697:S721)</f>
        <v/>
      </c>
    </row>
    <row r="726" ht="22.2" customHeight="1" s="330" thickTop="1">
      <c r="A726" s="299" t="inlineStr">
        <is>
          <t>รวมจำนวนหน่วยชั่วโมงที่ขอเบิกค่าสอน ….</t>
        </is>
      </c>
      <c r="B726" s="467" t="n"/>
      <c r="C726" s="467" t="n"/>
      <c r="D726" s="467" t="n"/>
      <c r="E726" s="467" t="n"/>
      <c r="F726" s="467" t="n"/>
      <c r="G726" s="467" t="n"/>
      <c r="H726" s="298">
        <f>M725+Q725</f>
        <v/>
      </c>
      <c r="I726" s="298" t="inlineStr">
        <is>
          <t>….ชั่วโมง</t>
        </is>
      </c>
      <c r="J726" s="298" t="n"/>
      <c r="K726" s="301" t="inlineStr">
        <is>
          <t>ยอดเงินรวม</t>
        </is>
      </c>
      <c r="L726" s="471" t="n"/>
      <c r="M726" s="471" t="n"/>
      <c r="N726" s="301" t="n"/>
      <c r="O726" s="301" t="n"/>
      <c r="P726" s="302">
        <f>S725+O725</f>
        <v/>
      </c>
      <c r="Q726" s="482" t="n"/>
      <c r="R726" s="21" t="n"/>
      <c r="S726" s="20" t="inlineStr">
        <is>
          <t>..บาท</t>
        </is>
      </c>
    </row>
    <row r="727" ht="22.2" customHeight="1" s="330">
      <c r="A727" s="207" t="inlineStr">
        <is>
          <t>ผู้ขอเบิก</t>
        </is>
      </c>
      <c r="B727" s="334" t="n"/>
      <c r="C727" s="334" t="n"/>
      <c r="D727" s="334" t="n"/>
      <c r="E727" s="334" t="n"/>
      <c r="F727" s="334" t="n"/>
      <c r="G727" s="335" t="n"/>
      <c r="H727" s="207" t="inlineStr">
        <is>
          <t>ผู้รับรอง</t>
        </is>
      </c>
      <c r="I727" s="334" t="n"/>
      <c r="J727" s="334" t="n"/>
      <c r="K727" s="334" t="n"/>
      <c r="L727" s="335" t="n"/>
      <c r="M727" s="207" t="inlineStr">
        <is>
          <t>ผู้ตรวจ</t>
        </is>
      </c>
      <c r="N727" s="334" t="n"/>
      <c r="O727" s="334" t="n"/>
      <c r="P727" s="334" t="n"/>
      <c r="Q727" s="334" t="n"/>
      <c r="R727" s="334" t="n"/>
      <c r="S727" s="335" t="n"/>
    </row>
    <row r="728" ht="22.2" customHeight="1" s="330">
      <c r="A728" s="252" t="inlineStr">
        <is>
          <t>ลงชื่อ……………………………………………</t>
        </is>
      </c>
      <c r="G728" s="331" t="n"/>
      <c r="H728" s="252" t="inlineStr">
        <is>
          <t>ลงชื่อ……………………………………………</t>
        </is>
      </c>
      <c r="L728" s="331" t="n"/>
      <c r="M728" s="252" t="inlineStr">
        <is>
          <t>ลงชื่อ……………………………………………</t>
        </is>
      </c>
      <c r="S728" s="331" t="n"/>
    </row>
    <row r="729" ht="22.2" customHeight="1" s="330">
      <c r="A729" s="12" t="inlineStr">
        <is>
          <t>(</t>
        </is>
      </c>
      <c r="B729" s="309">
        <f>B697</f>
        <v/>
      </c>
      <c r="G729" s="310" t="inlineStr">
        <is>
          <t>)</t>
        </is>
      </c>
      <c r="H729" s="309" t="inlineStr">
        <is>
          <t>(</t>
        </is>
      </c>
      <c r="I729" s="314">
        <f>I683</f>
        <v/>
      </c>
      <c r="L729" s="13" t="inlineStr">
        <is>
          <t>)</t>
        </is>
      </c>
      <c r="M729" s="61" t="inlineStr">
        <is>
          <t>(</t>
        </is>
      </c>
      <c r="N729" s="61" t="n"/>
      <c r="O729" s="309" t="inlineStr">
        <is>
          <t>นายพิสุทธิศักดิ์  กล่อมนาค</t>
        </is>
      </c>
      <c r="R729" s="29" t="n"/>
      <c r="S729" s="310" t="inlineStr">
        <is>
          <t>)</t>
        </is>
      </c>
    </row>
    <row r="730" ht="22.2" customHeight="1" s="330">
      <c r="A730" s="483" t="inlineStr">
        <is>
          <t xml:space="preserve">                        ตำแหน่ง ครู</t>
        </is>
      </c>
      <c r="G730" s="331" t="n"/>
      <c r="H730" s="62" t="inlineStr">
        <is>
          <t>ตำแหน่ง หัวหน้าแผนก</t>
        </is>
      </c>
      <c r="L730" s="331" t="n"/>
      <c r="M730" s="62" t="inlineStr">
        <is>
          <t>ตำแหน่ง   ผู้ตรวจสอบ</t>
        </is>
      </c>
      <c r="S730" s="331" t="n"/>
    </row>
    <row r="731" ht="22.2" customHeight="1" s="330">
      <c r="A731" s="63">
        <f>A133</f>
        <v/>
      </c>
      <c r="B731" s="471" t="n"/>
      <c r="C731" s="471" t="n"/>
      <c r="D731" s="471" t="n"/>
      <c r="E731" s="471" t="n"/>
      <c r="F731" s="471" t="n"/>
      <c r="G731" s="476" t="n"/>
      <c r="H731" s="62">
        <f>A133</f>
        <v/>
      </c>
      <c r="L731" s="331" t="n"/>
      <c r="M731" s="63">
        <f>A133</f>
        <v/>
      </c>
      <c r="N731" s="471" t="n"/>
      <c r="O731" s="471" t="n"/>
      <c r="P731" s="471" t="n"/>
      <c r="Q731" s="471" t="n"/>
      <c r="R731" s="471" t="n"/>
      <c r="S731" s="476" t="n"/>
    </row>
    <row r="732" ht="22.2" customHeight="1" s="330">
      <c r="A732" s="207" t="inlineStr">
        <is>
          <t>ผู้ตรวจ</t>
        </is>
      </c>
      <c r="B732" s="334" t="n"/>
      <c r="C732" s="334" t="n"/>
      <c r="D732" s="334" t="n"/>
      <c r="E732" s="334" t="n"/>
      <c r="F732" s="334" t="n"/>
      <c r="G732" s="334" t="n"/>
      <c r="H732" s="334" t="n"/>
      <c r="I732" s="335" t="n"/>
      <c r="J732" s="207" t="inlineStr">
        <is>
          <t>ผู้เห็นชอบ</t>
        </is>
      </c>
      <c r="K732" s="334" t="n"/>
      <c r="L732" s="334" t="n"/>
      <c r="M732" s="334" t="n"/>
      <c r="N732" s="334" t="n"/>
      <c r="O732" s="334" t="n"/>
      <c r="P732" s="334" t="n"/>
      <c r="Q732" s="334" t="n"/>
      <c r="R732" s="334" t="n"/>
      <c r="S732" s="335" t="n"/>
    </row>
    <row r="733" ht="22.2" customHeight="1" s="330">
      <c r="A733" s="252" t="inlineStr">
        <is>
          <t>ลงชื่อ……………………………………………</t>
        </is>
      </c>
      <c r="I733" s="331" t="n"/>
      <c r="J733" s="252" t="inlineStr">
        <is>
          <t>ลงชื่อ……………………………………………</t>
        </is>
      </c>
      <c r="S733" s="331" t="n"/>
    </row>
    <row r="734" ht="22.2" customHeight="1" s="330">
      <c r="A734" s="12" t="n"/>
      <c r="B734" s="309" t="inlineStr">
        <is>
          <t xml:space="preserve">          (นางศิวรักษ์   บุญประเสริฐ)</t>
        </is>
      </c>
      <c r="I734" s="310" t="n"/>
      <c r="J734" s="29" t="n"/>
      <c r="K734" s="29" t="n"/>
      <c r="L734" s="309" t="inlineStr">
        <is>
          <t>(นายปรีชา  โพธิ์เกิด)</t>
        </is>
      </c>
      <c r="R734" s="29" t="n"/>
      <c r="S734" s="13" t="n"/>
    </row>
    <row r="735" ht="22.2" customHeight="1" s="330">
      <c r="A735" s="62" t="inlineStr">
        <is>
          <t>ตำแหน่งครู  หัวหน้างานพัฒนาหลักสูตร ฯ</t>
        </is>
      </c>
      <c r="I735" s="331" t="n"/>
      <c r="J735" s="62" t="inlineStr">
        <is>
          <t>ตำแหน่ง  รองผู้อำนวยการฝ่ายวิชาการ</t>
        </is>
      </c>
      <c r="S735" s="331" t="n"/>
    </row>
    <row r="736" ht="22.2" customHeight="1" s="330">
      <c r="A736" s="63">
        <f>A133</f>
        <v/>
      </c>
      <c r="B736" s="471" t="n"/>
      <c r="C736" s="471" t="n"/>
      <c r="D736" s="471" t="n"/>
      <c r="E736" s="471" t="n"/>
      <c r="F736" s="471" t="n"/>
      <c r="G736" s="471" t="n"/>
      <c r="H736" s="471" t="n"/>
      <c r="I736" s="476" t="n"/>
      <c r="J736" s="63">
        <f>A133</f>
        <v/>
      </c>
      <c r="K736" s="471" t="n"/>
      <c r="L736" s="471" t="n"/>
      <c r="M736" s="471" t="n"/>
      <c r="N736" s="471" t="n"/>
      <c r="O736" s="471" t="n"/>
      <c r="P736" s="471" t="n"/>
      <c r="Q736" s="471" t="n"/>
      <c r="R736" s="471" t="n"/>
      <c r="S736" s="476" t="n"/>
    </row>
    <row r="737" ht="22.2" customHeight="1" s="330">
      <c r="A73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738" ht="22.2" customHeight="1" s="330">
      <c r="A738" s="254">
        <f>A2</f>
        <v/>
      </c>
    </row>
    <row r="739" ht="22.2" customHeight="1" s="330">
      <c r="A739" s="253" t="inlineStr">
        <is>
          <t xml:space="preserve">    ระหว่างวันที่</t>
        </is>
      </c>
      <c r="D739" s="254">
        <f>D141</f>
        <v/>
      </c>
      <c r="E739" s="254" t="inlineStr">
        <is>
          <t xml:space="preserve">   เดือน  </t>
        </is>
      </c>
      <c r="F739" s="254">
        <f>F141</f>
        <v/>
      </c>
      <c r="H739" s="254">
        <f>H141</f>
        <v/>
      </c>
      <c r="I739" s="254" t="inlineStr">
        <is>
          <t xml:space="preserve">     ถึง วันที่</t>
        </is>
      </c>
      <c r="J739" s="254">
        <f>J141</f>
        <v/>
      </c>
      <c r="K739" s="254" t="inlineStr">
        <is>
          <t xml:space="preserve">   เดือน </t>
        </is>
      </c>
      <c r="L739" s="254">
        <f>L141</f>
        <v/>
      </c>
      <c r="N739" s="254">
        <f>N141</f>
        <v/>
      </c>
      <c r="P739" s="254" t="n"/>
      <c r="R739" s="254" t="n"/>
    </row>
    <row r="740" ht="22.2" customHeight="1" s="330">
      <c r="G740" s="58" t="inlineStr">
        <is>
          <t>ü</t>
        </is>
      </c>
      <c r="H740" s="301" t="inlineStr">
        <is>
          <t>ครู</t>
        </is>
      </c>
      <c r="I740" s="301" t="inlineStr">
        <is>
          <t>หน้าที่พิเศษ</t>
        </is>
      </c>
      <c r="J740" s="290" t="n"/>
      <c r="K740" s="290" t="n"/>
      <c r="L740" s="290" t="n"/>
      <c r="M740" s="290" t="n"/>
      <c r="N740" s="290" t="n"/>
      <c r="O740" s="290" t="n"/>
      <c r="P740" s="290" t="n"/>
      <c r="Q740" s="290" t="n"/>
      <c r="R740" s="290" t="n"/>
      <c r="S740" s="290" t="n"/>
    </row>
    <row r="741" ht="22.2" customHeight="1" s="330">
      <c r="A741" s="28" t="inlineStr">
        <is>
          <t>ที่</t>
        </is>
      </c>
      <c r="B741" s="28" t="inlineStr">
        <is>
          <t>ชื่อ-สกุล</t>
        </is>
      </c>
      <c r="C741" s="334" t="n"/>
      <c r="D741" s="335" t="n"/>
      <c r="E741" s="16" t="inlineStr">
        <is>
          <t>ตำแหน่ง</t>
        </is>
      </c>
      <c r="F741" s="17" t="inlineStr">
        <is>
          <t>ระยะเวลาที่สอน</t>
        </is>
      </c>
      <c r="G741" s="362" t="n"/>
      <c r="H741" s="17" t="inlineStr">
        <is>
          <t>รหัสวิชา</t>
        </is>
      </c>
      <c r="I741" s="275" t="inlineStr">
        <is>
          <t>ชั้น,แผนก,ห้อง</t>
        </is>
      </c>
      <c r="J741" s="17" t="inlineStr">
        <is>
          <t>เวลาสอน</t>
        </is>
      </c>
      <c r="K741" s="335" t="n"/>
      <c r="L741" s="17" t="inlineStr">
        <is>
          <t>ปวช.(คาบ)</t>
        </is>
      </c>
      <c r="M741" s="362" t="n"/>
      <c r="N741" s="244" t="inlineStr">
        <is>
          <t>เงิน</t>
        </is>
      </c>
      <c r="O741" s="275" t="inlineStr">
        <is>
          <t>ยอดเงิน</t>
        </is>
      </c>
      <c r="P741" s="473" t="inlineStr">
        <is>
          <t>ปวส.(คาบ)</t>
        </is>
      </c>
      <c r="Q741" s="362" t="n"/>
      <c r="R741" s="244" t="inlineStr">
        <is>
          <t>เงิน</t>
        </is>
      </c>
      <c r="S741" s="275" t="inlineStr">
        <is>
          <t>ยอดเงิน</t>
        </is>
      </c>
    </row>
    <row r="742" ht="22.2" customHeight="1" s="330">
      <c r="A742" s="60" t="n"/>
      <c r="B742" s="9" t="n"/>
      <c r="C742" s="10" t="n"/>
      <c r="D742" s="14" t="n"/>
      <c r="E742" s="11" t="n"/>
      <c r="F742" s="276" t="inlineStr">
        <is>
          <t>ส.</t>
        </is>
      </c>
      <c r="G742" s="276" t="inlineStr">
        <is>
          <t>วดป.</t>
        </is>
      </c>
      <c r="H742" s="474" t="n"/>
      <c r="I742" s="276" t="n"/>
      <c r="J742" s="475" t="n"/>
      <c r="K742" s="476" t="n"/>
      <c r="L742" s="276" t="inlineStr">
        <is>
          <t>ใน</t>
        </is>
      </c>
      <c r="M742" s="276" t="inlineStr">
        <is>
          <t>นอก</t>
        </is>
      </c>
      <c r="N742" s="276" t="inlineStr">
        <is>
          <t>ต่อ ชม.</t>
        </is>
      </c>
      <c r="O742" s="276" t="inlineStr">
        <is>
          <t>(บาท)</t>
        </is>
      </c>
      <c r="P742" s="60" t="inlineStr">
        <is>
          <t>ใน</t>
        </is>
      </c>
      <c r="Q742" s="60" t="inlineStr">
        <is>
          <t>นอก</t>
        </is>
      </c>
      <c r="R742" s="276" t="inlineStr">
        <is>
          <t>ต่อ ชม.</t>
        </is>
      </c>
      <c r="S742" s="276" t="inlineStr">
        <is>
          <t>(บาท)</t>
        </is>
      </c>
    </row>
    <row r="743" ht="22.2" customHeight="1" s="330">
      <c r="A743" s="275" t="n">
        <v>17</v>
      </c>
      <c r="B743" s="477">
        <f>AB19</f>
        <v/>
      </c>
      <c r="C743" s="334" t="n"/>
      <c r="D743" s="335" t="n"/>
      <c r="E743" s="275" t="inlineStr">
        <is>
          <t>ครู</t>
        </is>
      </c>
      <c r="F743" s="6">
        <f>F145</f>
        <v/>
      </c>
      <c r="G743" s="303" t="inlineStr">
        <is>
          <t>จันทร์</t>
        </is>
      </c>
      <c r="H743" s="325" t="inlineStr">
        <is>
          <t>20101-2002</t>
        </is>
      </c>
      <c r="I743" s="325" t="inlineStr">
        <is>
          <t>ปวช.2/8 ชย. (ปกติ)</t>
        </is>
      </c>
      <c r="J743" s="252" t="inlineStr">
        <is>
          <t>08.10-12.10</t>
        </is>
      </c>
      <c r="K743" s="331" t="n"/>
      <c r="L743" s="252" t="n"/>
      <c r="M743" s="332" t="n"/>
      <c r="N743" s="332" t="n"/>
      <c r="O743" s="244">
        <f>M743*N743</f>
        <v/>
      </c>
      <c r="P743" s="332" t="n"/>
      <c r="Q743" s="265" t="n"/>
      <c r="R743" s="332" t="n"/>
      <c r="S743" s="244">
        <f>Q743*R743</f>
        <v/>
      </c>
    </row>
    <row r="744" ht="22.2" customHeight="1" s="330">
      <c r="A744" s="4" t="n"/>
      <c r="B744" s="478" t="n"/>
      <c r="D744" s="331" t="n"/>
      <c r="E744" s="252" t="n"/>
      <c r="F744" s="249" t="n"/>
      <c r="G744" s="308">
        <f>G652</f>
        <v/>
      </c>
      <c r="H744" s="325" t="inlineStr">
        <is>
          <t>20101-2002</t>
        </is>
      </c>
      <c r="I744" s="325" t="inlineStr">
        <is>
          <t>ปวช.2/8 ชย. (ปกติ)</t>
        </is>
      </c>
      <c r="J744" s="252" t="inlineStr">
        <is>
          <t>13.10-16.10</t>
        </is>
      </c>
      <c r="K744" s="331" t="n"/>
      <c r="L744" s="252" t="n"/>
      <c r="M744" s="252" t="n"/>
      <c r="N744" s="252" t="n"/>
      <c r="O744" s="244">
        <f>M744*N744</f>
        <v/>
      </c>
      <c r="P744" s="252" t="n"/>
      <c r="Q744" s="252" t="n"/>
      <c r="R744" s="252" t="n"/>
      <c r="S744" s="244">
        <f>Q744*R744</f>
        <v/>
      </c>
    </row>
    <row r="745" ht="22.2" customHeight="1" s="330">
      <c r="A745" s="4" t="n"/>
      <c r="B745" s="5" t="n"/>
      <c r="D745" s="3" t="n"/>
      <c r="E745" s="3" t="n"/>
      <c r="F745" s="249" t="n"/>
      <c r="G745" s="248" t="n"/>
      <c r="H745" s="252" t="n"/>
      <c r="I745" s="252" t="n"/>
      <c r="J745" s="252" t="n"/>
      <c r="K745" s="331" t="n"/>
      <c r="L745" s="252" t="n"/>
      <c r="M745" s="252" t="n"/>
      <c r="N745" s="252" t="n"/>
      <c r="O745" s="244">
        <f>M745*N745</f>
        <v/>
      </c>
      <c r="P745" s="252" t="n"/>
      <c r="Q745" s="252" t="n"/>
      <c r="R745" s="252" t="n"/>
      <c r="S745" s="244">
        <f>Q745*R745</f>
        <v/>
      </c>
    </row>
    <row r="746" ht="22.2" customHeight="1" s="330">
      <c r="A746" s="4" t="n"/>
      <c r="B746" s="5" t="n"/>
      <c r="E746" s="4" t="n"/>
      <c r="F746" s="249" t="n"/>
      <c r="G746" s="248" t="n"/>
      <c r="H746" s="252" t="n"/>
      <c r="I746" s="252" t="n"/>
      <c r="J746" s="252" t="n"/>
      <c r="K746" s="331" t="n"/>
      <c r="L746" s="252" t="n"/>
      <c r="M746" s="252" t="n"/>
      <c r="N746" s="252" t="n"/>
      <c r="O746" s="244">
        <f>M746*N746</f>
        <v/>
      </c>
      <c r="P746" s="252" t="n"/>
      <c r="Q746" s="252" t="n"/>
      <c r="R746" s="252" t="n"/>
      <c r="S746" s="244">
        <f>Q746*R746</f>
        <v/>
      </c>
    </row>
    <row r="747" ht="22.2" customHeight="1" s="330">
      <c r="A747" s="4" t="n"/>
      <c r="E747" s="4" t="n"/>
      <c r="G747" s="311" t="n"/>
      <c r="H747" s="276" t="n"/>
      <c r="I747" s="276" t="n"/>
      <c r="J747" s="276" t="n"/>
      <c r="K747" s="476" t="n"/>
      <c r="L747" s="276" t="n"/>
      <c r="M747" s="252" t="n"/>
      <c r="N747" s="252" t="n"/>
      <c r="O747" s="244">
        <f>M747*N747</f>
        <v/>
      </c>
      <c r="P747" s="252" t="n"/>
      <c r="Q747" s="252" t="n"/>
      <c r="R747" s="252" t="n"/>
      <c r="S747" s="244">
        <f>Q747*R747</f>
        <v/>
      </c>
    </row>
    <row r="748" ht="22.2" customHeight="1" s="330">
      <c r="A748" s="4" t="n"/>
      <c r="E748" s="4" t="n"/>
      <c r="G748" s="62" t="inlineStr">
        <is>
          <t>อังคาร</t>
        </is>
      </c>
      <c r="H748" s="325" t="inlineStr">
        <is>
          <t>20101-2107</t>
        </is>
      </c>
      <c r="I748" s="325" t="inlineStr">
        <is>
          <t>ปวช.2/1,2 ชย. (ปกติ)</t>
        </is>
      </c>
      <c r="J748" s="252" t="inlineStr">
        <is>
          <t>08.10-10.10</t>
        </is>
      </c>
      <c r="K748" s="331" t="n"/>
      <c r="L748" s="252" t="n"/>
      <c r="M748" s="332" t="n"/>
      <c r="N748" s="332" t="n"/>
      <c r="O748" s="244">
        <f>M748*N748</f>
        <v/>
      </c>
      <c r="P748" s="332" t="n"/>
      <c r="Q748" s="265" t="n"/>
      <c r="R748" s="332" t="n"/>
      <c r="S748" s="244">
        <f>Q748*R748</f>
        <v/>
      </c>
    </row>
    <row r="749" ht="22.2" customHeight="1" s="330">
      <c r="A749" s="4" t="n"/>
      <c r="E749" s="4" t="n"/>
      <c r="G749" s="308">
        <f>G657</f>
        <v/>
      </c>
      <c r="H749" s="325" t="n"/>
      <c r="I749" s="325" t="n"/>
      <c r="J749" s="252" t="n"/>
      <c r="K749" s="331" t="n"/>
      <c r="L749" s="252" t="n"/>
      <c r="M749" s="252" t="n"/>
      <c r="N749" s="252" t="n"/>
      <c r="O749" s="244">
        <f>M749*N749</f>
        <v/>
      </c>
      <c r="P749" s="252" t="n"/>
      <c r="Q749" s="252" t="n"/>
      <c r="R749" s="252" t="n"/>
      <c r="S749" s="244">
        <f>Q749*R749</f>
        <v/>
      </c>
    </row>
    <row r="750" ht="22.2" customHeight="1" s="330">
      <c r="A750" s="4" t="n"/>
      <c r="B750" s="5" t="n"/>
      <c r="D750" s="3" t="n"/>
      <c r="E750" s="3" t="n"/>
      <c r="G750" s="252" t="n"/>
      <c r="H750" s="252" t="n"/>
      <c r="I750" s="252" t="n"/>
      <c r="J750" s="252" t="n"/>
      <c r="K750" s="331" t="n"/>
      <c r="L750" s="252" t="n"/>
      <c r="M750" s="252" t="n"/>
      <c r="N750" s="252" t="n"/>
      <c r="O750" s="244">
        <f>M750*N750</f>
        <v/>
      </c>
      <c r="P750" s="252" t="n"/>
      <c r="Q750" s="252" t="n"/>
      <c r="R750" s="252" t="n"/>
      <c r="S750" s="244">
        <f>Q750*R750</f>
        <v/>
      </c>
    </row>
    <row r="751" ht="22.2" customHeight="1" s="330">
      <c r="A751" s="4" t="n"/>
      <c r="E751" s="4" t="n"/>
      <c r="G751" s="62" t="n"/>
      <c r="H751" s="249" t="n"/>
      <c r="I751" s="252" t="n"/>
      <c r="J751" s="252" t="n"/>
      <c r="K751" s="331" t="n"/>
      <c r="L751" s="252" t="n"/>
      <c r="M751" s="252" t="n"/>
      <c r="N751" s="252" t="n"/>
      <c r="O751" s="244">
        <f>M751*N751</f>
        <v/>
      </c>
      <c r="P751" s="252" t="n"/>
      <c r="Q751" s="252" t="n"/>
      <c r="R751" s="252" t="n"/>
      <c r="S751" s="244">
        <f>Q751*R751</f>
        <v/>
      </c>
    </row>
    <row r="752" ht="22.2" customHeight="1" s="330">
      <c r="A752" s="4" t="n"/>
      <c r="D752" s="8" t="inlineStr">
        <is>
          <t> </t>
        </is>
      </c>
      <c r="E752" s="4" t="n"/>
      <c r="G752" s="63" t="n"/>
      <c r="H752" s="276" t="n"/>
      <c r="I752" s="276" t="n"/>
      <c r="J752" s="276" t="n"/>
      <c r="K752" s="476" t="n"/>
      <c r="L752" s="252" t="n"/>
      <c r="M752" s="252" t="n"/>
      <c r="N752" s="252" t="n"/>
      <c r="O752" s="244">
        <f>M752*N752</f>
        <v/>
      </c>
      <c r="P752" s="252" t="n"/>
      <c r="Q752" s="252" t="n"/>
      <c r="R752" s="252" t="n"/>
      <c r="S752" s="244">
        <f>Q752*R752</f>
        <v/>
      </c>
    </row>
    <row r="753" ht="22.2" customHeight="1" s="330">
      <c r="A753" s="4" t="n"/>
      <c r="E753" s="4" t="n"/>
      <c r="G753" s="308" t="inlineStr">
        <is>
          <t>พุธ</t>
        </is>
      </c>
      <c r="H753" s="332" t="inlineStr">
        <is>
          <t>20101-2001</t>
        </is>
      </c>
      <c r="I753" s="332" t="inlineStr">
        <is>
          <t>ปวช.1/6 ชย. (ปกติ)</t>
        </is>
      </c>
      <c r="J753" s="332" t="inlineStr">
        <is>
          <t>08.10-12.10</t>
        </is>
      </c>
      <c r="K753" s="335" t="n"/>
      <c r="L753" s="265" t="n"/>
      <c r="M753" s="332" t="n"/>
      <c r="N753" s="332" t="n"/>
      <c r="O753" s="244">
        <f>M753*N753</f>
        <v/>
      </c>
      <c r="P753" s="332" t="n"/>
      <c r="Q753" s="265" t="n"/>
      <c r="R753" s="332" t="n"/>
      <c r="S753" s="244">
        <f>Q753*R753</f>
        <v/>
      </c>
    </row>
    <row r="754" ht="22.2" customHeight="1" s="330">
      <c r="A754" s="4" t="n"/>
      <c r="B754" s="248" t="n"/>
      <c r="C754" s="249" t="n"/>
      <c r="D754" s="249" t="n"/>
      <c r="E754" s="252" t="n"/>
      <c r="G754" s="308">
        <f>G662</f>
        <v/>
      </c>
      <c r="H754" s="325" t="inlineStr">
        <is>
          <t>20101-2001</t>
        </is>
      </c>
      <c r="I754" s="325" t="inlineStr">
        <is>
          <t>ปวช.1/6 ชย. (ปกติ)</t>
        </is>
      </c>
      <c r="J754" s="252" t="inlineStr">
        <is>
          <t>13.10-16.10</t>
        </is>
      </c>
      <c r="K754" s="331" t="n"/>
      <c r="L754" s="252" t="n"/>
      <c r="M754" s="252" t="n"/>
      <c r="N754" s="252" t="n"/>
      <c r="O754" s="244">
        <f>M754*N754</f>
        <v/>
      </c>
      <c r="P754" s="252" t="n"/>
      <c r="Q754" s="252" t="n"/>
      <c r="R754" s="252" t="n"/>
      <c r="S754" s="244">
        <f>Q754*R754</f>
        <v/>
      </c>
    </row>
    <row r="755" ht="22.2" customHeight="1" s="330">
      <c r="A755" s="4" t="n"/>
      <c r="B755" s="5" t="n"/>
      <c r="D755" s="3" t="n"/>
      <c r="E755" s="3" t="n"/>
      <c r="G755" s="252" t="n"/>
      <c r="H755" s="252" t="n"/>
      <c r="I755" s="252" t="n"/>
      <c r="J755" s="252" t="n"/>
      <c r="K755" s="331" t="n"/>
      <c r="L755" s="252" t="n"/>
      <c r="M755" s="252" t="n"/>
      <c r="N755" s="252" t="n"/>
      <c r="O755" s="244">
        <f>M755*N755</f>
        <v/>
      </c>
      <c r="P755" s="252" t="n"/>
      <c r="Q755" s="252" t="n"/>
      <c r="R755" s="252" t="n"/>
      <c r="S755" s="244">
        <f>Q755*R755</f>
        <v/>
      </c>
    </row>
    <row r="756" ht="22.2" customHeight="1" s="330">
      <c r="A756" s="4" t="n"/>
      <c r="E756" s="4" t="n"/>
      <c r="G756" s="248" t="n"/>
      <c r="H756" s="248" t="n"/>
      <c r="I756" s="252" t="n"/>
      <c r="J756" s="252" t="n"/>
      <c r="K756" s="331" t="n"/>
      <c r="L756" s="252" t="n"/>
      <c r="M756" s="252" t="n"/>
      <c r="N756" s="252" t="n"/>
      <c r="O756" s="244">
        <f>M756*N756</f>
        <v/>
      </c>
      <c r="P756" s="252" t="n"/>
      <c r="Q756" s="252" t="n"/>
      <c r="R756" s="252" t="n"/>
      <c r="S756" s="244">
        <f>Q756*R756</f>
        <v/>
      </c>
    </row>
    <row r="757" ht="22.2" customHeight="1" s="330">
      <c r="A757" s="4" t="n"/>
      <c r="E757" s="4" t="n"/>
      <c r="G757" s="277" t="n"/>
      <c r="H757" s="277" t="n"/>
      <c r="I757" s="276" t="n"/>
      <c r="J757" s="276" t="n"/>
      <c r="K757" s="476" t="n"/>
      <c r="L757" s="276" t="n"/>
      <c r="M757" s="276" t="n"/>
      <c r="N757" s="276" t="n"/>
      <c r="O757" s="244">
        <f>M757*N757</f>
        <v/>
      </c>
      <c r="P757" s="276" t="n"/>
      <c r="Q757" s="276" t="n"/>
      <c r="R757" s="276" t="n"/>
      <c r="S757" s="244">
        <f>Q757*R757</f>
        <v/>
      </c>
    </row>
    <row r="758" ht="22.2" customHeight="1" s="330">
      <c r="A758" s="4" t="n"/>
      <c r="E758" s="4" t="n"/>
      <c r="G758" s="62" t="inlineStr">
        <is>
          <t>พฤหัส</t>
        </is>
      </c>
      <c r="H758" s="325" t="inlineStr">
        <is>
          <t>20101-2107</t>
        </is>
      </c>
      <c r="I758" s="325" t="inlineStr">
        <is>
          <t>ปวช.1/9,10 ชย. (ทวิ)</t>
        </is>
      </c>
      <c r="J758" s="332" t="inlineStr">
        <is>
          <t>10.10-12.10</t>
        </is>
      </c>
      <c r="K758" s="335" t="n"/>
      <c r="L758" s="265" t="n"/>
      <c r="M758" s="275" t="n"/>
      <c r="N758" s="275" t="n"/>
      <c r="O758" s="244">
        <f>M758*N758</f>
        <v/>
      </c>
      <c r="P758" s="252" t="n"/>
      <c r="Q758" s="275" t="n"/>
      <c r="R758" s="275" t="n"/>
      <c r="S758" s="244">
        <f>Q758*R758</f>
        <v/>
      </c>
    </row>
    <row r="759" ht="22.2" customHeight="1" s="330">
      <c r="A759" s="4" t="n"/>
      <c r="E759" s="4" t="n"/>
      <c r="G759" s="308">
        <f>G667</f>
        <v/>
      </c>
      <c r="H759" s="252" t="inlineStr">
        <is>
          <t>20000-2004</t>
        </is>
      </c>
      <c r="I759" s="325" t="inlineStr">
        <is>
          <t>ปวช.2/5,6 ชย. (ปกติ)</t>
        </is>
      </c>
      <c r="J759" s="252" t="inlineStr">
        <is>
          <t>13.10-15.10</t>
        </is>
      </c>
      <c r="K759" s="331" t="n"/>
      <c r="L759" s="252" t="n"/>
      <c r="M759" s="252" t="n"/>
      <c r="N759" s="252" t="n"/>
      <c r="O759" s="244">
        <f>M759*N759</f>
        <v/>
      </c>
      <c r="P759" s="252" t="n"/>
      <c r="Q759" s="252" t="n"/>
      <c r="R759" s="252" t="n"/>
      <c r="S759" s="244">
        <f>Q759*R759</f>
        <v/>
      </c>
    </row>
    <row r="760" ht="22.2" customHeight="1" s="330">
      <c r="A760" s="4" t="n"/>
      <c r="B760" s="5" t="n"/>
      <c r="E760" s="4" t="n"/>
      <c r="G760" s="252" t="n"/>
      <c r="H760" s="325" t="inlineStr">
        <is>
          <t>20101-2008</t>
        </is>
      </c>
      <c r="I760" s="325" t="inlineStr">
        <is>
          <t>ปวช.3/10 ชย. (ทวิ)</t>
        </is>
      </c>
      <c r="J760" s="252" t="inlineStr">
        <is>
          <t>15.10-19.10</t>
        </is>
      </c>
      <c r="K760" s="331" t="n"/>
      <c r="L760" s="325" t="n"/>
      <c r="M760" s="325" t="n"/>
      <c r="N760" s="325" t="n"/>
      <c r="O760" s="244">
        <f>M760*N760</f>
        <v/>
      </c>
      <c r="P760" s="325" t="n"/>
      <c r="Q760" s="325" t="n"/>
      <c r="R760" s="325" t="n"/>
      <c r="S760" s="244">
        <f>Q760*R760</f>
        <v/>
      </c>
    </row>
    <row r="761" ht="22.2" customHeight="1" s="330">
      <c r="A761" s="4" t="n"/>
      <c r="E761" s="4" t="n"/>
      <c r="G761" s="252" t="n"/>
      <c r="H761" s="252" t="n"/>
      <c r="I761" s="252" t="n"/>
      <c r="J761" s="252" t="n"/>
      <c r="K761" s="331" t="n"/>
      <c r="L761" s="252" t="n"/>
      <c r="M761" s="252" t="n"/>
      <c r="N761" s="252" t="n"/>
      <c r="O761" s="244">
        <f>M761*N761</f>
        <v/>
      </c>
      <c r="P761" s="252" t="n"/>
      <c r="Q761" s="252" t="n"/>
      <c r="R761" s="252" t="n"/>
      <c r="S761" s="244">
        <f>Q761*R761</f>
        <v/>
      </c>
    </row>
    <row r="762" ht="22.2" customHeight="1" s="330">
      <c r="A762" s="4" t="n"/>
      <c r="E762" s="4" t="n"/>
      <c r="G762" s="276" t="n"/>
      <c r="H762" s="301" t="n"/>
      <c r="I762" s="276" t="n"/>
      <c r="J762" s="276" t="n"/>
      <c r="K762" s="476" t="n"/>
      <c r="L762" s="276" t="n"/>
      <c r="M762" s="276" t="n"/>
      <c r="N762" s="276" t="n"/>
      <c r="O762" s="244">
        <f>M762*N762</f>
        <v/>
      </c>
      <c r="P762" s="276" t="n"/>
      <c r="Q762" s="276" t="n"/>
      <c r="R762" s="276" t="n"/>
      <c r="S762" s="244">
        <f>Q762*R762</f>
        <v/>
      </c>
    </row>
    <row r="763" ht="22.2" customHeight="1" s="330">
      <c r="A763" s="4" t="n"/>
      <c r="E763" s="4" t="n"/>
      <c r="G763" s="62" t="inlineStr">
        <is>
          <t>ศุกร์</t>
        </is>
      </c>
      <c r="H763" s="325" t="inlineStr">
        <is>
          <t>20101-5101</t>
        </is>
      </c>
      <c r="I763" s="325" t="inlineStr">
        <is>
          <t>ปวช.2/10 ชย. (ทวิ)</t>
        </is>
      </c>
      <c r="J763" s="332" t="inlineStr">
        <is>
          <t>08.10-12.10</t>
        </is>
      </c>
      <c r="K763" s="335" t="n"/>
      <c r="L763" s="252" t="n"/>
      <c r="M763" s="332" t="n"/>
      <c r="N763" s="332" t="n"/>
      <c r="O763" s="244">
        <f>M763*N763</f>
        <v/>
      </c>
      <c r="P763" s="332" t="n"/>
      <c r="Q763" s="265" t="n"/>
      <c r="R763" s="332" t="n"/>
      <c r="S763" s="244">
        <f>Q763*R763</f>
        <v/>
      </c>
    </row>
    <row r="764" ht="22.2" customHeight="1" s="330">
      <c r="A764" s="4" t="n"/>
      <c r="E764" s="4" t="n"/>
      <c r="G764" s="308">
        <f>G672</f>
        <v/>
      </c>
      <c r="H764" s="325" t="inlineStr">
        <is>
          <t>20101-5101</t>
        </is>
      </c>
      <c r="I764" s="325" t="inlineStr">
        <is>
          <t>ปวช.2/10 ชย. (ทวิ)</t>
        </is>
      </c>
      <c r="J764" s="252" t="inlineStr">
        <is>
          <t>13.10-16.10</t>
        </is>
      </c>
      <c r="K764" s="331" t="n"/>
      <c r="L764" s="252" t="n"/>
      <c r="M764" s="252" t="n"/>
      <c r="N764" s="252" t="n"/>
      <c r="O764" s="244">
        <f>M764*N764</f>
        <v/>
      </c>
      <c r="P764" s="252" t="n"/>
      <c r="Q764" s="252" t="n"/>
      <c r="R764" s="252" t="n"/>
      <c r="S764" s="244">
        <f>Q764*R764</f>
        <v/>
      </c>
    </row>
    <row r="765" ht="22.2" customHeight="1" s="330">
      <c r="A765" s="4" t="n"/>
      <c r="E765" s="4" t="n"/>
      <c r="G765" s="252" t="n"/>
      <c r="H765" s="325" t="n"/>
      <c r="I765" s="325" t="n"/>
      <c r="J765" s="325" t="n"/>
      <c r="K765" s="331" t="n"/>
      <c r="L765" s="252" t="n"/>
      <c r="M765" s="252" t="n"/>
      <c r="N765" s="252" t="n"/>
      <c r="O765" s="244">
        <f>M765*N765</f>
        <v/>
      </c>
      <c r="P765" s="252" t="n"/>
      <c r="Q765" s="252" t="n"/>
      <c r="R765" s="252" t="n"/>
      <c r="S765" s="244">
        <f>Q765*R765</f>
        <v/>
      </c>
    </row>
    <row r="766" ht="22.2" customHeight="1" s="330">
      <c r="A766" s="4" t="n"/>
      <c r="E766" s="4" t="n"/>
      <c r="G766" s="252" t="n"/>
      <c r="H766" s="249" t="n"/>
      <c r="I766" s="252" t="n"/>
      <c r="J766" s="252" t="n"/>
      <c r="K766" s="331" t="n"/>
      <c r="L766" s="252" t="n"/>
      <c r="M766" s="252" t="n"/>
      <c r="N766" s="252" t="n"/>
      <c r="O766" s="244">
        <f>M766*N766</f>
        <v/>
      </c>
      <c r="P766" s="252" t="n"/>
      <c r="Q766" s="252" t="n"/>
      <c r="R766" s="252" t="n"/>
      <c r="S766" s="244">
        <f>Q766*R766</f>
        <v/>
      </c>
    </row>
    <row r="767" ht="22.2" customHeight="1" s="330">
      <c r="A767" s="4" t="n"/>
      <c r="E767" s="4" t="n"/>
      <c r="F767" s="4" t="n"/>
      <c r="G767" s="278" t="n"/>
      <c r="H767" s="301" t="n"/>
      <c r="I767" s="276" t="n"/>
      <c r="J767" s="276" t="n"/>
      <c r="K767" s="476" t="n"/>
      <c r="L767" s="276" t="n"/>
      <c r="M767" s="276" t="n"/>
      <c r="N767" s="276" t="n"/>
      <c r="O767" s="244">
        <f>M767*N767</f>
        <v/>
      </c>
      <c r="P767" s="276" t="n"/>
      <c r="Q767" s="276" t="n"/>
      <c r="R767" s="276" t="n"/>
      <c r="S767" s="244">
        <f>Q767*R767</f>
        <v/>
      </c>
    </row>
    <row r="768" ht="22.2" customHeight="1" s="330">
      <c r="A768" s="4" t="n"/>
      <c r="E768" s="4" t="n"/>
      <c r="F768" s="4" t="n"/>
      <c r="G768" s="17" t="inlineStr">
        <is>
          <t>รวมขั่วโมงที่สอนแยก ภาระงาน/ เกินภาระงาน</t>
        </is>
      </c>
      <c r="H768" s="467" t="n"/>
      <c r="I768" s="467" t="n"/>
      <c r="J768" s="467" t="n"/>
      <c r="K768" s="362" t="n"/>
      <c r="L768" s="17">
        <f>SUM(L743:L767)</f>
        <v/>
      </c>
      <c r="M768" s="17">
        <f>SUM(M743:M767)</f>
        <v/>
      </c>
      <c r="N768" s="17" t="n"/>
      <c r="O768" s="17" t="n"/>
      <c r="P768" s="17">
        <f>SUM(P743:P767)</f>
        <v/>
      </c>
      <c r="Q768" s="17">
        <f>SUM(Q743:Q767)</f>
        <v/>
      </c>
      <c r="R768" s="279" t="n"/>
      <c r="S768" s="17" t="n"/>
    </row>
    <row r="769" ht="22.2" customHeight="1" s="330">
      <c r="A769" s="4" t="n"/>
      <c r="E769" s="4" t="n"/>
      <c r="F769" s="4" t="n"/>
      <c r="G769" s="17" t="inlineStr">
        <is>
          <t>รวมจำนวนชั่วโมงสอนคาบต่อสับดาห์</t>
        </is>
      </c>
      <c r="H769" s="467" t="n"/>
      <c r="I769" s="467" t="n"/>
      <c r="J769" s="467" t="n"/>
      <c r="K769" s="362" t="n"/>
      <c r="L769" s="17">
        <f>L768+M768</f>
        <v/>
      </c>
      <c r="M769" s="362" t="n"/>
      <c r="N769" s="298" t="n"/>
      <c r="O769" s="17" t="n"/>
      <c r="P769" s="17">
        <f>P768+Q768</f>
        <v/>
      </c>
      <c r="Q769" s="362" t="n"/>
      <c r="R769" s="278" t="n"/>
      <c r="S769" s="276" t="n"/>
    </row>
    <row r="770" ht="22.2" customHeight="1" s="330">
      <c r="A770" s="4" t="n"/>
      <c r="E770" s="4" t="n"/>
      <c r="F770" s="4" t="n"/>
      <c r="G770" s="17" t="inlineStr">
        <is>
          <t>จำนวนชั่วโมงสอนตามภาระงานสอน</t>
        </is>
      </c>
      <c r="H770" s="467" t="n"/>
      <c r="I770" s="467" t="n"/>
      <c r="J770" s="467" t="n"/>
      <c r="K770" s="362" t="n"/>
      <c r="L770" s="17" t="n">
        <v>18</v>
      </c>
      <c r="M770" s="362" t="n"/>
      <c r="N770" s="298" t="n"/>
      <c r="O770" s="17" t="n"/>
      <c r="P770" s="17" t="n">
        <v>0</v>
      </c>
      <c r="Q770" s="362" t="n"/>
      <c r="R770" s="249" t="n"/>
      <c r="S770" s="252" t="n"/>
    </row>
    <row r="771" ht="22.2" customHeight="1" s="330" thickBot="1">
      <c r="A771" s="4" t="n"/>
      <c r="E771" s="4" t="n"/>
      <c r="F771" s="15" t="n"/>
      <c r="G771" s="17" t="inlineStr">
        <is>
          <t>จำนวนชั่วโมงบิกเกินภาระงานสอน/ค่าสอน</t>
        </is>
      </c>
      <c r="H771" s="467" t="n"/>
      <c r="I771" s="467" t="n"/>
      <c r="J771" s="467" t="n"/>
      <c r="K771" s="362" t="n"/>
      <c r="L771" s="18" t="n">
        <v>0</v>
      </c>
      <c r="M771" s="18">
        <f>SUM(M743:M767)</f>
        <v/>
      </c>
      <c r="N771" s="18" t="n"/>
      <c r="O771" s="18">
        <f>SUM(O743:O767)</f>
        <v/>
      </c>
      <c r="P771" s="18" t="n">
        <v>0</v>
      </c>
      <c r="Q771" s="18">
        <f>SUM(Q743:Q767)</f>
        <v/>
      </c>
      <c r="R771" s="19" t="n"/>
      <c r="S771" s="18">
        <f>SUM(S743:S767)</f>
        <v/>
      </c>
    </row>
    <row r="772" ht="22.2" customHeight="1" s="330" thickTop="1">
      <c r="A772" s="299" t="inlineStr">
        <is>
          <t>รวมจำนวนหน่วยชั่วโมงที่ขอเบิกค่าสอน ….</t>
        </is>
      </c>
      <c r="B772" s="467" t="n"/>
      <c r="C772" s="467" t="n"/>
      <c r="D772" s="467" t="n"/>
      <c r="E772" s="467" t="n"/>
      <c r="F772" s="467" t="n"/>
      <c r="G772" s="467" t="n"/>
      <c r="H772" s="298">
        <f>M771+Q771</f>
        <v/>
      </c>
      <c r="I772" s="298" t="inlineStr">
        <is>
          <t>….ชั่วโมง</t>
        </is>
      </c>
      <c r="J772" s="298" t="n"/>
      <c r="K772" s="301" t="inlineStr">
        <is>
          <t>ยอดเงินรวม</t>
        </is>
      </c>
      <c r="L772" s="471" t="n"/>
      <c r="M772" s="471" t="n"/>
      <c r="N772" s="301" t="n"/>
      <c r="O772" s="301" t="n"/>
      <c r="P772" s="302">
        <f>S771+O771</f>
        <v/>
      </c>
      <c r="Q772" s="482" t="n"/>
      <c r="R772" s="21" t="n"/>
      <c r="S772" s="20" t="inlineStr">
        <is>
          <t>..บาท</t>
        </is>
      </c>
    </row>
    <row r="773" ht="22.2" customHeight="1" s="330">
      <c r="A773" s="207" t="inlineStr">
        <is>
          <t>ผู้ขอเบิก</t>
        </is>
      </c>
      <c r="B773" s="334" t="n"/>
      <c r="C773" s="334" t="n"/>
      <c r="D773" s="334" t="n"/>
      <c r="E773" s="334" t="n"/>
      <c r="F773" s="334" t="n"/>
      <c r="G773" s="335" t="n"/>
      <c r="H773" s="207" t="inlineStr">
        <is>
          <t>ผู้รับรอง</t>
        </is>
      </c>
      <c r="I773" s="334" t="n"/>
      <c r="J773" s="334" t="n"/>
      <c r="K773" s="334" t="n"/>
      <c r="L773" s="335" t="n"/>
      <c r="M773" s="207" t="inlineStr">
        <is>
          <t>ผู้ตรวจ</t>
        </is>
      </c>
      <c r="N773" s="334" t="n"/>
      <c r="O773" s="334" t="n"/>
      <c r="P773" s="334" t="n"/>
      <c r="Q773" s="334" t="n"/>
      <c r="R773" s="334" t="n"/>
      <c r="S773" s="335" t="n"/>
    </row>
    <row r="774" ht="22.2" customHeight="1" s="330">
      <c r="A774" s="252" t="inlineStr">
        <is>
          <t>ลงชื่อ……………………………………………</t>
        </is>
      </c>
      <c r="G774" s="331" t="n"/>
      <c r="H774" s="252" t="inlineStr">
        <is>
          <t>ลงชื่อ……………………………………………</t>
        </is>
      </c>
      <c r="L774" s="331" t="n"/>
      <c r="M774" s="252" t="inlineStr">
        <is>
          <t>ลงชื่อ……………………………………………</t>
        </is>
      </c>
      <c r="S774" s="331" t="n"/>
    </row>
    <row r="775" ht="22.2" customHeight="1" s="330">
      <c r="A775" s="12" t="inlineStr">
        <is>
          <t>(</t>
        </is>
      </c>
      <c r="B775" s="309">
        <f>B743</f>
        <v/>
      </c>
      <c r="G775" s="310" t="inlineStr">
        <is>
          <t>)</t>
        </is>
      </c>
      <c r="H775" s="309" t="inlineStr">
        <is>
          <t>(</t>
        </is>
      </c>
      <c r="I775" s="314">
        <f>I729</f>
        <v/>
      </c>
      <c r="L775" s="13" t="inlineStr">
        <is>
          <t>)</t>
        </is>
      </c>
      <c r="M775" s="61" t="inlineStr">
        <is>
          <t>(</t>
        </is>
      </c>
      <c r="N775" s="61" t="n"/>
      <c r="O775" s="309" t="inlineStr">
        <is>
          <t>นายพิสุทธิศักดิ์  กล่อมนาค</t>
        </is>
      </c>
      <c r="R775" s="29" t="n"/>
      <c r="S775" s="310" t="inlineStr">
        <is>
          <t>)</t>
        </is>
      </c>
    </row>
    <row r="776" ht="22.2" customHeight="1" s="330">
      <c r="A776" s="483" t="inlineStr">
        <is>
          <t xml:space="preserve">                        ตำแหน่ง ครู</t>
        </is>
      </c>
      <c r="G776" s="331" t="n"/>
      <c r="H776" s="62" t="inlineStr">
        <is>
          <t>ตำแหน่ง หัวหน้าแผนก</t>
        </is>
      </c>
      <c r="L776" s="331" t="n"/>
      <c r="M776" s="62" t="inlineStr">
        <is>
          <t>ตำแหน่ง   ผู้ตรวจสอบ</t>
        </is>
      </c>
      <c r="S776" s="331" t="n"/>
    </row>
    <row r="777" ht="22.2" customHeight="1" s="330">
      <c r="A777" s="63">
        <f>A179</f>
        <v/>
      </c>
      <c r="B777" s="471" t="n"/>
      <c r="C777" s="471" t="n"/>
      <c r="D777" s="471" t="n"/>
      <c r="E777" s="471" t="n"/>
      <c r="F777" s="471" t="n"/>
      <c r="G777" s="476" t="n"/>
      <c r="H777" s="62">
        <f>A179</f>
        <v/>
      </c>
      <c r="L777" s="331" t="n"/>
      <c r="M777" s="63">
        <f>A179</f>
        <v/>
      </c>
      <c r="N777" s="471" t="n"/>
      <c r="O777" s="471" t="n"/>
      <c r="P777" s="471" t="n"/>
      <c r="Q777" s="471" t="n"/>
      <c r="R777" s="471" t="n"/>
      <c r="S777" s="476" t="n"/>
    </row>
    <row r="778" ht="22.2" customHeight="1" s="330">
      <c r="A778" s="207" t="inlineStr">
        <is>
          <t>ผู้ตรวจ</t>
        </is>
      </c>
      <c r="B778" s="334" t="n"/>
      <c r="C778" s="334" t="n"/>
      <c r="D778" s="334" t="n"/>
      <c r="E778" s="334" t="n"/>
      <c r="F778" s="334" t="n"/>
      <c r="G778" s="334" t="n"/>
      <c r="H778" s="334" t="n"/>
      <c r="I778" s="335" t="n"/>
      <c r="J778" s="207" t="inlineStr">
        <is>
          <t>ผู้เห็นชอบ</t>
        </is>
      </c>
      <c r="K778" s="334" t="n"/>
      <c r="L778" s="334" t="n"/>
      <c r="M778" s="334" t="n"/>
      <c r="N778" s="334" t="n"/>
      <c r="O778" s="334" t="n"/>
      <c r="P778" s="334" t="n"/>
      <c r="Q778" s="334" t="n"/>
      <c r="R778" s="334" t="n"/>
      <c r="S778" s="335" t="n"/>
    </row>
    <row r="779" ht="22.2" customHeight="1" s="330">
      <c r="A779" s="252" t="inlineStr">
        <is>
          <t>ลงชื่อ……………………………………………</t>
        </is>
      </c>
      <c r="I779" s="331" t="n"/>
      <c r="J779" s="252" t="inlineStr">
        <is>
          <t>ลงชื่อ……………………………………………</t>
        </is>
      </c>
      <c r="S779" s="331" t="n"/>
    </row>
    <row r="780" ht="22.2" customHeight="1" s="330">
      <c r="A780" s="12" t="n"/>
      <c r="B780" s="309" t="inlineStr">
        <is>
          <t xml:space="preserve">          (นางศิวรักษ์   บุญประเสริฐ)</t>
        </is>
      </c>
      <c r="I780" s="310" t="n"/>
      <c r="J780" s="29" t="n"/>
      <c r="K780" s="29" t="n"/>
      <c r="L780" s="309" t="inlineStr">
        <is>
          <t>(นายปรีชา  โพธิ์เกิด)</t>
        </is>
      </c>
      <c r="R780" s="29" t="n"/>
      <c r="S780" s="13" t="n"/>
    </row>
    <row r="781" ht="22.2" customHeight="1" s="330">
      <c r="A781" s="62" t="inlineStr">
        <is>
          <t>ตำแหน่งครู  หัวหน้างานพัฒนาหลักสูตร ฯ</t>
        </is>
      </c>
      <c r="I781" s="331" t="n"/>
      <c r="J781" s="62" t="inlineStr">
        <is>
          <t>ตำแหน่ง  รองผู้อำนวยการฝ่ายวิชาการ</t>
        </is>
      </c>
      <c r="S781" s="331" t="n"/>
    </row>
    <row r="782" ht="22.2" customHeight="1" s="330">
      <c r="A782" s="63">
        <f>A179</f>
        <v/>
      </c>
      <c r="B782" s="471" t="n"/>
      <c r="C782" s="471" t="n"/>
      <c r="D782" s="471" t="n"/>
      <c r="E782" s="471" t="n"/>
      <c r="F782" s="471" t="n"/>
      <c r="G782" s="471" t="n"/>
      <c r="H782" s="471" t="n"/>
      <c r="I782" s="476" t="n"/>
      <c r="J782" s="63">
        <f>A179</f>
        <v/>
      </c>
      <c r="K782" s="471" t="n"/>
      <c r="L782" s="471" t="n"/>
      <c r="M782" s="471" t="n"/>
      <c r="N782" s="471" t="n"/>
      <c r="O782" s="471" t="n"/>
      <c r="P782" s="471" t="n"/>
      <c r="Q782" s="471" t="n"/>
      <c r="R782" s="471" t="n"/>
      <c r="S782" s="476" t="n"/>
    </row>
    <row r="783" ht="22.2" customHeight="1" s="330">
      <c r="A78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784" ht="22.2" customHeight="1" s="330">
      <c r="A784" s="254">
        <f>A2</f>
        <v/>
      </c>
    </row>
    <row r="785" ht="22.2" customHeight="1" s="330">
      <c r="A785" s="253" t="inlineStr">
        <is>
          <t xml:space="preserve">    ระหว่างวันที่</t>
        </is>
      </c>
      <c r="D785" s="254">
        <f>D3</f>
        <v/>
      </c>
      <c r="E785" s="254" t="inlineStr">
        <is>
          <t xml:space="preserve">   เดือน  </t>
        </is>
      </c>
      <c r="F785" s="254">
        <f>F3</f>
        <v/>
      </c>
      <c r="H785" s="254">
        <f>H3</f>
        <v/>
      </c>
      <c r="I785" s="254" t="inlineStr">
        <is>
          <t xml:space="preserve">     ถึง วันที่</t>
        </is>
      </c>
      <c r="J785" s="254">
        <f>J3</f>
        <v/>
      </c>
      <c r="K785" s="254" t="inlineStr">
        <is>
          <t xml:space="preserve">   เดือน </t>
        </is>
      </c>
      <c r="L785" s="254">
        <f>L3</f>
        <v/>
      </c>
      <c r="N785" s="254">
        <f>N3</f>
        <v/>
      </c>
      <c r="P785" s="254" t="n"/>
      <c r="R785" s="254" t="n"/>
    </row>
    <row r="786" ht="22.2" customHeight="1" s="330">
      <c r="G786" s="58" t="inlineStr">
        <is>
          <t>ü</t>
        </is>
      </c>
      <c r="H786" s="301" t="inlineStr">
        <is>
          <t>ครู</t>
        </is>
      </c>
      <c r="I786" s="301" t="inlineStr">
        <is>
          <t>หน้าที่พิเศษ</t>
        </is>
      </c>
      <c r="J786" s="290" t="n"/>
      <c r="K786" s="290" t="n"/>
    </row>
    <row r="787" ht="22.2" customHeight="1" s="330">
      <c r="A787" s="28" t="inlineStr">
        <is>
          <t>ที่</t>
        </is>
      </c>
      <c r="B787" s="28" t="inlineStr">
        <is>
          <t>ชื่อ-สกุล</t>
        </is>
      </c>
      <c r="C787" s="334" t="n"/>
      <c r="D787" s="335" t="n"/>
      <c r="E787" s="16" t="inlineStr">
        <is>
          <t>ตำแหน่ง</t>
        </is>
      </c>
      <c r="F787" s="17" t="inlineStr">
        <is>
          <t>ระยะเวลาที่สอน</t>
        </is>
      </c>
      <c r="G787" s="362" t="n"/>
      <c r="H787" s="17" t="inlineStr">
        <is>
          <t>รหัสวิชา</t>
        </is>
      </c>
      <c r="I787" s="275" t="inlineStr">
        <is>
          <t>ชั้น,แผนก,ห้อง</t>
        </is>
      </c>
      <c r="J787" s="17" t="inlineStr">
        <is>
          <t>เวลาสอน</t>
        </is>
      </c>
      <c r="K787" s="335" t="n"/>
      <c r="L787" s="17" t="inlineStr">
        <is>
          <t>ปวช.(คาบ)</t>
        </is>
      </c>
      <c r="M787" s="362" t="n"/>
      <c r="N787" s="244" t="inlineStr">
        <is>
          <t>เงิน</t>
        </is>
      </c>
      <c r="O787" s="275" t="inlineStr">
        <is>
          <t>ยอดเงิน</t>
        </is>
      </c>
      <c r="P787" s="473" t="inlineStr">
        <is>
          <t>ปวส.(คาบ)</t>
        </is>
      </c>
      <c r="Q787" s="362" t="n"/>
      <c r="R787" s="244" t="inlineStr">
        <is>
          <t>เงิน</t>
        </is>
      </c>
      <c r="S787" s="275" t="inlineStr">
        <is>
          <t>ยอดเงิน</t>
        </is>
      </c>
    </row>
    <row r="788" ht="22.2" customHeight="1" s="330">
      <c r="A788" s="60" t="n"/>
      <c r="B788" s="9" t="n"/>
      <c r="C788" s="10" t="n"/>
      <c r="D788" s="14" t="n"/>
      <c r="E788" s="11" t="n"/>
      <c r="F788" s="276" t="inlineStr">
        <is>
          <t>ส.</t>
        </is>
      </c>
      <c r="G788" s="276" t="inlineStr">
        <is>
          <t>วดป.</t>
        </is>
      </c>
      <c r="H788" s="474" t="n"/>
      <c r="I788" s="276" t="n"/>
      <c r="J788" s="475" t="n"/>
      <c r="K788" s="476" t="n"/>
      <c r="L788" s="276" t="inlineStr">
        <is>
          <t>ใน</t>
        </is>
      </c>
      <c r="M788" s="276" t="inlineStr">
        <is>
          <t>นอก</t>
        </is>
      </c>
      <c r="N788" s="276" t="inlineStr">
        <is>
          <t>ต่อ ชม.</t>
        </is>
      </c>
      <c r="O788" s="276" t="inlineStr">
        <is>
          <t>(บาท)</t>
        </is>
      </c>
      <c r="P788" s="60" t="inlineStr">
        <is>
          <t>ใน</t>
        </is>
      </c>
      <c r="Q788" s="60" t="inlineStr">
        <is>
          <t>นอก</t>
        </is>
      </c>
      <c r="R788" s="276" t="inlineStr">
        <is>
          <t>ต่อ ชม.</t>
        </is>
      </c>
      <c r="S788" s="276" t="inlineStr">
        <is>
          <t>(บาท)</t>
        </is>
      </c>
    </row>
    <row r="789" ht="22.2" customHeight="1" s="330">
      <c r="A789" s="275" t="n">
        <v>18</v>
      </c>
      <c r="B789" s="477">
        <f>AB20</f>
        <v/>
      </c>
      <c r="C789" s="334" t="n"/>
      <c r="D789" s="335" t="n"/>
      <c r="E789" s="275" t="inlineStr">
        <is>
          <t>ครู</t>
        </is>
      </c>
      <c r="F789" s="6">
        <f>F7</f>
        <v/>
      </c>
      <c r="G789" s="303" t="inlineStr">
        <is>
          <t>จันทร์</t>
        </is>
      </c>
      <c r="H789" s="325" t="inlineStr">
        <is>
          <t>20101-2110</t>
        </is>
      </c>
      <c r="I789" s="325" t="inlineStr">
        <is>
          <t>ปวช.3/4 ชย. (ปกติ)</t>
        </is>
      </c>
      <c r="J789" s="332" t="inlineStr">
        <is>
          <t>08.10-12.10</t>
        </is>
      </c>
      <c r="K789" s="335" t="n"/>
      <c r="L789" s="265" t="n"/>
      <c r="M789" s="332" t="n"/>
      <c r="N789" s="332" t="n"/>
      <c r="O789" s="244">
        <f>M789*N789</f>
        <v/>
      </c>
      <c r="P789" s="332" t="n"/>
      <c r="Q789" s="265" t="n"/>
      <c r="R789" s="332" t="n"/>
      <c r="S789" s="244">
        <f>Q789*R789</f>
        <v/>
      </c>
    </row>
    <row r="790" ht="22.2" customHeight="1" s="330">
      <c r="A790" s="4" t="n"/>
      <c r="B790" s="478" t="n"/>
      <c r="D790" s="331" t="n"/>
      <c r="E790" s="252" t="n"/>
      <c r="F790" s="249" t="n"/>
      <c r="G790" s="308">
        <f>G560</f>
        <v/>
      </c>
      <c r="H790" s="325" t="n"/>
      <c r="I790" s="325" t="n"/>
      <c r="J790" s="252" t="n"/>
      <c r="K790" s="331" t="n"/>
      <c r="L790" s="252" t="n"/>
      <c r="M790" s="252" t="n"/>
      <c r="N790" s="252" t="n"/>
      <c r="O790" s="244">
        <f>M790*N790</f>
        <v/>
      </c>
      <c r="P790" s="252" t="n"/>
      <c r="Q790" s="252" t="n"/>
      <c r="R790" s="252" t="n"/>
      <c r="S790" s="244">
        <f>Q790*R790</f>
        <v/>
      </c>
    </row>
    <row r="791" ht="22.2" customHeight="1" s="330">
      <c r="A791" s="4" t="n"/>
      <c r="B791" s="5" t="n"/>
      <c r="D791" s="3" t="n"/>
      <c r="E791" s="3" t="n"/>
      <c r="F791" s="249" t="n"/>
      <c r="G791" s="248" t="n"/>
      <c r="H791" s="252" t="n"/>
      <c r="I791" s="252" t="n"/>
      <c r="J791" s="252" t="n"/>
      <c r="K791" s="331" t="n"/>
      <c r="L791" s="252" t="n"/>
      <c r="M791" s="252" t="n"/>
      <c r="N791" s="252" t="n"/>
      <c r="O791" s="244">
        <f>M791*N791</f>
        <v/>
      </c>
      <c r="P791" s="252" t="n"/>
      <c r="Q791" s="252" t="n"/>
      <c r="R791" s="252" t="n"/>
      <c r="S791" s="244">
        <f>Q791*R791</f>
        <v/>
      </c>
    </row>
    <row r="792" ht="22.2" customHeight="1" s="330">
      <c r="A792" s="4" t="n"/>
      <c r="B792" s="5" t="n"/>
      <c r="E792" s="4" t="n"/>
      <c r="F792" s="249" t="n"/>
      <c r="G792" s="248" t="n"/>
      <c r="H792" s="252" t="n"/>
      <c r="I792" s="252" t="n"/>
      <c r="J792" s="252" t="n"/>
      <c r="K792" s="331" t="n"/>
      <c r="L792" s="252" t="n"/>
      <c r="M792" s="252" t="n"/>
      <c r="N792" s="252" t="n"/>
      <c r="O792" s="244">
        <f>M792*N792</f>
        <v/>
      </c>
      <c r="P792" s="252" t="n"/>
      <c r="Q792" s="252" t="n"/>
      <c r="R792" s="252" t="n"/>
      <c r="S792" s="244">
        <f>Q792*R792</f>
        <v/>
      </c>
    </row>
    <row r="793" ht="22.2" customHeight="1" s="330">
      <c r="A793" s="4" t="n"/>
      <c r="E793" s="4" t="n"/>
      <c r="G793" s="311" t="n"/>
      <c r="H793" s="276" t="n"/>
      <c r="I793" s="276" t="n"/>
      <c r="J793" s="276" t="n"/>
      <c r="K793" s="476" t="n"/>
      <c r="L793" s="252" t="n"/>
      <c r="M793" s="252" t="n"/>
      <c r="N793" s="252" t="n"/>
      <c r="O793" s="244">
        <f>M793*N793</f>
        <v/>
      </c>
      <c r="P793" s="252" t="n"/>
      <c r="Q793" s="252" t="n"/>
      <c r="R793" s="252" t="n"/>
      <c r="S793" s="244">
        <f>Q793*R793</f>
        <v/>
      </c>
    </row>
    <row r="794" ht="22.2" customHeight="1" s="330">
      <c r="A794" s="4" t="n"/>
      <c r="E794" s="4" t="n"/>
      <c r="G794" s="62" t="inlineStr">
        <is>
          <t>อังคาร</t>
        </is>
      </c>
      <c r="H794" s="325" t="inlineStr">
        <is>
          <t>20101-2103</t>
        </is>
      </c>
      <c r="I794" s="325" t="inlineStr">
        <is>
          <t>ปวช.2/5 ชย. (ปกติ)</t>
        </is>
      </c>
      <c r="J794" s="332" t="inlineStr">
        <is>
          <t>08.10-12.10</t>
        </is>
      </c>
      <c r="K794" s="335" t="n"/>
      <c r="L794" s="265" t="n"/>
      <c r="M794" s="332" t="n"/>
      <c r="N794" s="332" t="n"/>
      <c r="O794" s="244">
        <f>M794*N794</f>
        <v/>
      </c>
      <c r="P794" s="332" t="n"/>
      <c r="Q794" s="265" t="n"/>
      <c r="R794" s="332" t="n"/>
      <c r="S794" s="244">
        <f>Q794*R794</f>
        <v/>
      </c>
    </row>
    <row r="795" ht="22.2" customHeight="1" s="330">
      <c r="A795" s="4" t="n"/>
      <c r="E795" s="4" t="n"/>
      <c r="G795" s="308">
        <f>G565</f>
        <v/>
      </c>
      <c r="H795" s="325" t="inlineStr">
        <is>
          <t>20101-2103</t>
        </is>
      </c>
      <c r="I795" s="325" t="inlineStr">
        <is>
          <t>ปวช.2/6 ชย. (ปกติ)</t>
        </is>
      </c>
      <c r="J795" s="252" t="inlineStr">
        <is>
          <t>13.10-17.10</t>
        </is>
      </c>
      <c r="K795" s="331" t="n"/>
      <c r="L795" s="252" t="n"/>
      <c r="M795" s="252" t="n"/>
      <c r="N795" s="252" t="n"/>
      <c r="O795" s="244">
        <f>M795*N795</f>
        <v/>
      </c>
      <c r="P795" s="252" t="n"/>
      <c r="Q795" s="252" t="n"/>
      <c r="R795" s="252" t="n"/>
      <c r="S795" s="244">
        <f>Q795*R795</f>
        <v/>
      </c>
    </row>
    <row r="796" ht="22.2" customHeight="1" s="330">
      <c r="A796" s="4" t="n"/>
      <c r="B796" s="5" t="n"/>
      <c r="D796" s="3" t="n"/>
      <c r="E796" s="3" t="n"/>
      <c r="G796" s="252" t="n"/>
      <c r="H796" s="252" t="n"/>
      <c r="I796" s="252" t="n"/>
      <c r="J796" s="252" t="n"/>
      <c r="K796" s="331" t="n"/>
      <c r="L796" s="252" t="n"/>
      <c r="M796" s="252" t="n"/>
      <c r="N796" s="252" t="n"/>
      <c r="O796" s="244">
        <f>M796*N796</f>
        <v/>
      </c>
      <c r="P796" s="252" t="n"/>
      <c r="Q796" s="252" t="n"/>
      <c r="R796" s="252" t="n"/>
      <c r="S796" s="244">
        <f>Q796*R796</f>
        <v/>
      </c>
    </row>
    <row r="797" ht="22.2" customHeight="1" s="330">
      <c r="A797" s="4" t="n"/>
      <c r="E797" s="4" t="n"/>
      <c r="G797" s="62" t="n"/>
      <c r="H797" s="252" t="n"/>
      <c r="I797" s="252" t="n"/>
      <c r="J797" s="252" t="n"/>
      <c r="K797" s="331" t="n"/>
      <c r="L797" s="252" t="n"/>
      <c r="M797" s="252" t="n"/>
      <c r="N797" s="252" t="n"/>
      <c r="O797" s="244">
        <f>M797*N797</f>
        <v/>
      </c>
      <c r="P797" s="252" t="n"/>
      <c r="Q797" s="252" t="n"/>
      <c r="R797" s="252" t="n"/>
      <c r="S797" s="244">
        <f>Q797*R797</f>
        <v/>
      </c>
    </row>
    <row r="798" ht="22.2" customHeight="1" s="330">
      <c r="A798" s="4" t="n"/>
      <c r="D798" s="8" t="inlineStr">
        <is>
          <t> </t>
        </is>
      </c>
      <c r="E798" s="4" t="n"/>
      <c r="G798" s="63" t="n"/>
      <c r="H798" s="276" t="n"/>
      <c r="I798" s="276" t="n"/>
      <c r="J798" s="276" t="n"/>
      <c r="K798" s="476" t="n"/>
      <c r="L798" s="252" t="n"/>
      <c r="M798" s="252" t="n"/>
      <c r="N798" s="252" t="n"/>
      <c r="O798" s="244">
        <f>M798*N798</f>
        <v/>
      </c>
      <c r="P798" s="252" t="n"/>
      <c r="Q798" s="252" t="n"/>
      <c r="R798" s="252" t="n"/>
      <c r="S798" s="244">
        <f>Q798*R798</f>
        <v/>
      </c>
    </row>
    <row r="799" ht="22.2" customHeight="1" s="330">
      <c r="A799" s="4" t="n"/>
      <c r="E799" s="4" t="n"/>
      <c r="G799" s="308" t="inlineStr">
        <is>
          <t>พุธ</t>
        </is>
      </c>
      <c r="H799" s="325" t="inlineStr">
        <is>
          <t>20101-2103</t>
        </is>
      </c>
      <c r="I799" s="325" t="inlineStr">
        <is>
          <t>ปวช.2/7 ชย. (ปกติ)</t>
        </is>
      </c>
      <c r="J799" s="332" t="inlineStr">
        <is>
          <t>08.10-12.10</t>
        </is>
      </c>
      <c r="K799" s="335" t="n"/>
      <c r="L799" s="265" t="n"/>
      <c r="M799" s="332" t="n"/>
      <c r="N799" s="332" t="n"/>
      <c r="O799" s="244">
        <f>M799*N799</f>
        <v/>
      </c>
      <c r="P799" s="332" t="n"/>
      <c r="Q799" s="265" t="n"/>
      <c r="R799" s="332" t="n"/>
      <c r="S799" s="244">
        <f>Q799*R799</f>
        <v/>
      </c>
    </row>
    <row r="800" ht="22.2" customHeight="1" s="330">
      <c r="A800" s="4" t="n"/>
      <c r="B800" s="248" t="n"/>
      <c r="C800" s="249" t="n"/>
      <c r="D800" s="249" t="n"/>
      <c r="E800" s="252" t="n"/>
      <c r="G800" s="308">
        <f>G570</f>
        <v/>
      </c>
      <c r="H800" s="325" t="inlineStr">
        <is>
          <t>20101-2103</t>
        </is>
      </c>
      <c r="I800" s="325" t="inlineStr">
        <is>
          <t>ปวช.2/8 ชย. (ปกติ)</t>
        </is>
      </c>
      <c r="J800" s="252" t="inlineStr">
        <is>
          <t>13.10-17.10</t>
        </is>
      </c>
      <c r="K800" s="331" t="n"/>
      <c r="L800" s="252" t="n"/>
      <c r="M800" s="252" t="n"/>
      <c r="N800" s="252" t="n"/>
      <c r="O800" s="244">
        <f>M800*N800</f>
        <v/>
      </c>
      <c r="P800" s="252" t="n"/>
      <c r="Q800" s="252" t="n"/>
      <c r="R800" s="252" t="n"/>
      <c r="S800" s="244">
        <f>Q800*R800</f>
        <v/>
      </c>
    </row>
    <row r="801" ht="22.2" customHeight="1" s="330">
      <c r="A801" s="4" t="n"/>
      <c r="B801" s="5" t="n"/>
      <c r="D801" s="3" t="n"/>
      <c r="E801" s="3" t="n"/>
      <c r="G801" s="252" t="n"/>
      <c r="H801" s="325" t="n"/>
      <c r="I801" s="325" t="n"/>
      <c r="J801" s="252" t="n"/>
      <c r="K801" s="331" t="n"/>
      <c r="L801" s="252" t="n"/>
      <c r="M801" s="252" t="n"/>
      <c r="N801" s="252" t="n"/>
      <c r="O801" s="244">
        <f>M801*N801</f>
        <v/>
      </c>
      <c r="P801" s="252" t="n"/>
      <c r="Q801" s="252" t="n"/>
      <c r="R801" s="252" t="n"/>
      <c r="S801" s="244">
        <f>Q801*R801</f>
        <v/>
      </c>
    </row>
    <row r="802" ht="22.2" customHeight="1" s="330">
      <c r="A802" s="4" t="n"/>
      <c r="E802" s="4" t="n"/>
      <c r="G802" s="248" t="n"/>
      <c r="H802" s="248" t="n"/>
      <c r="I802" s="252" t="n"/>
      <c r="J802" s="252" t="n"/>
      <c r="K802" s="331" t="n"/>
      <c r="L802" s="252" t="n"/>
      <c r="M802" s="252" t="n"/>
      <c r="N802" s="252" t="n"/>
      <c r="O802" s="244">
        <f>M802*N802</f>
        <v/>
      </c>
      <c r="P802" s="252" t="n"/>
      <c r="Q802" s="252" t="n"/>
      <c r="R802" s="252" t="n"/>
      <c r="S802" s="244">
        <f>Q802*R802</f>
        <v/>
      </c>
    </row>
    <row r="803" ht="22.2" customHeight="1" s="330">
      <c r="A803" s="4" t="n"/>
      <c r="E803" s="4" t="n"/>
      <c r="G803" s="277" t="n"/>
      <c r="H803" s="277" t="n"/>
      <c r="I803" s="276" t="n"/>
      <c r="J803" s="276" t="n"/>
      <c r="K803" s="476" t="n"/>
      <c r="L803" s="276" t="n"/>
      <c r="M803" s="276" t="n"/>
      <c r="N803" s="276" t="n"/>
      <c r="O803" s="244">
        <f>M803*N803</f>
        <v/>
      </c>
      <c r="P803" s="276" t="n"/>
      <c r="Q803" s="276" t="n"/>
      <c r="R803" s="276" t="n"/>
      <c r="S803" s="244">
        <f>Q803*R803</f>
        <v/>
      </c>
    </row>
    <row r="804" ht="22.2" customHeight="1" s="330">
      <c r="A804" s="4" t="n"/>
      <c r="E804" s="4" t="n"/>
      <c r="G804" s="62" t="inlineStr">
        <is>
          <t>พฤหัส</t>
        </is>
      </c>
      <c r="H804" s="325" t="inlineStr">
        <is>
          <t>20101-2005</t>
        </is>
      </c>
      <c r="I804" s="325" t="inlineStr">
        <is>
          <t>ปวช.2/2 ชย. (ปกติ)</t>
        </is>
      </c>
      <c r="J804" s="332" t="inlineStr">
        <is>
          <t>08.10-12.10</t>
        </is>
      </c>
      <c r="K804" s="335" t="n"/>
      <c r="L804" s="275" t="n"/>
      <c r="M804" s="252" t="n"/>
      <c r="N804" s="252" t="n"/>
      <c r="O804" s="244">
        <f>M804*N804</f>
        <v/>
      </c>
      <c r="P804" s="252" t="n"/>
      <c r="Q804" s="275" t="n"/>
      <c r="R804" s="275" t="n"/>
      <c r="S804" s="244">
        <f>Q804*R804</f>
        <v/>
      </c>
      <c r="T804" s="25" t="n"/>
      <c r="U804" s="26" t="inlineStr">
        <is>
          <t xml:space="preserve">     PLC</t>
        </is>
      </c>
      <c r="V804" s="64" t="n"/>
      <c r="W804" s="27" t="n"/>
      <c r="X804" s="27" t="n"/>
    </row>
    <row r="805" ht="22.2" customHeight="1" s="330">
      <c r="A805" s="4" t="n"/>
      <c r="E805" s="4" t="n"/>
      <c r="G805" s="308">
        <f>G575</f>
        <v/>
      </c>
      <c r="H805" s="325" t="inlineStr">
        <is>
          <t>20000-2002</t>
        </is>
      </c>
      <c r="I805" s="325" t="inlineStr">
        <is>
          <t>ปวช.1/7,8 ชย. (ปกติ)</t>
        </is>
      </c>
      <c r="J805" s="252" t="inlineStr">
        <is>
          <t>13.10-15.10</t>
        </is>
      </c>
      <c r="K805" s="331" t="n"/>
      <c r="L805" s="285" t="n"/>
      <c r="M805" s="252" t="n"/>
      <c r="N805" s="252" t="n"/>
      <c r="O805" s="244">
        <f>M805*N805</f>
        <v/>
      </c>
      <c r="P805" s="252" t="n"/>
      <c r="Q805" s="252" t="n"/>
      <c r="R805" s="252" t="n"/>
      <c r="S805" s="244">
        <f>Q805*R805</f>
        <v/>
      </c>
      <c r="T805" s="27" t="inlineStr">
        <is>
          <t> </t>
        </is>
      </c>
      <c r="U805" s="26" t="inlineStr">
        <is>
          <t>17.10-19.10</t>
        </is>
      </c>
      <c r="V805" s="64" t="n"/>
      <c r="W805" s="27" t="n"/>
      <c r="X805" s="27" t="n"/>
    </row>
    <row r="806" ht="22.2" customHeight="1" s="330">
      <c r="A806" s="4" t="n"/>
      <c r="B806" s="5" t="n"/>
      <c r="E806" s="4" t="n"/>
      <c r="G806" s="252" t="n"/>
      <c r="H806" s="325" t="inlineStr">
        <is>
          <t>20101-2005</t>
        </is>
      </c>
      <c r="I806" s="325" t="inlineStr">
        <is>
          <t>ปวช.2/2 ชย. (ปกติ)</t>
        </is>
      </c>
      <c r="J806" s="252" t="inlineStr">
        <is>
          <t>15.10-18.10</t>
        </is>
      </c>
      <c r="K806" s="331" t="n"/>
      <c r="L806" s="252" t="n"/>
      <c r="M806" s="325" t="n"/>
      <c r="N806" s="325" t="n"/>
      <c r="O806" s="244">
        <f>M806*N806</f>
        <v/>
      </c>
      <c r="P806" s="325" t="n"/>
      <c r="Q806" s="325" t="n"/>
      <c r="R806" s="325" t="n"/>
      <c r="S806" s="244">
        <f>Q806*R806</f>
        <v/>
      </c>
    </row>
    <row r="807" ht="22.2" customHeight="1" s="330">
      <c r="A807" s="4" t="n"/>
      <c r="E807" s="4" t="n"/>
      <c r="G807" s="252" t="n"/>
      <c r="H807" s="252" t="n"/>
      <c r="I807" s="252" t="n"/>
      <c r="J807" s="252" t="n"/>
      <c r="K807" s="331" t="n"/>
      <c r="L807" s="252" t="n"/>
      <c r="M807" s="252" t="n"/>
      <c r="N807" s="252" t="n"/>
      <c r="O807" s="244">
        <f>M807*N807</f>
        <v/>
      </c>
      <c r="P807" s="252" t="n"/>
      <c r="Q807" s="252" t="n"/>
      <c r="R807" s="252" t="n"/>
      <c r="S807" s="244">
        <f>Q807*R807</f>
        <v/>
      </c>
    </row>
    <row r="808" ht="22.2" customHeight="1" s="330">
      <c r="A808" s="4" t="n"/>
      <c r="E808" s="4" t="n"/>
      <c r="G808" s="276" t="n"/>
      <c r="H808" s="301" t="n"/>
      <c r="I808" s="276" t="n"/>
      <c r="J808" s="276" t="n"/>
      <c r="K808" s="476" t="n"/>
      <c r="L808" s="276" t="n"/>
      <c r="M808" s="276" t="n"/>
      <c r="N808" s="276" t="n"/>
      <c r="O808" s="244">
        <f>M808*N808</f>
        <v/>
      </c>
      <c r="P808" s="276" t="n"/>
      <c r="Q808" s="276" t="n"/>
      <c r="R808" s="276" t="n"/>
      <c r="S808" s="244">
        <f>Q808*R808</f>
        <v/>
      </c>
    </row>
    <row r="809" ht="22.2" customHeight="1" s="330">
      <c r="A809" s="4" t="n"/>
      <c r="E809" s="4" t="n"/>
      <c r="G809" s="62" t="inlineStr">
        <is>
          <t>ศุกร์</t>
        </is>
      </c>
      <c r="H809" s="325" t="inlineStr">
        <is>
          <t>20101-2110</t>
        </is>
      </c>
      <c r="I809" s="325" t="inlineStr">
        <is>
          <t>ปวช.3/2 ชย. (ปกติ)</t>
        </is>
      </c>
      <c r="J809" s="332" t="inlineStr">
        <is>
          <t>08.10-12.10</t>
        </is>
      </c>
      <c r="K809" s="335" t="n"/>
      <c r="L809" s="265" t="n"/>
      <c r="M809" s="252" t="n"/>
      <c r="N809" s="252" t="n"/>
      <c r="O809" s="244">
        <f>M809*N809</f>
        <v/>
      </c>
      <c r="P809" s="332" t="n"/>
      <c r="Q809" s="265" t="n"/>
      <c r="R809" s="332" t="n"/>
      <c r="S809" s="244">
        <f>Q809*R809</f>
        <v/>
      </c>
    </row>
    <row r="810" ht="22.2" customHeight="1" s="330">
      <c r="A810" s="4" t="n"/>
      <c r="E810" s="4" t="n"/>
      <c r="G810" s="308">
        <f>G580</f>
        <v/>
      </c>
      <c r="H810" s="325" t="n"/>
      <c r="I810" s="325" t="n"/>
      <c r="J810" s="252" t="n"/>
      <c r="K810" s="331" t="n"/>
      <c r="L810" s="252" t="n"/>
      <c r="M810" s="252" t="n"/>
      <c r="N810" s="252" t="n"/>
      <c r="O810" s="244">
        <f>M810*N810</f>
        <v/>
      </c>
      <c r="P810" s="252" t="n"/>
      <c r="Q810" s="252" t="n"/>
      <c r="R810" s="252" t="n"/>
      <c r="S810" s="244">
        <f>Q810*R810</f>
        <v/>
      </c>
    </row>
    <row r="811" ht="22.2" customHeight="1" s="330">
      <c r="A811" s="4" t="n"/>
      <c r="E811" s="4" t="n"/>
      <c r="G811" s="252" t="n"/>
      <c r="H811" s="325" t="n"/>
      <c r="I811" s="325" t="n"/>
      <c r="J811" s="252" t="n"/>
      <c r="K811" s="331" t="n"/>
      <c r="L811" s="252" t="n"/>
      <c r="M811" s="325" t="n"/>
      <c r="N811" s="325" t="n"/>
      <c r="O811" s="244">
        <f>M811*N811</f>
        <v/>
      </c>
      <c r="P811" s="252" t="n"/>
      <c r="Q811" s="252" t="n"/>
      <c r="R811" s="252" t="n"/>
      <c r="S811" s="244">
        <f>Q811*R811</f>
        <v/>
      </c>
    </row>
    <row r="812" ht="22.2" customHeight="1" s="330">
      <c r="A812" s="4" t="n"/>
      <c r="E812" s="4" t="n"/>
      <c r="G812" s="252" t="n"/>
      <c r="H812" s="249" t="inlineStr">
        <is>
          <t> </t>
        </is>
      </c>
      <c r="I812" s="252" t="n"/>
      <c r="J812" s="252" t="n"/>
      <c r="K812" s="331" t="n"/>
      <c r="L812" s="252" t="n"/>
      <c r="M812" s="252" t="n"/>
      <c r="N812" s="252" t="n"/>
      <c r="O812" s="244">
        <f>M812*N812</f>
        <v/>
      </c>
      <c r="P812" s="252" t="n"/>
      <c r="Q812" s="252" t="n"/>
      <c r="R812" s="252" t="n"/>
      <c r="S812" s="244">
        <f>Q812*R812</f>
        <v/>
      </c>
    </row>
    <row r="813" ht="22.2" customHeight="1" s="330">
      <c r="A813" s="4" t="n"/>
      <c r="E813" s="4" t="n"/>
      <c r="F813" s="4" t="n"/>
      <c r="G813" s="278" t="n"/>
      <c r="H813" s="301" t="n"/>
      <c r="I813" s="276" t="n"/>
      <c r="J813" s="276" t="n"/>
      <c r="K813" s="476" t="n"/>
      <c r="L813" s="276" t="n"/>
      <c r="M813" s="276" t="n"/>
      <c r="N813" s="276" t="n"/>
      <c r="O813" s="244">
        <f>M813*N813</f>
        <v/>
      </c>
      <c r="P813" s="276" t="n"/>
      <c r="Q813" s="276" t="n"/>
      <c r="R813" s="276" t="n"/>
      <c r="S813" s="244">
        <f>Q813*R813</f>
        <v/>
      </c>
    </row>
    <row r="814" ht="22.2" customHeight="1" s="330">
      <c r="A814" s="4" t="n"/>
      <c r="E814" s="4" t="n"/>
      <c r="F814" s="4" t="n"/>
      <c r="G814" s="17" t="inlineStr">
        <is>
          <t>รวมขั่วโมงที่สอนแยก ภาระงาน/ เกินภาระงาน</t>
        </is>
      </c>
      <c r="H814" s="467" t="n"/>
      <c r="I814" s="467" t="n"/>
      <c r="J814" s="467" t="n"/>
      <c r="K814" s="362" t="n"/>
      <c r="L814" s="17">
        <f>SUM(L789:L813)</f>
        <v/>
      </c>
      <c r="M814" s="17">
        <f>SUM(M789:M813)</f>
        <v/>
      </c>
      <c r="N814" s="17" t="n"/>
      <c r="O814" s="17" t="n"/>
      <c r="P814" s="17">
        <f>SUM(P789:P813)</f>
        <v/>
      </c>
      <c r="Q814" s="17">
        <f>SUM(Q789:Q813)</f>
        <v/>
      </c>
      <c r="R814" s="279" t="n"/>
      <c r="S814" s="17" t="n"/>
    </row>
    <row r="815" ht="22.2" customHeight="1" s="330">
      <c r="A815" s="4" t="n"/>
      <c r="E815" s="4" t="n"/>
      <c r="F815" s="4" t="n"/>
      <c r="G815" s="17" t="inlineStr">
        <is>
          <t>รวมจำนวนชั่วโมงสอนคาบต่อสับดาห์</t>
        </is>
      </c>
      <c r="H815" s="467" t="n"/>
      <c r="I815" s="467" t="n"/>
      <c r="J815" s="467" t="n"/>
      <c r="K815" s="362" t="n"/>
      <c r="L815" s="17">
        <f>L814+M814</f>
        <v/>
      </c>
      <c r="M815" s="362" t="n"/>
      <c r="N815" s="298" t="n"/>
      <c r="O815" s="17" t="n"/>
      <c r="P815" s="17">
        <f>P814+Q814</f>
        <v/>
      </c>
      <c r="Q815" s="362" t="n"/>
      <c r="R815" s="278" t="n"/>
      <c r="S815" s="276" t="n"/>
    </row>
    <row r="816" ht="22.2" customHeight="1" s="330">
      <c r="A816" s="4" t="n"/>
      <c r="E816" s="4" t="n"/>
      <c r="F816" s="4" t="n"/>
      <c r="G816" s="17" t="inlineStr">
        <is>
          <t>จำนวนชั่วโมงสอนตามภาระงานสอน</t>
        </is>
      </c>
      <c r="H816" s="467" t="n"/>
      <c r="I816" s="467" t="n"/>
      <c r="J816" s="467" t="n"/>
      <c r="K816" s="362" t="n"/>
      <c r="L816" s="17" t="n">
        <v>18</v>
      </c>
      <c r="M816" s="362" t="n"/>
      <c r="N816" s="298" t="n"/>
      <c r="O816" s="17" t="n"/>
      <c r="P816" s="17" t="n">
        <v>0</v>
      </c>
      <c r="Q816" s="362" t="n"/>
      <c r="R816" s="249" t="n"/>
      <c r="S816" s="252" t="n"/>
    </row>
    <row r="817" ht="22.2" customHeight="1" s="330" thickBot="1">
      <c r="A817" s="4" t="n"/>
      <c r="E817" s="4" t="n"/>
      <c r="F817" s="15" t="n"/>
      <c r="G817" s="17" t="inlineStr">
        <is>
          <t>จำนวนชั่วโมงบิกเกินภาระงานสอน/ค่าสอน</t>
        </is>
      </c>
      <c r="H817" s="467" t="n"/>
      <c r="I817" s="467" t="n"/>
      <c r="J817" s="467" t="n"/>
      <c r="K817" s="362" t="n"/>
      <c r="L817" s="18" t="n">
        <v>0</v>
      </c>
      <c r="M817" s="18">
        <f>SUM(M789:M813)</f>
        <v/>
      </c>
      <c r="N817" s="18" t="n"/>
      <c r="O817" s="18">
        <f>SUM(O789:O813)</f>
        <v/>
      </c>
      <c r="P817" s="18" t="n">
        <v>0</v>
      </c>
      <c r="Q817" s="18">
        <f>SUM(Q789:Q813)</f>
        <v/>
      </c>
      <c r="R817" s="19" t="n"/>
      <c r="S817" s="18">
        <f>SUM(S789:S813)</f>
        <v/>
      </c>
    </row>
    <row r="818" ht="22.2" customHeight="1" s="330" thickTop="1">
      <c r="A818" s="299" t="inlineStr">
        <is>
          <t>รวมจำนวนหน่วยชั่วโมงที่ขอเบิกค่าสอน ….</t>
        </is>
      </c>
      <c r="B818" s="467" t="n"/>
      <c r="C818" s="467" t="n"/>
      <c r="D818" s="467" t="n"/>
      <c r="E818" s="467" t="n"/>
      <c r="F818" s="467" t="n"/>
      <c r="G818" s="467" t="n"/>
      <c r="H818" s="298">
        <f>M817+Q817</f>
        <v/>
      </c>
      <c r="I818" s="298" t="inlineStr">
        <is>
          <t>….ชั่วโมง</t>
        </is>
      </c>
      <c r="J818" s="298" t="n"/>
      <c r="K818" s="301" t="inlineStr">
        <is>
          <t>ยอดเงินรวม</t>
        </is>
      </c>
      <c r="L818" s="471" t="n"/>
      <c r="M818" s="471" t="n"/>
      <c r="N818" s="301" t="n"/>
      <c r="O818" s="301" t="n"/>
      <c r="P818" s="302">
        <f>S817+O817</f>
        <v/>
      </c>
      <c r="Q818" s="482" t="n"/>
      <c r="R818" s="21" t="n"/>
      <c r="S818" s="20" t="inlineStr">
        <is>
          <t>..บาท</t>
        </is>
      </c>
    </row>
    <row r="819" ht="22.2" customHeight="1" s="330">
      <c r="A819" s="207" t="inlineStr">
        <is>
          <t>ผู้ขอเบิก</t>
        </is>
      </c>
      <c r="B819" s="334" t="n"/>
      <c r="C819" s="334" t="n"/>
      <c r="D819" s="334" t="n"/>
      <c r="E819" s="334" t="n"/>
      <c r="F819" s="334" t="n"/>
      <c r="G819" s="335" t="n"/>
      <c r="H819" s="207" t="inlineStr">
        <is>
          <t>ผู้รับรอง</t>
        </is>
      </c>
      <c r="I819" s="334" t="n"/>
      <c r="J819" s="334" t="n"/>
      <c r="K819" s="334" t="n"/>
      <c r="L819" s="335" t="n"/>
      <c r="M819" s="207" t="inlineStr">
        <is>
          <t>ผู้ตรวจ</t>
        </is>
      </c>
      <c r="N819" s="334" t="n"/>
      <c r="O819" s="334" t="n"/>
      <c r="P819" s="334" t="n"/>
      <c r="Q819" s="334" t="n"/>
      <c r="R819" s="334" t="n"/>
      <c r="S819" s="335" t="n"/>
    </row>
    <row r="820" ht="22.2" customHeight="1" s="330">
      <c r="A820" s="252" t="inlineStr">
        <is>
          <t>ลงชื่อ……………………………………………</t>
        </is>
      </c>
      <c r="G820" s="331" t="n"/>
      <c r="H820" s="252" t="inlineStr">
        <is>
          <t>ลงชื่อ……………………………………………</t>
        </is>
      </c>
      <c r="L820" s="331" t="n"/>
      <c r="M820" s="252" t="inlineStr">
        <is>
          <t>ลงชื่อ……………………………………………</t>
        </is>
      </c>
      <c r="S820" s="331" t="n"/>
    </row>
    <row r="821" ht="22.2" customHeight="1" s="330">
      <c r="A821" s="12" t="inlineStr">
        <is>
          <t>(</t>
        </is>
      </c>
      <c r="B821" s="309">
        <f>B789</f>
        <v/>
      </c>
      <c r="G821" s="310" t="inlineStr">
        <is>
          <t>)</t>
        </is>
      </c>
      <c r="H821" s="309" t="inlineStr">
        <is>
          <t>(</t>
        </is>
      </c>
      <c r="I821" s="314">
        <f>I591</f>
        <v/>
      </c>
      <c r="L821" s="13" t="inlineStr">
        <is>
          <t>)</t>
        </is>
      </c>
      <c r="M821" s="61" t="inlineStr">
        <is>
          <t>(</t>
        </is>
      </c>
      <c r="N821" s="61" t="n"/>
      <c r="O821" s="309" t="inlineStr">
        <is>
          <t>นายพิสุทธิศักดิ์  กล่อมนาค</t>
        </is>
      </c>
      <c r="R821" s="29" t="n"/>
      <c r="S821" s="310" t="inlineStr">
        <is>
          <t>)</t>
        </is>
      </c>
    </row>
    <row r="822" ht="22.2" customHeight="1" s="330">
      <c r="A822" s="483" t="inlineStr">
        <is>
          <t xml:space="preserve">                        ตำแหน่ง ครู</t>
        </is>
      </c>
      <c r="G822" s="331" t="n"/>
      <c r="H822" s="62" t="inlineStr">
        <is>
          <t>ตำแหน่ง หัวหน้าแผนก</t>
        </is>
      </c>
      <c r="L822" s="331" t="n"/>
      <c r="M822" s="62" t="inlineStr">
        <is>
          <t>ตำแหน่ง   ผู้ตรวจสอบ</t>
        </is>
      </c>
      <c r="S822" s="331" t="n"/>
    </row>
    <row r="823" ht="22.2" customHeight="1" s="330">
      <c r="A823" s="63">
        <f>A41</f>
        <v/>
      </c>
      <c r="B823" s="471" t="n"/>
      <c r="C823" s="471" t="n"/>
      <c r="D823" s="471" t="n"/>
      <c r="E823" s="471" t="n"/>
      <c r="F823" s="471" t="n"/>
      <c r="G823" s="476" t="n"/>
      <c r="H823" s="62">
        <f>A41</f>
        <v/>
      </c>
      <c r="L823" s="331" t="n"/>
      <c r="M823" s="63">
        <f>A41</f>
        <v/>
      </c>
      <c r="N823" s="471" t="n"/>
      <c r="O823" s="471" t="n"/>
      <c r="P823" s="471" t="n"/>
      <c r="Q823" s="471" t="n"/>
      <c r="R823" s="471" t="n"/>
      <c r="S823" s="476" t="n"/>
    </row>
    <row r="824" ht="22.2" customHeight="1" s="330">
      <c r="A824" s="207" t="inlineStr">
        <is>
          <t>ผู้ตรวจ</t>
        </is>
      </c>
      <c r="B824" s="334" t="n"/>
      <c r="C824" s="334" t="n"/>
      <c r="D824" s="334" t="n"/>
      <c r="E824" s="334" t="n"/>
      <c r="F824" s="334" t="n"/>
      <c r="G824" s="334" t="n"/>
      <c r="H824" s="334" t="n"/>
      <c r="I824" s="335" t="n"/>
      <c r="J824" s="207" t="inlineStr">
        <is>
          <t>ผู้เห็นชอบ</t>
        </is>
      </c>
      <c r="K824" s="334" t="n"/>
      <c r="L824" s="334" t="n"/>
      <c r="M824" s="334" t="n"/>
      <c r="N824" s="334" t="n"/>
      <c r="O824" s="334" t="n"/>
      <c r="P824" s="334" t="n"/>
      <c r="Q824" s="334" t="n"/>
      <c r="R824" s="334" t="n"/>
      <c r="S824" s="335" t="n"/>
    </row>
    <row r="825" ht="22.2" customHeight="1" s="330">
      <c r="A825" s="252" t="inlineStr">
        <is>
          <t>ลงชื่อ……………………………………………</t>
        </is>
      </c>
      <c r="I825" s="331" t="n"/>
      <c r="J825" s="252" t="inlineStr">
        <is>
          <t>ลงชื่อ……………………………………………</t>
        </is>
      </c>
      <c r="S825" s="331" t="n"/>
    </row>
    <row r="826" ht="22.2" customHeight="1" s="330">
      <c r="A826" s="12" t="n"/>
      <c r="B826" s="309" t="inlineStr">
        <is>
          <t xml:space="preserve">          (นางศิวรักษ์   บุญประเสริฐ)</t>
        </is>
      </c>
      <c r="I826" s="310" t="n"/>
      <c r="J826" s="29" t="n"/>
      <c r="K826" s="29" t="n"/>
      <c r="L826" s="309" t="inlineStr">
        <is>
          <t>(นายปรีชา  โพธิ์เกิด)</t>
        </is>
      </c>
      <c r="R826" s="29" t="n"/>
      <c r="S826" s="13" t="n"/>
    </row>
    <row r="827" ht="22.2" customHeight="1" s="330">
      <c r="A827" s="62" t="inlineStr">
        <is>
          <t>ตำแหน่งครู  หัวหน้างานพัฒนาหลักสูตร ฯ</t>
        </is>
      </c>
      <c r="I827" s="331" t="n"/>
      <c r="J827" s="62" t="inlineStr">
        <is>
          <t>ตำแหน่ง  รองผู้อำนวยการฝ่ายวิชาการ</t>
        </is>
      </c>
      <c r="S827" s="331" t="n"/>
    </row>
    <row r="828" ht="22.2" customHeight="1" s="330">
      <c r="A828" s="63">
        <f>A41</f>
        <v/>
      </c>
      <c r="B828" s="471" t="n"/>
      <c r="C828" s="471" t="n"/>
      <c r="D828" s="471" t="n"/>
      <c r="E828" s="471" t="n"/>
      <c r="F828" s="471" t="n"/>
      <c r="G828" s="471" t="n"/>
      <c r="H828" s="471" t="n"/>
      <c r="I828" s="476" t="n"/>
      <c r="J828" s="63">
        <f>A41</f>
        <v/>
      </c>
      <c r="K828" s="471" t="n"/>
      <c r="L828" s="471" t="n"/>
      <c r="M828" s="471" t="n"/>
      <c r="N828" s="471" t="n"/>
      <c r="O828" s="471" t="n"/>
      <c r="P828" s="471" t="n"/>
      <c r="Q828" s="471" t="n"/>
      <c r="R828" s="471" t="n"/>
      <c r="S828" s="476" t="n"/>
    </row>
    <row r="829" ht="22.2" customHeight="1" s="330">
      <c r="A82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830" ht="22.2" customHeight="1" s="330">
      <c r="A830" s="254">
        <f>A2</f>
        <v/>
      </c>
    </row>
    <row r="831" ht="22.2" customHeight="1" s="330">
      <c r="A831" s="253" t="inlineStr">
        <is>
          <t xml:space="preserve">    ระหว่างวันที่</t>
        </is>
      </c>
      <c r="D831" s="254">
        <f>D3</f>
        <v/>
      </c>
      <c r="E831" s="254" t="inlineStr">
        <is>
          <t xml:space="preserve">   เดือน  </t>
        </is>
      </c>
      <c r="F831" s="254">
        <f>F3</f>
        <v/>
      </c>
      <c r="H831" s="254">
        <f>H3</f>
        <v/>
      </c>
      <c r="I831" s="254" t="inlineStr">
        <is>
          <t xml:space="preserve">     ถึง วันที่</t>
        </is>
      </c>
      <c r="J831" s="254">
        <f>J3</f>
        <v/>
      </c>
      <c r="K831" s="254" t="inlineStr">
        <is>
          <t xml:space="preserve">   เดือน </t>
        </is>
      </c>
      <c r="L831" s="254">
        <f>L3</f>
        <v/>
      </c>
      <c r="N831" s="254">
        <f>N3</f>
        <v/>
      </c>
      <c r="P831" s="254" t="n"/>
      <c r="R831" s="254" t="n"/>
    </row>
    <row r="832" ht="22.2" customHeight="1" s="330">
      <c r="G832" s="58" t="inlineStr">
        <is>
          <t>ü</t>
        </is>
      </c>
      <c r="H832" s="301" t="inlineStr">
        <is>
          <t>พนง.ราชการ</t>
        </is>
      </c>
      <c r="I832" s="249" t="inlineStr">
        <is>
          <t>หน้าที่พิเศษ</t>
        </is>
      </c>
      <c r="J832" s="290" t="inlineStr">
        <is>
          <t>หัวหน้างานสวัสดิการ นักเรียนนักศึกษา</t>
        </is>
      </c>
      <c r="K832" s="290" t="n"/>
    </row>
    <row r="833" ht="22.2" customHeight="1" s="330">
      <c r="A833" s="28" t="inlineStr">
        <is>
          <t>ที่</t>
        </is>
      </c>
      <c r="B833" s="28" t="inlineStr">
        <is>
          <t>ชื่อ-สกุล</t>
        </is>
      </c>
      <c r="C833" s="334" t="n"/>
      <c r="D833" s="335" t="n"/>
      <c r="E833" s="16" t="inlineStr">
        <is>
          <t>ตำแหน่ง</t>
        </is>
      </c>
      <c r="F833" s="17" t="inlineStr">
        <is>
          <t>ระยะเวลาที่สอน</t>
        </is>
      </c>
      <c r="G833" s="362" t="n"/>
      <c r="H833" s="17" t="inlineStr">
        <is>
          <t>รหัสวิชา</t>
        </is>
      </c>
      <c r="I833" s="275" t="inlineStr">
        <is>
          <t>ชั้น,แผนก,ห้อง</t>
        </is>
      </c>
      <c r="J833" s="17" t="inlineStr">
        <is>
          <t>เวลาสอน</t>
        </is>
      </c>
      <c r="K833" s="335" t="n"/>
      <c r="L833" s="17" t="inlineStr">
        <is>
          <t>ปวช.(คาบ)</t>
        </is>
      </c>
      <c r="M833" s="362" t="n"/>
      <c r="N833" s="244" t="inlineStr">
        <is>
          <t>เงิน</t>
        </is>
      </c>
      <c r="O833" s="275" t="inlineStr">
        <is>
          <t>ยอดเงิน</t>
        </is>
      </c>
      <c r="P833" s="473" t="inlineStr">
        <is>
          <t>ปวส.(คาบ)</t>
        </is>
      </c>
      <c r="Q833" s="362" t="n"/>
      <c r="R833" s="244" t="inlineStr">
        <is>
          <t>เงิน</t>
        </is>
      </c>
      <c r="S833" s="275" t="inlineStr">
        <is>
          <t>ยอดเงิน</t>
        </is>
      </c>
    </row>
    <row r="834" ht="22.2" customHeight="1" s="330">
      <c r="A834" s="60" t="n"/>
      <c r="B834" s="9" t="n"/>
      <c r="C834" s="10" t="n"/>
      <c r="D834" s="14" t="n"/>
      <c r="E834" s="11" t="n"/>
      <c r="F834" s="276" t="inlineStr">
        <is>
          <t>ส.</t>
        </is>
      </c>
      <c r="G834" s="276" t="inlineStr">
        <is>
          <t>วดป.</t>
        </is>
      </c>
      <c r="H834" s="474" t="n"/>
      <c r="I834" s="276" t="n"/>
      <c r="J834" s="475" t="n"/>
      <c r="K834" s="476" t="n"/>
      <c r="L834" s="276" t="inlineStr">
        <is>
          <t>ใน</t>
        </is>
      </c>
      <c r="M834" s="276" t="inlineStr">
        <is>
          <t>นอก</t>
        </is>
      </c>
      <c r="N834" s="276" t="inlineStr">
        <is>
          <t>ต่อ ชม.</t>
        </is>
      </c>
      <c r="O834" s="276" t="inlineStr">
        <is>
          <t>(บาท)</t>
        </is>
      </c>
      <c r="P834" s="60" t="inlineStr">
        <is>
          <t>ใน</t>
        </is>
      </c>
      <c r="Q834" s="60" t="inlineStr">
        <is>
          <t>นอก</t>
        </is>
      </c>
      <c r="R834" s="276" t="inlineStr">
        <is>
          <t>ต่อ ชม.</t>
        </is>
      </c>
      <c r="S834" s="276" t="inlineStr">
        <is>
          <t>(บาท)</t>
        </is>
      </c>
    </row>
    <row r="835" ht="22.2" customHeight="1" s="330">
      <c r="A835" s="275" t="n">
        <v>19</v>
      </c>
      <c r="B835" s="477">
        <f>AB21</f>
        <v/>
      </c>
      <c r="C835" s="334" t="n"/>
      <c r="D835" s="335" t="n"/>
      <c r="E835" s="275" t="inlineStr">
        <is>
          <t>พนักงาน</t>
        </is>
      </c>
      <c r="F835" s="6">
        <f>F7</f>
        <v/>
      </c>
      <c r="G835" s="303" t="inlineStr">
        <is>
          <t>จันทร์</t>
        </is>
      </c>
      <c r="H835" s="332" t="n"/>
      <c r="I835" s="325" t="n"/>
      <c r="J835" s="332" t="n"/>
      <c r="K835" s="335" t="n"/>
      <c r="L835" s="265" t="n"/>
      <c r="M835" s="332" t="n"/>
      <c r="N835" s="332" t="n"/>
      <c r="O835" s="244">
        <f>M835*N835</f>
        <v/>
      </c>
      <c r="P835" s="332" t="n"/>
      <c r="Q835" s="265" t="n"/>
      <c r="R835" s="332" t="n"/>
      <c r="S835" s="244">
        <f>Q835*R835</f>
        <v/>
      </c>
    </row>
    <row r="836" ht="22.2" customHeight="1" s="330">
      <c r="A836" s="4" t="n"/>
      <c r="B836" s="478" t="n"/>
      <c r="D836" s="331" t="n"/>
      <c r="E836" s="252" t="inlineStr">
        <is>
          <t>ราชการ</t>
        </is>
      </c>
      <c r="F836" s="249" t="n"/>
      <c r="G836" s="308">
        <f>G790</f>
        <v/>
      </c>
      <c r="H836" s="325" t="n"/>
      <c r="I836" s="325" t="n"/>
      <c r="J836" s="252" t="n"/>
      <c r="K836" s="331" t="n"/>
      <c r="L836" s="252" t="n"/>
      <c r="M836" s="252" t="n"/>
      <c r="N836" s="252" t="n"/>
      <c r="O836" s="244">
        <f>M836*N836</f>
        <v/>
      </c>
      <c r="P836" s="252" t="n"/>
      <c r="Q836" s="252" t="n"/>
      <c r="R836" s="252" t="n"/>
      <c r="S836" s="244">
        <f>Q836*R836</f>
        <v/>
      </c>
    </row>
    <row r="837" ht="22.2" customHeight="1" s="330">
      <c r="A837" s="4" t="n"/>
      <c r="B837" s="5" t="n"/>
      <c r="D837" s="3" t="n"/>
      <c r="E837" s="3" t="n"/>
      <c r="F837" s="249" t="n"/>
      <c r="G837" s="248" t="n"/>
      <c r="H837" s="252" t="n"/>
      <c r="I837" s="252" t="n"/>
      <c r="J837" s="252" t="n"/>
      <c r="K837" s="331" t="n"/>
      <c r="L837" s="252" t="n"/>
      <c r="M837" s="252" t="n"/>
      <c r="N837" s="252" t="n"/>
      <c r="O837" s="244">
        <f>M837*N837</f>
        <v/>
      </c>
      <c r="P837" s="252" t="n"/>
      <c r="Q837" s="252" t="n"/>
      <c r="R837" s="252" t="n"/>
      <c r="S837" s="244">
        <f>Q837*R837</f>
        <v/>
      </c>
    </row>
    <row r="838" ht="22.2" customHeight="1" s="330">
      <c r="A838" s="4" t="n"/>
      <c r="B838" s="5" t="n"/>
      <c r="E838" s="4" t="n"/>
      <c r="F838" s="249" t="n"/>
      <c r="G838" s="248" t="n"/>
      <c r="H838" s="252" t="n"/>
      <c r="I838" s="252" t="n"/>
      <c r="J838" s="252" t="n"/>
      <c r="K838" s="331" t="n"/>
      <c r="L838" s="252" t="n"/>
      <c r="M838" s="252" t="n"/>
      <c r="N838" s="252" t="n"/>
      <c r="O838" s="244">
        <f>M838*N838</f>
        <v/>
      </c>
      <c r="P838" s="252" t="n"/>
      <c r="Q838" s="252" t="n"/>
      <c r="R838" s="252" t="n"/>
      <c r="S838" s="244">
        <f>Q838*R838</f>
        <v/>
      </c>
    </row>
    <row r="839" ht="22.2" customHeight="1" s="330">
      <c r="A839" s="4" t="n"/>
      <c r="E839" s="4" t="n"/>
      <c r="G839" s="311" t="n"/>
      <c r="H839" s="276" t="n"/>
      <c r="I839" s="276" t="n"/>
      <c r="J839" s="276" t="n"/>
      <c r="K839" s="476" t="n"/>
      <c r="L839" s="252" t="n"/>
      <c r="M839" s="252" t="n"/>
      <c r="N839" s="252" t="n"/>
      <c r="O839" s="244">
        <f>M839*N839</f>
        <v/>
      </c>
      <c r="P839" s="252" t="n"/>
      <c r="Q839" s="252" t="n"/>
      <c r="R839" s="252" t="n"/>
      <c r="S839" s="244">
        <f>Q839*R839</f>
        <v/>
      </c>
    </row>
    <row r="840" ht="22.2" customHeight="1" s="330">
      <c r="A840" s="4" t="n"/>
      <c r="E840" s="4" t="n"/>
      <c r="G840" s="62" t="inlineStr">
        <is>
          <t>อังคาร</t>
        </is>
      </c>
      <c r="H840" s="332" t="inlineStr">
        <is>
          <t>20101-5104</t>
        </is>
      </c>
      <c r="I840" s="325" t="inlineStr">
        <is>
          <t>ปวช.2/10 ชย. (ทวิ)</t>
        </is>
      </c>
      <c r="J840" s="332" t="inlineStr">
        <is>
          <t>08.10-12.10</t>
        </is>
      </c>
      <c r="K840" s="335" t="n"/>
      <c r="L840" s="265" t="n"/>
      <c r="M840" s="332" t="n"/>
      <c r="N840" s="332" t="n"/>
      <c r="O840" s="244">
        <f>M840*N840</f>
        <v/>
      </c>
      <c r="P840" s="332" t="n"/>
      <c r="Q840" s="265" t="n"/>
      <c r="R840" s="332" t="n"/>
      <c r="S840" s="244">
        <f>Q840*R840</f>
        <v/>
      </c>
    </row>
    <row r="841" ht="22.2" customHeight="1" s="330">
      <c r="A841" s="4" t="n"/>
      <c r="E841" s="4" t="n"/>
      <c r="G841" s="308">
        <f>G795</f>
        <v/>
      </c>
      <c r="H841" s="325" t="inlineStr">
        <is>
          <t>20101-5104</t>
        </is>
      </c>
      <c r="I841" s="325" t="inlineStr">
        <is>
          <t>ปวช.2/10 ชย. (ทวิ)</t>
        </is>
      </c>
      <c r="J841" s="252" t="inlineStr">
        <is>
          <t>13.10-16.10</t>
        </is>
      </c>
      <c r="K841" s="331" t="n"/>
      <c r="L841" s="252" t="n"/>
      <c r="M841" s="252" t="n"/>
      <c r="N841" s="252" t="n"/>
      <c r="O841" s="244">
        <f>M841*N841</f>
        <v/>
      </c>
      <c r="P841" s="252" t="n"/>
      <c r="Q841" s="252" t="n"/>
      <c r="R841" s="252" t="n"/>
      <c r="S841" s="244">
        <f>Q841*R841</f>
        <v/>
      </c>
    </row>
    <row r="842" ht="22.2" customHeight="1" s="330">
      <c r="A842" s="4" t="n"/>
      <c r="B842" s="5" t="n"/>
      <c r="D842" s="3" t="n"/>
      <c r="E842" s="3" t="n"/>
      <c r="G842" s="252" t="n"/>
      <c r="H842" s="248" t="n"/>
      <c r="I842" s="252" t="n"/>
      <c r="J842" s="252" t="n"/>
      <c r="K842" s="331" t="n"/>
      <c r="L842" s="252" t="n"/>
      <c r="M842" s="252" t="n"/>
      <c r="N842" s="252" t="n"/>
      <c r="O842" s="244">
        <f>M842*N842</f>
        <v/>
      </c>
      <c r="P842" s="252" t="n"/>
      <c r="Q842" s="252" t="n"/>
      <c r="R842" s="252" t="n"/>
      <c r="S842" s="244">
        <f>Q842*R842</f>
        <v/>
      </c>
    </row>
    <row r="843" ht="22.2" customHeight="1" s="330">
      <c r="A843" s="4" t="n"/>
      <c r="E843" s="4" t="n"/>
      <c r="G843" s="62" t="n"/>
      <c r="H843" s="249" t="n"/>
      <c r="I843" s="252" t="n"/>
      <c r="J843" s="252" t="n"/>
      <c r="K843" s="331" t="n"/>
      <c r="L843" s="252" t="n"/>
      <c r="M843" s="252" t="n"/>
      <c r="N843" s="252" t="n"/>
      <c r="O843" s="244">
        <f>M843*N843</f>
        <v/>
      </c>
      <c r="P843" s="252" t="n"/>
      <c r="Q843" s="252" t="n"/>
      <c r="R843" s="252" t="n"/>
      <c r="S843" s="244">
        <f>Q843*R843</f>
        <v/>
      </c>
    </row>
    <row r="844" ht="22.2" customHeight="1" s="330">
      <c r="A844" s="4" t="n"/>
      <c r="D844" s="8" t="inlineStr">
        <is>
          <t> </t>
        </is>
      </c>
      <c r="E844" s="4" t="n"/>
      <c r="G844" s="63" t="n"/>
      <c r="H844" s="249" t="n"/>
      <c r="I844" s="276" t="n"/>
      <c r="J844" s="276" t="n"/>
      <c r="K844" s="476" t="n"/>
      <c r="L844" s="252" t="n"/>
      <c r="M844" s="252" t="n"/>
      <c r="N844" s="252" t="n"/>
      <c r="O844" s="244">
        <f>M844*N844</f>
        <v/>
      </c>
      <c r="P844" s="252" t="n"/>
      <c r="Q844" s="252" t="n"/>
      <c r="R844" s="252" t="n"/>
      <c r="S844" s="244">
        <f>Q844*R844</f>
        <v/>
      </c>
    </row>
    <row r="845" ht="22.2" customHeight="1" s="330">
      <c r="A845" s="4" t="n"/>
      <c r="E845" s="4" t="n"/>
      <c r="G845" s="308" t="inlineStr">
        <is>
          <t>พุธ</t>
        </is>
      </c>
      <c r="H845" s="332" t="inlineStr">
        <is>
          <t>20101-2005</t>
        </is>
      </c>
      <c r="I845" s="325" t="inlineStr">
        <is>
          <t>ปวช.2/3 ชย. (ปกติ)</t>
        </is>
      </c>
      <c r="J845" s="332" t="inlineStr">
        <is>
          <t>08.10-12.10</t>
        </is>
      </c>
      <c r="K845" s="335" t="n"/>
      <c r="L845" s="265" t="n"/>
      <c r="M845" s="332" t="n"/>
      <c r="N845" s="332" t="n"/>
      <c r="O845" s="244">
        <f>M845*N845</f>
        <v/>
      </c>
      <c r="P845" s="332" t="n"/>
      <c r="Q845" s="265" t="n"/>
      <c r="R845" s="332" t="n"/>
      <c r="S845" s="244">
        <f>Q845*R845</f>
        <v/>
      </c>
    </row>
    <row r="846" ht="22.2" customHeight="1" s="330">
      <c r="A846" s="4" t="n"/>
      <c r="B846" s="248" t="n"/>
      <c r="C846" s="249" t="n"/>
      <c r="D846" s="249" t="n"/>
      <c r="E846" s="252" t="n"/>
      <c r="G846" s="308">
        <f>G800</f>
        <v/>
      </c>
      <c r="H846" s="325" t="inlineStr">
        <is>
          <t>20101-2005</t>
        </is>
      </c>
      <c r="I846" s="325" t="inlineStr">
        <is>
          <t>ปวช.2/3 ชย. (ปกติ)</t>
        </is>
      </c>
      <c r="J846" s="252" t="inlineStr">
        <is>
          <t>13.10-16.10</t>
        </is>
      </c>
      <c r="K846" s="331" t="n"/>
      <c r="L846" s="252" t="n"/>
      <c r="M846" s="252" t="n"/>
      <c r="N846" s="252" t="n"/>
      <c r="O846" s="244">
        <f>M846*N846</f>
        <v/>
      </c>
      <c r="P846" s="252" t="n"/>
      <c r="Q846" s="252" t="n"/>
      <c r="R846" s="252" t="n"/>
      <c r="S846" s="244">
        <f>Q846*R846</f>
        <v/>
      </c>
    </row>
    <row r="847" ht="22.2" customHeight="1" s="330">
      <c r="A847" s="4" t="n"/>
      <c r="B847" s="5" t="n"/>
      <c r="D847" s="3" t="n"/>
      <c r="E847" s="3" t="n"/>
      <c r="G847" s="252" t="n"/>
      <c r="H847" s="248" t="n"/>
      <c r="I847" s="325" t="n"/>
      <c r="J847" s="252" t="n"/>
      <c r="K847" s="331" t="n"/>
      <c r="L847" s="252" t="n"/>
      <c r="M847" s="252" t="n"/>
      <c r="N847" s="252" t="n"/>
      <c r="O847" s="244">
        <f>M847*N847</f>
        <v/>
      </c>
      <c r="P847" s="252" t="n"/>
      <c r="Q847" s="252" t="n"/>
      <c r="R847" s="252" t="n"/>
      <c r="S847" s="244">
        <f>Q847*R847</f>
        <v/>
      </c>
    </row>
    <row r="848" ht="22.2" customHeight="1" s="330">
      <c r="A848" s="4" t="n"/>
      <c r="E848" s="4" t="n"/>
      <c r="G848" s="248" t="n"/>
      <c r="H848" s="248" t="n"/>
      <c r="I848" s="252" t="n"/>
      <c r="J848" s="252" t="n"/>
      <c r="K848" s="331" t="n"/>
      <c r="L848" s="252" t="n"/>
      <c r="M848" s="252" t="n"/>
      <c r="N848" s="252" t="n"/>
      <c r="O848" s="244">
        <f>M848*N848</f>
        <v/>
      </c>
      <c r="P848" s="252" t="n"/>
      <c r="Q848" s="252" t="n"/>
      <c r="R848" s="252" t="n"/>
      <c r="S848" s="244">
        <f>Q848*R848</f>
        <v/>
      </c>
    </row>
    <row r="849" ht="22.2" customHeight="1" s="330">
      <c r="A849" s="4" t="n"/>
      <c r="E849" s="4" t="n"/>
      <c r="G849" s="277" t="n"/>
      <c r="H849" s="277" t="n"/>
      <c r="I849" s="276" t="n"/>
      <c r="J849" s="276" t="n"/>
      <c r="K849" s="476" t="n"/>
      <c r="L849" s="276" t="n"/>
      <c r="M849" s="276" t="n"/>
      <c r="N849" s="276" t="n"/>
      <c r="O849" s="244">
        <f>M849*N849</f>
        <v/>
      </c>
      <c r="P849" s="276" t="n"/>
      <c r="Q849" s="276" t="n"/>
      <c r="R849" s="276" t="n"/>
      <c r="S849" s="244">
        <f>Q849*R849</f>
        <v/>
      </c>
    </row>
    <row r="850" ht="22.2" customHeight="1" s="330">
      <c r="A850" s="4" t="n"/>
      <c r="E850" s="4" t="n"/>
      <c r="G850" s="62" t="inlineStr">
        <is>
          <t>พฤหัส</t>
        </is>
      </c>
      <c r="H850" s="332" t="inlineStr">
        <is>
          <t>20101-2110</t>
        </is>
      </c>
      <c r="I850" s="325" t="inlineStr">
        <is>
          <t>ปวช.3/1 ชย. (ปกติ)</t>
        </is>
      </c>
      <c r="J850" s="332" t="inlineStr">
        <is>
          <t>08.10-12.10</t>
        </is>
      </c>
      <c r="K850" s="335" t="n"/>
      <c r="L850" s="265" t="n"/>
      <c r="M850" s="252" t="n"/>
      <c r="N850" s="252" t="n"/>
      <c r="O850" s="244">
        <f>M850*N850</f>
        <v/>
      </c>
      <c r="P850" s="252" t="n"/>
      <c r="Q850" s="275" t="n"/>
      <c r="R850" s="275" t="n"/>
      <c r="S850" s="244">
        <f>Q850*R850</f>
        <v/>
      </c>
      <c r="T850" s="25" t="n"/>
      <c r="U850" s="26" t="inlineStr">
        <is>
          <t xml:space="preserve">     PLC</t>
        </is>
      </c>
      <c r="V850" s="64" t="n"/>
      <c r="W850" s="27" t="n"/>
      <c r="X850" s="27" t="n"/>
    </row>
    <row r="851" ht="22.2" customHeight="1" s="330">
      <c r="A851" s="4" t="n"/>
      <c r="E851" s="4" t="n"/>
      <c r="G851" s="308">
        <f>G805</f>
        <v/>
      </c>
      <c r="H851" s="325" t="inlineStr">
        <is>
          <t>20101-2005</t>
        </is>
      </c>
      <c r="I851" s="325" t="inlineStr">
        <is>
          <t>ปวช.3/3,4 ชย. (ปกติ)</t>
        </is>
      </c>
      <c r="J851" s="252" t="inlineStr">
        <is>
          <t>13.10-15.10</t>
        </is>
      </c>
      <c r="K851" s="331" t="n"/>
      <c r="L851" s="252" t="n"/>
      <c r="M851" s="252" t="n"/>
      <c r="N851" s="252" t="n"/>
      <c r="O851" s="244">
        <f>M851*N851</f>
        <v/>
      </c>
      <c r="P851" s="252" t="n"/>
      <c r="Q851" s="252" t="n"/>
      <c r="R851" s="252" t="n"/>
      <c r="S851" s="244">
        <f>Q851*R851</f>
        <v/>
      </c>
      <c r="T851" s="27" t="inlineStr">
        <is>
          <t> </t>
        </is>
      </c>
      <c r="U851" s="26" t="inlineStr">
        <is>
          <t>17.10-19.10</t>
        </is>
      </c>
      <c r="V851" s="64" t="n"/>
      <c r="W851" s="27" t="n"/>
      <c r="X851" s="27" t="n"/>
    </row>
    <row r="852" ht="22.2" customHeight="1" s="330">
      <c r="A852" s="4" t="n"/>
      <c r="B852" s="5" t="n"/>
      <c r="E852" s="4" t="n"/>
      <c r="G852" s="252" t="n"/>
      <c r="H852" s="325" t="n"/>
      <c r="I852" s="325" t="n"/>
      <c r="J852" s="252" t="n"/>
      <c r="K852" s="331" t="n"/>
      <c r="L852" s="252" t="n"/>
      <c r="M852" s="325" t="n"/>
      <c r="N852" s="325" t="n"/>
      <c r="O852" s="244">
        <f>M852*N852</f>
        <v/>
      </c>
      <c r="P852" s="325" t="n"/>
      <c r="Q852" s="325" t="n"/>
      <c r="R852" s="325" t="n"/>
      <c r="S852" s="244">
        <f>Q852*R852</f>
        <v/>
      </c>
    </row>
    <row r="853" ht="22.2" customHeight="1" s="330">
      <c r="A853" s="4" t="n"/>
      <c r="E853" s="4" t="n"/>
      <c r="G853" s="252" t="n"/>
      <c r="H853" s="252" t="n"/>
      <c r="I853" s="252" t="n"/>
      <c r="J853" s="252" t="n"/>
      <c r="K853" s="331" t="n"/>
      <c r="L853" s="252" t="n"/>
      <c r="M853" s="252" t="n"/>
      <c r="N853" s="252" t="n"/>
      <c r="O853" s="244">
        <f>M853*N853</f>
        <v/>
      </c>
      <c r="P853" s="252" t="n"/>
      <c r="Q853" s="252" t="n"/>
      <c r="R853" s="252" t="n"/>
      <c r="S853" s="244">
        <f>Q853*R853</f>
        <v/>
      </c>
    </row>
    <row r="854" ht="22.2" customHeight="1" s="330">
      <c r="A854" s="4" t="n"/>
      <c r="E854" s="4" t="n"/>
      <c r="G854" s="276" t="n"/>
      <c r="H854" s="301" t="n"/>
      <c r="I854" s="276" t="n"/>
      <c r="J854" s="276" t="n"/>
      <c r="K854" s="476" t="n"/>
      <c r="L854" s="276" t="n"/>
      <c r="M854" s="276" t="n"/>
      <c r="N854" s="276" t="n"/>
      <c r="O854" s="244">
        <f>M854*N854</f>
        <v/>
      </c>
      <c r="P854" s="276" t="n"/>
      <c r="Q854" s="276" t="n"/>
      <c r="R854" s="276" t="n"/>
      <c r="S854" s="244">
        <f>Q854*R854</f>
        <v/>
      </c>
    </row>
    <row r="855" ht="22.2" customHeight="1" s="330">
      <c r="A855" s="4" t="n"/>
      <c r="E855" s="4" t="n"/>
      <c r="G855" s="62" t="inlineStr">
        <is>
          <t>ศุกร์</t>
        </is>
      </c>
      <c r="H855" s="332" t="inlineStr">
        <is>
          <t>20101-2005</t>
        </is>
      </c>
      <c r="I855" s="325" t="inlineStr">
        <is>
          <t>ปวช.2/1 ชย. (ปกติ)</t>
        </is>
      </c>
      <c r="J855" s="332" t="inlineStr">
        <is>
          <t>08.10-12.10</t>
        </is>
      </c>
      <c r="K855" s="335" t="n"/>
      <c r="L855" s="252" t="n"/>
      <c r="M855" s="332" t="n"/>
      <c r="N855" s="332" t="n"/>
      <c r="O855" s="244">
        <f>M855*N855</f>
        <v/>
      </c>
      <c r="P855" s="332" t="n"/>
      <c r="Q855" s="265" t="n"/>
      <c r="R855" s="332" t="n"/>
      <c r="S855" s="244">
        <f>Q855*R855</f>
        <v/>
      </c>
    </row>
    <row r="856" ht="22.2" customHeight="1" s="330">
      <c r="A856" s="4" t="n"/>
      <c r="E856" s="4" t="n"/>
      <c r="G856" s="308">
        <f>G810</f>
        <v/>
      </c>
      <c r="H856" s="325" t="inlineStr">
        <is>
          <t>20101-2005</t>
        </is>
      </c>
      <c r="I856" s="325" t="inlineStr">
        <is>
          <t>ปวช.2/1 ชย. (ปกติ)</t>
        </is>
      </c>
      <c r="J856" s="252" t="inlineStr">
        <is>
          <t>13.10-16.10</t>
        </is>
      </c>
      <c r="K856" s="331" t="n"/>
      <c r="L856" s="252" t="n"/>
      <c r="M856" s="252" t="n"/>
      <c r="N856" s="252" t="n"/>
      <c r="O856" s="244">
        <f>M856*N856</f>
        <v/>
      </c>
      <c r="P856" s="252" t="n"/>
      <c r="Q856" s="252" t="n"/>
      <c r="R856" s="252" t="n"/>
      <c r="S856" s="244">
        <f>Q856*R856</f>
        <v/>
      </c>
    </row>
    <row r="857" ht="22.2" customHeight="1" s="330">
      <c r="A857" s="4" t="n"/>
      <c r="E857" s="4" t="n"/>
      <c r="G857" s="252" t="n"/>
      <c r="H857" s="248" t="n"/>
      <c r="I857" s="252" t="n"/>
      <c r="J857" s="252" t="n"/>
      <c r="K857" s="331" t="n"/>
      <c r="L857" s="252" t="n"/>
      <c r="M857" s="252" t="n"/>
      <c r="N857" s="252" t="n"/>
      <c r="O857" s="244">
        <f>M857*N857</f>
        <v/>
      </c>
      <c r="P857" s="252" t="n"/>
      <c r="Q857" s="252" t="n"/>
      <c r="R857" s="252" t="n"/>
      <c r="S857" s="244">
        <f>Q857*R857</f>
        <v/>
      </c>
    </row>
    <row r="858" ht="22.2" customHeight="1" s="330">
      <c r="A858" s="4" t="n"/>
      <c r="E858" s="4" t="n"/>
      <c r="G858" s="252" t="n"/>
      <c r="H858" s="249" t="inlineStr">
        <is>
          <t> </t>
        </is>
      </c>
      <c r="I858" s="252" t="n"/>
      <c r="J858" s="252" t="n"/>
      <c r="K858" s="331" t="n"/>
      <c r="L858" s="252" t="n"/>
      <c r="M858" s="252" t="n"/>
      <c r="N858" s="252" t="n"/>
      <c r="O858" s="244">
        <f>M858*N858</f>
        <v/>
      </c>
      <c r="P858" s="252" t="n"/>
      <c r="Q858" s="252" t="n"/>
      <c r="R858" s="252" t="n"/>
      <c r="S858" s="244">
        <f>Q858*R858</f>
        <v/>
      </c>
    </row>
    <row r="859" ht="22.2" customHeight="1" s="330">
      <c r="A859" s="4" t="n"/>
      <c r="E859" s="4" t="n"/>
      <c r="F859" s="4" t="n"/>
      <c r="G859" s="278" t="n"/>
      <c r="H859" s="301" t="n"/>
      <c r="I859" s="276" t="n"/>
      <c r="J859" s="276" t="n"/>
      <c r="K859" s="476" t="n"/>
      <c r="L859" s="276" t="n"/>
      <c r="M859" s="276" t="n"/>
      <c r="N859" s="276" t="n"/>
      <c r="O859" s="244">
        <f>M859*N859</f>
        <v/>
      </c>
      <c r="P859" s="276" t="n"/>
      <c r="Q859" s="276" t="n"/>
      <c r="R859" s="276" t="n"/>
      <c r="S859" s="244">
        <f>Q859*R859</f>
        <v/>
      </c>
    </row>
    <row r="860" ht="22.2" customHeight="1" s="330">
      <c r="A860" s="4" t="n"/>
      <c r="E860" s="4" t="n"/>
      <c r="F860" s="4" t="n"/>
      <c r="G860" s="17" t="inlineStr">
        <is>
          <t>รวมขั่วโมงที่สอนแยก ภาระงาน/ เกินภาระงาน</t>
        </is>
      </c>
      <c r="H860" s="467" t="n"/>
      <c r="I860" s="467" t="n"/>
      <c r="J860" s="467" t="n"/>
      <c r="K860" s="362" t="n"/>
      <c r="L860" s="17">
        <f>SUM(L835:L859)</f>
        <v/>
      </c>
      <c r="M860" s="17">
        <f>SUM(M835:M859)</f>
        <v/>
      </c>
      <c r="N860" s="17" t="n"/>
      <c r="O860" s="17" t="n"/>
      <c r="P860" s="17">
        <f>SUM(P835:P859)</f>
        <v/>
      </c>
      <c r="Q860" s="17">
        <f>SUM(Q835:Q859)</f>
        <v/>
      </c>
      <c r="R860" s="279" t="n"/>
      <c r="S860" s="17" t="n"/>
    </row>
    <row r="861" ht="22.2" customHeight="1" s="330">
      <c r="A861" s="4" t="n"/>
      <c r="E861" s="4" t="n"/>
      <c r="F861" s="4" t="n"/>
      <c r="G861" s="17" t="inlineStr">
        <is>
          <t>รวมจำนวนชั่วโมงสอนคาบต่อสับดาห์</t>
        </is>
      </c>
      <c r="H861" s="467" t="n"/>
      <c r="I861" s="467" t="n"/>
      <c r="J861" s="467" t="n"/>
      <c r="K861" s="362" t="n"/>
      <c r="L861" s="17">
        <f>L860+M860</f>
        <v/>
      </c>
      <c r="M861" s="362" t="n"/>
      <c r="N861" s="298" t="n"/>
      <c r="O861" s="17" t="n"/>
      <c r="P861" s="17">
        <f>P860+Q860</f>
        <v/>
      </c>
      <c r="Q861" s="362" t="n"/>
      <c r="R861" s="278" t="n"/>
      <c r="S861" s="276" t="n"/>
    </row>
    <row r="862" ht="22.2" customHeight="1" s="330">
      <c r="A862" s="4" t="n"/>
      <c r="E862" s="4" t="n"/>
      <c r="F862" s="4" t="n"/>
      <c r="G862" s="17" t="inlineStr">
        <is>
          <t>จำนวนชั่วโมงสอนตามภาระงานสอน</t>
        </is>
      </c>
      <c r="H862" s="467" t="n"/>
      <c r="I862" s="467" t="n"/>
      <c r="J862" s="467" t="n"/>
      <c r="K862" s="362" t="n"/>
      <c r="L862" s="17" t="n">
        <v>12</v>
      </c>
      <c r="M862" s="362" t="n"/>
      <c r="N862" s="298" t="n"/>
      <c r="O862" s="17" t="n"/>
      <c r="P862" s="17" t="n">
        <v>0</v>
      </c>
      <c r="Q862" s="362" t="n"/>
      <c r="R862" s="249" t="n"/>
      <c r="S862" s="252" t="n"/>
    </row>
    <row r="863" ht="22.2" customHeight="1" s="330" thickBot="1">
      <c r="A863" s="4" t="n"/>
      <c r="E863" s="4" t="n"/>
      <c r="F863" s="15" t="n"/>
      <c r="G863" s="17" t="inlineStr">
        <is>
          <t>จำนวนชั่วโมงบิกเกินภาระงานสอน/ค่าสอน</t>
        </is>
      </c>
      <c r="H863" s="467" t="n"/>
      <c r="I863" s="467" t="n"/>
      <c r="J863" s="467" t="n"/>
      <c r="K863" s="362" t="n"/>
      <c r="L863" s="18" t="n">
        <v>0</v>
      </c>
      <c r="M863" s="18">
        <f>SUM(M835:M859)</f>
        <v/>
      </c>
      <c r="N863" s="18" t="n"/>
      <c r="O863" s="18">
        <f>SUM(O835:O859)</f>
        <v/>
      </c>
      <c r="P863" s="18" t="n">
        <v>0</v>
      </c>
      <c r="Q863" s="18">
        <f>SUM(Q835:Q859)</f>
        <v/>
      </c>
      <c r="R863" s="19" t="n"/>
      <c r="S863" s="18">
        <f>SUM(S835:S859)</f>
        <v/>
      </c>
    </row>
    <row r="864" ht="22.2" customHeight="1" s="330" thickTop="1">
      <c r="A864" s="299" t="inlineStr">
        <is>
          <t>รวมจำนวนหน่วยชั่วโมงที่ขอเบิกค่าสอน ….</t>
        </is>
      </c>
      <c r="B864" s="467" t="n"/>
      <c r="C864" s="467" t="n"/>
      <c r="D864" s="467" t="n"/>
      <c r="E864" s="467" t="n"/>
      <c r="F864" s="467" t="n"/>
      <c r="G864" s="467" t="n"/>
      <c r="H864" s="298">
        <f>M863+Q863</f>
        <v/>
      </c>
      <c r="I864" s="298" t="inlineStr">
        <is>
          <t>….ชั่วโมง</t>
        </is>
      </c>
      <c r="J864" s="298" t="n"/>
      <c r="K864" s="301" t="inlineStr">
        <is>
          <t>ยอดเงินรวม</t>
        </is>
      </c>
      <c r="L864" s="471" t="n"/>
      <c r="M864" s="471" t="n"/>
      <c r="N864" s="301" t="n"/>
      <c r="O864" s="301" t="n"/>
      <c r="P864" s="302">
        <f>S863+O863</f>
        <v/>
      </c>
      <c r="Q864" s="482" t="n"/>
      <c r="R864" s="21" t="n"/>
      <c r="S864" s="20" t="inlineStr">
        <is>
          <t>..บาท</t>
        </is>
      </c>
    </row>
    <row r="865" ht="22.2" customHeight="1" s="330">
      <c r="A865" s="207" t="inlineStr">
        <is>
          <t>ผู้ขอเบิก</t>
        </is>
      </c>
      <c r="B865" s="334" t="n"/>
      <c r="C865" s="334" t="n"/>
      <c r="D865" s="334" t="n"/>
      <c r="E865" s="334" t="n"/>
      <c r="F865" s="334" t="n"/>
      <c r="G865" s="335" t="n"/>
      <c r="H865" s="207" t="inlineStr">
        <is>
          <t>ผู้รับรอง</t>
        </is>
      </c>
      <c r="I865" s="334" t="n"/>
      <c r="J865" s="334" t="n"/>
      <c r="K865" s="334" t="n"/>
      <c r="L865" s="335" t="n"/>
      <c r="M865" s="207" t="inlineStr">
        <is>
          <t>ผู้ตรวจ</t>
        </is>
      </c>
      <c r="N865" s="334" t="n"/>
      <c r="O865" s="334" t="n"/>
      <c r="P865" s="334" t="n"/>
      <c r="Q865" s="334" t="n"/>
      <c r="R865" s="334" t="n"/>
      <c r="S865" s="335" t="n"/>
    </row>
    <row r="866" ht="22.2" customHeight="1" s="330">
      <c r="A866" s="252" t="inlineStr">
        <is>
          <t>ลงชื่อ……………………………………………</t>
        </is>
      </c>
      <c r="G866" s="331" t="n"/>
      <c r="H866" s="252" t="inlineStr">
        <is>
          <t>ลงชื่อ……………………………………………</t>
        </is>
      </c>
      <c r="L866" s="331" t="n"/>
      <c r="M866" s="252" t="inlineStr">
        <is>
          <t>ลงชื่อ……………………………………………</t>
        </is>
      </c>
      <c r="S866" s="331" t="n"/>
    </row>
    <row r="867" ht="22.2" customHeight="1" s="330">
      <c r="A867" s="12" t="inlineStr">
        <is>
          <t>(</t>
        </is>
      </c>
      <c r="B867" s="309">
        <f>B835</f>
        <v/>
      </c>
      <c r="G867" s="310" t="inlineStr">
        <is>
          <t>)</t>
        </is>
      </c>
      <c r="H867" s="309" t="inlineStr">
        <is>
          <t>(</t>
        </is>
      </c>
      <c r="I867" s="314">
        <f>I821</f>
        <v/>
      </c>
      <c r="L867" s="13" t="inlineStr">
        <is>
          <t>)</t>
        </is>
      </c>
      <c r="M867" s="61" t="inlineStr">
        <is>
          <t>(</t>
        </is>
      </c>
      <c r="N867" s="61" t="n"/>
      <c r="O867" s="309" t="inlineStr">
        <is>
          <t>นายพิสุทธิศักดิ์  กล่อมนาค</t>
        </is>
      </c>
      <c r="R867" s="29" t="n"/>
      <c r="S867" s="310" t="inlineStr">
        <is>
          <t>)</t>
        </is>
      </c>
    </row>
    <row r="868" ht="22.2" customHeight="1" s="330">
      <c r="A868" s="483" t="inlineStr">
        <is>
          <t xml:space="preserve">               ตำแหน่ง  พนักงานราชการ</t>
        </is>
      </c>
      <c r="G868" s="331" t="n"/>
      <c r="H868" s="62" t="inlineStr">
        <is>
          <t>ตำแหน่ง หัวหน้าแผนก</t>
        </is>
      </c>
      <c r="L868" s="331" t="n"/>
      <c r="M868" s="62" t="inlineStr">
        <is>
          <t>ตำแหน่ง   ผู้ตรวจสอบ</t>
        </is>
      </c>
      <c r="S868" s="331" t="n"/>
    </row>
    <row r="869" ht="22.2" customHeight="1" s="330">
      <c r="A869" s="63">
        <f>A41</f>
        <v/>
      </c>
      <c r="B869" s="471" t="n"/>
      <c r="C869" s="471" t="n"/>
      <c r="D869" s="471" t="n"/>
      <c r="E869" s="471" t="n"/>
      <c r="F869" s="471" t="n"/>
      <c r="G869" s="476" t="n"/>
      <c r="H869" s="62">
        <f>A41</f>
        <v/>
      </c>
      <c r="L869" s="331" t="n"/>
      <c r="M869" s="63">
        <f>A41</f>
        <v/>
      </c>
      <c r="N869" s="471" t="n"/>
      <c r="O869" s="471" t="n"/>
      <c r="P869" s="471" t="n"/>
      <c r="Q869" s="471" t="n"/>
      <c r="R869" s="471" t="n"/>
      <c r="S869" s="476" t="n"/>
    </row>
    <row r="870" ht="22.2" customHeight="1" s="330">
      <c r="A870" s="207" t="inlineStr">
        <is>
          <t>ผู้ตรวจ</t>
        </is>
      </c>
      <c r="B870" s="334" t="n"/>
      <c r="C870" s="334" t="n"/>
      <c r="D870" s="334" t="n"/>
      <c r="E870" s="334" t="n"/>
      <c r="F870" s="334" t="n"/>
      <c r="G870" s="334" t="n"/>
      <c r="H870" s="334" t="n"/>
      <c r="I870" s="335" t="n"/>
      <c r="J870" s="207" t="inlineStr">
        <is>
          <t>ผู้เห็นชอบ</t>
        </is>
      </c>
      <c r="K870" s="334" t="n"/>
      <c r="L870" s="334" t="n"/>
      <c r="M870" s="334" t="n"/>
      <c r="N870" s="334" t="n"/>
      <c r="O870" s="334" t="n"/>
      <c r="P870" s="334" t="n"/>
      <c r="Q870" s="334" t="n"/>
      <c r="R870" s="334" t="n"/>
      <c r="S870" s="335" t="n"/>
    </row>
    <row r="871" ht="22.2" customHeight="1" s="330">
      <c r="A871" s="252" t="inlineStr">
        <is>
          <t>ลงชื่อ……………………………………………</t>
        </is>
      </c>
      <c r="I871" s="331" t="n"/>
      <c r="J871" s="252" t="inlineStr">
        <is>
          <t>ลงชื่อ……………………………………………</t>
        </is>
      </c>
      <c r="S871" s="331" t="n"/>
    </row>
    <row r="872" ht="22.2" customHeight="1" s="330">
      <c r="A872" s="12" t="n"/>
      <c r="B872" s="309" t="inlineStr">
        <is>
          <t xml:space="preserve">          (นางศิวรักษ์   บุญประเสริฐ)</t>
        </is>
      </c>
      <c r="I872" s="310" t="n"/>
      <c r="J872" s="29" t="n"/>
      <c r="K872" s="29" t="n"/>
      <c r="L872" s="309" t="inlineStr">
        <is>
          <t>(นายปรีชา  โพธิ์เกิด)</t>
        </is>
      </c>
      <c r="R872" s="29" t="n"/>
      <c r="S872" s="13" t="n"/>
    </row>
    <row r="873" ht="22.2" customHeight="1" s="330">
      <c r="A873" s="62" t="inlineStr">
        <is>
          <t>ตำแหน่งครู  หัวหน้างานพัฒนาหลักสูตร ฯ</t>
        </is>
      </c>
      <c r="I873" s="331" t="n"/>
      <c r="J873" s="62" t="inlineStr">
        <is>
          <t>ตำแหน่ง  รองผู้อำนวยการฝ่ายวิชาการ</t>
        </is>
      </c>
      <c r="S873" s="331" t="n"/>
    </row>
    <row r="874" ht="22.2" customHeight="1" s="330">
      <c r="A874" s="63">
        <f>A41</f>
        <v/>
      </c>
      <c r="B874" s="471" t="n"/>
      <c r="C874" s="471" t="n"/>
      <c r="D874" s="471" t="n"/>
      <c r="E874" s="471" t="n"/>
      <c r="F874" s="471" t="n"/>
      <c r="G874" s="471" t="n"/>
      <c r="H874" s="471" t="n"/>
      <c r="I874" s="476" t="n"/>
      <c r="J874" s="63">
        <f>A41</f>
        <v/>
      </c>
      <c r="K874" s="471" t="n"/>
      <c r="L874" s="471" t="n"/>
      <c r="M874" s="471" t="n"/>
      <c r="N874" s="471" t="n"/>
      <c r="O874" s="471" t="n"/>
      <c r="P874" s="471" t="n"/>
      <c r="Q874" s="471" t="n"/>
      <c r="R874" s="471" t="n"/>
      <c r="S874" s="476" t="n"/>
    </row>
    <row r="875" ht="22.2" customHeight="1" s="330">
      <c r="A87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876" ht="22.2" customHeight="1" s="330">
      <c r="A876" s="254">
        <f>A2</f>
        <v/>
      </c>
    </row>
    <row r="877" ht="22.2" customHeight="1" s="330">
      <c r="A877" s="253" t="inlineStr">
        <is>
          <t xml:space="preserve">    ระหว่างวันที่</t>
        </is>
      </c>
      <c r="D877" s="254">
        <f>D3</f>
        <v/>
      </c>
      <c r="E877" s="254" t="inlineStr">
        <is>
          <t xml:space="preserve">   เดือน  </t>
        </is>
      </c>
      <c r="F877" s="254">
        <f>F3</f>
        <v/>
      </c>
      <c r="H877" s="254">
        <f>H3</f>
        <v/>
      </c>
      <c r="I877" s="254" t="inlineStr">
        <is>
          <t xml:space="preserve">     ถึง วันที่</t>
        </is>
      </c>
      <c r="J877" s="254">
        <f>J3</f>
        <v/>
      </c>
      <c r="K877" s="254" t="inlineStr">
        <is>
          <t xml:space="preserve">   เดือน </t>
        </is>
      </c>
      <c r="L877" s="254">
        <f>L3</f>
        <v/>
      </c>
      <c r="N877" s="254">
        <f>N3</f>
        <v/>
      </c>
      <c r="P877" s="254" t="n"/>
      <c r="R877" s="254" t="n"/>
    </row>
    <row r="878" ht="22.2" customHeight="1" s="330">
      <c r="G878" s="58" t="inlineStr">
        <is>
          <t>ü</t>
        </is>
      </c>
      <c r="H878" s="8" t="inlineStr">
        <is>
          <t>ครูพิเศษ</t>
        </is>
      </c>
      <c r="I878" s="249" t="inlineStr">
        <is>
          <t>หน้าที่พิเศษ</t>
        </is>
      </c>
      <c r="K878" s="290" t="n"/>
    </row>
    <row r="879" ht="22.2" customHeight="1" s="330">
      <c r="A879" s="28" t="inlineStr">
        <is>
          <t>ที่</t>
        </is>
      </c>
      <c r="B879" s="28" t="inlineStr">
        <is>
          <t>ชื่อ-สกุล</t>
        </is>
      </c>
      <c r="C879" s="334" t="n"/>
      <c r="D879" s="335" t="n"/>
      <c r="E879" s="16" t="inlineStr">
        <is>
          <t>ตำแหน่ง</t>
        </is>
      </c>
      <c r="F879" s="17" t="inlineStr">
        <is>
          <t>ระยะเวลาที่สอน</t>
        </is>
      </c>
      <c r="G879" s="362" t="n"/>
      <c r="H879" s="17" t="inlineStr">
        <is>
          <t>รหัสวิชา</t>
        </is>
      </c>
      <c r="I879" s="275" t="inlineStr">
        <is>
          <t>ชั้น,แผนก,ห้อง</t>
        </is>
      </c>
      <c r="J879" s="17" t="inlineStr">
        <is>
          <t>เวลาสอน</t>
        </is>
      </c>
      <c r="K879" s="335" t="n"/>
      <c r="L879" s="17" t="inlineStr">
        <is>
          <t>ปวช.(คาบ)</t>
        </is>
      </c>
      <c r="M879" s="362" t="n"/>
      <c r="N879" s="244" t="inlineStr">
        <is>
          <t>เงิน</t>
        </is>
      </c>
      <c r="O879" s="275" t="inlineStr">
        <is>
          <t>ยอดเงิน</t>
        </is>
      </c>
      <c r="P879" s="473" t="inlineStr">
        <is>
          <t>ปวส.(คาบ)</t>
        </is>
      </c>
      <c r="Q879" s="362" t="n"/>
      <c r="R879" s="244" t="inlineStr">
        <is>
          <t>เงิน</t>
        </is>
      </c>
      <c r="S879" s="275" t="inlineStr">
        <is>
          <t>ยอดเงิน</t>
        </is>
      </c>
    </row>
    <row r="880" ht="22.2" customHeight="1" s="330">
      <c r="A880" s="60" t="n"/>
      <c r="B880" s="9" t="n"/>
      <c r="C880" s="10" t="n"/>
      <c r="D880" s="14" t="n"/>
      <c r="E880" s="11" t="n"/>
      <c r="F880" s="276" t="inlineStr">
        <is>
          <t>ส.</t>
        </is>
      </c>
      <c r="G880" s="276" t="inlineStr">
        <is>
          <t>วดป.</t>
        </is>
      </c>
      <c r="H880" s="474" t="n"/>
      <c r="I880" s="276" t="n"/>
      <c r="J880" s="475" t="n"/>
      <c r="K880" s="476" t="n"/>
      <c r="L880" s="276" t="inlineStr">
        <is>
          <t>ใน</t>
        </is>
      </c>
      <c r="M880" s="276" t="inlineStr">
        <is>
          <t>นอก</t>
        </is>
      </c>
      <c r="N880" s="276" t="inlineStr">
        <is>
          <t>ต่อ ชม.</t>
        </is>
      </c>
      <c r="O880" s="276" t="inlineStr">
        <is>
          <t>(บาท)</t>
        </is>
      </c>
      <c r="P880" s="60" t="inlineStr">
        <is>
          <t>ใน</t>
        </is>
      </c>
      <c r="Q880" s="60" t="inlineStr">
        <is>
          <t>นอก</t>
        </is>
      </c>
      <c r="R880" s="276" t="inlineStr">
        <is>
          <t>ต่อ ชม.</t>
        </is>
      </c>
      <c r="S880" s="276" t="inlineStr">
        <is>
          <t>(บาท)</t>
        </is>
      </c>
    </row>
    <row r="881" ht="22.2" customHeight="1" s="330">
      <c r="A881" s="275" t="n">
        <v>20</v>
      </c>
      <c r="B881" s="477">
        <f>AB22</f>
        <v/>
      </c>
      <c r="C881" s="334" t="n"/>
      <c r="D881" s="335" t="n"/>
      <c r="E881" s="275" t="inlineStr">
        <is>
          <t>ครู</t>
        </is>
      </c>
      <c r="F881" s="6">
        <f>F7</f>
        <v/>
      </c>
      <c r="G881" s="303" t="inlineStr">
        <is>
          <t>จันทร์</t>
        </is>
      </c>
      <c r="H881" s="332" t="inlineStr">
        <is>
          <t>20101-2404</t>
        </is>
      </c>
      <c r="I881" s="325" t="inlineStr">
        <is>
          <t>ปวช.3/3 ชย. (ปกติ)</t>
        </is>
      </c>
      <c r="J881" s="332" t="inlineStr">
        <is>
          <t>08.10-12.10</t>
        </is>
      </c>
      <c r="K881" s="335" t="n"/>
      <c r="L881" s="265" t="n"/>
      <c r="M881" s="332" t="n"/>
      <c r="N881" s="332" t="n"/>
      <c r="O881" s="244">
        <f>M881*N881</f>
        <v/>
      </c>
      <c r="P881" s="332" t="n"/>
      <c r="Q881" s="265" t="n"/>
      <c r="R881" s="332" t="n"/>
      <c r="S881" s="244">
        <f>Q881*R881</f>
        <v/>
      </c>
    </row>
    <row r="882" ht="22.2" customHeight="1" s="330">
      <c r="A882" s="4" t="n"/>
      <c r="B882" s="478" t="n"/>
      <c r="D882" s="331" t="n"/>
      <c r="E882" s="252" t="inlineStr">
        <is>
          <t>พิเศษ</t>
        </is>
      </c>
      <c r="F882" s="249" t="n"/>
      <c r="G882" s="74">
        <f>G8</f>
        <v/>
      </c>
      <c r="H882" s="325" t="inlineStr">
        <is>
          <t>20101-2404</t>
        </is>
      </c>
      <c r="I882" s="325" t="inlineStr">
        <is>
          <t>ปวช.3/3 ชย. (ปกติ)</t>
        </is>
      </c>
      <c r="J882" s="252" t="inlineStr">
        <is>
          <t>13.10-16.10</t>
        </is>
      </c>
      <c r="K882" s="331" t="n"/>
      <c r="L882" s="252" t="n"/>
      <c r="M882" s="252" t="n"/>
      <c r="N882" s="252" t="n"/>
      <c r="O882" s="244">
        <f>M882*N882</f>
        <v/>
      </c>
      <c r="P882" s="252" t="n"/>
      <c r="Q882" s="252" t="n"/>
      <c r="R882" s="252" t="n"/>
      <c r="S882" s="244">
        <f>Q882*R882</f>
        <v/>
      </c>
    </row>
    <row r="883" ht="22.2" customHeight="1" s="330">
      <c r="A883" s="4" t="n"/>
      <c r="B883" s="5" t="n"/>
      <c r="D883" s="3" t="n"/>
      <c r="E883" s="3" t="n"/>
      <c r="F883" s="249" t="n"/>
      <c r="G883" s="248" t="n"/>
      <c r="H883" s="325" t="n"/>
      <c r="I883" s="325" t="n"/>
      <c r="J883" s="252" t="n"/>
      <c r="K883" s="331" t="n"/>
      <c r="L883" s="252" t="n"/>
      <c r="M883" s="252" t="n"/>
      <c r="N883" s="252" t="n"/>
      <c r="O883" s="244">
        <f>M883*N883</f>
        <v/>
      </c>
      <c r="P883" s="252" t="n"/>
      <c r="Q883" s="252" t="n"/>
      <c r="R883" s="252" t="n"/>
      <c r="S883" s="244">
        <f>Q883*R883</f>
        <v/>
      </c>
    </row>
    <row r="884" ht="22.2" customHeight="1" s="330">
      <c r="A884" s="4" t="n"/>
      <c r="B884" s="5" t="n"/>
      <c r="E884" s="4" t="n"/>
      <c r="F884" s="249" t="n"/>
      <c r="G884" s="248" t="n"/>
      <c r="H884" s="252" t="n"/>
      <c r="I884" s="252" t="n"/>
      <c r="J884" s="252" t="n"/>
      <c r="K884" s="331" t="n"/>
      <c r="L884" s="252" t="n"/>
      <c r="M884" s="252" t="n"/>
      <c r="N884" s="252" t="n"/>
      <c r="O884" s="244">
        <f>M884*N884</f>
        <v/>
      </c>
      <c r="P884" s="252" t="n"/>
      <c r="Q884" s="252" t="n"/>
      <c r="R884" s="252" t="n"/>
      <c r="S884" s="244">
        <f>Q884*R884</f>
        <v/>
      </c>
    </row>
    <row r="885" ht="22.2" customHeight="1" s="330">
      <c r="A885" s="4" t="n"/>
      <c r="E885" s="4" t="n"/>
      <c r="G885" s="311" t="n"/>
      <c r="H885" s="276" t="n"/>
      <c r="I885" s="276" t="n"/>
      <c r="J885" s="276" t="n"/>
      <c r="K885" s="476" t="n"/>
      <c r="L885" s="252" t="n"/>
      <c r="M885" s="252" t="n"/>
      <c r="N885" s="252" t="n"/>
      <c r="O885" s="244">
        <f>M885*N885</f>
        <v/>
      </c>
      <c r="P885" s="252" t="n"/>
      <c r="Q885" s="252" t="n"/>
      <c r="R885" s="252" t="n"/>
      <c r="S885" s="244">
        <f>Q885*R885</f>
        <v/>
      </c>
    </row>
    <row r="886" ht="22.2" customHeight="1" s="330">
      <c r="A886" s="4" t="n"/>
      <c r="E886" s="4" t="n"/>
      <c r="G886" s="62" t="inlineStr">
        <is>
          <t>อังคาร</t>
        </is>
      </c>
      <c r="H886" s="325" t="inlineStr">
        <is>
          <t>20101-2404</t>
        </is>
      </c>
      <c r="I886" s="325" t="inlineStr">
        <is>
          <t>ปวช.3/4 ชย. (ปกติ)</t>
        </is>
      </c>
      <c r="J886" s="332" t="inlineStr">
        <is>
          <t>08.10-12.10</t>
        </is>
      </c>
      <c r="K886" s="335" t="n"/>
      <c r="L886" s="265" t="n"/>
      <c r="M886" s="332" t="n"/>
      <c r="N886" s="332" t="n"/>
      <c r="O886" s="244">
        <f>M886*N886</f>
        <v/>
      </c>
      <c r="P886" s="332" t="n"/>
      <c r="Q886" s="265" t="n"/>
      <c r="R886" s="332" t="n"/>
      <c r="S886" s="244">
        <f>Q886*R886</f>
        <v/>
      </c>
    </row>
    <row r="887" ht="22.2" customHeight="1" s="330">
      <c r="A887" s="4" t="n"/>
      <c r="E887" s="4" t="n"/>
      <c r="G887" s="74">
        <f>G13</f>
        <v/>
      </c>
      <c r="H887" s="325" t="inlineStr">
        <is>
          <t>20101-2404</t>
        </is>
      </c>
      <c r="I887" s="325" t="inlineStr">
        <is>
          <t>ปวช.3/4 ชย. (ปกติ)</t>
        </is>
      </c>
      <c r="J887" s="252" t="inlineStr">
        <is>
          <t>13.10-16.10</t>
        </is>
      </c>
      <c r="K887" s="331" t="n"/>
      <c r="L887" s="252" t="n"/>
      <c r="M887" s="252" t="n"/>
      <c r="N887" s="252" t="n"/>
      <c r="O887" s="244">
        <f>M887*N887</f>
        <v/>
      </c>
      <c r="P887" s="252" t="n"/>
      <c r="Q887" s="252" t="n"/>
      <c r="R887" s="252" t="n"/>
      <c r="S887" s="244">
        <f>Q887*R887</f>
        <v/>
      </c>
    </row>
    <row r="888" ht="22.2" customHeight="1" s="330">
      <c r="A888" s="4" t="n"/>
      <c r="B888" s="5" t="n"/>
      <c r="D888" s="3" t="n"/>
      <c r="E888" s="3" t="n"/>
      <c r="G888" s="252" t="n"/>
      <c r="H888" s="325" t="n"/>
      <c r="I888" s="325" t="n"/>
      <c r="J888" s="252" t="n"/>
      <c r="K888" s="331" t="n"/>
      <c r="L888" s="252" t="n"/>
      <c r="M888" s="252" t="n"/>
      <c r="N888" s="252" t="n"/>
      <c r="O888" s="244">
        <f>M888*N888</f>
        <v/>
      </c>
      <c r="P888" s="252" t="n"/>
      <c r="Q888" s="252" t="n"/>
      <c r="R888" s="252" t="n"/>
      <c r="S888" s="244">
        <f>Q888*R888</f>
        <v/>
      </c>
    </row>
    <row r="889" ht="22.2" customHeight="1" s="330">
      <c r="A889" s="4" t="n"/>
      <c r="E889" s="4" t="n"/>
      <c r="G889" s="62" t="n"/>
      <c r="H889" s="249" t="n"/>
      <c r="I889" s="252" t="n"/>
      <c r="J889" s="252" t="n"/>
      <c r="K889" s="331" t="n"/>
      <c r="L889" s="252" t="n"/>
      <c r="M889" s="252" t="n"/>
      <c r="N889" s="252" t="n"/>
      <c r="O889" s="244">
        <f>M889*N889</f>
        <v/>
      </c>
      <c r="P889" s="252" t="n"/>
      <c r="Q889" s="252" t="n"/>
      <c r="R889" s="252" t="n"/>
      <c r="S889" s="244">
        <f>Q889*R889</f>
        <v/>
      </c>
    </row>
    <row r="890" ht="22.2" customHeight="1" s="330">
      <c r="A890" s="4" t="n"/>
      <c r="D890" s="8" t="inlineStr">
        <is>
          <t> </t>
        </is>
      </c>
      <c r="E890" s="4" t="n"/>
      <c r="G890" s="63" t="n"/>
      <c r="H890" s="276" t="n"/>
      <c r="I890" s="276" t="n"/>
      <c r="J890" s="276" t="n"/>
      <c r="K890" s="476" t="n"/>
      <c r="L890" s="276" t="n"/>
      <c r="M890" s="252" t="n"/>
      <c r="N890" s="252" t="n"/>
      <c r="O890" s="244">
        <f>M890*N890</f>
        <v/>
      </c>
      <c r="P890" s="252" t="n"/>
      <c r="Q890" s="252" t="n"/>
      <c r="R890" s="252" t="n"/>
      <c r="S890" s="244">
        <f>Q890*R890</f>
        <v/>
      </c>
    </row>
    <row r="891" ht="22.2" customHeight="1" s="330">
      <c r="A891" s="4" t="n"/>
      <c r="E891" s="4" t="n"/>
      <c r="G891" s="308" t="inlineStr">
        <is>
          <t>พุธ</t>
        </is>
      </c>
      <c r="H891" s="325" t="inlineStr">
        <is>
          <t>20101-8001</t>
        </is>
      </c>
      <c r="I891" s="325" t="inlineStr">
        <is>
          <t>ปวช.3/7 ชย. (ปกติ)</t>
        </is>
      </c>
      <c r="J891" s="332" t="inlineStr">
        <is>
          <t>08.10-12.10</t>
        </is>
      </c>
      <c r="K891" s="335" t="n"/>
      <c r="L891" s="252" t="n"/>
      <c r="M891" s="332" t="n"/>
      <c r="N891" s="332" t="n"/>
      <c r="O891" s="244">
        <f>M891*N891</f>
        <v/>
      </c>
      <c r="P891" s="209" t="n"/>
      <c r="Q891" s="209" t="n"/>
      <c r="R891" s="209" t="n"/>
      <c r="S891" s="244">
        <f>Q891*R891</f>
        <v/>
      </c>
    </row>
    <row r="892" ht="22.2" customHeight="1" s="330">
      <c r="A892" s="4" t="n"/>
      <c r="B892" s="248" t="n"/>
      <c r="C892" s="249" t="n"/>
      <c r="D892" s="249" t="n"/>
      <c r="E892" s="252" t="n"/>
      <c r="G892" s="74">
        <f>G18</f>
        <v/>
      </c>
      <c r="H892" s="325" t="n"/>
      <c r="I892" s="325" t="n"/>
      <c r="J892" s="252" t="n"/>
      <c r="K892" s="331" t="n"/>
      <c r="L892" s="252" t="n"/>
      <c r="M892" s="252" t="n"/>
      <c r="N892" s="252" t="n"/>
      <c r="O892" s="244">
        <f>M892*N892</f>
        <v/>
      </c>
      <c r="P892" s="4" t="n"/>
      <c r="Q892" s="4" t="n"/>
      <c r="R892" s="4" t="n"/>
      <c r="S892" s="244">
        <f>Q892*R892</f>
        <v/>
      </c>
    </row>
    <row r="893" ht="22.2" customHeight="1" s="330">
      <c r="A893" s="4" t="n"/>
      <c r="B893" s="5" t="n"/>
      <c r="D893" s="3" t="n"/>
      <c r="E893" s="3" t="n"/>
      <c r="G893" s="252" t="n"/>
      <c r="H893" s="325" t="n"/>
      <c r="I893" s="325" t="n"/>
      <c r="J893" s="252" t="n"/>
      <c r="K893" s="331" t="n"/>
      <c r="L893" s="252" t="n"/>
      <c r="M893" s="252" t="n"/>
      <c r="N893" s="252" t="n"/>
      <c r="O893" s="244">
        <f>M893*N893</f>
        <v/>
      </c>
      <c r="P893" s="252" t="n"/>
      <c r="Q893" s="250" t="n"/>
      <c r="R893" s="252" t="n"/>
      <c r="S893" s="244">
        <f>Q893*R893</f>
        <v/>
      </c>
    </row>
    <row r="894" ht="22.2" customHeight="1" s="330">
      <c r="A894" s="4" t="n"/>
      <c r="E894" s="4" t="n"/>
      <c r="G894" s="248" t="n"/>
      <c r="H894" s="248" t="n"/>
      <c r="I894" s="252" t="n"/>
      <c r="J894" s="252" t="n"/>
      <c r="K894" s="331" t="n"/>
      <c r="L894" s="252" t="n"/>
      <c r="M894" s="252" t="n"/>
      <c r="N894" s="252" t="n"/>
      <c r="O894" s="244">
        <f>M894*N894</f>
        <v/>
      </c>
      <c r="P894" s="252" t="n"/>
      <c r="Q894" s="252" t="n"/>
      <c r="R894" s="252" t="n"/>
      <c r="S894" s="244">
        <f>Q894*R894</f>
        <v/>
      </c>
    </row>
    <row r="895" ht="22.2" customHeight="1" s="330">
      <c r="A895" s="4" t="n"/>
      <c r="E895" s="4" t="n"/>
      <c r="G895" s="277" t="n"/>
      <c r="H895" s="277" t="n"/>
      <c r="I895" s="276" t="n"/>
      <c r="J895" s="276" t="n"/>
      <c r="K895" s="476" t="n"/>
      <c r="L895" s="276" t="n"/>
      <c r="M895" s="276" t="n"/>
      <c r="N895" s="276" t="n"/>
      <c r="O895" s="244">
        <f>M895*N895</f>
        <v/>
      </c>
      <c r="P895" s="276" t="n"/>
      <c r="Q895" s="276" t="n"/>
      <c r="R895" s="276" t="n"/>
      <c r="S895" s="244">
        <f>Q895*R895</f>
        <v/>
      </c>
    </row>
    <row r="896" ht="22.2" customHeight="1" s="330">
      <c r="A896" s="4" t="n"/>
      <c r="E896" s="4" t="n"/>
      <c r="G896" s="62" t="inlineStr">
        <is>
          <t>พฤหัส</t>
        </is>
      </c>
      <c r="H896" s="325" t="inlineStr">
        <is>
          <t>20101-2404</t>
        </is>
      </c>
      <c r="I896" s="325" t="inlineStr">
        <is>
          <t>ปวช.3/2 ชย. (ปกติ)</t>
        </is>
      </c>
      <c r="J896" s="332" t="inlineStr">
        <is>
          <t>08.10-12.10</t>
        </is>
      </c>
      <c r="K896" s="335" t="n"/>
      <c r="L896" s="265" t="n"/>
      <c r="M896" s="332" t="n"/>
      <c r="N896" s="325" t="n"/>
      <c r="O896" s="244">
        <f>M896*N896</f>
        <v/>
      </c>
      <c r="P896" s="252" t="n"/>
      <c r="Q896" s="275" t="n"/>
      <c r="R896" s="275" t="n"/>
      <c r="S896" s="244">
        <f>Q896*R896</f>
        <v/>
      </c>
    </row>
    <row r="897" ht="22.2" customHeight="1" s="330">
      <c r="A897" s="4" t="n"/>
      <c r="E897" s="4" t="n"/>
      <c r="G897" s="74">
        <f>G23</f>
        <v/>
      </c>
      <c r="H897" s="325" t="inlineStr">
        <is>
          <t>20101-2404</t>
        </is>
      </c>
      <c r="I897" s="325" t="inlineStr">
        <is>
          <t>ปวช.3/2 ชย. (ปกติ)</t>
        </is>
      </c>
      <c r="J897" s="252" t="inlineStr">
        <is>
          <t>15.10-18.10</t>
        </is>
      </c>
      <c r="K897" s="331" t="n"/>
      <c r="L897" s="252" t="n"/>
      <c r="M897" s="252" t="n"/>
      <c r="N897" s="252" t="n"/>
      <c r="O897" s="244">
        <f>M897*N897</f>
        <v/>
      </c>
      <c r="P897" s="252" t="n"/>
      <c r="Q897" s="252" t="n"/>
      <c r="R897" s="252" t="n"/>
      <c r="S897" s="244">
        <f>Q897*R897</f>
        <v/>
      </c>
    </row>
    <row r="898" ht="22.2" customHeight="1" s="330">
      <c r="A898" s="4" t="n"/>
      <c r="B898" s="5" t="n"/>
      <c r="E898" s="4" t="n"/>
      <c r="G898" s="252" t="n"/>
      <c r="H898" s="325" t="n"/>
      <c r="I898" s="325" t="n"/>
      <c r="J898" s="252" t="n"/>
      <c r="K898" s="331" t="n"/>
      <c r="L898" s="252" t="n"/>
      <c r="M898" s="252" t="n"/>
      <c r="N898" s="252" t="n"/>
      <c r="O898" s="244">
        <f>M898*N898</f>
        <v/>
      </c>
      <c r="P898" s="325" t="n"/>
      <c r="Q898" s="325" t="n"/>
      <c r="R898" s="325" t="n"/>
      <c r="S898" s="244">
        <f>Q898*R898</f>
        <v/>
      </c>
    </row>
    <row r="899" ht="22.2" customHeight="1" s="330">
      <c r="A899" s="4" t="n"/>
      <c r="E899" s="4" t="n"/>
      <c r="G899" s="252" t="n"/>
      <c r="H899" s="252" t="n"/>
      <c r="I899" s="252" t="n"/>
      <c r="J899" s="252" t="n"/>
      <c r="K899" s="331" t="n"/>
      <c r="L899" s="252" t="n"/>
      <c r="M899" s="252" t="n"/>
      <c r="N899" s="252" t="n"/>
      <c r="O899" s="244">
        <f>M899*N899</f>
        <v/>
      </c>
      <c r="P899" s="252" t="n"/>
      <c r="Q899" s="252" t="n"/>
      <c r="R899" s="252" t="n"/>
      <c r="S899" s="244">
        <f>Q899*R899</f>
        <v/>
      </c>
    </row>
    <row r="900" ht="22.2" customHeight="1" s="330">
      <c r="A900" s="4" t="n"/>
      <c r="E900" s="4" t="n"/>
      <c r="G900" s="276" t="n"/>
      <c r="H900" s="301" t="n"/>
      <c r="I900" s="276" t="n"/>
      <c r="J900" s="276" t="n"/>
      <c r="K900" s="476" t="n"/>
      <c r="L900" s="276" t="n"/>
      <c r="M900" s="276" t="n"/>
      <c r="N900" s="276" t="n"/>
      <c r="O900" s="244">
        <f>M900*N900</f>
        <v/>
      </c>
      <c r="P900" s="276" t="n"/>
      <c r="Q900" s="276" t="n"/>
      <c r="R900" s="276" t="n"/>
      <c r="S900" s="244">
        <f>Q900*R900</f>
        <v/>
      </c>
    </row>
    <row r="901" ht="22.2" customHeight="1" s="330">
      <c r="A901" s="4" t="n"/>
      <c r="E901" s="4" t="n"/>
      <c r="G901" s="62" t="inlineStr">
        <is>
          <t>ศุกร์</t>
        </is>
      </c>
      <c r="H901" s="325" t="inlineStr">
        <is>
          <t>20101-2404</t>
        </is>
      </c>
      <c r="I901" s="325" t="inlineStr">
        <is>
          <t>ปวช.3/1 ชย. (ปกติ)</t>
        </is>
      </c>
      <c r="J901" s="332" t="inlineStr">
        <is>
          <t>08.10-12.10</t>
        </is>
      </c>
      <c r="K901" s="335" t="n"/>
      <c r="L901" s="265" t="n"/>
      <c r="M901" s="252" t="n"/>
      <c r="N901" s="252" t="n"/>
      <c r="O901" s="244">
        <f>M901*N901</f>
        <v/>
      </c>
      <c r="P901" s="332" t="n"/>
      <c r="Q901" s="265" t="n"/>
      <c r="R901" s="332" t="n"/>
      <c r="S901" s="244">
        <f>Q901*R901</f>
        <v/>
      </c>
    </row>
    <row r="902" ht="22.2" customHeight="1" s="330">
      <c r="A902" s="4" t="n"/>
      <c r="E902" s="4" t="n"/>
      <c r="G902" s="204">
        <f>G28</f>
        <v/>
      </c>
      <c r="H902" s="325" t="inlineStr">
        <is>
          <t>20101-2404</t>
        </is>
      </c>
      <c r="I902" s="325" t="inlineStr">
        <is>
          <t>ปวช.3/1 ชย. (ปกติ)</t>
        </is>
      </c>
      <c r="J902" s="252" t="inlineStr">
        <is>
          <t>13.10-16.10</t>
        </is>
      </c>
      <c r="K902" s="331" t="n"/>
      <c r="L902" s="252" t="n"/>
      <c r="M902" s="252" t="n"/>
      <c r="N902" s="252" t="n"/>
      <c r="O902" s="244">
        <f>M902*N902</f>
        <v/>
      </c>
      <c r="P902" s="252" t="n"/>
      <c r="Q902" s="252" t="n"/>
      <c r="R902" s="252" t="n"/>
      <c r="S902" s="244">
        <f>Q902*R902</f>
        <v/>
      </c>
    </row>
    <row r="903" ht="22.2" customHeight="1" s="330">
      <c r="A903" s="4" t="n"/>
      <c r="E903" s="4" t="n"/>
      <c r="G903" s="252" t="n"/>
      <c r="H903" s="56" t="n"/>
      <c r="I903" s="56" t="n"/>
      <c r="J903" s="331" t="n"/>
      <c r="K903" s="331" t="n"/>
      <c r="L903" s="252" t="n"/>
      <c r="M903" s="252" t="n"/>
      <c r="N903" s="252" t="n"/>
      <c r="O903" s="244">
        <f>M903*N903</f>
        <v/>
      </c>
      <c r="P903" s="252" t="n"/>
      <c r="Q903" s="252" t="n"/>
      <c r="R903" s="252" t="n"/>
      <c r="S903" s="244">
        <f>Q903*R903</f>
        <v/>
      </c>
    </row>
    <row r="904" ht="22.2" customHeight="1" s="330">
      <c r="A904" s="4" t="n"/>
      <c r="E904" s="4" t="n"/>
      <c r="G904" s="252" t="n"/>
      <c r="H904" s="56" t="n"/>
      <c r="I904" s="56" t="n"/>
      <c r="J904" s="331" t="n"/>
      <c r="K904" s="331" t="n"/>
      <c r="L904" s="252" t="n"/>
      <c r="M904" s="252" t="n"/>
      <c r="N904" s="252" t="n"/>
      <c r="O904" s="244">
        <f>M904*N904</f>
        <v/>
      </c>
      <c r="P904" s="252" t="n"/>
      <c r="Q904" s="252" t="n"/>
      <c r="R904" s="252" t="n"/>
      <c r="S904" s="244">
        <f>Q904*R904</f>
        <v/>
      </c>
    </row>
    <row r="905" ht="22.2" customHeight="1" s="330">
      <c r="A905" s="4" t="n"/>
      <c r="E905" s="4" t="n"/>
      <c r="F905" s="4" t="n"/>
      <c r="G905" s="278" t="n"/>
      <c r="H905" s="301" t="n"/>
      <c r="I905" s="276" t="n"/>
      <c r="J905" s="276" t="n"/>
      <c r="K905" s="476" t="n"/>
      <c r="L905" s="276" t="n"/>
      <c r="M905" s="276" t="n"/>
      <c r="N905" s="276" t="n"/>
      <c r="O905" s="244">
        <f>M905*N905</f>
        <v/>
      </c>
      <c r="P905" s="276" t="n"/>
      <c r="Q905" s="276" t="n"/>
      <c r="R905" s="276" t="n"/>
      <c r="S905" s="244">
        <f>Q905*R905</f>
        <v/>
      </c>
    </row>
    <row r="906" ht="22.2" customHeight="1" s="330">
      <c r="A906" s="4" t="n"/>
      <c r="E906" s="4" t="n"/>
      <c r="F906" s="4" t="n"/>
      <c r="G906" s="17" t="inlineStr">
        <is>
          <t>รวมขั่วโมงที่สอนแยก ภาระงาน/ เกินภาระงาน</t>
        </is>
      </c>
      <c r="H906" s="467" t="n"/>
      <c r="I906" s="467" t="n"/>
      <c r="J906" s="467" t="n"/>
      <c r="K906" s="362" t="n"/>
      <c r="L906" s="17">
        <f>SUM(L881:L905)</f>
        <v/>
      </c>
      <c r="M906" s="17">
        <f>SUM(M881:M905)</f>
        <v/>
      </c>
      <c r="N906" s="17" t="n"/>
      <c r="O906" s="17" t="n"/>
      <c r="P906" s="17">
        <f>SUM(P881:P905)</f>
        <v/>
      </c>
      <c r="Q906" s="17">
        <f>SUM(Q881:Q905)</f>
        <v/>
      </c>
      <c r="R906" s="279" t="n"/>
      <c r="S906" s="17" t="n"/>
      <c r="T906" s="25" t="n"/>
      <c r="U906" s="26" t="inlineStr">
        <is>
          <t xml:space="preserve">     PLC</t>
        </is>
      </c>
      <c r="V906" s="64" t="n"/>
      <c r="W906" s="27" t="n"/>
      <c r="X906" s="27" t="n"/>
    </row>
    <row r="907" ht="22.2" customHeight="1" s="330">
      <c r="A907" s="4" t="n"/>
      <c r="E907" s="4" t="n"/>
      <c r="F907" s="4" t="n"/>
      <c r="G907" s="17" t="inlineStr">
        <is>
          <t>รวมจำนวนชั่วโมงสอนคาบต่อสับดาห์</t>
        </is>
      </c>
      <c r="H907" s="467" t="n"/>
      <c r="I907" s="467" t="n"/>
      <c r="J907" s="467" t="n"/>
      <c r="K907" s="362" t="n"/>
      <c r="L907" s="17">
        <f>L906+M906</f>
        <v/>
      </c>
      <c r="M907" s="362" t="n"/>
      <c r="N907" s="17" t="n"/>
      <c r="O907" s="298" t="n"/>
      <c r="P907" s="17">
        <f>P906+Q906</f>
        <v/>
      </c>
      <c r="Q907" s="362" t="n"/>
      <c r="R907" s="278" t="n"/>
      <c r="S907" s="276" t="n"/>
      <c r="T907" s="27" t="inlineStr">
        <is>
          <t> </t>
        </is>
      </c>
      <c r="U907" s="26" t="inlineStr">
        <is>
          <t>17.10-19.10</t>
        </is>
      </c>
      <c r="V907" s="64" t="n"/>
      <c r="W907" s="27" t="n"/>
      <c r="X907" s="27" t="n"/>
    </row>
    <row r="908" ht="22.2" customHeight="1" s="330">
      <c r="A908" s="4" t="n"/>
      <c r="E908" s="4" t="n"/>
      <c r="F908" s="4" t="n"/>
      <c r="G908" s="17" t="inlineStr">
        <is>
          <t>จำนวนชั่วโมงสอนตามภาระงานสอน</t>
        </is>
      </c>
      <c r="H908" s="467" t="n"/>
      <c r="I908" s="467" t="n"/>
      <c r="J908" s="467" t="n"/>
      <c r="K908" s="362" t="n"/>
      <c r="L908" s="17" t="n">
        <v>18</v>
      </c>
      <c r="M908" s="362" t="n"/>
      <c r="N908" s="298" t="n"/>
      <c r="O908" s="17" t="n"/>
      <c r="P908" s="153" t="inlineStr">
        <is>
          <t>0</t>
        </is>
      </c>
      <c r="Q908" s="362" t="n"/>
      <c r="R908" s="249" t="n"/>
      <c r="S908" s="252" t="n"/>
    </row>
    <row r="909" ht="22.2" customHeight="1" s="330" thickBot="1">
      <c r="A909" s="4" t="n"/>
      <c r="E909" s="4" t="n"/>
      <c r="F909" s="15" t="n"/>
      <c r="G909" s="17" t="inlineStr">
        <is>
          <t>จำนวนชั่วโมงบิกเกินภาระงานสอน/ค่าสอน</t>
        </is>
      </c>
      <c r="H909" s="467" t="n"/>
      <c r="I909" s="467" t="n"/>
      <c r="J909" s="467" t="n"/>
      <c r="K909" s="362" t="n"/>
      <c r="L909" s="18" t="n">
        <v>0</v>
      </c>
      <c r="M909" s="18">
        <f>SUM(M881:M905)</f>
        <v/>
      </c>
      <c r="N909" s="18" t="n"/>
      <c r="O909" s="18">
        <f>SUM(O881:O905)</f>
        <v/>
      </c>
      <c r="P909" s="18" t="n">
        <v>0</v>
      </c>
      <c r="Q909" s="18">
        <f>SUM(Q881:Q905)</f>
        <v/>
      </c>
      <c r="R909" s="19" t="n"/>
      <c r="S909" s="18">
        <f>SUM(S881:S905)</f>
        <v/>
      </c>
    </row>
    <row r="910" ht="22.2" customHeight="1" s="330" thickTop="1">
      <c r="A910" s="299" t="inlineStr">
        <is>
          <t>รวมจำนวนหน่วยชั่วโมงที่ขอเบิกค่าสอน ….</t>
        </is>
      </c>
      <c r="B910" s="467" t="n"/>
      <c r="C910" s="467" t="n"/>
      <c r="D910" s="467" t="n"/>
      <c r="E910" s="467" t="n"/>
      <c r="F910" s="467" t="n"/>
      <c r="G910" s="467" t="n"/>
      <c r="H910" s="298">
        <f>M909+Q909</f>
        <v/>
      </c>
      <c r="I910" s="298" t="inlineStr">
        <is>
          <t>….ชั่วโมง</t>
        </is>
      </c>
      <c r="J910" s="298" t="n"/>
      <c r="K910" s="301" t="inlineStr">
        <is>
          <t>ยอดเงินรวม</t>
        </is>
      </c>
      <c r="L910" s="471" t="n"/>
      <c r="M910" s="471" t="n"/>
      <c r="N910" s="301" t="n"/>
      <c r="O910" s="301" t="n"/>
      <c r="P910" s="302">
        <f>S909+O909</f>
        <v/>
      </c>
      <c r="Q910" s="482" t="n"/>
      <c r="R910" s="21" t="n"/>
      <c r="S910" s="20" t="inlineStr">
        <is>
          <t>..บาท</t>
        </is>
      </c>
    </row>
    <row r="911" ht="22.2" customHeight="1" s="330">
      <c r="A911" s="207" t="inlineStr">
        <is>
          <t>ผู้ขอเบิก</t>
        </is>
      </c>
      <c r="B911" s="334" t="n"/>
      <c r="C911" s="334" t="n"/>
      <c r="D911" s="334" t="n"/>
      <c r="E911" s="334" t="n"/>
      <c r="F911" s="334" t="n"/>
      <c r="G911" s="335" t="n"/>
      <c r="H911" s="207" t="inlineStr">
        <is>
          <t>ผู้รับรอง</t>
        </is>
      </c>
      <c r="I911" s="334" t="n"/>
      <c r="J911" s="334" t="n"/>
      <c r="K911" s="334" t="n"/>
      <c r="L911" s="335" t="n"/>
      <c r="M911" s="207" t="inlineStr">
        <is>
          <t>ผู้ตรวจ</t>
        </is>
      </c>
      <c r="N911" s="334" t="n"/>
      <c r="O911" s="334" t="n"/>
      <c r="P911" s="334" t="n"/>
      <c r="Q911" s="334" t="n"/>
      <c r="R911" s="334" t="n"/>
      <c r="S911" s="335" t="n"/>
    </row>
    <row r="912" ht="22.2" customHeight="1" s="330">
      <c r="A912" s="252" t="inlineStr">
        <is>
          <t>ลงชื่อ……………………………………………</t>
        </is>
      </c>
      <c r="G912" s="331" t="n"/>
      <c r="H912" s="252" t="inlineStr">
        <is>
          <t>ลงชื่อ……………………………………………</t>
        </is>
      </c>
      <c r="L912" s="331" t="n"/>
      <c r="M912" s="252" t="inlineStr">
        <is>
          <t>ลงชื่อ……………………………………………</t>
        </is>
      </c>
      <c r="S912" s="331" t="n"/>
    </row>
    <row r="913" ht="22.2" customHeight="1" s="330">
      <c r="A913" s="12" t="inlineStr">
        <is>
          <t>(</t>
        </is>
      </c>
      <c r="B913" s="309">
        <f>B881</f>
        <v/>
      </c>
      <c r="G913" s="310" t="inlineStr">
        <is>
          <t>)</t>
        </is>
      </c>
      <c r="H913" s="309" t="inlineStr">
        <is>
          <t>(</t>
        </is>
      </c>
      <c r="I913" s="314">
        <f>I867</f>
        <v/>
      </c>
      <c r="L913" s="13" t="inlineStr">
        <is>
          <t>)</t>
        </is>
      </c>
      <c r="M913" s="61" t="inlineStr">
        <is>
          <t>(</t>
        </is>
      </c>
      <c r="N913" s="61" t="n"/>
      <c r="O913" s="309" t="inlineStr">
        <is>
          <t>นายพิสุทธิศักดิ์  กล่อมนาค</t>
        </is>
      </c>
      <c r="R913" s="29" t="n"/>
      <c r="S913" s="310" t="inlineStr">
        <is>
          <t>)</t>
        </is>
      </c>
    </row>
    <row r="914" ht="22.2" customHeight="1" s="330">
      <c r="A914" s="483" t="inlineStr">
        <is>
          <t xml:space="preserve">                 ตำแหน่ง  ครูพิเศษ</t>
        </is>
      </c>
      <c r="G914" s="331" t="n"/>
      <c r="H914" s="62" t="inlineStr">
        <is>
          <t>ตำแหน่ง หัวหน้าแผนก</t>
        </is>
      </c>
      <c r="L914" s="331" t="n"/>
      <c r="M914" s="62" t="inlineStr">
        <is>
          <t>ตำแหน่ง   ผู้ตรวจสอบ</t>
        </is>
      </c>
      <c r="S914" s="331" t="n"/>
    </row>
    <row r="915" ht="22.2" customHeight="1" s="330">
      <c r="A915" s="63">
        <f>A41</f>
        <v/>
      </c>
      <c r="B915" s="471" t="n"/>
      <c r="C915" s="471" t="n"/>
      <c r="D915" s="471" t="n"/>
      <c r="E915" s="471" t="n"/>
      <c r="F915" s="471" t="n"/>
      <c r="G915" s="476" t="n"/>
      <c r="H915" s="62">
        <f>A41</f>
        <v/>
      </c>
      <c r="L915" s="331" t="n"/>
      <c r="M915" s="63">
        <f>A41</f>
        <v/>
      </c>
      <c r="N915" s="471" t="n"/>
      <c r="O915" s="471" t="n"/>
      <c r="P915" s="471" t="n"/>
      <c r="Q915" s="471" t="n"/>
      <c r="R915" s="471" t="n"/>
      <c r="S915" s="476" t="n"/>
    </row>
    <row r="916" ht="22.2" customHeight="1" s="330">
      <c r="A916" s="207" t="inlineStr">
        <is>
          <t>ผู้ตรวจ</t>
        </is>
      </c>
      <c r="B916" s="334" t="n"/>
      <c r="C916" s="334" t="n"/>
      <c r="D916" s="334" t="n"/>
      <c r="E916" s="334" t="n"/>
      <c r="F916" s="334" t="n"/>
      <c r="G916" s="334" t="n"/>
      <c r="H916" s="334" t="n"/>
      <c r="I916" s="335" t="n"/>
      <c r="J916" s="207" t="inlineStr">
        <is>
          <t>ผู้เห็นชอบ</t>
        </is>
      </c>
      <c r="K916" s="334" t="n"/>
      <c r="L916" s="334" t="n"/>
      <c r="M916" s="334" t="n"/>
      <c r="N916" s="334" t="n"/>
      <c r="O916" s="334" t="n"/>
      <c r="P916" s="334" t="n"/>
      <c r="Q916" s="334" t="n"/>
      <c r="R916" s="334" t="n"/>
      <c r="S916" s="335" t="n"/>
    </row>
    <row r="917" ht="22.2" customHeight="1" s="330">
      <c r="A917" s="252" t="inlineStr">
        <is>
          <t>ลงชื่อ……………………………………………</t>
        </is>
      </c>
      <c r="I917" s="331" t="n"/>
      <c r="J917" s="252" t="inlineStr">
        <is>
          <t>ลงชื่อ……………………………………………</t>
        </is>
      </c>
      <c r="S917" s="331" t="n"/>
    </row>
    <row r="918" ht="22.2" customHeight="1" s="330">
      <c r="A918" s="12" t="n"/>
      <c r="B918" s="309" t="inlineStr">
        <is>
          <t xml:space="preserve">          (นางศิวรักษ์   บุญประเสริฐ)</t>
        </is>
      </c>
      <c r="I918" s="310" t="n"/>
      <c r="J918" s="29" t="n"/>
      <c r="K918" s="29" t="n"/>
      <c r="L918" s="309" t="inlineStr">
        <is>
          <t>(นายปรีชา  โพธิ์เกิด)</t>
        </is>
      </c>
      <c r="R918" s="29" t="n"/>
      <c r="S918" s="13" t="n"/>
    </row>
    <row r="919" ht="22.2" customHeight="1" s="330">
      <c r="A919" s="62" t="inlineStr">
        <is>
          <t>ตำแหน่งครู  หัวหน้างานพัฒนาหลักสูตร ฯ</t>
        </is>
      </c>
      <c r="I919" s="331" t="n"/>
      <c r="J919" s="62" t="inlineStr">
        <is>
          <t>ตำแหน่ง  รองผู้อำนวยการฝ่ายวิชาการ</t>
        </is>
      </c>
      <c r="S919" s="331" t="n"/>
    </row>
    <row r="920" ht="22.2" customHeight="1" s="330">
      <c r="A920" s="63">
        <f>A41</f>
        <v/>
      </c>
      <c r="B920" s="471" t="n"/>
      <c r="C920" s="471" t="n"/>
      <c r="D920" s="471" t="n"/>
      <c r="E920" s="471" t="n"/>
      <c r="F920" s="471" t="n"/>
      <c r="G920" s="471" t="n"/>
      <c r="H920" s="471" t="n"/>
      <c r="I920" s="476" t="n"/>
      <c r="J920" s="63">
        <f>A41</f>
        <v/>
      </c>
      <c r="K920" s="471" t="n"/>
      <c r="L920" s="471" t="n"/>
      <c r="M920" s="471" t="n"/>
      <c r="N920" s="471" t="n"/>
      <c r="O920" s="471" t="n"/>
      <c r="P920" s="471" t="n"/>
      <c r="Q920" s="471" t="n"/>
      <c r="R920" s="471" t="n"/>
      <c r="S920" s="476" t="n"/>
    </row>
    <row r="921" ht="22.2" customHeight="1" s="330">
      <c r="A92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22" ht="22.2" customHeight="1" s="330">
      <c r="A922" s="254">
        <f>A2</f>
        <v/>
      </c>
    </row>
    <row r="923" ht="22.2" customHeight="1" s="330">
      <c r="A923" s="253" t="inlineStr">
        <is>
          <t xml:space="preserve">    ระหว่างวันที่</t>
        </is>
      </c>
      <c r="D923" s="254">
        <f>D3</f>
        <v/>
      </c>
      <c r="E923" s="254" t="inlineStr">
        <is>
          <t xml:space="preserve">   เดือน  </t>
        </is>
      </c>
      <c r="F923" s="254">
        <f>F3</f>
        <v/>
      </c>
      <c r="H923" s="254">
        <f>H3</f>
        <v/>
      </c>
      <c r="I923" s="254" t="inlineStr">
        <is>
          <t xml:space="preserve">     ถึง วันที่</t>
        </is>
      </c>
      <c r="J923" s="254">
        <f>J3</f>
        <v/>
      </c>
      <c r="K923" s="254" t="inlineStr">
        <is>
          <t xml:space="preserve">   เดือน </t>
        </is>
      </c>
      <c r="L923" s="254">
        <f>L3</f>
        <v/>
      </c>
      <c r="N923" s="254">
        <f>N3</f>
        <v/>
      </c>
      <c r="P923" s="254" t="n"/>
      <c r="R923" s="254" t="n"/>
    </row>
    <row r="924" ht="22.2" customHeight="1" s="330">
      <c r="G924" s="58" t="inlineStr">
        <is>
          <t>ü</t>
        </is>
      </c>
      <c r="H924" s="8" t="inlineStr">
        <is>
          <t>ครูพิเศษ</t>
        </is>
      </c>
      <c r="I924" s="249" t="inlineStr">
        <is>
          <t>หน้าที่พิเศษ</t>
        </is>
      </c>
      <c r="K924" s="290" t="n"/>
    </row>
    <row r="925" ht="22.2" customHeight="1" s="330">
      <c r="A925" s="28" t="inlineStr">
        <is>
          <t>ที่</t>
        </is>
      </c>
      <c r="B925" s="28" t="inlineStr">
        <is>
          <t>ชื่อ-สกุล</t>
        </is>
      </c>
      <c r="C925" s="334" t="n"/>
      <c r="D925" s="335" t="n"/>
      <c r="E925" s="16" t="inlineStr">
        <is>
          <t>ตำแหน่ง</t>
        </is>
      </c>
      <c r="F925" s="17" t="inlineStr">
        <is>
          <t>ระยะเวลาที่สอน</t>
        </is>
      </c>
      <c r="G925" s="362" t="n"/>
      <c r="H925" s="17" t="inlineStr">
        <is>
          <t>รหัสวิชา</t>
        </is>
      </c>
      <c r="I925" s="275" t="inlineStr">
        <is>
          <t>ชั้น,แผนก,ห้อง</t>
        </is>
      </c>
      <c r="J925" s="17" t="inlineStr">
        <is>
          <t>เวลาสอน</t>
        </is>
      </c>
      <c r="K925" s="335" t="n"/>
      <c r="L925" s="17" t="inlineStr">
        <is>
          <t>ปวช.(คาบ)</t>
        </is>
      </c>
      <c r="M925" s="362" t="n"/>
      <c r="N925" s="244" t="inlineStr">
        <is>
          <t>เงิน</t>
        </is>
      </c>
      <c r="O925" s="275" t="inlineStr">
        <is>
          <t>ยอดเงิน</t>
        </is>
      </c>
      <c r="P925" s="473" t="inlineStr">
        <is>
          <t>ปวส.(คาบ)</t>
        </is>
      </c>
      <c r="Q925" s="362" t="n"/>
      <c r="R925" s="244" t="inlineStr">
        <is>
          <t>เงิน</t>
        </is>
      </c>
      <c r="S925" s="275" t="inlineStr">
        <is>
          <t>ยอดเงิน</t>
        </is>
      </c>
    </row>
    <row r="926" ht="22.2" customHeight="1" s="330">
      <c r="A926" s="60" t="n"/>
      <c r="B926" s="9" t="n"/>
      <c r="C926" s="10" t="n"/>
      <c r="D926" s="14" t="n"/>
      <c r="E926" s="11" t="n"/>
      <c r="F926" s="276" t="inlineStr">
        <is>
          <t>ส.</t>
        </is>
      </c>
      <c r="G926" s="276" t="inlineStr">
        <is>
          <t>วดป.</t>
        </is>
      </c>
      <c r="H926" s="474" t="n"/>
      <c r="I926" s="276" t="n"/>
      <c r="J926" s="475" t="n"/>
      <c r="K926" s="476" t="n"/>
      <c r="L926" s="276" t="inlineStr">
        <is>
          <t>ใน</t>
        </is>
      </c>
      <c r="M926" s="276" t="inlineStr">
        <is>
          <t>นอก</t>
        </is>
      </c>
      <c r="N926" s="276" t="inlineStr">
        <is>
          <t>ต่อ ชม.</t>
        </is>
      </c>
      <c r="O926" s="276" t="inlineStr">
        <is>
          <t>(บาท)</t>
        </is>
      </c>
      <c r="P926" s="60" t="inlineStr">
        <is>
          <t>ใน</t>
        </is>
      </c>
      <c r="Q926" s="60" t="inlineStr">
        <is>
          <t>นอก</t>
        </is>
      </c>
      <c r="R926" s="276" t="inlineStr">
        <is>
          <t>ต่อ ชม.</t>
        </is>
      </c>
      <c r="S926" s="276" t="inlineStr">
        <is>
          <t>(บาท)</t>
        </is>
      </c>
    </row>
    <row r="927" ht="22.2" customHeight="1" s="330">
      <c r="A927" s="275" t="n">
        <v>21</v>
      </c>
      <c r="B927" s="477">
        <f>AB23</f>
        <v/>
      </c>
      <c r="C927" s="334" t="n"/>
      <c r="D927" s="335" t="n"/>
      <c r="E927" s="275" t="inlineStr">
        <is>
          <t>ครู</t>
        </is>
      </c>
      <c r="F927" s="6">
        <f>F7</f>
        <v/>
      </c>
      <c r="G927" s="303" t="inlineStr">
        <is>
          <t>จันทร์</t>
        </is>
      </c>
      <c r="H927" s="332" t="inlineStr">
        <is>
          <t>20101-2009</t>
        </is>
      </c>
      <c r="I927" s="325" t="inlineStr">
        <is>
          <t>ปวช.2/7 ชย. (ปกติ)</t>
        </is>
      </c>
      <c r="J927" s="332" t="inlineStr">
        <is>
          <t>08.10-12.10</t>
        </is>
      </c>
      <c r="K927" s="335" t="n"/>
      <c r="L927" s="265" t="n"/>
      <c r="M927" s="332" t="n"/>
      <c r="N927" s="332" t="n"/>
      <c r="O927" s="244">
        <f>M927*N927</f>
        <v/>
      </c>
      <c r="P927" s="332" t="n"/>
      <c r="Q927" s="265" t="n"/>
      <c r="R927" s="332" t="n"/>
      <c r="S927" s="244">
        <f>Q927*R927</f>
        <v/>
      </c>
    </row>
    <row r="928" ht="22.2" customHeight="1" s="330">
      <c r="A928" s="4" t="n"/>
      <c r="B928" s="478" t="n"/>
      <c r="D928" s="331" t="n"/>
      <c r="E928" s="252" t="inlineStr">
        <is>
          <t>พิเศษ</t>
        </is>
      </c>
      <c r="F928" s="249" t="n"/>
      <c r="G928" s="308">
        <f>G882</f>
        <v/>
      </c>
      <c r="H928" s="325" t="n"/>
      <c r="I928" s="325" t="n"/>
      <c r="J928" s="252" t="n"/>
      <c r="K928" s="331" t="n"/>
      <c r="L928" s="252" t="n"/>
      <c r="M928" s="252" t="n"/>
      <c r="N928" s="252" t="n"/>
      <c r="O928" s="244">
        <f>M928*N928</f>
        <v/>
      </c>
      <c r="P928" s="252" t="n"/>
      <c r="Q928" s="252" t="n"/>
      <c r="R928" s="252" t="n"/>
      <c r="S928" s="244">
        <f>Q928*R928</f>
        <v/>
      </c>
    </row>
    <row r="929" ht="22.2" customHeight="1" s="330">
      <c r="A929" s="4" t="n"/>
      <c r="B929" s="5" t="n"/>
      <c r="D929" s="3" t="n"/>
      <c r="E929" s="3" t="n"/>
      <c r="F929" s="249" t="n"/>
      <c r="G929" s="248" t="n"/>
      <c r="H929" s="252" t="n"/>
      <c r="I929" s="252" t="n"/>
      <c r="J929" s="252" t="n"/>
      <c r="K929" s="331" t="n"/>
      <c r="L929" s="252" t="n"/>
      <c r="M929" s="252" t="n"/>
      <c r="N929" s="252" t="n"/>
      <c r="O929" s="244">
        <f>M929*N929</f>
        <v/>
      </c>
      <c r="P929" s="252" t="n"/>
      <c r="Q929" s="252" t="n"/>
      <c r="R929" s="252" t="n"/>
      <c r="S929" s="244">
        <f>Q929*R929</f>
        <v/>
      </c>
    </row>
    <row r="930" ht="22.2" customHeight="1" s="330">
      <c r="A930" s="4" t="n"/>
      <c r="B930" s="5" t="n"/>
      <c r="E930" s="4" t="n"/>
      <c r="F930" s="249" t="n"/>
      <c r="G930" s="248" t="n"/>
      <c r="H930" s="252" t="n"/>
      <c r="I930" s="252" t="n"/>
      <c r="J930" s="252" t="n"/>
      <c r="K930" s="331" t="n"/>
      <c r="L930" s="252" t="n"/>
      <c r="M930" s="252" t="n"/>
      <c r="N930" s="252" t="n"/>
      <c r="O930" s="244">
        <f>M930*N930</f>
        <v/>
      </c>
      <c r="P930" s="252" t="n"/>
      <c r="Q930" s="252" t="n"/>
      <c r="R930" s="252" t="n"/>
      <c r="S930" s="244">
        <f>Q930*R930</f>
        <v/>
      </c>
    </row>
    <row r="931" ht="22.2" customHeight="1" s="330">
      <c r="A931" s="4" t="n"/>
      <c r="E931" s="4" t="n"/>
      <c r="G931" s="311" t="n"/>
      <c r="H931" s="276" t="n"/>
      <c r="I931" s="276" t="n"/>
      <c r="J931" s="276" t="n"/>
      <c r="K931" s="476" t="n"/>
      <c r="L931" s="252" t="n"/>
      <c r="M931" s="252" t="n"/>
      <c r="N931" s="252" t="n"/>
      <c r="O931" s="244">
        <f>M931*N931</f>
        <v/>
      </c>
      <c r="P931" s="252" t="n"/>
      <c r="Q931" s="252" t="n"/>
      <c r="R931" s="252" t="n"/>
      <c r="S931" s="244">
        <f>Q931*R931</f>
        <v/>
      </c>
    </row>
    <row r="932" ht="22.2" customHeight="1" s="330">
      <c r="A932" s="4" t="n"/>
      <c r="E932" s="4" t="n"/>
      <c r="G932" s="62" t="inlineStr">
        <is>
          <t>อังคาร</t>
        </is>
      </c>
      <c r="H932" s="332" t="inlineStr">
        <is>
          <t>20101-2009</t>
        </is>
      </c>
      <c r="I932" s="325" t="inlineStr">
        <is>
          <t>ปวช.2/8 ชย. (ปกติ)</t>
        </is>
      </c>
      <c r="J932" s="332" t="inlineStr">
        <is>
          <t>08.10-12.10</t>
        </is>
      </c>
      <c r="K932" s="335" t="n"/>
      <c r="L932" s="265" t="n"/>
      <c r="M932" s="332" t="n"/>
      <c r="N932" s="332" t="n"/>
      <c r="O932" s="244">
        <f>M932*N932</f>
        <v/>
      </c>
      <c r="P932" s="332" t="n"/>
      <c r="Q932" s="265" t="n"/>
      <c r="R932" s="332" t="n"/>
      <c r="S932" s="244">
        <f>Q932*R932</f>
        <v/>
      </c>
    </row>
    <row r="933" ht="22.2" customHeight="1" s="330">
      <c r="A933" s="4" t="n"/>
      <c r="E933" s="4" t="n"/>
      <c r="G933" s="308">
        <f>G887</f>
        <v/>
      </c>
      <c r="H933" s="325" t="inlineStr">
        <is>
          <t>20101-2110</t>
        </is>
      </c>
      <c r="I933" s="325" t="inlineStr">
        <is>
          <t>ปวช.3/3 ชย. (ปกติ)</t>
        </is>
      </c>
      <c r="J933" s="252" t="inlineStr">
        <is>
          <t>13.10-17.10</t>
        </is>
      </c>
      <c r="K933" s="331" t="n"/>
      <c r="L933" s="252" t="n"/>
      <c r="M933" s="252" t="n"/>
      <c r="N933" s="252" t="n"/>
      <c r="O933" s="244">
        <f>M933*N933</f>
        <v/>
      </c>
      <c r="P933" s="252" t="n"/>
      <c r="Q933" s="252" t="n"/>
      <c r="R933" s="252" t="n"/>
      <c r="S933" s="244">
        <f>Q933*R933</f>
        <v/>
      </c>
    </row>
    <row r="934" ht="22.2" customHeight="1" s="330">
      <c r="A934" s="4" t="n"/>
      <c r="B934" s="5" t="n"/>
      <c r="D934" s="3" t="n"/>
      <c r="E934" s="3" t="n"/>
      <c r="G934" s="252" t="n"/>
      <c r="H934" s="248" t="n"/>
      <c r="I934" s="252" t="n"/>
      <c r="J934" s="252" t="n"/>
      <c r="K934" s="331" t="n"/>
      <c r="L934" s="252" t="n"/>
      <c r="M934" s="252" t="n"/>
      <c r="N934" s="252" t="n"/>
      <c r="O934" s="244">
        <f>M934*N934</f>
        <v/>
      </c>
      <c r="P934" s="252" t="n"/>
      <c r="Q934" s="252" t="n"/>
      <c r="R934" s="252" t="n"/>
      <c r="S934" s="244">
        <f>Q934*R934</f>
        <v/>
      </c>
    </row>
    <row r="935" ht="22.2" customHeight="1" s="330">
      <c r="A935" s="4" t="n"/>
      <c r="E935" s="4" t="n"/>
      <c r="G935" s="62" t="n"/>
      <c r="H935" s="249" t="n"/>
      <c r="I935" s="252" t="n"/>
      <c r="J935" s="252" t="n"/>
      <c r="K935" s="331" t="n"/>
      <c r="L935" s="252" t="n"/>
      <c r="M935" s="252" t="n"/>
      <c r="N935" s="252" t="n"/>
      <c r="O935" s="244">
        <f>M935*N935</f>
        <v/>
      </c>
      <c r="P935" s="252" t="n"/>
      <c r="Q935" s="252" t="n"/>
      <c r="R935" s="252" t="n"/>
      <c r="S935" s="244">
        <f>Q935*R935</f>
        <v/>
      </c>
    </row>
    <row r="936" ht="22.2" customHeight="1" s="330">
      <c r="A936" s="4" t="n"/>
      <c r="D936" s="8" t="inlineStr">
        <is>
          <t> </t>
        </is>
      </c>
      <c r="E936" s="4" t="n"/>
      <c r="G936" s="63" t="n"/>
      <c r="H936" s="276" t="n"/>
      <c r="I936" s="276" t="n"/>
      <c r="J936" s="276" t="n"/>
      <c r="K936" s="476" t="n"/>
      <c r="L936" s="252" t="n"/>
      <c r="M936" s="252" t="n"/>
      <c r="N936" s="252" t="n"/>
      <c r="O936" s="244">
        <f>M936*N936</f>
        <v/>
      </c>
      <c r="P936" s="252" t="n"/>
      <c r="Q936" s="252" t="n"/>
      <c r="R936" s="252" t="n"/>
      <c r="S936" s="244">
        <f>Q936*R936</f>
        <v/>
      </c>
    </row>
    <row r="937" ht="22.2" customHeight="1" s="330">
      <c r="A937" s="4" t="n"/>
      <c r="E937" s="4" t="n"/>
      <c r="G937" s="308" t="inlineStr">
        <is>
          <t>พุธ</t>
        </is>
      </c>
      <c r="H937" s="325" t="inlineStr">
        <is>
          <t>20101-5101</t>
        </is>
      </c>
      <c r="I937" s="325" t="inlineStr">
        <is>
          <t>ปวช.2/9 ชย. (ทวิ)</t>
        </is>
      </c>
      <c r="J937" s="332" t="inlineStr">
        <is>
          <t>08.10-12.10</t>
        </is>
      </c>
      <c r="K937" s="335" t="n"/>
      <c r="L937" s="265" t="n"/>
      <c r="M937" s="332" t="n"/>
      <c r="N937" s="332" t="n"/>
      <c r="O937" s="244">
        <f>M937*N937</f>
        <v/>
      </c>
      <c r="P937" s="332" t="n"/>
      <c r="Q937" s="265" t="n"/>
      <c r="R937" s="332" t="n"/>
      <c r="S937" s="244">
        <f>Q937*R937</f>
        <v/>
      </c>
    </row>
    <row r="938" ht="22.2" customHeight="1" s="330">
      <c r="A938" s="4" t="n"/>
      <c r="B938" s="248" t="n"/>
      <c r="C938" s="249" t="n"/>
      <c r="D938" s="249" t="n"/>
      <c r="E938" s="252" t="n"/>
      <c r="G938" s="308">
        <f>G892</f>
        <v/>
      </c>
      <c r="H938" s="325" t="inlineStr">
        <is>
          <t>20101-5101</t>
        </is>
      </c>
      <c r="I938" s="325" t="inlineStr">
        <is>
          <t>ปวช.2/9 ชย. (ทวิ)</t>
        </is>
      </c>
      <c r="J938" s="325" t="inlineStr">
        <is>
          <t>13.10-16.10</t>
        </is>
      </c>
      <c r="K938" s="331" t="n"/>
      <c r="L938" s="252" t="n"/>
      <c r="M938" s="252" t="n"/>
      <c r="N938" s="252" t="n"/>
      <c r="O938" s="244">
        <f>M938*N938</f>
        <v/>
      </c>
      <c r="P938" s="252" t="n"/>
      <c r="Q938" s="252" t="n"/>
      <c r="R938" s="252" t="n"/>
      <c r="S938" s="244">
        <f>Q938*R938</f>
        <v/>
      </c>
    </row>
    <row r="939" ht="22.2" customHeight="1" s="330">
      <c r="A939" s="4" t="n"/>
      <c r="B939" s="5" t="n"/>
      <c r="D939" s="3" t="n"/>
      <c r="E939" s="3" t="n"/>
      <c r="G939" s="252" t="n"/>
      <c r="H939" s="325" t="n"/>
      <c r="I939" s="325" t="n"/>
      <c r="J939" s="252" t="n"/>
      <c r="K939" s="331" t="n"/>
      <c r="L939" s="252" t="n"/>
      <c r="M939" s="252" t="n"/>
      <c r="N939" s="252" t="n"/>
      <c r="O939" s="244">
        <f>M939*N939</f>
        <v/>
      </c>
      <c r="P939" s="252" t="n"/>
      <c r="Q939" s="252" t="n"/>
      <c r="R939" s="252" t="n"/>
      <c r="S939" s="244">
        <f>Q939*R939</f>
        <v/>
      </c>
    </row>
    <row r="940" ht="22.2" customHeight="1" s="330">
      <c r="A940" s="4" t="n"/>
      <c r="E940" s="4" t="n"/>
      <c r="G940" s="248" t="n"/>
      <c r="H940" s="325" t="n"/>
      <c r="I940" s="325" t="n"/>
      <c r="J940" s="252" t="n"/>
      <c r="K940" s="331" t="n"/>
      <c r="L940" s="252" t="n"/>
      <c r="M940" s="252" t="n"/>
      <c r="N940" s="252" t="n"/>
      <c r="O940" s="244">
        <f>M940*N940</f>
        <v/>
      </c>
      <c r="P940" s="252" t="n"/>
      <c r="Q940" s="252" t="n"/>
      <c r="R940" s="252" t="n"/>
      <c r="S940" s="244">
        <f>Q940*R940</f>
        <v/>
      </c>
    </row>
    <row r="941" ht="22.2" customHeight="1" s="330">
      <c r="A941" s="4" t="n"/>
      <c r="E941" s="4" t="n"/>
      <c r="G941" s="277" t="n"/>
      <c r="H941" s="277" t="n"/>
      <c r="I941" s="276" t="n"/>
      <c r="J941" s="276" t="n"/>
      <c r="K941" s="476" t="n"/>
      <c r="L941" s="276" t="n"/>
      <c r="M941" s="276" t="n"/>
      <c r="N941" s="276" t="n"/>
      <c r="O941" s="244">
        <f>M941*N941</f>
        <v/>
      </c>
      <c r="P941" s="276" t="n"/>
      <c r="Q941" s="276" t="n"/>
      <c r="R941" s="276" t="n"/>
      <c r="S941" s="244">
        <f>Q941*R941</f>
        <v/>
      </c>
    </row>
    <row r="942" ht="22.2" customHeight="1" s="330">
      <c r="A942" s="4" t="n"/>
      <c r="E942" s="4" t="n"/>
      <c r="G942" s="62" t="inlineStr">
        <is>
          <t>พฤหัส</t>
        </is>
      </c>
      <c r="H942" s="332" t="inlineStr">
        <is>
          <t>20101-2009</t>
        </is>
      </c>
      <c r="I942" s="325" t="inlineStr">
        <is>
          <t>ปวช.2/5 ชย. (ปกติ)</t>
        </is>
      </c>
      <c r="J942" s="252" t="inlineStr">
        <is>
          <t>08.10-12.10</t>
        </is>
      </c>
      <c r="K942" s="331" t="n"/>
      <c r="L942" s="265" t="n"/>
      <c r="M942" s="252" t="n"/>
      <c r="N942" s="252" t="n"/>
      <c r="O942" s="244">
        <f>M942*N942</f>
        <v/>
      </c>
      <c r="P942" s="252" t="n"/>
      <c r="Q942" s="275" t="n"/>
      <c r="R942" s="275" t="n"/>
      <c r="S942" s="244">
        <f>Q942*R942</f>
        <v/>
      </c>
    </row>
    <row r="943" ht="22.2" customHeight="1" s="330">
      <c r="A943" s="4" t="n"/>
      <c r="E943" s="4" t="n"/>
      <c r="G943" s="308">
        <f>G897</f>
        <v/>
      </c>
      <c r="H943" s="252" t="inlineStr">
        <is>
          <t>20000-2002</t>
        </is>
      </c>
      <c r="I943" s="325" t="inlineStr">
        <is>
          <t>ปวช.1/5,6 ชย. (ปกติ)</t>
        </is>
      </c>
      <c r="J943" s="325" t="inlineStr">
        <is>
          <t>13.10-15.10</t>
        </is>
      </c>
      <c r="K943" s="331" t="n"/>
      <c r="L943" s="252" t="n"/>
      <c r="M943" s="252" t="n"/>
      <c r="N943" s="252" t="n"/>
      <c r="O943" s="244">
        <f>M943*N943</f>
        <v/>
      </c>
      <c r="P943" s="252" t="n"/>
      <c r="Q943" s="252" t="n"/>
      <c r="R943" s="252" t="n"/>
      <c r="S943" s="244">
        <f>Q943*R943</f>
        <v/>
      </c>
    </row>
    <row r="944" ht="22.2" customHeight="1" s="330">
      <c r="A944" s="4" t="n"/>
      <c r="B944" s="5" t="n"/>
      <c r="E944" s="4" t="n"/>
      <c r="G944" s="252" t="n"/>
      <c r="H944" s="325" t="inlineStr">
        <is>
          <t>20101-2009</t>
        </is>
      </c>
      <c r="I944" s="325" t="inlineStr">
        <is>
          <t>ปวช.1/9 ชย. (ทวิ)</t>
        </is>
      </c>
      <c r="J944" s="252" t="inlineStr">
        <is>
          <t>15.10-19.10</t>
        </is>
      </c>
      <c r="K944" s="331" t="n"/>
      <c r="L944" s="252" t="n"/>
      <c r="M944" s="325" t="n"/>
      <c r="N944" s="325" t="n"/>
      <c r="O944" s="244">
        <f>M944*N944</f>
        <v/>
      </c>
      <c r="P944" s="325" t="n"/>
      <c r="Q944" s="325" t="n"/>
      <c r="R944" s="325" t="n"/>
      <c r="S944" s="244">
        <f>Q944*R944</f>
        <v/>
      </c>
    </row>
    <row r="945" ht="22.2" customHeight="1" s="330">
      <c r="A945" s="4" t="n"/>
      <c r="E945" s="4" t="n"/>
      <c r="G945" s="252" t="n"/>
      <c r="H945" s="252" t="n"/>
      <c r="I945" s="325" t="n"/>
      <c r="J945" s="252" t="n"/>
      <c r="K945" s="331" t="n"/>
      <c r="L945" s="252" t="n"/>
      <c r="M945" s="252" t="n"/>
      <c r="N945" s="252" t="n"/>
      <c r="O945" s="244">
        <f>M945*N945</f>
        <v/>
      </c>
      <c r="P945" s="252" t="n"/>
      <c r="Q945" s="252" t="n"/>
      <c r="R945" s="252" t="n"/>
      <c r="S945" s="244">
        <f>Q945*R945</f>
        <v/>
      </c>
    </row>
    <row r="946" ht="22.2" customHeight="1" s="330">
      <c r="A946" s="4" t="n"/>
      <c r="E946" s="4" t="n"/>
      <c r="G946" s="276" t="n"/>
      <c r="H946" s="301" t="n"/>
      <c r="I946" s="276" t="n"/>
      <c r="J946" s="276" t="n"/>
      <c r="K946" s="476" t="n"/>
      <c r="L946" s="276" t="n"/>
      <c r="M946" s="276" t="n"/>
      <c r="N946" s="276" t="n"/>
      <c r="O946" s="244">
        <f>M946*N946</f>
        <v/>
      </c>
      <c r="P946" s="276" t="n"/>
      <c r="Q946" s="276" t="n"/>
      <c r="R946" s="276" t="n"/>
      <c r="S946" s="244">
        <f>Q946*R946</f>
        <v/>
      </c>
    </row>
    <row r="947" ht="22.2" customHeight="1" s="330">
      <c r="A947" s="4" t="n"/>
      <c r="E947" s="4" t="n"/>
      <c r="G947" s="62" t="inlineStr">
        <is>
          <t>ศุกร์</t>
        </is>
      </c>
      <c r="H947" s="332" t="inlineStr">
        <is>
          <t>20101-2009</t>
        </is>
      </c>
      <c r="I947" s="325" t="inlineStr">
        <is>
          <t>ปวช.2/6 ชย. (ปกติ)</t>
        </is>
      </c>
      <c r="J947" s="332" t="inlineStr">
        <is>
          <t>08.10-12.10</t>
        </is>
      </c>
      <c r="K947" s="335" t="n"/>
      <c r="L947" s="265" t="n"/>
      <c r="M947" s="332" t="n"/>
      <c r="N947" s="332" t="n"/>
      <c r="O947" s="244">
        <f>M947*N947</f>
        <v/>
      </c>
      <c r="P947" s="332" t="n"/>
      <c r="Q947" s="265" t="n"/>
      <c r="R947" s="332" t="n"/>
      <c r="S947" s="244">
        <f>Q947*R947</f>
        <v/>
      </c>
      <c r="T947" s="25" t="n"/>
      <c r="U947" s="26" t="inlineStr">
        <is>
          <t xml:space="preserve">     PLC</t>
        </is>
      </c>
      <c r="V947" s="64" t="n"/>
      <c r="W947" s="27" t="n"/>
      <c r="X947" s="27" t="n"/>
    </row>
    <row r="948" ht="22.2" customHeight="1" s="330">
      <c r="A948" s="4" t="n"/>
      <c r="E948" s="4" t="n"/>
      <c r="G948" s="308">
        <f>G902</f>
        <v/>
      </c>
      <c r="H948" s="325" t="n"/>
      <c r="I948" s="325" t="n"/>
      <c r="J948" s="252" t="n"/>
      <c r="K948" s="331" t="n"/>
      <c r="L948" s="252" t="n"/>
      <c r="M948" s="252" t="n"/>
      <c r="N948" s="252" t="n"/>
      <c r="O948" s="244">
        <f>M948*N948</f>
        <v/>
      </c>
      <c r="P948" s="252" t="n"/>
      <c r="Q948" s="252" t="n"/>
      <c r="R948" s="252" t="n"/>
      <c r="S948" s="244">
        <f>Q948*R948</f>
        <v/>
      </c>
      <c r="T948" s="27" t="inlineStr">
        <is>
          <t> </t>
        </is>
      </c>
      <c r="U948" s="26" t="inlineStr">
        <is>
          <t>17.10-19.10</t>
        </is>
      </c>
      <c r="V948" s="64" t="n"/>
      <c r="W948" s="27" t="n"/>
      <c r="X948" s="27" t="n"/>
    </row>
    <row r="949" ht="22.2" customHeight="1" s="330">
      <c r="A949" s="4" t="n"/>
      <c r="E949" s="4" t="n"/>
      <c r="G949" s="252" t="n"/>
      <c r="H949" s="248" t="n"/>
      <c r="I949" s="252" t="n"/>
      <c r="J949" s="252" t="n"/>
      <c r="K949" s="331" t="n"/>
      <c r="L949" s="252" t="n"/>
      <c r="M949" s="252" t="n"/>
      <c r="N949" s="252" t="n"/>
      <c r="O949" s="244">
        <f>M949*N949</f>
        <v/>
      </c>
      <c r="P949" s="252" t="n"/>
      <c r="Q949" s="252" t="n"/>
      <c r="R949" s="252" t="n"/>
      <c r="S949" s="244">
        <f>Q949*R949</f>
        <v/>
      </c>
    </row>
    <row r="950" ht="22.2" customHeight="1" s="330">
      <c r="A950" s="4" t="n"/>
      <c r="E950" s="4" t="n"/>
      <c r="G950" s="252" t="n"/>
      <c r="H950" s="249" t="inlineStr">
        <is>
          <t> </t>
        </is>
      </c>
      <c r="I950" s="252" t="n"/>
      <c r="J950" s="252" t="n"/>
      <c r="K950" s="331" t="n"/>
      <c r="L950" s="252" t="n"/>
      <c r="M950" s="252" t="n"/>
      <c r="N950" s="252" t="n"/>
      <c r="O950" s="244">
        <f>M950*N950</f>
        <v/>
      </c>
      <c r="P950" s="252" t="n"/>
      <c r="Q950" s="252" t="n"/>
      <c r="R950" s="252" t="n"/>
      <c r="S950" s="244">
        <f>Q950*R950</f>
        <v/>
      </c>
    </row>
    <row r="951" ht="22.2" customHeight="1" s="330">
      <c r="A951" s="4" t="n"/>
      <c r="E951" s="4" t="n"/>
      <c r="F951" s="4" t="n"/>
      <c r="G951" s="278" t="n"/>
      <c r="H951" s="301" t="n"/>
      <c r="I951" s="276" t="n"/>
      <c r="J951" s="276" t="n"/>
      <c r="K951" s="476" t="n"/>
      <c r="L951" s="276" t="n"/>
      <c r="M951" s="276" t="n"/>
      <c r="N951" s="276" t="n"/>
      <c r="O951" s="244">
        <f>M951*N951</f>
        <v/>
      </c>
      <c r="P951" s="276" t="n"/>
      <c r="Q951" s="276" t="n"/>
      <c r="R951" s="276" t="n"/>
      <c r="S951" s="244">
        <f>Q951*R951</f>
        <v/>
      </c>
    </row>
    <row r="952" ht="22.2" customHeight="1" s="330">
      <c r="A952" s="4" t="n"/>
      <c r="E952" s="4" t="n"/>
      <c r="F952" s="4" t="n"/>
      <c r="G952" s="17" t="inlineStr">
        <is>
          <t>รวมขั่วโมงที่สอนแยก ภาระงาน/ เกินภาระงาน</t>
        </is>
      </c>
      <c r="H952" s="467" t="n"/>
      <c r="I952" s="467" t="n"/>
      <c r="J952" s="467" t="n"/>
      <c r="K952" s="362" t="n"/>
      <c r="L952" s="17">
        <f>SUM(L927:L951)</f>
        <v/>
      </c>
      <c r="M952" s="17">
        <f>SUM(M927:M951)</f>
        <v/>
      </c>
      <c r="N952" s="17" t="n"/>
      <c r="O952" s="17" t="n"/>
      <c r="P952" s="17">
        <f>SUM(P927:P951)</f>
        <v/>
      </c>
      <c r="Q952" s="17">
        <f>SUM(Q927:Q951)</f>
        <v/>
      </c>
      <c r="R952" s="279" t="n"/>
      <c r="S952" s="17" t="n"/>
    </row>
    <row r="953" ht="22.2" customHeight="1" s="330">
      <c r="A953" s="4" t="n"/>
      <c r="E953" s="4" t="n"/>
      <c r="F953" s="4" t="n"/>
      <c r="G953" s="17" t="inlineStr">
        <is>
          <t>รวมจำนวนชั่วโมงสอนคาบต่อสับดาห์</t>
        </is>
      </c>
      <c r="H953" s="467" t="n"/>
      <c r="I953" s="467" t="n"/>
      <c r="J953" s="467" t="n"/>
      <c r="K953" s="362" t="n"/>
      <c r="L953" s="17">
        <f>L952+M952</f>
        <v/>
      </c>
      <c r="M953" s="362" t="n"/>
      <c r="N953" s="17" t="n"/>
      <c r="O953" s="298" t="n"/>
      <c r="P953" s="17">
        <f>P952+Q952</f>
        <v/>
      </c>
      <c r="Q953" s="362" t="n"/>
      <c r="R953" s="278" t="n"/>
      <c r="S953" s="276" t="n"/>
    </row>
    <row r="954" ht="22.2" customHeight="1" s="330">
      <c r="A954" s="4" t="n"/>
      <c r="E954" s="4" t="n"/>
      <c r="F954" s="4" t="n"/>
      <c r="G954" s="17" t="inlineStr">
        <is>
          <t>จำนวนชั่วโมงสอนตามภาระงานสอน</t>
        </is>
      </c>
      <c r="H954" s="467" t="n"/>
      <c r="I954" s="467" t="n"/>
      <c r="J954" s="467" t="n"/>
      <c r="K954" s="362" t="n"/>
      <c r="L954" s="17" t="n">
        <v>18</v>
      </c>
      <c r="M954" s="362" t="n"/>
      <c r="N954" s="17" t="n"/>
      <c r="O954" s="298" t="n"/>
      <c r="P954" s="17" t="n">
        <v>0</v>
      </c>
      <c r="Q954" s="362" t="n"/>
      <c r="R954" s="249" t="n"/>
      <c r="S954" s="252" t="n"/>
    </row>
    <row r="955" ht="22.2" customHeight="1" s="330" thickBot="1">
      <c r="A955" s="4" t="n"/>
      <c r="E955" s="4" t="n"/>
      <c r="F955" s="15" t="n"/>
      <c r="G955" s="17" t="inlineStr">
        <is>
          <t>จำนวนชั่วโมงบิกเกินภาระงานสอน/ค่าสอน</t>
        </is>
      </c>
      <c r="H955" s="467" t="n"/>
      <c r="I955" s="467" t="n"/>
      <c r="J955" s="467" t="n"/>
      <c r="K955" s="362" t="n"/>
      <c r="L955" s="18" t="n">
        <v>0</v>
      </c>
      <c r="M955" s="18">
        <f>SUM(M927:M951)</f>
        <v/>
      </c>
      <c r="N955" s="18" t="n"/>
      <c r="O955" s="18">
        <f>SUM(O927:O951)</f>
        <v/>
      </c>
      <c r="P955" s="18" t="n">
        <v>0</v>
      </c>
      <c r="Q955" s="18">
        <f>SUM(Q927:Q951)</f>
        <v/>
      </c>
      <c r="R955" s="19" t="n"/>
      <c r="S955" s="18">
        <f>SUM(S927:S951)</f>
        <v/>
      </c>
    </row>
    <row r="956" ht="22.2" customHeight="1" s="330" thickTop="1">
      <c r="A956" s="299" t="inlineStr">
        <is>
          <t>รวมจำนวนหน่วยชั่วโมงที่ขอเบิกค่าสอน ….</t>
        </is>
      </c>
      <c r="B956" s="467" t="n"/>
      <c r="C956" s="467" t="n"/>
      <c r="D956" s="467" t="n"/>
      <c r="E956" s="467" t="n"/>
      <c r="F956" s="467" t="n"/>
      <c r="G956" s="467" t="n"/>
      <c r="H956" s="298">
        <f>M955+Q955</f>
        <v/>
      </c>
      <c r="I956" s="298" t="inlineStr">
        <is>
          <t>….ชั่วโมง</t>
        </is>
      </c>
      <c r="J956" s="298" t="n"/>
      <c r="K956" s="301" t="inlineStr">
        <is>
          <t>ยอดเงินรวม</t>
        </is>
      </c>
      <c r="L956" s="471" t="n"/>
      <c r="M956" s="471" t="n"/>
      <c r="N956" s="301" t="n"/>
      <c r="O956" s="301" t="n"/>
      <c r="P956" s="302">
        <f>S955+O955</f>
        <v/>
      </c>
      <c r="Q956" s="482" t="n"/>
      <c r="R956" s="21" t="n"/>
      <c r="S956" s="20" t="inlineStr">
        <is>
          <t>..บาท</t>
        </is>
      </c>
    </row>
    <row r="957" ht="22.2" customHeight="1" s="330">
      <c r="A957" s="207" t="inlineStr">
        <is>
          <t>ผู้ขอเบิก</t>
        </is>
      </c>
      <c r="B957" s="334" t="n"/>
      <c r="C957" s="334" t="n"/>
      <c r="D957" s="334" t="n"/>
      <c r="E957" s="334" t="n"/>
      <c r="F957" s="334" t="n"/>
      <c r="G957" s="335" t="n"/>
      <c r="H957" s="207" t="inlineStr">
        <is>
          <t>ผู้รับรอง</t>
        </is>
      </c>
      <c r="I957" s="334" t="n"/>
      <c r="J957" s="334" t="n"/>
      <c r="K957" s="334" t="n"/>
      <c r="L957" s="335" t="n"/>
      <c r="M957" s="207" t="inlineStr">
        <is>
          <t>ผู้ตรวจ</t>
        </is>
      </c>
      <c r="N957" s="334" t="n"/>
      <c r="O957" s="334" t="n"/>
      <c r="P957" s="334" t="n"/>
      <c r="Q957" s="334" t="n"/>
      <c r="R957" s="334" t="n"/>
      <c r="S957" s="335" t="n"/>
    </row>
    <row r="958" ht="22.2" customHeight="1" s="330">
      <c r="A958" s="252" t="inlineStr">
        <is>
          <t>ลงชื่อ……………………………………………</t>
        </is>
      </c>
      <c r="G958" s="331" t="n"/>
      <c r="H958" s="252" t="inlineStr">
        <is>
          <t>ลงชื่อ……………………………………………</t>
        </is>
      </c>
      <c r="L958" s="331" t="n"/>
      <c r="M958" s="252" t="inlineStr">
        <is>
          <t>ลงชื่อ……………………………………………</t>
        </is>
      </c>
      <c r="S958" s="331" t="n"/>
    </row>
    <row r="959" ht="22.2" customHeight="1" s="330">
      <c r="A959" s="12" t="inlineStr">
        <is>
          <t>(</t>
        </is>
      </c>
      <c r="B959" s="309">
        <f>B927</f>
        <v/>
      </c>
      <c r="G959" s="310" t="inlineStr">
        <is>
          <t>)</t>
        </is>
      </c>
      <c r="H959" s="309" t="inlineStr">
        <is>
          <t>(</t>
        </is>
      </c>
      <c r="I959" s="314">
        <f>I913</f>
        <v/>
      </c>
      <c r="L959" s="13" t="inlineStr">
        <is>
          <t>)</t>
        </is>
      </c>
      <c r="M959" s="61" t="inlineStr">
        <is>
          <t>(</t>
        </is>
      </c>
      <c r="N959" s="61" t="n"/>
      <c r="O959" s="309" t="inlineStr">
        <is>
          <t>นายพิสุทธิศักดิ์  กล่อมนาค</t>
        </is>
      </c>
      <c r="R959" s="29" t="n"/>
      <c r="S959" s="310" t="inlineStr">
        <is>
          <t>)</t>
        </is>
      </c>
    </row>
    <row r="960" ht="22.2" customHeight="1" s="330">
      <c r="A960" s="483" t="inlineStr">
        <is>
          <t xml:space="preserve">                 ตำแหน่ง  ครูพิเศษ</t>
        </is>
      </c>
      <c r="G960" s="331" t="n"/>
      <c r="H960" s="62" t="inlineStr">
        <is>
          <t>ตำแหน่ง หัวหน้าแผนก</t>
        </is>
      </c>
      <c r="L960" s="331" t="n"/>
      <c r="M960" s="62" t="inlineStr">
        <is>
          <t>ตำแหน่ง   ผู้ตรวจสอบ</t>
        </is>
      </c>
      <c r="S960" s="331" t="n"/>
    </row>
    <row r="961" ht="22.2" customHeight="1" s="330">
      <c r="A961" s="63">
        <f>A41</f>
        <v/>
      </c>
      <c r="B961" s="471" t="n"/>
      <c r="C961" s="471" t="n"/>
      <c r="D961" s="471" t="n"/>
      <c r="E961" s="471" t="n"/>
      <c r="F961" s="471" t="n"/>
      <c r="G961" s="476" t="n"/>
      <c r="H961" s="62">
        <f>A41</f>
        <v/>
      </c>
      <c r="L961" s="331" t="n"/>
      <c r="M961" s="63">
        <f>A41</f>
        <v/>
      </c>
      <c r="N961" s="471" t="n"/>
      <c r="O961" s="471" t="n"/>
      <c r="P961" s="471" t="n"/>
      <c r="Q961" s="471" t="n"/>
      <c r="R961" s="471" t="n"/>
      <c r="S961" s="476" t="n"/>
    </row>
    <row r="962" ht="22.2" customHeight="1" s="330">
      <c r="A962" s="207" t="inlineStr">
        <is>
          <t>ผู้ตรวจ</t>
        </is>
      </c>
      <c r="B962" s="334" t="n"/>
      <c r="C962" s="334" t="n"/>
      <c r="D962" s="334" t="n"/>
      <c r="E962" s="334" t="n"/>
      <c r="F962" s="334" t="n"/>
      <c r="G962" s="334" t="n"/>
      <c r="H962" s="334" t="n"/>
      <c r="I962" s="335" t="n"/>
      <c r="J962" s="207" t="inlineStr">
        <is>
          <t>ผู้เห็นชอบ</t>
        </is>
      </c>
      <c r="K962" s="334" t="n"/>
      <c r="L962" s="334" t="n"/>
      <c r="M962" s="334" t="n"/>
      <c r="N962" s="334" t="n"/>
      <c r="O962" s="334" t="n"/>
      <c r="P962" s="334" t="n"/>
      <c r="Q962" s="334" t="n"/>
      <c r="R962" s="334" t="n"/>
      <c r="S962" s="335" t="n"/>
    </row>
    <row r="963" ht="22.2" customHeight="1" s="330">
      <c r="A963" s="252" t="inlineStr">
        <is>
          <t>ลงชื่อ……………………………………………</t>
        </is>
      </c>
      <c r="I963" s="331" t="n"/>
      <c r="J963" s="252" t="inlineStr">
        <is>
          <t>ลงชื่อ……………………………………………</t>
        </is>
      </c>
      <c r="S963" s="331" t="n"/>
    </row>
    <row r="964" ht="22.2" customHeight="1" s="330">
      <c r="A964" s="12" t="n"/>
      <c r="B964" s="309" t="inlineStr">
        <is>
          <t xml:space="preserve">          (นางศิวรักษ์   บุญประเสริฐ)</t>
        </is>
      </c>
      <c r="I964" s="310" t="n"/>
      <c r="J964" s="29" t="n"/>
      <c r="K964" s="29" t="n"/>
      <c r="L964" s="309" t="inlineStr">
        <is>
          <t>(นายปรีชา  โพธิ์เกิด)</t>
        </is>
      </c>
      <c r="R964" s="29" t="n"/>
      <c r="S964" s="13" t="n"/>
    </row>
    <row r="965" ht="22.2" customHeight="1" s="330">
      <c r="A965" s="62" t="inlineStr">
        <is>
          <t>ตำแหน่งครู  หัวหน้างานพัฒนาหลักสูตร ฯ</t>
        </is>
      </c>
      <c r="I965" s="331" t="n"/>
      <c r="J965" s="62" t="inlineStr">
        <is>
          <t>ตำแหน่ง  รองผู้อำนวยการฝ่ายวิชาการ</t>
        </is>
      </c>
      <c r="S965" s="331" t="n"/>
    </row>
    <row r="966" ht="22.2" customHeight="1" s="330">
      <c r="A966" s="63">
        <f>A41</f>
        <v/>
      </c>
      <c r="B966" s="471" t="n"/>
      <c r="C966" s="471" t="n"/>
      <c r="D966" s="471" t="n"/>
      <c r="E966" s="471" t="n"/>
      <c r="F966" s="471" t="n"/>
      <c r="G966" s="471" t="n"/>
      <c r="H966" s="471" t="n"/>
      <c r="I966" s="476" t="n"/>
      <c r="J966" s="63">
        <f>A41</f>
        <v/>
      </c>
      <c r="K966" s="471" t="n"/>
      <c r="L966" s="471" t="n"/>
      <c r="M966" s="471" t="n"/>
      <c r="N966" s="471" t="n"/>
      <c r="O966" s="471" t="n"/>
      <c r="P966" s="471" t="n"/>
      <c r="Q966" s="471" t="n"/>
      <c r="R966" s="471" t="n"/>
      <c r="S966" s="476" t="n"/>
    </row>
    <row r="967" ht="22.2" customHeight="1" s="330">
      <c r="A96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68" ht="22.2" customHeight="1" s="330">
      <c r="A968" s="254">
        <f>A2</f>
        <v/>
      </c>
    </row>
    <row r="969" ht="22.2" customHeight="1" s="330">
      <c r="A969" s="253" t="inlineStr">
        <is>
          <t xml:space="preserve">    ระหว่างวันที่</t>
        </is>
      </c>
      <c r="D969" s="254">
        <f>D3</f>
        <v/>
      </c>
      <c r="E969" s="254" t="inlineStr">
        <is>
          <t xml:space="preserve">   เดือน  </t>
        </is>
      </c>
      <c r="F969" s="254">
        <f>F3</f>
        <v/>
      </c>
      <c r="H969" s="254">
        <f>H3</f>
        <v/>
      </c>
      <c r="I969" s="254" t="inlineStr">
        <is>
          <t xml:space="preserve">     ถึง วันที่</t>
        </is>
      </c>
      <c r="J969" s="254">
        <f>J3</f>
        <v/>
      </c>
      <c r="K969" s="254" t="inlineStr">
        <is>
          <t xml:space="preserve">   เดือน </t>
        </is>
      </c>
      <c r="L969" s="254">
        <f>L3</f>
        <v/>
      </c>
      <c r="N969" s="254">
        <f>N3</f>
        <v/>
      </c>
      <c r="P969" s="254" t="n"/>
      <c r="R969" s="254" t="n"/>
    </row>
    <row r="970" ht="22.2" customHeight="1" s="330">
      <c r="G970" s="58" t="inlineStr">
        <is>
          <t>ü</t>
        </is>
      </c>
      <c r="H970" s="8" t="inlineStr">
        <is>
          <t>ครูพิเศษ</t>
        </is>
      </c>
      <c r="I970" s="249" t="inlineStr">
        <is>
          <t>หน้าที่พิเศษ</t>
        </is>
      </c>
      <c r="K970" s="290" t="n"/>
    </row>
    <row r="971" ht="22.2" customHeight="1" s="330">
      <c r="A971" s="28" t="inlineStr">
        <is>
          <t>ที่</t>
        </is>
      </c>
      <c r="B971" s="28" t="inlineStr">
        <is>
          <t>ชื่อ-สกุล</t>
        </is>
      </c>
      <c r="C971" s="334" t="n"/>
      <c r="D971" s="335" t="n"/>
      <c r="E971" s="16" t="inlineStr">
        <is>
          <t>ตำแหน่ง</t>
        </is>
      </c>
      <c r="F971" s="17" t="inlineStr">
        <is>
          <t>ระยะเวลาที่สอน</t>
        </is>
      </c>
      <c r="G971" s="362" t="n"/>
      <c r="H971" s="17" t="inlineStr">
        <is>
          <t>รหัสวิชา</t>
        </is>
      </c>
      <c r="I971" s="275" t="inlineStr">
        <is>
          <t>ชั้น,แผนก,ห้อง</t>
        </is>
      </c>
      <c r="J971" s="17" t="inlineStr">
        <is>
          <t>เวลาสอน</t>
        </is>
      </c>
      <c r="K971" s="335" t="n"/>
      <c r="L971" s="17" t="inlineStr">
        <is>
          <t>ปวช.(คาบ)</t>
        </is>
      </c>
      <c r="M971" s="362" t="n"/>
      <c r="N971" s="244" t="inlineStr">
        <is>
          <t>เงิน</t>
        </is>
      </c>
      <c r="O971" s="275" t="inlineStr">
        <is>
          <t>ยอดเงิน</t>
        </is>
      </c>
      <c r="P971" s="473" t="inlineStr">
        <is>
          <t>ปวส.(คาบ)</t>
        </is>
      </c>
      <c r="Q971" s="362" t="n"/>
      <c r="R971" s="244" t="inlineStr">
        <is>
          <t>เงิน</t>
        </is>
      </c>
      <c r="S971" s="275" t="inlineStr">
        <is>
          <t>ยอดเงิน</t>
        </is>
      </c>
    </row>
    <row r="972" ht="22.2" customHeight="1" s="330">
      <c r="A972" s="60" t="n"/>
      <c r="B972" s="9" t="n"/>
      <c r="C972" s="10" t="n"/>
      <c r="D972" s="14" t="n"/>
      <c r="E972" s="11" t="n"/>
      <c r="F972" s="276" t="inlineStr">
        <is>
          <t>ส.</t>
        </is>
      </c>
      <c r="G972" s="276" t="inlineStr">
        <is>
          <t>วดป.</t>
        </is>
      </c>
      <c r="H972" s="474" t="n"/>
      <c r="I972" s="276" t="n"/>
      <c r="J972" s="475" t="n"/>
      <c r="K972" s="476" t="n"/>
      <c r="L972" s="276" t="inlineStr">
        <is>
          <t>ใน</t>
        </is>
      </c>
      <c r="M972" s="276" t="inlineStr">
        <is>
          <t>นอก</t>
        </is>
      </c>
      <c r="N972" s="276" t="inlineStr">
        <is>
          <t>ต่อ ชม.</t>
        </is>
      </c>
      <c r="O972" s="276" t="inlineStr">
        <is>
          <t>(บาท)</t>
        </is>
      </c>
      <c r="P972" s="60" t="inlineStr">
        <is>
          <t>ใน</t>
        </is>
      </c>
      <c r="Q972" s="60" t="inlineStr">
        <is>
          <t>นอก</t>
        </is>
      </c>
      <c r="R972" s="276" t="inlineStr">
        <is>
          <t>ต่อ ชม.</t>
        </is>
      </c>
      <c r="S972" s="276" t="inlineStr">
        <is>
          <t>(บาท)</t>
        </is>
      </c>
    </row>
    <row r="973" ht="22.2" customHeight="1" s="330">
      <c r="A973" s="275" t="n">
        <v>22</v>
      </c>
      <c r="B973" s="477">
        <f>AB24</f>
        <v/>
      </c>
      <c r="C973" s="334" t="n"/>
      <c r="D973" s="335" t="n"/>
      <c r="E973" s="275" t="inlineStr">
        <is>
          <t>ครู</t>
        </is>
      </c>
      <c r="F973" s="6">
        <f>F7</f>
        <v/>
      </c>
      <c r="G973" s="303" t="inlineStr">
        <is>
          <t>จันทร์</t>
        </is>
      </c>
      <c r="H973" s="332" t="inlineStr">
        <is>
          <t>20101-2104</t>
        </is>
      </c>
      <c r="I973" s="325" t="inlineStr">
        <is>
          <t>ปวช.3/1 ชย. (ปกติ)</t>
        </is>
      </c>
      <c r="J973" s="332" t="inlineStr">
        <is>
          <t>08.10-12.10</t>
        </is>
      </c>
      <c r="K973" s="335" t="n"/>
      <c r="L973" s="265" t="n"/>
      <c r="M973" s="332" t="n"/>
      <c r="N973" s="332" t="n"/>
      <c r="O973" s="244">
        <f>M973*N973</f>
        <v/>
      </c>
      <c r="P973" s="332" t="n"/>
      <c r="Q973" s="265" t="n"/>
      <c r="R973" s="332" t="n"/>
      <c r="S973" s="244">
        <f>Q973*R973</f>
        <v/>
      </c>
    </row>
    <row r="974" ht="22.2" customHeight="1" s="330">
      <c r="A974" s="4" t="n"/>
      <c r="E974" s="252" t="inlineStr">
        <is>
          <t>พิเศษ</t>
        </is>
      </c>
      <c r="F974" s="249" t="n"/>
      <c r="G974" s="308">
        <f>G928</f>
        <v/>
      </c>
      <c r="H974" s="325" t="inlineStr">
        <is>
          <t>20101-2104</t>
        </is>
      </c>
      <c r="I974" s="325" t="inlineStr">
        <is>
          <t>ปวช.3/1 ชย. (ปกติ)</t>
        </is>
      </c>
      <c r="J974" s="252" t="inlineStr">
        <is>
          <t>13.10-16.10</t>
        </is>
      </c>
      <c r="K974" s="331" t="n"/>
      <c r="L974" s="252" t="n"/>
      <c r="M974" s="252" t="n"/>
      <c r="N974" s="252" t="n"/>
      <c r="O974" s="244">
        <f>M974*N974</f>
        <v/>
      </c>
      <c r="P974" s="252" t="n"/>
      <c r="Q974" s="252" t="n"/>
      <c r="R974" s="252" t="n"/>
      <c r="S974" s="244">
        <f>Q974*R974</f>
        <v/>
      </c>
    </row>
    <row r="975" ht="22.2" customHeight="1" s="330">
      <c r="A975" s="4" t="n"/>
      <c r="E975" s="4" t="n"/>
      <c r="F975" s="249" t="n"/>
      <c r="G975" s="248" t="n"/>
      <c r="H975" s="252" t="n"/>
      <c r="I975" s="252" t="n"/>
      <c r="J975" s="252" t="n"/>
      <c r="K975" s="331" t="n"/>
      <c r="L975" s="252" t="n"/>
      <c r="M975" s="252" t="n"/>
      <c r="N975" s="252" t="n"/>
      <c r="O975" s="244">
        <f>M975*N975</f>
        <v/>
      </c>
      <c r="P975" s="252" t="n"/>
      <c r="Q975" s="252" t="n"/>
      <c r="R975" s="252" t="n"/>
      <c r="S975" s="244">
        <f>Q975*R975</f>
        <v/>
      </c>
    </row>
    <row r="976" ht="22.2" customHeight="1" s="330">
      <c r="A976" s="4" t="n"/>
      <c r="B976" s="5" t="n"/>
      <c r="E976" s="4" t="n"/>
      <c r="F976" s="249" t="n"/>
      <c r="G976" s="248" t="n"/>
      <c r="H976" s="252" t="n"/>
      <c r="I976" s="252" t="n"/>
      <c r="J976" s="252" t="n"/>
      <c r="K976" s="331" t="n"/>
      <c r="L976" s="252" t="n"/>
      <c r="M976" s="252" t="n"/>
      <c r="N976" s="252" t="n"/>
      <c r="O976" s="244">
        <f>M976*N976</f>
        <v/>
      </c>
      <c r="P976" s="252" t="n"/>
      <c r="Q976" s="252" t="n"/>
      <c r="R976" s="252" t="n"/>
      <c r="S976" s="244">
        <f>Q976*R976</f>
        <v/>
      </c>
    </row>
    <row r="977" ht="22.2" customHeight="1" s="330">
      <c r="A977" s="4" t="n"/>
      <c r="E977" s="4" t="n"/>
      <c r="G977" s="311" t="n"/>
      <c r="H977" s="276" t="n"/>
      <c r="I977" s="276" t="n"/>
      <c r="J977" s="276" t="n"/>
      <c r="K977" s="476" t="n"/>
      <c r="L977" s="252" t="n"/>
      <c r="M977" s="252" t="n"/>
      <c r="N977" s="252" t="n"/>
      <c r="O977" s="244">
        <f>M977*N977</f>
        <v/>
      </c>
      <c r="P977" s="252" t="n"/>
      <c r="Q977" s="252" t="n"/>
      <c r="R977" s="252" t="n"/>
      <c r="S977" s="244">
        <f>Q977*R977</f>
        <v/>
      </c>
    </row>
    <row r="978" ht="22.2" customHeight="1" s="330">
      <c r="A978" s="4" t="n"/>
      <c r="E978" s="4" t="n"/>
      <c r="G978" s="62" t="inlineStr">
        <is>
          <t>อังคาร</t>
        </is>
      </c>
      <c r="H978" s="332" t="inlineStr">
        <is>
          <t>20101-2104</t>
        </is>
      </c>
      <c r="I978" s="325" t="inlineStr">
        <is>
          <t>ปวช.3/2 ชย. (ปกติ)</t>
        </is>
      </c>
      <c r="J978" s="332" t="inlineStr">
        <is>
          <t>08.10-12.10</t>
        </is>
      </c>
      <c r="K978" s="335" t="n"/>
      <c r="L978" s="265" t="n"/>
      <c r="M978" s="332" t="n"/>
      <c r="N978" s="332" t="n"/>
      <c r="O978" s="244">
        <f>M978*N978</f>
        <v/>
      </c>
      <c r="P978" s="332" t="n"/>
      <c r="Q978" s="265" t="n"/>
      <c r="R978" s="332" t="n"/>
      <c r="S978" s="244">
        <f>Q978*R978</f>
        <v/>
      </c>
    </row>
    <row r="979" ht="22.2" customHeight="1" s="330">
      <c r="A979" s="4" t="n"/>
      <c r="E979" s="4" t="n"/>
      <c r="G979" s="308">
        <f>G933</f>
        <v/>
      </c>
      <c r="H979" s="325" t="inlineStr">
        <is>
          <t>20101-2104</t>
        </is>
      </c>
      <c r="I979" s="325" t="inlineStr">
        <is>
          <t>ปวช.3/2 ชย. (ปกติ)</t>
        </is>
      </c>
      <c r="J979" s="252" t="inlineStr">
        <is>
          <t>13.10-16.10</t>
        </is>
      </c>
      <c r="K979" s="331" t="n"/>
      <c r="L979" s="252" t="n"/>
      <c r="M979" s="252" t="n"/>
      <c r="N979" s="252" t="n"/>
      <c r="O979" s="244">
        <f>M979*N979</f>
        <v/>
      </c>
      <c r="P979" s="252" t="n"/>
      <c r="Q979" s="252" t="n"/>
      <c r="R979" s="252" t="n"/>
      <c r="S979" s="244">
        <f>Q979*R979</f>
        <v/>
      </c>
    </row>
    <row r="980" ht="22.2" customHeight="1" s="330">
      <c r="A980" s="4" t="n"/>
      <c r="B980" s="5" t="n"/>
      <c r="D980" s="3" t="n"/>
      <c r="E980" s="3" t="n"/>
      <c r="G980" s="252" t="n"/>
      <c r="H980" s="248" t="n"/>
      <c r="I980" s="252" t="n"/>
      <c r="J980" s="252" t="n"/>
      <c r="K980" s="331" t="n"/>
      <c r="L980" s="252" t="n"/>
      <c r="M980" s="252" t="n"/>
      <c r="N980" s="252" t="n"/>
      <c r="O980" s="244">
        <f>M980*N980</f>
        <v/>
      </c>
      <c r="P980" s="252" t="n"/>
      <c r="Q980" s="252" t="n"/>
      <c r="R980" s="252" t="n"/>
      <c r="S980" s="244">
        <f>Q980*R980</f>
        <v/>
      </c>
    </row>
    <row r="981" ht="22.2" customHeight="1" s="330">
      <c r="A981" s="4" t="n"/>
      <c r="E981" s="4" t="n"/>
      <c r="G981" s="62" t="n"/>
      <c r="H981" s="248" t="n"/>
      <c r="I981" s="252" t="n"/>
      <c r="J981" s="252" t="n"/>
      <c r="K981" s="331" t="n"/>
      <c r="L981" s="252" t="n"/>
      <c r="M981" s="252" t="n"/>
      <c r="N981" s="252" t="n"/>
      <c r="O981" s="244">
        <f>M981*N981</f>
        <v/>
      </c>
      <c r="P981" s="252" t="n"/>
      <c r="Q981" s="252" t="n"/>
      <c r="R981" s="252" t="n"/>
      <c r="S981" s="244">
        <f>Q981*R981</f>
        <v/>
      </c>
    </row>
    <row r="982" ht="22.2" customHeight="1" s="330">
      <c r="A982" s="4" t="n"/>
      <c r="D982" s="8" t="inlineStr">
        <is>
          <t> </t>
        </is>
      </c>
      <c r="E982" s="4" t="n"/>
      <c r="G982" s="63" t="n"/>
      <c r="H982" s="276" t="n"/>
      <c r="I982" s="276" t="n"/>
      <c r="J982" s="276" t="n"/>
      <c r="K982" s="476" t="n"/>
      <c r="L982" s="252" t="n"/>
      <c r="M982" s="252" t="n"/>
      <c r="N982" s="252" t="n"/>
      <c r="O982" s="244">
        <f>M982*N982</f>
        <v/>
      </c>
      <c r="P982" s="252" t="n"/>
      <c r="Q982" s="252" t="n"/>
      <c r="R982" s="252" t="n"/>
      <c r="S982" s="244">
        <f>Q982*R982</f>
        <v/>
      </c>
    </row>
    <row r="983" ht="22.2" customHeight="1" s="330">
      <c r="A983" s="4" t="n"/>
      <c r="E983" s="4" t="n"/>
      <c r="G983" s="308" t="inlineStr">
        <is>
          <t>พุธ</t>
        </is>
      </c>
      <c r="H983" s="332" t="inlineStr">
        <is>
          <t>20101-2104</t>
        </is>
      </c>
      <c r="I983" s="325" t="inlineStr">
        <is>
          <t>ปวช.3/3 ชย. (ปกติ)</t>
        </is>
      </c>
      <c r="J983" s="332" t="inlineStr">
        <is>
          <t>08.10-12.10</t>
        </is>
      </c>
      <c r="K983" s="335" t="n"/>
      <c r="L983" s="265" t="n"/>
      <c r="M983" s="332" t="n"/>
      <c r="N983" s="332" t="n"/>
      <c r="O983" s="244">
        <f>M983*N983</f>
        <v/>
      </c>
      <c r="P983" s="332" t="n"/>
      <c r="Q983" s="265" t="n"/>
      <c r="R983" s="332" t="n"/>
      <c r="S983" s="244">
        <f>Q983*R983</f>
        <v/>
      </c>
    </row>
    <row r="984" ht="22.2" customHeight="1" s="330">
      <c r="A984" s="4" t="n"/>
      <c r="B984" s="248" t="n"/>
      <c r="C984" s="249" t="n"/>
      <c r="D984" s="249" t="n"/>
      <c r="E984" s="252" t="n"/>
      <c r="G984" s="308">
        <f>G938</f>
        <v/>
      </c>
      <c r="H984" s="325" t="inlineStr">
        <is>
          <t>20101-2104</t>
        </is>
      </c>
      <c r="I984" s="325" t="inlineStr">
        <is>
          <t>ปวช.3/3 ชย. (ปกติ)</t>
        </is>
      </c>
      <c r="J984" s="252" t="inlineStr">
        <is>
          <t>13.10-16.10</t>
        </is>
      </c>
      <c r="K984" s="331" t="n"/>
      <c r="L984" s="252" t="n"/>
      <c r="M984" s="252" t="n"/>
      <c r="N984" s="252" t="n"/>
      <c r="O984" s="244">
        <f>M984*N984</f>
        <v/>
      </c>
      <c r="P984" s="252" t="n"/>
      <c r="Q984" s="252" t="n"/>
      <c r="R984" s="252" t="n"/>
      <c r="S984" s="244">
        <f>Q984*R984</f>
        <v/>
      </c>
    </row>
    <row r="985" ht="22.2" customHeight="1" s="330">
      <c r="A985" s="4" t="n"/>
      <c r="B985" s="5" t="n"/>
      <c r="D985" s="3" t="n"/>
      <c r="E985" s="3" t="n"/>
      <c r="G985" s="252" t="n"/>
      <c r="H985" s="252" t="n"/>
      <c r="I985" s="325" t="n"/>
      <c r="J985" s="252" t="n"/>
      <c r="K985" s="331" t="n"/>
      <c r="L985" s="252" t="n"/>
      <c r="M985" s="252" t="n"/>
      <c r="N985" s="252" t="n"/>
      <c r="O985" s="244">
        <f>M985*N985</f>
        <v/>
      </c>
      <c r="P985" s="252" t="n"/>
      <c r="Q985" s="252" t="n"/>
      <c r="R985" s="252" t="n"/>
      <c r="S985" s="244">
        <f>Q985*R985</f>
        <v/>
      </c>
    </row>
    <row r="986" ht="22.2" customHeight="1" s="330">
      <c r="A986" s="4" t="n"/>
      <c r="E986" s="4" t="n"/>
      <c r="G986" s="248" t="n"/>
      <c r="H986" s="248" t="n"/>
      <c r="I986" s="252" t="n"/>
      <c r="J986" s="252" t="n"/>
      <c r="K986" s="331" t="n"/>
      <c r="L986" s="252" t="n"/>
      <c r="M986" s="252" t="n"/>
      <c r="N986" s="252" t="n"/>
      <c r="O986" s="244">
        <f>M986*N986</f>
        <v/>
      </c>
      <c r="P986" s="252" t="n"/>
      <c r="Q986" s="252" t="n"/>
      <c r="R986" s="252" t="n"/>
      <c r="S986" s="244">
        <f>Q986*R986</f>
        <v/>
      </c>
    </row>
    <row r="987" ht="22.2" customHeight="1" s="330">
      <c r="A987" s="4" t="n"/>
      <c r="E987" s="4" t="n"/>
      <c r="G987" s="277" t="n"/>
      <c r="H987" s="277" t="n"/>
      <c r="I987" s="276" t="n"/>
      <c r="J987" s="276" t="n"/>
      <c r="K987" s="476" t="n"/>
      <c r="L987" s="276" t="n"/>
      <c r="M987" s="276" t="n"/>
      <c r="N987" s="276" t="n"/>
      <c r="O987" s="244">
        <f>M987*N987</f>
        <v/>
      </c>
      <c r="P987" s="276" t="n"/>
      <c r="Q987" s="276" t="n"/>
      <c r="R987" s="276" t="n"/>
      <c r="S987" s="244">
        <f>Q987*R987</f>
        <v/>
      </c>
    </row>
    <row r="988" ht="22.2" customHeight="1" s="330">
      <c r="A988" s="4" t="n"/>
      <c r="E988" s="4" t="n"/>
      <c r="G988" s="62" t="inlineStr">
        <is>
          <t>พฤหัส</t>
        </is>
      </c>
      <c r="H988" s="325" t="inlineStr">
        <is>
          <t>20101-2106</t>
        </is>
      </c>
      <c r="I988" s="325" t="inlineStr">
        <is>
          <t>ปวช.3/5 ชย. (ปกติ)</t>
        </is>
      </c>
      <c r="J988" s="332" t="inlineStr">
        <is>
          <t>08.10-12.10</t>
        </is>
      </c>
      <c r="K988" s="335" t="n"/>
      <c r="L988" s="265" t="n"/>
      <c r="M988" s="332" t="n"/>
      <c r="N988" s="332" t="n"/>
      <c r="O988" s="244">
        <f>M988*N988</f>
        <v/>
      </c>
      <c r="P988" s="332" t="n"/>
      <c r="Q988" s="265" t="n"/>
      <c r="R988" s="332" t="n"/>
      <c r="S988" s="244">
        <f>Q988*R988</f>
        <v/>
      </c>
    </row>
    <row r="989" ht="22.2" customHeight="1" s="330">
      <c r="A989" s="4" t="n"/>
      <c r="E989" s="4" t="n"/>
      <c r="G989" s="308">
        <f>G943</f>
        <v/>
      </c>
      <c r="H989" s="325" t="n"/>
      <c r="I989" s="325" t="n"/>
      <c r="J989" s="252" t="n"/>
      <c r="K989" s="331" t="n"/>
      <c r="L989" s="252" t="n"/>
      <c r="M989" s="252" t="n"/>
      <c r="N989" s="252" t="n"/>
      <c r="O989" s="244">
        <f>M989*N989</f>
        <v/>
      </c>
      <c r="P989" s="252" t="n"/>
      <c r="Q989" s="252" t="n"/>
      <c r="R989" s="252" t="n"/>
      <c r="S989" s="244">
        <f>Q989*R989</f>
        <v/>
      </c>
    </row>
    <row r="990" ht="22.2" customHeight="1" s="330">
      <c r="A990" s="4" t="n"/>
      <c r="B990" s="5" t="n"/>
      <c r="E990" s="4" t="n"/>
      <c r="G990" s="252" t="n"/>
      <c r="H990" s="325" t="n"/>
      <c r="I990" s="325" t="n"/>
      <c r="J990" s="252" t="n"/>
      <c r="K990" s="331" t="n"/>
      <c r="L990" s="252" t="n"/>
      <c r="M990" s="252" t="n"/>
      <c r="N990" s="252" t="n"/>
      <c r="O990" s="244">
        <f>M990*N990</f>
        <v/>
      </c>
      <c r="P990" s="252" t="n"/>
      <c r="Q990" s="252" t="n"/>
      <c r="R990" s="252" t="n"/>
      <c r="S990" s="244">
        <f>Q990*R990</f>
        <v/>
      </c>
    </row>
    <row r="991" ht="22.2" customHeight="1" s="330">
      <c r="A991" s="4" t="n"/>
      <c r="E991" s="4" t="n"/>
      <c r="G991" s="252" t="n"/>
      <c r="H991" s="252" t="n"/>
      <c r="I991" s="252" t="n"/>
      <c r="J991" s="252" t="n"/>
      <c r="K991" s="331" t="n"/>
      <c r="L991" s="252" t="n"/>
      <c r="M991" s="252" t="n"/>
      <c r="N991" s="252" t="n"/>
      <c r="O991" s="244">
        <f>M991*N991</f>
        <v/>
      </c>
      <c r="P991" s="252" t="n"/>
      <c r="Q991" s="252" t="n"/>
      <c r="R991" s="252" t="n"/>
      <c r="S991" s="244">
        <f>Q991*R991</f>
        <v/>
      </c>
    </row>
    <row r="992" ht="22.2" customHeight="1" s="330">
      <c r="A992" s="4" t="n"/>
      <c r="E992" s="4" t="n"/>
      <c r="G992" s="276" t="n"/>
      <c r="H992" s="301" t="n"/>
      <c r="I992" s="276" t="n"/>
      <c r="J992" s="276" t="n"/>
      <c r="K992" s="476" t="n"/>
      <c r="L992" s="276" t="n"/>
      <c r="M992" s="276" t="n"/>
      <c r="N992" s="276" t="n"/>
      <c r="O992" s="244">
        <f>M992*N992</f>
        <v/>
      </c>
      <c r="P992" s="276" t="n"/>
      <c r="Q992" s="276" t="n"/>
      <c r="R992" s="276" t="n"/>
      <c r="S992" s="244">
        <f>Q992*R992</f>
        <v/>
      </c>
    </row>
    <row r="993" ht="22.2" customHeight="1" s="330">
      <c r="A993" s="4" t="n"/>
      <c r="E993" s="4" t="n"/>
      <c r="G993" s="62" t="inlineStr">
        <is>
          <t>ศุกร์</t>
        </is>
      </c>
      <c r="H993" s="325" t="inlineStr">
        <is>
          <t>20101-2104</t>
        </is>
      </c>
      <c r="I993" s="325" t="inlineStr">
        <is>
          <t>ปวช.3/4 ชย. (ปกติ)</t>
        </is>
      </c>
      <c r="J993" s="332" t="inlineStr">
        <is>
          <t>09.10-12.10</t>
        </is>
      </c>
      <c r="K993" s="335" t="n"/>
      <c r="L993" s="265" t="n"/>
      <c r="M993" s="332" t="n"/>
      <c r="N993" s="332" t="n"/>
      <c r="O993" s="244">
        <f>M993*N993</f>
        <v/>
      </c>
      <c r="P993" s="332" t="n"/>
      <c r="Q993" s="265" t="n"/>
      <c r="R993" s="332" t="n"/>
      <c r="S993" s="244">
        <f>Q993*R993</f>
        <v/>
      </c>
    </row>
    <row r="994" ht="22.2" customHeight="1" s="330">
      <c r="A994" s="4" t="n"/>
      <c r="E994" s="4" t="n"/>
      <c r="G994" s="308">
        <f>G948</f>
        <v/>
      </c>
      <c r="H994" s="325" t="inlineStr">
        <is>
          <t>20101-2104</t>
        </is>
      </c>
      <c r="I994" s="325" t="inlineStr">
        <is>
          <t>ปวช.3/4 ชย. (ปกติ)</t>
        </is>
      </c>
      <c r="J994" s="252" t="inlineStr">
        <is>
          <t>13.10-17.10</t>
        </is>
      </c>
      <c r="K994" s="331" t="n"/>
      <c r="L994" s="252" t="n"/>
      <c r="M994" s="252" t="n"/>
      <c r="N994" s="252" t="n"/>
      <c r="O994" s="244">
        <f>M994*N994</f>
        <v/>
      </c>
      <c r="P994" s="252" t="n"/>
      <c r="Q994" s="252" t="n"/>
      <c r="R994" s="252" t="n"/>
      <c r="S994" s="244">
        <f>Q994*R994</f>
        <v/>
      </c>
    </row>
    <row r="995" ht="22.2" customHeight="1" s="330">
      <c r="A995" s="4" t="n"/>
      <c r="E995" s="4" t="n"/>
      <c r="G995" s="252" t="n"/>
      <c r="H995" s="252" t="n"/>
      <c r="I995" s="252" t="n"/>
      <c r="J995" s="325" t="n"/>
      <c r="K995" s="331" t="n"/>
      <c r="L995" s="285" t="n"/>
      <c r="M995" s="325" t="n"/>
      <c r="N995" s="325" t="n"/>
      <c r="O995" s="244">
        <f>M995*N995</f>
        <v/>
      </c>
      <c r="P995" s="325" t="n"/>
      <c r="Q995" s="285" t="n"/>
      <c r="R995" s="325" t="n"/>
      <c r="S995" s="244">
        <f>Q995*R995</f>
        <v/>
      </c>
    </row>
    <row r="996" ht="22.2" customHeight="1" s="330">
      <c r="A996" s="4" t="n"/>
      <c r="E996" s="4" t="n"/>
      <c r="G996" s="252" t="n"/>
      <c r="H996" s="252" t="n"/>
      <c r="I996" s="252" t="n"/>
      <c r="J996" s="252" t="n"/>
      <c r="K996" s="331" t="n"/>
      <c r="L996" s="252" t="n"/>
      <c r="M996" s="252" t="n"/>
      <c r="N996" s="252" t="n"/>
      <c r="O996" s="244">
        <f>M996*N996</f>
        <v/>
      </c>
      <c r="P996" s="252" t="n"/>
      <c r="Q996" s="252" t="n"/>
      <c r="R996" s="252" t="n"/>
      <c r="S996" s="244">
        <f>Q996*R996</f>
        <v/>
      </c>
    </row>
    <row r="997" ht="22.2" customHeight="1" s="330">
      <c r="A997" s="4" t="n"/>
      <c r="E997" s="4" t="n"/>
      <c r="F997" s="4" t="n"/>
      <c r="G997" s="278" t="n"/>
      <c r="H997" s="277" t="n"/>
      <c r="I997" s="276" t="n"/>
      <c r="J997" s="276" t="n"/>
      <c r="K997" s="476" t="n"/>
      <c r="L997" s="276" t="n"/>
      <c r="M997" s="276" t="n"/>
      <c r="N997" s="276" t="n"/>
      <c r="O997" s="244">
        <f>M997*N997</f>
        <v/>
      </c>
      <c r="P997" s="276" t="n"/>
      <c r="Q997" s="276" t="n"/>
      <c r="R997" s="276" t="n"/>
      <c r="S997" s="244">
        <f>Q997*R997</f>
        <v/>
      </c>
    </row>
    <row r="998" ht="22.2" customHeight="1" s="330">
      <c r="A998" s="4" t="n"/>
      <c r="E998" s="4" t="n"/>
      <c r="F998" s="4" t="n"/>
      <c r="G998" s="17" t="inlineStr">
        <is>
          <t>รวมขั่วโมงที่สอนแยก ภาระงาน/ เกินภาระงาน</t>
        </is>
      </c>
      <c r="H998" s="467" t="n"/>
      <c r="I998" s="467" t="n"/>
      <c r="J998" s="467" t="n"/>
      <c r="K998" s="362" t="n"/>
      <c r="L998" s="17">
        <f>SUM(L973:L997)</f>
        <v/>
      </c>
      <c r="M998" s="17">
        <f>SUM(M973:M997)</f>
        <v/>
      </c>
      <c r="N998" s="17" t="n"/>
      <c r="O998" s="17" t="n"/>
      <c r="P998" s="17">
        <f>SUM(P973:P997)</f>
        <v/>
      </c>
      <c r="Q998" s="17">
        <f>SUM(Q973:Q997)</f>
        <v/>
      </c>
      <c r="R998" s="279" t="n"/>
      <c r="S998" s="17" t="n"/>
      <c r="T998" s="25" t="n"/>
      <c r="U998" s="26" t="inlineStr">
        <is>
          <t xml:space="preserve">     PLC</t>
        </is>
      </c>
      <c r="V998" s="64" t="n"/>
      <c r="W998" s="27" t="n"/>
      <c r="X998" s="27" t="n"/>
    </row>
    <row r="999" ht="22.2" customHeight="1" s="330">
      <c r="A999" s="4" t="n"/>
      <c r="E999" s="4" t="n"/>
      <c r="F999" s="4" t="n"/>
      <c r="G999" s="17" t="inlineStr">
        <is>
          <t>รวมจำนวนชั่วโมงสอนคาบต่อสับดาห์</t>
        </is>
      </c>
      <c r="H999" s="467" t="n"/>
      <c r="I999" s="467" t="n"/>
      <c r="J999" s="467" t="n"/>
      <c r="K999" s="362" t="n"/>
      <c r="L999" s="17">
        <f>L998+M998</f>
        <v/>
      </c>
      <c r="M999" s="362" t="n"/>
      <c r="N999" s="298" t="n"/>
      <c r="O999" s="17" t="n"/>
      <c r="P999" s="17">
        <f>P998+Q998</f>
        <v/>
      </c>
      <c r="Q999" s="362" t="n"/>
      <c r="R999" s="278" t="n"/>
      <c r="S999" s="276" t="n"/>
      <c r="T999" s="27" t="inlineStr">
        <is>
          <t> </t>
        </is>
      </c>
      <c r="U999" s="26" t="inlineStr">
        <is>
          <t>17.10-19.10</t>
        </is>
      </c>
      <c r="V999" s="64" t="n"/>
      <c r="W999" s="27" t="n"/>
      <c r="X999" s="27" t="n"/>
    </row>
    <row r="1000" ht="22.2" customHeight="1" s="330">
      <c r="A1000" s="4" t="n"/>
      <c r="E1000" s="4" t="n"/>
      <c r="F1000" s="4" t="n"/>
      <c r="G1000" s="17" t="inlineStr">
        <is>
          <t>จำนวนชั่วโมงสอนตามภาระงานสอน</t>
        </is>
      </c>
      <c r="H1000" s="467" t="n"/>
      <c r="I1000" s="467" t="n"/>
      <c r="J1000" s="467" t="n"/>
      <c r="K1000" s="362" t="n"/>
      <c r="L1000" s="17" t="n">
        <v>18</v>
      </c>
      <c r="M1000" s="362" t="n"/>
      <c r="N1000" s="298" t="n"/>
      <c r="O1000" s="17" t="n"/>
      <c r="P1000" s="17" t="n">
        <v>0</v>
      </c>
      <c r="Q1000" s="362" t="n"/>
      <c r="R1000" s="249" t="n"/>
      <c r="S1000" s="252" t="n"/>
    </row>
    <row r="1001" ht="22.2" customHeight="1" s="330" thickBot="1">
      <c r="A1001" s="4" t="n"/>
      <c r="E1001" s="4" t="n"/>
      <c r="F1001" s="15" t="n"/>
      <c r="G1001" s="17" t="inlineStr">
        <is>
          <t>จำนวนชั่วโมงบิกเกินภาระงานสอน/ค่าสอน</t>
        </is>
      </c>
      <c r="H1001" s="467" t="n"/>
      <c r="I1001" s="467" t="n"/>
      <c r="J1001" s="467" t="n"/>
      <c r="K1001" s="362" t="n"/>
      <c r="L1001" s="18" t="n">
        <v>0</v>
      </c>
      <c r="M1001" s="18">
        <f>SUM(M973:M997)</f>
        <v/>
      </c>
      <c r="N1001" s="18" t="n"/>
      <c r="O1001" s="18">
        <f>SUM(O973:O997)</f>
        <v/>
      </c>
      <c r="P1001" s="18" t="n">
        <v>0</v>
      </c>
      <c r="Q1001" s="18">
        <f>SUM(Q973:Q997)</f>
        <v/>
      </c>
      <c r="R1001" s="19" t="n"/>
      <c r="S1001" s="18">
        <f>SUM(S973:S997)</f>
        <v/>
      </c>
    </row>
    <row r="1002" ht="22.2" customHeight="1" s="330" thickTop="1">
      <c r="A1002" s="299" t="inlineStr">
        <is>
          <t>รวมจำนวนหน่วยชั่วโมงที่ขอเบิกค่าสอน ….</t>
        </is>
      </c>
      <c r="B1002" s="467" t="n"/>
      <c r="C1002" s="467" t="n"/>
      <c r="D1002" s="467" t="n"/>
      <c r="E1002" s="467" t="n"/>
      <c r="F1002" s="467" t="n"/>
      <c r="G1002" s="467" t="n"/>
      <c r="H1002" s="298">
        <f>M1001+Q1001</f>
        <v/>
      </c>
      <c r="I1002" s="298" t="inlineStr">
        <is>
          <t>….ชั่วโมง</t>
        </is>
      </c>
      <c r="J1002" s="298" t="n"/>
      <c r="K1002" s="301" t="inlineStr">
        <is>
          <t>ยอดเงินรวม</t>
        </is>
      </c>
      <c r="L1002" s="471" t="n"/>
      <c r="M1002" s="471" t="n"/>
      <c r="N1002" s="301" t="n"/>
      <c r="O1002" s="301" t="n"/>
      <c r="P1002" s="302">
        <f>S1001+O1001</f>
        <v/>
      </c>
      <c r="Q1002" s="482" t="n"/>
      <c r="R1002" s="21" t="n"/>
      <c r="S1002" s="20" t="inlineStr">
        <is>
          <t>..บาท</t>
        </is>
      </c>
    </row>
    <row r="1003" ht="22.2" customHeight="1" s="330">
      <c r="A1003" s="207" t="inlineStr">
        <is>
          <t>ผู้ขอเบิก</t>
        </is>
      </c>
      <c r="B1003" s="334" t="n"/>
      <c r="C1003" s="334" t="n"/>
      <c r="D1003" s="334" t="n"/>
      <c r="E1003" s="334" t="n"/>
      <c r="F1003" s="334" t="n"/>
      <c r="G1003" s="335" t="n"/>
      <c r="H1003" s="207" t="inlineStr">
        <is>
          <t>ผู้รับรอง</t>
        </is>
      </c>
      <c r="I1003" s="334" t="n"/>
      <c r="J1003" s="334" t="n"/>
      <c r="K1003" s="334" t="n"/>
      <c r="L1003" s="335" t="n"/>
      <c r="M1003" s="207" t="inlineStr">
        <is>
          <t>ผู้ตรวจ</t>
        </is>
      </c>
      <c r="N1003" s="334" t="n"/>
      <c r="O1003" s="334" t="n"/>
      <c r="P1003" s="334" t="n"/>
      <c r="Q1003" s="334" t="n"/>
      <c r="R1003" s="334" t="n"/>
      <c r="S1003" s="335" t="n"/>
    </row>
    <row r="1004" ht="22.2" customHeight="1" s="330">
      <c r="A1004" s="252" t="inlineStr">
        <is>
          <t>ลงชื่อ……………………………………………</t>
        </is>
      </c>
      <c r="G1004" s="331" t="n"/>
      <c r="H1004" s="252" t="inlineStr">
        <is>
          <t>ลงชื่อ……………………………………………</t>
        </is>
      </c>
      <c r="L1004" s="331" t="n"/>
      <c r="M1004" s="252" t="inlineStr">
        <is>
          <t>ลงชื่อ……………………………………………</t>
        </is>
      </c>
      <c r="S1004" s="331" t="n"/>
    </row>
    <row r="1005" ht="22.2" customHeight="1" s="330">
      <c r="A1005" s="12" t="inlineStr">
        <is>
          <t>(</t>
        </is>
      </c>
      <c r="B1005" s="309">
        <f>B973</f>
        <v/>
      </c>
      <c r="G1005" s="310" t="inlineStr">
        <is>
          <t>)</t>
        </is>
      </c>
      <c r="H1005" s="309" t="inlineStr">
        <is>
          <t>(</t>
        </is>
      </c>
      <c r="I1005" s="314">
        <f>I959</f>
        <v/>
      </c>
      <c r="L1005" s="13" t="inlineStr">
        <is>
          <t>)</t>
        </is>
      </c>
      <c r="M1005" s="61" t="inlineStr">
        <is>
          <t>(</t>
        </is>
      </c>
      <c r="N1005" s="61" t="n"/>
      <c r="O1005" s="309" t="inlineStr">
        <is>
          <t>นายพิสุทธิศักดิ์  กล่อมนาค</t>
        </is>
      </c>
      <c r="R1005" s="29" t="n"/>
      <c r="S1005" s="310" t="inlineStr">
        <is>
          <t>)</t>
        </is>
      </c>
    </row>
    <row r="1006" ht="22.2" customHeight="1" s="330">
      <c r="A1006" s="483" t="inlineStr">
        <is>
          <t xml:space="preserve">                 ตำแหน่ง  ครูพิเศษ</t>
        </is>
      </c>
      <c r="G1006" s="331" t="n"/>
      <c r="H1006" s="62" t="inlineStr">
        <is>
          <t>ตำแหน่ง หัวหน้าแผนก</t>
        </is>
      </c>
      <c r="L1006" s="331" t="n"/>
      <c r="M1006" s="62" t="inlineStr">
        <is>
          <t>ตำแหน่ง   ผู้ตรวจสอบ</t>
        </is>
      </c>
      <c r="S1006" s="331" t="n"/>
    </row>
    <row r="1007" ht="22.2" customHeight="1" s="330">
      <c r="A1007" s="63">
        <f>A41</f>
        <v/>
      </c>
      <c r="B1007" s="471" t="n"/>
      <c r="C1007" s="471" t="n"/>
      <c r="D1007" s="471" t="n"/>
      <c r="E1007" s="471" t="n"/>
      <c r="F1007" s="471" t="n"/>
      <c r="G1007" s="476" t="n"/>
      <c r="H1007" s="62">
        <f>A41</f>
        <v/>
      </c>
      <c r="L1007" s="331" t="n"/>
      <c r="M1007" s="63">
        <f>A41</f>
        <v/>
      </c>
      <c r="N1007" s="471" t="n"/>
      <c r="O1007" s="471" t="n"/>
      <c r="P1007" s="471" t="n"/>
      <c r="Q1007" s="471" t="n"/>
      <c r="R1007" s="471" t="n"/>
      <c r="S1007" s="476" t="n"/>
    </row>
    <row r="1008" ht="22.2" customHeight="1" s="330">
      <c r="A1008" s="207" t="inlineStr">
        <is>
          <t>ผู้ตรวจ</t>
        </is>
      </c>
      <c r="B1008" s="334" t="n"/>
      <c r="C1008" s="334" t="n"/>
      <c r="D1008" s="334" t="n"/>
      <c r="E1008" s="334" t="n"/>
      <c r="F1008" s="334" t="n"/>
      <c r="G1008" s="334" t="n"/>
      <c r="H1008" s="334" t="n"/>
      <c r="I1008" s="335" t="n"/>
      <c r="J1008" s="207" t="inlineStr">
        <is>
          <t>ผู้เห็นชอบ</t>
        </is>
      </c>
      <c r="K1008" s="334" t="n"/>
      <c r="L1008" s="334" t="n"/>
      <c r="M1008" s="334" t="n"/>
      <c r="N1008" s="334" t="n"/>
      <c r="O1008" s="334" t="n"/>
      <c r="P1008" s="334" t="n"/>
      <c r="Q1008" s="334" t="n"/>
      <c r="R1008" s="334" t="n"/>
      <c r="S1008" s="335" t="n"/>
    </row>
    <row r="1009" ht="22.2" customHeight="1" s="330">
      <c r="A1009" s="252" t="inlineStr">
        <is>
          <t>ลงชื่อ……………………………………………</t>
        </is>
      </c>
      <c r="I1009" s="331" t="n"/>
      <c r="J1009" s="252" t="inlineStr">
        <is>
          <t>ลงชื่อ……………………………………………</t>
        </is>
      </c>
      <c r="S1009" s="331" t="n"/>
    </row>
    <row r="1010" ht="22.2" customHeight="1" s="330">
      <c r="A1010" s="12" t="n"/>
      <c r="B1010" s="309" t="inlineStr">
        <is>
          <t xml:space="preserve">          (นางศิวรักษ์   บุญประเสริฐ)</t>
        </is>
      </c>
      <c r="I1010" s="310" t="n"/>
      <c r="J1010" s="29" t="n"/>
      <c r="K1010" s="29" t="n"/>
      <c r="L1010" s="309" t="inlineStr">
        <is>
          <t>(นายปรีชา  โพธิ์เกิด)</t>
        </is>
      </c>
      <c r="R1010" s="29" t="n"/>
      <c r="S1010" s="13" t="n"/>
    </row>
    <row r="1011" ht="22.2" customHeight="1" s="330">
      <c r="A1011" s="62" t="inlineStr">
        <is>
          <t>ตำแหน่งครู  หัวหน้างานพัฒนาหลักสูตร ฯ</t>
        </is>
      </c>
      <c r="I1011" s="331" t="n"/>
      <c r="J1011" s="62" t="inlineStr">
        <is>
          <t>ตำแหน่ง  รองผู้อำนวยการฝ่ายวิชาการ</t>
        </is>
      </c>
      <c r="S1011" s="331" t="n"/>
    </row>
    <row r="1012" ht="22.2" customHeight="1" s="330">
      <c r="A1012" s="63">
        <f>A41</f>
        <v/>
      </c>
      <c r="B1012" s="471" t="n"/>
      <c r="C1012" s="471" t="n"/>
      <c r="D1012" s="471" t="n"/>
      <c r="E1012" s="471" t="n"/>
      <c r="F1012" s="471" t="n"/>
      <c r="G1012" s="471" t="n"/>
      <c r="H1012" s="471" t="n"/>
      <c r="I1012" s="476" t="n"/>
      <c r="J1012" s="63">
        <f>A41</f>
        <v/>
      </c>
      <c r="K1012" s="471" t="n"/>
      <c r="L1012" s="471" t="n"/>
      <c r="M1012" s="471" t="n"/>
      <c r="N1012" s="471" t="n"/>
      <c r="O1012" s="471" t="n"/>
      <c r="P1012" s="471" t="n"/>
      <c r="Q1012" s="471" t="n"/>
      <c r="R1012" s="471" t="n"/>
      <c r="S1012" s="476" t="n"/>
    </row>
    <row r="1013" ht="22.2" customHeight="1" s="330">
      <c r="A101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014" ht="22.2" customHeight="1" s="330">
      <c r="A1014" s="254">
        <f>A2</f>
        <v/>
      </c>
    </row>
    <row r="1015" ht="22.2" customHeight="1" s="330">
      <c r="A1015" s="253" t="inlineStr">
        <is>
          <t xml:space="preserve">    ระหว่างวันที่</t>
        </is>
      </c>
      <c r="D1015" s="254">
        <f>D3</f>
        <v/>
      </c>
      <c r="E1015" s="254" t="inlineStr">
        <is>
          <t xml:space="preserve">   เดือน  </t>
        </is>
      </c>
      <c r="F1015" s="254">
        <f>F3</f>
        <v/>
      </c>
      <c r="H1015" s="254">
        <f>H3</f>
        <v/>
      </c>
      <c r="I1015" s="254" t="inlineStr">
        <is>
          <t xml:space="preserve">     ถึง วันที่</t>
        </is>
      </c>
      <c r="J1015" s="254">
        <f>J3</f>
        <v/>
      </c>
      <c r="K1015" s="254" t="inlineStr">
        <is>
          <t xml:space="preserve">   เดือน </t>
        </is>
      </c>
      <c r="L1015" s="254">
        <f>L3</f>
        <v/>
      </c>
      <c r="N1015" s="254">
        <f>N3</f>
        <v/>
      </c>
      <c r="P1015" s="254" t="n"/>
      <c r="R1015" s="254" t="n"/>
    </row>
    <row r="1016" ht="22.2" customHeight="1" s="330">
      <c r="G1016" s="58" t="inlineStr">
        <is>
          <t>ü</t>
        </is>
      </c>
      <c r="H1016" s="8" t="inlineStr">
        <is>
          <t>ครูพิเศษ</t>
        </is>
      </c>
      <c r="I1016" s="249" t="inlineStr">
        <is>
          <t>หน้าที่พิเศษ</t>
        </is>
      </c>
      <c r="K1016" s="290" t="n"/>
    </row>
    <row r="1017" ht="22.2" customHeight="1" s="330">
      <c r="A1017" s="28" t="inlineStr">
        <is>
          <t>ที่</t>
        </is>
      </c>
      <c r="B1017" s="28" t="inlineStr">
        <is>
          <t>ชื่อ-สกุล</t>
        </is>
      </c>
      <c r="C1017" s="334" t="n"/>
      <c r="D1017" s="335" t="n"/>
      <c r="E1017" s="16" t="inlineStr">
        <is>
          <t>ตำแหน่ง</t>
        </is>
      </c>
      <c r="F1017" s="17" t="inlineStr">
        <is>
          <t>ระยะเวลาที่สอน</t>
        </is>
      </c>
      <c r="G1017" s="362" t="n"/>
      <c r="H1017" s="17" t="inlineStr">
        <is>
          <t>รหัสวิชา</t>
        </is>
      </c>
      <c r="I1017" s="275" t="inlineStr">
        <is>
          <t>ชั้น,แผนก,ห้อง</t>
        </is>
      </c>
      <c r="J1017" s="17" t="inlineStr">
        <is>
          <t>เวลาสอน</t>
        </is>
      </c>
      <c r="K1017" s="335" t="n"/>
      <c r="L1017" s="17" t="inlineStr">
        <is>
          <t>ปวช.(คาบ)</t>
        </is>
      </c>
      <c r="M1017" s="362" t="n"/>
      <c r="N1017" s="244" t="inlineStr">
        <is>
          <t>เงิน</t>
        </is>
      </c>
      <c r="O1017" s="275" t="inlineStr">
        <is>
          <t>ยอดเงิน</t>
        </is>
      </c>
      <c r="P1017" s="473" t="inlineStr">
        <is>
          <t>ปวส.(คาบ)</t>
        </is>
      </c>
      <c r="Q1017" s="362" t="n"/>
      <c r="R1017" s="244" t="inlineStr">
        <is>
          <t>เงิน</t>
        </is>
      </c>
      <c r="S1017" s="275" t="inlineStr">
        <is>
          <t>ยอดเงิน</t>
        </is>
      </c>
    </row>
    <row r="1018" ht="22.2" customHeight="1" s="330">
      <c r="A1018" s="60" t="n"/>
      <c r="B1018" s="9" t="n"/>
      <c r="C1018" s="10" t="n"/>
      <c r="D1018" s="14" t="n"/>
      <c r="E1018" s="11" t="n"/>
      <c r="F1018" s="276" t="inlineStr">
        <is>
          <t>ส.</t>
        </is>
      </c>
      <c r="G1018" s="276" t="inlineStr">
        <is>
          <t>วดป.</t>
        </is>
      </c>
      <c r="H1018" s="474" t="n"/>
      <c r="I1018" s="276" t="n"/>
      <c r="J1018" s="475" t="n"/>
      <c r="K1018" s="476" t="n"/>
      <c r="L1018" s="276" t="inlineStr">
        <is>
          <t>ใน</t>
        </is>
      </c>
      <c r="M1018" s="276" t="inlineStr">
        <is>
          <t>นอก</t>
        </is>
      </c>
      <c r="N1018" s="276" t="inlineStr">
        <is>
          <t>ต่อ ชม.</t>
        </is>
      </c>
      <c r="O1018" s="276" t="inlineStr">
        <is>
          <t>(บาท)</t>
        </is>
      </c>
      <c r="P1018" s="60" t="inlineStr">
        <is>
          <t>ใน</t>
        </is>
      </c>
      <c r="Q1018" s="60" t="inlineStr">
        <is>
          <t>นอก</t>
        </is>
      </c>
      <c r="R1018" s="276" t="inlineStr">
        <is>
          <t>ต่อ ชม.</t>
        </is>
      </c>
      <c r="S1018" s="276" t="inlineStr">
        <is>
          <t>(บาท)</t>
        </is>
      </c>
    </row>
    <row r="1019" ht="22.2" customHeight="1" s="330">
      <c r="A1019" s="275" t="n">
        <v>23</v>
      </c>
      <c r="B1019" s="477">
        <f>AB25</f>
        <v/>
      </c>
      <c r="C1019" s="334" t="n"/>
      <c r="D1019" s="335" t="n"/>
      <c r="E1019" s="275" t="inlineStr">
        <is>
          <t>ครู</t>
        </is>
      </c>
      <c r="F1019" s="6">
        <f>F7</f>
        <v/>
      </c>
      <c r="G1019" s="303" t="inlineStr">
        <is>
          <t>จันทร์</t>
        </is>
      </c>
      <c r="H1019" s="252" t="inlineStr">
        <is>
          <t>20101-8501</t>
        </is>
      </c>
      <c r="I1019" s="325" t="inlineStr">
        <is>
          <t>ปวช.3/9,10 ชย. (ทวิ)</t>
        </is>
      </c>
      <c r="J1019" s="332" t="inlineStr">
        <is>
          <t>08.10-12.10</t>
        </is>
      </c>
      <c r="K1019" s="335" t="n"/>
      <c r="L1019" s="265" t="n"/>
      <c r="M1019" s="332" t="n"/>
      <c r="N1019" s="332" t="n"/>
      <c r="O1019" s="244">
        <f>M1019*N1019</f>
        <v/>
      </c>
      <c r="P1019" s="332" t="n"/>
      <c r="Q1019" s="265" t="n"/>
      <c r="R1019" s="332" t="n"/>
      <c r="S1019" s="244">
        <f>Q1019*R1019</f>
        <v/>
      </c>
    </row>
    <row r="1020" ht="22.2" customHeight="1" s="330">
      <c r="A1020" s="4" t="n"/>
      <c r="B1020" s="478" t="n"/>
      <c r="D1020" s="331" t="n"/>
      <c r="E1020" s="252" t="inlineStr">
        <is>
          <t>พิเศษ</t>
        </is>
      </c>
      <c r="F1020" s="249" t="n"/>
      <c r="G1020" s="308">
        <f>G974</f>
        <v/>
      </c>
      <c r="H1020" s="252" t="n"/>
      <c r="I1020" s="325" t="n"/>
      <c r="J1020" s="325" t="n"/>
      <c r="K1020" s="331" t="n"/>
      <c r="L1020" s="252" t="n"/>
      <c r="M1020" s="252" t="n"/>
      <c r="N1020" s="252" t="n"/>
      <c r="O1020" s="244">
        <f>M1020*N1020</f>
        <v/>
      </c>
      <c r="P1020" s="252" t="n"/>
      <c r="Q1020" s="252" t="n"/>
      <c r="R1020" s="252" t="n"/>
      <c r="S1020" s="244">
        <f>Q1020*R1020</f>
        <v/>
      </c>
    </row>
    <row r="1021" ht="22.2" customHeight="1" s="330">
      <c r="A1021" s="4" t="n"/>
      <c r="B1021" s="5" t="n"/>
      <c r="D1021" s="3" t="n"/>
      <c r="E1021" s="3" t="n"/>
      <c r="F1021" s="249" t="n"/>
      <c r="G1021" s="248" t="n"/>
      <c r="H1021" s="252" t="n"/>
      <c r="I1021" s="252" t="n"/>
      <c r="J1021" s="252" t="n"/>
      <c r="K1021" s="331" t="n"/>
      <c r="L1021" s="252" t="n"/>
      <c r="M1021" s="252" t="n"/>
      <c r="N1021" s="252" t="n"/>
      <c r="O1021" s="244">
        <f>M1021*N1021</f>
        <v/>
      </c>
      <c r="P1021" s="252" t="n"/>
      <c r="Q1021" s="252" t="n"/>
      <c r="R1021" s="252" t="n"/>
      <c r="S1021" s="244">
        <f>Q1021*R1021</f>
        <v/>
      </c>
    </row>
    <row r="1022" ht="22.2" customHeight="1" s="330">
      <c r="A1022" s="4" t="n"/>
      <c r="B1022" s="5" t="n"/>
      <c r="E1022" s="4" t="n"/>
      <c r="F1022" s="249" t="n"/>
      <c r="G1022" s="248" t="n"/>
      <c r="H1022" s="252" t="n"/>
      <c r="I1022" s="252" t="n"/>
      <c r="J1022" s="252" t="n"/>
      <c r="K1022" s="331" t="n"/>
      <c r="L1022" s="252" t="n"/>
      <c r="M1022" s="252" t="n"/>
      <c r="N1022" s="252" t="n"/>
      <c r="O1022" s="244">
        <f>M1022*N1022</f>
        <v/>
      </c>
      <c r="P1022" s="252" t="n"/>
      <c r="Q1022" s="252" t="n"/>
      <c r="R1022" s="252" t="n"/>
      <c r="S1022" s="244">
        <f>Q1022*R1022</f>
        <v/>
      </c>
    </row>
    <row r="1023" ht="22.2" customHeight="1" s="330">
      <c r="A1023" s="4" t="n"/>
      <c r="E1023" s="4" t="n"/>
      <c r="G1023" s="311" t="n"/>
      <c r="H1023" s="276" t="n"/>
      <c r="I1023" s="276" t="n"/>
      <c r="J1023" s="276" t="n"/>
      <c r="K1023" s="476" t="n"/>
      <c r="L1023" s="252" t="n"/>
      <c r="M1023" s="252" t="n"/>
      <c r="N1023" s="252" t="n"/>
      <c r="O1023" s="244">
        <f>M1023*N1023</f>
        <v/>
      </c>
      <c r="P1023" s="252" t="n"/>
      <c r="Q1023" s="252" t="n"/>
      <c r="R1023" s="252" t="n"/>
      <c r="S1023" s="244">
        <f>Q1023*R1023</f>
        <v/>
      </c>
    </row>
    <row r="1024" ht="22.2" customHeight="1" s="330">
      <c r="A1024" s="4" t="n"/>
      <c r="E1024" s="4" t="n"/>
      <c r="G1024" s="62" t="inlineStr">
        <is>
          <t>อังคาร</t>
        </is>
      </c>
      <c r="H1024" s="252" t="inlineStr">
        <is>
          <t>20101-2001</t>
        </is>
      </c>
      <c r="I1024" s="325" t="inlineStr">
        <is>
          <t>ปวช.1/10 ชย. (ทวิ)</t>
        </is>
      </c>
      <c r="J1024" s="332" t="inlineStr">
        <is>
          <t>08.10-12.10</t>
        </is>
      </c>
      <c r="K1024" s="335" t="n"/>
      <c r="L1024" s="265" t="n"/>
      <c r="M1024" s="332" t="n"/>
      <c r="N1024" s="332" t="n"/>
      <c r="O1024" s="244">
        <f>M1024*N1024</f>
        <v/>
      </c>
      <c r="P1024" s="332" t="n"/>
      <c r="Q1024" s="265" t="n"/>
      <c r="R1024" s="332" t="n"/>
      <c r="S1024" s="244">
        <f>Q1024*R1024</f>
        <v/>
      </c>
    </row>
    <row r="1025" ht="22.2" customHeight="1" s="330">
      <c r="A1025" s="4" t="n"/>
      <c r="E1025" s="4" t="n"/>
      <c r="G1025" s="308">
        <f>G979</f>
        <v/>
      </c>
      <c r="H1025" s="252" t="inlineStr">
        <is>
          <t>20101-2001</t>
        </is>
      </c>
      <c r="I1025" s="325" t="inlineStr">
        <is>
          <t>ปวช.1/10 ชย. (ทวิ)</t>
        </is>
      </c>
      <c r="J1025" s="252" t="inlineStr">
        <is>
          <t>13.10-16.10</t>
        </is>
      </c>
      <c r="K1025" s="331" t="n"/>
      <c r="L1025" s="252" t="n"/>
      <c r="M1025" s="252" t="n"/>
      <c r="N1025" s="252" t="n"/>
      <c r="O1025" s="244">
        <f>M1025*N1025</f>
        <v/>
      </c>
      <c r="P1025" s="252" t="n"/>
      <c r="Q1025" s="252" t="n"/>
      <c r="R1025" s="252" t="n"/>
      <c r="S1025" s="244">
        <f>Q1025*R1025</f>
        <v/>
      </c>
    </row>
    <row r="1026" ht="22.2" customHeight="1" s="330">
      <c r="A1026" s="4" t="n"/>
      <c r="B1026" s="5" t="n"/>
      <c r="D1026" s="3" t="n"/>
      <c r="E1026" s="3" t="n"/>
      <c r="G1026" s="252" t="n"/>
      <c r="H1026" s="252" t="n"/>
      <c r="I1026" s="252" t="n"/>
      <c r="J1026" s="252" t="n"/>
      <c r="K1026" s="331" t="n"/>
      <c r="L1026" s="252" t="n"/>
      <c r="M1026" s="252" t="n"/>
      <c r="N1026" s="252" t="n"/>
      <c r="O1026" s="244">
        <f>M1026*N1026</f>
        <v/>
      </c>
      <c r="P1026" s="252" t="n"/>
      <c r="Q1026" s="252" t="n"/>
      <c r="R1026" s="252" t="n"/>
      <c r="S1026" s="244">
        <f>Q1026*R1026</f>
        <v/>
      </c>
    </row>
    <row r="1027" ht="22.2" customHeight="1" s="330">
      <c r="A1027" s="4" t="n"/>
      <c r="E1027" s="4" t="n"/>
      <c r="G1027" s="62" t="n"/>
      <c r="H1027" s="252" t="n"/>
      <c r="I1027" s="252" t="n"/>
      <c r="J1027" s="252" t="n"/>
      <c r="K1027" s="331" t="n"/>
      <c r="L1027" s="252" t="n"/>
      <c r="M1027" s="252" t="n"/>
      <c r="N1027" s="252" t="n"/>
      <c r="O1027" s="244">
        <f>M1027*N1027</f>
        <v/>
      </c>
      <c r="P1027" s="252" t="n"/>
      <c r="Q1027" s="252" t="n"/>
      <c r="R1027" s="252" t="n"/>
      <c r="S1027" s="244">
        <f>Q1027*R1027</f>
        <v/>
      </c>
    </row>
    <row r="1028" ht="22.2" customHeight="1" s="330">
      <c r="A1028" s="4" t="n"/>
      <c r="D1028" s="8" t="inlineStr">
        <is>
          <t> </t>
        </is>
      </c>
      <c r="E1028" s="4" t="n"/>
      <c r="G1028" s="63" t="n"/>
      <c r="H1028" s="276" t="n"/>
      <c r="I1028" s="276" t="n"/>
      <c r="J1028" s="276" t="n"/>
      <c r="K1028" s="476" t="n"/>
      <c r="L1028" s="252" t="n"/>
      <c r="M1028" s="252" t="n"/>
      <c r="N1028" s="252" t="n"/>
      <c r="O1028" s="244">
        <f>M1028*N1028</f>
        <v/>
      </c>
      <c r="P1028" s="252" t="n"/>
      <c r="Q1028" s="252" t="n"/>
      <c r="R1028" s="252" t="n"/>
      <c r="S1028" s="244">
        <f>Q1028*R1028</f>
        <v/>
      </c>
    </row>
    <row r="1029" ht="22.2" customHeight="1" s="330">
      <c r="A1029" s="4" t="n"/>
      <c r="E1029" s="4" t="n"/>
      <c r="G1029" s="308" t="inlineStr">
        <is>
          <t>พุธ</t>
        </is>
      </c>
      <c r="H1029" s="252" t="inlineStr">
        <is>
          <t>20101-2101</t>
        </is>
      </c>
      <c r="I1029" s="325" t="inlineStr">
        <is>
          <t>ปวช.1/4 ชย. (ปกติ)</t>
        </is>
      </c>
      <c r="J1029" s="332" t="inlineStr">
        <is>
          <t>08.10-12.10</t>
        </is>
      </c>
      <c r="K1029" s="335" t="n"/>
      <c r="L1029" s="265" t="n"/>
      <c r="M1029" s="332" t="n"/>
      <c r="N1029" s="332" t="n"/>
      <c r="O1029" s="244">
        <f>M1029*N1029</f>
        <v/>
      </c>
      <c r="P1029" s="332" t="n"/>
      <c r="Q1029" s="265" t="n"/>
      <c r="R1029" s="332" t="n"/>
      <c r="S1029" s="244">
        <f>Q1029*R1029</f>
        <v/>
      </c>
    </row>
    <row r="1030" ht="22.2" customHeight="1" s="330">
      <c r="A1030" s="4" t="n"/>
      <c r="B1030" s="248" t="n"/>
      <c r="C1030" s="249" t="n"/>
      <c r="D1030" s="249" t="n"/>
      <c r="E1030" s="252" t="n"/>
      <c r="G1030" s="308">
        <f>G984</f>
        <v/>
      </c>
      <c r="H1030" s="252" t="inlineStr">
        <is>
          <t>20101-2101</t>
        </is>
      </c>
      <c r="I1030" s="325" t="inlineStr">
        <is>
          <t>ปวช.1/4 ชย. (ปกติ)</t>
        </is>
      </c>
      <c r="J1030" s="252" t="inlineStr">
        <is>
          <t>13.10-16.10</t>
        </is>
      </c>
      <c r="K1030" s="331" t="n"/>
      <c r="L1030" s="252" t="n"/>
      <c r="M1030" s="252" t="n"/>
      <c r="N1030" s="252" t="n"/>
      <c r="O1030" s="244">
        <f>M1030*N1030</f>
        <v/>
      </c>
      <c r="P1030" s="252" t="n"/>
      <c r="Q1030" s="252" t="n"/>
      <c r="R1030" s="252" t="n"/>
      <c r="S1030" s="244">
        <f>Q1030*R1030</f>
        <v/>
      </c>
    </row>
    <row r="1031" ht="22.2" customHeight="1" s="330">
      <c r="A1031" s="4" t="n"/>
      <c r="B1031" s="5" t="n"/>
      <c r="D1031" s="3" t="n"/>
      <c r="E1031" s="3" t="n"/>
      <c r="G1031" s="252" t="n"/>
      <c r="H1031" s="252" t="n"/>
      <c r="I1031" s="325" t="n"/>
      <c r="J1031" s="252" t="n"/>
      <c r="K1031" s="331" t="n"/>
      <c r="L1031" s="252" t="n"/>
      <c r="M1031" s="252" t="n"/>
      <c r="N1031" s="252" t="n"/>
      <c r="O1031" s="244">
        <f>M1031*N1031</f>
        <v/>
      </c>
      <c r="P1031" s="252" t="n"/>
      <c r="Q1031" s="252" t="n"/>
      <c r="R1031" s="252" t="n"/>
      <c r="S1031" s="244">
        <f>Q1031*R1031</f>
        <v/>
      </c>
    </row>
    <row r="1032" ht="22.2" customHeight="1" s="330">
      <c r="A1032" s="4" t="n"/>
      <c r="E1032" s="4" t="n"/>
      <c r="G1032" s="248" t="n"/>
      <c r="H1032" s="248" t="n"/>
      <c r="I1032" s="252" t="n"/>
      <c r="J1032" s="252" t="n"/>
      <c r="K1032" s="331" t="n"/>
      <c r="L1032" s="252" t="n"/>
      <c r="M1032" s="252" t="n"/>
      <c r="N1032" s="252" t="n"/>
      <c r="O1032" s="244">
        <f>M1032*N1032</f>
        <v/>
      </c>
      <c r="P1032" s="252" t="n"/>
      <c r="Q1032" s="252" t="n"/>
      <c r="R1032" s="252" t="n"/>
      <c r="S1032" s="244">
        <f>Q1032*R1032</f>
        <v/>
      </c>
    </row>
    <row r="1033" ht="22.2" customHeight="1" s="330">
      <c r="A1033" s="4" t="n"/>
      <c r="E1033" s="4" t="n"/>
      <c r="G1033" s="277" t="n"/>
      <c r="H1033" s="277" t="n"/>
      <c r="I1033" s="276" t="n"/>
      <c r="J1033" s="276" t="n"/>
      <c r="K1033" s="476" t="n"/>
      <c r="L1033" s="276" t="n"/>
      <c r="M1033" s="276" t="n"/>
      <c r="N1033" s="276" t="n"/>
      <c r="O1033" s="244">
        <f>M1033*N1033</f>
        <v/>
      </c>
      <c r="P1033" s="276" t="n"/>
      <c r="Q1033" s="276" t="n"/>
      <c r="R1033" s="276" t="n"/>
      <c r="S1033" s="244">
        <f>Q1033*R1033</f>
        <v/>
      </c>
    </row>
    <row r="1034" ht="22.2" customHeight="1" s="330">
      <c r="A1034" s="4" t="n"/>
      <c r="E1034" s="4" t="n"/>
      <c r="G1034" s="62" t="inlineStr">
        <is>
          <t>พฤหัส</t>
        </is>
      </c>
      <c r="H1034" s="252" t="inlineStr">
        <is>
          <t>20101-2101</t>
        </is>
      </c>
      <c r="I1034" s="325" t="inlineStr">
        <is>
          <t>ปวช.1/1 ชย. (ปกติ)</t>
        </is>
      </c>
      <c r="J1034" s="332" t="inlineStr">
        <is>
          <t>08.10-12.10</t>
        </is>
      </c>
      <c r="K1034" s="335" t="n"/>
      <c r="L1034" s="325" t="n"/>
      <c r="M1034" s="275" t="n"/>
      <c r="N1034" s="275" t="n"/>
      <c r="O1034" s="244">
        <f>M1034*N1034</f>
        <v/>
      </c>
      <c r="P1034" s="275" t="n"/>
      <c r="Q1034" s="275" t="n"/>
      <c r="R1034" s="275" t="n"/>
      <c r="S1034" s="244">
        <f>Q1034*R1034</f>
        <v/>
      </c>
      <c r="T1034" s="25" t="n"/>
      <c r="U1034" s="26" t="inlineStr">
        <is>
          <t xml:space="preserve">     PLC</t>
        </is>
      </c>
      <c r="V1034" s="64" t="n"/>
      <c r="W1034" s="27" t="n"/>
      <c r="X1034" s="27" t="n"/>
    </row>
    <row r="1035" ht="22.2" customHeight="1" s="330">
      <c r="A1035" s="4" t="n"/>
      <c r="E1035" s="4" t="n"/>
      <c r="G1035" s="308">
        <f>G989</f>
        <v/>
      </c>
      <c r="H1035" s="252" t="inlineStr">
        <is>
          <t>20101-2101</t>
        </is>
      </c>
      <c r="I1035" s="325" t="inlineStr">
        <is>
          <t>ปวช.1/1 ชย. (ปกติ)</t>
        </is>
      </c>
      <c r="J1035" s="252" t="inlineStr">
        <is>
          <t>15.10-18.10</t>
        </is>
      </c>
      <c r="K1035" s="331" t="n"/>
      <c r="L1035" s="252" t="n"/>
      <c r="M1035" s="252" t="n"/>
      <c r="N1035" s="252" t="n"/>
      <c r="O1035" s="244">
        <f>M1035*N1035</f>
        <v/>
      </c>
      <c r="P1035" s="252" t="n"/>
      <c r="Q1035" s="252" t="n"/>
      <c r="R1035" s="252" t="n"/>
      <c r="S1035" s="244">
        <f>Q1035*R1035</f>
        <v/>
      </c>
      <c r="T1035" s="27" t="inlineStr">
        <is>
          <t> </t>
        </is>
      </c>
      <c r="U1035" s="26" t="inlineStr">
        <is>
          <t>17.10-19.10</t>
        </is>
      </c>
      <c r="V1035" s="64" t="n"/>
      <c r="W1035" s="27" t="n"/>
      <c r="X1035" s="27" t="n"/>
    </row>
    <row r="1036" ht="22.2" customHeight="1" s="330">
      <c r="A1036" s="4" t="n"/>
      <c r="B1036" s="5" t="n"/>
      <c r="E1036" s="4" t="n"/>
      <c r="G1036" s="252" t="n"/>
      <c r="H1036" s="252" t="n"/>
      <c r="I1036" s="325" t="n"/>
      <c r="J1036" s="252" t="n"/>
      <c r="K1036" s="331" t="n"/>
      <c r="L1036" s="252" t="n"/>
      <c r="M1036" s="325" t="n"/>
      <c r="N1036" s="325" t="n"/>
      <c r="O1036" s="244">
        <f>M1036*N1036</f>
        <v/>
      </c>
      <c r="P1036" s="325" t="n"/>
      <c r="Q1036" s="325" t="n"/>
      <c r="R1036" s="325" t="n"/>
      <c r="S1036" s="244">
        <f>Q1036*R1036</f>
        <v/>
      </c>
    </row>
    <row r="1037" ht="22.2" customHeight="1" s="330">
      <c r="A1037" s="4" t="n"/>
      <c r="E1037" s="4" t="n"/>
      <c r="G1037" s="252" t="n"/>
      <c r="H1037" s="252" t="n"/>
      <c r="I1037" s="252" t="n"/>
      <c r="J1037" s="252" t="n"/>
      <c r="K1037" s="331" t="n"/>
      <c r="L1037" s="252" t="n"/>
      <c r="M1037" s="252" t="n"/>
      <c r="N1037" s="252" t="n"/>
      <c r="O1037" s="244">
        <f>M1037*N1037</f>
        <v/>
      </c>
      <c r="P1037" s="252" t="n"/>
      <c r="Q1037" s="252" t="n"/>
      <c r="R1037" s="252" t="n"/>
      <c r="S1037" s="244">
        <f>Q1037*R1037</f>
        <v/>
      </c>
    </row>
    <row r="1038" ht="22.2" customHeight="1" s="330">
      <c r="A1038" s="4" t="n"/>
      <c r="E1038" s="4" t="n"/>
      <c r="G1038" s="276" t="n"/>
      <c r="H1038" s="277" t="n"/>
      <c r="I1038" s="276" t="n"/>
      <c r="J1038" s="276" t="n"/>
      <c r="K1038" s="476" t="n"/>
      <c r="L1038" s="276" t="n"/>
      <c r="M1038" s="276" t="n"/>
      <c r="N1038" s="276" t="n"/>
      <c r="O1038" s="244">
        <f>M1038*N1038</f>
        <v/>
      </c>
      <c r="P1038" s="276" t="n"/>
      <c r="Q1038" s="276" t="n"/>
      <c r="R1038" s="276" t="n"/>
      <c r="S1038" s="244">
        <f>Q1038*R1038</f>
        <v/>
      </c>
    </row>
    <row r="1039" ht="22.2" customHeight="1" s="330">
      <c r="A1039" s="4" t="n"/>
      <c r="E1039" s="4" t="n"/>
      <c r="G1039" s="62" t="inlineStr">
        <is>
          <t>ศุกร์</t>
        </is>
      </c>
      <c r="H1039" s="252" t="inlineStr">
        <is>
          <t>20101-2101</t>
        </is>
      </c>
      <c r="I1039" s="325" t="inlineStr">
        <is>
          <t>ปวช.1/3 ชย. (ปกติ)</t>
        </is>
      </c>
      <c r="J1039" s="332" t="inlineStr">
        <is>
          <t>08.10-12.10</t>
        </is>
      </c>
      <c r="K1039" s="335" t="n"/>
      <c r="L1039" s="252" t="n"/>
      <c r="M1039" s="252" t="n"/>
      <c r="N1039" s="252" t="n"/>
      <c r="O1039" s="244">
        <f>M1039*N1039</f>
        <v/>
      </c>
      <c r="P1039" s="332" t="n"/>
      <c r="Q1039" s="265" t="n"/>
      <c r="R1039" s="332" t="n"/>
      <c r="S1039" s="244">
        <f>Q1039*R1039</f>
        <v/>
      </c>
    </row>
    <row r="1040" ht="22.2" customHeight="1" s="330">
      <c r="A1040" s="4" t="n"/>
      <c r="E1040" s="4" t="n"/>
      <c r="G1040" s="308">
        <f>G994</f>
        <v/>
      </c>
      <c r="H1040" s="252" t="inlineStr">
        <is>
          <t>20101-2101</t>
        </is>
      </c>
      <c r="I1040" s="325" t="inlineStr">
        <is>
          <t>ปวช.1/3 ชย. (ปกติ)</t>
        </is>
      </c>
      <c r="J1040" s="252" t="inlineStr">
        <is>
          <t>13.10-16.10</t>
        </is>
      </c>
      <c r="K1040" s="331" t="n"/>
      <c r="L1040" s="252" t="n"/>
      <c r="M1040" s="252" t="n"/>
      <c r="N1040" s="252" t="n"/>
      <c r="O1040" s="244">
        <f>M1040*N1040</f>
        <v/>
      </c>
      <c r="P1040" s="252" t="n"/>
      <c r="Q1040" s="252" t="n"/>
      <c r="R1040" s="252" t="n"/>
      <c r="S1040" s="244">
        <f>Q1040*R1040</f>
        <v/>
      </c>
    </row>
    <row r="1041" ht="22.2" customHeight="1" s="330">
      <c r="A1041" s="4" t="n"/>
      <c r="E1041" s="4" t="n"/>
      <c r="G1041" s="252" t="n"/>
      <c r="H1041" s="252" t="n"/>
      <c r="I1041" s="252" t="n"/>
      <c r="J1041" s="252" t="n"/>
      <c r="K1041" s="331" t="n"/>
      <c r="L1041" s="252" t="n"/>
      <c r="M1041" s="252" t="n"/>
      <c r="N1041" s="252" t="n"/>
      <c r="O1041" s="244">
        <f>M1041*N1041</f>
        <v/>
      </c>
      <c r="P1041" s="252" t="n"/>
      <c r="Q1041" s="252" t="n"/>
      <c r="R1041" s="252" t="n"/>
      <c r="S1041" s="244">
        <f>Q1041*R1041</f>
        <v/>
      </c>
    </row>
    <row r="1042" ht="22.2" customHeight="1" s="330">
      <c r="A1042" s="4" t="n"/>
      <c r="E1042" s="4" t="n"/>
      <c r="G1042" s="252" t="n"/>
      <c r="H1042" s="252" t="n"/>
      <c r="I1042" s="252" t="n"/>
      <c r="J1042" s="252" t="n"/>
      <c r="K1042" s="331" t="n"/>
      <c r="L1042" s="252" t="n"/>
      <c r="M1042" s="252" t="n"/>
      <c r="N1042" s="252" t="n"/>
      <c r="O1042" s="244">
        <f>M1042*N1042</f>
        <v/>
      </c>
      <c r="P1042" s="252" t="n"/>
      <c r="Q1042" s="252" t="n"/>
      <c r="R1042" s="252" t="n"/>
      <c r="S1042" s="244">
        <f>Q1042*R1042</f>
        <v/>
      </c>
    </row>
    <row r="1043" ht="22.2" customHeight="1" s="330">
      <c r="A1043" s="4" t="n"/>
      <c r="E1043" s="4" t="n"/>
      <c r="F1043" s="4" t="n"/>
      <c r="G1043" s="278" t="n"/>
      <c r="H1043" s="301" t="n"/>
      <c r="I1043" s="276" t="n"/>
      <c r="J1043" s="276" t="n"/>
      <c r="K1043" s="476" t="n"/>
      <c r="L1043" s="276" t="n"/>
      <c r="M1043" s="276" t="n"/>
      <c r="N1043" s="276" t="n"/>
      <c r="O1043" s="244">
        <f>M1043*N1043</f>
        <v/>
      </c>
      <c r="P1043" s="276" t="n"/>
      <c r="Q1043" s="276" t="n"/>
      <c r="R1043" s="276" t="n"/>
      <c r="S1043" s="244">
        <f>Q1043*R1043</f>
        <v/>
      </c>
    </row>
    <row r="1044" ht="22.2" customHeight="1" s="330">
      <c r="A1044" s="4" t="n"/>
      <c r="E1044" s="4" t="n"/>
      <c r="F1044" s="4" t="n"/>
      <c r="G1044" s="17" t="inlineStr">
        <is>
          <t>รวมขั่วโมงที่สอนแยก ภาระงาน/ เกินภาระงาน</t>
        </is>
      </c>
      <c r="H1044" s="467" t="n"/>
      <c r="I1044" s="467" t="n"/>
      <c r="J1044" s="467" t="n"/>
      <c r="K1044" s="362" t="n"/>
      <c r="L1044" s="17">
        <f>SUM(L1019:L1043)</f>
        <v/>
      </c>
      <c r="M1044" s="17">
        <f>SUM(M1019:M1043)</f>
        <v/>
      </c>
      <c r="N1044" s="17" t="n"/>
      <c r="O1044" s="17" t="n"/>
      <c r="P1044" s="17">
        <f>SUM(P1019:P1043)</f>
        <v/>
      </c>
      <c r="Q1044" s="17">
        <f>SUM(Q1019:Q1043)</f>
        <v/>
      </c>
      <c r="R1044" s="279" t="n"/>
      <c r="S1044" s="17" t="n"/>
    </row>
    <row r="1045" ht="22.2" customHeight="1" s="330">
      <c r="A1045" s="4" t="n"/>
      <c r="E1045" s="4" t="n"/>
      <c r="F1045" s="4" t="n"/>
      <c r="G1045" s="17" t="inlineStr">
        <is>
          <t>รวมจำนวนชั่วโมงสอนคาบต่อสับดาห์</t>
        </is>
      </c>
      <c r="H1045" s="467" t="n"/>
      <c r="I1045" s="467" t="n"/>
      <c r="J1045" s="467" t="n"/>
      <c r="K1045" s="362" t="n"/>
      <c r="L1045" s="17">
        <f>L1044+M1044</f>
        <v/>
      </c>
      <c r="M1045" s="362" t="n"/>
      <c r="N1045" s="298" t="n"/>
      <c r="O1045" s="17" t="n"/>
      <c r="P1045" s="17">
        <f>P1044+Q1044</f>
        <v/>
      </c>
      <c r="Q1045" s="362" t="n"/>
      <c r="R1045" s="278" t="n"/>
      <c r="S1045" s="276" t="n"/>
    </row>
    <row r="1046" ht="22.2" customHeight="1" s="330">
      <c r="A1046" s="4" t="n"/>
      <c r="E1046" s="4" t="n"/>
      <c r="F1046" s="4" t="n"/>
      <c r="G1046" s="17" t="inlineStr">
        <is>
          <t>จำนวนชั่วโมงสอนตามภาระงานสอน</t>
        </is>
      </c>
      <c r="H1046" s="467" t="n"/>
      <c r="I1046" s="467" t="n"/>
      <c r="J1046" s="467" t="n"/>
      <c r="K1046" s="362" t="n"/>
      <c r="L1046" s="17" t="n">
        <v>18</v>
      </c>
      <c r="M1046" s="362" t="n"/>
      <c r="N1046" s="298" t="n"/>
      <c r="O1046" s="17" t="n"/>
      <c r="P1046" s="17" t="n">
        <v>0</v>
      </c>
      <c r="Q1046" s="362" t="n"/>
      <c r="R1046" s="249" t="n"/>
      <c r="S1046" s="252" t="n"/>
    </row>
    <row r="1047" ht="22.2" customHeight="1" s="330" thickBot="1">
      <c r="A1047" s="4" t="n"/>
      <c r="E1047" s="4" t="n"/>
      <c r="F1047" s="15" t="n"/>
      <c r="G1047" s="17" t="inlineStr">
        <is>
          <t>จำนวนชั่วโมงบิกเกินภาระงานสอน/ค่าสอน</t>
        </is>
      </c>
      <c r="H1047" s="467" t="n"/>
      <c r="I1047" s="467" t="n"/>
      <c r="J1047" s="467" t="n"/>
      <c r="K1047" s="362" t="n"/>
      <c r="L1047" s="18" t="n">
        <v>0</v>
      </c>
      <c r="M1047" s="18">
        <f>SUM(M1019:M1043)</f>
        <v/>
      </c>
      <c r="N1047" s="18" t="n"/>
      <c r="O1047" s="18">
        <f>SUM(O1019:O1043)</f>
        <v/>
      </c>
      <c r="P1047" s="18" t="n">
        <v>0</v>
      </c>
      <c r="Q1047" s="18">
        <f>SUM(Q1019:Q1043)</f>
        <v/>
      </c>
      <c r="R1047" s="19" t="n"/>
      <c r="S1047" s="18">
        <f>SUM(S1019:S1043)</f>
        <v/>
      </c>
    </row>
    <row r="1048" ht="22.2" customHeight="1" s="330" thickTop="1">
      <c r="A1048" s="299" t="inlineStr">
        <is>
          <t>รวมจำนวนหน่วยชั่วโมงที่ขอเบิกค่าสอน ….</t>
        </is>
      </c>
      <c r="B1048" s="467" t="n"/>
      <c r="C1048" s="467" t="n"/>
      <c r="D1048" s="467" t="n"/>
      <c r="E1048" s="467" t="n"/>
      <c r="F1048" s="467" t="n"/>
      <c r="G1048" s="467" t="n"/>
      <c r="H1048" s="298">
        <f>M1047+Q1047</f>
        <v/>
      </c>
      <c r="I1048" s="298" t="inlineStr">
        <is>
          <t>….ชั่วโมง</t>
        </is>
      </c>
      <c r="J1048" s="298" t="n"/>
      <c r="K1048" s="301" t="inlineStr">
        <is>
          <t>ยอดเงินรวม</t>
        </is>
      </c>
      <c r="L1048" s="471" t="n"/>
      <c r="M1048" s="471" t="n"/>
      <c r="N1048" s="301" t="n"/>
      <c r="O1048" s="301" t="n"/>
      <c r="P1048" s="302">
        <f>S1047+O1047</f>
        <v/>
      </c>
      <c r="Q1048" s="482" t="n"/>
      <c r="R1048" s="21" t="n"/>
      <c r="S1048" s="20" t="inlineStr">
        <is>
          <t>..บาท</t>
        </is>
      </c>
    </row>
    <row r="1049" ht="22.2" customHeight="1" s="330">
      <c r="A1049" s="207" t="inlineStr">
        <is>
          <t>ผู้ขอเบิก</t>
        </is>
      </c>
      <c r="B1049" s="334" t="n"/>
      <c r="C1049" s="334" t="n"/>
      <c r="D1049" s="334" t="n"/>
      <c r="E1049" s="334" t="n"/>
      <c r="F1049" s="334" t="n"/>
      <c r="G1049" s="335" t="n"/>
      <c r="H1049" s="207" t="inlineStr">
        <is>
          <t>ผู้รับรอง</t>
        </is>
      </c>
      <c r="I1049" s="334" t="n"/>
      <c r="J1049" s="334" t="n"/>
      <c r="K1049" s="334" t="n"/>
      <c r="L1049" s="335" t="n"/>
      <c r="M1049" s="207" t="inlineStr">
        <is>
          <t>ผู้ตรวจ</t>
        </is>
      </c>
      <c r="N1049" s="334" t="n"/>
      <c r="O1049" s="334" t="n"/>
      <c r="P1049" s="334" t="n"/>
      <c r="Q1049" s="334" t="n"/>
      <c r="R1049" s="334" t="n"/>
      <c r="S1049" s="335" t="n"/>
    </row>
    <row r="1050" ht="22.2" customHeight="1" s="330">
      <c r="A1050" s="252" t="inlineStr">
        <is>
          <t>ลงชื่อ……………………………………………</t>
        </is>
      </c>
      <c r="G1050" s="331" t="n"/>
      <c r="H1050" s="252" t="inlineStr">
        <is>
          <t>ลงชื่อ……………………………………………</t>
        </is>
      </c>
      <c r="L1050" s="331" t="n"/>
      <c r="M1050" s="252" t="inlineStr">
        <is>
          <t>ลงชื่อ……………………………………………</t>
        </is>
      </c>
      <c r="S1050" s="331" t="n"/>
    </row>
    <row r="1051" ht="22.2" customHeight="1" s="330">
      <c r="A1051" s="12" t="inlineStr">
        <is>
          <t>(</t>
        </is>
      </c>
      <c r="B1051" s="309">
        <f>B1019</f>
        <v/>
      </c>
      <c r="G1051" s="310" t="inlineStr">
        <is>
          <t>)</t>
        </is>
      </c>
      <c r="H1051" s="309" t="inlineStr">
        <is>
          <t>(</t>
        </is>
      </c>
      <c r="I1051" s="314">
        <f>I1005</f>
        <v/>
      </c>
      <c r="L1051" s="13" t="inlineStr">
        <is>
          <t>)</t>
        </is>
      </c>
      <c r="M1051" s="61" t="inlineStr">
        <is>
          <t>(</t>
        </is>
      </c>
      <c r="N1051" s="61" t="n"/>
      <c r="O1051" s="309" t="inlineStr">
        <is>
          <t>นายพิสุทธิศักดิ์  กล่อมนาค</t>
        </is>
      </c>
      <c r="R1051" s="29" t="n"/>
      <c r="S1051" s="310" t="inlineStr">
        <is>
          <t>)</t>
        </is>
      </c>
    </row>
    <row r="1052" ht="22.2" customHeight="1" s="330">
      <c r="A1052" s="483" t="inlineStr">
        <is>
          <t xml:space="preserve">                 ตำแหน่ง  ครูพิเศษ</t>
        </is>
      </c>
      <c r="G1052" s="331" t="n"/>
      <c r="H1052" s="62" t="inlineStr">
        <is>
          <t>ตำแหน่ง หัวหน้าแผนก</t>
        </is>
      </c>
      <c r="L1052" s="331" t="n"/>
      <c r="M1052" s="62" t="inlineStr">
        <is>
          <t>ตำแหน่ง   ผู้ตรวจสอบ</t>
        </is>
      </c>
      <c r="S1052" s="331" t="n"/>
    </row>
    <row r="1053" ht="22.2" customHeight="1" s="330">
      <c r="A1053" s="63">
        <f>A41</f>
        <v/>
      </c>
      <c r="B1053" s="471" t="n"/>
      <c r="C1053" s="471" t="n"/>
      <c r="D1053" s="471" t="n"/>
      <c r="E1053" s="471" t="n"/>
      <c r="F1053" s="471" t="n"/>
      <c r="G1053" s="476" t="n"/>
      <c r="H1053" s="62">
        <f>A41</f>
        <v/>
      </c>
      <c r="L1053" s="331" t="n"/>
      <c r="M1053" s="63">
        <f>A41</f>
        <v/>
      </c>
      <c r="N1053" s="471" t="n"/>
      <c r="O1053" s="471" t="n"/>
      <c r="P1053" s="471" t="n"/>
      <c r="Q1053" s="471" t="n"/>
      <c r="R1053" s="471" t="n"/>
      <c r="S1053" s="476" t="n"/>
    </row>
    <row r="1054" ht="22.2" customHeight="1" s="330">
      <c r="A1054" s="207" t="inlineStr">
        <is>
          <t>ผู้ตรวจ</t>
        </is>
      </c>
      <c r="B1054" s="334" t="n"/>
      <c r="C1054" s="334" t="n"/>
      <c r="D1054" s="334" t="n"/>
      <c r="E1054" s="334" t="n"/>
      <c r="F1054" s="334" t="n"/>
      <c r="G1054" s="334" t="n"/>
      <c r="H1054" s="334" t="n"/>
      <c r="I1054" s="335" t="n"/>
      <c r="J1054" s="207" t="inlineStr">
        <is>
          <t>ผู้เห็นชอบ</t>
        </is>
      </c>
      <c r="K1054" s="334" t="n"/>
      <c r="L1054" s="334" t="n"/>
      <c r="M1054" s="334" t="n"/>
      <c r="N1054" s="334" t="n"/>
      <c r="O1054" s="334" t="n"/>
      <c r="P1054" s="334" t="n"/>
      <c r="Q1054" s="334" t="n"/>
      <c r="R1054" s="334" t="n"/>
      <c r="S1054" s="335" t="n"/>
    </row>
    <row r="1055" ht="22.2" customHeight="1" s="330">
      <c r="A1055" s="252" t="inlineStr">
        <is>
          <t>ลงชื่อ……………………………………………</t>
        </is>
      </c>
      <c r="I1055" s="331" t="n"/>
      <c r="J1055" s="252" t="inlineStr">
        <is>
          <t>ลงชื่อ……………………………………………</t>
        </is>
      </c>
      <c r="S1055" s="331" t="n"/>
    </row>
    <row r="1056" ht="22.2" customHeight="1" s="330">
      <c r="A1056" s="12" t="n"/>
      <c r="B1056" s="309" t="inlineStr">
        <is>
          <t xml:space="preserve">          (นางศิวรักษ์   บุญประเสริฐ)</t>
        </is>
      </c>
      <c r="I1056" s="310" t="n"/>
      <c r="J1056" s="29" t="n"/>
      <c r="K1056" s="29" t="n"/>
      <c r="L1056" s="309" t="inlineStr">
        <is>
          <t>(นายปรีชา  โพธิ์เกิด)</t>
        </is>
      </c>
      <c r="R1056" s="29" t="n"/>
      <c r="S1056" s="13" t="n"/>
    </row>
    <row r="1057" ht="22.2" customHeight="1" s="330">
      <c r="A1057" s="62" t="inlineStr">
        <is>
          <t>ตำแหน่งครู  หัวหน้างานพัฒนาหลักสูตร ฯ</t>
        </is>
      </c>
      <c r="I1057" s="331" t="n"/>
      <c r="J1057" s="62" t="inlineStr">
        <is>
          <t>ตำแหน่ง  รองผู้อำนวยการฝ่ายวิชาการ</t>
        </is>
      </c>
      <c r="S1057" s="331" t="n"/>
    </row>
    <row r="1058" ht="22.2" customHeight="1" s="330">
      <c r="A1058" s="63">
        <f>A41</f>
        <v/>
      </c>
      <c r="B1058" s="471" t="n"/>
      <c r="C1058" s="471" t="n"/>
      <c r="D1058" s="471" t="n"/>
      <c r="E1058" s="471" t="n"/>
      <c r="F1058" s="471" t="n"/>
      <c r="G1058" s="471" t="n"/>
      <c r="H1058" s="471" t="n"/>
      <c r="I1058" s="476" t="n"/>
      <c r="J1058" s="63">
        <f>A41</f>
        <v/>
      </c>
      <c r="K1058" s="471" t="n"/>
      <c r="L1058" s="471" t="n"/>
      <c r="M1058" s="471" t="n"/>
      <c r="N1058" s="471" t="n"/>
      <c r="O1058" s="471" t="n"/>
      <c r="P1058" s="471" t="n"/>
      <c r="Q1058" s="471" t="n"/>
      <c r="R1058" s="471" t="n"/>
      <c r="S1058" s="476" t="n"/>
    </row>
    <row r="1059" ht="22.2" customHeight="1" s="330">
      <c r="A105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060" ht="22.2" customHeight="1" s="330">
      <c r="A1060" s="254">
        <f>A2</f>
        <v/>
      </c>
    </row>
    <row r="1061" ht="22.2" customHeight="1" s="330">
      <c r="A1061" s="253" t="inlineStr">
        <is>
          <t xml:space="preserve">    ระหว่างวันที่</t>
        </is>
      </c>
      <c r="D1061" s="254">
        <f>D3</f>
        <v/>
      </c>
      <c r="E1061" s="254" t="inlineStr">
        <is>
          <t xml:space="preserve">   เดือน  </t>
        </is>
      </c>
      <c r="F1061" s="254">
        <f>F3</f>
        <v/>
      </c>
      <c r="H1061" s="254">
        <f>H3</f>
        <v/>
      </c>
      <c r="I1061" s="254" t="inlineStr">
        <is>
          <t xml:space="preserve">     ถึง วันที่</t>
        </is>
      </c>
      <c r="J1061" s="254">
        <f>J3</f>
        <v/>
      </c>
      <c r="K1061" s="254" t="inlineStr">
        <is>
          <t xml:space="preserve">   เดือน </t>
        </is>
      </c>
      <c r="L1061" s="254">
        <f>L3</f>
        <v/>
      </c>
      <c r="N1061" s="254">
        <f>N3</f>
        <v/>
      </c>
      <c r="P1061" s="254" t="n"/>
      <c r="R1061" s="254" t="n"/>
    </row>
    <row r="1062" ht="22.2" customHeight="1" s="330">
      <c r="G1062" s="58" t="inlineStr">
        <is>
          <t>ü</t>
        </is>
      </c>
      <c r="H1062" s="8" t="inlineStr">
        <is>
          <t>ครูพิเศษ</t>
        </is>
      </c>
      <c r="I1062" s="249" t="inlineStr">
        <is>
          <t>หน้าที่พิเศษ</t>
        </is>
      </c>
      <c r="K1062" s="290" t="n"/>
    </row>
    <row r="1063" ht="22.2" customHeight="1" s="330">
      <c r="A1063" s="28" t="inlineStr">
        <is>
          <t>ที่</t>
        </is>
      </c>
      <c r="B1063" s="28" t="inlineStr">
        <is>
          <t>ชื่อ-สกุล</t>
        </is>
      </c>
      <c r="C1063" s="334" t="n"/>
      <c r="D1063" s="335" t="n"/>
      <c r="E1063" s="16" t="inlineStr">
        <is>
          <t>ตำแหน่ง</t>
        </is>
      </c>
      <c r="F1063" s="17" t="inlineStr">
        <is>
          <t>ระยะเวลาที่สอน</t>
        </is>
      </c>
      <c r="G1063" s="362" t="n"/>
      <c r="H1063" s="17" t="inlineStr">
        <is>
          <t>รหัสวิชา</t>
        </is>
      </c>
      <c r="I1063" s="275" t="inlineStr">
        <is>
          <t>ชั้น,แผนก,ห้อง</t>
        </is>
      </c>
      <c r="J1063" s="17" t="inlineStr">
        <is>
          <t>เวลาสอน</t>
        </is>
      </c>
      <c r="K1063" s="335" t="n"/>
      <c r="L1063" s="17" t="inlineStr">
        <is>
          <t>ปวช.(คาบ)</t>
        </is>
      </c>
      <c r="M1063" s="362" t="n"/>
      <c r="N1063" s="244" t="inlineStr">
        <is>
          <t>เงิน</t>
        </is>
      </c>
      <c r="O1063" s="275" t="inlineStr">
        <is>
          <t>ยอดเงิน</t>
        </is>
      </c>
      <c r="P1063" s="473" t="inlineStr">
        <is>
          <t>ปวส.(คาบ)</t>
        </is>
      </c>
      <c r="Q1063" s="362" t="n"/>
      <c r="R1063" s="244" t="inlineStr">
        <is>
          <t>เงิน</t>
        </is>
      </c>
      <c r="S1063" s="275" t="inlineStr">
        <is>
          <t>ยอดเงิน</t>
        </is>
      </c>
    </row>
    <row r="1064" ht="22.2" customHeight="1" s="330">
      <c r="A1064" s="60" t="n"/>
      <c r="B1064" s="9" t="n"/>
      <c r="C1064" s="10" t="n"/>
      <c r="D1064" s="14" t="n"/>
      <c r="E1064" s="11" t="n"/>
      <c r="F1064" s="276" t="inlineStr">
        <is>
          <t>ส.</t>
        </is>
      </c>
      <c r="G1064" s="276" t="inlineStr">
        <is>
          <t>วดป.</t>
        </is>
      </c>
      <c r="H1064" s="474" t="n"/>
      <c r="I1064" s="276" t="n"/>
      <c r="J1064" s="475" t="n"/>
      <c r="K1064" s="476" t="n"/>
      <c r="L1064" s="276" t="inlineStr">
        <is>
          <t>ใน</t>
        </is>
      </c>
      <c r="M1064" s="276" t="inlineStr">
        <is>
          <t>นอก</t>
        </is>
      </c>
      <c r="N1064" s="276" t="inlineStr">
        <is>
          <t>ต่อ ชม.</t>
        </is>
      </c>
      <c r="O1064" s="276" t="inlineStr">
        <is>
          <t>(บาท)</t>
        </is>
      </c>
      <c r="P1064" s="60" t="inlineStr">
        <is>
          <t>ใน</t>
        </is>
      </c>
      <c r="Q1064" s="60" t="inlineStr">
        <is>
          <t>นอก</t>
        </is>
      </c>
      <c r="R1064" s="276" t="inlineStr">
        <is>
          <t>ต่อ ชม.</t>
        </is>
      </c>
      <c r="S1064" s="276" t="inlineStr">
        <is>
          <t>(บาท)</t>
        </is>
      </c>
    </row>
    <row r="1065" ht="22.2" customHeight="1" s="330">
      <c r="A1065" s="275" t="n">
        <v>24</v>
      </c>
      <c r="B1065" s="477">
        <f>AB26</f>
        <v/>
      </c>
      <c r="C1065" s="334" t="n"/>
      <c r="D1065" s="335" t="n"/>
      <c r="E1065" s="275" t="inlineStr">
        <is>
          <t>ครู</t>
        </is>
      </c>
      <c r="F1065" s="6">
        <f>F7</f>
        <v/>
      </c>
      <c r="G1065" s="303" t="inlineStr">
        <is>
          <t>จันทร์</t>
        </is>
      </c>
      <c r="H1065" s="252" t="inlineStr">
        <is>
          <t>20101-5102</t>
        </is>
      </c>
      <c r="I1065" s="325" t="inlineStr">
        <is>
          <t>ปวช.2/9 ชย. (ทวิ)</t>
        </is>
      </c>
      <c r="J1065" s="332" t="inlineStr">
        <is>
          <t>08.10-12.10</t>
        </is>
      </c>
      <c r="K1065" s="335" t="n"/>
      <c r="L1065" s="265" t="n"/>
      <c r="M1065" s="332" t="n"/>
      <c r="N1065" s="332" t="n"/>
      <c r="O1065" s="244">
        <f>M1065*N1065</f>
        <v/>
      </c>
      <c r="P1065" s="332" t="n"/>
      <c r="Q1065" s="265" t="n"/>
      <c r="R1065" s="332" t="n"/>
      <c r="S1065" s="244">
        <f>Q1065*R1065</f>
        <v/>
      </c>
    </row>
    <row r="1066" ht="22.2" customHeight="1" s="330">
      <c r="A1066" s="4" t="n"/>
      <c r="B1066" s="478" t="n"/>
      <c r="D1066" s="331" t="n"/>
      <c r="E1066" s="252" t="inlineStr">
        <is>
          <t>พิเศษ</t>
        </is>
      </c>
      <c r="F1066" s="249" t="n"/>
      <c r="G1066" s="308">
        <f>G1020</f>
        <v/>
      </c>
      <c r="H1066" s="252" t="inlineStr">
        <is>
          <t>20101-5102</t>
        </is>
      </c>
      <c r="I1066" s="325" t="inlineStr">
        <is>
          <t>ปวช.2/9 ชย. (ทวิ)</t>
        </is>
      </c>
      <c r="J1066" s="325" t="inlineStr">
        <is>
          <t>13.10-16.10</t>
        </is>
      </c>
      <c r="K1066" s="331" t="n"/>
      <c r="L1066" s="252" t="n"/>
      <c r="M1066" s="252" t="n"/>
      <c r="N1066" s="252" t="n"/>
      <c r="O1066" s="244">
        <f>M1066*N1066</f>
        <v/>
      </c>
      <c r="P1066" s="252" t="n"/>
      <c r="Q1066" s="252" t="n"/>
      <c r="R1066" s="252" t="n"/>
      <c r="S1066" s="244">
        <f>Q1066*R1066</f>
        <v/>
      </c>
    </row>
    <row r="1067" ht="22.2" customHeight="1" s="330">
      <c r="A1067" s="4" t="n"/>
      <c r="B1067" s="5" t="n"/>
      <c r="D1067" s="3" t="n"/>
      <c r="E1067" s="3" t="n"/>
      <c r="F1067" s="249" t="n"/>
      <c r="G1067" s="248" t="n"/>
      <c r="H1067" s="252" t="inlineStr">
        <is>
          <t>20101-8501</t>
        </is>
      </c>
      <c r="I1067" s="325" t="inlineStr">
        <is>
          <t>ปวช.3/3,4 ชย. (ปกติ)</t>
        </is>
      </c>
      <c r="J1067" s="325" t="inlineStr">
        <is>
          <t>16.10-18.10</t>
        </is>
      </c>
      <c r="K1067" s="331" t="n"/>
      <c r="L1067" s="252" t="n"/>
      <c r="M1067" s="252" t="n"/>
      <c r="N1067" s="252" t="n"/>
      <c r="O1067" s="244">
        <f>M1067*N1067</f>
        <v/>
      </c>
      <c r="P1067" s="252" t="n"/>
      <c r="Q1067" s="252" t="n"/>
      <c r="R1067" s="252" t="n"/>
      <c r="S1067" s="244">
        <f>Q1067*R1067</f>
        <v/>
      </c>
    </row>
    <row r="1068" ht="22.2" customHeight="1" s="330">
      <c r="A1068" s="4" t="n"/>
      <c r="B1068" s="5" t="n"/>
      <c r="E1068" s="4" t="n"/>
      <c r="F1068" s="249" t="n"/>
      <c r="G1068" s="248" t="n"/>
      <c r="H1068" s="252" t="n"/>
      <c r="I1068" s="252" t="n"/>
      <c r="J1068" s="252" t="n"/>
      <c r="K1068" s="331" t="n"/>
      <c r="L1068" s="252" t="n"/>
      <c r="M1068" s="252" t="n"/>
      <c r="N1068" s="252" t="n"/>
      <c r="O1068" s="244">
        <f>M1068*N1068</f>
        <v/>
      </c>
      <c r="P1068" s="252" t="n"/>
      <c r="Q1068" s="252" t="n"/>
      <c r="R1068" s="252" t="n"/>
      <c r="S1068" s="244">
        <f>Q1068*R1068</f>
        <v/>
      </c>
    </row>
    <row r="1069" ht="22.2" customHeight="1" s="330">
      <c r="A1069" s="4" t="n"/>
      <c r="D1069" s="8" t="inlineStr">
        <is>
          <t> </t>
        </is>
      </c>
      <c r="E1069" s="4" t="n"/>
      <c r="G1069" s="311" t="n"/>
      <c r="H1069" s="276" t="n"/>
      <c r="I1069" s="57" t="n"/>
      <c r="J1069" s="276" t="n"/>
      <c r="K1069" s="476" t="n"/>
      <c r="L1069" s="252" t="n"/>
      <c r="M1069" s="252" t="n"/>
      <c r="N1069" s="252" t="n"/>
      <c r="O1069" s="244">
        <f>M1069*N1069</f>
        <v/>
      </c>
      <c r="P1069" s="252" t="n"/>
      <c r="Q1069" s="252" t="n"/>
      <c r="R1069" s="252" t="n"/>
      <c r="S1069" s="244">
        <f>Q1069*R1069</f>
        <v/>
      </c>
    </row>
    <row r="1070" ht="22.2" customHeight="1" s="330">
      <c r="A1070" s="4" t="n"/>
      <c r="E1070" s="4" t="n"/>
      <c r="G1070" s="62" t="inlineStr">
        <is>
          <t>อังคาร</t>
        </is>
      </c>
      <c r="H1070" s="252" t="inlineStr">
        <is>
          <t>20101-2001</t>
        </is>
      </c>
      <c r="I1070" s="325" t="inlineStr">
        <is>
          <t>ปวช.1/9 ชย. (ทวิ)</t>
        </is>
      </c>
      <c r="J1070" s="332" t="inlineStr">
        <is>
          <t>08.10-12.10</t>
        </is>
      </c>
      <c r="K1070" s="335" t="n"/>
      <c r="L1070" s="265" t="n"/>
      <c r="M1070" s="332" t="n"/>
      <c r="N1070" s="332" t="n"/>
      <c r="O1070" s="244">
        <f>M1070*N1070</f>
        <v/>
      </c>
      <c r="P1070" s="332" t="n"/>
      <c r="Q1070" s="265" t="n"/>
      <c r="R1070" s="332" t="n"/>
      <c r="S1070" s="244">
        <f>Q1070*R1070</f>
        <v/>
      </c>
    </row>
    <row r="1071" ht="22.2" customHeight="1" s="330">
      <c r="A1071" s="4" t="n"/>
      <c r="B1071" s="248" t="n"/>
      <c r="C1071" s="249" t="n"/>
      <c r="D1071" s="249" t="n"/>
      <c r="E1071" s="252" t="n"/>
      <c r="G1071" s="62">
        <f>G1025</f>
        <v/>
      </c>
      <c r="H1071" s="252" t="inlineStr">
        <is>
          <t>20101-2001</t>
        </is>
      </c>
      <c r="I1071" s="325" t="inlineStr">
        <is>
          <t>ปวช.1/9 ชย. (ทวิ)</t>
        </is>
      </c>
      <c r="J1071" s="325" t="inlineStr">
        <is>
          <t>13.10-16.10</t>
        </is>
      </c>
      <c r="K1071" s="331" t="n"/>
      <c r="L1071" s="252" t="n"/>
      <c r="M1071" s="252" t="n"/>
      <c r="N1071" s="252" t="n"/>
      <c r="O1071" s="244">
        <f>M1071*N1071</f>
        <v/>
      </c>
      <c r="P1071" s="252" t="n"/>
      <c r="Q1071" s="252" t="n"/>
      <c r="R1071" s="252" t="n"/>
      <c r="S1071" s="244">
        <f>Q1071*R1071</f>
        <v/>
      </c>
    </row>
    <row r="1072" ht="22.2" customHeight="1" s="330">
      <c r="A1072" s="4" t="n"/>
      <c r="B1072" s="5" t="n"/>
      <c r="D1072" s="3" t="n"/>
      <c r="E1072" s="3" t="n"/>
      <c r="G1072" s="252" t="n"/>
      <c r="H1072" s="325" t="n"/>
      <c r="I1072" s="286" t="n"/>
      <c r="J1072" s="325" t="n"/>
      <c r="K1072" s="331" t="n"/>
      <c r="L1072" s="252" t="n"/>
      <c r="M1072" s="252" t="n"/>
      <c r="N1072" s="252" t="n"/>
      <c r="O1072" s="244">
        <f>M1072*N1072</f>
        <v/>
      </c>
      <c r="P1072" s="252" t="n"/>
      <c r="Q1072" s="252" t="n"/>
      <c r="R1072" s="252" t="n"/>
      <c r="S1072" s="244">
        <f>Q1072*R1072</f>
        <v/>
      </c>
    </row>
    <row r="1073" ht="22.2" customHeight="1" s="330">
      <c r="A1073" s="4" t="n"/>
      <c r="E1073" s="4" t="n"/>
      <c r="G1073" s="62" t="n"/>
      <c r="H1073" s="249" t="n"/>
      <c r="I1073" s="252" t="n"/>
      <c r="J1073" s="252" t="n"/>
      <c r="K1073" s="331" t="n"/>
      <c r="L1073" s="252" t="n"/>
      <c r="M1073" s="252" t="n"/>
      <c r="N1073" s="252" t="n"/>
      <c r="O1073" s="244">
        <f>M1073*N1073</f>
        <v/>
      </c>
      <c r="P1073" s="252" t="n"/>
      <c r="Q1073" s="252" t="n"/>
      <c r="R1073" s="252" t="n"/>
      <c r="S1073" s="244">
        <f>Q1073*R1073</f>
        <v/>
      </c>
    </row>
    <row r="1074" ht="22.2" customHeight="1" s="330">
      <c r="A1074" s="4" t="n"/>
      <c r="D1074" s="8" t="inlineStr">
        <is>
          <t> </t>
        </is>
      </c>
      <c r="E1074" s="4" t="n"/>
      <c r="G1074" s="63" t="n"/>
      <c r="H1074" s="276" t="n"/>
      <c r="I1074" s="276" t="n"/>
      <c r="J1074" s="276" t="n"/>
      <c r="K1074" s="476" t="n"/>
      <c r="L1074" s="252" t="n"/>
      <c r="M1074" s="252" t="n"/>
      <c r="N1074" s="252" t="n"/>
      <c r="O1074" s="244">
        <f>M1074*N1074</f>
        <v/>
      </c>
      <c r="P1074" s="252" t="n"/>
      <c r="Q1074" s="252" t="n"/>
      <c r="R1074" s="252" t="n"/>
      <c r="S1074" s="244">
        <f>Q1074*R1074</f>
        <v/>
      </c>
    </row>
    <row r="1075" ht="22.2" customHeight="1" s="330">
      <c r="A1075" s="4" t="n"/>
      <c r="E1075" s="4" t="n"/>
      <c r="G1075" s="308" t="inlineStr">
        <is>
          <t>พุธ</t>
        </is>
      </c>
      <c r="H1075" s="252" t="inlineStr">
        <is>
          <t>20101-8501</t>
        </is>
      </c>
      <c r="I1075" s="325" t="inlineStr">
        <is>
          <t>ปวช.3/3,4 ชย. (ปกติ)</t>
        </is>
      </c>
      <c r="J1075" s="332" t="inlineStr">
        <is>
          <t>16.10-18.10</t>
        </is>
      </c>
      <c r="K1075" s="335" t="n"/>
      <c r="L1075" s="265" t="n"/>
      <c r="M1075" s="332" t="n"/>
      <c r="N1075" s="332" t="n"/>
      <c r="O1075" s="244">
        <f>M1075*N1075</f>
        <v/>
      </c>
      <c r="P1075" s="332" t="n"/>
      <c r="Q1075" s="265" t="n"/>
      <c r="R1075" s="332" t="n"/>
      <c r="S1075" s="244">
        <f>Q1075*R1075</f>
        <v/>
      </c>
    </row>
    <row r="1076" ht="22.2" customHeight="1" s="330">
      <c r="A1076" s="4" t="n"/>
      <c r="B1076" s="248" t="n"/>
      <c r="C1076" s="249" t="n"/>
      <c r="D1076" s="249" t="n"/>
      <c r="E1076" s="252" t="n"/>
      <c r="G1076" s="308">
        <f>G1030</f>
        <v/>
      </c>
      <c r="H1076" s="325" t="n"/>
      <c r="I1076" s="325" t="n"/>
      <c r="J1076" s="325" t="n"/>
      <c r="K1076" s="331" t="n"/>
      <c r="L1076" s="252" t="n"/>
      <c r="M1076" s="252" t="n"/>
      <c r="N1076" s="252" t="n"/>
      <c r="O1076" s="244">
        <f>M1076*N1076</f>
        <v/>
      </c>
      <c r="P1076" s="252" t="n"/>
      <c r="Q1076" s="252" t="n"/>
      <c r="R1076" s="252" t="n"/>
      <c r="S1076" s="244">
        <f>Q1076*R1076</f>
        <v/>
      </c>
    </row>
    <row r="1077" ht="22.2" customHeight="1" s="330">
      <c r="A1077" s="4" t="n"/>
      <c r="B1077" s="5" t="n"/>
      <c r="D1077" s="3" t="n"/>
      <c r="E1077" s="3" t="n"/>
      <c r="G1077" s="252" t="n"/>
      <c r="H1077" s="286" t="n"/>
      <c r="I1077" s="325" t="n"/>
      <c r="J1077" s="325" t="n"/>
      <c r="K1077" s="331" t="n"/>
      <c r="L1077" s="252" t="n"/>
      <c r="M1077" s="252" t="n"/>
      <c r="N1077" s="252" t="n"/>
      <c r="O1077" s="244">
        <f>M1077*N1077</f>
        <v/>
      </c>
      <c r="P1077" s="252" t="n"/>
      <c r="Q1077" s="252" t="n"/>
      <c r="R1077" s="252" t="n"/>
      <c r="S1077" s="244">
        <f>Q1077*R1077</f>
        <v/>
      </c>
    </row>
    <row r="1078" ht="22.2" customHeight="1" s="330">
      <c r="A1078" s="4" t="n"/>
      <c r="E1078" s="4" t="n"/>
      <c r="G1078" s="252" t="n"/>
      <c r="H1078" s="249" t="n"/>
      <c r="I1078" s="252" t="n"/>
      <c r="J1078" s="252" t="n"/>
      <c r="K1078" s="331" t="n"/>
      <c r="L1078" s="252" t="n"/>
      <c r="M1078" s="252" t="n"/>
      <c r="N1078" s="252" t="n"/>
      <c r="O1078" s="244">
        <f>M1078*N1078</f>
        <v/>
      </c>
      <c r="P1078" s="252" t="n"/>
      <c r="Q1078" s="252" t="n"/>
      <c r="R1078" s="252" t="n"/>
      <c r="S1078" s="244">
        <f>Q1078*R1078</f>
        <v/>
      </c>
    </row>
    <row r="1079" ht="22.2" customHeight="1" s="330">
      <c r="A1079" s="4" t="n"/>
      <c r="E1079" s="4" t="n"/>
      <c r="G1079" s="277" t="n"/>
      <c r="H1079" s="277" t="n"/>
      <c r="I1079" s="276" t="n"/>
      <c r="J1079" s="276" t="n"/>
      <c r="K1079" s="476" t="n"/>
      <c r="L1079" s="276" t="n"/>
      <c r="M1079" s="276" t="n"/>
      <c r="N1079" s="276" t="n"/>
      <c r="O1079" s="244">
        <f>M1079*N1079</f>
        <v/>
      </c>
      <c r="P1079" s="276" t="n"/>
      <c r="Q1079" s="276" t="n"/>
      <c r="R1079" s="276" t="n"/>
      <c r="S1079" s="244">
        <f>Q1079*R1079</f>
        <v/>
      </c>
    </row>
    <row r="1080" ht="22.2" customHeight="1" s="330">
      <c r="A1080" s="4" t="n"/>
      <c r="E1080" s="4" t="n"/>
      <c r="G1080" s="62" t="inlineStr">
        <is>
          <t>พฤหัส</t>
        </is>
      </c>
      <c r="H1080" s="252" t="inlineStr">
        <is>
          <t>20101-2001</t>
        </is>
      </c>
      <c r="I1080" s="325" t="inlineStr">
        <is>
          <t>ปวช.1/7 ชย. (ปกติ)</t>
        </is>
      </c>
      <c r="J1080" s="332" t="inlineStr">
        <is>
          <t>08.10-12.10</t>
        </is>
      </c>
      <c r="K1080" s="335" t="n"/>
      <c r="L1080" s="265" t="n"/>
      <c r="M1080" s="252" t="n"/>
      <c r="N1080" s="252" t="n"/>
      <c r="O1080" s="244">
        <f>M1080*N1080</f>
        <v/>
      </c>
      <c r="P1080" s="252" t="n"/>
      <c r="Q1080" s="275" t="n"/>
      <c r="R1080" s="275" t="n"/>
      <c r="S1080" s="244">
        <f>Q1080*R1080</f>
        <v/>
      </c>
    </row>
    <row r="1081" ht="22.2" customHeight="1" s="330">
      <c r="A1081" s="4" t="n"/>
      <c r="E1081" s="4" t="n"/>
      <c r="G1081" s="308">
        <f>G1035</f>
        <v/>
      </c>
      <c r="H1081" s="252" t="inlineStr">
        <is>
          <t>20101-2001</t>
        </is>
      </c>
      <c r="I1081" s="325" t="inlineStr">
        <is>
          <t>ปวช.1/7 ชย. (ปกติ)</t>
        </is>
      </c>
      <c r="J1081" s="325" t="inlineStr">
        <is>
          <t>15.10-18.10</t>
        </is>
      </c>
      <c r="K1081" s="331" t="n"/>
      <c r="L1081" s="252" t="n"/>
      <c r="M1081" s="252" t="n"/>
      <c r="N1081" s="252" t="n"/>
      <c r="O1081" s="244">
        <f>M1081*N1081</f>
        <v/>
      </c>
      <c r="P1081" s="252" t="n"/>
      <c r="Q1081" s="252" t="n"/>
      <c r="R1081" s="252" t="n"/>
      <c r="S1081" s="244">
        <f>Q1081*R1081</f>
        <v/>
      </c>
    </row>
    <row r="1082" ht="22.2" customHeight="1" s="330">
      <c r="A1082" s="4" t="n"/>
      <c r="B1082" s="5" t="n"/>
      <c r="E1082" s="4" t="n"/>
      <c r="G1082" s="252" t="n"/>
      <c r="H1082" s="325" t="n"/>
      <c r="I1082" s="325" t="n"/>
      <c r="J1082" s="325" t="n"/>
      <c r="K1082" s="331" t="n"/>
      <c r="L1082" s="252" t="n"/>
      <c r="M1082" s="325" t="n"/>
      <c r="N1082" s="325" t="n"/>
      <c r="O1082" s="244">
        <f>M1082*N1082</f>
        <v/>
      </c>
      <c r="P1082" s="325" t="n"/>
      <c r="Q1082" s="325" t="n"/>
      <c r="R1082" s="325" t="n"/>
      <c r="S1082" s="244">
        <f>Q1082*R1082</f>
        <v/>
      </c>
    </row>
    <row r="1083" ht="22.2" customHeight="1" s="330">
      <c r="A1083" s="4" t="n"/>
      <c r="E1083" s="4" t="n"/>
      <c r="G1083" s="252" t="n"/>
      <c r="H1083" s="252" t="n"/>
      <c r="I1083" s="252" t="n"/>
      <c r="J1083" s="252" t="n"/>
      <c r="K1083" s="331" t="n"/>
      <c r="L1083" s="252" t="n"/>
      <c r="M1083" s="252" t="n"/>
      <c r="N1083" s="252" t="n"/>
      <c r="O1083" s="244">
        <f>M1083*N1083</f>
        <v/>
      </c>
      <c r="P1083" s="252" t="n"/>
      <c r="Q1083" s="252" t="n"/>
      <c r="R1083" s="252" t="n"/>
      <c r="S1083" s="244">
        <f>Q1083*R1083</f>
        <v/>
      </c>
    </row>
    <row r="1084" ht="22.2" customHeight="1" s="330">
      <c r="A1084" s="4" t="n"/>
      <c r="E1084" s="4" t="n"/>
      <c r="G1084" s="276" t="n"/>
      <c r="H1084" s="301" t="n"/>
      <c r="I1084" s="276" t="n"/>
      <c r="J1084" s="276" t="n"/>
      <c r="K1084" s="476" t="n"/>
      <c r="L1084" s="276" t="n"/>
      <c r="M1084" s="276" t="n"/>
      <c r="N1084" s="276" t="n"/>
      <c r="O1084" s="244">
        <f>M1084*N1084</f>
        <v/>
      </c>
      <c r="P1084" s="276" t="n"/>
      <c r="Q1084" s="276" t="n"/>
      <c r="R1084" s="276" t="n"/>
      <c r="S1084" s="244">
        <f>Q1084*R1084</f>
        <v/>
      </c>
    </row>
    <row r="1085" ht="22.2" customHeight="1" s="330">
      <c r="A1085" s="4" t="n"/>
      <c r="E1085" s="4" t="n"/>
      <c r="G1085" s="62" t="inlineStr">
        <is>
          <t>ศุกร์</t>
        </is>
      </c>
      <c r="H1085" s="252" t="inlineStr">
        <is>
          <t>20101-2001</t>
        </is>
      </c>
      <c r="I1085" s="325" t="inlineStr">
        <is>
          <t>ปวช.1/8 ชย. (ปกติ)</t>
        </is>
      </c>
      <c r="J1085" s="332" t="inlineStr">
        <is>
          <t>08.10-12.10</t>
        </is>
      </c>
      <c r="K1085" s="335" t="n"/>
      <c r="L1085" s="265" t="n"/>
      <c r="M1085" s="252" t="n"/>
      <c r="N1085" s="252" t="n"/>
      <c r="O1085" s="244">
        <f>M1085*N1085</f>
        <v/>
      </c>
      <c r="P1085" s="332" t="n"/>
      <c r="Q1085" s="265" t="n"/>
      <c r="R1085" s="332" t="n"/>
      <c r="S1085" s="244">
        <f>Q1085*R1085</f>
        <v/>
      </c>
      <c r="T1085" s="25" t="n"/>
      <c r="U1085" s="26" t="inlineStr">
        <is>
          <t xml:space="preserve">     PLC</t>
        </is>
      </c>
      <c r="V1085" s="64" t="n"/>
      <c r="W1085" s="27" t="n"/>
      <c r="X1085" s="27" t="n"/>
    </row>
    <row r="1086" ht="22.2" customHeight="1" s="330">
      <c r="A1086" s="4" t="n"/>
      <c r="E1086" s="4" t="n"/>
      <c r="G1086" s="308">
        <f>G1040</f>
        <v/>
      </c>
      <c r="H1086" s="252" t="inlineStr">
        <is>
          <t>20101-2001</t>
        </is>
      </c>
      <c r="I1086" s="325" t="inlineStr">
        <is>
          <t>ปวช.1/8 ชย. (ปกติ)</t>
        </is>
      </c>
      <c r="J1086" s="325" t="inlineStr">
        <is>
          <t>13.10-16.10</t>
        </is>
      </c>
      <c r="K1086" s="331" t="n"/>
      <c r="L1086" s="252" t="n"/>
      <c r="M1086" s="252" t="n"/>
      <c r="N1086" s="252" t="n"/>
      <c r="O1086" s="244">
        <f>M1086*N1086</f>
        <v/>
      </c>
      <c r="P1086" s="252" t="n"/>
      <c r="Q1086" s="252" t="n"/>
      <c r="R1086" s="252" t="n"/>
      <c r="S1086" s="244">
        <f>Q1086*R1086</f>
        <v/>
      </c>
      <c r="T1086" s="27" t="inlineStr">
        <is>
          <t> </t>
        </is>
      </c>
      <c r="U1086" s="26" t="inlineStr">
        <is>
          <t>17.10-19.10</t>
        </is>
      </c>
      <c r="V1086" s="64" t="n"/>
      <c r="W1086" s="27" t="n"/>
      <c r="X1086" s="27" t="n"/>
    </row>
    <row r="1087" ht="22.2" customHeight="1" s="330">
      <c r="A1087" s="4" t="n"/>
      <c r="D1087" s="331" t="n"/>
      <c r="E1087" s="56" t="n"/>
      <c r="G1087" s="252" t="n"/>
      <c r="H1087" s="325" t="n"/>
      <c r="I1087" s="325" t="n"/>
      <c r="J1087" s="325" t="n"/>
      <c r="K1087" s="331" t="n"/>
      <c r="L1087" s="252" t="n"/>
      <c r="M1087" s="252" t="n"/>
      <c r="N1087" s="252" t="n"/>
      <c r="O1087" s="244">
        <f>M1087*N1087</f>
        <v/>
      </c>
      <c r="P1087" s="252" t="n"/>
      <c r="Q1087" s="252" t="n"/>
      <c r="R1087" s="252" t="n"/>
      <c r="S1087" s="244">
        <f>Q1087*R1087</f>
        <v/>
      </c>
    </row>
    <row r="1088" ht="22.2" customHeight="1" s="330">
      <c r="A1088" s="4" t="n"/>
      <c r="E1088" s="4" t="n"/>
      <c r="G1088" s="252" t="n"/>
      <c r="H1088" s="249" t="inlineStr">
        <is>
          <t> </t>
        </is>
      </c>
      <c r="I1088" s="252" t="n"/>
      <c r="J1088" s="252" t="n"/>
      <c r="K1088" s="331" t="n"/>
      <c r="L1088" s="252" t="n"/>
      <c r="M1088" s="252" t="n"/>
      <c r="N1088" s="252" t="n"/>
      <c r="O1088" s="244">
        <f>M1088*N1088</f>
        <v/>
      </c>
      <c r="P1088" s="252" t="n"/>
      <c r="Q1088" s="252" t="n"/>
      <c r="R1088" s="252" t="n"/>
      <c r="S1088" s="244">
        <f>Q1088*R1088</f>
        <v/>
      </c>
    </row>
    <row r="1089" ht="22.2" customHeight="1" s="330">
      <c r="A1089" s="4" t="n"/>
      <c r="E1089" s="4" t="n"/>
      <c r="F1089" s="4" t="n"/>
      <c r="G1089" s="278" t="n"/>
      <c r="H1089" s="301" t="n"/>
      <c r="I1089" s="276" t="n"/>
      <c r="J1089" s="276" t="n"/>
      <c r="K1089" s="476" t="n"/>
      <c r="L1089" s="276" t="n"/>
      <c r="M1089" s="276" t="n"/>
      <c r="N1089" s="276" t="n"/>
      <c r="O1089" s="244">
        <f>M1089*N1089</f>
        <v/>
      </c>
      <c r="P1089" s="276" t="n"/>
      <c r="Q1089" s="276" t="n"/>
      <c r="R1089" s="276" t="n"/>
      <c r="S1089" s="244">
        <f>Q1089*R1089</f>
        <v/>
      </c>
    </row>
    <row r="1090" ht="22.2" customHeight="1" s="330">
      <c r="A1090" s="4" t="n"/>
      <c r="E1090" s="4" t="n"/>
      <c r="F1090" s="4" t="n"/>
      <c r="G1090" s="17" t="inlineStr">
        <is>
          <t>รวมขั่วโมงที่สอนแยก ภาระงาน/ เกินภาระงาน</t>
        </is>
      </c>
      <c r="H1090" s="467" t="n"/>
      <c r="I1090" s="467" t="n"/>
      <c r="J1090" s="467" t="n"/>
      <c r="K1090" s="362" t="n"/>
      <c r="L1090" s="17">
        <f>SUM(L1065:L1089)</f>
        <v/>
      </c>
      <c r="M1090" s="17">
        <f>SUM(M1065:M1089)</f>
        <v/>
      </c>
      <c r="N1090" s="17" t="n"/>
      <c r="O1090" s="17" t="n"/>
      <c r="P1090" s="17">
        <f>SUM(P1065:P1089)</f>
        <v/>
      </c>
      <c r="Q1090" s="17">
        <f>SUM(Q1065:Q1089)</f>
        <v/>
      </c>
      <c r="R1090" s="279" t="n"/>
      <c r="S1090" s="17" t="n"/>
    </row>
    <row r="1091" ht="22.2" customHeight="1" s="330">
      <c r="A1091" s="4" t="n"/>
      <c r="E1091" s="4" t="n"/>
      <c r="F1091" s="4" t="n"/>
      <c r="G1091" s="17" t="inlineStr">
        <is>
          <t>รวมจำนวนชั่วโมงสอนคาบต่อสับดาห์</t>
        </is>
      </c>
      <c r="H1091" s="467" t="n"/>
      <c r="I1091" s="467" t="n"/>
      <c r="J1091" s="467" t="n"/>
      <c r="K1091" s="362" t="n"/>
      <c r="L1091" s="17">
        <f>L1090+M1090</f>
        <v/>
      </c>
      <c r="M1091" s="362" t="n"/>
      <c r="N1091" s="298" t="n"/>
      <c r="O1091" s="17" t="n"/>
      <c r="P1091" s="17">
        <f>P1090+Q1090</f>
        <v/>
      </c>
      <c r="Q1091" s="362" t="n"/>
      <c r="R1091" s="278" t="n"/>
      <c r="S1091" s="276" t="n"/>
    </row>
    <row r="1092" ht="22.2" customHeight="1" s="330">
      <c r="A1092" s="4" t="n"/>
      <c r="E1092" s="4" t="n"/>
      <c r="F1092" s="4" t="n"/>
      <c r="G1092" s="17" t="inlineStr">
        <is>
          <t>จำนวนชั่วโมงสอนตามภาระงานสอน</t>
        </is>
      </c>
      <c r="H1092" s="467" t="n"/>
      <c r="I1092" s="467" t="n"/>
      <c r="J1092" s="467" t="n"/>
      <c r="K1092" s="362" t="n"/>
      <c r="L1092" s="17" t="n">
        <v>18</v>
      </c>
      <c r="M1092" s="362" t="n"/>
      <c r="N1092" s="298" t="n"/>
      <c r="O1092" s="17" t="n"/>
      <c r="P1092" s="17" t="n">
        <v>0</v>
      </c>
      <c r="Q1092" s="362" t="n"/>
      <c r="R1092" s="249" t="n"/>
      <c r="S1092" s="252" t="n"/>
    </row>
    <row r="1093" ht="22.2" customHeight="1" s="330" thickBot="1">
      <c r="A1093" s="4" t="n"/>
      <c r="E1093" s="4" t="n"/>
      <c r="F1093" s="15" t="n"/>
      <c r="G1093" s="17" t="inlineStr">
        <is>
          <t>จำนวนชั่วโมงบิกเกินภาระงานสอน/ค่าสอน</t>
        </is>
      </c>
      <c r="H1093" s="467" t="n"/>
      <c r="I1093" s="467" t="n"/>
      <c r="J1093" s="467" t="n"/>
      <c r="K1093" s="362" t="n"/>
      <c r="L1093" s="18" t="n">
        <v>0</v>
      </c>
      <c r="M1093" s="18">
        <f>SUM(M1065:M1089)</f>
        <v/>
      </c>
      <c r="N1093" s="18" t="n"/>
      <c r="O1093" s="18">
        <f>SUM(O1065:O1089)</f>
        <v/>
      </c>
      <c r="P1093" s="18" t="n">
        <v>0</v>
      </c>
      <c r="Q1093" s="18">
        <f>SUM(Q1065:Q1089)</f>
        <v/>
      </c>
      <c r="R1093" s="19" t="n"/>
      <c r="S1093" s="18">
        <f>SUM(S1065:S1089)</f>
        <v/>
      </c>
    </row>
    <row r="1094" ht="22.2" customHeight="1" s="330" thickTop="1">
      <c r="A1094" s="299" t="inlineStr">
        <is>
          <t>รวมจำนวนหน่วยชั่วโมงที่ขอเบิกค่าสอน ….</t>
        </is>
      </c>
      <c r="B1094" s="467" t="n"/>
      <c r="C1094" s="467" t="n"/>
      <c r="D1094" s="467" t="n"/>
      <c r="E1094" s="467" t="n"/>
      <c r="F1094" s="467" t="n"/>
      <c r="G1094" s="467" t="n"/>
      <c r="H1094" s="298">
        <f>M1093+Q1093</f>
        <v/>
      </c>
      <c r="I1094" s="298" t="inlineStr">
        <is>
          <t>….ชั่วโมง</t>
        </is>
      </c>
      <c r="J1094" s="298" t="n"/>
      <c r="K1094" s="301" t="inlineStr">
        <is>
          <t>ยอดเงินรวม</t>
        </is>
      </c>
      <c r="L1094" s="471" t="n"/>
      <c r="M1094" s="471" t="n"/>
      <c r="N1094" s="301" t="n"/>
      <c r="O1094" s="301" t="n"/>
      <c r="P1094" s="302">
        <f>S1093+O1093</f>
        <v/>
      </c>
      <c r="Q1094" s="482" t="n"/>
      <c r="R1094" s="21" t="n"/>
      <c r="S1094" s="20" t="inlineStr">
        <is>
          <t>..บาท</t>
        </is>
      </c>
    </row>
    <row r="1095" ht="22.2" customHeight="1" s="330">
      <c r="A1095" s="207" t="inlineStr">
        <is>
          <t>ผู้ขอเบิก</t>
        </is>
      </c>
      <c r="B1095" s="334" t="n"/>
      <c r="C1095" s="334" t="n"/>
      <c r="D1095" s="334" t="n"/>
      <c r="E1095" s="334" t="n"/>
      <c r="F1095" s="334" t="n"/>
      <c r="G1095" s="335" t="n"/>
      <c r="H1095" s="207" t="inlineStr">
        <is>
          <t>ผู้รับรอง</t>
        </is>
      </c>
      <c r="I1095" s="334" t="n"/>
      <c r="J1095" s="334" t="n"/>
      <c r="K1095" s="334" t="n"/>
      <c r="L1095" s="335" t="n"/>
      <c r="M1095" s="207" t="inlineStr">
        <is>
          <t>ผู้ตรวจ</t>
        </is>
      </c>
      <c r="N1095" s="334" t="n"/>
      <c r="O1095" s="334" t="n"/>
      <c r="P1095" s="334" t="n"/>
      <c r="Q1095" s="334" t="n"/>
      <c r="R1095" s="334" t="n"/>
      <c r="S1095" s="335" t="n"/>
    </row>
    <row r="1096" ht="22.2" customHeight="1" s="330">
      <c r="A1096" s="252" t="inlineStr">
        <is>
          <t>ลงชื่อ……………………………………………</t>
        </is>
      </c>
      <c r="G1096" s="331" t="n"/>
      <c r="H1096" s="252" t="inlineStr">
        <is>
          <t>ลงชื่อ……………………………………………</t>
        </is>
      </c>
      <c r="L1096" s="331" t="n"/>
      <c r="M1096" s="252" t="inlineStr">
        <is>
          <t>ลงชื่อ……………………………………………</t>
        </is>
      </c>
      <c r="S1096" s="331" t="n"/>
    </row>
    <row r="1097" ht="22.2" customHeight="1" s="330">
      <c r="A1097" s="12" t="inlineStr">
        <is>
          <t>(</t>
        </is>
      </c>
      <c r="B1097" s="309">
        <f>B1065</f>
        <v/>
      </c>
      <c r="G1097" s="310" t="inlineStr">
        <is>
          <t>)</t>
        </is>
      </c>
      <c r="H1097" s="309" t="inlineStr">
        <is>
          <t>(</t>
        </is>
      </c>
      <c r="I1097" s="314">
        <f>I1051</f>
        <v/>
      </c>
      <c r="L1097" s="13" t="inlineStr">
        <is>
          <t>)</t>
        </is>
      </c>
      <c r="M1097" s="61" t="inlineStr">
        <is>
          <t>(</t>
        </is>
      </c>
      <c r="N1097" s="61" t="n"/>
      <c r="O1097" s="309" t="inlineStr">
        <is>
          <t>นายพิสุทธิศักดิ์  กล่อมนาค</t>
        </is>
      </c>
      <c r="R1097" s="29" t="n"/>
      <c r="S1097" s="310" t="inlineStr">
        <is>
          <t>)</t>
        </is>
      </c>
    </row>
    <row r="1098" ht="22.2" customHeight="1" s="330">
      <c r="A1098" s="483" t="inlineStr">
        <is>
          <t xml:space="preserve">                 ตำแหน่ง  ครูพิเศษ</t>
        </is>
      </c>
      <c r="G1098" s="331" t="n"/>
      <c r="H1098" s="62" t="inlineStr">
        <is>
          <t>ตำแหน่ง หัวหน้าแผนก</t>
        </is>
      </c>
      <c r="L1098" s="331" t="n"/>
      <c r="M1098" s="62" t="inlineStr">
        <is>
          <t>ตำแหน่ง   ผู้ตรวจสอบ</t>
        </is>
      </c>
      <c r="S1098" s="331" t="n"/>
    </row>
    <row r="1099" ht="22.2" customHeight="1" s="330">
      <c r="A1099" s="63">
        <f>A41</f>
        <v/>
      </c>
      <c r="B1099" s="471" t="n"/>
      <c r="C1099" s="471" t="n"/>
      <c r="D1099" s="471" t="n"/>
      <c r="E1099" s="471" t="n"/>
      <c r="F1099" s="471" t="n"/>
      <c r="G1099" s="476" t="n"/>
      <c r="H1099" s="62">
        <f>A41</f>
        <v/>
      </c>
      <c r="L1099" s="331" t="n"/>
      <c r="M1099" s="63">
        <f>A41</f>
        <v/>
      </c>
      <c r="N1099" s="471" t="n"/>
      <c r="O1099" s="471" t="n"/>
      <c r="P1099" s="471" t="n"/>
      <c r="Q1099" s="471" t="n"/>
      <c r="R1099" s="471" t="n"/>
      <c r="S1099" s="476" t="n"/>
    </row>
    <row r="1100" ht="22.2" customHeight="1" s="330">
      <c r="A1100" s="207" t="inlineStr">
        <is>
          <t>ผู้ตรวจ</t>
        </is>
      </c>
      <c r="B1100" s="334" t="n"/>
      <c r="C1100" s="334" t="n"/>
      <c r="D1100" s="334" t="n"/>
      <c r="E1100" s="334" t="n"/>
      <c r="F1100" s="334" t="n"/>
      <c r="G1100" s="334" t="n"/>
      <c r="H1100" s="334" t="n"/>
      <c r="I1100" s="335" t="n"/>
      <c r="J1100" s="207" t="inlineStr">
        <is>
          <t>ผู้เห็นชอบ</t>
        </is>
      </c>
      <c r="K1100" s="334" t="n"/>
      <c r="L1100" s="334" t="n"/>
      <c r="M1100" s="334" t="n"/>
      <c r="N1100" s="334" t="n"/>
      <c r="O1100" s="334" t="n"/>
      <c r="P1100" s="334" t="n"/>
      <c r="Q1100" s="334" t="n"/>
      <c r="R1100" s="334" t="n"/>
      <c r="S1100" s="335" t="n"/>
    </row>
    <row r="1101" ht="22.2" customHeight="1" s="330">
      <c r="A1101" s="252" t="inlineStr">
        <is>
          <t>ลงชื่อ……………………………………………</t>
        </is>
      </c>
      <c r="I1101" s="331" t="n"/>
      <c r="J1101" s="252" t="inlineStr">
        <is>
          <t>ลงชื่อ……………………………………………</t>
        </is>
      </c>
      <c r="S1101" s="331" t="n"/>
    </row>
    <row r="1102" ht="22.2" customHeight="1" s="330">
      <c r="A1102" s="12" t="n"/>
      <c r="B1102" s="309" t="inlineStr">
        <is>
          <t xml:space="preserve">          (นางศิวรักษ์   บุญประเสริฐ)</t>
        </is>
      </c>
      <c r="I1102" s="310" t="n"/>
      <c r="J1102" s="29" t="n"/>
      <c r="K1102" s="29" t="n"/>
      <c r="L1102" s="309" t="inlineStr">
        <is>
          <t>(นายปรีชา  โพธิ์เกิด)</t>
        </is>
      </c>
      <c r="R1102" s="29" t="n"/>
      <c r="S1102" s="13" t="n"/>
    </row>
    <row r="1103" ht="22.2" customHeight="1" s="330">
      <c r="A1103" s="62" t="inlineStr">
        <is>
          <t>ตำแหน่งครู  หัวหน้างานพัฒนาหลักสูตร ฯ</t>
        </is>
      </c>
      <c r="I1103" s="331" t="n"/>
      <c r="J1103" s="62" t="inlineStr">
        <is>
          <t>ตำแหน่ง  รองผู้อำนวยการฝ่ายวิชาการ</t>
        </is>
      </c>
      <c r="S1103" s="331" t="n"/>
    </row>
    <row r="1104" ht="22.2" customHeight="1" s="330">
      <c r="A1104" s="63">
        <f>A41</f>
        <v/>
      </c>
      <c r="B1104" s="471" t="n"/>
      <c r="C1104" s="471" t="n"/>
      <c r="D1104" s="471" t="n"/>
      <c r="E1104" s="471" t="n"/>
      <c r="F1104" s="471" t="n"/>
      <c r="G1104" s="471" t="n"/>
      <c r="H1104" s="471" t="n"/>
      <c r="I1104" s="476" t="n"/>
      <c r="J1104" s="63">
        <f>A41</f>
        <v/>
      </c>
      <c r="K1104" s="471" t="n"/>
      <c r="L1104" s="471" t="n"/>
      <c r="M1104" s="471" t="n"/>
      <c r="N1104" s="471" t="n"/>
      <c r="O1104" s="471" t="n"/>
      <c r="P1104" s="471" t="n"/>
      <c r="Q1104" s="471" t="n"/>
      <c r="R1104" s="471" t="n"/>
      <c r="S1104" s="476" t="n"/>
    </row>
    <row r="1105" ht="22.2" customHeight="1" s="330">
      <c r="A110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06" ht="22.2" customHeight="1" s="330">
      <c r="A1106" s="254">
        <f>A2</f>
        <v/>
      </c>
    </row>
    <row r="1107" ht="22.2" customHeight="1" s="330">
      <c r="A1107" s="253" t="inlineStr">
        <is>
          <t xml:space="preserve">    ระหว่างวันที่</t>
        </is>
      </c>
      <c r="D1107" s="254">
        <f>D3</f>
        <v/>
      </c>
      <c r="E1107" s="254" t="inlineStr">
        <is>
          <t xml:space="preserve">   เดือน  </t>
        </is>
      </c>
      <c r="F1107" s="254">
        <f>F3</f>
        <v/>
      </c>
      <c r="H1107" s="254">
        <f>H3</f>
        <v/>
      </c>
      <c r="I1107" s="254" t="inlineStr">
        <is>
          <t xml:space="preserve">     ถึง วันที่</t>
        </is>
      </c>
      <c r="J1107" s="254">
        <f>J3</f>
        <v/>
      </c>
      <c r="K1107" s="254" t="inlineStr">
        <is>
          <t xml:space="preserve">   เดือน </t>
        </is>
      </c>
      <c r="L1107" s="254">
        <f>L3</f>
        <v/>
      </c>
      <c r="N1107" s="254">
        <f>N3</f>
        <v/>
      </c>
      <c r="P1107" s="254" t="n"/>
      <c r="R1107" s="254" t="n"/>
    </row>
    <row r="1108" ht="22.2" customHeight="1" s="330">
      <c r="G1108" s="58" t="inlineStr">
        <is>
          <t>ü</t>
        </is>
      </c>
      <c r="H1108" s="8" t="inlineStr">
        <is>
          <t>ครูพิเศษ</t>
        </is>
      </c>
      <c r="I1108" s="249" t="inlineStr">
        <is>
          <t>หน้าที่พิเศษ</t>
        </is>
      </c>
      <c r="K1108" s="290" t="n"/>
    </row>
    <row r="1109" ht="22.2" customHeight="1" s="330">
      <c r="A1109" s="28" t="inlineStr">
        <is>
          <t>ที่</t>
        </is>
      </c>
      <c r="B1109" s="28" t="inlineStr">
        <is>
          <t>ชื่อ-สกุล</t>
        </is>
      </c>
      <c r="C1109" s="334" t="n"/>
      <c r="D1109" s="335" t="n"/>
      <c r="E1109" s="16" t="inlineStr">
        <is>
          <t>ตำแหน่ง</t>
        </is>
      </c>
      <c r="F1109" s="17" t="inlineStr">
        <is>
          <t>ระยะเวลาที่สอน</t>
        </is>
      </c>
      <c r="G1109" s="362" t="n"/>
      <c r="H1109" s="17" t="inlineStr">
        <is>
          <t>รหัสวิชา</t>
        </is>
      </c>
      <c r="I1109" s="275" t="inlineStr">
        <is>
          <t>ชั้น,แผนก,ห้อง</t>
        </is>
      </c>
      <c r="J1109" s="17" t="inlineStr">
        <is>
          <t>เวลาสอน</t>
        </is>
      </c>
      <c r="K1109" s="335" t="n"/>
      <c r="L1109" s="17" t="inlineStr">
        <is>
          <t>ปวช.(คาบ)</t>
        </is>
      </c>
      <c r="M1109" s="362" t="n"/>
      <c r="N1109" s="244" t="inlineStr">
        <is>
          <t>เงิน</t>
        </is>
      </c>
      <c r="O1109" s="275" t="inlineStr">
        <is>
          <t>ยอดเงิน</t>
        </is>
      </c>
      <c r="P1109" s="473" t="inlineStr">
        <is>
          <t>ปวส.(คาบ)</t>
        </is>
      </c>
      <c r="Q1109" s="362" t="n"/>
      <c r="R1109" s="244" t="inlineStr">
        <is>
          <t>เงิน</t>
        </is>
      </c>
      <c r="S1109" s="275" t="inlineStr">
        <is>
          <t>ยอดเงิน</t>
        </is>
      </c>
    </row>
    <row r="1110" ht="22.2" customHeight="1" s="330">
      <c r="A1110" s="60" t="n"/>
      <c r="B1110" s="9" t="n"/>
      <c r="C1110" s="10" t="n"/>
      <c r="D1110" s="14" t="n"/>
      <c r="E1110" s="11" t="n"/>
      <c r="F1110" s="276" t="inlineStr">
        <is>
          <t>ส.</t>
        </is>
      </c>
      <c r="G1110" s="276" t="inlineStr">
        <is>
          <t>วดป.</t>
        </is>
      </c>
      <c r="H1110" s="474" t="n"/>
      <c r="I1110" s="276" t="n"/>
      <c r="J1110" s="475" t="n"/>
      <c r="K1110" s="476" t="n"/>
      <c r="L1110" s="276" t="inlineStr">
        <is>
          <t>ใน</t>
        </is>
      </c>
      <c r="M1110" s="276" t="inlineStr">
        <is>
          <t>นอก</t>
        </is>
      </c>
      <c r="N1110" s="276" t="inlineStr">
        <is>
          <t>ต่อ ชม.</t>
        </is>
      </c>
      <c r="O1110" s="276" t="inlineStr">
        <is>
          <t>(บาท)</t>
        </is>
      </c>
      <c r="P1110" s="60" t="inlineStr">
        <is>
          <t>ใน</t>
        </is>
      </c>
      <c r="Q1110" s="60" t="inlineStr">
        <is>
          <t>นอก</t>
        </is>
      </c>
      <c r="R1110" s="276" t="inlineStr">
        <is>
          <t>ต่อ ชม.</t>
        </is>
      </c>
      <c r="S1110" s="276" t="inlineStr">
        <is>
          <t>(บาท)</t>
        </is>
      </c>
    </row>
    <row r="1111" ht="22.2" customHeight="1" s="330">
      <c r="A1111" s="275" t="n">
        <v>25</v>
      </c>
      <c r="B1111" s="477">
        <f>AB27</f>
        <v/>
      </c>
      <c r="C1111" s="334" t="n"/>
      <c r="D1111" s="335" t="n"/>
      <c r="E1111" s="275" t="inlineStr">
        <is>
          <t>ครู</t>
        </is>
      </c>
      <c r="F1111" s="6">
        <f>F7</f>
        <v/>
      </c>
      <c r="G1111" s="303" t="inlineStr">
        <is>
          <t>จันทร์</t>
        </is>
      </c>
      <c r="H1111" s="332" t="n"/>
      <c r="I1111" s="325" t="n"/>
      <c r="J1111" s="275" t="n"/>
      <c r="K1111" s="335" t="n"/>
      <c r="L1111" s="332" t="n"/>
      <c r="M1111" s="156" t="n"/>
      <c r="N1111" s="156" t="n"/>
      <c r="O1111" s="244">
        <f>M1111*N1111</f>
        <v/>
      </c>
      <c r="P1111" s="332" t="n"/>
      <c r="Q1111" s="265" t="n"/>
      <c r="R1111" s="332" t="n"/>
      <c r="S1111" s="244">
        <f>Q1111*R1111</f>
        <v/>
      </c>
    </row>
    <row r="1112" ht="22.2" customHeight="1" s="330">
      <c r="A1112" s="4" t="n"/>
      <c r="B1112" s="478" t="n"/>
      <c r="D1112" s="331" t="n"/>
      <c r="E1112" s="252" t="inlineStr">
        <is>
          <t>พิเศษ</t>
        </is>
      </c>
      <c r="F1112" s="249" t="n"/>
      <c r="G1112" s="308">
        <f>G1066</f>
        <v/>
      </c>
      <c r="H1112" s="325" t="n"/>
      <c r="I1112" s="325" t="n"/>
      <c r="J1112" s="252" t="n"/>
      <c r="K1112" s="331" t="n"/>
      <c r="L1112" s="252" t="n"/>
      <c r="M1112" s="56" t="n"/>
      <c r="N1112" s="56" t="n"/>
      <c r="O1112" s="244">
        <f>M1112*N1112</f>
        <v/>
      </c>
      <c r="P1112" s="252" t="n"/>
      <c r="Q1112" s="252" t="n"/>
      <c r="R1112" s="252" t="n"/>
      <c r="S1112" s="244">
        <f>Q1112*R1112</f>
        <v/>
      </c>
    </row>
    <row r="1113" ht="22.2" customHeight="1" s="330">
      <c r="A1113" s="4" t="n"/>
      <c r="B1113" s="5" t="n"/>
      <c r="D1113" s="3" t="n"/>
      <c r="E1113" s="3" t="n"/>
      <c r="F1113" s="249" t="n"/>
      <c r="G1113" s="248" t="n"/>
      <c r="H1113" s="325" t="n"/>
      <c r="I1113" s="325" t="n"/>
      <c r="J1113" s="252" t="n"/>
      <c r="K1113" s="331" t="n"/>
      <c r="L1113" s="252" t="n"/>
      <c r="M1113" s="252" t="n"/>
      <c r="N1113" s="252" t="n"/>
      <c r="O1113" s="244">
        <f>M1113*N1113</f>
        <v/>
      </c>
      <c r="P1113" s="252" t="n"/>
      <c r="Q1113" s="252" t="n"/>
      <c r="R1113" s="252" t="n"/>
      <c r="S1113" s="244">
        <f>Q1113*R1113</f>
        <v/>
      </c>
    </row>
    <row r="1114" ht="22.2" customHeight="1" s="330">
      <c r="A1114" s="4" t="n"/>
      <c r="B1114" s="5" t="n"/>
      <c r="E1114" s="4" t="n"/>
      <c r="F1114" s="249" t="n"/>
      <c r="G1114" s="248" t="n"/>
      <c r="H1114" s="252" t="n"/>
      <c r="I1114" s="252" t="n"/>
      <c r="J1114" s="252" t="n"/>
      <c r="K1114" s="331" t="n"/>
      <c r="L1114" s="252" t="n"/>
      <c r="M1114" s="252" t="n"/>
      <c r="N1114" s="252" t="n"/>
      <c r="O1114" s="244">
        <f>M1114*N1114</f>
        <v/>
      </c>
      <c r="P1114" s="252" t="n"/>
      <c r="Q1114" s="252" t="n"/>
      <c r="R1114" s="252" t="n"/>
      <c r="S1114" s="244">
        <f>Q1114*R1114</f>
        <v/>
      </c>
    </row>
    <row r="1115" ht="22.2" customHeight="1" s="330">
      <c r="A1115" s="4" t="n"/>
      <c r="E1115" s="4" t="n"/>
      <c r="G1115" s="311" t="n"/>
      <c r="H1115" s="276" t="n"/>
      <c r="I1115" s="276" t="n"/>
      <c r="J1115" s="276" t="n"/>
      <c r="K1115" s="476" t="n"/>
      <c r="L1115" s="252" t="n"/>
      <c r="M1115" s="276" t="n"/>
      <c r="N1115" s="276" t="n"/>
      <c r="O1115" s="244">
        <f>M1115*N1115</f>
        <v/>
      </c>
      <c r="P1115" s="252" t="n"/>
      <c r="Q1115" s="252" t="n"/>
      <c r="R1115" s="252" t="n"/>
      <c r="S1115" s="244">
        <f>Q1115*R1115</f>
        <v/>
      </c>
    </row>
    <row r="1116" ht="22.2" customHeight="1" s="330">
      <c r="A1116" s="4" t="n"/>
      <c r="E1116" s="4" t="n"/>
      <c r="G1116" s="62" t="inlineStr">
        <is>
          <t>อังคาร</t>
        </is>
      </c>
      <c r="H1116" s="332" t="inlineStr">
        <is>
          <t>30101-2605</t>
        </is>
      </c>
      <c r="I1116" s="325" t="inlineStr">
        <is>
          <t>ปวส.1/6 สย. (ม.6)</t>
        </is>
      </c>
      <c r="J1116" s="275" t="inlineStr">
        <is>
          <t>08.10-12.10</t>
        </is>
      </c>
      <c r="K1116" s="335" t="n"/>
      <c r="L1116" s="332" t="n"/>
      <c r="M1116" s="182" t="n"/>
      <c r="N1116" s="179" t="n"/>
      <c r="O1116" s="244">
        <f>M1116*N1116</f>
        <v/>
      </c>
      <c r="P1116" s="332" t="n"/>
      <c r="Q1116" s="265" t="n"/>
      <c r="R1116" s="332" t="n"/>
      <c r="S1116" s="244">
        <f>Q1116*R1116</f>
        <v/>
      </c>
    </row>
    <row r="1117" ht="22.2" customHeight="1" s="330">
      <c r="A1117" s="4" t="n"/>
      <c r="E1117" s="4" t="n"/>
      <c r="G1117" s="308">
        <f>G1071</f>
        <v/>
      </c>
      <c r="H1117" s="325" t="inlineStr">
        <is>
          <t>30101-2605</t>
        </is>
      </c>
      <c r="I1117" s="325" t="inlineStr">
        <is>
          <t>ปวส.1/6 สย. (ม.6)</t>
        </is>
      </c>
      <c r="J1117" s="252" t="inlineStr">
        <is>
          <t>13.10-14.10</t>
        </is>
      </c>
      <c r="K1117" s="331" t="n"/>
      <c r="L1117" s="252" t="n"/>
      <c r="M1117" s="250" t="n"/>
      <c r="N1117" s="252" t="n"/>
      <c r="O1117" s="244">
        <f>M1117*N1117</f>
        <v/>
      </c>
      <c r="P1117" s="252" t="n"/>
      <c r="Q1117" s="252" t="n"/>
      <c r="R1117" s="252" t="n"/>
      <c r="S1117" s="244">
        <f>Q1117*R1117</f>
        <v/>
      </c>
    </row>
    <row r="1118" ht="22.2" customHeight="1" s="330">
      <c r="A1118" s="4" t="n"/>
      <c r="B1118" s="5" t="n"/>
      <c r="D1118" s="3" t="n"/>
      <c r="E1118" s="3" t="n"/>
      <c r="G1118" s="252" t="n"/>
      <c r="H1118" s="325" t="inlineStr">
        <is>
          <t>30101-2605</t>
        </is>
      </c>
      <c r="I1118" s="325" t="inlineStr">
        <is>
          <t>ปวส.1/5 สย. (ม.6)</t>
        </is>
      </c>
      <c r="J1118" s="252" t="inlineStr">
        <is>
          <t>14.10-19.10</t>
        </is>
      </c>
      <c r="K1118" s="331" t="n"/>
      <c r="L1118" s="252" t="n"/>
      <c r="M1118" s="252" t="n"/>
      <c r="N1118" s="252" t="n"/>
      <c r="O1118" s="244">
        <f>M1118*N1118</f>
        <v/>
      </c>
      <c r="P1118" s="252" t="n"/>
      <c r="Q1118" s="252" t="n"/>
      <c r="R1118" s="252" t="n"/>
      <c r="S1118" s="244">
        <f>Q1118*R1118</f>
        <v/>
      </c>
    </row>
    <row r="1119" ht="22.2" customHeight="1" s="330">
      <c r="A1119" s="4" t="n"/>
      <c r="E1119" s="4" t="n"/>
      <c r="G1119" s="62" t="n"/>
      <c r="H1119" s="249" t="n"/>
      <c r="I1119" s="252" t="n"/>
      <c r="J1119" s="252" t="n"/>
      <c r="K1119" s="331" t="n"/>
      <c r="L1119" s="252" t="n"/>
      <c r="M1119" s="252" t="n"/>
      <c r="N1119" s="252" t="n"/>
      <c r="O1119" s="244">
        <f>M1119*N1119</f>
        <v/>
      </c>
      <c r="P1119" s="252" t="n"/>
      <c r="Q1119" s="252" t="n"/>
      <c r="R1119" s="252" t="n"/>
      <c r="S1119" s="244">
        <f>Q1119*R1119</f>
        <v/>
      </c>
    </row>
    <row r="1120" ht="22.2" customHeight="1" s="330">
      <c r="A1120" s="4" t="n"/>
      <c r="D1120" s="8" t="inlineStr">
        <is>
          <t> </t>
        </is>
      </c>
      <c r="E1120" s="4" t="n"/>
      <c r="G1120" s="63" t="n"/>
      <c r="H1120" s="276" t="n"/>
      <c r="I1120" s="276" t="n"/>
      <c r="J1120" s="276" t="n"/>
      <c r="K1120" s="476" t="n"/>
      <c r="L1120" s="252" t="n"/>
      <c r="M1120" s="276" t="n"/>
      <c r="N1120" s="276" t="n"/>
      <c r="O1120" s="244">
        <f>M1120*N1120</f>
        <v/>
      </c>
      <c r="P1120" s="252" t="n"/>
      <c r="Q1120" s="252" t="n"/>
      <c r="R1120" s="252" t="n"/>
      <c r="S1120" s="244">
        <f>Q1120*R1120</f>
        <v/>
      </c>
    </row>
    <row r="1121" ht="22.2" customHeight="1" s="330">
      <c r="A1121" s="4" t="n"/>
      <c r="E1121" s="4" t="n"/>
      <c r="G1121" s="308" t="inlineStr">
        <is>
          <t>พุธ</t>
        </is>
      </c>
      <c r="H1121" s="325" t="inlineStr">
        <is>
          <t>30101-2105</t>
        </is>
      </c>
      <c r="I1121" s="325" t="inlineStr">
        <is>
          <t>ปวส.1/2 สย. (ปกติ)</t>
        </is>
      </c>
      <c r="J1121" s="275" t="inlineStr">
        <is>
          <t>08.10-12.10</t>
        </is>
      </c>
      <c r="K1121" s="335" t="n"/>
      <c r="L1121" s="332" t="n"/>
      <c r="M1121" s="179" t="n"/>
      <c r="N1121" s="179" t="n"/>
      <c r="O1121" s="244">
        <f>M1121*N1121</f>
        <v/>
      </c>
      <c r="P1121" s="332" t="n"/>
      <c r="Q1121" s="265" t="n"/>
      <c r="R1121" s="332" t="n"/>
      <c r="S1121" s="244">
        <f>Q1121*R1121</f>
        <v/>
      </c>
    </row>
    <row r="1122" ht="22.2" customHeight="1" s="330">
      <c r="A1122" s="4" t="n"/>
      <c r="B1122" s="248" t="n"/>
      <c r="C1122" s="249" t="n"/>
      <c r="D1122" s="249" t="n"/>
      <c r="E1122" s="252" t="n"/>
      <c r="G1122" s="308">
        <f>G1076</f>
        <v/>
      </c>
      <c r="H1122" s="325" t="inlineStr">
        <is>
          <t>30101-2105</t>
        </is>
      </c>
      <c r="I1122" s="325" t="inlineStr">
        <is>
          <t>ปวส.1/2 สย. (ปกติ)</t>
        </is>
      </c>
      <c r="J1122" s="252" t="inlineStr">
        <is>
          <t>13.10-14.10</t>
        </is>
      </c>
      <c r="K1122" s="331" t="n"/>
      <c r="L1122" s="252" t="n"/>
      <c r="M1122" s="180" t="n"/>
      <c r="N1122" s="180" t="n"/>
      <c r="O1122" s="244">
        <f>M1122*N1122</f>
        <v/>
      </c>
      <c r="P1122" s="252" t="n"/>
      <c r="Q1122" s="252" t="n"/>
      <c r="R1122" s="252" t="n"/>
      <c r="S1122" s="244">
        <f>Q1122*R1122</f>
        <v/>
      </c>
    </row>
    <row r="1123" ht="22.2" customHeight="1" s="330">
      <c r="A1123" s="4" t="n"/>
      <c r="B1123" s="5" t="n"/>
      <c r="D1123" s="3" t="n"/>
      <c r="E1123" s="3" t="n"/>
      <c r="G1123" s="252" t="n"/>
      <c r="H1123" s="325" t="inlineStr">
        <is>
          <t>30101-2105</t>
        </is>
      </c>
      <c r="I1123" s="325" t="inlineStr">
        <is>
          <t>ปวส.1/1 สย. (ปกติ)</t>
        </is>
      </c>
      <c r="J1123" s="252" t="inlineStr">
        <is>
          <t>14.10-19.10</t>
        </is>
      </c>
      <c r="K1123" s="331" t="n"/>
      <c r="L1123" s="252" t="n"/>
      <c r="M1123" s="180" t="n"/>
      <c r="N1123" s="180" t="n"/>
      <c r="O1123" s="244">
        <f>M1123*N1123</f>
        <v/>
      </c>
      <c r="P1123" s="252" t="n"/>
      <c r="Q1123" s="252" t="n"/>
      <c r="R1123" s="252" t="n"/>
      <c r="S1123" s="244">
        <f>Q1123*R1123</f>
        <v/>
      </c>
    </row>
    <row r="1124" ht="22.2" customHeight="1" s="330">
      <c r="A1124" s="4" t="n"/>
      <c r="E1124" s="4" t="n"/>
      <c r="G1124" s="252" t="n"/>
      <c r="H1124" s="248" t="n"/>
      <c r="I1124" s="252" t="n"/>
      <c r="J1124" s="252" t="n"/>
      <c r="K1124" s="331" t="n"/>
      <c r="L1124" s="252" t="n"/>
      <c r="M1124" s="252" t="n"/>
      <c r="N1124" s="252" t="n"/>
      <c r="O1124" s="244">
        <f>M1124*N1124</f>
        <v/>
      </c>
      <c r="P1124" s="252" t="n"/>
      <c r="Q1124" s="252" t="n"/>
      <c r="R1124" s="252" t="n"/>
      <c r="S1124" s="244">
        <f>Q1124*R1124</f>
        <v/>
      </c>
    </row>
    <row r="1125" ht="22.2" customHeight="1" s="330">
      <c r="A1125" s="4" t="n"/>
      <c r="E1125" s="4" t="n"/>
      <c r="G1125" s="277" t="n"/>
      <c r="H1125" s="277" t="n"/>
      <c r="I1125" s="276" t="n"/>
      <c r="J1125" s="276" t="n"/>
      <c r="K1125" s="476" t="n"/>
      <c r="L1125" s="276" t="n"/>
      <c r="M1125" s="276" t="n"/>
      <c r="N1125" s="276" t="n"/>
      <c r="O1125" s="244">
        <f>M1125*N1125</f>
        <v/>
      </c>
      <c r="P1125" s="276" t="n"/>
      <c r="Q1125" s="276" t="n"/>
      <c r="R1125" s="276" t="n"/>
      <c r="S1125" s="244">
        <f>Q1125*R1125</f>
        <v/>
      </c>
    </row>
    <row r="1126" ht="22.2" customHeight="1" s="330">
      <c r="A1126" s="4" t="n"/>
      <c r="E1126" s="4" t="n"/>
      <c r="G1126" s="62" t="inlineStr">
        <is>
          <t>พฤหัส</t>
        </is>
      </c>
      <c r="H1126" s="325" t="inlineStr">
        <is>
          <t>30101-0001</t>
        </is>
      </c>
      <c r="I1126" s="325" t="inlineStr">
        <is>
          <t>ปวส.2/6 สย. (ม.6)</t>
        </is>
      </c>
      <c r="J1126" s="275" t="inlineStr">
        <is>
          <t>08.10-11.10</t>
        </is>
      </c>
      <c r="K1126" s="335" t="n"/>
      <c r="L1126" s="252" t="n"/>
      <c r="M1126" s="252" t="n"/>
      <c r="N1126" s="252" t="n"/>
      <c r="O1126" s="244">
        <f>M1126*N1126</f>
        <v/>
      </c>
      <c r="P1126" s="252" t="n"/>
      <c r="Q1126" s="275" t="n"/>
      <c r="R1126" s="275" t="n"/>
      <c r="S1126" s="244">
        <f>Q1126*R1126</f>
        <v/>
      </c>
      <c r="T1126" s="25" t="n"/>
      <c r="U1126" s="26" t="inlineStr">
        <is>
          <t xml:space="preserve">     PLC</t>
        </is>
      </c>
      <c r="V1126" s="64" t="n"/>
      <c r="W1126" s="27" t="n"/>
      <c r="X1126" s="27" t="n"/>
    </row>
    <row r="1127" ht="22.2" customHeight="1" s="330">
      <c r="A1127" s="4" t="n"/>
      <c r="E1127" s="4" t="n"/>
      <c r="G1127" s="308">
        <f>G1081</f>
        <v/>
      </c>
      <c r="H1127" s="325" t="inlineStr">
        <is>
          <t>30000-2002</t>
        </is>
      </c>
      <c r="I1127" s="325" t="inlineStr">
        <is>
          <t xml:space="preserve">ปวส.2/7 1/7 สย. </t>
        </is>
      </c>
      <c r="J1127" s="252" t="inlineStr">
        <is>
          <t>13.10-15.10</t>
        </is>
      </c>
      <c r="K1127" s="331" t="n"/>
      <c r="L1127" s="252" t="n"/>
      <c r="M1127" s="252" t="n"/>
      <c r="N1127" s="252" t="n"/>
      <c r="O1127" s="244">
        <f>M1127*N1127</f>
        <v/>
      </c>
      <c r="P1127" s="252" t="n"/>
      <c r="Q1127" s="252" t="n"/>
      <c r="R1127" s="252" t="n"/>
      <c r="S1127" s="244">
        <f>Q1127*R1127</f>
        <v/>
      </c>
      <c r="T1127" s="27" t="inlineStr">
        <is>
          <t> </t>
        </is>
      </c>
      <c r="U1127" s="26" t="inlineStr">
        <is>
          <t>17.10-19.10</t>
        </is>
      </c>
      <c r="V1127" s="64" t="n"/>
      <c r="W1127" s="27" t="n"/>
      <c r="X1127" s="27" t="n"/>
    </row>
    <row r="1128" ht="22.2" customHeight="1" s="330">
      <c r="A1128" s="4" t="n"/>
      <c r="B1128" s="5" t="n"/>
      <c r="E1128" s="4" t="n"/>
      <c r="G1128" s="252" t="n"/>
      <c r="H1128" s="325" t="n"/>
      <c r="I1128" s="325" t="n"/>
      <c r="J1128" s="252" t="n"/>
      <c r="K1128" s="331" t="n"/>
      <c r="L1128" s="325" t="n"/>
      <c r="M1128" s="325" t="n"/>
      <c r="N1128" s="325" t="n"/>
      <c r="O1128" s="244">
        <f>M1128*N1128</f>
        <v/>
      </c>
      <c r="P1128" s="325" t="n"/>
      <c r="Q1128" s="325" t="n"/>
      <c r="R1128" s="325" t="n"/>
      <c r="S1128" s="244">
        <f>Q1128*R1128</f>
        <v/>
      </c>
    </row>
    <row r="1129" ht="22.2" customHeight="1" s="330">
      <c r="A1129" s="4" t="n"/>
      <c r="E1129" s="4" t="n"/>
      <c r="G1129" s="252" t="n"/>
      <c r="H1129" s="252" t="n"/>
      <c r="I1129" s="252" t="n"/>
      <c r="J1129" s="252" t="n"/>
      <c r="K1129" s="331" t="n"/>
      <c r="L1129" s="252" t="n"/>
      <c r="M1129" s="252" t="n"/>
      <c r="N1129" s="252" t="n"/>
      <c r="O1129" s="244">
        <f>M1129*N1129</f>
        <v/>
      </c>
      <c r="P1129" s="252" t="n"/>
      <c r="Q1129" s="252" t="n"/>
      <c r="R1129" s="252" t="n"/>
      <c r="S1129" s="244">
        <f>Q1129*R1129</f>
        <v/>
      </c>
    </row>
    <row r="1130" ht="22.2" customHeight="1" s="330">
      <c r="A1130" s="4" t="n"/>
      <c r="E1130" s="4" t="n"/>
      <c r="G1130" s="276" t="n"/>
      <c r="H1130" s="301" t="n"/>
      <c r="I1130" s="276" t="n"/>
      <c r="J1130" s="276" t="n"/>
      <c r="K1130" s="476" t="n"/>
      <c r="L1130" s="276" t="n"/>
      <c r="M1130" s="276" t="n"/>
      <c r="N1130" s="276" t="n"/>
      <c r="O1130" s="244">
        <f>M1130*N1130</f>
        <v/>
      </c>
      <c r="P1130" s="276" t="n"/>
      <c r="Q1130" s="276" t="n"/>
      <c r="R1130" s="276" t="n"/>
      <c r="S1130" s="244">
        <f>Q1130*R1130</f>
        <v/>
      </c>
    </row>
    <row r="1131" ht="22.2" customHeight="1" s="330">
      <c r="A1131" s="4" t="n"/>
      <c r="E1131" s="4" t="n"/>
      <c r="G1131" s="62" t="inlineStr">
        <is>
          <t>ศุกร์</t>
        </is>
      </c>
      <c r="H1131" s="325" t="inlineStr">
        <is>
          <t>30101-2109</t>
        </is>
      </c>
      <c r="I1131" s="325" t="inlineStr">
        <is>
          <t>ปวส.2/6 สย. (ม.6)</t>
        </is>
      </c>
      <c r="J1131" s="275" t="inlineStr">
        <is>
          <t>08.10-12.10</t>
        </is>
      </c>
      <c r="K1131" s="335" t="n"/>
      <c r="L1131" s="252" t="n"/>
      <c r="M1131" s="252" t="n"/>
      <c r="N1131" s="252" t="n"/>
      <c r="O1131" s="244">
        <f>M1131*N1131</f>
        <v/>
      </c>
      <c r="P1131" s="332" t="n"/>
      <c r="Q1131" s="265" t="n"/>
      <c r="R1131" s="332" t="n"/>
      <c r="S1131" s="244">
        <f>Q1131*R1131</f>
        <v/>
      </c>
    </row>
    <row r="1132" ht="22.2" customHeight="1" s="330">
      <c r="A1132" s="4" t="n"/>
      <c r="E1132" s="4" t="n"/>
      <c r="G1132" s="308">
        <f>G1086</f>
        <v/>
      </c>
      <c r="H1132" s="325" t="inlineStr">
        <is>
          <t>30101-2109</t>
        </is>
      </c>
      <c r="I1132" s="325" t="inlineStr">
        <is>
          <t>ปวส.2/6 สย. (ม.6)</t>
        </is>
      </c>
      <c r="J1132" s="252" t="inlineStr">
        <is>
          <t>13.10-14.10</t>
        </is>
      </c>
      <c r="K1132" s="331" t="n"/>
      <c r="L1132" s="252" t="n"/>
      <c r="M1132" s="252" t="n"/>
      <c r="N1132" s="252" t="n"/>
      <c r="O1132" s="244">
        <f>M1132*N1132</f>
        <v/>
      </c>
      <c r="P1132" s="252" t="n"/>
      <c r="Q1132" s="252" t="n"/>
      <c r="R1132" s="252" t="n"/>
      <c r="S1132" s="244">
        <f>Q1132*R1132</f>
        <v/>
      </c>
    </row>
    <row r="1133" ht="22.2" customHeight="1" s="330">
      <c r="A1133" s="4" t="n"/>
      <c r="E1133" s="4" t="n"/>
      <c r="G1133" s="252" t="n"/>
      <c r="H1133" s="252" t="n"/>
      <c r="I1133" s="252" t="n"/>
      <c r="J1133" s="252" t="n"/>
      <c r="K1133" s="331" t="n"/>
      <c r="L1133" s="252" t="n"/>
      <c r="M1133" s="252" t="n"/>
      <c r="N1133" s="252" t="n"/>
      <c r="O1133" s="244">
        <f>M1133*N1133</f>
        <v/>
      </c>
      <c r="P1133" s="252" t="n"/>
      <c r="Q1133" s="252" t="n"/>
      <c r="R1133" s="252" t="n"/>
      <c r="S1133" s="244">
        <f>Q1133*R1133</f>
        <v/>
      </c>
    </row>
    <row r="1134" ht="22.2" customHeight="1" s="330">
      <c r="A1134" s="4" t="n"/>
      <c r="E1134" s="4" t="n"/>
      <c r="G1134" s="252" t="n"/>
      <c r="H1134" s="249" t="inlineStr">
        <is>
          <t> </t>
        </is>
      </c>
      <c r="I1134" s="252" t="n"/>
      <c r="J1134" s="252" t="n"/>
      <c r="K1134" s="331" t="n"/>
      <c r="L1134" s="252" t="n"/>
      <c r="M1134" s="252" t="n"/>
      <c r="N1134" s="252" t="n"/>
      <c r="O1134" s="244">
        <f>M1134*N1134</f>
        <v/>
      </c>
      <c r="P1134" s="252" t="n"/>
      <c r="Q1134" s="252" t="n"/>
      <c r="R1134" s="252" t="n"/>
      <c r="S1134" s="244">
        <f>Q1134*R1134</f>
        <v/>
      </c>
    </row>
    <row r="1135" ht="22.2" customHeight="1" s="330">
      <c r="A1135" s="4" t="n"/>
      <c r="E1135" s="4" t="n"/>
      <c r="F1135" s="4" t="n"/>
      <c r="G1135" s="278" t="n"/>
      <c r="H1135" s="301" t="n"/>
      <c r="I1135" s="276" t="n"/>
      <c r="J1135" s="276" t="n"/>
      <c r="K1135" s="476" t="n"/>
      <c r="L1135" s="276" t="n"/>
      <c r="M1135" s="276" t="n"/>
      <c r="N1135" s="276" t="n"/>
      <c r="O1135" s="244">
        <f>M1135*N1135</f>
        <v/>
      </c>
      <c r="P1135" s="276" t="n"/>
      <c r="Q1135" s="276" t="n"/>
      <c r="R1135" s="276" t="n"/>
      <c r="S1135" s="244">
        <f>Q1135*R1135</f>
        <v/>
      </c>
    </row>
    <row r="1136" ht="22.2" customHeight="1" s="330">
      <c r="A1136" s="4" t="n"/>
      <c r="E1136" s="4" t="n"/>
      <c r="F1136" s="4" t="n"/>
      <c r="G1136" s="17" t="inlineStr">
        <is>
          <t>รวมขั่วโมงที่สอนแยก ภาระงาน/ เกินภาระงาน</t>
        </is>
      </c>
      <c r="H1136" s="467" t="n"/>
      <c r="I1136" s="467" t="n"/>
      <c r="J1136" s="467" t="n"/>
      <c r="K1136" s="362" t="n"/>
      <c r="L1136" s="17">
        <f>SUM(L1111:L1135)</f>
        <v/>
      </c>
      <c r="M1136" s="17">
        <f>SUM(M1111:M1135)</f>
        <v/>
      </c>
      <c r="N1136" s="17" t="n"/>
      <c r="O1136" s="17" t="n"/>
      <c r="P1136" s="17">
        <f>SUM(P1111:P1135)</f>
        <v/>
      </c>
      <c r="Q1136" s="17">
        <f>SUM(Q1111:Q1135)</f>
        <v/>
      </c>
      <c r="R1136" s="279" t="n"/>
      <c r="S1136" s="17" t="n"/>
    </row>
    <row r="1137" ht="22.2" customHeight="1" s="330">
      <c r="A1137" s="4" t="n"/>
      <c r="E1137" s="4" t="n"/>
      <c r="F1137" s="4" t="n"/>
      <c r="G1137" s="17" t="inlineStr">
        <is>
          <t>รวมจำนวนชั่วโมงสอนคาบต่อสับดาห์</t>
        </is>
      </c>
      <c r="H1137" s="467" t="n"/>
      <c r="I1137" s="467" t="n"/>
      <c r="J1137" s="467" t="n"/>
      <c r="K1137" s="362" t="n"/>
      <c r="L1137" s="17">
        <f>L1136+M1136</f>
        <v/>
      </c>
      <c r="M1137" s="362" t="n"/>
      <c r="N1137" s="298" t="n"/>
      <c r="O1137" s="17" t="n"/>
      <c r="P1137" s="17">
        <f>P1136+Q1136</f>
        <v/>
      </c>
      <c r="Q1137" s="362" t="n"/>
      <c r="R1137" s="278" t="n"/>
      <c r="S1137" s="276" t="n"/>
    </row>
    <row r="1138" ht="22.2" customHeight="1" s="330">
      <c r="A1138" s="4" t="n"/>
      <c r="E1138" s="4" t="n"/>
      <c r="F1138" s="4" t="n"/>
      <c r="G1138" s="17" t="inlineStr">
        <is>
          <t>จำนวนชั่วโมงสอนตามภาระงานสอน</t>
        </is>
      </c>
      <c r="H1138" s="467" t="n"/>
      <c r="I1138" s="467" t="n"/>
      <c r="J1138" s="467" t="n"/>
      <c r="K1138" s="362" t="n"/>
      <c r="L1138" s="153" t="inlineStr">
        <is>
          <t>0</t>
        </is>
      </c>
      <c r="M1138" s="362" t="n"/>
      <c r="N1138" s="151" t="n"/>
      <c r="O1138" s="154" t="n"/>
      <c r="P1138" s="485" t="inlineStr">
        <is>
          <t>15</t>
        </is>
      </c>
      <c r="Q1138" s="362" t="n"/>
      <c r="R1138" s="249" t="n"/>
      <c r="S1138" s="252" t="n"/>
    </row>
    <row r="1139" ht="22.2" customHeight="1" s="330" thickBot="1">
      <c r="A1139" s="4" t="n"/>
      <c r="E1139" s="4" t="n"/>
      <c r="F1139" s="15" t="n"/>
      <c r="G1139" s="17" t="inlineStr">
        <is>
          <t>จำนวนชั่วโมงบิกเกินภาระงานสอน/ค่าสอน</t>
        </is>
      </c>
      <c r="H1139" s="467" t="n"/>
      <c r="I1139" s="467" t="n"/>
      <c r="J1139" s="467" t="n"/>
      <c r="K1139" s="362" t="n"/>
      <c r="L1139" s="18" t="n">
        <v>0</v>
      </c>
      <c r="M1139" s="18">
        <f>SUM(M1111:M1135)</f>
        <v/>
      </c>
      <c r="N1139" s="18" t="n"/>
      <c r="O1139" s="18">
        <f>SUM(O1111:O1135)</f>
        <v/>
      </c>
      <c r="P1139" s="18" t="n">
        <v>0</v>
      </c>
      <c r="Q1139" s="18">
        <f>SUM(Q1111:Q1135)</f>
        <v/>
      </c>
      <c r="R1139" s="19" t="n"/>
      <c r="S1139" s="18">
        <f>SUM(S1111:S1135)</f>
        <v/>
      </c>
    </row>
    <row r="1140" ht="22.2" customHeight="1" s="330" thickTop="1">
      <c r="A1140" s="299" t="inlineStr">
        <is>
          <t>รวมจำนวนหน่วยชั่วโมงที่ขอเบิกค่าสอน ….</t>
        </is>
      </c>
      <c r="B1140" s="467" t="n"/>
      <c r="C1140" s="467" t="n"/>
      <c r="D1140" s="467" t="n"/>
      <c r="E1140" s="467" t="n"/>
      <c r="F1140" s="467" t="n"/>
      <c r="G1140" s="467" t="n"/>
      <c r="H1140" s="298">
        <f>M1139+Q1139</f>
        <v/>
      </c>
      <c r="I1140" s="298" t="inlineStr">
        <is>
          <t>….ชั่วโมง</t>
        </is>
      </c>
      <c r="J1140" s="298" t="n"/>
      <c r="K1140" s="301" t="inlineStr">
        <is>
          <t>ยอดเงินรวม</t>
        </is>
      </c>
      <c r="L1140" s="471" t="n"/>
      <c r="M1140" s="471" t="n"/>
      <c r="N1140" s="301" t="n"/>
      <c r="O1140" s="301" t="n"/>
      <c r="P1140" s="302">
        <f>S1139+O1139</f>
        <v/>
      </c>
      <c r="Q1140" s="482" t="n"/>
      <c r="R1140" s="21" t="n"/>
      <c r="S1140" s="20" t="inlineStr">
        <is>
          <t>..บาท</t>
        </is>
      </c>
    </row>
    <row r="1141" ht="22.2" customHeight="1" s="330">
      <c r="A1141" s="207" t="inlineStr">
        <is>
          <t>ผู้ขอเบิก</t>
        </is>
      </c>
      <c r="B1141" s="334" t="n"/>
      <c r="C1141" s="334" t="n"/>
      <c r="D1141" s="334" t="n"/>
      <c r="E1141" s="334" t="n"/>
      <c r="F1141" s="334" t="n"/>
      <c r="G1141" s="335" t="n"/>
      <c r="H1141" s="207" t="inlineStr">
        <is>
          <t>ผู้รับรอง</t>
        </is>
      </c>
      <c r="I1141" s="334" t="n"/>
      <c r="J1141" s="334" t="n"/>
      <c r="K1141" s="334" t="n"/>
      <c r="L1141" s="335" t="n"/>
      <c r="M1141" s="207" t="inlineStr">
        <is>
          <t>ผู้ตรวจ</t>
        </is>
      </c>
      <c r="N1141" s="334" t="n"/>
      <c r="O1141" s="334" t="n"/>
      <c r="P1141" s="334" t="n"/>
      <c r="Q1141" s="334" t="n"/>
      <c r="R1141" s="334" t="n"/>
      <c r="S1141" s="335" t="n"/>
    </row>
    <row r="1142" ht="22.2" customHeight="1" s="330">
      <c r="A1142" s="252" t="inlineStr">
        <is>
          <t>ลงชื่อ……………………………………………</t>
        </is>
      </c>
      <c r="G1142" s="331" t="n"/>
      <c r="H1142" s="252" t="inlineStr">
        <is>
          <t>ลงชื่อ……………………………………………</t>
        </is>
      </c>
      <c r="L1142" s="331" t="n"/>
      <c r="M1142" s="252" t="inlineStr">
        <is>
          <t>ลงชื่อ……………………………………………</t>
        </is>
      </c>
      <c r="S1142" s="331" t="n"/>
    </row>
    <row r="1143" ht="22.2" customHeight="1" s="330">
      <c r="A1143" s="12" t="inlineStr">
        <is>
          <t>(</t>
        </is>
      </c>
      <c r="B1143" s="309">
        <f>B1111</f>
        <v/>
      </c>
      <c r="G1143" s="310" t="inlineStr">
        <is>
          <t>)</t>
        </is>
      </c>
      <c r="H1143" s="309" t="inlineStr">
        <is>
          <t>(</t>
        </is>
      </c>
      <c r="I1143" s="314">
        <f>I1097</f>
        <v/>
      </c>
      <c r="L1143" s="13" t="inlineStr">
        <is>
          <t>)</t>
        </is>
      </c>
      <c r="M1143" s="61" t="inlineStr">
        <is>
          <t>(</t>
        </is>
      </c>
      <c r="N1143" s="61" t="n"/>
      <c r="O1143" s="309" t="inlineStr">
        <is>
          <t>นายพิสุทธิศักดิ์  กล่อมนาค</t>
        </is>
      </c>
      <c r="R1143" s="29" t="n"/>
      <c r="S1143" s="310" t="inlineStr">
        <is>
          <t>)</t>
        </is>
      </c>
    </row>
    <row r="1144" ht="22.2" customHeight="1" s="330">
      <c r="A1144" s="483" t="inlineStr">
        <is>
          <t xml:space="preserve">                 ตำแหน่ง  ครูพิเศษ</t>
        </is>
      </c>
      <c r="G1144" s="331" t="n"/>
      <c r="H1144" s="62" t="inlineStr">
        <is>
          <t>ตำแหน่ง หัวหน้าแผนก</t>
        </is>
      </c>
      <c r="L1144" s="331" t="n"/>
      <c r="M1144" s="62" t="inlineStr">
        <is>
          <t>ตำแหน่ง   ผู้ตรวจสอบ</t>
        </is>
      </c>
      <c r="S1144" s="331" t="n"/>
    </row>
    <row r="1145" ht="22.2" customHeight="1" s="330">
      <c r="A1145" s="63">
        <f>A41</f>
        <v/>
      </c>
      <c r="B1145" s="471" t="n"/>
      <c r="C1145" s="471" t="n"/>
      <c r="D1145" s="471" t="n"/>
      <c r="E1145" s="471" t="n"/>
      <c r="F1145" s="471" t="n"/>
      <c r="G1145" s="476" t="n"/>
      <c r="H1145" s="62">
        <f>A41</f>
        <v/>
      </c>
      <c r="L1145" s="331" t="n"/>
      <c r="M1145" s="63">
        <f>A41</f>
        <v/>
      </c>
      <c r="N1145" s="471" t="n"/>
      <c r="O1145" s="471" t="n"/>
      <c r="P1145" s="471" t="n"/>
      <c r="Q1145" s="471" t="n"/>
      <c r="R1145" s="471" t="n"/>
      <c r="S1145" s="476" t="n"/>
    </row>
    <row r="1146" ht="22.2" customHeight="1" s="330">
      <c r="A1146" s="207" t="inlineStr">
        <is>
          <t>ผู้ตรวจ</t>
        </is>
      </c>
      <c r="B1146" s="334" t="n"/>
      <c r="C1146" s="334" t="n"/>
      <c r="D1146" s="334" t="n"/>
      <c r="E1146" s="334" t="n"/>
      <c r="F1146" s="334" t="n"/>
      <c r="G1146" s="334" t="n"/>
      <c r="H1146" s="334" t="n"/>
      <c r="I1146" s="335" t="n"/>
      <c r="J1146" s="207" t="inlineStr">
        <is>
          <t>ผู้เห็นชอบ</t>
        </is>
      </c>
      <c r="K1146" s="334" t="n"/>
      <c r="L1146" s="334" t="n"/>
      <c r="M1146" s="334" t="n"/>
      <c r="N1146" s="334" t="n"/>
      <c r="O1146" s="334" t="n"/>
      <c r="P1146" s="334" t="n"/>
      <c r="Q1146" s="334" t="n"/>
      <c r="R1146" s="334" t="n"/>
      <c r="S1146" s="335" t="n"/>
    </row>
    <row r="1147" ht="22.2" customHeight="1" s="330">
      <c r="A1147" s="252" t="inlineStr">
        <is>
          <t>ลงชื่อ……………………………………………</t>
        </is>
      </c>
      <c r="I1147" s="331" t="n"/>
      <c r="J1147" s="252" t="inlineStr">
        <is>
          <t>ลงชื่อ……………………………………………</t>
        </is>
      </c>
      <c r="S1147" s="331" t="n"/>
    </row>
    <row r="1148" ht="22.2" customHeight="1" s="330">
      <c r="A1148" s="12" t="n"/>
      <c r="B1148" s="309" t="inlineStr">
        <is>
          <t xml:space="preserve">          (นางศิวรักษ์   บุญประเสริฐ)</t>
        </is>
      </c>
      <c r="I1148" s="310" t="n"/>
      <c r="J1148" s="29" t="n"/>
      <c r="K1148" s="29" t="n"/>
      <c r="L1148" s="309" t="inlineStr">
        <is>
          <t>(นายปรีชา  โพธิ์เกิด)</t>
        </is>
      </c>
      <c r="R1148" s="29" t="n"/>
      <c r="S1148" s="13" t="n"/>
    </row>
    <row r="1149" ht="22.2" customHeight="1" s="330">
      <c r="A1149" s="62" t="inlineStr">
        <is>
          <t>ตำแหน่งครู  หัวหน้างานพัฒนาหลักสูตร ฯ</t>
        </is>
      </c>
      <c r="I1149" s="331" t="n"/>
      <c r="J1149" s="62" t="inlineStr">
        <is>
          <t>ตำแหน่ง  รองผู้อำนวยการฝ่ายวิชาการ</t>
        </is>
      </c>
      <c r="S1149" s="331" t="n"/>
    </row>
    <row r="1150" ht="22.2" customHeight="1" s="330">
      <c r="A1150" s="63">
        <f>A41</f>
        <v/>
      </c>
      <c r="B1150" s="471" t="n"/>
      <c r="C1150" s="471" t="n"/>
      <c r="D1150" s="471" t="n"/>
      <c r="E1150" s="471" t="n"/>
      <c r="F1150" s="471" t="n"/>
      <c r="G1150" s="471" t="n"/>
      <c r="H1150" s="471" t="n"/>
      <c r="I1150" s="476" t="n"/>
      <c r="J1150" s="63">
        <f>A41</f>
        <v/>
      </c>
      <c r="K1150" s="471" t="n"/>
      <c r="L1150" s="471" t="n"/>
      <c r="M1150" s="471" t="n"/>
      <c r="N1150" s="471" t="n"/>
      <c r="O1150" s="471" t="n"/>
      <c r="P1150" s="471" t="n"/>
      <c r="Q1150" s="471" t="n"/>
      <c r="R1150" s="471" t="n"/>
      <c r="S1150" s="476" t="n"/>
    </row>
    <row r="1151" ht="22.2" customHeight="1" s="330">
      <c r="A115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52" ht="22.2" customHeight="1" s="330">
      <c r="A1152" s="254">
        <f>A2</f>
        <v/>
      </c>
    </row>
    <row r="1153" ht="22.2" customHeight="1" s="330">
      <c r="A1153" s="253" t="inlineStr">
        <is>
          <t xml:space="preserve">    ระหว่างวันที่</t>
        </is>
      </c>
      <c r="D1153" s="254">
        <f>D3</f>
        <v/>
      </c>
      <c r="E1153" s="254" t="inlineStr">
        <is>
          <t xml:space="preserve">   เดือน  </t>
        </is>
      </c>
      <c r="F1153" s="254">
        <f>F3</f>
        <v/>
      </c>
      <c r="H1153" s="254">
        <f>H3</f>
        <v/>
      </c>
      <c r="I1153" s="254" t="inlineStr">
        <is>
          <t xml:space="preserve">     ถึง วันที่</t>
        </is>
      </c>
      <c r="J1153" s="254">
        <f>J3</f>
        <v/>
      </c>
      <c r="K1153" s="254" t="inlineStr">
        <is>
          <t xml:space="preserve">   เดือน </t>
        </is>
      </c>
      <c r="L1153" s="254">
        <f>L3</f>
        <v/>
      </c>
      <c r="N1153" s="254">
        <f>N3</f>
        <v/>
      </c>
      <c r="P1153" s="254" t="n"/>
      <c r="R1153" s="254" t="n"/>
    </row>
    <row r="1154" ht="22.2" customHeight="1" s="330">
      <c r="G1154" s="58" t="inlineStr">
        <is>
          <t>ü</t>
        </is>
      </c>
      <c r="H1154" s="8" t="inlineStr">
        <is>
          <t>ครูพิเศษ</t>
        </is>
      </c>
      <c r="I1154" s="249" t="inlineStr">
        <is>
          <t>หน้าที่พิเศษ</t>
        </is>
      </c>
      <c r="K1154" s="290" t="n"/>
    </row>
    <row r="1155" ht="22.2" customHeight="1" s="330">
      <c r="A1155" s="28" t="inlineStr">
        <is>
          <t>ที่</t>
        </is>
      </c>
      <c r="B1155" s="28" t="inlineStr">
        <is>
          <t>ชื่อ-สกุล</t>
        </is>
      </c>
      <c r="C1155" s="334" t="n"/>
      <c r="D1155" s="335" t="n"/>
      <c r="E1155" s="16" t="inlineStr">
        <is>
          <t>ตำแหน่ง</t>
        </is>
      </c>
      <c r="F1155" s="17" t="inlineStr">
        <is>
          <t>ระยะเวลาที่สอน</t>
        </is>
      </c>
      <c r="G1155" s="362" t="n"/>
      <c r="H1155" s="17" t="inlineStr">
        <is>
          <t>รหัสวิชา</t>
        </is>
      </c>
      <c r="I1155" s="275" t="inlineStr">
        <is>
          <t>ชั้น,แผนก,ห้อง</t>
        </is>
      </c>
      <c r="J1155" s="17" t="inlineStr">
        <is>
          <t>เวลาสอน</t>
        </is>
      </c>
      <c r="K1155" s="335" t="n"/>
      <c r="L1155" s="17" t="inlineStr">
        <is>
          <t>ปวช.(คาบ)</t>
        </is>
      </c>
      <c r="M1155" s="362" t="n"/>
      <c r="N1155" s="244" t="inlineStr">
        <is>
          <t>เงิน</t>
        </is>
      </c>
      <c r="O1155" s="275" t="inlineStr">
        <is>
          <t>ยอดเงิน</t>
        </is>
      </c>
      <c r="P1155" s="473" t="inlineStr">
        <is>
          <t>ปวส.(คาบ)</t>
        </is>
      </c>
      <c r="Q1155" s="362" t="n"/>
      <c r="R1155" s="244" t="inlineStr">
        <is>
          <t>เงิน</t>
        </is>
      </c>
      <c r="S1155" s="275" t="inlineStr">
        <is>
          <t>ยอดเงิน</t>
        </is>
      </c>
    </row>
    <row r="1156" ht="22.2" customHeight="1" s="330">
      <c r="A1156" s="60" t="n"/>
      <c r="B1156" s="9" t="n"/>
      <c r="C1156" s="10" t="n"/>
      <c r="D1156" s="14" t="n"/>
      <c r="E1156" s="11" t="n"/>
      <c r="F1156" s="276" t="inlineStr">
        <is>
          <t>ส.</t>
        </is>
      </c>
      <c r="G1156" s="276" t="inlineStr">
        <is>
          <t>วดป.</t>
        </is>
      </c>
      <c r="H1156" s="474" t="n"/>
      <c r="I1156" s="276" t="n"/>
      <c r="J1156" s="475" t="n"/>
      <c r="K1156" s="476" t="n"/>
      <c r="L1156" s="276" t="inlineStr">
        <is>
          <t>ใน</t>
        </is>
      </c>
      <c r="M1156" s="276" t="inlineStr">
        <is>
          <t>นอก</t>
        </is>
      </c>
      <c r="N1156" s="276" t="inlineStr">
        <is>
          <t>ต่อ ชม.</t>
        </is>
      </c>
      <c r="O1156" s="276" t="inlineStr">
        <is>
          <t>(บาท)</t>
        </is>
      </c>
      <c r="P1156" s="60" t="inlineStr">
        <is>
          <t>ใน</t>
        </is>
      </c>
      <c r="Q1156" s="60" t="inlineStr">
        <is>
          <t>นอก</t>
        </is>
      </c>
      <c r="R1156" s="276" t="inlineStr">
        <is>
          <t>ต่อ ชม.</t>
        </is>
      </c>
      <c r="S1156" s="276" t="inlineStr">
        <is>
          <t>(บาท)</t>
        </is>
      </c>
    </row>
    <row r="1157" ht="22.2" customHeight="1" s="330">
      <c r="A1157" s="275" t="n">
        <v>26</v>
      </c>
      <c r="B1157" s="477">
        <f>AB28</f>
        <v/>
      </c>
      <c r="C1157" s="334" t="n"/>
      <c r="D1157" s="335" t="n"/>
      <c r="E1157" s="275" t="inlineStr">
        <is>
          <t>ครู</t>
        </is>
      </c>
      <c r="F1157" s="6">
        <f>F7</f>
        <v/>
      </c>
      <c r="G1157" s="303" t="inlineStr">
        <is>
          <t>จันทร์</t>
        </is>
      </c>
      <c r="H1157" s="332" t="n"/>
      <c r="I1157" s="325" t="n"/>
      <c r="J1157" s="275" t="n"/>
      <c r="K1157" s="335" t="n"/>
      <c r="L1157" s="332" t="n"/>
      <c r="M1157" s="156" t="n"/>
      <c r="N1157" s="156" t="n"/>
      <c r="O1157" s="244">
        <f>M1157*N1157</f>
        <v/>
      </c>
      <c r="P1157" s="332" t="n"/>
      <c r="Q1157" s="265" t="n"/>
      <c r="R1157" s="332" t="n"/>
      <c r="S1157" s="244">
        <f>Q1157*R1157</f>
        <v/>
      </c>
    </row>
    <row r="1158" ht="22.2" customHeight="1" s="330">
      <c r="A1158" s="4" t="n"/>
      <c r="B1158" s="478" t="n"/>
      <c r="D1158" s="331" t="n"/>
      <c r="E1158" s="252" t="inlineStr">
        <is>
          <t>พิเศษ</t>
        </is>
      </c>
      <c r="F1158" s="249" t="n"/>
      <c r="G1158" s="308">
        <f>G1112</f>
        <v/>
      </c>
      <c r="H1158" s="325" t="n"/>
      <c r="I1158" s="325" t="n"/>
      <c r="J1158" s="252" t="n"/>
      <c r="K1158" s="331" t="n"/>
      <c r="L1158" s="252" t="n"/>
      <c r="M1158" s="56" t="n"/>
      <c r="N1158" s="56" t="n"/>
      <c r="O1158" s="244">
        <f>M1158*N1158</f>
        <v/>
      </c>
      <c r="P1158" s="252" t="n"/>
      <c r="Q1158" s="252" t="n"/>
      <c r="R1158" s="252" t="n"/>
      <c r="S1158" s="244">
        <f>Q1158*R1158</f>
        <v/>
      </c>
    </row>
    <row r="1159" ht="22.2" customHeight="1" s="330">
      <c r="A1159" s="4" t="n"/>
      <c r="B1159" s="5" t="n"/>
      <c r="D1159" s="3" t="n"/>
      <c r="E1159" s="3" t="n"/>
      <c r="F1159" s="249" t="n"/>
      <c r="G1159" s="248" t="n"/>
      <c r="H1159" s="252" t="n"/>
      <c r="I1159" s="252" t="n"/>
      <c r="J1159" s="252" t="n"/>
      <c r="K1159" s="331" t="n"/>
      <c r="L1159" s="252" t="n"/>
      <c r="M1159" s="252" t="n"/>
      <c r="N1159" s="252" t="n"/>
      <c r="O1159" s="244">
        <f>M1159*N1159</f>
        <v/>
      </c>
      <c r="P1159" s="252" t="n"/>
      <c r="Q1159" s="252" t="n"/>
      <c r="R1159" s="252" t="n"/>
      <c r="S1159" s="244">
        <f>Q1159*R1159</f>
        <v/>
      </c>
    </row>
    <row r="1160" ht="22.2" customHeight="1" s="330">
      <c r="A1160" s="4" t="n"/>
      <c r="B1160" s="5" t="n"/>
      <c r="E1160" s="4" t="n"/>
      <c r="F1160" s="249" t="n"/>
      <c r="G1160" s="248" t="n"/>
      <c r="H1160" s="252" t="n"/>
      <c r="I1160" s="252" t="n"/>
      <c r="J1160" s="252" t="n"/>
      <c r="K1160" s="331" t="n"/>
      <c r="L1160" s="252" t="n"/>
      <c r="M1160" s="252" t="n"/>
      <c r="N1160" s="252" t="n"/>
      <c r="O1160" s="244">
        <f>M1160*N1160</f>
        <v/>
      </c>
      <c r="P1160" s="252" t="n"/>
      <c r="Q1160" s="252" t="n"/>
      <c r="R1160" s="252" t="n"/>
      <c r="S1160" s="244">
        <f>Q1160*R1160</f>
        <v/>
      </c>
    </row>
    <row r="1161" ht="22.2" customHeight="1" s="330">
      <c r="A1161" s="4" t="n"/>
      <c r="E1161" s="4" t="n"/>
      <c r="G1161" s="311" t="n"/>
      <c r="H1161" s="276" t="n"/>
      <c r="I1161" s="276" t="n"/>
      <c r="J1161" s="276" t="n"/>
      <c r="K1161" s="476" t="n"/>
      <c r="L1161" s="252" t="n"/>
      <c r="M1161" s="276" t="n"/>
      <c r="N1161" s="276" t="n"/>
      <c r="O1161" s="244">
        <f>M1161*N1161</f>
        <v/>
      </c>
      <c r="P1161" s="252" t="n"/>
      <c r="Q1161" s="252" t="n"/>
      <c r="R1161" s="252" t="n"/>
      <c r="S1161" s="244">
        <f>Q1161*R1161</f>
        <v/>
      </c>
    </row>
    <row r="1162" ht="22.2" customHeight="1" s="330">
      <c r="A1162" s="4" t="n"/>
      <c r="E1162" s="4" t="n"/>
      <c r="G1162" s="62" t="inlineStr">
        <is>
          <t>อังคาร</t>
        </is>
      </c>
      <c r="H1162" s="325" t="inlineStr">
        <is>
          <t>20101-2004</t>
        </is>
      </c>
      <c r="I1162" s="325" t="inlineStr">
        <is>
          <t>ปวช.1/3 ชย. (ปกติ)</t>
        </is>
      </c>
      <c r="J1162" s="275" t="inlineStr">
        <is>
          <t>08.10-12.10</t>
        </is>
      </c>
      <c r="K1162" s="335" t="n"/>
      <c r="L1162" s="332" t="n"/>
      <c r="M1162" s="182" t="n"/>
      <c r="N1162" s="179" t="n"/>
      <c r="O1162" s="244">
        <f>M1162*N1162</f>
        <v/>
      </c>
      <c r="P1162" s="332" t="n"/>
      <c r="Q1162" s="265" t="n"/>
      <c r="R1162" s="332" t="n"/>
      <c r="S1162" s="244">
        <f>Q1162*R1162</f>
        <v/>
      </c>
      <c r="T1162" s="25" t="n"/>
      <c r="U1162" s="26" t="inlineStr">
        <is>
          <t xml:space="preserve">     PLC</t>
        </is>
      </c>
      <c r="V1162" s="64" t="n"/>
      <c r="W1162" s="27" t="n"/>
      <c r="X1162" s="27" t="n"/>
    </row>
    <row r="1163" ht="22.2" customHeight="1" s="330">
      <c r="A1163" s="4" t="n"/>
      <c r="E1163" s="4" t="n"/>
      <c r="G1163" s="308">
        <f>G1117</f>
        <v/>
      </c>
      <c r="H1163" s="325" t="inlineStr">
        <is>
          <t>20101-2004</t>
        </is>
      </c>
      <c r="I1163" s="325" t="inlineStr">
        <is>
          <t>ปวช.1/4 ชย. (ปกติ)</t>
        </is>
      </c>
      <c r="J1163" s="252" t="inlineStr">
        <is>
          <t>13.10-17.10</t>
        </is>
      </c>
      <c r="K1163" s="331" t="n"/>
      <c r="L1163" s="252" t="n"/>
      <c r="M1163" s="250" t="n"/>
      <c r="N1163" s="252" t="n"/>
      <c r="O1163" s="244">
        <f>M1163*N1163</f>
        <v/>
      </c>
      <c r="P1163" s="252" t="n"/>
      <c r="Q1163" s="252" t="n"/>
      <c r="R1163" s="252" t="n"/>
      <c r="S1163" s="244">
        <f>Q1163*R1163</f>
        <v/>
      </c>
      <c r="T1163" s="27" t="inlineStr">
        <is>
          <t> </t>
        </is>
      </c>
      <c r="U1163" s="26" t="inlineStr">
        <is>
          <t>17.10-19.10</t>
        </is>
      </c>
      <c r="V1163" s="64" t="n"/>
      <c r="W1163" s="27" t="n"/>
      <c r="X1163" s="27" t="n"/>
    </row>
    <row r="1164" ht="22.2" customHeight="1" s="330">
      <c r="A1164" s="4" t="n"/>
      <c r="B1164" s="5" t="n"/>
      <c r="D1164" s="3" t="n"/>
      <c r="E1164" s="3" t="n"/>
      <c r="G1164" s="252" t="n"/>
      <c r="H1164" s="252" t="n"/>
      <c r="I1164" s="252" t="n"/>
      <c r="J1164" s="252" t="n"/>
      <c r="K1164" s="331" t="n"/>
      <c r="L1164" s="252" t="n"/>
      <c r="M1164" s="252" t="n"/>
      <c r="N1164" s="252" t="n"/>
      <c r="O1164" s="244">
        <f>M1164*N1164</f>
        <v/>
      </c>
      <c r="P1164" s="252" t="n"/>
      <c r="Q1164" s="252" t="n"/>
      <c r="R1164" s="252" t="n"/>
      <c r="S1164" s="244">
        <f>Q1164*R1164</f>
        <v/>
      </c>
    </row>
    <row r="1165" ht="22.2" customHeight="1" s="330">
      <c r="A1165" s="4" t="n"/>
      <c r="E1165" s="4" t="n"/>
      <c r="G1165" s="62" t="n"/>
      <c r="H1165" s="249" t="n"/>
      <c r="I1165" s="252" t="n"/>
      <c r="J1165" s="252" t="n"/>
      <c r="K1165" s="331" t="n"/>
      <c r="L1165" s="252" t="n"/>
      <c r="M1165" s="252" t="n"/>
      <c r="N1165" s="252" t="n"/>
      <c r="O1165" s="244">
        <f>M1165*N1165</f>
        <v/>
      </c>
      <c r="P1165" s="252" t="n"/>
      <c r="Q1165" s="252" t="n"/>
      <c r="R1165" s="252" t="n"/>
      <c r="S1165" s="244">
        <f>Q1165*R1165</f>
        <v/>
      </c>
    </row>
    <row r="1166" ht="22.2" customHeight="1" s="330">
      <c r="A1166" s="4" t="n"/>
      <c r="D1166" s="8" t="inlineStr">
        <is>
          <t> </t>
        </is>
      </c>
      <c r="E1166" s="4" t="n"/>
      <c r="G1166" s="63" t="n"/>
      <c r="H1166" s="276" t="n"/>
      <c r="I1166" s="276" t="n"/>
      <c r="J1166" s="276" t="n"/>
      <c r="K1166" s="476" t="n"/>
      <c r="L1166" s="252" t="n"/>
      <c r="M1166" s="276" t="n"/>
      <c r="N1166" s="276" t="n"/>
      <c r="O1166" s="244">
        <f>M1166*N1166</f>
        <v/>
      </c>
      <c r="P1166" s="252" t="n"/>
      <c r="Q1166" s="252" t="n"/>
      <c r="R1166" s="252" t="n"/>
      <c r="S1166" s="244">
        <f>Q1166*R1166</f>
        <v/>
      </c>
    </row>
    <row r="1167" ht="22.2" customHeight="1" s="330">
      <c r="A1167" s="4" t="n"/>
      <c r="E1167" s="4" t="n"/>
      <c r="G1167" s="308" t="inlineStr">
        <is>
          <t>พุธ</t>
        </is>
      </c>
      <c r="H1167" s="325" t="inlineStr">
        <is>
          <t>20101-2001</t>
        </is>
      </c>
      <c r="I1167" s="325" t="inlineStr">
        <is>
          <t>ปวช.1/5 ชย. (ปกติ)</t>
        </is>
      </c>
      <c r="J1167" s="275" t="inlineStr">
        <is>
          <t>08.10-12.10</t>
        </is>
      </c>
      <c r="K1167" s="335" t="n"/>
      <c r="L1167" s="332" t="n"/>
      <c r="M1167" s="179" t="n"/>
      <c r="N1167" s="179" t="n"/>
      <c r="O1167" s="244">
        <f>M1167*N1167</f>
        <v/>
      </c>
      <c r="P1167" s="332" t="n"/>
      <c r="Q1167" s="265" t="n"/>
      <c r="R1167" s="332" t="n"/>
      <c r="S1167" s="244">
        <f>Q1167*R1167</f>
        <v/>
      </c>
    </row>
    <row r="1168" ht="22.2" customHeight="1" s="330">
      <c r="A1168" s="4" t="n"/>
      <c r="B1168" s="248" t="n"/>
      <c r="C1168" s="249" t="n"/>
      <c r="D1168" s="249" t="n"/>
      <c r="E1168" s="252" t="n"/>
      <c r="G1168" s="308">
        <f>G1122</f>
        <v/>
      </c>
      <c r="H1168" s="325" t="inlineStr">
        <is>
          <t>20101-2001</t>
        </is>
      </c>
      <c r="I1168" s="325" t="inlineStr">
        <is>
          <t>ปวช.1/5 ชย. (ปกติ)</t>
        </is>
      </c>
      <c r="J1168" s="252" t="inlineStr">
        <is>
          <t>13.10-16.10</t>
        </is>
      </c>
      <c r="K1168" s="331" t="n"/>
      <c r="L1168" s="252" t="n"/>
      <c r="M1168" s="180" t="n"/>
      <c r="N1168" s="180" t="n"/>
      <c r="O1168" s="244">
        <f>M1168*N1168</f>
        <v/>
      </c>
      <c r="P1168" s="252" t="n"/>
      <c r="Q1168" s="252" t="n"/>
      <c r="R1168" s="252" t="n"/>
      <c r="S1168" s="244">
        <f>Q1168*R1168</f>
        <v/>
      </c>
    </row>
    <row r="1169" ht="22.2" customHeight="1" s="330">
      <c r="A1169" s="4" t="n"/>
      <c r="B1169" s="5" t="n"/>
      <c r="D1169" s="3" t="n"/>
      <c r="E1169" s="3" t="n"/>
      <c r="G1169" s="252" t="n"/>
      <c r="H1169" s="325" t="n"/>
      <c r="I1169" s="325" t="n"/>
      <c r="J1169" s="252" t="n"/>
      <c r="K1169" s="331" t="n"/>
      <c r="L1169" s="252" t="n"/>
      <c r="M1169" s="180" t="n"/>
      <c r="N1169" s="180" t="n"/>
      <c r="O1169" s="244">
        <f>M1169*N1169</f>
        <v/>
      </c>
      <c r="P1169" s="252" t="n"/>
      <c r="Q1169" s="252" t="n"/>
      <c r="R1169" s="252" t="n"/>
      <c r="S1169" s="244">
        <f>Q1169*R1169</f>
        <v/>
      </c>
    </row>
    <row r="1170" ht="22.2" customHeight="1" s="330">
      <c r="A1170" s="4" t="n"/>
      <c r="E1170" s="4" t="n"/>
      <c r="G1170" s="248" t="n"/>
      <c r="H1170" s="248" t="n"/>
      <c r="I1170" s="252" t="n"/>
      <c r="J1170" s="252" t="n"/>
      <c r="K1170" s="331" t="n"/>
      <c r="L1170" s="252" t="n"/>
      <c r="M1170" s="252" t="n"/>
      <c r="N1170" s="252" t="n"/>
      <c r="O1170" s="244">
        <f>M1170*N1170</f>
        <v/>
      </c>
      <c r="P1170" s="252" t="n"/>
      <c r="Q1170" s="252" t="n"/>
      <c r="R1170" s="252" t="n"/>
      <c r="S1170" s="244">
        <f>Q1170*R1170</f>
        <v/>
      </c>
    </row>
    <row r="1171" ht="22.2" customHeight="1" s="330">
      <c r="A1171" s="4" t="n"/>
      <c r="E1171" s="4" t="n"/>
      <c r="G1171" s="277" t="n"/>
      <c r="H1171" s="277" t="n"/>
      <c r="I1171" s="276" t="n"/>
      <c r="J1171" s="276" t="n"/>
      <c r="K1171" s="476" t="n"/>
      <c r="L1171" s="276" t="n"/>
      <c r="M1171" s="276" t="n"/>
      <c r="N1171" s="276" t="n"/>
      <c r="O1171" s="244">
        <f>M1171*N1171</f>
        <v/>
      </c>
      <c r="P1171" s="276" t="n"/>
      <c r="Q1171" s="276" t="n"/>
      <c r="R1171" s="276" t="n"/>
      <c r="S1171" s="244">
        <f>Q1171*R1171</f>
        <v/>
      </c>
    </row>
    <row r="1172" ht="22.2" customHeight="1" s="330">
      <c r="A1172" s="4" t="n"/>
      <c r="E1172" s="4" t="n"/>
      <c r="G1172" s="62" t="inlineStr">
        <is>
          <t>พฤหัส</t>
        </is>
      </c>
      <c r="H1172" s="325" t="inlineStr">
        <is>
          <t>20101-2008</t>
        </is>
      </c>
      <c r="I1172" s="325" t="inlineStr">
        <is>
          <t>ปวช.3/9 ชย. (ทวิ)</t>
        </is>
      </c>
      <c r="J1172" s="275" t="inlineStr">
        <is>
          <t>08.10-12.10</t>
        </is>
      </c>
      <c r="K1172" s="335" t="n"/>
      <c r="L1172" s="252" t="n"/>
      <c r="M1172" s="252" t="n"/>
      <c r="N1172" s="252" t="n"/>
      <c r="O1172" s="244">
        <f>M1172*N1172</f>
        <v/>
      </c>
      <c r="P1172" s="252" t="n"/>
      <c r="Q1172" s="275" t="n"/>
      <c r="R1172" s="275" t="n"/>
      <c r="S1172" s="244">
        <f>Q1172*R1172</f>
        <v/>
      </c>
    </row>
    <row r="1173" ht="22.2" customHeight="1" s="330">
      <c r="A1173" s="4" t="n"/>
      <c r="E1173" s="4" t="n"/>
      <c r="G1173" s="308">
        <f>G1127</f>
        <v/>
      </c>
      <c r="H1173" s="325" t="inlineStr">
        <is>
          <t>20000-2002</t>
        </is>
      </c>
      <c r="I1173" s="325" t="inlineStr">
        <is>
          <t>ปวช.1/9,10 ชย. (ทวิ)</t>
        </is>
      </c>
      <c r="J1173" s="252" t="inlineStr">
        <is>
          <t>13.10-15.10</t>
        </is>
      </c>
      <c r="K1173" s="331" t="n"/>
      <c r="L1173" s="252" t="n"/>
      <c r="M1173" s="252" t="n"/>
      <c r="N1173" s="252" t="n"/>
      <c r="O1173" s="244">
        <f>M1173*N1173</f>
        <v/>
      </c>
      <c r="P1173" s="252" t="n"/>
      <c r="Q1173" s="252" t="n"/>
      <c r="R1173" s="252" t="n"/>
      <c r="S1173" s="244">
        <f>Q1173*R1173</f>
        <v/>
      </c>
    </row>
    <row r="1174" ht="22.2" customHeight="1" s="330">
      <c r="A1174" s="4" t="n"/>
      <c r="B1174" s="5" t="n"/>
      <c r="E1174" s="4" t="n"/>
      <c r="G1174" s="252" t="n"/>
      <c r="H1174" s="325" t="inlineStr">
        <is>
          <t>20101-2009</t>
        </is>
      </c>
      <c r="I1174" s="325" t="inlineStr">
        <is>
          <t>ปวช.1/10 ชย. (ทวิ)</t>
        </is>
      </c>
      <c r="J1174" s="252" t="inlineStr">
        <is>
          <t>15.10-19.10</t>
        </is>
      </c>
      <c r="K1174" s="331" t="n"/>
      <c r="L1174" s="325" t="n"/>
      <c r="M1174" s="325" t="n"/>
      <c r="N1174" s="325" t="n"/>
      <c r="O1174" s="244">
        <f>M1174*N1174</f>
        <v/>
      </c>
      <c r="P1174" s="325" t="n"/>
      <c r="Q1174" s="325" t="n"/>
      <c r="R1174" s="325" t="n"/>
      <c r="S1174" s="244">
        <f>Q1174*R1174</f>
        <v/>
      </c>
    </row>
    <row r="1175" ht="22.2" customHeight="1" s="330">
      <c r="A1175" s="4" t="n"/>
      <c r="E1175" s="4" t="n"/>
      <c r="G1175" s="252" t="n"/>
      <c r="H1175" s="252" t="n"/>
      <c r="I1175" s="252" t="n"/>
      <c r="J1175" s="252" t="n"/>
      <c r="K1175" s="331" t="n"/>
      <c r="L1175" s="252" t="n"/>
      <c r="M1175" s="252" t="n"/>
      <c r="N1175" s="252" t="n"/>
      <c r="O1175" s="244">
        <f>M1175*N1175</f>
        <v/>
      </c>
      <c r="P1175" s="252" t="n"/>
      <c r="Q1175" s="252" t="n"/>
      <c r="R1175" s="252" t="n"/>
      <c r="S1175" s="244">
        <f>Q1175*R1175</f>
        <v/>
      </c>
    </row>
    <row r="1176" ht="22.2" customHeight="1" s="330">
      <c r="A1176" s="4" t="n"/>
      <c r="E1176" s="4" t="n"/>
      <c r="G1176" s="276" t="n"/>
      <c r="H1176" s="301" t="n"/>
      <c r="I1176" s="276" t="n"/>
      <c r="J1176" s="276" t="n"/>
      <c r="K1176" s="476" t="n"/>
      <c r="L1176" s="276" t="n"/>
      <c r="M1176" s="276" t="n"/>
      <c r="N1176" s="276" t="n"/>
      <c r="O1176" s="244">
        <f>M1176*N1176</f>
        <v/>
      </c>
      <c r="P1176" s="276" t="n"/>
      <c r="Q1176" s="276" t="n"/>
      <c r="R1176" s="276" t="n"/>
      <c r="S1176" s="244">
        <f>Q1176*R1176</f>
        <v/>
      </c>
    </row>
    <row r="1177" ht="22.2" customHeight="1" s="330">
      <c r="A1177" s="4" t="n"/>
      <c r="E1177" s="4" t="n"/>
      <c r="G1177" s="62" t="inlineStr">
        <is>
          <t>ศุกร์</t>
        </is>
      </c>
      <c r="H1177" s="325" t="inlineStr">
        <is>
          <t>20101-2004</t>
        </is>
      </c>
      <c r="I1177" s="325" t="inlineStr">
        <is>
          <t>ปวช.1/2 ชย. (ปกติ)</t>
        </is>
      </c>
      <c r="J1177" s="275" t="inlineStr">
        <is>
          <t>08.10-12.10</t>
        </is>
      </c>
      <c r="K1177" s="335" t="n"/>
      <c r="L1177" s="252" t="n"/>
      <c r="M1177" s="252" t="n"/>
      <c r="N1177" s="252" t="n"/>
      <c r="O1177" s="244">
        <f>M1177*N1177</f>
        <v/>
      </c>
      <c r="P1177" s="332" t="n"/>
      <c r="Q1177" s="265" t="n"/>
      <c r="R1177" s="332" t="n"/>
      <c r="S1177" s="244">
        <f>Q1177*R1177</f>
        <v/>
      </c>
    </row>
    <row r="1178" ht="22.2" customHeight="1" s="330">
      <c r="A1178" s="4" t="n"/>
      <c r="E1178" s="4" t="n"/>
      <c r="G1178" s="308">
        <f>G1132</f>
        <v/>
      </c>
      <c r="H1178" s="325" t="inlineStr">
        <is>
          <t>20101-2004</t>
        </is>
      </c>
      <c r="I1178" s="325" t="inlineStr">
        <is>
          <t>ปวช.1/1 ชย. (ปกติ)</t>
        </is>
      </c>
      <c r="J1178" s="252" t="inlineStr">
        <is>
          <t>13.10-17.10</t>
        </is>
      </c>
      <c r="K1178" s="331" t="n"/>
      <c r="L1178" s="252" t="n"/>
      <c r="M1178" s="252" t="n"/>
      <c r="N1178" s="252" t="n"/>
      <c r="O1178" s="244">
        <f>M1178*N1178</f>
        <v/>
      </c>
      <c r="P1178" s="252" t="n"/>
      <c r="Q1178" s="252" t="n"/>
      <c r="R1178" s="252" t="n"/>
      <c r="S1178" s="244">
        <f>Q1178*R1178</f>
        <v/>
      </c>
    </row>
    <row r="1179" ht="22.2" customHeight="1" s="330">
      <c r="A1179" s="4" t="n"/>
      <c r="E1179" s="4" t="n"/>
      <c r="G1179" s="252" t="n"/>
      <c r="H1179" s="252" t="n"/>
      <c r="I1179" s="252" t="n"/>
      <c r="J1179" s="252" t="n"/>
      <c r="K1179" s="331" t="n"/>
      <c r="L1179" s="252" t="n"/>
      <c r="M1179" s="252" t="n"/>
      <c r="N1179" s="252" t="n"/>
      <c r="O1179" s="244">
        <f>M1179*N1179</f>
        <v/>
      </c>
      <c r="P1179" s="252" t="n"/>
      <c r="Q1179" s="252" t="n"/>
      <c r="R1179" s="252" t="n"/>
      <c r="S1179" s="244">
        <f>Q1179*R1179</f>
        <v/>
      </c>
    </row>
    <row r="1180" ht="22.2" customHeight="1" s="330">
      <c r="A1180" s="4" t="n"/>
      <c r="E1180" s="4" t="n"/>
      <c r="G1180" s="252" t="n"/>
      <c r="H1180" s="249" t="inlineStr">
        <is>
          <t> </t>
        </is>
      </c>
      <c r="I1180" s="252" t="n"/>
      <c r="J1180" s="252" t="n"/>
      <c r="K1180" s="331" t="n"/>
      <c r="L1180" s="252" t="n"/>
      <c r="M1180" s="252" t="n"/>
      <c r="N1180" s="252" t="n"/>
      <c r="O1180" s="244">
        <f>M1180*N1180</f>
        <v/>
      </c>
      <c r="P1180" s="252" t="n"/>
      <c r="Q1180" s="252" t="n"/>
      <c r="R1180" s="252" t="n"/>
      <c r="S1180" s="244">
        <f>Q1180*R1180</f>
        <v/>
      </c>
    </row>
    <row r="1181" ht="22.2" customHeight="1" s="330">
      <c r="A1181" s="4" t="n"/>
      <c r="E1181" s="4" t="n"/>
      <c r="F1181" s="4" t="n"/>
      <c r="G1181" s="278" t="n"/>
      <c r="H1181" s="301" t="n"/>
      <c r="I1181" s="276" t="n"/>
      <c r="J1181" s="276" t="n"/>
      <c r="K1181" s="476" t="n"/>
      <c r="L1181" s="276" t="n"/>
      <c r="M1181" s="276" t="n"/>
      <c r="N1181" s="276" t="n"/>
      <c r="O1181" s="244">
        <f>M1181*N1181</f>
        <v/>
      </c>
      <c r="P1181" s="276" t="n"/>
      <c r="Q1181" s="276" t="n"/>
      <c r="R1181" s="276" t="n"/>
      <c r="S1181" s="244">
        <f>Q1181*R1181</f>
        <v/>
      </c>
    </row>
    <row r="1182" ht="22.2" customHeight="1" s="330">
      <c r="A1182" s="4" t="n"/>
      <c r="E1182" s="4" t="n"/>
      <c r="F1182" s="4" t="n"/>
      <c r="G1182" s="17" t="inlineStr">
        <is>
          <t>รวมขั่วโมงที่สอนแยก ภาระงาน/ เกินภาระงาน</t>
        </is>
      </c>
      <c r="H1182" s="467" t="n"/>
      <c r="I1182" s="467" t="n"/>
      <c r="J1182" s="467" t="n"/>
      <c r="K1182" s="362" t="n"/>
      <c r="L1182" s="17">
        <f>SUM(L1157:L1181)</f>
        <v/>
      </c>
      <c r="M1182" s="17">
        <f>SUM(M1157:M1181)</f>
        <v/>
      </c>
      <c r="N1182" s="17" t="n"/>
      <c r="O1182" s="17" t="n"/>
      <c r="P1182" s="17">
        <f>SUM(P1157:P1181)</f>
        <v/>
      </c>
      <c r="Q1182" s="17">
        <f>SUM(Q1157:Q1181)</f>
        <v/>
      </c>
      <c r="R1182" s="279" t="n"/>
      <c r="S1182" s="17" t="n"/>
    </row>
    <row r="1183" ht="22.2" customHeight="1" s="330">
      <c r="A1183" s="4" t="n"/>
      <c r="E1183" s="4" t="n"/>
      <c r="F1183" s="4" t="n"/>
      <c r="G1183" s="17" t="inlineStr">
        <is>
          <t>รวมจำนวนชั่วโมงสอนคาบต่อสับดาห์</t>
        </is>
      </c>
      <c r="H1183" s="467" t="n"/>
      <c r="I1183" s="467" t="n"/>
      <c r="J1183" s="467" t="n"/>
      <c r="K1183" s="362" t="n"/>
      <c r="L1183" s="17">
        <f>L1182+M1182</f>
        <v/>
      </c>
      <c r="M1183" s="362" t="n"/>
      <c r="N1183" s="298" t="n"/>
      <c r="O1183" s="17" t="n"/>
      <c r="P1183" s="17">
        <f>P1182+Q1182</f>
        <v/>
      </c>
      <c r="Q1183" s="362" t="n"/>
      <c r="R1183" s="278" t="n"/>
      <c r="S1183" s="276" t="n"/>
    </row>
    <row r="1184" ht="22.2" customHeight="1" s="330">
      <c r="A1184" s="4" t="n"/>
      <c r="E1184" s="4" t="n"/>
      <c r="F1184" s="4" t="n"/>
      <c r="G1184" s="17" t="inlineStr">
        <is>
          <t>จำนวนชั่วโมงสอนตามภาระงานสอน</t>
        </is>
      </c>
      <c r="H1184" s="467" t="n"/>
      <c r="I1184" s="467" t="n"/>
      <c r="J1184" s="467" t="n"/>
      <c r="K1184" s="362" t="n"/>
      <c r="L1184" s="17" t="n">
        <v>18</v>
      </c>
      <c r="M1184" s="362" t="n"/>
      <c r="N1184" s="252" t="n"/>
      <c r="O1184" s="252" t="n"/>
      <c r="P1184" s="17" t="n">
        <v>0</v>
      </c>
      <c r="Q1184" s="362" t="n"/>
      <c r="R1184" s="249" t="n"/>
      <c r="S1184" s="252" t="n"/>
    </row>
    <row r="1185" ht="22.2" customHeight="1" s="330" thickBot="1">
      <c r="A1185" s="4" t="n"/>
      <c r="E1185" s="4" t="n"/>
      <c r="F1185" s="15" t="n"/>
      <c r="G1185" s="17" t="inlineStr">
        <is>
          <t>จำนวนชั่วโมงบิกเกินภาระงานสอน/ค่าสอน</t>
        </is>
      </c>
      <c r="H1185" s="467" t="n"/>
      <c r="I1185" s="467" t="n"/>
      <c r="J1185" s="467" t="n"/>
      <c r="K1185" s="362" t="n"/>
      <c r="L1185" s="18" t="n">
        <v>0</v>
      </c>
      <c r="M1185" s="18">
        <f>SUM(M1157:M1181)</f>
        <v/>
      </c>
      <c r="N1185" s="18" t="n"/>
      <c r="O1185" s="18">
        <f>SUM(O1157:O1181)</f>
        <v/>
      </c>
      <c r="P1185" s="18" t="n">
        <v>0</v>
      </c>
      <c r="Q1185" s="18">
        <f>SUM(Q1157:Q1181)</f>
        <v/>
      </c>
      <c r="R1185" s="19" t="n"/>
      <c r="S1185" s="18">
        <f>SUM(S1157:S1181)</f>
        <v/>
      </c>
    </row>
    <row r="1186" ht="22.2" customHeight="1" s="330" thickTop="1">
      <c r="A1186" s="299" t="inlineStr">
        <is>
          <t>รวมจำนวนหน่วยชั่วโมงที่ขอเบิกค่าสอน ….</t>
        </is>
      </c>
      <c r="B1186" s="467" t="n"/>
      <c r="C1186" s="467" t="n"/>
      <c r="D1186" s="467" t="n"/>
      <c r="E1186" s="467" t="n"/>
      <c r="F1186" s="467" t="n"/>
      <c r="G1186" s="467" t="n"/>
      <c r="H1186" s="298">
        <f>M1185+Q1185</f>
        <v/>
      </c>
      <c r="I1186" s="298" t="inlineStr">
        <is>
          <t>….ชั่วโมง</t>
        </is>
      </c>
      <c r="J1186" s="298" t="n"/>
      <c r="K1186" s="301" t="inlineStr">
        <is>
          <t>ยอดเงินรวม</t>
        </is>
      </c>
      <c r="L1186" s="471" t="n"/>
      <c r="M1186" s="471" t="n"/>
      <c r="N1186" s="301" t="n"/>
      <c r="O1186" s="301" t="n"/>
      <c r="P1186" s="302">
        <f>S1185+O1185</f>
        <v/>
      </c>
      <c r="Q1186" s="482" t="n"/>
      <c r="R1186" s="21" t="n"/>
      <c r="S1186" s="53" t="inlineStr">
        <is>
          <t>..บาท</t>
        </is>
      </c>
    </row>
    <row r="1187" ht="22.2" customHeight="1" s="330">
      <c r="A1187" s="207" t="inlineStr">
        <is>
          <t>ผู้ขอเบิก</t>
        </is>
      </c>
      <c r="B1187" s="334" t="n"/>
      <c r="C1187" s="334" t="n"/>
      <c r="D1187" s="334" t="n"/>
      <c r="E1187" s="334" t="n"/>
      <c r="F1187" s="334" t="n"/>
      <c r="G1187" s="335" t="n"/>
      <c r="H1187" s="207" t="inlineStr">
        <is>
          <t>ผู้รับรอง</t>
        </is>
      </c>
      <c r="I1187" s="334" t="n"/>
      <c r="J1187" s="334" t="n"/>
      <c r="K1187" s="334" t="n"/>
      <c r="L1187" s="335" t="n"/>
      <c r="M1187" s="207" t="inlineStr">
        <is>
          <t>ผู้ตรวจ</t>
        </is>
      </c>
      <c r="N1187" s="334" t="n"/>
      <c r="O1187" s="334" t="n"/>
      <c r="P1187" s="334" t="n"/>
      <c r="Q1187" s="334" t="n"/>
      <c r="R1187" s="334" t="n"/>
      <c r="S1187" s="335" t="n"/>
    </row>
    <row r="1188" ht="22.2" customHeight="1" s="330">
      <c r="A1188" s="252" t="inlineStr">
        <is>
          <t>ลงชื่อ……………………………………………</t>
        </is>
      </c>
      <c r="G1188" s="331" t="n"/>
      <c r="H1188" s="252" t="inlineStr">
        <is>
          <t>ลงชื่อ……………………………………………</t>
        </is>
      </c>
      <c r="L1188" s="331" t="n"/>
      <c r="M1188" s="252" t="inlineStr">
        <is>
          <t>ลงชื่อ……………………………………………</t>
        </is>
      </c>
      <c r="S1188" s="331" t="n"/>
    </row>
    <row r="1189" ht="22.2" customHeight="1" s="330">
      <c r="A1189" s="12" t="inlineStr">
        <is>
          <t>(</t>
        </is>
      </c>
      <c r="B1189" s="309">
        <f>B1157</f>
        <v/>
      </c>
      <c r="G1189" s="310" t="inlineStr">
        <is>
          <t>)</t>
        </is>
      </c>
      <c r="H1189" s="309" t="inlineStr">
        <is>
          <t>(</t>
        </is>
      </c>
      <c r="I1189" s="314">
        <f>I1143</f>
        <v/>
      </c>
      <c r="L1189" s="13" t="inlineStr">
        <is>
          <t>)</t>
        </is>
      </c>
      <c r="M1189" s="61" t="inlineStr">
        <is>
          <t>(</t>
        </is>
      </c>
      <c r="N1189" s="61" t="n"/>
      <c r="O1189" s="309" t="inlineStr">
        <is>
          <t>นายพิสุทธิศักดิ์  กล่อมนาค</t>
        </is>
      </c>
      <c r="R1189" s="29" t="n"/>
      <c r="S1189" s="310" t="inlineStr">
        <is>
          <t>)</t>
        </is>
      </c>
    </row>
    <row r="1190" ht="22.2" customHeight="1" s="330">
      <c r="A1190" s="483" t="inlineStr">
        <is>
          <t xml:space="preserve">                 ตำแหน่ง  ครูพิเศษ</t>
        </is>
      </c>
      <c r="G1190" s="331" t="n"/>
      <c r="H1190" s="62" t="inlineStr">
        <is>
          <t>ตำแหน่ง หัวหน้าแผนก</t>
        </is>
      </c>
      <c r="L1190" s="331" t="n"/>
      <c r="M1190" s="62" t="inlineStr">
        <is>
          <t>ตำแหน่ง   ผู้ตรวจสอบ</t>
        </is>
      </c>
      <c r="S1190" s="331" t="n"/>
    </row>
    <row r="1191" ht="22.2" customHeight="1" s="330">
      <c r="A1191" s="63">
        <f>A41</f>
        <v/>
      </c>
      <c r="B1191" s="471" t="n"/>
      <c r="C1191" s="471" t="n"/>
      <c r="D1191" s="471" t="n"/>
      <c r="E1191" s="471" t="n"/>
      <c r="F1191" s="471" t="n"/>
      <c r="G1191" s="476" t="n"/>
      <c r="H1191" s="62">
        <f>A41</f>
        <v/>
      </c>
      <c r="L1191" s="331" t="n"/>
      <c r="M1191" s="63">
        <f>A41</f>
        <v/>
      </c>
      <c r="N1191" s="471" t="n"/>
      <c r="O1191" s="471" t="n"/>
      <c r="P1191" s="471" t="n"/>
      <c r="Q1191" s="471" t="n"/>
      <c r="R1191" s="471" t="n"/>
      <c r="S1191" s="476" t="n"/>
    </row>
    <row r="1192" ht="22.2" customHeight="1" s="330">
      <c r="A1192" s="207" t="inlineStr">
        <is>
          <t>ผู้ตรวจ</t>
        </is>
      </c>
      <c r="B1192" s="334" t="n"/>
      <c r="C1192" s="334" t="n"/>
      <c r="D1192" s="334" t="n"/>
      <c r="E1192" s="334" t="n"/>
      <c r="F1192" s="334" t="n"/>
      <c r="G1192" s="334" t="n"/>
      <c r="H1192" s="334" t="n"/>
      <c r="I1192" s="335" t="n"/>
      <c r="J1192" s="207" t="inlineStr">
        <is>
          <t>ผู้เห็นชอบ</t>
        </is>
      </c>
      <c r="K1192" s="334" t="n"/>
      <c r="L1192" s="334" t="n"/>
      <c r="M1192" s="334" t="n"/>
      <c r="N1192" s="334" t="n"/>
      <c r="O1192" s="334" t="n"/>
      <c r="P1192" s="334" t="n"/>
      <c r="Q1192" s="334" t="n"/>
      <c r="R1192" s="334" t="n"/>
      <c r="S1192" s="335" t="n"/>
    </row>
    <row r="1193" ht="22.2" customHeight="1" s="330">
      <c r="A1193" s="252" t="inlineStr">
        <is>
          <t>ลงชื่อ……………………………………………</t>
        </is>
      </c>
      <c r="I1193" s="331" t="n"/>
      <c r="J1193" s="252" t="inlineStr">
        <is>
          <t>ลงชื่อ……………………………………………</t>
        </is>
      </c>
      <c r="S1193" s="331" t="n"/>
    </row>
    <row r="1194" ht="22.2" customHeight="1" s="330">
      <c r="A1194" s="12" t="n"/>
      <c r="B1194" s="309" t="inlineStr">
        <is>
          <t xml:space="preserve">          (นางศิวรักษ์   บุญประเสริฐ)</t>
        </is>
      </c>
      <c r="I1194" s="310" t="n"/>
      <c r="J1194" s="29" t="n"/>
      <c r="K1194" s="29" t="n"/>
      <c r="L1194" s="309" t="inlineStr">
        <is>
          <t>(นายปรีชา  โพธิ์เกิด)</t>
        </is>
      </c>
      <c r="R1194" s="29" t="n"/>
      <c r="S1194" s="13" t="n"/>
    </row>
    <row r="1195" ht="22.2" customHeight="1" s="330">
      <c r="A1195" s="62" t="inlineStr">
        <is>
          <t>ตำแหน่งครู  หัวหน้างานพัฒนาหลักสูตร ฯ</t>
        </is>
      </c>
      <c r="I1195" s="331" t="n"/>
      <c r="J1195" s="62" t="inlineStr">
        <is>
          <t>ตำแหน่ง  รองผู้อำนวยการฝ่ายวิชาการ</t>
        </is>
      </c>
      <c r="S1195" s="331" t="n"/>
    </row>
    <row r="1196" ht="22.2" customHeight="1" s="330">
      <c r="A1196" s="63">
        <f>A41</f>
        <v/>
      </c>
      <c r="B1196" s="471" t="n"/>
      <c r="C1196" s="471" t="n"/>
      <c r="D1196" s="471" t="n"/>
      <c r="E1196" s="471" t="n"/>
      <c r="F1196" s="471" t="n"/>
      <c r="G1196" s="471" t="n"/>
      <c r="H1196" s="471" t="n"/>
      <c r="I1196" s="476" t="n"/>
      <c r="J1196" s="63">
        <f>A41</f>
        <v/>
      </c>
      <c r="K1196" s="471" t="n"/>
      <c r="L1196" s="471" t="n"/>
      <c r="M1196" s="471" t="n"/>
      <c r="N1196" s="471" t="n"/>
      <c r="O1196" s="471" t="n"/>
      <c r="P1196" s="471" t="n"/>
      <c r="Q1196" s="471" t="n"/>
      <c r="R1196" s="471" t="n"/>
      <c r="S1196" s="476" t="n"/>
    </row>
    <row r="1197" ht="22.2" customHeight="1" s="330">
      <c r="A119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98" ht="22.2" customHeight="1" s="330">
      <c r="A1198" s="254">
        <f>A2</f>
        <v/>
      </c>
    </row>
    <row r="1199" ht="22.2" customHeight="1" s="330">
      <c r="A1199" s="253" t="inlineStr">
        <is>
          <t xml:space="preserve">    ระหว่างวันที่</t>
        </is>
      </c>
      <c r="D1199" s="254">
        <f>D3</f>
        <v/>
      </c>
      <c r="E1199" s="254" t="inlineStr">
        <is>
          <t xml:space="preserve">   เดือน  </t>
        </is>
      </c>
      <c r="F1199" s="254">
        <f>F3</f>
        <v/>
      </c>
      <c r="H1199" s="254">
        <f>H3</f>
        <v/>
      </c>
      <c r="I1199" s="254" t="inlineStr">
        <is>
          <t xml:space="preserve">     ถึง วันที่</t>
        </is>
      </c>
      <c r="J1199" s="254">
        <f>J3</f>
        <v/>
      </c>
      <c r="K1199" s="254" t="inlineStr">
        <is>
          <t xml:space="preserve">   เดือน </t>
        </is>
      </c>
      <c r="L1199" s="254">
        <f>L3</f>
        <v/>
      </c>
      <c r="N1199" s="254">
        <f>N3</f>
        <v/>
      </c>
      <c r="P1199" s="254" t="n"/>
      <c r="R1199" s="254" t="n"/>
    </row>
    <row r="1200" ht="22.2" customHeight="1" s="330">
      <c r="H1200" s="290" t="inlineStr">
        <is>
          <t>ครู</t>
        </is>
      </c>
      <c r="I1200" s="249" t="inlineStr">
        <is>
          <t>หน้าที่พิเศษ</t>
        </is>
      </c>
      <c r="J1200" s="290" t="n"/>
    </row>
    <row r="1201" ht="22.2" customHeight="1" s="330">
      <c r="G1201" s="58" t="inlineStr">
        <is>
          <t>ü</t>
        </is>
      </c>
      <c r="H1201" s="8" t="inlineStr">
        <is>
          <t>ครูพิเศษ</t>
        </is>
      </c>
      <c r="I1201" s="249" t="inlineStr">
        <is>
          <t>หน้าที่พิเศษ</t>
        </is>
      </c>
      <c r="K1201" s="290" t="n"/>
    </row>
    <row r="1202" ht="22.2" customHeight="1" s="330">
      <c r="A1202" s="28" t="inlineStr">
        <is>
          <t>ที่</t>
        </is>
      </c>
      <c r="B1202" s="28" t="inlineStr">
        <is>
          <t>ชื่อ-สกุล</t>
        </is>
      </c>
      <c r="C1202" s="334" t="n"/>
      <c r="D1202" s="335" t="n"/>
      <c r="E1202" s="16" t="inlineStr">
        <is>
          <t>ตำแหน่ง</t>
        </is>
      </c>
      <c r="F1202" s="17" t="inlineStr">
        <is>
          <t>ระยะเวลาที่สอน</t>
        </is>
      </c>
      <c r="G1202" s="362" t="n"/>
      <c r="H1202" s="17" t="inlineStr">
        <is>
          <t>รหัสวิชา</t>
        </is>
      </c>
      <c r="I1202" s="275" t="inlineStr">
        <is>
          <t>ชั้น,แผนก,ห้อง</t>
        </is>
      </c>
      <c r="J1202" s="17" t="inlineStr">
        <is>
          <t>เวลาสอน</t>
        </is>
      </c>
      <c r="K1202" s="335" t="n"/>
      <c r="L1202" s="17" t="inlineStr">
        <is>
          <t>ปวช.(คาบ)</t>
        </is>
      </c>
      <c r="M1202" s="362" t="n"/>
      <c r="N1202" s="244" t="inlineStr">
        <is>
          <t>เงิน</t>
        </is>
      </c>
      <c r="O1202" s="275" t="inlineStr">
        <is>
          <t>ยอดเงิน</t>
        </is>
      </c>
      <c r="P1202" s="473" t="inlineStr">
        <is>
          <t>ปวส.(คาบ)</t>
        </is>
      </c>
      <c r="Q1202" s="362" t="n"/>
      <c r="R1202" s="244" t="inlineStr">
        <is>
          <t>เงิน</t>
        </is>
      </c>
      <c r="S1202" s="275" t="inlineStr">
        <is>
          <t>ยอดเงิน</t>
        </is>
      </c>
    </row>
    <row r="1203" ht="22.2" customHeight="1" s="330">
      <c r="A1203" s="60" t="n"/>
      <c r="B1203" s="9" t="n"/>
      <c r="C1203" s="10" t="n"/>
      <c r="D1203" s="14" t="n"/>
      <c r="E1203" s="11" t="n"/>
      <c r="F1203" s="276" t="inlineStr">
        <is>
          <t>ส.</t>
        </is>
      </c>
      <c r="G1203" s="276" t="inlineStr">
        <is>
          <t>วดป.</t>
        </is>
      </c>
      <c r="H1203" s="474" t="n"/>
      <c r="I1203" s="276" t="n"/>
      <c r="J1203" s="475" t="n"/>
      <c r="K1203" s="476" t="n"/>
      <c r="L1203" s="276" t="inlineStr">
        <is>
          <t>ใน</t>
        </is>
      </c>
      <c r="M1203" s="276" t="inlineStr">
        <is>
          <t>นอก</t>
        </is>
      </c>
      <c r="N1203" s="276" t="inlineStr">
        <is>
          <t>ต่อ ชม.</t>
        </is>
      </c>
      <c r="O1203" s="276" t="inlineStr">
        <is>
          <t>(บาท)</t>
        </is>
      </c>
      <c r="P1203" s="60" t="inlineStr">
        <is>
          <t>ใน</t>
        </is>
      </c>
      <c r="Q1203" s="60" t="inlineStr">
        <is>
          <t>นอก</t>
        </is>
      </c>
      <c r="R1203" s="276" t="inlineStr">
        <is>
          <t>ต่อ ชม.</t>
        </is>
      </c>
      <c r="S1203" s="276" t="inlineStr">
        <is>
          <t>(บาท)</t>
        </is>
      </c>
    </row>
    <row r="1204" ht="22.2" customHeight="1" s="330">
      <c r="A1204" s="275" t="n">
        <v>27</v>
      </c>
      <c r="B1204" s="477">
        <f>AB29</f>
        <v/>
      </c>
      <c r="C1204" s="334" t="n"/>
      <c r="D1204" s="335" t="n"/>
      <c r="E1204" s="275" t="inlineStr">
        <is>
          <t>ครู</t>
        </is>
      </c>
      <c r="F1204" s="6">
        <f>F7</f>
        <v/>
      </c>
      <c r="G1204" s="303" t="inlineStr">
        <is>
          <t>จันทร์</t>
        </is>
      </c>
      <c r="H1204" s="332" t="n"/>
      <c r="I1204" s="332" t="n"/>
      <c r="J1204" s="332" t="n"/>
      <c r="K1204" s="335" t="n"/>
      <c r="L1204" s="265" t="n"/>
      <c r="M1204" s="332" t="n"/>
      <c r="N1204" s="332" t="n"/>
      <c r="O1204" s="244">
        <f>M1204*N1204</f>
        <v/>
      </c>
      <c r="P1204" s="332" t="n"/>
      <c r="Q1204" s="265" t="n"/>
      <c r="R1204" s="332" t="n"/>
      <c r="S1204" s="244">
        <f>Q1204*R1204</f>
        <v/>
      </c>
    </row>
    <row r="1205" ht="22.2" customHeight="1" s="330">
      <c r="A1205" s="4" t="n"/>
      <c r="B1205" s="478" t="n"/>
      <c r="D1205" s="331" t="n"/>
      <c r="E1205" s="252" t="inlineStr">
        <is>
          <t>พิเศษ</t>
        </is>
      </c>
      <c r="F1205" s="249" t="n"/>
      <c r="G1205" s="308">
        <f>G1158</f>
        <v/>
      </c>
      <c r="H1205" s="252" t="n"/>
      <c r="I1205" s="252" t="n"/>
      <c r="J1205" s="252" t="n"/>
      <c r="K1205" s="331" t="n"/>
      <c r="L1205" s="252" t="n"/>
      <c r="M1205" s="252" t="n"/>
      <c r="N1205" s="252" t="n"/>
      <c r="O1205" s="244">
        <f>M1205*N1205</f>
        <v/>
      </c>
      <c r="P1205" s="252" t="n"/>
      <c r="Q1205" s="252" t="n"/>
      <c r="R1205" s="252" t="n"/>
      <c r="S1205" s="244">
        <f>Q1205*R1205</f>
        <v/>
      </c>
    </row>
    <row r="1206" ht="22.2" customHeight="1" s="330">
      <c r="A1206" s="4" t="n"/>
      <c r="B1206" s="5" t="n"/>
      <c r="D1206" s="3" t="n"/>
      <c r="E1206" s="3" t="n"/>
      <c r="F1206" s="249" t="n"/>
      <c r="G1206" s="248" t="n"/>
      <c r="H1206" s="252" t="n"/>
      <c r="I1206" s="252" t="n"/>
      <c r="J1206" s="252" t="n"/>
      <c r="K1206" s="331" t="n"/>
      <c r="L1206" s="252" t="n"/>
      <c r="M1206" s="252" t="n"/>
      <c r="N1206" s="252" t="n"/>
      <c r="O1206" s="244">
        <f>M1206*N1206</f>
        <v/>
      </c>
      <c r="P1206" s="252" t="n"/>
      <c r="Q1206" s="252" t="n"/>
      <c r="R1206" s="252" t="n"/>
      <c r="S1206" s="244">
        <f>Q1206*R1206</f>
        <v/>
      </c>
    </row>
    <row r="1207" ht="22.2" customHeight="1" s="330">
      <c r="A1207" s="4" t="n"/>
      <c r="B1207" s="5" t="n"/>
      <c r="E1207" s="4" t="n"/>
      <c r="F1207" s="249" t="n"/>
      <c r="G1207" s="248" t="n"/>
      <c r="H1207" s="252" t="n"/>
      <c r="I1207" s="252" t="n"/>
      <c r="J1207" s="252" t="n"/>
      <c r="K1207" s="331" t="n"/>
      <c r="L1207" s="252" t="n"/>
      <c r="M1207" s="252" t="n"/>
      <c r="N1207" s="252" t="n"/>
      <c r="O1207" s="244">
        <f>M1207*N1207</f>
        <v/>
      </c>
      <c r="P1207" s="252" t="n"/>
      <c r="Q1207" s="252" t="n"/>
      <c r="R1207" s="252" t="n"/>
      <c r="S1207" s="244">
        <f>Q1207*R1207</f>
        <v/>
      </c>
    </row>
    <row r="1208" ht="22.2" customHeight="1" s="330">
      <c r="A1208" s="4" t="n"/>
      <c r="E1208" s="4" t="n"/>
      <c r="G1208" s="311" t="n"/>
      <c r="H1208" s="276" t="n"/>
      <c r="I1208" s="252" t="n"/>
      <c r="J1208" s="276" t="n"/>
      <c r="K1208" s="476" t="n"/>
      <c r="L1208" s="252" t="n"/>
      <c r="M1208" s="252" t="n"/>
      <c r="N1208" s="252" t="n"/>
      <c r="O1208" s="244">
        <f>M1208*N1208</f>
        <v/>
      </c>
      <c r="P1208" s="252" t="n"/>
      <c r="Q1208" s="252" t="n"/>
      <c r="R1208" s="252" t="n"/>
      <c r="S1208" s="244">
        <f>Q1208*R1208</f>
        <v/>
      </c>
    </row>
    <row r="1209" ht="22.2" customHeight="1" s="330">
      <c r="A1209" s="4" t="n"/>
      <c r="E1209" s="4" t="n"/>
      <c r="G1209" s="62" t="inlineStr">
        <is>
          <t>อังคาร</t>
        </is>
      </c>
      <c r="H1209" s="332" t="n"/>
      <c r="I1209" s="332" t="n"/>
      <c r="J1209" s="332" t="n"/>
      <c r="K1209" s="335" t="n"/>
      <c r="L1209" s="265" t="n"/>
      <c r="M1209" s="332" t="n"/>
      <c r="N1209" s="332" t="n"/>
      <c r="O1209" s="244">
        <f>M1209*N1209</f>
        <v/>
      </c>
      <c r="P1209" s="332" t="n"/>
      <c r="Q1209" s="265" t="n"/>
      <c r="R1209" s="332" t="n"/>
      <c r="S1209" s="244">
        <f>Q1209*R1209</f>
        <v/>
      </c>
    </row>
    <row r="1210" ht="22.2" customHeight="1" s="330">
      <c r="A1210" s="4" t="n"/>
      <c r="E1210" s="4" t="n"/>
      <c r="G1210" s="308">
        <f>G1163</f>
        <v/>
      </c>
      <c r="H1210" s="252" t="n"/>
      <c r="I1210" s="252" t="n"/>
      <c r="J1210" s="252" t="n"/>
      <c r="K1210" s="331" t="n"/>
      <c r="L1210" s="252" t="n"/>
      <c r="M1210" s="252" t="n"/>
      <c r="N1210" s="252" t="n"/>
      <c r="O1210" s="244">
        <f>M1210*N1210</f>
        <v/>
      </c>
      <c r="P1210" s="252" t="n"/>
      <c r="Q1210" s="252" t="n"/>
      <c r="R1210" s="252" t="n"/>
      <c r="S1210" s="244">
        <f>Q1210*R1210</f>
        <v/>
      </c>
    </row>
    <row r="1211" ht="22.2" customHeight="1" s="330">
      <c r="A1211" s="4" t="n"/>
      <c r="B1211" s="5" t="n"/>
      <c r="D1211" s="3" t="n"/>
      <c r="E1211" s="3" t="n"/>
      <c r="G1211" s="252" t="n"/>
      <c r="H1211" s="252" t="n"/>
      <c r="I1211" s="252" t="n"/>
      <c r="J1211" s="252" t="n"/>
      <c r="K1211" s="331" t="n"/>
      <c r="L1211" s="252" t="n"/>
      <c r="M1211" s="252" t="n"/>
      <c r="N1211" s="252" t="n"/>
      <c r="O1211" s="244">
        <f>M1211*N1211</f>
        <v/>
      </c>
      <c r="P1211" s="252" t="n"/>
      <c r="Q1211" s="252" t="n"/>
      <c r="R1211" s="252" t="n"/>
      <c r="S1211" s="244">
        <f>Q1211*R1211</f>
        <v/>
      </c>
    </row>
    <row r="1212" ht="22.2" customHeight="1" s="330">
      <c r="A1212" s="4" t="n"/>
      <c r="E1212" s="4" t="n"/>
      <c r="G1212" s="62" t="n"/>
      <c r="H1212" s="249" t="n"/>
      <c r="I1212" s="252" t="n"/>
      <c r="J1212" s="252" t="n"/>
      <c r="K1212" s="331" t="n"/>
      <c r="L1212" s="252" t="n"/>
      <c r="M1212" s="252" t="n"/>
      <c r="N1212" s="252" t="n"/>
      <c r="O1212" s="244">
        <f>M1212*N1212</f>
        <v/>
      </c>
      <c r="P1212" s="252" t="n"/>
      <c r="Q1212" s="252" t="n"/>
      <c r="R1212" s="252" t="n"/>
      <c r="S1212" s="244">
        <f>Q1212*R1212</f>
        <v/>
      </c>
    </row>
    <row r="1213" ht="22.2" customHeight="1" s="330">
      <c r="A1213" s="4" t="n"/>
      <c r="D1213" s="8" t="inlineStr">
        <is>
          <t> </t>
        </is>
      </c>
      <c r="E1213" s="4" t="n"/>
      <c r="G1213" s="63" t="n"/>
      <c r="H1213" s="249" t="n"/>
      <c r="I1213" s="252" t="n"/>
      <c r="J1213" s="276" t="n"/>
      <c r="K1213" s="476" t="n"/>
      <c r="L1213" s="252" t="n"/>
      <c r="M1213" s="252" t="n"/>
      <c r="N1213" s="252" t="n"/>
      <c r="O1213" s="244">
        <f>M1213*N1213</f>
        <v/>
      </c>
      <c r="P1213" s="252" t="n"/>
      <c r="Q1213" s="252" t="n"/>
      <c r="R1213" s="252" t="n"/>
      <c r="S1213" s="244">
        <f>Q1213*R1213</f>
        <v/>
      </c>
    </row>
    <row r="1214" ht="22.2" customHeight="1" s="330">
      <c r="A1214" s="4" t="n"/>
      <c r="E1214" s="4" t="n"/>
      <c r="G1214" s="308" t="inlineStr">
        <is>
          <t>พุธ</t>
        </is>
      </c>
      <c r="H1214" s="332" t="n"/>
      <c r="I1214" s="332" t="n"/>
      <c r="J1214" s="332" t="n"/>
      <c r="K1214" s="335" t="n"/>
      <c r="L1214" s="265" t="n"/>
      <c r="M1214" s="332" t="n"/>
      <c r="N1214" s="332" t="n"/>
      <c r="O1214" s="244">
        <f>M1214*N1214</f>
        <v/>
      </c>
      <c r="P1214" s="332" t="n"/>
      <c r="Q1214" s="265" t="n"/>
      <c r="R1214" s="332" t="n"/>
      <c r="S1214" s="244">
        <f>Q1214*R1214</f>
        <v/>
      </c>
      <c r="T1214" s="25" t="n"/>
      <c r="U1214" s="26" t="inlineStr">
        <is>
          <t xml:space="preserve">     PLC</t>
        </is>
      </c>
      <c r="V1214" s="64" t="n"/>
      <c r="W1214" s="27" t="n"/>
      <c r="X1214" s="27" t="n"/>
    </row>
    <row r="1215" ht="22.2" customHeight="1" s="330">
      <c r="A1215" s="4" t="n"/>
      <c r="B1215" s="248" t="n"/>
      <c r="C1215" s="249" t="n"/>
      <c r="D1215" s="249" t="n"/>
      <c r="E1215" s="252" t="n"/>
      <c r="G1215" s="308">
        <f>G1168</f>
        <v/>
      </c>
      <c r="H1215" s="252" t="n"/>
      <c r="I1215" s="325" t="n"/>
      <c r="J1215" s="252" t="n"/>
      <c r="K1215" s="331" t="n"/>
      <c r="L1215" s="252" t="n"/>
      <c r="M1215" s="252" t="n"/>
      <c r="N1215" s="252" t="n"/>
      <c r="O1215" s="244">
        <f>M1215*N1215</f>
        <v/>
      </c>
      <c r="P1215" s="252" t="n"/>
      <c r="Q1215" s="252" t="n"/>
      <c r="R1215" s="252" t="n"/>
      <c r="S1215" s="244">
        <f>Q1215*R1215</f>
        <v/>
      </c>
      <c r="T1215" s="27" t="inlineStr">
        <is>
          <t> </t>
        </is>
      </c>
      <c r="U1215" s="26" t="inlineStr">
        <is>
          <t>17.10-19.10</t>
        </is>
      </c>
      <c r="V1215" s="64" t="n"/>
      <c r="W1215" s="27" t="n"/>
      <c r="X1215" s="27" t="n"/>
    </row>
    <row r="1216" ht="22.2" customHeight="1" s="330">
      <c r="A1216" s="4" t="n"/>
      <c r="B1216" s="5" t="n"/>
      <c r="D1216" s="3" t="n"/>
      <c r="E1216" s="3" t="n"/>
      <c r="G1216" s="252" t="n"/>
      <c r="H1216" s="252" t="n"/>
      <c r="I1216" s="325" t="n"/>
      <c r="J1216" s="252" t="n"/>
      <c r="K1216" s="331" t="n"/>
      <c r="L1216" s="252" t="n"/>
      <c r="M1216" s="252" t="n"/>
      <c r="N1216" s="252" t="n"/>
      <c r="O1216" s="244">
        <f>M1216*N1216</f>
        <v/>
      </c>
      <c r="P1216" s="252" t="n"/>
      <c r="Q1216" s="252" t="n"/>
      <c r="R1216" s="252" t="n"/>
      <c r="S1216" s="244">
        <f>Q1216*R1216</f>
        <v/>
      </c>
    </row>
    <row r="1217" ht="22.2" customHeight="1" s="330">
      <c r="A1217" s="4" t="n"/>
      <c r="E1217" s="4" t="n"/>
      <c r="G1217" s="248" t="n"/>
      <c r="H1217" s="248" t="n"/>
      <c r="I1217" s="252" t="n"/>
      <c r="J1217" s="252" t="n"/>
      <c r="K1217" s="331" t="n"/>
      <c r="L1217" s="252" t="n"/>
      <c r="M1217" s="252" t="n"/>
      <c r="N1217" s="252" t="n"/>
      <c r="O1217" s="244">
        <f>M1217*N1217</f>
        <v/>
      </c>
      <c r="P1217" s="252" t="n"/>
      <c r="Q1217" s="252" t="n"/>
      <c r="R1217" s="252" t="n"/>
      <c r="S1217" s="244">
        <f>Q1217*R1217</f>
        <v/>
      </c>
    </row>
    <row r="1218" ht="22.2" customHeight="1" s="330">
      <c r="A1218" s="4" t="n"/>
      <c r="E1218" s="4" t="n"/>
      <c r="G1218" s="277" t="n"/>
      <c r="H1218" s="277" t="n"/>
      <c r="I1218" s="276" t="n"/>
      <c r="J1218" s="276" t="n"/>
      <c r="K1218" s="476" t="n"/>
      <c r="L1218" s="276" t="n"/>
      <c r="M1218" s="276" t="n"/>
      <c r="N1218" s="276" t="n"/>
      <c r="O1218" s="244">
        <f>M1218*N1218</f>
        <v/>
      </c>
      <c r="P1218" s="276" t="n"/>
      <c r="Q1218" s="276" t="n"/>
      <c r="R1218" s="276" t="n"/>
      <c r="S1218" s="244">
        <f>Q1218*R1218</f>
        <v/>
      </c>
    </row>
    <row r="1219" ht="22.2" customHeight="1" s="330">
      <c r="A1219" s="4" t="n"/>
      <c r="E1219" s="4" t="n"/>
      <c r="G1219" s="62" t="inlineStr">
        <is>
          <t>พฤหัส</t>
        </is>
      </c>
      <c r="H1219" s="332" t="n"/>
      <c r="I1219" s="332" t="n"/>
      <c r="J1219" s="275" t="n"/>
      <c r="K1219" s="335" t="n"/>
      <c r="L1219" s="252" t="n"/>
      <c r="M1219" s="252" t="n"/>
      <c r="N1219" s="252" t="n"/>
      <c r="O1219" s="244">
        <f>M1219*N1219</f>
        <v/>
      </c>
      <c r="P1219" s="252" t="n"/>
      <c r="Q1219" s="275" t="n"/>
      <c r="R1219" s="275" t="n"/>
      <c r="S1219" s="244">
        <f>Q1219*R1219</f>
        <v/>
      </c>
    </row>
    <row r="1220" ht="22.2" customHeight="1" s="330">
      <c r="A1220" s="4" t="n"/>
      <c r="E1220" s="4" t="n"/>
      <c r="G1220" s="308">
        <f>G1173</f>
        <v/>
      </c>
      <c r="H1220" s="252" t="n"/>
      <c r="I1220" s="325" t="n"/>
      <c r="J1220" s="252" t="n"/>
      <c r="K1220" s="331" t="n"/>
      <c r="L1220" s="252" t="n"/>
      <c r="M1220" s="252" t="n"/>
      <c r="N1220" s="252" t="n"/>
      <c r="O1220" s="244">
        <f>M1220*N1220</f>
        <v/>
      </c>
      <c r="P1220" s="252" t="n"/>
      <c r="Q1220" s="252" t="n"/>
      <c r="R1220" s="252" t="n"/>
      <c r="S1220" s="244">
        <f>Q1220*R1220</f>
        <v/>
      </c>
    </row>
    <row r="1221" ht="22.2" customHeight="1" s="330">
      <c r="A1221" s="4" t="n"/>
      <c r="B1221" s="5" t="n"/>
      <c r="E1221" s="4" t="n"/>
      <c r="G1221" s="252" t="n"/>
      <c r="H1221" s="252" t="n"/>
      <c r="I1221" s="325" t="n"/>
      <c r="J1221" s="252" t="n"/>
      <c r="K1221" s="331" t="n"/>
      <c r="L1221" s="325" t="n"/>
      <c r="M1221" s="325" t="n"/>
      <c r="N1221" s="325" t="n"/>
      <c r="O1221" s="244">
        <f>M1221*N1221</f>
        <v/>
      </c>
      <c r="P1221" s="325" t="n"/>
      <c r="Q1221" s="325" t="n"/>
      <c r="R1221" s="325" t="n"/>
      <c r="S1221" s="244">
        <f>Q1221*R1221</f>
        <v/>
      </c>
    </row>
    <row r="1222" ht="22.2" customHeight="1" s="330">
      <c r="A1222" s="4" t="n"/>
      <c r="E1222" s="4" t="n"/>
      <c r="G1222" s="252" t="n"/>
      <c r="H1222" s="252" t="n"/>
      <c r="I1222" s="252" t="n"/>
      <c r="J1222" s="252" t="n"/>
      <c r="K1222" s="331" t="n"/>
      <c r="L1222" s="252" t="n"/>
      <c r="M1222" s="252" t="n"/>
      <c r="N1222" s="252" t="n"/>
      <c r="O1222" s="244">
        <f>M1222*N1222</f>
        <v/>
      </c>
      <c r="P1222" s="252" t="n"/>
      <c r="Q1222" s="252" t="n"/>
      <c r="R1222" s="252" t="n"/>
      <c r="S1222" s="244">
        <f>Q1222*R1222</f>
        <v/>
      </c>
    </row>
    <row r="1223" ht="22.2" customHeight="1" s="330">
      <c r="A1223" s="4" t="n"/>
      <c r="E1223" s="4" t="n"/>
      <c r="G1223" s="276" t="n"/>
      <c r="H1223" s="301" t="n"/>
      <c r="I1223" s="276" t="n"/>
      <c r="J1223" s="276" t="n"/>
      <c r="K1223" s="476" t="n"/>
      <c r="L1223" s="276" t="n"/>
      <c r="M1223" s="276" t="n"/>
      <c r="N1223" s="276" t="n"/>
      <c r="O1223" s="244">
        <f>M1223*N1223</f>
        <v/>
      </c>
      <c r="P1223" s="276" t="n"/>
      <c r="Q1223" s="276" t="n"/>
      <c r="R1223" s="276" t="n"/>
      <c r="S1223" s="244">
        <f>Q1223*R1223</f>
        <v/>
      </c>
    </row>
    <row r="1224" ht="22.2" customHeight="1" s="330">
      <c r="A1224" s="4" t="n"/>
      <c r="E1224" s="4" t="n"/>
      <c r="G1224" s="62" t="inlineStr">
        <is>
          <t>ศุกร์</t>
        </is>
      </c>
      <c r="H1224" s="332" t="n"/>
      <c r="I1224" s="252" t="n"/>
      <c r="J1224" s="332" t="n"/>
      <c r="K1224" s="335" t="n"/>
      <c r="L1224" s="252" t="n"/>
      <c r="M1224" s="252" t="n"/>
      <c r="N1224" s="252" t="n"/>
      <c r="O1224" s="244">
        <f>M1224*N1224</f>
        <v/>
      </c>
      <c r="P1224" s="332" t="n"/>
      <c r="Q1224" s="265" t="n"/>
      <c r="R1224" s="332" t="n"/>
      <c r="S1224" s="244">
        <f>Q1224*R1224</f>
        <v/>
      </c>
    </row>
    <row r="1225" ht="22.2" customHeight="1" s="330">
      <c r="A1225" s="4" t="n"/>
      <c r="E1225" s="4" t="n"/>
      <c r="G1225" s="308">
        <f>G1178</f>
        <v/>
      </c>
      <c r="H1225" s="252" t="n"/>
      <c r="I1225" s="252" t="n"/>
      <c r="J1225" s="252" t="n"/>
      <c r="K1225" s="331" t="n"/>
      <c r="L1225" s="252" t="n"/>
      <c r="M1225" s="252" t="n"/>
      <c r="N1225" s="252" t="n"/>
      <c r="O1225" s="244">
        <f>M1225*N1225</f>
        <v/>
      </c>
      <c r="P1225" s="252" t="n"/>
      <c r="Q1225" s="252" t="n"/>
      <c r="R1225" s="252" t="n"/>
      <c r="S1225" s="244">
        <f>Q1225*R1225</f>
        <v/>
      </c>
    </row>
    <row r="1226" ht="22.2" customHeight="1" s="330">
      <c r="A1226" s="4" t="n"/>
      <c r="E1226" s="4" t="n"/>
      <c r="G1226" s="252" t="n"/>
      <c r="H1226" s="252" t="n"/>
      <c r="I1226" s="252" t="n"/>
      <c r="J1226" s="252" t="n"/>
      <c r="K1226" s="331" t="n"/>
      <c r="L1226" s="252" t="n"/>
      <c r="M1226" s="252" t="n"/>
      <c r="N1226" s="252" t="n"/>
      <c r="O1226" s="244">
        <f>M1226*N1226</f>
        <v/>
      </c>
      <c r="P1226" s="252" t="n"/>
      <c r="Q1226" s="252" t="n"/>
      <c r="R1226" s="252" t="n"/>
      <c r="S1226" s="244">
        <f>Q1226*R1226</f>
        <v/>
      </c>
    </row>
    <row r="1227" ht="22.2" customHeight="1" s="330">
      <c r="A1227" s="4" t="n"/>
      <c r="E1227" s="4" t="n"/>
      <c r="G1227" s="252" t="n"/>
      <c r="H1227" s="249" t="inlineStr">
        <is>
          <t> </t>
        </is>
      </c>
      <c r="I1227" s="252" t="n"/>
      <c r="J1227" s="252" t="n"/>
      <c r="K1227" s="331" t="n"/>
      <c r="L1227" s="252" t="n"/>
      <c r="M1227" s="252" t="n"/>
      <c r="N1227" s="252" t="n"/>
      <c r="O1227" s="244">
        <f>M1227*N1227</f>
        <v/>
      </c>
      <c r="P1227" s="252" t="n"/>
      <c r="Q1227" s="252" t="n"/>
      <c r="R1227" s="252" t="n"/>
      <c r="S1227" s="244">
        <f>Q1227*R1227</f>
        <v/>
      </c>
    </row>
    <row r="1228" ht="22.2" customHeight="1" s="330">
      <c r="A1228" s="4" t="n"/>
      <c r="E1228" s="4" t="n"/>
      <c r="F1228" s="4" t="n"/>
      <c r="G1228" s="278" t="n"/>
      <c r="H1228" s="301" t="n"/>
      <c r="I1228" s="276" t="n"/>
      <c r="J1228" s="276" t="n"/>
      <c r="K1228" s="476" t="n"/>
      <c r="L1228" s="276" t="n"/>
      <c r="M1228" s="276" t="n"/>
      <c r="N1228" s="276" t="n"/>
      <c r="O1228" s="244">
        <f>M1228*N1228</f>
        <v/>
      </c>
      <c r="P1228" s="276" t="n"/>
      <c r="Q1228" s="276" t="n"/>
      <c r="R1228" s="276" t="n"/>
      <c r="S1228" s="244">
        <f>Q1228*R1228</f>
        <v/>
      </c>
    </row>
    <row r="1229" ht="22.2" customHeight="1" s="330">
      <c r="A1229" s="4" t="n"/>
      <c r="E1229" s="4" t="n"/>
      <c r="F1229" s="4" t="n"/>
      <c r="G1229" s="17" t="inlineStr">
        <is>
          <t>รวมขั่วโมงที่สอนแยก ภาระงาน/ เกินภาระงาน</t>
        </is>
      </c>
      <c r="H1229" s="467" t="n"/>
      <c r="I1229" s="467" t="n"/>
      <c r="J1229" s="467" t="n"/>
      <c r="K1229" s="362" t="n"/>
      <c r="L1229" s="17">
        <f>SUM(L1204:L1228)</f>
        <v/>
      </c>
      <c r="M1229" s="17">
        <f>SUM(M1204:M1228)</f>
        <v/>
      </c>
      <c r="N1229" s="17" t="n"/>
      <c r="O1229" s="17" t="n"/>
      <c r="P1229" s="17">
        <f>SUM(P1204:P1228)</f>
        <v/>
      </c>
      <c r="Q1229" s="17">
        <f>SUM(Q1204:Q1228)</f>
        <v/>
      </c>
      <c r="R1229" s="279" t="n"/>
      <c r="S1229" s="17" t="n"/>
    </row>
    <row r="1230" ht="22.2" customHeight="1" s="330">
      <c r="A1230" s="4" t="n"/>
      <c r="E1230" s="4" t="n"/>
      <c r="F1230" s="4" t="n"/>
      <c r="G1230" s="17" t="inlineStr">
        <is>
          <t>รวมจำนวนชั่วโมงสอนคาบต่อสับดาห์</t>
        </is>
      </c>
      <c r="H1230" s="467" t="n"/>
      <c r="I1230" s="467" t="n"/>
      <c r="J1230" s="467" t="n"/>
      <c r="K1230" s="362" t="n"/>
      <c r="L1230" s="17">
        <f>L1229+M1229</f>
        <v/>
      </c>
      <c r="M1230" s="362" t="n"/>
      <c r="N1230" s="298" t="n"/>
      <c r="O1230" s="17" t="n"/>
      <c r="P1230" s="17">
        <f>P1229+Q1229</f>
        <v/>
      </c>
      <c r="Q1230" s="362" t="n"/>
      <c r="R1230" s="278" t="n"/>
      <c r="S1230" s="276" t="n"/>
    </row>
    <row r="1231" ht="22.2" customHeight="1" s="330">
      <c r="A1231" s="4" t="n"/>
      <c r="E1231" s="4" t="n"/>
      <c r="F1231" s="4" t="n"/>
      <c r="G1231" s="17" t="inlineStr">
        <is>
          <t>จำนวนชั่วโมงสอนตามภาระงานสอน</t>
        </is>
      </c>
      <c r="H1231" s="467" t="n"/>
      <c r="I1231" s="467" t="n"/>
      <c r="J1231" s="467" t="n"/>
      <c r="K1231" s="362" t="n"/>
      <c r="L1231" s="252" t="n">
        <v>18</v>
      </c>
      <c r="M1231" s="252" t="inlineStr">
        <is>
          <t>ปวช.</t>
        </is>
      </c>
      <c r="N1231" s="252" t="n"/>
      <c r="O1231" s="252" t="n"/>
      <c r="P1231" s="252" t="n"/>
      <c r="Q1231" s="252" t="inlineStr">
        <is>
          <t>ปวส.</t>
        </is>
      </c>
      <c r="R1231" s="249" t="n"/>
      <c r="S1231" s="252" t="n"/>
    </row>
    <row r="1232" ht="22.2" customHeight="1" s="330" thickBot="1">
      <c r="A1232" s="4" t="n"/>
      <c r="E1232" s="4" t="n"/>
      <c r="F1232" s="15" t="n"/>
      <c r="G1232" s="17" t="inlineStr">
        <is>
          <t>จำนวนชั่วโมงบิกเกินภาระงานสอน/ค่าสอน</t>
        </is>
      </c>
      <c r="H1232" s="467" t="n"/>
      <c r="I1232" s="467" t="n"/>
      <c r="J1232" s="467" t="n"/>
      <c r="K1232" s="362" t="n"/>
      <c r="L1232" s="18" t="n">
        <v>0</v>
      </c>
      <c r="M1232" s="18">
        <f>SUM(M1204:M1228)</f>
        <v/>
      </c>
      <c r="N1232" s="18" t="n"/>
      <c r="O1232" s="18">
        <f>SUM(O1204:O1228)</f>
        <v/>
      </c>
      <c r="P1232" s="18" t="n">
        <v>0</v>
      </c>
      <c r="Q1232" s="18">
        <f>SUM(Q1204:Q1228)</f>
        <v/>
      </c>
      <c r="R1232" s="19" t="n"/>
      <c r="S1232" s="18">
        <f>SUM(S1204:S1228)</f>
        <v/>
      </c>
    </row>
    <row r="1233" ht="22.2" customHeight="1" s="330" thickTop="1">
      <c r="A1233" s="299" t="inlineStr">
        <is>
          <t>รวมจำนวนหน่วยชั่วโมงที่ขอเบิกค่าสอน ….</t>
        </is>
      </c>
      <c r="B1233" s="467" t="n"/>
      <c r="C1233" s="467" t="n"/>
      <c r="D1233" s="467" t="n"/>
      <c r="E1233" s="467" t="n"/>
      <c r="F1233" s="467" t="n"/>
      <c r="G1233" s="467" t="n"/>
      <c r="H1233" s="298">
        <f>M1232+Q1232</f>
        <v/>
      </c>
      <c r="I1233" s="298" t="inlineStr">
        <is>
          <t>….ชั่วโมง</t>
        </is>
      </c>
      <c r="J1233" s="298" t="n"/>
      <c r="K1233" s="301" t="inlineStr">
        <is>
          <t>ยอดเงินรวม</t>
        </is>
      </c>
      <c r="L1233" s="471" t="n"/>
      <c r="M1233" s="471" t="n"/>
      <c r="N1233" s="301" t="n"/>
      <c r="O1233" s="301" t="n"/>
      <c r="P1233" s="302">
        <f>S1232+O1232</f>
        <v/>
      </c>
      <c r="Q1233" s="482" t="n"/>
      <c r="R1233" s="21" t="n"/>
      <c r="S1233" s="20" t="inlineStr">
        <is>
          <t>..บาท</t>
        </is>
      </c>
    </row>
    <row r="1234" ht="22.2" customHeight="1" s="330">
      <c r="A1234" s="207" t="inlineStr">
        <is>
          <t>ผู้ขอเบิก</t>
        </is>
      </c>
      <c r="B1234" s="334" t="n"/>
      <c r="C1234" s="334" t="n"/>
      <c r="D1234" s="334" t="n"/>
      <c r="E1234" s="334" t="n"/>
      <c r="F1234" s="334" t="n"/>
      <c r="G1234" s="335" t="n"/>
      <c r="H1234" s="207" t="inlineStr">
        <is>
          <t>ผู้รับรอง</t>
        </is>
      </c>
      <c r="I1234" s="334" t="n"/>
      <c r="J1234" s="334" t="n"/>
      <c r="K1234" s="334" t="n"/>
      <c r="L1234" s="335" t="n"/>
      <c r="M1234" s="207" t="inlineStr">
        <is>
          <t>ผู้ตรวจ</t>
        </is>
      </c>
      <c r="N1234" s="334" t="n"/>
      <c r="O1234" s="334" t="n"/>
      <c r="P1234" s="334" t="n"/>
      <c r="Q1234" s="334" t="n"/>
      <c r="R1234" s="334" t="n"/>
      <c r="S1234" s="335" t="n"/>
    </row>
    <row r="1235" ht="22.2" customHeight="1" s="330">
      <c r="A1235" s="252" t="inlineStr">
        <is>
          <t>ลงชื่อ……………………………………………</t>
        </is>
      </c>
      <c r="G1235" s="331" t="n"/>
      <c r="H1235" s="252" t="inlineStr">
        <is>
          <t>ลงชื่อ……………………………………………</t>
        </is>
      </c>
      <c r="L1235" s="331" t="n"/>
      <c r="M1235" s="252" t="inlineStr">
        <is>
          <t>ลงชื่อ……………………………………………</t>
        </is>
      </c>
      <c r="S1235" s="331" t="n"/>
    </row>
    <row r="1236" ht="22.2" customHeight="1" s="330">
      <c r="A1236" s="12" t="inlineStr">
        <is>
          <t>(</t>
        </is>
      </c>
      <c r="B1236" s="309">
        <f>AB27</f>
        <v/>
      </c>
      <c r="G1236" s="310" t="inlineStr">
        <is>
          <t>)</t>
        </is>
      </c>
      <c r="H1236" s="309" t="inlineStr">
        <is>
          <t>(</t>
        </is>
      </c>
      <c r="I1236" s="314" t="inlineStr">
        <is>
          <t>นายไพรัช  อินทุรัตน์</t>
        </is>
      </c>
      <c r="L1236" s="13" t="inlineStr">
        <is>
          <t>)</t>
        </is>
      </c>
      <c r="M1236" s="61" t="inlineStr">
        <is>
          <t>(</t>
        </is>
      </c>
      <c r="N1236" s="61" t="n"/>
      <c r="O1236" s="309" t="inlineStr">
        <is>
          <t>นายพิสุทธิศักดิ์  กล่อมนาค</t>
        </is>
      </c>
      <c r="R1236" s="29" t="n"/>
      <c r="S1236" s="310" t="inlineStr">
        <is>
          <t>)</t>
        </is>
      </c>
    </row>
    <row r="1237" ht="22.2" customHeight="1" s="330">
      <c r="A1237" s="483" t="inlineStr">
        <is>
          <t xml:space="preserve">                 ตำแหน่ง  ครูพิเศษ</t>
        </is>
      </c>
      <c r="G1237" s="331" t="n"/>
      <c r="H1237" s="62" t="inlineStr">
        <is>
          <t>ตำแหน่ง หัวหน้าแผนก</t>
        </is>
      </c>
      <c r="L1237" s="331" t="n"/>
      <c r="M1237" s="62" t="inlineStr">
        <is>
          <t>ตำแหน่ง   ผู้ตรวจสอบ</t>
        </is>
      </c>
      <c r="S1237" s="331" t="n"/>
    </row>
    <row r="1238" ht="22.2" customHeight="1" s="330">
      <c r="A1238" s="63">
        <f>A41</f>
        <v/>
      </c>
      <c r="B1238" s="471" t="n"/>
      <c r="C1238" s="471" t="n"/>
      <c r="D1238" s="471" t="n"/>
      <c r="E1238" s="471" t="n"/>
      <c r="F1238" s="471" t="n"/>
      <c r="G1238" s="476" t="n"/>
      <c r="H1238" s="62">
        <f>A41</f>
        <v/>
      </c>
      <c r="L1238" s="331" t="n"/>
      <c r="M1238" s="63">
        <f>A41</f>
        <v/>
      </c>
      <c r="N1238" s="471" t="n"/>
      <c r="O1238" s="471" t="n"/>
      <c r="P1238" s="471" t="n"/>
      <c r="Q1238" s="471" t="n"/>
      <c r="R1238" s="471" t="n"/>
      <c r="S1238" s="476" t="n"/>
    </row>
    <row r="1239" ht="22.2" customHeight="1" s="330">
      <c r="A1239" s="207" t="inlineStr">
        <is>
          <t>ผู้ตรวจ</t>
        </is>
      </c>
      <c r="B1239" s="334" t="n"/>
      <c r="C1239" s="334" t="n"/>
      <c r="D1239" s="334" t="n"/>
      <c r="E1239" s="334" t="n"/>
      <c r="F1239" s="334" t="n"/>
      <c r="G1239" s="334" t="n"/>
      <c r="H1239" s="334" t="n"/>
      <c r="I1239" s="335" t="n"/>
      <c r="J1239" s="207" t="inlineStr">
        <is>
          <t>ผู้เห็นชอบ</t>
        </is>
      </c>
      <c r="K1239" s="334" t="n"/>
      <c r="L1239" s="334" t="n"/>
      <c r="M1239" s="334" t="n"/>
      <c r="N1239" s="334" t="n"/>
      <c r="O1239" s="334" t="n"/>
      <c r="P1239" s="334" t="n"/>
      <c r="Q1239" s="334" t="n"/>
      <c r="R1239" s="334" t="n"/>
      <c r="S1239" s="335" t="n"/>
    </row>
    <row r="1240" ht="22.2" customHeight="1" s="330">
      <c r="A1240" s="252" t="inlineStr">
        <is>
          <t>ลงชื่อ……………………………………………</t>
        </is>
      </c>
      <c r="I1240" s="331" t="n"/>
      <c r="J1240" s="252" t="inlineStr">
        <is>
          <t>ลงชื่อ……………………………………………</t>
        </is>
      </c>
      <c r="S1240" s="331" t="n"/>
    </row>
    <row r="1241" ht="22.2" customHeight="1" s="330">
      <c r="A1241" s="12" t="n"/>
      <c r="B1241" s="309" t="inlineStr">
        <is>
          <t xml:space="preserve">          (นางศิวรักษ์   บุญประเสริฐ)</t>
        </is>
      </c>
      <c r="I1241" s="310" t="n"/>
      <c r="J1241" s="29" t="n"/>
      <c r="K1241" s="29" t="n"/>
      <c r="L1241" s="309" t="inlineStr">
        <is>
          <t>(นายปรีชา  โพธิ์เกิด)</t>
        </is>
      </c>
      <c r="R1241" s="29" t="n"/>
      <c r="S1241" s="13" t="n"/>
    </row>
    <row r="1242" ht="22.2" customHeight="1" s="330">
      <c r="A1242" s="62" t="inlineStr">
        <is>
          <t>ตำแหน่งครู  หัวหน้างานพัฒนาหลักสูตร ฯ</t>
        </is>
      </c>
      <c r="I1242" s="331" t="n"/>
      <c r="J1242" s="62" t="inlineStr">
        <is>
          <t>ตำแหน่ง  รองผู้อำนวยการฝ่ายวิชาการ</t>
        </is>
      </c>
      <c r="S1242" s="331" t="n"/>
    </row>
    <row r="1243" ht="22.2" customHeight="1" s="330">
      <c r="A1243" s="63">
        <f>A41</f>
        <v/>
      </c>
      <c r="B1243" s="471" t="n"/>
      <c r="C1243" s="471" t="n"/>
      <c r="D1243" s="471" t="n"/>
      <c r="E1243" s="471" t="n"/>
      <c r="F1243" s="471" t="n"/>
      <c r="G1243" s="471" t="n"/>
      <c r="H1243" s="471" t="n"/>
      <c r="I1243" s="476" t="n"/>
      <c r="J1243" s="63">
        <f>A41</f>
        <v/>
      </c>
      <c r="K1243" s="471" t="n"/>
      <c r="L1243" s="471" t="n"/>
      <c r="M1243" s="471" t="n"/>
      <c r="N1243" s="471" t="n"/>
      <c r="O1243" s="471" t="n"/>
      <c r="P1243" s="471" t="n"/>
      <c r="Q1243" s="471" t="n"/>
      <c r="R1243" s="471" t="n"/>
      <c r="S1243" s="476" t="n"/>
    </row>
  </sheetData>
  <mergeCells count="2174">
    <mergeCell ref="H451:L451"/>
    <mergeCell ref="H961:L961"/>
    <mergeCell ref="P496:Q496"/>
    <mergeCell ref="J933:K933"/>
    <mergeCell ref="M221:S221"/>
    <mergeCell ref="AH27:AJ27"/>
    <mergeCell ref="J288:K288"/>
    <mergeCell ref="J207:K207"/>
    <mergeCell ref="L263:M263"/>
    <mergeCell ref="B1005:F1005"/>
    <mergeCell ref="J5:K6"/>
    <mergeCell ref="J824:S824"/>
    <mergeCell ref="B734:H734"/>
    <mergeCell ref="J1147:S1147"/>
    <mergeCell ref="J934:K934"/>
    <mergeCell ref="J928:K928"/>
    <mergeCell ref="J805:K805"/>
    <mergeCell ref="AH22:AJ22"/>
    <mergeCell ref="J963:S963"/>
    <mergeCell ref="H593:L593"/>
    <mergeCell ref="N785:O785"/>
    <mergeCell ref="O269:Q269"/>
    <mergeCell ref="A776:G776"/>
    <mergeCell ref="K1233:M1233"/>
    <mergeCell ref="B882:D882"/>
    <mergeCell ref="G492:K492"/>
    <mergeCell ref="J347:K347"/>
    <mergeCell ref="P1183:Q1183"/>
    <mergeCell ref="K1048:M1048"/>
    <mergeCell ref="A963:I963"/>
    <mergeCell ref="A1199:C1199"/>
    <mergeCell ref="J349:K349"/>
    <mergeCell ref="P511:Q511"/>
    <mergeCell ref="J981:K981"/>
    <mergeCell ref="L412:Q412"/>
    <mergeCell ref="J518:K518"/>
    <mergeCell ref="H911:L911"/>
    <mergeCell ref="P542:Q542"/>
    <mergeCell ref="J947:K947"/>
    <mergeCell ref="L741:M741"/>
    <mergeCell ref="A83:G83"/>
    <mergeCell ref="J344:K344"/>
    <mergeCell ref="J520:K520"/>
    <mergeCell ref="A186:S186"/>
    <mergeCell ref="J976:K976"/>
    <mergeCell ref="J375:K375"/>
    <mergeCell ref="G539:K539"/>
    <mergeCell ref="B1051:F1051"/>
    <mergeCell ref="P141:Q141"/>
    <mergeCell ref="J1193:S1193"/>
    <mergeCell ref="J246:K246"/>
    <mergeCell ref="J459:S459"/>
    <mergeCell ref="J675:K675"/>
    <mergeCell ref="I453:K453"/>
    <mergeCell ref="J973:K973"/>
    <mergeCell ref="P1202:Q1202"/>
    <mergeCell ref="P143:Q143"/>
    <mergeCell ref="J248:K248"/>
    <mergeCell ref="A45:I45"/>
    <mergeCell ref="J975:K975"/>
    <mergeCell ref="L1092:M1092"/>
    <mergeCell ref="J1029:K1029"/>
    <mergeCell ref="L642:Q642"/>
    <mergeCell ref="M914:S914"/>
    <mergeCell ref="B606:D606"/>
    <mergeCell ref="M313:S313"/>
    <mergeCell ref="O683:Q683"/>
    <mergeCell ref="A1190:G1190"/>
    <mergeCell ref="F925:G925"/>
    <mergeCell ref="H1003:L1003"/>
    <mergeCell ref="M911:S911"/>
    <mergeCell ref="J747:K747"/>
    <mergeCell ref="H787:H788"/>
    <mergeCell ref="J180:S180"/>
    <mergeCell ref="J1176:K1176"/>
    <mergeCell ref="J292:K292"/>
    <mergeCell ref="J286:K286"/>
    <mergeCell ref="J302:K302"/>
    <mergeCell ref="N877:O877"/>
    <mergeCell ref="A732:I732"/>
    <mergeCell ref="A275:I275"/>
    <mergeCell ref="B550:H550"/>
    <mergeCell ref="J287:K287"/>
    <mergeCell ref="I499:K499"/>
    <mergeCell ref="J1073:K1073"/>
    <mergeCell ref="J14:K14"/>
    <mergeCell ref="J610:K610"/>
    <mergeCell ref="AH9:AJ9"/>
    <mergeCell ref="AE8:AG8"/>
    <mergeCell ref="I223:K223"/>
    <mergeCell ref="J13:K13"/>
    <mergeCell ref="A450:G450"/>
    <mergeCell ref="J1075:K1075"/>
    <mergeCell ref="J618:K618"/>
    <mergeCell ref="J1202:K1203"/>
    <mergeCell ref="AE10:AG10"/>
    <mergeCell ref="AH11:AJ11"/>
    <mergeCell ref="J15:K15"/>
    <mergeCell ref="J1068:K1068"/>
    <mergeCell ref="G494:K494"/>
    <mergeCell ref="H129:L129"/>
    <mergeCell ref="M1003:S1003"/>
    <mergeCell ref="A589:G589"/>
    <mergeCell ref="J51:K52"/>
    <mergeCell ref="B695:D695"/>
    <mergeCell ref="G34:K34"/>
    <mergeCell ref="L1045:M1045"/>
    <mergeCell ref="H727:L727"/>
    <mergeCell ref="A962:I962"/>
    <mergeCell ref="A501:G501"/>
    <mergeCell ref="A279:C279"/>
    <mergeCell ref="F509:G509"/>
    <mergeCell ref="J974:K974"/>
    <mergeCell ref="J1215:K1215"/>
    <mergeCell ref="P264:Q264"/>
    <mergeCell ref="A592:G592"/>
    <mergeCell ref="B315:F315"/>
    <mergeCell ref="AE21:AG21"/>
    <mergeCell ref="L1061:M1061"/>
    <mergeCell ref="J244:K244"/>
    <mergeCell ref="J1119:K1119"/>
    <mergeCell ref="J700:K700"/>
    <mergeCell ref="A690:I690"/>
    <mergeCell ref="AE23:AG23"/>
    <mergeCell ref="L1063:M1063"/>
    <mergeCell ref="J28:K28"/>
    <mergeCell ref="O591:Q591"/>
    <mergeCell ref="L3:M3"/>
    <mergeCell ref="A1060:S1060"/>
    <mergeCell ref="J272:S272"/>
    <mergeCell ref="A819:G819"/>
    <mergeCell ref="L5:M5"/>
    <mergeCell ref="P1015:Q1015"/>
    <mergeCell ref="B281:D281"/>
    <mergeCell ref="A599:S599"/>
    <mergeCell ref="K358:M358"/>
    <mergeCell ref="J384:K384"/>
    <mergeCell ref="M129:S129"/>
    <mergeCell ref="A87:G87"/>
    <mergeCell ref="P125:Q125"/>
    <mergeCell ref="J989:K989"/>
    <mergeCell ref="J255:K255"/>
    <mergeCell ref="M638:S638"/>
    <mergeCell ref="K956:M956"/>
    <mergeCell ref="B913:F913"/>
    <mergeCell ref="H684:L684"/>
    <mergeCell ref="B642:H642"/>
    <mergeCell ref="J982:K982"/>
    <mergeCell ref="J842:K842"/>
    <mergeCell ref="M727:S727"/>
    <mergeCell ref="J713:K713"/>
    <mergeCell ref="G217:K217"/>
    <mergeCell ref="J511:K512"/>
    <mergeCell ref="J110:K110"/>
    <mergeCell ref="H1098:L1098"/>
    <mergeCell ref="H501:L501"/>
    <mergeCell ref="J715:K715"/>
    <mergeCell ref="M1238:S1238"/>
    <mergeCell ref="L356:M356"/>
    <mergeCell ref="H38:L38"/>
    <mergeCell ref="A961:G961"/>
    <mergeCell ref="A542:G542"/>
    <mergeCell ref="Z27:AA27"/>
    <mergeCell ref="B790:D790"/>
    <mergeCell ref="G400:K400"/>
    <mergeCell ref="H40:L40"/>
    <mergeCell ref="J1069:K1069"/>
    <mergeCell ref="A544:G544"/>
    <mergeCell ref="J99:K99"/>
    <mergeCell ref="G402:K402"/>
    <mergeCell ref="J397:K397"/>
    <mergeCell ref="A1107:C1107"/>
    <mergeCell ref="A414:I414"/>
    <mergeCell ref="J1071:K1071"/>
    <mergeCell ref="P1233:Q1233"/>
    <mergeCell ref="Z22:AA22"/>
    <mergeCell ref="AE6:AG6"/>
    <mergeCell ref="J101:K101"/>
    <mergeCell ref="J1160:K1160"/>
    <mergeCell ref="A1054:I1054"/>
    <mergeCell ref="J100:K100"/>
    <mergeCell ref="B872:H872"/>
    <mergeCell ref="F601:G601"/>
    <mergeCell ref="J1066:K1066"/>
    <mergeCell ref="A1055:I1055"/>
    <mergeCell ref="G32:K32"/>
    <mergeCell ref="J1101:S1101"/>
    <mergeCell ref="M37:S37"/>
    <mergeCell ref="H97:H98"/>
    <mergeCell ref="O407:Q407"/>
    <mergeCell ref="J29:K29"/>
    <mergeCell ref="J1082:K1082"/>
    <mergeCell ref="P51:Q51"/>
    <mergeCell ref="A588:G588"/>
    <mergeCell ref="G630:K630"/>
    <mergeCell ref="J1213:K1213"/>
    <mergeCell ref="M1098:S1098"/>
    <mergeCell ref="AE17:AG17"/>
    <mergeCell ref="P954:Q954"/>
    <mergeCell ref="M38:S38"/>
    <mergeCell ref="J1084:K1084"/>
    <mergeCell ref="J329:K329"/>
    <mergeCell ref="G632:K632"/>
    <mergeCell ref="J627:K627"/>
    <mergeCell ref="P649:Q649"/>
    <mergeCell ref="AE19:AG19"/>
    <mergeCell ref="J481:K481"/>
    <mergeCell ref="J552:S552"/>
    <mergeCell ref="M1004:S1004"/>
    <mergeCell ref="J24:K24"/>
    <mergeCell ref="J1208:K1208"/>
    <mergeCell ref="P680:Q680"/>
    <mergeCell ref="L1183:M1183"/>
    <mergeCell ref="J1085:K1085"/>
    <mergeCell ref="J26:K26"/>
    <mergeCell ref="L126:M126"/>
    <mergeCell ref="N601:O601"/>
    <mergeCell ref="A43:I43"/>
    <mergeCell ref="J482:K482"/>
    <mergeCell ref="P1094:Q1094"/>
    <mergeCell ref="A914:G914"/>
    <mergeCell ref="B1189:F1189"/>
    <mergeCell ref="J813:K813"/>
    <mergeCell ref="I591:K591"/>
    <mergeCell ref="J807:K807"/>
    <mergeCell ref="J1111:K1111"/>
    <mergeCell ref="J350:K350"/>
    <mergeCell ref="J386:K386"/>
    <mergeCell ref="A738:S738"/>
    <mergeCell ref="J352:K352"/>
    <mergeCell ref="J711:K711"/>
    <mergeCell ref="I407:K407"/>
    <mergeCell ref="L1202:M1202"/>
    <mergeCell ref="L780:Q780"/>
    <mergeCell ref="P693:Q693"/>
    <mergeCell ref="B419:D419"/>
    <mergeCell ref="K680:M680"/>
    <mergeCell ref="M451:S451"/>
    <mergeCell ref="A1003:G1003"/>
    <mergeCell ref="P726:Q726"/>
    <mergeCell ref="P263:Q263"/>
    <mergeCell ref="J70:K70"/>
    <mergeCell ref="J235:K236"/>
    <mergeCell ref="K1094:M1094"/>
    <mergeCell ref="J63:K63"/>
    <mergeCell ref="H925:H926"/>
    <mergeCell ref="AB49:AD49"/>
    <mergeCell ref="J422:K422"/>
    <mergeCell ref="J1166:K1166"/>
    <mergeCell ref="J851:K851"/>
    <mergeCell ref="J833:K834"/>
    <mergeCell ref="B743:D743"/>
    <mergeCell ref="J424:K424"/>
    <mergeCell ref="H823:L823"/>
    <mergeCell ref="J1037:K1037"/>
    <mergeCell ref="L1230:M1230"/>
    <mergeCell ref="J853:K853"/>
    <mergeCell ref="AB50:AD50"/>
    <mergeCell ref="O499:Q499"/>
    <mergeCell ref="A870:I870"/>
    <mergeCell ref="G1185:K1185"/>
    <mergeCell ref="Z9:AA9"/>
    <mergeCell ref="A784:S784"/>
    <mergeCell ref="H362:L362"/>
    <mergeCell ref="P1046:Q1046"/>
    <mergeCell ref="I637:K637"/>
    <mergeCell ref="Z11:AA11"/>
    <mergeCell ref="J421:K421"/>
    <mergeCell ref="G724:K724"/>
    <mergeCell ref="J579:K579"/>
    <mergeCell ref="P923:Q923"/>
    <mergeCell ref="J755:K755"/>
    <mergeCell ref="B223:F223"/>
    <mergeCell ref="J152:K152"/>
    <mergeCell ref="J748:K748"/>
    <mergeCell ref="J1177:K1177"/>
    <mergeCell ref="A135:I135"/>
    <mergeCell ref="J750:K750"/>
    <mergeCell ref="J1100:S1100"/>
    <mergeCell ref="J1204:K1204"/>
    <mergeCell ref="J1179:K1179"/>
    <mergeCell ref="J147:K147"/>
    <mergeCell ref="O131:Q131"/>
    <mergeCell ref="A727:G727"/>
    <mergeCell ref="H409:L409"/>
    <mergeCell ref="P678:Q678"/>
    <mergeCell ref="H235:H236"/>
    <mergeCell ref="O729:Q729"/>
    <mergeCell ref="J468:K468"/>
    <mergeCell ref="P373:Q373"/>
    <mergeCell ref="A417:C417"/>
    <mergeCell ref="P33:Q33"/>
    <mergeCell ref="L511:M511"/>
    <mergeCell ref="H1049:L1049"/>
    <mergeCell ref="J163:K163"/>
    <mergeCell ref="M823:S823"/>
    <mergeCell ref="J294:K294"/>
    <mergeCell ref="A1238:G1238"/>
    <mergeCell ref="J365:S365"/>
    <mergeCell ref="J890:K890"/>
    <mergeCell ref="A364:I364"/>
    <mergeCell ref="J165:K165"/>
    <mergeCell ref="A1239:I1239"/>
    <mergeCell ref="J382:K382"/>
    <mergeCell ref="L872:Q872"/>
    <mergeCell ref="J892:K892"/>
    <mergeCell ref="J811:K811"/>
    <mergeCell ref="AB2:AD2"/>
    <mergeCell ref="J77:K77"/>
    <mergeCell ref="J348:K348"/>
    <mergeCell ref="J1223:K1223"/>
    <mergeCell ref="L264:M264"/>
    <mergeCell ref="A1240:I1240"/>
    <mergeCell ref="A181:I181"/>
    <mergeCell ref="M820:S820"/>
    <mergeCell ref="L141:M141"/>
    <mergeCell ref="J522:K522"/>
    <mergeCell ref="J735:S735"/>
    <mergeCell ref="A505:I505"/>
    <mergeCell ref="J524:K524"/>
    <mergeCell ref="M409:S409"/>
    <mergeCell ref="B780:H780"/>
    <mergeCell ref="J61:K61"/>
    <mergeCell ref="A876:S876"/>
    <mergeCell ref="H175:L175"/>
    <mergeCell ref="A1098:G1098"/>
    <mergeCell ref="M1049:S1049"/>
    <mergeCell ref="J1122:K1122"/>
    <mergeCell ref="L125:M125"/>
    <mergeCell ref="B741:D741"/>
    <mergeCell ref="P831:Q831"/>
    <mergeCell ref="A38:G38"/>
    <mergeCell ref="J519:K519"/>
    <mergeCell ref="AB48:AD48"/>
    <mergeCell ref="P404:Q404"/>
    <mergeCell ref="H176:L176"/>
    <mergeCell ref="Z7:AA7"/>
    <mergeCell ref="A40:G40"/>
    <mergeCell ref="A680:G680"/>
    <mergeCell ref="G538:K538"/>
    <mergeCell ref="J1192:S1192"/>
    <mergeCell ref="J664:K664"/>
    <mergeCell ref="H178:L178"/>
    <mergeCell ref="L310:M310"/>
    <mergeCell ref="J237:K237"/>
    <mergeCell ref="G540:K540"/>
    <mergeCell ref="Z8:AA8"/>
    <mergeCell ref="J535:K535"/>
    <mergeCell ref="J1173:K1173"/>
    <mergeCell ref="Z2:AA2"/>
    <mergeCell ref="G1136:K1136"/>
    <mergeCell ref="F141:G141"/>
    <mergeCell ref="P1045:Q1045"/>
    <mergeCell ref="A736:I736"/>
    <mergeCell ref="J239:K239"/>
    <mergeCell ref="J537:K537"/>
    <mergeCell ref="J1175:K1175"/>
    <mergeCell ref="J118:K118"/>
    <mergeCell ref="A1192:I1192"/>
    <mergeCell ref="O637:Q637"/>
    <mergeCell ref="F739:G739"/>
    <mergeCell ref="A1106:S1106"/>
    <mergeCell ref="I775:K775"/>
    <mergeCell ref="F741:G741"/>
    <mergeCell ref="P1061:Q1061"/>
    <mergeCell ref="F1153:G1153"/>
    <mergeCell ref="M175:S175"/>
    <mergeCell ref="J563:K563"/>
    <mergeCell ref="J167:K167"/>
    <mergeCell ref="G768:K768"/>
    <mergeCell ref="A726:G726"/>
    <mergeCell ref="J894:K894"/>
    <mergeCell ref="J932:K932"/>
    <mergeCell ref="J888:K888"/>
    <mergeCell ref="H133:L133"/>
    <mergeCell ref="M176:S176"/>
    <mergeCell ref="G770:K770"/>
    <mergeCell ref="P787:Q787"/>
    <mergeCell ref="J690:S690"/>
    <mergeCell ref="J162:K162"/>
    <mergeCell ref="L51:M51"/>
    <mergeCell ref="H547:L547"/>
    <mergeCell ref="AH13:AJ13"/>
    <mergeCell ref="P818:Q818"/>
    <mergeCell ref="L954:M954"/>
    <mergeCell ref="J164:K164"/>
    <mergeCell ref="H1109:H1110"/>
    <mergeCell ref="A739:C739"/>
    <mergeCell ref="G909:K909"/>
    <mergeCell ref="B836:D836"/>
    <mergeCell ref="P171:Q171"/>
    <mergeCell ref="L649:M649"/>
    <mergeCell ref="J616:K616"/>
    <mergeCell ref="F785:G785"/>
    <mergeCell ref="K1186:M1186"/>
    <mergeCell ref="J372:S372"/>
    <mergeCell ref="J487:K487"/>
    <mergeCell ref="A1052:G1052"/>
    <mergeCell ref="AH8:AJ8"/>
    <mergeCell ref="H1191:L1191"/>
    <mergeCell ref="AB16:AD16"/>
    <mergeCell ref="J1214:K1214"/>
    <mergeCell ref="J410:S410"/>
    <mergeCell ref="AH10:AJ10"/>
    <mergeCell ref="AB9:AD9"/>
    <mergeCell ref="J609:K609"/>
    <mergeCell ref="J945:K945"/>
    <mergeCell ref="J146:K146"/>
    <mergeCell ref="G449:K449"/>
    <mergeCell ref="J488:K488"/>
    <mergeCell ref="A503:I503"/>
    <mergeCell ref="J1008:S1008"/>
    <mergeCell ref="AB11:AD11"/>
    <mergeCell ref="J515:K515"/>
    <mergeCell ref="J92:S92"/>
    <mergeCell ref="I545:K545"/>
    <mergeCell ref="B557:D557"/>
    <mergeCell ref="J331:K331"/>
    <mergeCell ref="I1143:K1143"/>
    <mergeCell ref="J629:K629"/>
    <mergeCell ref="AH28:AJ28"/>
    <mergeCell ref="P97:Q97"/>
    <mergeCell ref="P401:Q401"/>
    <mergeCell ref="J736:S736"/>
    <mergeCell ref="J208:K208"/>
    <mergeCell ref="G79:K79"/>
    <mergeCell ref="J373:K374"/>
    <mergeCell ref="M547:S547"/>
    <mergeCell ref="AH21:AJ21"/>
    <mergeCell ref="J89:S89"/>
    <mergeCell ref="L693:M693"/>
    <mergeCell ref="J201:K201"/>
    <mergeCell ref="A823:G823"/>
    <mergeCell ref="AH23:AJ23"/>
    <mergeCell ref="O39:Q39"/>
    <mergeCell ref="A179:G179"/>
    <mergeCell ref="J971:K972"/>
    <mergeCell ref="L596:Q596"/>
    <mergeCell ref="J203:K203"/>
    <mergeCell ref="B881:D881"/>
    <mergeCell ref="K174:M174"/>
    <mergeCell ref="A89:I89"/>
    <mergeCell ref="H1202:H1203"/>
    <mergeCell ref="J259:K259"/>
    <mergeCell ref="A818:G818"/>
    <mergeCell ref="H957:L957"/>
    <mergeCell ref="H500:L500"/>
    <mergeCell ref="B458:H458"/>
    <mergeCell ref="P1184:Q1184"/>
    <mergeCell ref="J261:K261"/>
    <mergeCell ref="H741:H742"/>
    <mergeCell ref="J559:K559"/>
    <mergeCell ref="A820:G820"/>
    <mergeCell ref="G862:K862"/>
    <mergeCell ref="F5:G5"/>
    <mergeCell ref="J254:K254"/>
    <mergeCell ref="M270:S270"/>
    <mergeCell ref="J561:K561"/>
    <mergeCell ref="J859:K859"/>
    <mergeCell ref="P126:Q126"/>
    <mergeCell ref="J256:K256"/>
    <mergeCell ref="A229:I229"/>
    <mergeCell ref="F877:G877"/>
    <mergeCell ref="A409:G409"/>
    <mergeCell ref="J502:S502"/>
    <mergeCell ref="M497:S497"/>
    <mergeCell ref="P816:Q816"/>
    <mergeCell ref="H373:H374"/>
    <mergeCell ref="A404:G404"/>
    <mergeCell ref="H1187:L1187"/>
    <mergeCell ref="G906:K906"/>
    <mergeCell ref="J281:K282"/>
    <mergeCell ref="J432:K432"/>
    <mergeCell ref="B191:D191"/>
    <mergeCell ref="J503:S503"/>
    <mergeCell ref="H271:L271"/>
    <mergeCell ref="P1230:Q1230"/>
    <mergeCell ref="AH6:AJ6"/>
    <mergeCell ref="L678:M678"/>
    <mergeCell ref="G908:K908"/>
    <mergeCell ref="J941:K941"/>
    <mergeCell ref="J1212:K1212"/>
    <mergeCell ref="M957:S957"/>
    <mergeCell ref="L373:M373"/>
    <mergeCell ref="L1010:Q1010"/>
    <mergeCell ref="J1030:K1030"/>
    <mergeCell ref="L33:M33"/>
    <mergeCell ref="A130:G130"/>
    <mergeCell ref="B649:D649"/>
    <mergeCell ref="H869:L869"/>
    <mergeCell ref="B192:D192"/>
    <mergeCell ref="J486:K486"/>
    <mergeCell ref="A916:I916"/>
    <mergeCell ref="A132:G132"/>
    <mergeCell ref="P493:Q493"/>
    <mergeCell ref="J300:K300"/>
    <mergeCell ref="J644:S644"/>
    <mergeCell ref="M639:S639"/>
    <mergeCell ref="H268:L268"/>
    <mergeCell ref="F1109:G1109"/>
    <mergeCell ref="G1232:K1232"/>
    <mergeCell ref="AH24:AJ24"/>
    <mergeCell ref="J879:K880"/>
    <mergeCell ref="AH17:AJ17"/>
    <mergeCell ref="J931:K931"/>
    <mergeCell ref="P953:Q953"/>
    <mergeCell ref="A644:I644"/>
    <mergeCell ref="J1083:K1083"/>
    <mergeCell ref="J626:K626"/>
    <mergeCell ref="M1099:S1099"/>
    <mergeCell ref="A643:I643"/>
    <mergeCell ref="AH19:AJ19"/>
    <mergeCell ref="J662:K662"/>
    <mergeCell ref="J199:K199"/>
    <mergeCell ref="A1014:S1014"/>
    <mergeCell ref="J628:K628"/>
    <mergeCell ref="I867:K867"/>
    <mergeCell ref="F95:G95"/>
    <mergeCell ref="B879:D879"/>
    <mergeCell ref="P969:Q969"/>
    <mergeCell ref="A176:G176"/>
    <mergeCell ref="J657:K657"/>
    <mergeCell ref="F97:G97"/>
    <mergeCell ref="P971:Q971"/>
    <mergeCell ref="A178:G178"/>
    <mergeCell ref="F693:G693"/>
    <mergeCell ref="J874:S874"/>
    <mergeCell ref="J346:K346"/>
    <mergeCell ref="M869:S869"/>
    <mergeCell ref="J340:K340"/>
    <mergeCell ref="J252:K252"/>
    <mergeCell ref="J944:K944"/>
    <mergeCell ref="J804:K804"/>
    <mergeCell ref="M268:S268"/>
    <mergeCell ref="J1109:K1110"/>
    <mergeCell ref="J341:K341"/>
    <mergeCell ref="A1145:G1145"/>
    <mergeCell ref="B1019:D1019"/>
    <mergeCell ref="J377:K377"/>
    <mergeCell ref="G861:K861"/>
    <mergeCell ref="L1046:M1046"/>
    <mergeCell ref="N49:O49"/>
    <mergeCell ref="O775:Q775"/>
    <mergeCell ref="M866:S866"/>
    <mergeCell ref="A185:S185"/>
    <mergeCell ref="H1095:L1095"/>
    <mergeCell ref="I913:K913"/>
    <mergeCell ref="J59:K59"/>
    <mergeCell ref="J672:K672"/>
    <mergeCell ref="G1000:K1000"/>
    <mergeCell ref="F1202:G1202"/>
    <mergeCell ref="F143:G143"/>
    <mergeCell ref="P1199:Q1199"/>
    <mergeCell ref="A42:I42"/>
    <mergeCell ref="A411:I411"/>
    <mergeCell ref="A1103:I1103"/>
    <mergeCell ref="J97:K98"/>
    <mergeCell ref="J1026:K1026"/>
    <mergeCell ref="J184:S184"/>
    <mergeCell ref="J1028:K1028"/>
    <mergeCell ref="A128:G128"/>
    <mergeCell ref="G1047:K1047"/>
    <mergeCell ref="P309:Q309"/>
    <mergeCell ref="G584:K584"/>
    <mergeCell ref="A129:G129"/>
    <mergeCell ref="L787:M787"/>
    <mergeCell ref="J754:K754"/>
    <mergeCell ref="J439:K439"/>
    <mergeCell ref="K542:M542"/>
    <mergeCell ref="J510:S510"/>
    <mergeCell ref="H224:L224"/>
    <mergeCell ref="J710:K710"/>
    <mergeCell ref="J291:K291"/>
    <mergeCell ref="A1191:G1191"/>
    <mergeCell ref="J293:K293"/>
    <mergeCell ref="M1095:S1095"/>
    <mergeCell ref="A272:I272"/>
    <mergeCell ref="G587:K587"/>
    <mergeCell ref="F189:G189"/>
    <mergeCell ref="A270:G270"/>
    <mergeCell ref="J230:S230"/>
    <mergeCell ref="J11:K11"/>
    <mergeCell ref="J467:K467"/>
    <mergeCell ref="T76:X76"/>
    <mergeCell ref="B1143:F1143"/>
    <mergeCell ref="P233:Q233"/>
    <mergeCell ref="AE7:AG7"/>
    <mergeCell ref="J469:K469"/>
    <mergeCell ref="J767:K767"/>
    <mergeCell ref="J12:K12"/>
    <mergeCell ref="J1065:K1065"/>
    <mergeCell ref="P235:Q235"/>
    <mergeCell ref="J978:K978"/>
    <mergeCell ref="B85:F85"/>
    <mergeCell ref="M685:S685"/>
    <mergeCell ref="J227:S227"/>
    <mergeCell ref="L831:M831"/>
    <mergeCell ref="A1152:S1152"/>
    <mergeCell ref="O1051:Q1051"/>
    <mergeCell ref="AE2:AG2"/>
    <mergeCell ref="L833:M833"/>
    <mergeCell ref="J339:K339"/>
    <mergeCell ref="L401:M401"/>
    <mergeCell ref="B283:D283"/>
    <mergeCell ref="P864:Q864"/>
    <mergeCell ref="H1155:H1156"/>
    <mergeCell ref="A957:G957"/>
    <mergeCell ref="A500:G500"/>
    <mergeCell ref="L1194:Q1194"/>
    <mergeCell ref="J65:K65"/>
    <mergeCell ref="H638:L638"/>
    <mergeCell ref="J480:K480"/>
    <mergeCell ref="J551:S551"/>
    <mergeCell ref="J399:K399"/>
    <mergeCell ref="J670:K670"/>
    <mergeCell ref="J697:K697"/>
    <mergeCell ref="A958:G958"/>
    <mergeCell ref="J1126:K1126"/>
    <mergeCell ref="J1120:K1120"/>
    <mergeCell ref="J392:K392"/>
    <mergeCell ref="J25:K25"/>
    <mergeCell ref="J663:K663"/>
    <mergeCell ref="J699:K699"/>
    <mergeCell ref="J997:K997"/>
    <mergeCell ref="H777:L777"/>
    <mergeCell ref="L1184:M1184"/>
    <mergeCell ref="N187:O187"/>
    <mergeCell ref="J394:K394"/>
    <mergeCell ref="J665:K665"/>
    <mergeCell ref="A1101:I1101"/>
    <mergeCell ref="P279:Q279"/>
    <mergeCell ref="L879:M879"/>
    <mergeCell ref="J1121:K1121"/>
    <mergeCell ref="F1015:G1015"/>
    <mergeCell ref="A1099:G1099"/>
    <mergeCell ref="F1017:G1017"/>
    <mergeCell ref="Z6:AA6"/>
    <mergeCell ref="G81:K81"/>
    <mergeCell ref="J640:S640"/>
    <mergeCell ref="J112:K112"/>
    <mergeCell ref="J383:K383"/>
    <mergeCell ref="M635:S635"/>
    <mergeCell ref="J839:K839"/>
    <mergeCell ref="J376:K376"/>
    <mergeCell ref="G679:K679"/>
    <mergeCell ref="J419:K420"/>
    <mergeCell ref="J534:K534"/>
    <mergeCell ref="J841:K841"/>
    <mergeCell ref="B329:D329"/>
    <mergeCell ref="J597:S597"/>
    <mergeCell ref="J107:K107"/>
    <mergeCell ref="J378:K378"/>
    <mergeCell ref="L816:M816"/>
    <mergeCell ref="L172:M172"/>
    <mergeCell ref="J712:K712"/>
    <mergeCell ref="L171:M171"/>
    <mergeCell ref="B787:D787"/>
    <mergeCell ref="H1007:L1007"/>
    <mergeCell ref="B330:D330"/>
    <mergeCell ref="A461:S461"/>
    <mergeCell ref="H37:L37"/>
    <mergeCell ref="A268:G268"/>
    <mergeCell ref="P631:Q631"/>
    <mergeCell ref="A864:G864"/>
    <mergeCell ref="B1112:D1112"/>
    <mergeCell ref="J438:K438"/>
    <mergeCell ref="J782:S782"/>
    <mergeCell ref="B177:F177"/>
    <mergeCell ref="M777:S777"/>
    <mergeCell ref="H406:L406"/>
    <mergeCell ref="J319:S319"/>
    <mergeCell ref="Z19:AA19"/>
    <mergeCell ref="A866:G866"/>
    <mergeCell ref="AE3:AG3"/>
    <mergeCell ref="J763:K763"/>
    <mergeCell ref="J8:K8"/>
    <mergeCell ref="G311:K311"/>
    <mergeCell ref="F603:G603"/>
    <mergeCell ref="J852:K852"/>
    <mergeCell ref="M1235:S1235"/>
    <mergeCell ref="J1017:K1018"/>
    <mergeCell ref="J765:K765"/>
    <mergeCell ref="J10:K10"/>
    <mergeCell ref="J606:K606"/>
    <mergeCell ref="J1221:K1221"/>
    <mergeCell ref="A456:I456"/>
    <mergeCell ref="M774:S774"/>
    <mergeCell ref="A93:S93"/>
    <mergeCell ref="J766:K766"/>
    <mergeCell ref="H546:L546"/>
    <mergeCell ref="L953:M953"/>
    <mergeCell ref="N1015:O1015"/>
    <mergeCell ref="A1050:G1050"/>
    <mergeCell ref="A371:C371"/>
    <mergeCell ref="P1107:Q1107"/>
    <mergeCell ref="A691:S691"/>
    <mergeCell ref="J607:K607"/>
    <mergeCell ref="J905:K905"/>
    <mergeCell ref="P1109:Q1109"/>
    <mergeCell ref="A316:G316"/>
    <mergeCell ref="A1193:I1193"/>
    <mergeCell ref="J1012:S1012"/>
    <mergeCell ref="M1007:S1007"/>
    <mergeCell ref="H636:L636"/>
    <mergeCell ref="AE16:AG16"/>
    <mergeCell ref="AB15:AD15"/>
    <mergeCell ref="J478:K478"/>
    <mergeCell ref="J549:S549"/>
    <mergeCell ref="J21:K21"/>
    <mergeCell ref="J1211:K1211"/>
    <mergeCell ref="L969:M969"/>
    <mergeCell ref="J1205:K1205"/>
    <mergeCell ref="AE18:AG18"/>
    <mergeCell ref="I361:K361"/>
    <mergeCell ref="J23:K23"/>
    <mergeCell ref="M406:S406"/>
    <mergeCell ref="A313:G313"/>
    <mergeCell ref="L971:M971"/>
    <mergeCell ref="J479:K479"/>
    <mergeCell ref="B1157:D1157"/>
    <mergeCell ref="J1206:K1206"/>
    <mergeCell ref="J91:S91"/>
    <mergeCell ref="L448:M448"/>
    <mergeCell ref="O913:Q913"/>
    <mergeCell ref="A3:C3"/>
    <mergeCell ref="A911:G911"/>
    <mergeCell ref="G769:K769"/>
    <mergeCell ref="A323:S323"/>
    <mergeCell ref="K450:M450"/>
    <mergeCell ref="J689:S689"/>
    <mergeCell ref="H1017:H1018"/>
    <mergeCell ref="A601:C601"/>
    <mergeCell ref="J810:K810"/>
    <mergeCell ref="J835:K835"/>
    <mergeCell ref="G1138:K1138"/>
    <mergeCell ref="M1187:S1187"/>
    <mergeCell ref="A91:I91"/>
    <mergeCell ref="M546:S546"/>
    <mergeCell ref="A180:I180"/>
    <mergeCell ref="J837:K837"/>
    <mergeCell ref="P999:Q999"/>
    <mergeCell ref="J1135:K1135"/>
    <mergeCell ref="AB28:AD28"/>
    <mergeCell ref="J103:K103"/>
    <mergeCell ref="P417:Q417"/>
    <mergeCell ref="M1144:S1144"/>
    <mergeCell ref="AB29:AD29"/>
    <mergeCell ref="J778:S778"/>
    <mergeCell ref="A2:S2"/>
    <mergeCell ref="J321:S321"/>
    <mergeCell ref="J436:K436"/>
    <mergeCell ref="J848:K848"/>
    <mergeCell ref="J919:S919"/>
    <mergeCell ref="J429:K429"/>
    <mergeCell ref="J858:K858"/>
    <mergeCell ref="L494:M494"/>
    <mergeCell ref="J850:K850"/>
    <mergeCell ref="J431:K431"/>
    <mergeCell ref="L44:Q44"/>
    <mergeCell ref="L493:M493"/>
    <mergeCell ref="F325:G325"/>
    <mergeCell ref="L309:M309"/>
    <mergeCell ref="A783:S783"/>
    <mergeCell ref="H822:L822"/>
    <mergeCell ref="B925:D925"/>
    <mergeCell ref="J1158:K1158"/>
    <mergeCell ref="H359:L359"/>
    <mergeCell ref="H1063:H1064"/>
    <mergeCell ref="F327:G327"/>
    <mergeCell ref="A408:G408"/>
    <mergeCell ref="J576:K576"/>
    <mergeCell ref="G124:K124"/>
    <mergeCell ref="J113:K113"/>
    <mergeCell ref="J149:K149"/>
    <mergeCell ref="P448:Q448"/>
    <mergeCell ref="H5:H6"/>
    <mergeCell ref="A1006:G1006"/>
    <mergeCell ref="J121:K121"/>
    <mergeCell ref="J1174:K1174"/>
    <mergeCell ref="J115:K115"/>
    <mergeCell ref="Z28:AA28"/>
    <mergeCell ref="A138:I138"/>
    <mergeCell ref="M498:S498"/>
    <mergeCell ref="J571:K571"/>
    <mergeCell ref="J150:K150"/>
    <mergeCell ref="A920:I920"/>
    <mergeCell ref="N95:O95"/>
    <mergeCell ref="J573:K573"/>
    <mergeCell ref="J116:K116"/>
    <mergeCell ref="A231:S231"/>
    <mergeCell ref="H868:L868"/>
    <mergeCell ref="N693:O693"/>
    <mergeCell ref="J477:K477"/>
    <mergeCell ref="L235:M235"/>
    <mergeCell ref="M87:S87"/>
    <mergeCell ref="A829:S829"/>
    <mergeCell ref="A638:G638"/>
    <mergeCell ref="J284:K284"/>
    <mergeCell ref="J800:K800"/>
    <mergeCell ref="J1150:S1150"/>
    <mergeCell ref="J364:S364"/>
    <mergeCell ref="M359:S359"/>
    <mergeCell ref="B237:D237"/>
    <mergeCell ref="J808:K808"/>
    <mergeCell ref="J1228:K1228"/>
    <mergeCell ref="J1220:K1220"/>
    <mergeCell ref="J801:K801"/>
    <mergeCell ref="AB26:AD26"/>
    <mergeCell ref="J76:K76"/>
    <mergeCell ref="N325:O325"/>
    <mergeCell ref="J803:K803"/>
    <mergeCell ref="M1142:S1142"/>
    <mergeCell ref="L1017:M1017"/>
    <mergeCell ref="H1188:L1188"/>
    <mergeCell ref="H454:L454"/>
    <mergeCell ref="AB27:AD27"/>
    <mergeCell ref="A1237:G1237"/>
    <mergeCell ref="N923:O923"/>
    <mergeCell ref="A774:G774"/>
    <mergeCell ref="J948:K948"/>
    <mergeCell ref="G219:K219"/>
    <mergeCell ref="J942:K942"/>
    <mergeCell ref="M868:S868"/>
    <mergeCell ref="J521:K521"/>
    <mergeCell ref="M224:S224"/>
    <mergeCell ref="L279:M279"/>
    <mergeCell ref="J673:K673"/>
    <mergeCell ref="P80:Q80"/>
    <mergeCell ref="J977:K977"/>
    <mergeCell ref="J514:K514"/>
    <mergeCell ref="G817:K817"/>
    <mergeCell ref="J943:K943"/>
    <mergeCell ref="J979:K979"/>
    <mergeCell ref="J516:K516"/>
    <mergeCell ref="A1:S1"/>
    <mergeCell ref="J460:S460"/>
    <mergeCell ref="A506:I506"/>
    <mergeCell ref="A37:G37"/>
    <mergeCell ref="I729:K729"/>
    <mergeCell ref="G448:K448"/>
    <mergeCell ref="A406:G406"/>
    <mergeCell ref="J58:K58"/>
    <mergeCell ref="J574:K574"/>
    <mergeCell ref="A1002:G1002"/>
    <mergeCell ref="J920:S920"/>
    <mergeCell ref="M915:S915"/>
    <mergeCell ref="K818:M818"/>
    <mergeCell ref="J457:S457"/>
    <mergeCell ref="J567:K567"/>
    <mergeCell ref="A1004:G1004"/>
    <mergeCell ref="J656:K656"/>
    <mergeCell ref="M1188:S1188"/>
    <mergeCell ref="J569:K569"/>
    <mergeCell ref="M454:S454"/>
    <mergeCell ref="L631:M631"/>
    <mergeCell ref="J658:K658"/>
    <mergeCell ref="J440:K440"/>
    <mergeCell ref="F465:G465"/>
    <mergeCell ref="A546:G546"/>
    <mergeCell ref="M912:S912"/>
    <mergeCell ref="F1061:G1061"/>
    <mergeCell ref="F1063:G1063"/>
    <mergeCell ref="A1144:G1144"/>
    <mergeCell ref="A509:C509"/>
    <mergeCell ref="A873:I873"/>
    <mergeCell ref="A276:I276"/>
    <mergeCell ref="J885:K885"/>
    <mergeCell ref="A1242:I1242"/>
    <mergeCell ref="J745:K745"/>
    <mergeCell ref="P907:Q907"/>
    <mergeCell ref="J1043:K1043"/>
    <mergeCell ref="J687:S687"/>
    <mergeCell ref="B361:F361"/>
    <mergeCell ref="J159:K159"/>
    <mergeCell ref="B235:D235"/>
    <mergeCell ref="A553:S553"/>
    <mergeCell ref="J153:K153"/>
    <mergeCell ref="J290:K290"/>
    <mergeCell ref="L1107:M1107"/>
    <mergeCell ref="J582:K582"/>
    <mergeCell ref="A273:I273"/>
    <mergeCell ref="L217:M217"/>
    <mergeCell ref="A451:G451"/>
    <mergeCell ref="L1109:M1109"/>
    <mergeCell ref="B833:D833"/>
    <mergeCell ref="B376:D376"/>
    <mergeCell ref="J613:K613"/>
    <mergeCell ref="P1140:Q1140"/>
    <mergeCell ref="J285:K285"/>
    <mergeCell ref="A141:C141"/>
    <mergeCell ref="J828:S828"/>
    <mergeCell ref="P49:Q49"/>
    <mergeCell ref="K588:M588"/>
    <mergeCell ref="J614:K614"/>
    <mergeCell ref="J827:S827"/>
    <mergeCell ref="J608:K608"/>
    <mergeCell ref="AH7:AJ7"/>
    <mergeCell ref="M222:S222"/>
    <mergeCell ref="J1063:K1064"/>
    <mergeCell ref="J301:K301"/>
    <mergeCell ref="J939:K939"/>
    <mergeCell ref="P1137:Q1137"/>
    <mergeCell ref="B136:H136"/>
    <mergeCell ref="B973:D973"/>
    <mergeCell ref="G815:K815"/>
    <mergeCell ref="H267:L267"/>
    <mergeCell ref="A502:I502"/>
    <mergeCell ref="N463:O463"/>
    <mergeCell ref="F49:G49"/>
    <mergeCell ref="H592:L592"/>
    <mergeCell ref="N1061:O1061"/>
    <mergeCell ref="P1153:Q1153"/>
    <mergeCell ref="A140:S140"/>
    <mergeCell ref="P1155:Q1155"/>
    <mergeCell ref="J652:K652"/>
    <mergeCell ref="G955:K955"/>
    <mergeCell ref="P95:Q95"/>
    <mergeCell ref="J986:K986"/>
    <mergeCell ref="J1057:S1057"/>
    <mergeCell ref="J654:K654"/>
    <mergeCell ref="J996:K996"/>
    <mergeCell ref="J988:K988"/>
    <mergeCell ref="A359:G359"/>
    <mergeCell ref="A1100:I1100"/>
    <mergeCell ref="L182:Q182"/>
    <mergeCell ref="J525:K525"/>
    <mergeCell ref="T104:X104"/>
    <mergeCell ref="J456:S456"/>
    <mergeCell ref="A921:S921"/>
    <mergeCell ref="J873:S873"/>
    <mergeCell ref="H497:L497"/>
    <mergeCell ref="J380:K380"/>
    <mergeCell ref="B1205:D1205"/>
    <mergeCell ref="J714:K714"/>
    <mergeCell ref="J985:K985"/>
    <mergeCell ref="B453:F453"/>
    <mergeCell ref="J251:K251"/>
    <mergeCell ref="B182:H182"/>
    <mergeCell ref="J595:S595"/>
    <mergeCell ref="M267:S267"/>
    <mergeCell ref="L1199:M1199"/>
    <mergeCell ref="H143:H144"/>
    <mergeCell ref="J253:K253"/>
    <mergeCell ref="M636:S636"/>
    <mergeCell ref="G676:K676"/>
    <mergeCell ref="M592:S592"/>
    <mergeCell ref="J709:K709"/>
    <mergeCell ref="J980:K980"/>
    <mergeCell ref="H41:L41"/>
    <mergeCell ref="G126:K126"/>
    <mergeCell ref="N233:O233"/>
    <mergeCell ref="J598:S598"/>
    <mergeCell ref="H1096:L1096"/>
    <mergeCell ref="H639:L639"/>
    <mergeCell ref="N831:O831"/>
    <mergeCell ref="J698:K698"/>
    <mergeCell ref="G1001:K1001"/>
    <mergeCell ref="B928:D928"/>
    <mergeCell ref="A225:G225"/>
    <mergeCell ref="J393:K393"/>
    <mergeCell ref="A967:S967"/>
    <mergeCell ref="J1067:K1067"/>
    <mergeCell ref="AH3:AJ3"/>
    <mergeCell ref="J395:K395"/>
    <mergeCell ref="B683:F683"/>
    <mergeCell ref="J1027:K1027"/>
    <mergeCell ref="AH5:AJ5"/>
    <mergeCell ref="G173:K173"/>
    <mergeCell ref="A1188:G1188"/>
    <mergeCell ref="A454:G454"/>
    <mergeCell ref="G170:K170"/>
    <mergeCell ref="P187:Q187"/>
    <mergeCell ref="J1209:K1209"/>
    <mergeCell ref="P494:Q494"/>
    <mergeCell ref="K726:M726"/>
    <mergeCell ref="J965:S965"/>
    <mergeCell ref="L999:M999"/>
    <mergeCell ref="AE13:AG13"/>
    <mergeCell ref="G1231:K1231"/>
    <mergeCell ref="G172:K172"/>
    <mergeCell ref="A912:G912"/>
    <mergeCell ref="A641:I641"/>
    <mergeCell ref="J1086:K1086"/>
    <mergeCell ref="A877:C877"/>
    <mergeCell ref="A455:G455"/>
    <mergeCell ref="J27:K27"/>
    <mergeCell ref="P189:Q189"/>
    <mergeCell ref="A184:I184"/>
    <mergeCell ref="J1080:K1080"/>
    <mergeCell ref="M1096:S1096"/>
    <mergeCell ref="AH16:AJ16"/>
    <mergeCell ref="AE15:AG15"/>
    <mergeCell ref="L90:Q90"/>
    <mergeCell ref="J20:K20"/>
    <mergeCell ref="B1010:H1010"/>
    <mergeCell ref="J196:K196"/>
    <mergeCell ref="P218:Q218"/>
    <mergeCell ref="J625:K625"/>
    <mergeCell ref="B269:F269"/>
    <mergeCell ref="J1081:K1081"/>
    <mergeCell ref="J22:K22"/>
    <mergeCell ref="A1013:S1013"/>
    <mergeCell ref="P1091:Q1091"/>
    <mergeCell ref="L80:M80"/>
    <mergeCell ref="F971:G971"/>
    <mergeCell ref="A175:G175"/>
    <mergeCell ref="A781:I781"/>
    <mergeCell ref="J137:S137"/>
    <mergeCell ref="J793:K793"/>
    <mergeCell ref="J1222:K1222"/>
    <mergeCell ref="J338:K338"/>
    <mergeCell ref="J138:S138"/>
    <mergeCell ref="L770:M770"/>
    <mergeCell ref="AE28:AG28"/>
    <mergeCell ref="J794:K794"/>
    <mergeCell ref="A956:G956"/>
    <mergeCell ref="J707:K707"/>
    <mergeCell ref="L320:Q320"/>
    <mergeCell ref="B596:H596"/>
    <mergeCell ref="A1059:S1059"/>
    <mergeCell ref="B284:D284"/>
    <mergeCell ref="H635:L635"/>
    <mergeCell ref="A923:C923"/>
    <mergeCell ref="F1199:G1199"/>
    <mergeCell ref="A221:G221"/>
    <mergeCell ref="J66:K66"/>
    <mergeCell ref="H360:L360"/>
    <mergeCell ref="J389:K389"/>
    <mergeCell ref="H465:H466"/>
    <mergeCell ref="G999:K999"/>
    <mergeCell ref="G265:K265"/>
    <mergeCell ref="A647:C647"/>
    <mergeCell ref="A1011:I1011"/>
    <mergeCell ref="G998:K998"/>
    <mergeCell ref="J1023:K1023"/>
    <mergeCell ref="J122:K122"/>
    <mergeCell ref="H879:H880"/>
    <mergeCell ref="A410:I410"/>
    <mergeCell ref="J718:K718"/>
    <mergeCell ref="J849:K849"/>
    <mergeCell ref="J1025:K1025"/>
    <mergeCell ref="A324:S324"/>
    <mergeCell ref="J720:K720"/>
    <mergeCell ref="I1236:K1236"/>
    <mergeCell ref="I177:K177"/>
    <mergeCell ref="L1091:M1091"/>
    <mergeCell ref="A1008:I1008"/>
    <mergeCell ref="N969:O969"/>
    <mergeCell ref="J1178:K1178"/>
    <mergeCell ref="J751:K751"/>
    <mergeCell ref="A48:S48"/>
    <mergeCell ref="J148:K148"/>
    <mergeCell ref="J104:K104"/>
    <mergeCell ref="J966:S966"/>
    <mergeCell ref="J1165:K1165"/>
    <mergeCell ref="J752:K752"/>
    <mergeCell ref="J746:K746"/>
    <mergeCell ref="J105:K105"/>
    <mergeCell ref="M360:S360"/>
    <mergeCell ref="A267:G267"/>
    <mergeCell ref="L49:M49"/>
    <mergeCell ref="B1111:D1111"/>
    <mergeCell ref="H405:L405"/>
    <mergeCell ref="F187:G187"/>
    <mergeCell ref="J143:K144"/>
    <mergeCell ref="K404:M404"/>
    <mergeCell ref="H730:L730"/>
    <mergeCell ref="B53:D53"/>
    <mergeCell ref="J430:K430"/>
    <mergeCell ref="P634:Q634"/>
    <mergeCell ref="L1137:M1137"/>
    <mergeCell ref="N1199:O1199"/>
    <mergeCell ref="A1234:G1234"/>
    <mergeCell ref="J46:S46"/>
    <mergeCell ref="J764:K764"/>
    <mergeCell ref="J9:K9"/>
    <mergeCell ref="A779:I779"/>
    <mergeCell ref="A593:G593"/>
    <mergeCell ref="J1218:K1218"/>
    <mergeCell ref="J161:K161"/>
    <mergeCell ref="M684:S684"/>
    <mergeCell ref="H1190:L1190"/>
    <mergeCell ref="P356:Q356"/>
    <mergeCell ref="AE24:AG24"/>
    <mergeCell ref="G1093:K1093"/>
    <mergeCell ref="A1151:S1151"/>
    <mergeCell ref="A94:S94"/>
    <mergeCell ref="AE26:AG26"/>
    <mergeCell ref="J792:K792"/>
    <mergeCell ref="A782:I782"/>
    <mergeCell ref="J31:K31"/>
    <mergeCell ref="A319:I319"/>
    <mergeCell ref="O867:Q867"/>
    <mergeCell ref="A497:G497"/>
    <mergeCell ref="K36:M36"/>
    <mergeCell ref="J1011:S1011"/>
    <mergeCell ref="J62:K62"/>
    <mergeCell ref="I1005:K1005"/>
    <mergeCell ref="J1123:K1123"/>
    <mergeCell ref="J64:K64"/>
    <mergeCell ref="M316:S316"/>
    <mergeCell ref="J1117:K1117"/>
    <mergeCell ref="K634:M634"/>
    <mergeCell ref="B591:F591"/>
    <mergeCell ref="J660:K660"/>
    <mergeCell ref="J733:S733"/>
    <mergeCell ref="B8:D8"/>
    <mergeCell ref="M405:S405"/>
    <mergeCell ref="J276:S276"/>
    <mergeCell ref="J57:K57"/>
    <mergeCell ref="J391:K391"/>
    <mergeCell ref="J189:K190"/>
    <mergeCell ref="M730:S730"/>
    <mergeCell ref="B918:H918"/>
    <mergeCell ref="J1118:K1118"/>
    <mergeCell ref="T114:X114"/>
    <mergeCell ref="H776:L776"/>
    <mergeCell ref="B99:D99"/>
    <mergeCell ref="P586:Q586"/>
    <mergeCell ref="G264:K264"/>
    <mergeCell ref="A639:G639"/>
    <mergeCell ref="Z3:AA3"/>
    <mergeCell ref="G78:K78"/>
    <mergeCell ref="A36:G36"/>
    <mergeCell ref="B5:D5"/>
    <mergeCell ref="H1234:L1234"/>
    <mergeCell ref="P402:Q402"/>
    <mergeCell ref="Z5:AA5"/>
    <mergeCell ref="G80:K80"/>
    <mergeCell ref="G1139:K1139"/>
    <mergeCell ref="J75:K75"/>
    <mergeCell ref="A785:C785"/>
    <mergeCell ref="B1066:D1066"/>
    <mergeCell ref="A363:G363"/>
    <mergeCell ref="A634:G634"/>
    <mergeCell ref="A92:I92"/>
    <mergeCell ref="J531:K531"/>
    <mergeCell ref="J444:K444"/>
    <mergeCell ref="G1045:K1045"/>
    <mergeCell ref="L1241:Q1241"/>
    <mergeCell ref="J533:K533"/>
    <mergeCell ref="J1171:K1171"/>
    <mergeCell ref="A548:I548"/>
    <mergeCell ref="J856:K856"/>
    <mergeCell ref="O1236:Q1236"/>
    <mergeCell ref="J744:K744"/>
    <mergeCell ref="B145:D145"/>
    <mergeCell ref="A1146:I1146"/>
    <mergeCell ref="J889:K889"/>
    <mergeCell ref="J322:S322"/>
    <mergeCell ref="Z16:AA16"/>
    <mergeCell ref="I39:K39"/>
    <mergeCell ref="J760:K760"/>
    <mergeCell ref="G308:K308"/>
    <mergeCell ref="A266:G266"/>
    <mergeCell ref="B499:F499"/>
    <mergeCell ref="P325:Q325"/>
    <mergeCell ref="Z18:AA18"/>
    <mergeCell ref="B51:D51"/>
    <mergeCell ref="J4:N4"/>
    <mergeCell ref="P632:Q632"/>
    <mergeCell ref="H189:H190"/>
    <mergeCell ref="G310:K310"/>
    <mergeCell ref="J762:K762"/>
    <mergeCell ref="Z17:AA17"/>
    <mergeCell ref="A874:I874"/>
    <mergeCell ref="M1145:S1145"/>
    <mergeCell ref="J884:K884"/>
    <mergeCell ref="P327:Q327"/>
    <mergeCell ref="M682:S682"/>
    <mergeCell ref="G722:K722"/>
    <mergeCell ref="M1234:S1234"/>
    <mergeCell ref="L228:Q228"/>
    <mergeCell ref="J886:K886"/>
    <mergeCell ref="H87:L87"/>
    <mergeCell ref="L861:M861"/>
    <mergeCell ref="N279:O279"/>
    <mergeCell ref="H543:L543"/>
    <mergeCell ref="J757:K757"/>
    <mergeCell ref="L826:Q826"/>
    <mergeCell ref="J887:K887"/>
    <mergeCell ref="A1049:G1049"/>
    <mergeCell ref="P772:Q772"/>
    <mergeCell ref="L218:M218"/>
    <mergeCell ref="J902:K902"/>
    <mergeCell ref="AB12:AD12"/>
    <mergeCell ref="J475:K475"/>
    <mergeCell ref="J904:K904"/>
    <mergeCell ref="J605:K605"/>
    <mergeCell ref="F51:G51"/>
    <mergeCell ref="J897:K897"/>
    <mergeCell ref="AB13:AD13"/>
    <mergeCell ref="J55:K55"/>
    <mergeCell ref="A232:S232"/>
    <mergeCell ref="AB7:AD7"/>
    <mergeCell ref="J476:K476"/>
    <mergeCell ref="A1104:I1104"/>
    <mergeCell ref="J1114:K1114"/>
    <mergeCell ref="J899:K899"/>
    <mergeCell ref="J88:S88"/>
    <mergeCell ref="A459:I459"/>
    <mergeCell ref="L458:Q458"/>
    <mergeCell ref="P371:Q371"/>
    <mergeCell ref="J1116:K1116"/>
    <mergeCell ref="L417:M417"/>
    <mergeCell ref="B97:D97"/>
    <mergeCell ref="A1197:S1197"/>
    <mergeCell ref="J1149:S1149"/>
    <mergeCell ref="J930:K930"/>
    <mergeCell ref="H773:L773"/>
    <mergeCell ref="AH18:AJ18"/>
    <mergeCell ref="A88:I88"/>
    <mergeCell ref="J204:K204"/>
    <mergeCell ref="J1055:S1055"/>
    <mergeCell ref="J198:K198"/>
    <mergeCell ref="J548:S548"/>
    <mergeCell ref="M543:S543"/>
    <mergeCell ref="G1137:K1137"/>
    <mergeCell ref="A1095:G1095"/>
    <mergeCell ref="AB25:AD25"/>
    <mergeCell ref="J529:K529"/>
    <mergeCell ref="J802:K802"/>
    <mergeCell ref="J327:K328"/>
    <mergeCell ref="B1056:H1056"/>
    <mergeCell ref="J1146:S1146"/>
    <mergeCell ref="H914:L914"/>
    <mergeCell ref="O177:Q177"/>
    <mergeCell ref="J1127:K1127"/>
    <mergeCell ref="J68:K68"/>
    <mergeCell ref="B1202:D1202"/>
    <mergeCell ref="B143:D143"/>
    <mergeCell ref="P724:Q724"/>
    <mergeCell ref="H915:L915"/>
    <mergeCell ref="J1129:K1129"/>
    <mergeCell ref="I315:K315"/>
    <mergeCell ref="H281:H282"/>
    <mergeCell ref="N1107:O1107"/>
    <mergeCell ref="J257:K257"/>
    <mergeCell ref="P419:Q419"/>
    <mergeCell ref="B1204:D1204"/>
    <mergeCell ref="A230:I230"/>
    <mergeCell ref="H498:L498"/>
    <mergeCell ref="J242:K242"/>
    <mergeCell ref="J855:K855"/>
    <mergeCell ref="Z13:AA13"/>
    <mergeCell ref="J428:K428"/>
    <mergeCell ref="B44:H44"/>
    <mergeCell ref="J857:K857"/>
    <mergeCell ref="Z15:AA15"/>
    <mergeCell ref="J840:K840"/>
    <mergeCell ref="A227:I227"/>
    <mergeCell ref="A405:G405"/>
    <mergeCell ref="M41:S41"/>
    <mergeCell ref="L187:M187"/>
    <mergeCell ref="A508:S508"/>
    <mergeCell ref="A95:C95"/>
    <mergeCell ref="L189:M189"/>
    <mergeCell ref="P34:Q34"/>
    <mergeCell ref="Z25:AA25"/>
    <mergeCell ref="P463:Q463"/>
    <mergeCell ref="H511:H512"/>
    <mergeCell ref="J568:K568"/>
    <mergeCell ref="P770:Q770"/>
    <mergeCell ref="J781:S781"/>
    <mergeCell ref="P36:Q36"/>
    <mergeCell ref="A693:C693"/>
    <mergeCell ref="P465:Q465"/>
    <mergeCell ref="L550:Q550"/>
    <mergeCell ref="J570:K570"/>
    <mergeCell ref="J893:K893"/>
    <mergeCell ref="B189:D189"/>
    <mergeCell ref="L366:Q366"/>
    <mergeCell ref="B826:H826"/>
    <mergeCell ref="G1046:K1046"/>
    <mergeCell ref="AB3:AD3"/>
    <mergeCell ref="H865:L865"/>
    <mergeCell ref="J901:K901"/>
    <mergeCell ref="J895:K895"/>
    <mergeCell ref="A547:G547"/>
    <mergeCell ref="L964:Q964"/>
    <mergeCell ref="AB5:AD5"/>
    <mergeCell ref="J169:K169"/>
    <mergeCell ref="T19:X19"/>
    <mergeCell ref="J1224:K1224"/>
    <mergeCell ref="A457:I457"/>
    <mergeCell ref="O1005:Q1005"/>
    <mergeCell ref="A1057:I1057"/>
    <mergeCell ref="AH20:AJ20"/>
    <mergeCell ref="J200:K200"/>
    <mergeCell ref="J1226:K1226"/>
    <mergeCell ref="A1243:I1243"/>
    <mergeCell ref="J623:K623"/>
    <mergeCell ref="J927:K927"/>
    <mergeCell ref="G1230:K1230"/>
    <mergeCell ref="A640:I640"/>
    <mergeCell ref="J202:K202"/>
    <mergeCell ref="J798:K798"/>
    <mergeCell ref="A554:S554"/>
    <mergeCell ref="AH15:AJ15"/>
    <mergeCell ref="J929:K929"/>
    <mergeCell ref="J1227:K1227"/>
    <mergeCell ref="J950:K950"/>
    <mergeCell ref="J195:K195"/>
    <mergeCell ref="J624:K624"/>
    <mergeCell ref="A597:I597"/>
    <mergeCell ref="P509:Q509"/>
    <mergeCell ref="J197:K197"/>
    <mergeCell ref="B560:D560"/>
    <mergeCell ref="P82:Q82"/>
    <mergeCell ref="I821:K821"/>
    <mergeCell ref="AB18:AD18"/>
    <mergeCell ref="A777:G777"/>
    <mergeCell ref="G216:K216"/>
    <mergeCell ref="A174:G174"/>
    <mergeCell ref="J870:S870"/>
    <mergeCell ref="J342:K342"/>
    <mergeCell ref="M865:S865"/>
    <mergeCell ref="P540:Q540"/>
    <mergeCell ref="G218:K218"/>
    <mergeCell ref="A1235:G1235"/>
    <mergeCell ref="G541:K541"/>
    <mergeCell ref="J213:K213"/>
    <mergeCell ref="G814:K814"/>
    <mergeCell ref="A772:G772"/>
    <mergeCell ref="J649:K650"/>
    <mergeCell ref="J940:K940"/>
    <mergeCell ref="M133:S133"/>
    <mergeCell ref="H179:L179"/>
    <mergeCell ref="J215:K215"/>
    <mergeCell ref="L95:M95"/>
    <mergeCell ref="J337:K337"/>
    <mergeCell ref="J513:K513"/>
    <mergeCell ref="L402:M402"/>
    <mergeCell ref="J671:K671"/>
    <mergeCell ref="O315:Q315"/>
    <mergeCell ref="L97:M97"/>
    <mergeCell ref="F233:G233"/>
    <mergeCell ref="B1017:D1017"/>
    <mergeCell ref="J210:K210"/>
    <mergeCell ref="P739:Q739"/>
    <mergeCell ref="F235:G235"/>
    <mergeCell ref="P217:Q217"/>
    <mergeCell ref="F831:G831"/>
    <mergeCell ref="J564:K564"/>
    <mergeCell ref="F833:G833"/>
    <mergeCell ref="B637:F637"/>
    <mergeCell ref="J566:K566"/>
    <mergeCell ref="J109:K109"/>
    <mergeCell ref="H327:H328"/>
    <mergeCell ref="J1022:K1022"/>
    <mergeCell ref="A1012:I1012"/>
    <mergeCell ref="A549:I549"/>
    <mergeCell ref="A543:G543"/>
    <mergeCell ref="J1024:K1024"/>
    <mergeCell ref="L325:M325"/>
    <mergeCell ref="H225:L225"/>
    <mergeCell ref="H681:L681"/>
    <mergeCell ref="A233:C233"/>
    <mergeCell ref="L327:M327"/>
    <mergeCell ref="F463:G463"/>
    <mergeCell ref="M179:S179"/>
    <mergeCell ref="B603:D603"/>
    <mergeCell ref="A1187:G1187"/>
    <mergeCell ref="P910:Q910"/>
    <mergeCell ref="A831:C831"/>
    <mergeCell ref="J1040:K1040"/>
    <mergeCell ref="P447:Q447"/>
    <mergeCell ref="G125:K125"/>
    <mergeCell ref="J437:K437"/>
    <mergeCell ref="L688:Q688"/>
    <mergeCell ref="M960:S960"/>
    <mergeCell ref="H222:L222"/>
    <mergeCell ref="B964:H964"/>
    <mergeCell ref="J1042:K1042"/>
    <mergeCell ref="J1164:K1164"/>
    <mergeCell ref="G127:K127"/>
    <mergeCell ref="A869:G869"/>
    <mergeCell ref="O85:Q85"/>
    <mergeCell ref="J1035:K1035"/>
    <mergeCell ref="J193:K193"/>
    <mergeCell ref="A370:S370"/>
    <mergeCell ref="J226:S226"/>
    <mergeCell ref="J305:K305"/>
    <mergeCell ref="A1015:C1015"/>
    <mergeCell ref="A968:S968"/>
    <mergeCell ref="J307:K307"/>
    <mergeCell ref="AH4:AJ4"/>
    <mergeCell ref="P79:Q79"/>
    <mergeCell ref="M225:S225"/>
    <mergeCell ref="K910:M910"/>
    <mergeCell ref="L371:M371"/>
    <mergeCell ref="J936:K936"/>
    <mergeCell ref="M681:S681"/>
    <mergeCell ref="J1195:S1195"/>
    <mergeCell ref="J938:K938"/>
    <mergeCell ref="L274:Q274"/>
    <mergeCell ref="J465:K466"/>
    <mergeCell ref="B1194:H1194"/>
    <mergeCell ref="F923:G923"/>
    <mergeCell ref="J335:K335"/>
    <mergeCell ref="H1052:L1052"/>
    <mergeCell ref="B375:D375"/>
    <mergeCell ref="AH26:AJ26"/>
    <mergeCell ref="P220:Q220"/>
    <mergeCell ref="J368:S368"/>
    <mergeCell ref="J669:K669"/>
    <mergeCell ref="H1238:L1238"/>
    <mergeCell ref="J206:K206"/>
    <mergeCell ref="A915:G915"/>
    <mergeCell ref="A496:G496"/>
    <mergeCell ref="M1006:S1006"/>
    <mergeCell ref="G354:K354"/>
    <mergeCell ref="P555:Q555"/>
    <mergeCell ref="P862:Q862"/>
    <mergeCell ref="H419:H420"/>
    <mergeCell ref="J992:K992"/>
    <mergeCell ref="A498:G498"/>
    <mergeCell ref="G356:K356"/>
    <mergeCell ref="P557:Q557"/>
    <mergeCell ref="J351:K351"/>
    <mergeCell ref="J326:K326"/>
    <mergeCell ref="G952:K952"/>
    <mergeCell ref="A910:G910"/>
    <mergeCell ref="A368:I368"/>
    <mergeCell ref="M271:S271"/>
    <mergeCell ref="A1096:G1096"/>
    <mergeCell ref="J353:K353"/>
    <mergeCell ref="L724:M724"/>
    <mergeCell ref="J651:K651"/>
    <mergeCell ref="G954:K954"/>
    <mergeCell ref="J993:K993"/>
    <mergeCell ref="J987:K987"/>
    <mergeCell ref="O1189:Q1189"/>
    <mergeCell ref="L419:M419"/>
    <mergeCell ref="F555:G555"/>
    <mergeCell ref="J653:K653"/>
    <mergeCell ref="J995:K995"/>
    <mergeCell ref="P1002:Q1002"/>
    <mergeCell ref="F557:G557"/>
    <mergeCell ref="A365:I365"/>
    <mergeCell ref="H314:L314"/>
    <mergeCell ref="H51:H52"/>
    <mergeCell ref="J379:K379"/>
    <mergeCell ref="F1155:G1155"/>
    <mergeCell ref="A82:G82"/>
    <mergeCell ref="J74:K74"/>
    <mergeCell ref="J250:K250"/>
    <mergeCell ref="J594:S594"/>
    <mergeCell ref="H649:H650"/>
    <mergeCell ref="J706:K706"/>
    <mergeCell ref="A462:S462"/>
    <mergeCell ref="P908:Q908"/>
    <mergeCell ref="G586:K586"/>
    <mergeCell ref="A865:G865"/>
    <mergeCell ref="J708:K708"/>
    <mergeCell ref="J1031:K1031"/>
    <mergeCell ref="B327:D327"/>
    <mergeCell ref="Z20:AA20"/>
    <mergeCell ref="J674:K674"/>
    <mergeCell ref="N555:O555"/>
    <mergeCell ref="J1033:K1033"/>
    <mergeCell ref="A685:G685"/>
    <mergeCell ref="L1102:Q1102"/>
    <mergeCell ref="M317:S317"/>
    <mergeCell ref="M773:S773"/>
    <mergeCell ref="N1153:O1153"/>
    <mergeCell ref="P1048:Q1048"/>
    <mergeCell ref="J303:K303"/>
    <mergeCell ref="A868:G868"/>
    <mergeCell ref="A224:G224"/>
    <mergeCell ref="H544:L544"/>
    <mergeCell ref="J557:K558"/>
    <mergeCell ref="B467:D467"/>
    <mergeCell ref="J123:K123"/>
    <mergeCell ref="J761:K761"/>
    <mergeCell ref="J304:K304"/>
    <mergeCell ref="A321:I321"/>
    <mergeCell ref="M314:S314"/>
    <mergeCell ref="J1155:K1156"/>
    <mergeCell ref="A692:S692"/>
    <mergeCell ref="B1065:D1065"/>
    <mergeCell ref="J423:K423"/>
    <mergeCell ref="J306:K306"/>
    <mergeCell ref="G907:K907"/>
    <mergeCell ref="O821:Q821"/>
    <mergeCell ref="A735:I735"/>
    <mergeCell ref="P647:Q647"/>
    <mergeCell ref="I959:K959"/>
    <mergeCell ref="J1077:K1077"/>
    <mergeCell ref="J18:K18"/>
    <mergeCell ref="AE12:AG12"/>
    <mergeCell ref="J474:K474"/>
    <mergeCell ref="J17:K17"/>
    <mergeCell ref="J903:K903"/>
    <mergeCell ref="J1079:K1079"/>
    <mergeCell ref="AE14:AG14"/>
    <mergeCell ref="J787:K788"/>
    <mergeCell ref="L1148:Q1148"/>
    <mergeCell ref="J1078:K1078"/>
    <mergeCell ref="J19:K19"/>
    <mergeCell ref="J1072:K1072"/>
    <mergeCell ref="B697:D697"/>
    <mergeCell ref="J991:K991"/>
    <mergeCell ref="L233:M233"/>
    <mergeCell ref="L540:M540"/>
    <mergeCell ref="O453:Q453"/>
    <mergeCell ref="M544:S544"/>
    <mergeCell ref="H316:L316"/>
    <mergeCell ref="H731:L731"/>
    <mergeCell ref="P1000:Q1000"/>
    <mergeCell ref="H557:H558"/>
    <mergeCell ref="G678:K678"/>
    <mergeCell ref="P695:Q695"/>
    <mergeCell ref="F373:G373"/>
    <mergeCell ref="P355:Q355"/>
    <mergeCell ref="J1219:K1219"/>
    <mergeCell ref="F969:G969"/>
    <mergeCell ref="G33:K33"/>
    <mergeCell ref="J702:K702"/>
    <mergeCell ref="J1131:K1131"/>
    <mergeCell ref="AE25:AG25"/>
    <mergeCell ref="AB24:AD24"/>
    <mergeCell ref="G35:K35"/>
    <mergeCell ref="B775:F775"/>
    <mergeCell ref="M1141:S1141"/>
    <mergeCell ref="L739:M739"/>
    <mergeCell ref="J704:K704"/>
    <mergeCell ref="J1133:K1133"/>
    <mergeCell ref="A1150:I1150"/>
    <mergeCell ref="A687:I687"/>
    <mergeCell ref="H1099:L1099"/>
    <mergeCell ref="J243:K243"/>
    <mergeCell ref="A681:G681"/>
    <mergeCell ref="A46:I46"/>
    <mergeCell ref="L463:M463"/>
    <mergeCell ref="H363:L363"/>
    <mergeCell ref="G262:K262"/>
    <mergeCell ref="A220:G220"/>
    <mergeCell ref="L465:M465"/>
    <mergeCell ref="J916:S916"/>
    <mergeCell ref="J117:K117"/>
    <mergeCell ref="J388:K388"/>
    <mergeCell ref="J844:K844"/>
    <mergeCell ref="A222:G222"/>
    <mergeCell ref="P925:Q925"/>
    <mergeCell ref="A969:C969"/>
    <mergeCell ref="P585:Q585"/>
    <mergeCell ref="J119:K119"/>
    <mergeCell ref="P281:Q281"/>
    <mergeCell ref="J390:K390"/>
    <mergeCell ref="G263:K263"/>
    <mergeCell ref="A827:I827"/>
    <mergeCell ref="J846:K846"/>
    <mergeCell ref="M731:S731"/>
    <mergeCell ref="J917:S917"/>
    <mergeCell ref="J427:K427"/>
    <mergeCell ref="B1102:H1102"/>
    <mergeCell ref="A1198:S1198"/>
    <mergeCell ref="P312:Q312"/>
    <mergeCell ref="H603:H604"/>
    <mergeCell ref="J717:K717"/>
    <mergeCell ref="H84:L84"/>
    <mergeCell ref="P741:Q741"/>
    <mergeCell ref="A1007:G1007"/>
    <mergeCell ref="J114:K114"/>
    <mergeCell ref="J385:K385"/>
    <mergeCell ref="L447:M447"/>
    <mergeCell ref="Z4:AA4"/>
    <mergeCell ref="F279:G279"/>
    <mergeCell ref="B1063:D1063"/>
    <mergeCell ref="J719:K719"/>
    <mergeCell ref="J572:K572"/>
    <mergeCell ref="H86:L86"/>
    <mergeCell ref="J145:K145"/>
    <mergeCell ref="F281:G281"/>
    <mergeCell ref="A733:I733"/>
    <mergeCell ref="J443:K443"/>
    <mergeCell ref="B821:F821"/>
    <mergeCell ref="H1145:L1145"/>
    <mergeCell ref="G860:K860"/>
    <mergeCell ref="A47:S47"/>
    <mergeCell ref="J111:K111"/>
    <mergeCell ref="J445:K445"/>
    <mergeCell ref="J743:K743"/>
    <mergeCell ref="L632:M632"/>
    <mergeCell ref="J1172:K1172"/>
    <mergeCell ref="Z26:AA26"/>
    <mergeCell ref="L509:M509"/>
    <mergeCell ref="A830:S830"/>
    <mergeCell ref="A1058:I1058"/>
    <mergeCell ref="I683:K683"/>
    <mergeCell ref="J1070:K1070"/>
    <mergeCell ref="P785:Q785"/>
    <mergeCell ref="AE5:AG5"/>
    <mergeCell ref="H833:H834"/>
    <mergeCell ref="J1103:S1103"/>
    <mergeCell ref="P358:Q358"/>
    <mergeCell ref="J686:S686"/>
    <mergeCell ref="J158:K158"/>
    <mergeCell ref="A1233:G1233"/>
    <mergeCell ref="P956:Q956"/>
    <mergeCell ref="J45:S45"/>
    <mergeCell ref="M84:S84"/>
    <mergeCell ref="G1091:K1091"/>
    <mergeCell ref="A636:G636"/>
    <mergeCell ref="J1217:K1217"/>
    <mergeCell ref="J489:K489"/>
    <mergeCell ref="J160:K160"/>
    <mergeCell ref="G1090:K1090"/>
    <mergeCell ref="A1048:G1048"/>
    <mergeCell ref="M86:S86"/>
    <mergeCell ref="J1210:K1210"/>
    <mergeCell ref="L555:M555"/>
    <mergeCell ref="H455:L455"/>
    <mergeCell ref="J491:K491"/>
    <mergeCell ref="L862:M862"/>
    <mergeCell ref="AB22:AD22"/>
    <mergeCell ref="J72:K72"/>
    <mergeCell ref="J789:K789"/>
    <mergeCell ref="G1092:K1092"/>
    <mergeCell ref="J799:K799"/>
    <mergeCell ref="L557:M557"/>
    <mergeCell ref="J484:K484"/>
    <mergeCell ref="A416:S416"/>
    <mergeCell ref="H1053:L1053"/>
    <mergeCell ref="J30:K30"/>
    <mergeCell ref="I269:K269"/>
    <mergeCell ref="A314:G314"/>
    <mergeCell ref="F695:G695"/>
    <mergeCell ref="P677:Q677"/>
    <mergeCell ref="B1158:D1158"/>
    <mergeCell ref="F1107:G1107"/>
    <mergeCell ref="H452:L452"/>
    <mergeCell ref="G171:K171"/>
    <mergeCell ref="J517:K517"/>
    <mergeCell ref="J809:K809"/>
    <mergeCell ref="J54:K54"/>
    <mergeCell ref="G357:K357"/>
    <mergeCell ref="J212:K212"/>
    <mergeCell ref="A919:I919"/>
    <mergeCell ref="J732:S732"/>
    <mergeCell ref="B7:D7"/>
    <mergeCell ref="J1115:K1115"/>
    <mergeCell ref="J56:K56"/>
    <mergeCell ref="J214:K214"/>
    <mergeCell ref="A825:I825"/>
    <mergeCell ref="B465:D465"/>
    <mergeCell ref="H685:L685"/>
    <mergeCell ref="B421:D421"/>
    <mergeCell ref="A139:S139"/>
    <mergeCell ref="P310:Q310"/>
    <mergeCell ref="J812:K812"/>
    <mergeCell ref="J414:S414"/>
    <mergeCell ref="A1094:G1094"/>
    <mergeCell ref="M455:S455"/>
    <mergeCell ref="K1140:M1140"/>
    <mergeCell ref="J441:K441"/>
    <mergeCell ref="A362:G362"/>
    <mergeCell ref="P723:Q723"/>
    <mergeCell ref="J1058:S1058"/>
    <mergeCell ref="J530:K530"/>
    <mergeCell ref="M1053:S1053"/>
    <mergeCell ref="H682:L682"/>
    <mergeCell ref="G401:K401"/>
    <mergeCell ref="J1168:K1168"/>
    <mergeCell ref="J695:K696"/>
    <mergeCell ref="B605:D605"/>
    <mergeCell ref="J1039:K1039"/>
    <mergeCell ref="J532:K532"/>
    <mergeCell ref="J1170:K1170"/>
    <mergeCell ref="G403:K403"/>
    <mergeCell ref="O361:Q361"/>
    <mergeCell ref="P539:Q539"/>
    <mergeCell ref="M452:S452"/>
    <mergeCell ref="O959:Q959"/>
    <mergeCell ref="A49:C49"/>
    <mergeCell ref="B959:F959"/>
    <mergeCell ref="A1140:G1140"/>
    <mergeCell ref="A369:S369"/>
    <mergeCell ref="J154:K154"/>
    <mergeCell ref="I1097:K1097"/>
    <mergeCell ref="J583:K583"/>
    <mergeCell ref="J881:K881"/>
    <mergeCell ref="A1142:G1142"/>
    <mergeCell ref="G1184:K1184"/>
    <mergeCell ref="A871:I871"/>
    <mergeCell ref="J120:K120"/>
    <mergeCell ref="A137:I137"/>
    <mergeCell ref="L136:Q136"/>
    <mergeCell ref="J156:K156"/>
    <mergeCell ref="J43:S43"/>
    <mergeCell ref="L647:M647"/>
    <mergeCell ref="J883:K883"/>
    <mergeCell ref="J155:K155"/>
    <mergeCell ref="J426:K426"/>
    <mergeCell ref="J1181:K1181"/>
    <mergeCell ref="J1041:K1041"/>
    <mergeCell ref="J578:K578"/>
    <mergeCell ref="J925:K926"/>
    <mergeCell ref="J157:K157"/>
    <mergeCell ref="J641:S641"/>
    <mergeCell ref="J151:K151"/>
    <mergeCell ref="B835:D835"/>
    <mergeCell ref="A1153:C1153"/>
    <mergeCell ref="AH2:AJ2"/>
    <mergeCell ref="A731:G731"/>
    <mergeCell ref="P769:Q769"/>
    <mergeCell ref="G447:K447"/>
    <mergeCell ref="J611:K611"/>
    <mergeCell ref="K128:M128"/>
    <mergeCell ref="J296:K296"/>
    <mergeCell ref="M819:S819"/>
    <mergeCell ref="J367:S367"/>
    <mergeCell ref="P1138:Q1138"/>
    <mergeCell ref="H695:H696"/>
    <mergeCell ref="G816:K816"/>
    <mergeCell ref="J298:K298"/>
    <mergeCell ref="J603:K604"/>
    <mergeCell ref="T83:Z83"/>
    <mergeCell ref="B513:D513"/>
    <mergeCell ref="J825:S825"/>
    <mergeCell ref="J297:K297"/>
    <mergeCell ref="AB4:AD4"/>
    <mergeCell ref="A367:I367"/>
    <mergeCell ref="A183:I183"/>
    <mergeCell ref="A1186:G1186"/>
    <mergeCell ref="J299:K299"/>
    <mergeCell ref="F371:G371"/>
    <mergeCell ref="M822:S822"/>
    <mergeCell ref="J1113:K1113"/>
    <mergeCell ref="L355:M355"/>
    <mergeCell ref="B971:D971"/>
    <mergeCell ref="B514:D514"/>
    <mergeCell ref="H1237:L1237"/>
    <mergeCell ref="J381:K381"/>
    <mergeCell ref="J622:K622"/>
    <mergeCell ref="H590:L590"/>
    <mergeCell ref="J655:K655"/>
    <mergeCell ref="A358:G358"/>
    <mergeCell ref="J983:K983"/>
    <mergeCell ref="J1054:S1054"/>
    <mergeCell ref="J526:K526"/>
    <mergeCell ref="J949:K949"/>
    <mergeCell ref="A360:G360"/>
    <mergeCell ref="A966:I966"/>
    <mergeCell ref="J528:K528"/>
    <mergeCell ref="G953:K953"/>
    <mergeCell ref="J1124:K1124"/>
    <mergeCell ref="A965:I965"/>
    <mergeCell ref="J984:K984"/>
    <mergeCell ref="P877:Q877"/>
    <mergeCell ref="A84:G84"/>
    <mergeCell ref="A277:S277"/>
    <mergeCell ref="I1189:K1189"/>
    <mergeCell ref="P879:Q879"/>
    <mergeCell ref="A86:G86"/>
    <mergeCell ref="L925:M925"/>
    <mergeCell ref="J523:K523"/>
    <mergeCell ref="L281:M281"/>
    <mergeCell ref="L585:M585"/>
    <mergeCell ref="F417:G417"/>
    <mergeCell ref="M593:S593"/>
    <mergeCell ref="A278:S278"/>
    <mergeCell ref="J247:K247"/>
    <mergeCell ref="A684:G684"/>
    <mergeCell ref="I131:K131"/>
    <mergeCell ref="F419:G419"/>
    <mergeCell ref="J1196:S1196"/>
    <mergeCell ref="J668:K668"/>
    <mergeCell ref="H820:L820"/>
    <mergeCell ref="J249:K249"/>
    <mergeCell ref="J241:K241"/>
    <mergeCell ref="J854:K854"/>
    <mergeCell ref="A598:I598"/>
    <mergeCell ref="G725:K725"/>
    <mergeCell ref="M1237:S1237"/>
    <mergeCell ref="A1196:I1196"/>
    <mergeCell ref="G1183:K1183"/>
    <mergeCell ref="N371:O371"/>
    <mergeCell ref="O1097:Q1097"/>
    <mergeCell ref="A507:S507"/>
    <mergeCell ref="H971:H972"/>
    <mergeCell ref="J994:K994"/>
    <mergeCell ref="J183:S183"/>
    <mergeCell ref="B1148:H1148"/>
    <mergeCell ref="J289:K289"/>
    <mergeCell ref="L1000:M1000"/>
    <mergeCell ref="H130:L130"/>
    <mergeCell ref="N3:O3"/>
    <mergeCell ref="A1053:G1053"/>
    <mergeCell ref="J166:K166"/>
    <mergeCell ref="L695:M695"/>
    <mergeCell ref="H866:L866"/>
    <mergeCell ref="H132:L132"/>
    <mergeCell ref="B90:H90"/>
    <mergeCell ref="M363:S363"/>
    <mergeCell ref="T9:X9"/>
    <mergeCell ref="A1105:S1105"/>
    <mergeCell ref="J191:K191"/>
    <mergeCell ref="A452:G452"/>
    <mergeCell ref="N417:O417"/>
    <mergeCell ref="J620:K620"/>
    <mergeCell ref="G493:K493"/>
    <mergeCell ref="J1076:K1076"/>
    <mergeCell ref="M961:S961"/>
    <mergeCell ref="L79:M79"/>
    <mergeCell ref="G309:K309"/>
    <mergeCell ref="K864:M864"/>
    <mergeCell ref="AH12:AJ12"/>
    <mergeCell ref="G1229:K1229"/>
    <mergeCell ref="J192:K192"/>
    <mergeCell ref="G495:K495"/>
    <mergeCell ref="O1143:Q1143"/>
    <mergeCell ref="J621:K621"/>
    <mergeCell ref="J615:K615"/>
    <mergeCell ref="L677:M677"/>
    <mergeCell ref="AH14:AJ14"/>
    <mergeCell ref="J194:K194"/>
    <mergeCell ref="F511:G511"/>
    <mergeCell ref="B559:D559"/>
    <mergeCell ref="J333:K333"/>
    <mergeCell ref="AE29:AG29"/>
    <mergeCell ref="L918:Q918"/>
    <mergeCell ref="A322:I322"/>
    <mergeCell ref="J135:S135"/>
    <mergeCell ref="J245:K245"/>
    <mergeCell ref="M130:S130"/>
    <mergeCell ref="A682:G682"/>
    <mergeCell ref="J791:K791"/>
    <mergeCell ref="J1089:K1089"/>
    <mergeCell ref="J334:K334"/>
    <mergeCell ref="AH25:AJ25"/>
    <mergeCell ref="M132:S132"/>
    <mergeCell ref="B407:F407"/>
    <mergeCell ref="J205:K205"/>
    <mergeCell ref="J336:K336"/>
    <mergeCell ref="L1153:M1153"/>
    <mergeCell ref="J659:K659"/>
    <mergeCell ref="P588:Q588"/>
    <mergeCell ref="P1017:Q1017"/>
    <mergeCell ref="M590:S590"/>
    <mergeCell ref="L1155:M1155"/>
    <mergeCell ref="L723:M723"/>
    <mergeCell ref="V5:X5"/>
    <mergeCell ref="P1186:Q1186"/>
    <mergeCell ref="J275:S275"/>
    <mergeCell ref="A822:G822"/>
    <mergeCell ref="A187:C187"/>
    <mergeCell ref="A551:I551"/>
    <mergeCell ref="J990:K990"/>
    <mergeCell ref="B1097:F1097"/>
    <mergeCell ref="J1020:K1020"/>
    <mergeCell ref="H960:L960"/>
    <mergeCell ref="J721:K721"/>
    <mergeCell ref="P128:Q128"/>
    <mergeCell ref="J1019:K1019"/>
    <mergeCell ref="A1009:I1009"/>
    <mergeCell ref="J258:K258"/>
    <mergeCell ref="L908:M908"/>
    <mergeCell ref="J565:K565"/>
    <mergeCell ref="B39:F39"/>
    <mergeCell ref="J181:S181"/>
    <mergeCell ref="A646:S646"/>
    <mergeCell ref="L785:M785"/>
    <mergeCell ref="J1021:K1021"/>
    <mergeCell ref="J260:K260"/>
    <mergeCell ref="J716:K716"/>
    <mergeCell ref="B511:D511"/>
    <mergeCell ref="P601:Q601"/>
    <mergeCell ref="P603:Q603"/>
    <mergeCell ref="J506:S506"/>
    <mergeCell ref="G585:K585"/>
    <mergeCell ref="A1149:I1149"/>
    <mergeCell ref="J1239:S1239"/>
    <mergeCell ref="J962:S962"/>
    <mergeCell ref="K266:M266"/>
    <mergeCell ref="J434:K434"/>
    <mergeCell ref="J705:K705"/>
    <mergeCell ref="J505:S505"/>
    <mergeCell ref="J1161:K1161"/>
    <mergeCell ref="J1074:K1074"/>
    <mergeCell ref="L769:M769"/>
    <mergeCell ref="J741:K742"/>
    <mergeCell ref="J617:K617"/>
    <mergeCell ref="J1032:K1032"/>
    <mergeCell ref="P815:Q815"/>
    <mergeCell ref="B651:D651"/>
    <mergeCell ref="J1163:K1163"/>
    <mergeCell ref="J951:K951"/>
    <mergeCell ref="L1138:M1138"/>
    <mergeCell ref="N141:O141"/>
    <mergeCell ref="J619:K619"/>
    <mergeCell ref="J1034:K1034"/>
    <mergeCell ref="H1006:L1006"/>
    <mergeCell ref="B1109:D1109"/>
    <mergeCell ref="H270:L270"/>
    <mergeCell ref="B652:D652"/>
    <mergeCell ref="N739:O739"/>
    <mergeCell ref="J946:K946"/>
    <mergeCell ref="A590:G590"/>
    <mergeCell ref="G631:K631"/>
    <mergeCell ref="J1104:S1104"/>
    <mergeCell ref="A318:I318"/>
    <mergeCell ref="H728:L728"/>
    <mergeCell ref="AE27:AG27"/>
    <mergeCell ref="P833:Q833"/>
    <mergeCell ref="J7:K7"/>
    <mergeCell ref="J330:K330"/>
    <mergeCell ref="G633:K633"/>
    <mergeCell ref="AE20:AG20"/>
    <mergeCell ref="J1087:K1087"/>
    <mergeCell ref="J332:K332"/>
    <mergeCell ref="AE22:AG22"/>
    <mergeCell ref="A778:I778"/>
    <mergeCell ref="A415:S415"/>
    <mergeCell ref="J790:K790"/>
    <mergeCell ref="J1088:K1088"/>
    <mergeCell ref="J661:K661"/>
    <mergeCell ref="B131:F131"/>
    <mergeCell ref="J60:K60"/>
    <mergeCell ref="J273:S273"/>
    <mergeCell ref="L877:M877"/>
    <mergeCell ref="J53:K53"/>
    <mergeCell ref="B729:F729"/>
    <mergeCell ref="J806:K806"/>
    <mergeCell ref="H958:L958"/>
    <mergeCell ref="J387:K387"/>
    <mergeCell ref="J871:S871"/>
    <mergeCell ref="J343:K343"/>
    <mergeCell ref="G863:K863"/>
    <mergeCell ref="J345:K345"/>
    <mergeCell ref="G677:K677"/>
    <mergeCell ref="A635:G635"/>
    <mergeCell ref="M728:S728"/>
    <mergeCell ref="H774:L774"/>
    <mergeCell ref="H317:L317"/>
    <mergeCell ref="N509:O509"/>
    <mergeCell ref="B1241:H1241"/>
    <mergeCell ref="A325:C325"/>
    <mergeCell ref="J71:K71"/>
    <mergeCell ref="A645:S645"/>
    <mergeCell ref="K772:M772"/>
    <mergeCell ref="J1157:K1157"/>
    <mergeCell ref="J1132:K1132"/>
    <mergeCell ref="J73:K73"/>
    <mergeCell ref="A1147:I1147"/>
    <mergeCell ref="B1020:D1020"/>
    <mergeCell ref="A413:I413"/>
    <mergeCell ref="M1052:S1052"/>
    <mergeCell ref="J1159:K1159"/>
    <mergeCell ref="J1134:K1134"/>
    <mergeCell ref="J102:K102"/>
    <mergeCell ref="J425:K425"/>
    <mergeCell ref="J318:S318"/>
    <mergeCell ref="Z12:AA12"/>
    <mergeCell ref="H1004:L1004"/>
    <mergeCell ref="G723:K723"/>
    <mergeCell ref="J756:K756"/>
    <mergeCell ref="B228:H228"/>
    <mergeCell ref="P172:Q172"/>
    <mergeCell ref="J643:S643"/>
    <mergeCell ref="Z14:AA14"/>
    <mergeCell ref="A555:C555"/>
    <mergeCell ref="A133:G133"/>
    <mergeCell ref="J758:K758"/>
    <mergeCell ref="J295:K295"/>
    <mergeCell ref="J847:K847"/>
    <mergeCell ref="M40:S40"/>
    <mergeCell ref="K1002:M1002"/>
    <mergeCell ref="B688:H688"/>
    <mergeCell ref="B789:D789"/>
    <mergeCell ref="J882:K882"/>
    <mergeCell ref="J1180:K1180"/>
    <mergeCell ref="J1216:K1216"/>
    <mergeCell ref="J759:K759"/>
    <mergeCell ref="J1243:S1243"/>
    <mergeCell ref="J753:K753"/>
    <mergeCell ref="F647:G647"/>
    <mergeCell ref="H1144:L1144"/>
    <mergeCell ref="F649:G649"/>
    <mergeCell ref="O223:Q223"/>
    <mergeCell ref="A730:G730"/>
    <mergeCell ref="J898:K898"/>
    <mergeCell ref="G446:K446"/>
    <mergeCell ref="H1050:L1050"/>
    <mergeCell ref="B373:D373"/>
    <mergeCell ref="AE9:AG9"/>
    <mergeCell ref="AB8:AD8"/>
    <mergeCell ref="J471:K471"/>
    <mergeCell ref="J900:K900"/>
    <mergeCell ref="L1056:Q1056"/>
    <mergeCell ref="G1044:K1044"/>
    <mergeCell ref="A460:I460"/>
    <mergeCell ref="H1141:L1141"/>
    <mergeCell ref="AB10:AD10"/>
    <mergeCell ref="AE11:AG11"/>
    <mergeCell ref="J473:K473"/>
    <mergeCell ref="J16:K16"/>
    <mergeCell ref="J229:S229"/>
    <mergeCell ref="J1200:K1200"/>
    <mergeCell ref="J168:K168"/>
    <mergeCell ref="J472:K472"/>
    <mergeCell ref="AE4:AG4"/>
    <mergeCell ref="L143:M143"/>
    <mergeCell ref="B545:F545"/>
    <mergeCell ref="B274:H274"/>
    <mergeCell ref="A737:S737"/>
    <mergeCell ref="J1112:K1112"/>
    <mergeCell ref="J797:K797"/>
    <mergeCell ref="H313:L313"/>
    <mergeCell ref="J67:K67"/>
    <mergeCell ref="J413:S413"/>
    <mergeCell ref="F879:G879"/>
    <mergeCell ref="A960:G960"/>
    <mergeCell ref="A689:I689"/>
    <mergeCell ref="J1128:K1128"/>
    <mergeCell ref="J69:K69"/>
    <mergeCell ref="AB21:AD21"/>
    <mergeCell ref="G355:K355"/>
    <mergeCell ref="J701:K701"/>
    <mergeCell ref="P266:Q266"/>
    <mergeCell ref="J1130:K1130"/>
    <mergeCell ref="AB23:AD23"/>
    <mergeCell ref="J396:K396"/>
    <mergeCell ref="J667:K667"/>
    <mergeCell ref="J527:K527"/>
    <mergeCell ref="M1050:S1050"/>
    <mergeCell ref="J703:K703"/>
    <mergeCell ref="J485:K485"/>
    <mergeCell ref="B320:H320"/>
    <mergeCell ref="K496:M496"/>
    <mergeCell ref="J398:K398"/>
    <mergeCell ref="A686:I686"/>
    <mergeCell ref="N647:O647"/>
    <mergeCell ref="J1125:K1125"/>
    <mergeCell ref="B744:D744"/>
    <mergeCell ref="A41:G41"/>
    <mergeCell ref="AB51:AD51"/>
    <mergeCell ref="A226:I226"/>
    <mergeCell ref="Z10:AA10"/>
    <mergeCell ref="L586:M586"/>
    <mergeCell ref="J238:K238"/>
    <mergeCell ref="J843:K843"/>
    <mergeCell ref="L601:M601"/>
    <mergeCell ref="J240:K240"/>
    <mergeCell ref="J845:K845"/>
    <mergeCell ref="L603:M603"/>
    <mergeCell ref="J749:K749"/>
    <mergeCell ref="A600:S600"/>
    <mergeCell ref="J838:K838"/>
    <mergeCell ref="A1195:I1195"/>
    <mergeCell ref="H83:L83"/>
    <mergeCell ref="A828:I828"/>
    <mergeCell ref="P1063:Q1063"/>
    <mergeCell ref="H1142:L1142"/>
    <mergeCell ref="K82:M82"/>
    <mergeCell ref="B366:H366"/>
    <mergeCell ref="H408:L408"/>
    <mergeCell ref="J108:K108"/>
    <mergeCell ref="Z21:AA21"/>
    <mergeCell ref="P1092:Q1092"/>
    <mergeCell ref="L815:M815"/>
    <mergeCell ref="J1240:S1240"/>
    <mergeCell ref="I1051:K1051"/>
    <mergeCell ref="J442:K442"/>
    <mergeCell ref="A728:G728"/>
    <mergeCell ref="A271:G271"/>
    <mergeCell ref="J896:K896"/>
    <mergeCell ref="Z29:AA29"/>
    <mergeCell ref="J1169:K1169"/>
    <mergeCell ref="M362:S362"/>
    <mergeCell ref="Z23:AA23"/>
    <mergeCell ref="J1242:S1242"/>
    <mergeCell ref="M178:S178"/>
    <mergeCell ref="AB6:AD6"/>
    <mergeCell ref="J779:S779"/>
    <mergeCell ref="B54:D54"/>
    <mergeCell ref="G771:K771"/>
    <mergeCell ref="J891:K891"/>
    <mergeCell ref="M776:S776"/>
    <mergeCell ref="Z24:AA24"/>
    <mergeCell ref="J1225:K1225"/>
    <mergeCell ref="J470:K470"/>
    <mergeCell ref="B468:D468"/>
    <mergeCell ref="O545:Q545"/>
    <mergeCell ref="F787:G787"/>
    <mergeCell ref="J42:S42"/>
    <mergeCell ref="P174:Q174"/>
    <mergeCell ref="J795:K795"/>
    <mergeCell ref="K312:M312"/>
    <mergeCell ref="AB17:AD17"/>
    <mergeCell ref="J411:S411"/>
    <mergeCell ref="M83:S83"/>
    <mergeCell ref="L1015:M1015"/>
    <mergeCell ref="J1207:K1207"/>
    <mergeCell ref="J490:K490"/>
    <mergeCell ref="AB19:AD19"/>
    <mergeCell ref="A594:I594"/>
    <mergeCell ref="B867:F867"/>
    <mergeCell ref="M408:S408"/>
    <mergeCell ref="J796:K796"/>
    <mergeCell ref="J1009:S1009"/>
    <mergeCell ref="B412:H412"/>
    <mergeCell ref="J612:K612"/>
    <mergeCell ref="B100:D100"/>
    <mergeCell ref="A317:G317"/>
    <mergeCell ref="AB20:AD20"/>
    <mergeCell ref="J483:K483"/>
    <mergeCell ref="L734:Q734"/>
    <mergeCell ref="AB14:AD14"/>
    <mergeCell ref="L539:M539"/>
    <mergeCell ref="A595:I595"/>
    <mergeCell ref="A773:G773"/>
    <mergeCell ref="B1155:D1155"/>
    <mergeCell ref="H912:L912"/>
    <mergeCell ref="B698:D698"/>
    <mergeCell ref="H1235:L1235"/>
    <mergeCell ref="J935:K935"/>
    <mergeCell ref="I85:K85"/>
    <mergeCell ref="A463:C463"/>
    <mergeCell ref="AH29:AJ29"/>
    <mergeCell ref="A312:G312"/>
    <mergeCell ref="J666:K666"/>
    <mergeCell ref="J937:K937"/>
    <mergeCell ref="J209:K209"/>
    <mergeCell ref="P861:Q861"/>
    <mergeCell ref="M1191:S1191"/>
    <mergeCell ref="A1061:C1061"/>
    <mergeCell ref="J211:K211"/>
    <mergeCell ref="M1190:S1190"/>
    <mergeCell ref="A922:S922"/>
    <mergeCell ref="J536:K536"/>
    <mergeCell ref="L907:M907"/>
    <mergeCell ref="H589:L589"/>
    <mergeCell ref="A824:I824"/>
    <mergeCell ref="J836:K836"/>
    <mergeCell ref="J560:K560"/>
    <mergeCell ref="B1236:F1236"/>
    <mergeCell ref="P3:Q3"/>
    <mergeCell ref="J106:K106"/>
    <mergeCell ref="L923:M923"/>
    <mergeCell ref="J562:K562"/>
    <mergeCell ref="A552:I552"/>
    <mergeCell ref="P5:Q5"/>
    <mergeCell ref="J1167:K1167"/>
    <mergeCell ref="J433:K433"/>
    <mergeCell ref="B927:D927"/>
    <mergeCell ref="H221:L221"/>
    <mergeCell ref="J435:K435"/>
    <mergeCell ref="J134:S134"/>
    <mergeCell ref="L504:Q504"/>
    <mergeCell ref="J1162:K1162"/>
    <mergeCell ref="F3:G3"/>
    <mergeCell ref="K220:M220"/>
    <mergeCell ref="H819:L819"/>
    <mergeCell ref="P450:Q450"/>
    <mergeCell ref="J580:K580"/>
    <mergeCell ref="J1036:K1036"/>
    <mergeCell ref="M500:S500"/>
    <mergeCell ref="A134:I134"/>
    <mergeCell ref="B504:H504"/>
    <mergeCell ref="M589:S589"/>
    <mergeCell ref="A1141:G1141"/>
    <mergeCell ref="J1038:K1038"/>
    <mergeCell ref="J283:K283"/>
    <mergeCell ref="J581:K581"/>
    <mergeCell ref="J575:K575"/>
    <mergeCell ref="G1182:K1182"/>
    <mergeCell ref="M958:S958"/>
    <mergeCell ref="M501:S501"/>
    <mergeCell ref="L34:M34"/>
    <mergeCell ref="J577:K577"/>
    <mergeCell ref="A917:I917"/>
    <mergeCell ref="A875:S875"/>
  </mergeCells>
  <printOptions horizontalCentered="1"/>
  <pageMargins left="0.1574803149606299" right="0.1574803149606299" top="0.1968503937007874" bottom="0.1968503937007874" header="0.3149606299212598" footer="0.3149606299212598"/>
  <pageSetup orientation="portrait" paperSize="9" scale="73" horizontalDpi="4294967293" verticalDpi="360"/>
  <rowBreaks count="26" manualBreakCount="26">
    <brk id="46" min="0" max="34" man="1"/>
    <brk id="92" min="0" max="34" man="1"/>
    <brk id="138" min="0" max="34" man="1"/>
    <brk id="184" min="0" max="34" man="1"/>
    <brk id="230" min="0" max="34" man="1"/>
    <brk id="276" min="0" max="34" man="1"/>
    <brk id="322" min="0" max="36" man="1"/>
    <brk id="368" min="0" max="36" man="1"/>
    <brk id="414" min="0" max="34" man="1"/>
    <brk id="460" min="0" max="34" man="1"/>
    <brk id="506" min="0" max="36" man="1"/>
    <brk id="552" min="0" max="34" man="1"/>
    <brk id="598" min="0" max="36" man="1"/>
    <brk id="644" min="0" max="36" man="1"/>
    <brk id="690" min="0" max="36" man="1"/>
    <brk id="736" min="0" max="36" man="1"/>
    <brk id="782" min="0" max="36" man="1"/>
    <brk id="828" min="0" max="34" man="1"/>
    <brk id="874" min="0" max="34" man="1"/>
    <brk id="920" min="0" max="34" man="1"/>
    <brk id="966" min="0" max="34" man="1"/>
    <brk id="1012" min="0" max="34" man="1"/>
    <brk id="1058" min="0" max="34" man="1"/>
    <brk id="1104" min="0" max="34" man="1"/>
    <brk id="1150" min="0" max="34" man="1"/>
    <brk id="1196" min="0" max="34" man="1"/>
  </rowBreaks>
  <colBreaks count="1" manualBreakCount="1">
    <brk id="19" min="0" max="1199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243"/>
  <sheetViews>
    <sheetView view="pageBreakPreview" topLeftCell="A57" zoomScaleNormal="115" zoomScaleSheetLayoutView="100" workbookViewId="0">
      <selection activeCell="G62" sqref="G62"/>
    </sheetView>
  </sheetViews>
  <sheetFormatPr baseColWidth="8" defaultColWidth="9.109375" defaultRowHeight="18"/>
  <cols>
    <col width="3.33203125" customWidth="1" style="8" min="1" max="1"/>
    <col width="5" customWidth="1" style="8" min="2" max="2"/>
    <col width="3.6640625" customWidth="1" style="8" min="3" max="3"/>
    <col width="11.5546875" customWidth="1" style="8" min="4" max="4"/>
    <col width="6.5546875" customWidth="1" style="8" min="5" max="5"/>
    <col width="3.44140625" customWidth="1" style="8" min="6" max="6"/>
    <col width="11.88671875" customWidth="1" style="8" min="7" max="7"/>
    <col width="10.44140625" customWidth="1" style="8" min="8" max="8"/>
    <col width="16.109375" customWidth="1" style="249" min="9" max="9"/>
    <col width="4.44140625" customWidth="1" style="8" min="10" max="10"/>
    <col width="6.5546875" customWidth="1" style="8" min="11" max="11"/>
    <col width="6.6640625" customWidth="1" style="8" min="12" max="13"/>
    <col width="8.6640625" customWidth="1" style="8" min="14" max="14"/>
    <col width="9.5546875" customWidth="1" style="8" min="15" max="15"/>
    <col width="6.6640625" customWidth="1" style="8" min="16" max="17"/>
    <col width="8.6640625" customWidth="1" style="8" min="18" max="18"/>
    <col width="9.6640625" customWidth="1" style="8" min="19" max="19"/>
    <col width="8.6640625" customWidth="1" style="8" min="20" max="20"/>
    <col width="3" customWidth="1" style="8" min="21" max="21"/>
    <col width="8.6640625" customWidth="1" style="8" min="22" max="22"/>
    <col width="3" customWidth="1" style="8" min="23" max="23"/>
    <col width="8.6640625" customWidth="1" style="8" min="24" max="24"/>
    <col width="3" customWidth="1" style="8" min="25" max="25"/>
    <col width="8.6640625" customWidth="1" style="8" min="26" max="26"/>
    <col width="3" customWidth="1" style="8" min="27" max="27"/>
    <col width="9.109375" customWidth="1" style="8" min="28" max="16384"/>
  </cols>
  <sheetData>
    <row r="1" ht="22.2" customHeight="1" s="330">
      <c r="A1" s="254" t="inlineStr">
        <is>
          <t>ใบเบิกจ่ายเงินค่าสอนพิเศษและค่าสอนเกินภาระงานสอนในสถานศึกษา</t>
        </is>
      </c>
      <c r="Z1" s="261" t="n"/>
      <c r="AA1" s="261" t="n"/>
    </row>
    <row r="2" ht="22.2" customHeight="1" s="330">
      <c r="A2" s="254" t="inlineStr">
        <is>
          <t>แผนกวิชายานยนต์ไฟฟ้า</t>
        </is>
      </c>
      <c r="Y2" s="331" t="n"/>
      <c r="Z2" s="260" t="inlineStr">
        <is>
          <t>ลำดับ</t>
        </is>
      </c>
      <c r="AA2" s="362" t="n"/>
      <c r="AB2" s="257" t="inlineStr">
        <is>
          <t>รายชื่อ</t>
        </is>
      </c>
      <c r="AC2" s="467" t="n"/>
      <c r="AD2" s="467" t="n"/>
      <c r="AE2" s="260" t="inlineStr">
        <is>
          <t>รวม ชม./ ส.</t>
        </is>
      </c>
      <c r="AF2" s="467" t="n"/>
      <c r="AG2" s="362" t="n"/>
      <c r="AH2" s="260" t="inlineStr">
        <is>
          <t>รวม ค่าสอน / สัปดาห์</t>
        </is>
      </c>
      <c r="AI2" s="467" t="n"/>
      <c r="AJ2" s="362" t="n"/>
    </row>
    <row r="3" ht="22.2" customHeight="1" s="330">
      <c r="A3" s="253" t="inlineStr">
        <is>
          <t xml:space="preserve">    ระหว่างวันที่</t>
        </is>
      </c>
      <c r="D3" s="254" t="n">
        <v>4</v>
      </c>
      <c r="E3" s="254" t="inlineStr">
        <is>
          <t xml:space="preserve">   เดือน  </t>
        </is>
      </c>
      <c r="F3" s="254" t="inlineStr">
        <is>
          <t>ธันวาคม</t>
        </is>
      </c>
      <c r="H3" s="254" t="inlineStr">
        <is>
          <t>พ.ศ. 2566</t>
        </is>
      </c>
      <c r="I3" s="254" t="inlineStr">
        <is>
          <t xml:space="preserve">     ถึง วันที่</t>
        </is>
      </c>
      <c r="J3" s="254" t="n">
        <v>8</v>
      </c>
      <c r="K3" s="254" t="inlineStr">
        <is>
          <t xml:space="preserve">   เดือน </t>
        </is>
      </c>
      <c r="L3" s="254" t="inlineStr">
        <is>
          <t>ธันวาคม</t>
        </is>
      </c>
      <c r="N3" s="254" t="inlineStr">
        <is>
          <t>พ.ศ. 2566</t>
        </is>
      </c>
      <c r="P3" s="254" t="n"/>
      <c r="R3" s="254" t="n"/>
      <c r="Y3" s="331" t="n"/>
      <c r="Z3" s="468" t="n">
        <v>1</v>
      </c>
      <c r="AA3" s="335" t="n"/>
      <c r="AB3" s="469" t="inlineStr">
        <is>
          <t>นายอาทิตย์  แก้วแดง</t>
        </is>
      </c>
      <c r="AD3" s="331" t="n"/>
      <c r="AE3" s="275">
        <f>H36</f>
        <v/>
      </c>
      <c r="AF3" s="334" t="n"/>
      <c r="AG3" s="335" t="n"/>
      <c r="AH3" s="470">
        <f>P36</f>
        <v/>
      </c>
      <c r="AI3" s="334" t="n"/>
      <c r="AJ3" s="335" t="n"/>
    </row>
    <row r="4" ht="22.2" customHeight="1" s="330">
      <c r="G4" s="58" t="inlineStr">
        <is>
          <t>ü</t>
        </is>
      </c>
      <c r="H4" s="290" t="inlineStr">
        <is>
          <t>ครู</t>
        </is>
      </c>
      <c r="I4" s="249" t="inlineStr">
        <is>
          <t>หน้าที่พิเศษ</t>
        </is>
      </c>
      <c r="J4" s="261" t="inlineStr">
        <is>
          <t>หัวหน้าแผนกยานยนต์ไฟฟ้า</t>
        </is>
      </c>
      <c r="K4" s="471" t="n"/>
      <c r="L4" s="471" t="n"/>
      <c r="M4" s="471" t="n"/>
      <c r="N4" s="471" t="n"/>
      <c r="Y4" s="331" t="n"/>
      <c r="Z4" s="472" t="n">
        <v>2</v>
      </c>
      <c r="AA4" s="331" t="n"/>
      <c r="AB4" s="240" t="inlineStr">
        <is>
          <t>นางสาวปาจารีย์  กฐินทอง</t>
        </is>
      </c>
      <c r="AE4" s="252">
        <f>H82</f>
        <v/>
      </c>
      <c r="AG4" s="331" t="n"/>
      <c r="AH4" s="251">
        <f>P82</f>
        <v/>
      </c>
      <c r="AJ4" s="331" t="n"/>
    </row>
    <row r="5" ht="22.2" customHeight="1" s="330">
      <c r="A5" s="28" t="inlineStr">
        <is>
          <t>ที่</t>
        </is>
      </c>
      <c r="B5" s="28" t="inlineStr">
        <is>
          <t>ชื่อ-สกุล</t>
        </is>
      </c>
      <c r="C5" s="334" t="n"/>
      <c r="D5" s="335" t="n"/>
      <c r="E5" s="16" t="inlineStr">
        <is>
          <t>ตำแหน่ง</t>
        </is>
      </c>
      <c r="F5" s="17" t="inlineStr">
        <is>
          <t>ระยะเวลาที่สอน</t>
        </is>
      </c>
      <c r="G5" s="362" t="n"/>
      <c r="H5" s="17" t="inlineStr">
        <is>
          <t>รหัสวิชา</t>
        </is>
      </c>
      <c r="I5" s="275" t="inlineStr">
        <is>
          <t>ชั้น,แผนก,ห้อง</t>
        </is>
      </c>
      <c r="J5" s="17" t="inlineStr">
        <is>
          <t>เวลาสอน</t>
        </is>
      </c>
      <c r="K5" s="335" t="n"/>
      <c r="L5" s="17" t="inlineStr">
        <is>
          <t>ปวช.(คาบ)</t>
        </is>
      </c>
      <c r="M5" s="362" t="n"/>
      <c r="N5" s="244" t="inlineStr">
        <is>
          <t>เงิน</t>
        </is>
      </c>
      <c r="O5" s="275" t="inlineStr">
        <is>
          <t>ยอดเงิน</t>
        </is>
      </c>
      <c r="P5" s="473" t="inlineStr">
        <is>
          <t>ปวส.(คาบ)</t>
        </is>
      </c>
      <c r="Q5" s="362" t="n"/>
      <c r="R5" s="244" t="inlineStr">
        <is>
          <t>เงิน</t>
        </is>
      </c>
      <c r="S5" s="275" t="inlineStr">
        <is>
          <t>ยอดเงิน</t>
        </is>
      </c>
      <c r="V5" s="240" t="n"/>
      <c r="Y5" s="331" t="n"/>
      <c r="Z5" s="472" t="n">
        <v>3</v>
      </c>
      <c r="AA5" s="331" t="n"/>
      <c r="AB5" s="240" t="n"/>
      <c r="AE5" s="252">
        <f>H128</f>
        <v/>
      </c>
      <c r="AG5" s="331" t="n"/>
      <c r="AH5" s="251">
        <f>P128</f>
        <v/>
      </c>
      <c r="AJ5" s="331" t="n"/>
    </row>
    <row r="6" ht="22.2" customHeight="1" s="330">
      <c r="A6" s="60" t="n"/>
      <c r="B6" s="9" t="n"/>
      <c r="C6" s="10" t="n"/>
      <c r="D6" s="14" t="n"/>
      <c r="E6" s="11" t="n"/>
      <c r="F6" s="276" t="inlineStr">
        <is>
          <t>ส.</t>
        </is>
      </c>
      <c r="G6" s="276" t="inlineStr">
        <is>
          <t>วดป.</t>
        </is>
      </c>
      <c r="H6" s="474" t="n"/>
      <c r="I6" s="276" t="n"/>
      <c r="J6" s="475" t="n"/>
      <c r="K6" s="476" t="n"/>
      <c r="L6" s="276" t="inlineStr">
        <is>
          <t>ใน</t>
        </is>
      </c>
      <c r="M6" s="276" t="inlineStr">
        <is>
          <t>นอก</t>
        </is>
      </c>
      <c r="N6" s="276" t="inlineStr">
        <is>
          <t>ต่อ ชม.</t>
        </is>
      </c>
      <c r="O6" s="276" t="inlineStr">
        <is>
          <t>(บาท)</t>
        </is>
      </c>
      <c r="P6" s="60" t="inlineStr">
        <is>
          <t>ใน</t>
        </is>
      </c>
      <c r="Q6" s="60" t="inlineStr">
        <is>
          <t>นอก</t>
        </is>
      </c>
      <c r="R6" s="276" t="inlineStr">
        <is>
          <t>ต่อ ชม.</t>
        </is>
      </c>
      <c r="S6" s="276" t="inlineStr">
        <is>
          <t>(บาท)</t>
        </is>
      </c>
      <c r="Y6" s="331" t="n"/>
      <c r="Z6" s="472" t="n">
        <v>4</v>
      </c>
      <c r="AA6" s="331" t="n"/>
      <c r="AB6" s="241" t="n"/>
      <c r="AD6" s="331" t="n"/>
      <c r="AE6" s="252">
        <f>H174</f>
        <v/>
      </c>
      <c r="AG6" s="331" t="n"/>
      <c r="AH6" s="251">
        <f>P174</f>
        <v/>
      </c>
      <c r="AJ6" s="331" t="n"/>
    </row>
    <row r="7" ht="22.2" customHeight="1" s="330">
      <c r="A7" s="275" t="n">
        <v>1</v>
      </c>
      <c r="B7" s="477">
        <f>AB3</f>
        <v/>
      </c>
      <c r="C7" s="334" t="n"/>
      <c r="D7" s="335" t="n"/>
      <c r="E7" s="275" t="inlineStr">
        <is>
          <t>ครู</t>
        </is>
      </c>
      <c r="F7" s="6" t="n">
        <v>8</v>
      </c>
      <c r="G7" s="303" t="inlineStr">
        <is>
          <t>จันทร์</t>
        </is>
      </c>
      <c r="H7" s="332" t="inlineStr">
        <is>
          <t>30101-2607</t>
        </is>
      </c>
      <c r="I7" s="325" t="inlineStr">
        <is>
          <t>ปวส.2/5 สยฟ. (ม.6)</t>
        </is>
      </c>
      <c r="J7" s="332" t="inlineStr">
        <is>
          <t>08.10-12.10</t>
        </is>
      </c>
      <c r="K7" s="335" t="n"/>
      <c r="L7" s="265" t="n"/>
      <c r="M7" s="332" t="n"/>
      <c r="N7" s="332" t="n"/>
      <c r="O7" s="244">
        <f>M7*N7</f>
        <v/>
      </c>
      <c r="P7" s="332" t="n"/>
      <c r="Q7" s="265" t="n">
        <v>4</v>
      </c>
      <c r="R7" s="332" t="n">
        <v>270</v>
      </c>
      <c r="S7" s="244">
        <f>Q7*R7</f>
        <v/>
      </c>
      <c r="Y7" s="3" t="n"/>
      <c r="Z7" s="472" t="n">
        <v>5</v>
      </c>
      <c r="AA7" s="331" t="n"/>
      <c r="AB7" s="241" t="n"/>
      <c r="AD7" s="331" t="n"/>
      <c r="AE7" s="252">
        <f>H220</f>
        <v/>
      </c>
      <c r="AG7" s="331" t="n"/>
      <c r="AH7" s="251">
        <f>P220</f>
        <v/>
      </c>
      <c r="AJ7" s="331" t="n"/>
    </row>
    <row r="8" ht="22.2" customHeight="1" s="330">
      <c r="A8" s="4" t="n"/>
      <c r="B8" s="478" t="n"/>
      <c r="D8" s="331" t="n"/>
      <c r="E8" s="252" t="n"/>
      <c r="F8" s="249" t="n"/>
      <c r="G8" s="74" t="inlineStr">
        <is>
          <t>4 ธ.ค.66</t>
        </is>
      </c>
      <c r="H8" s="325" t="inlineStr">
        <is>
          <t>30143-2005</t>
        </is>
      </c>
      <c r="I8" s="325" t="inlineStr">
        <is>
          <t>ปวส.1/2 สยฟ. (ทวิ)</t>
        </is>
      </c>
      <c r="J8" s="325" t="inlineStr">
        <is>
          <t>14.10-19.10</t>
        </is>
      </c>
      <c r="K8" s="331" t="n"/>
      <c r="L8" s="252" t="n"/>
      <c r="M8" s="252" t="n"/>
      <c r="N8" s="252" t="n"/>
      <c r="O8" s="244">
        <f>M8*N8</f>
        <v/>
      </c>
      <c r="P8" s="252" t="n">
        <v>5</v>
      </c>
      <c r="Q8" s="252" t="n"/>
      <c r="R8" s="252" t="n"/>
      <c r="S8" s="244">
        <f>Q8*R8</f>
        <v/>
      </c>
      <c r="Z8" s="472" t="n">
        <v>6</v>
      </c>
      <c r="AA8" s="331" t="n"/>
      <c r="AB8" s="469" t="n"/>
      <c r="AD8" s="331" t="n"/>
      <c r="AE8" s="252">
        <f>H266</f>
        <v/>
      </c>
      <c r="AG8" s="331" t="n"/>
      <c r="AH8" s="251">
        <f>P266</f>
        <v/>
      </c>
      <c r="AJ8" s="331" t="n"/>
    </row>
    <row r="9" ht="22.2" customHeight="1" s="330">
      <c r="A9" s="4" t="n"/>
      <c r="B9" s="5" t="n"/>
      <c r="D9" s="3" t="n"/>
      <c r="E9" s="3" t="n"/>
      <c r="F9" s="249" t="n"/>
      <c r="G9" s="248" t="n"/>
      <c r="H9" s="325" t="n"/>
      <c r="I9" s="325" t="n"/>
      <c r="J9" s="325" t="n"/>
      <c r="K9" s="331" t="n"/>
      <c r="L9" s="252" t="n"/>
      <c r="M9" s="252" t="n"/>
      <c r="N9" s="252" t="n"/>
      <c r="O9" s="244">
        <f>M9*N9</f>
        <v/>
      </c>
      <c r="P9" s="252" t="n"/>
      <c r="Q9" s="252" t="n"/>
      <c r="R9" s="252" t="n"/>
      <c r="S9" s="244">
        <f>Q9*R9</f>
        <v/>
      </c>
      <c r="T9" s="287" t="inlineStr">
        <is>
          <t>สอน ป.ตรี</t>
        </is>
      </c>
      <c r="Y9" s="71" t="n"/>
      <c r="Z9" s="472" t="n">
        <v>7</v>
      </c>
      <c r="AA9" s="331" t="n"/>
      <c r="AB9" s="469" t="n"/>
      <c r="AD9" s="331" t="n"/>
      <c r="AE9" s="252">
        <f>H312</f>
        <v/>
      </c>
      <c r="AG9" s="331" t="n"/>
      <c r="AH9" s="251">
        <f>P312</f>
        <v/>
      </c>
      <c r="AJ9" s="331" t="n"/>
    </row>
    <row r="10" ht="22.2" customHeight="1" s="330">
      <c r="A10" s="4" t="n"/>
      <c r="B10" s="5" t="n"/>
      <c r="E10" s="4" t="n"/>
      <c r="F10" s="249" t="n"/>
      <c r="G10" s="248" t="n"/>
      <c r="H10" s="252" t="n"/>
      <c r="I10" s="252" t="n"/>
      <c r="J10" s="252" t="n"/>
      <c r="K10" s="331" t="n"/>
      <c r="L10" s="252" t="n"/>
      <c r="M10" s="252" t="n"/>
      <c r="N10" s="252" t="n"/>
      <c r="O10" s="244">
        <f>M10*N10</f>
        <v/>
      </c>
      <c r="P10" s="252" t="n"/>
      <c r="Q10" s="252" t="n"/>
      <c r="R10" s="252" t="n"/>
      <c r="S10" s="244">
        <f>Q10*R10</f>
        <v/>
      </c>
      <c r="T10" s="24" t="n"/>
      <c r="U10" s="24" t="inlineStr">
        <is>
          <t>19.10-20.10</t>
        </is>
      </c>
      <c r="V10" s="65" t="n"/>
      <c r="W10" s="24" t="n"/>
      <c r="X10" s="24" t="n"/>
      <c r="Y10" s="72" t="n"/>
      <c r="Z10" s="472" t="n">
        <v>8</v>
      </c>
      <c r="AA10" s="331" t="n"/>
      <c r="AB10" s="469" t="n"/>
      <c r="AD10" s="331" t="n"/>
      <c r="AE10" s="252">
        <f>H358</f>
        <v/>
      </c>
      <c r="AG10" s="331" t="n"/>
      <c r="AH10" s="251">
        <f>P358</f>
        <v/>
      </c>
      <c r="AJ10" s="331" t="n"/>
    </row>
    <row r="11" ht="22.2" customHeight="1" s="330">
      <c r="A11" s="4" t="n"/>
      <c r="D11" s="70" t="n"/>
      <c r="E11" s="4" t="n"/>
      <c r="G11" s="311" t="n"/>
      <c r="H11" s="276" t="n"/>
      <c r="I11" s="276" t="n"/>
      <c r="J11" s="276" t="n"/>
      <c r="K11" s="476" t="n"/>
      <c r="L11" s="252" t="n"/>
      <c r="M11" s="252" t="n"/>
      <c r="N11" s="252" t="n"/>
      <c r="O11" s="244">
        <f>M11*N11</f>
        <v/>
      </c>
      <c r="P11" s="252" t="n"/>
      <c r="Q11" s="252" t="n"/>
      <c r="R11" s="252" t="n"/>
      <c r="S11" s="244">
        <f>Q11*R11</f>
        <v/>
      </c>
      <c r="W11" s="72" t="n"/>
      <c r="X11" s="72" t="n"/>
      <c r="Y11" s="290" t="n"/>
      <c r="Z11" s="472" t="n">
        <v>9</v>
      </c>
      <c r="AA11" s="331" t="n"/>
      <c r="AB11" s="479" t="n"/>
      <c r="AD11" s="331" t="n"/>
      <c r="AE11" s="252">
        <f>H404</f>
        <v/>
      </c>
      <c r="AG11" s="331" t="n"/>
      <c r="AH11" s="251">
        <f>P404</f>
        <v/>
      </c>
      <c r="AJ11" s="331" t="n"/>
    </row>
    <row r="12" ht="22.2" customHeight="1" s="330">
      <c r="A12" s="4" t="n"/>
      <c r="E12" s="4" t="n"/>
      <c r="G12" s="62" t="inlineStr">
        <is>
          <t>อังคาร</t>
        </is>
      </c>
      <c r="H12" s="486" t="inlineStr">
        <is>
          <t>หยุด</t>
        </is>
      </c>
      <c r="I12" s="334" t="n"/>
      <c r="J12" s="334" t="n"/>
      <c r="K12" s="335" t="n"/>
      <c r="L12" s="265" t="n"/>
      <c r="M12" s="332" t="n"/>
      <c r="N12" s="332" t="n"/>
      <c r="O12" s="244">
        <f>M12*N12</f>
        <v/>
      </c>
      <c r="P12" s="332" t="n"/>
      <c r="Q12" s="265" t="n"/>
      <c r="R12" s="332" t="n"/>
      <c r="S12" s="244">
        <f>Q12*R12</f>
        <v/>
      </c>
      <c r="W12" s="71" t="n"/>
      <c r="X12" s="71" t="n"/>
      <c r="Y12" s="71" t="n"/>
      <c r="Z12" s="472" t="n">
        <v>10</v>
      </c>
      <c r="AA12" s="331" t="n"/>
      <c r="AB12" s="469" t="n"/>
      <c r="AD12" s="331" t="n"/>
      <c r="AE12" s="251">
        <f>H450</f>
        <v/>
      </c>
      <c r="AG12" s="331" t="n"/>
      <c r="AH12" s="251">
        <f>P450</f>
        <v/>
      </c>
      <c r="AJ12" s="331" t="n"/>
    </row>
    <row r="13" ht="22.2" customHeight="1" s="330">
      <c r="A13" s="4" t="n"/>
      <c r="E13" s="4" t="n"/>
      <c r="G13" s="74" t="inlineStr">
        <is>
          <t>5 ธ.ค.66</t>
        </is>
      </c>
      <c r="H13" s="487" t="n"/>
      <c r="K13" s="331" t="n"/>
      <c r="L13" s="252" t="n"/>
      <c r="M13" s="252" t="n"/>
      <c r="N13" s="252" t="n"/>
      <c r="O13" s="244">
        <f>M13*N13</f>
        <v/>
      </c>
      <c r="P13" s="252" t="n"/>
      <c r="Q13" s="252" t="n"/>
      <c r="R13" s="252" t="n"/>
      <c r="S13" s="244">
        <f>Q13*R13</f>
        <v/>
      </c>
      <c r="W13" s="71" t="n"/>
      <c r="X13" s="71" t="n"/>
      <c r="Y13" s="71" t="n"/>
      <c r="Z13" s="472" t="n">
        <v>11</v>
      </c>
      <c r="AA13" s="331" t="n"/>
      <c r="AB13" s="240" t="n"/>
      <c r="AE13" s="251">
        <f>H496</f>
        <v/>
      </c>
      <c r="AG13" s="331" t="n"/>
      <c r="AH13" s="251">
        <f>P496</f>
        <v/>
      </c>
      <c r="AJ13" s="331" t="n"/>
    </row>
    <row r="14" ht="22.2" customHeight="1" s="330">
      <c r="A14" s="4" t="n"/>
      <c r="B14" s="5" t="n"/>
      <c r="D14" s="3" t="n"/>
      <c r="E14" s="3" t="n"/>
      <c r="G14" s="252" t="n"/>
      <c r="H14" s="252" t="n"/>
      <c r="I14" s="325" t="n"/>
      <c r="J14" s="252" t="n"/>
      <c r="K14" s="331" t="n"/>
      <c r="L14" s="252" t="n"/>
      <c r="M14" s="252" t="n"/>
      <c r="N14" s="252" t="n"/>
      <c r="O14" s="244">
        <f>M14*N14</f>
        <v/>
      </c>
      <c r="P14" s="252" t="n"/>
      <c r="Q14" s="252" t="n"/>
      <c r="R14" s="252" t="n"/>
      <c r="S14" s="244">
        <f>Q14*R14</f>
        <v/>
      </c>
      <c r="Y14" s="71" t="n"/>
      <c r="Z14" s="472" t="n">
        <v>12</v>
      </c>
      <c r="AA14" s="331" t="n"/>
      <c r="AB14" s="240" t="n"/>
      <c r="AE14" s="251">
        <f>H542</f>
        <v/>
      </c>
      <c r="AG14" s="331" t="n"/>
      <c r="AH14" s="251">
        <f>P542</f>
        <v/>
      </c>
      <c r="AJ14" s="331" t="n"/>
    </row>
    <row r="15" ht="22.2" customHeight="1" s="330">
      <c r="A15" s="4" t="n"/>
      <c r="E15" s="4" t="n"/>
      <c r="G15" s="62" t="n"/>
      <c r="H15" s="249" t="n"/>
      <c r="I15" s="252" t="n"/>
      <c r="J15" s="252" t="n"/>
      <c r="K15" s="331" t="n"/>
      <c r="L15" s="252" t="n"/>
      <c r="M15" s="252" t="n"/>
      <c r="N15" s="252" t="n"/>
      <c r="O15" s="244">
        <f>M15*N15</f>
        <v/>
      </c>
      <c r="P15" s="252" t="n"/>
      <c r="Q15" s="252" t="n"/>
      <c r="R15" s="252" t="n"/>
      <c r="S15" s="244">
        <f>Q15*R15</f>
        <v/>
      </c>
      <c r="W15" s="71" t="n"/>
      <c r="X15" s="71" t="n"/>
      <c r="Y15" s="71" t="n"/>
      <c r="Z15" s="472" t="n">
        <v>13</v>
      </c>
      <c r="AA15" s="331" t="n"/>
      <c r="AB15" s="480" t="n"/>
      <c r="AD15" s="331" t="n"/>
      <c r="AE15" s="251">
        <f>H588</f>
        <v/>
      </c>
      <c r="AG15" s="331" t="n"/>
      <c r="AH15" s="251">
        <f>P588</f>
        <v/>
      </c>
      <c r="AJ15" s="331" t="n"/>
    </row>
    <row r="16" ht="22.2" customHeight="1" s="330">
      <c r="A16" s="4" t="n"/>
      <c r="D16" s="8" t="inlineStr">
        <is>
          <t> </t>
        </is>
      </c>
      <c r="E16" s="4" t="n"/>
      <c r="G16" s="63" t="n"/>
      <c r="H16" s="276" t="n"/>
      <c r="I16" s="276" t="n"/>
      <c r="J16" s="276" t="n"/>
      <c r="K16" s="476" t="n"/>
      <c r="L16" s="252" t="n"/>
      <c r="M16" s="252" t="n"/>
      <c r="N16" s="252" t="n"/>
      <c r="O16" s="244">
        <f>M16*N16</f>
        <v/>
      </c>
      <c r="P16" s="252" t="n"/>
      <c r="Q16" s="252" t="n"/>
      <c r="R16" s="252" t="n"/>
      <c r="S16" s="244">
        <f>Q16*R16</f>
        <v/>
      </c>
      <c r="Y16" s="71" t="n"/>
      <c r="Z16" s="472" t="n">
        <v>14</v>
      </c>
      <c r="AA16" s="331" t="n"/>
      <c r="AB16" s="480" t="n"/>
      <c r="AD16" s="331" t="n"/>
      <c r="AE16" s="251">
        <f>H634</f>
        <v/>
      </c>
      <c r="AG16" s="331" t="n"/>
      <c r="AH16" s="251">
        <f>P634</f>
        <v/>
      </c>
      <c r="AJ16" s="331" t="n"/>
    </row>
    <row r="17" ht="22.2" customHeight="1" s="330">
      <c r="A17" s="4" t="n"/>
      <c r="E17" s="4" t="n"/>
      <c r="G17" s="308" t="inlineStr">
        <is>
          <t>พุธ</t>
        </is>
      </c>
      <c r="H17" s="325" t="inlineStr">
        <is>
          <t>30143-2004</t>
        </is>
      </c>
      <c r="I17" s="325" t="inlineStr">
        <is>
          <t>ปวส.1/1 สยฟ. (ทวิ)</t>
        </is>
      </c>
      <c r="J17" s="332" t="inlineStr">
        <is>
          <t>08.10-12.10</t>
        </is>
      </c>
      <c r="K17" s="335" t="n"/>
      <c r="L17" s="265" t="n"/>
      <c r="M17" s="332" t="n"/>
      <c r="N17" s="332" t="n"/>
      <c r="O17" s="244">
        <f>M17*N17</f>
        <v/>
      </c>
      <c r="P17" s="332" t="n"/>
      <c r="Q17" s="265" t="n">
        <v>4</v>
      </c>
      <c r="R17" s="332" t="n">
        <v>270</v>
      </c>
      <c r="S17" s="244">
        <f>Q17*R17</f>
        <v/>
      </c>
      <c r="Y17" s="71" t="n"/>
      <c r="Z17" s="472" t="n">
        <v>15</v>
      </c>
      <c r="AA17" s="331" t="n"/>
      <c r="AB17" s="469" t="n"/>
      <c r="AD17" s="331" t="n"/>
      <c r="AE17" s="251">
        <f>H680</f>
        <v/>
      </c>
      <c r="AG17" s="331" t="n"/>
      <c r="AH17" s="251">
        <f>P680</f>
        <v/>
      </c>
      <c r="AJ17" s="331" t="n"/>
    </row>
    <row r="18" ht="22.2" customHeight="1" s="330">
      <c r="A18" s="4" t="n"/>
      <c r="B18" s="248" t="n"/>
      <c r="C18" s="249" t="n"/>
      <c r="D18" s="249" t="n"/>
      <c r="E18" s="252" t="n"/>
      <c r="G18" s="74" t="inlineStr">
        <is>
          <t>6 ธ.ค.66</t>
        </is>
      </c>
      <c r="H18" s="325" t="inlineStr">
        <is>
          <t>30143-2004</t>
        </is>
      </c>
      <c r="I18" s="325" t="inlineStr">
        <is>
          <t>ปวส.1/1 สยฟ. (ทวิ)</t>
        </is>
      </c>
      <c r="J18" s="252" t="inlineStr">
        <is>
          <t>13.10-14.10</t>
        </is>
      </c>
      <c r="K18" s="331" t="n"/>
      <c r="L18" s="252" t="n"/>
      <c r="M18" s="252" t="n"/>
      <c r="N18" s="252" t="n"/>
      <c r="O18" s="244">
        <f>M18*N18</f>
        <v/>
      </c>
      <c r="P18" s="252" t="n">
        <v>1</v>
      </c>
      <c r="Q18" s="252" t="n"/>
      <c r="R18" s="252" t="n"/>
      <c r="S18" s="244">
        <f>Q18*R18</f>
        <v/>
      </c>
      <c r="W18" s="71" t="n"/>
      <c r="X18" s="71" t="n"/>
      <c r="Z18" s="472" t="n">
        <v>16</v>
      </c>
      <c r="AA18" s="331" t="n"/>
      <c r="AB18" s="469" t="n"/>
      <c r="AD18" s="331" t="n"/>
      <c r="AE18" s="251">
        <f>H726</f>
        <v/>
      </c>
      <c r="AG18" s="331" t="n"/>
      <c r="AH18" s="251">
        <f>P726</f>
        <v/>
      </c>
      <c r="AJ18" s="331" t="n"/>
    </row>
    <row r="19" ht="22.2" customHeight="1" s="330">
      <c r="A19" s="4" t="n"/>
      <c r="B19" s="5" t="n"/>
      <c r="D19" s="3" t="n"/>
      <c r="E19" s="3" t="n"/>
      <c r="G19" s="252" t="n"/>
      <c r="H19" s="325" t="inlineStr">
        <is>
          <t>30143-2004</t>
        </is>
      </c>
      <c r="I19" s="325" t="inlineStr">
        <is>
          <t>ปวส.1/2 สยฟ. (ทวิ)</t>
        </is>
      </c>
      <c r="J19" s="325" t="inlineStr">
        <is>
          <t>14.10-19.10</t>
        </is>
      </c>
      <c r="K19" s="331" t="n"/>
      <c r="L19" s="252" t="n"/>
      <c r="M19" s="252" t="n"/>
      <c r="N19" s="252" t="n"/>
      <c r="O19" s="244">
        <f>M19*N19</f>
        <v/>
      </c>
      <c r="P19" s="252" t="n">
        <v>5</v>
      </c>
      <c r="Q19" s="252" t="n"/>
      <c r="R19" s="252" t="n"/>
      <c r="S19" s="244">
        <f>Q19*R19</f>
        <v/>
      </c>
      <c r="T19" s="287" t="inlineStr">
        <is>
          <t>สอน ป.ตรี</t>
        </is>
      </c>
      <c r="Z19" s="472" t="n">
        <v>17</v>
      </c>
      <c r="AA19" s="331" t="n"/>
      <c r="AB19" s="479" t="n"/>
      <c r="AD19" s="331" t="n"/>
      <c r="AE19" s="251">
        <f>H772</f>
        <v/>
      </c>
      <c r="AG19" s="331" t="n"/>
      <c r="AH19" s="251">
        <f>P772</f>
        <v/>
      </c>
      <c r="AJ19" s="331" t="n"/>
    </row>
    <row r="20" ht="22.2" customHeight="1" s="330">
      <c r="A20" s="4" t="n"/>
      <c r="E20" s="4" t="n"/>
      <c r="G20" s="248" t="n"/>
      <c r="H20" s="252" t="n"/>
      <c r="I20" s="325" t="n"/>
      <c r="J20" s="252" t="n"/>
      <c r="K20" s="331" t="n"/>
      <c r="L20" s="252" t="n"/>
      <c r="M20" s="252" t="n"/>
      <c r="N20" s="252" t="n"/>
      <c r="O20" s="244">
        <f>M20*N20</f>
        <v/>
      </c>
      <c r="P20" s="252" t="n"/>
      <c r="Q20" s="252" t="n"/>
      <c r="R20" s="252" t="n"/>
      <c r="S20" s="244">
        <f>Q20*R20</f>
        <v/>
      </c>
      <c r="T20" s="24" t="n"/>
      <c r="U20" s="24" t="inlineStr">
        <is>
          <t>19.10-20.10</t>
        </is>
      </c>
      <c r="V20" s="65" t="n"/>
      <c r="W20" s="24" t="n"/>
      <c r="X20" s="24" t="n"/>
      <c r="Y20" s="249" t="n"/>
      <c r="Z20" s="472" t="n">
        <v>18</v>
      </c>
      <c r="AA20" s="331" t="n"/>
      <c r="AB20" s="479" t="n"/>
      <c r="AD20" s="331" t="n"/>
      <c r="AE20" s="251">
        <f>H818</f>
        <v/>
      </c>
      <c r="AG20" s="331" t="n"/>
      <c r="AH20" s="251">
        <f>P818</f>
        <v/>
      </c>
      <c r="AJ20" s="331" t="n"/>
    </row>
    <row r="21" ht="22.2" customHeight="1" s="330">
      <c r="A21" s="4" t="n"/>
      <c r="E21" s="4" t="n"/>
      <c r="G21" s="277" t="n"/>
      <c r="H21" s="277" t="n"/>
      <c r="I21" s="276" t="n"/>
      <c r="J21" s="276" t="n"/>
      <c r="K21" s="476" t="n"/>
      <c r="L21" s="276" t="n"/>
      <c r="M21" s="276" t="n"/>
      <c r="N21" s="276" t="n"/>
      <c r="O21" s="244">
        <f>M21*N21</f>
        <v/>
      </c>
      <c r="P21" s="276" t="n"/>
      <c r="Q21" s="276" t="n"/>
      <c r="R21" s="276" t="n"/>
      <c r="S21" s="244">
        <f>Q21*R21</f>
        <v/>
      </c>
      <c r="Y21" s="249" t="n"/>
      <c r="Z21" s="472" t="n">
        <v>19</v>
      </c>
      <c r="AA21" s="331" t="n"/>
      <c r="AB21" s="469" t="n"/>
      <c r="AD21" s="331" t="n"/>
      <c r="AE21" s="251">
        <f>H864</f>
        <v/>
      </c>
      <c r="AG21" s="331" t="n"/>
      <c r="AH21" s="251">
        <f>P864</f>
        <v/>
      </c>
      <c r="AJ21" s="331" t="n"/>
    </row>
    <row r="22" ht="22.2" customHeight="1" s="330">
      <c r="A22" s="4" t="n"/>
      <c r="E22" s="4" t="n"/>
      <c r="G22" s="62" t="inlineStr">
        <is>
          <t>พฤหัส</t>
        </is>
      </c>
      <c r="H22" s="325" t="inlineStr">
        <is>
          <t>30101-2607</t>
        </is>
      </c>
      <c r="I22" s="325" t="inlineStr">
        <is>
          <t>ปวส. 2/6 สยฟ. (ม.6)</t>
        </is>
      </c>
      <c r="J22" s="332" t="inlineStr">
        <is>
          <t>08.10-12.10</t>
        </is>
      </c>
      <c r="K22" s="335" t="n"/>
      <c r="L22" s="252" t="n"/>
      <c r="M22" s="252" t="n"/>
      <c r="N22" s="252" t="n"/>
      <c r="O22" s="244">
        <f>M22*N22</f>
        <v/>
      </c>
      <c r="P22" s="252" t="n"/>
      <c r="Q22" s="275" t="n">
        <v>4</v>
      </c>
      <c r="R22" s="275" t="n">
        <v>270</v>
      </c>
      <c r="S22" s="244">
        <f>Q22*R22</f>
        <v/>
      </c>
      <c r="Y22" s="249" t="n"/>
      <c r="Z22" s="472" t="n">
        <v>20</v>
      </c>
      <c r="AA22" s="331" t="n"/>
      <c r="AB22" s="469" t="n"/>
      <c r="AD22" s="331" t="n"/>
      <c r="AE22" s="251">
        <f>H910</f>
        <v/>
      </c>
      <c r="AG22" s="331" t="n"/>
      <c r="AH22" s="251">
        <f>P910</f>
        <v/>
      </c>
      <c r="AJ22" s="331" t="n"/>
    </row>
    <row r="23" ht="22.2" customHeight="1" s="330">
      <c r="A23" s="4" t="n"/>
      <c r="E23" s="4" t="n"/>
      <c r="G23" s="74" t="inlineStr">
        <is>
          <t>7 ธ.ค.66</t>
        </is>
      </c>
      <c r="H23" s="325" t="inlineStr">
        <is>
          <t>30000-2002</t>
        </is>
      </c>
      <c r="I23" s="325" t="inlineStr">
        <is>
          <t>ปวส.1/1,2 สยฟ. (ทวิ)</t>
        </is>
      </c>
      <c r="J23" s="252" t="inlineStr">
        <is>
          <t>13.10-15.10</t>
        </is>
      </c>
      <c r="K23" s="331" t="n"/>
      <c r="L23" s="252" t="n"/>
      <c r="M23" s="252" t="n"/>
      <c r="N23" s="252" t="n"/>
      <c r="O23" s="244">
        <f>M23*N23</f>
        <v/>
      </c>
      <c r="P23" s="252" t="n">
        <v>2</v>
      </c>
      <c r="Q23" s="252" t="n"/>
      <c r="R23" s="252" t="n"/>
      <c r="S23" s="244">
        <f>Q23*R23</f>
        <v/>
      </c>
      <c r="U23" s="249" t="n"/>
      <c r="V23" s="249" t="n"/>
      <c r="W23" s="249" t="n"/>
      <c r="X23" s="249" t="n"/>
      <c r="Y23" s="249" t="n"/>
      <c r="Z23" s="472" t="n">
        <v>21</v>
      </c>
      <c r="AA23" s="331" t="n"/>
      <c r="AB23" s="469" t="n"/>
      <c r="AD23" s="331" t="n"/>
      <c r="AE23" s="251">
        <f>H956</f>
        <v/>
      </c>
      <c r="AG23" s="331" t="n"/>
      <c r="AH23" s="251">
        <f>P956</f>
        <v/>
      </c>
      <c r="AJ23" s="331" t="n"/>
    </row>
    <row r="24" ht="22.2" customHeight="1" s="330">
      <c r="A24" s="4" t="n"/>
      <c r="B24" s="5" t="n"/>
      <c r="E24" s="4" t="n"/>
      <c r="G24" s="252" t="n"/>
      <c r="H24" s="325" t="n"/>
      <c r="I24" s="325" t="n"/>
      <c r="J24" s="252" t="n"/>
      <c r="K24" s="331" t="n"/>
      <c r="L24" s="325" t="n"/>
      <c r="M24" s="325" t="n"/>
      <c r="N24" s="325" t="n"/>
      <c r="O24" s="244">
        <f>M24*N24</f>
        <v/>
      </c>
      <c r="P24" s="325" t="n"/>
      <c r="Q24" s="325" t="n"/>
      <c r="R24" s="325" t="n"/>
      <c r="S24" s="244">
        <f>Q24*R24</f>
        <v/>
      </c>
      <c r="T24" s="25" t="n"/>
      <c r="U24" s="26" t="inlineStr">
        <is>
          <t xml:space="preserve">     PLC</t>
        </is>
      </c>
      <c r="V24" s="64" t="n"/>
      <c r="W24" s="27" t="n"/>
      <c r="X24" s="27" t="n"/>
      <c r="Y24" s="249" t="n"/>
      <c r="Z24" s="472" t="n">
        <v>22</v>
      </c>
      <c r="AA24" s="331" t="n"/>
      <c r="AB24" s="469" t="n"/>
      <c r="AD24" s="331" t="n"/>
      <c r="AE24" s="251">
        <f>H1002</f>
        <v/>
      </c>
      <c r="AG24" s="331" t="n"/>
      <c r="AH24" s="251">
        <f>P1002</f>
        <v/>
      </c>
      <c r="AJ24" s="331" t="n"/>
    </row>
    <row r="25" ht="22.2" customHeight="1" s="330">
      <c r="A25" s="4" t="n"/>
      <c r="E25" s="4" t="n"/>
      <c r="G25" s="252" t="n"/>
      <c r="H25" s="252" t="n"/>
      <c r="I25" s="252" t="n"/>
      <c r="J25" s="252" t="n"/>
      <c r="K25" s="331" t="n"/>
      <c r="L25" s="252" t="n"/>
      <c r="M25" s="252" t="n"/>
      <c r="N25" s="252" t="n"/>
      <c r="O25" s="244">
        <f>M25*N25</f>
        <v/>
      </c>
      <c r="P25" s="252" t="n"/>
      <c r="Q25" s="252" t="n"/>
      <c r="R25" s="252" t="n"/>
      <c r="S25" s="244">
        <f>Q25*R25</f>
        <v/>
      </c>
      <c r="T25" s="27" t="inlineStr">
        <is>
          <t> </t>
        </is>
      </c>
      <c r="U25" s="26" t="inlineStr">
        <is>
          <t>17.10-19.10</t>
        </is>
      </c>
      <c r="V25" s="64" t="n"/>
      <c r="W25" s="27" t="n"/>
      <c r="X25" s="27" t="n"/>
      <c r="Y25" s="249" t="n"/>
      <c r="Z25" s="472" t="n">
        <v>23</v>
      </c>
      <c r="AA25" s="331" t="n"/>
      <c r="AB25" s="469" t="n"/>
      <c r="AD25" s="331" t="n"/>
      <c r="AE25" s="251">
        <f>H1048</f>
        <v/>
      </c>
      <c r="AG25" s="331" t="n"/>
      <c r="AH25" s="251">
        <f>P1048</f>
        <v/>
      </c>
      <c r="AJ25" s="331" t="n"/>
    </row>
    <row r="26" ht="22.2" customHeight="1" s="330">
      <c r="A26" s="4" t="n"/>
      <c r="E26" s="4" t="n"/>
      <c r="G26" s="276" t="n"/>
      <c r="H26" s="301" t="n"/>
      <c r="I26" s="276" t="n"/>
      <c r="J26" s="276" t="n"/>
      <c r="K26" s="476" t="n"/>
      <c r="L26" s="276" t="n"/>
      <c r="M26" s="276" t="n"/>
      <c r="N26" s="276" t="n"/>
      <c r="O26" s="244">
        <f>M26*N26</f>
        <v/>
      </c>
      <c r="P26" s="276" t="n"/>
      <c r="Q26" s="276" t="n"/>
      <c r="R26" s="276" t="n"/>
      <c r="S26" s="244">
        <f>Q26*R26</f>
        <v/>
      </c>
      <c r="T26" s="249" t="n"/>
      <c r="U26" s="249" t="n"/>
      <c r="V26" s="249" t="n"/>
      <c r="W26" s="249" t="n"/>
      <c r="X26" s="249" t="n"/>
      <c r="Y26" s="249" t="n"/>
      <c r="Z26" s="472" t="n">
        <v>24</v>
      </c>
      <c r="AA26" s="331" t="n"/>
      <c r="AB26" s="481" t="n"/>
      <c r="AD26" s="331" t="n"/>
      <c r="AE26" s="251">
        <f>H1094</f>
        <v/>
      </c>
      <c r="AG26" s="331" t="n"/>
      <c r="AH26" s="251">
        <f>P1094</f>
        <v/>
      </c>
      <c r="AJ26" s="331" t="n"/>
    </row>
    <row r="27" ht="22.2" customHeight="1" s="330">
      <c r="A27" s="4" t="n"/>
      <c r="E27" s="4" t="n"/>
      <c r="G27" s="62" t="inlineStr">
        <is>
          <t>ศุกร์</t>
        </is>
      </c>
      <c r="H27" s="325" t="inlineStr">
        <is>
          <t>30143-2005</t>
        </is>
      </c>
      <c r="I27" s="325" t="inlineStr">
        <is>
          <t>ปวส.1/1 สยฟ. (ทวิ)</t>
        </is>
      </c>
      <c r="J27" s="332" t="inlineStr">
        <is>
          <t>08.10-12.10</t>
        </is>
      </c>
      <c r="K27" s="335" t="n"/>
      <c r="L27" s="265" t="n"/>
      <c r="M27" s="252" t="n"/>
      <c r="N27" s="252" t="n"/>
      <c r="O27" s="244">
        <f>M27*N27</f>
        <v/>
      </c>
      <c r="P27" s="332" t="n">
        <v>4</v>
      </c>
      <c r="Q27" s="265" t="n"/>
      <c r="R27" s="332" t="n"/>
      <c r="S27" s="244">
        <f>Q27*R27</f>
        <v/>
      </c>
      <c r="W27" s="249" t="n"/>
      <c r="X27" s="249" t="n"/>
      <c r="Y27" s="249" t="n"/>
      <c r="Z27" s="252" t="n">
        <v>25</v>
      </c>
      <c r="AA27" s="331" t="n"/>
      <c r="AB27" s="481" t="n"/>
      <c r="AD27" s="331" t="n"/>
      <c r="AE27" s="251">
        <f>H1140</f>
        <v/>
      </c>
      <c r="AG27" s="331" t="n"/>
      <c r="AH27" s="251">
        <f>P1140</f>
        <v/>
      </c>
      <c r="AJ27" s="331" t="n"/>
    </row>
    <row r="28" ht="22.2" customHeight="1" s="330">
      <c r="A28" s="4" t="n"/>
      <c r="E28" s="4" t="n"/>
      <c r="G28" s="74" t="inlineStr">
        <is>
          <t>8 ธ.ค.66</t>
        </is>
      </c>
      <c r="H28" s="325" t="inlineStr">
        <is>
          <t>30143-2005</t>
        </is>
      </c>
      <c r="I28" s="325" t="inlineStr">
        <is>
          <t>ปวส.1/1 สยฟ. (ทวิ)</t>
        </is>
      </c>
      <c r="J28" s="252" t="inlineStr">
        <is>
          <t>13.10-14.10</t>
        </is>
      </c>
      <c r="K28" s="331" t="n"/>
      <c r="L28" s="252" t="n"/>
      <c r="M28" s="252" t="n"/>
      <c r="N28" s="252" t="n"/>
      <c r="O28" s="244">
        <f>M28*N28</f>
        <v/>
      </c>
      <c r="P28" s="252" t="n">
        <v>1</v>
      </c>
      <c r="Q28" s="252" t="n"/>
      <c r="R28" s="252" t="n"/>
      <c r="S28" s="244">
        <f>Q28*R28</f>
        <v/>
      </c>
      <c r="T28" s="249" t="n"/>
      <c r="U28" s="249" t="n"/>
      <c r="V28" s="249" t="n"/>
      <c r="W28" s="249" t="n"/>
      <c r="X28" s="249" t="n"/>
      <c r="Y28" s="250" t="n"/>
      <c r="Z28" s="252" t="n">
        <v>26</v>
      </c>
      <c r="AA28" s="331" t="n"/>
      <c r="AB28" s="469" t="n"/>
      <c r="AD28" s="331" t="n"/>
      <c r="AE28" s="251">
        <f>H1186</f>
        <v/>
      </c>
      <c r="AG28" s="331" t="n"/>
      <c r="AH28" s="251">
        <f>P1186</f>
        <v/>
      </c>
      <c r="AJ28" s="331" t="n"/>
    </row>
    <row r="29" ht="22.2" customHeight="1" s="330">
      <c r="A29" s="4" t="n"/>
      <c r="E29" s="4" t="n"/>
      <c r="G29" s="252" t="n"/>
      <c r="H29" s="252" t="n"/>
      <c r="I29" s="252" t="n"/>
      <c r="J29" s="252" t="n"/>
      <c r="K29" s="331" t="n"/>
      <c r="L29" s="252" t="n"/>
      <c r="M29" s="252" t="n"/>
      <c r="N29" s="252" t="n"/>
      <c r="O29" s="244">
        <f>M29*N29</f>
        <v/>
      </c>
      <c r="P29" s="252" t="n"/>
      <c r="Q29" s="252" t="n"/>
      <c r="R29" s="252" t="n"/>
      <c r="S29" s="244">
        <f>Q29*R29</f>
        <v/>
      </c>
      <c r="T29" s="7" t="n"/>
      <c r="U29" s="23" t="inlineStr">
        <is>
          <t>เบิก ธุรการ</t>
        </is>
      </c>
      <c r="V29" s="66" t="n"/>
      <c r="W29" s="22" t="n"/>
      <c r="X29" s="22" t="n"/>
      <c r="Y29" s="3" t="n"/>
      <c r="Z29" s="276" t="n">
        <v>27</v>
      </c>
      <c r="AA29" s="476" t="n"/>
      <c r="AB29" s="469" t="n"/>
      <c r="AD29" s="331" t="n"/>
      <c r="AE29" s="251">
        <f>H1232</f>
        <v/>
      </c>
      <c r="AG29" s="331" t="n"/>
      <c r="AH29" s="251">
        <f>P1232</f>
        <v/>
      </c>
      <c r="AJ29" s="331" t="n"/>
    </row>
    <row r="30" ht="22.2" customHeight="1" s="330">
      <c r="A30" s="4" t="n"/>
      <c r="E30" s="4" t="n"/>
      <c r="G30" s="252" t="n"/>
      <c r="H30" s="252" t="n"/>
      <c r="I30" s="252" t="n"/>
      <c r="J30" s="252" t="n"/>
      <c r="K30" s="331" t="n"/>
      <c r="L30" s="252" t="n"/>
      <c r="M30" s="252" t="n"/>
      <c r="N30" s="252" t="n"/>
      <c r="O30" s="244">
        <f>M30*N30</f>
        <v/>
      </c>
      <c r="P30" s="252" t="n"/>
      <c r="Q30" s="252" t="n"/>
      <c r="R30" s="252" t="n"/>
      <c r="S30" s="244">
        <f>Q30*R30</f>
        <v/>
      </c>
      <c r="T30" s="22" t="inlineStr">
        <is>
          <t> </t>
        </is>
      </c>
      <c r="U30" s="23" t="inlineStr">
        <is>
          <t>16.10-19.10</t>
        </is>
      </c>
      <c r="V30" s="66" t="n"/>
      <c r="W30" s="22" t="n"/>
      <c r="X30" s="22" t="n"/>
      <c r="AA30" s="334" t="n"/>
      <c r="AB30" s="334" t="n"/>
      <c r="AC30" s="334" t="n"/>
      <c r="AD30" s="334" t="n"/>
      <c r="AE30" s="334" t="n"/>
      <c r="AF30" s="206" t="n"/>
      <c r="AG30" s="206" t="n"/>
      <c r="AH30" s="206" t="n"/>
      <c r="AI30" s="206" t="n"/>
      <c r="AJ30" s="206" t="n"/>
    </row>
    <row r="31" ht="22.2" customHeight="1" s="330">
      <c r="A31" s="4" t="n"/>
      <c r="E31" s="4" t="n"/>
      <c r="F31" s="4" t="n"/>
      <c r="G31" s="278" t="n"/>
      <c r="H31" s="252" t="n"/>
      <c r="I31" s="252" t="n"/>
      <c r="J31" s="276" t="n"/>
      <c r="K31" s="476" t="n"/>
      <c r="L31" s="276" t="n"/>
      <c r="M31" s="276" t="n"/>
      <c r="N31" s="276" t="n"/>
      <c r="O31" s="244">
        <f>M31*N31</f>
        <v/>
      </c>
      <c r="P31" s="276" t="n"/>
      <c r="Q31" s="276" t="n"/>
      <c r="R31" s="276" t="n"/>
      <c r="S31" s="244">
        <f>Q31*R31</f>
        <v/>
      </c>
    </row>
    <row r="32" ht="22.2" customHeight="1" s="330">
      <c r="A32" s="4" t="n"/>
      <c r="E32" s="4" t="n"/>
      <c r="F32" s="4" t="n"/>
      <c r="G32" s="17" t="inlineStr">
        <is>
          <t>รวมขั่วโมงที่สอนแยก ภาระงาน/ เกินภาระงาน</t>
        </is>
      </c>
      <c r="H32" s="467" t="n"/>
      <c r="I32" s="467" t="n"/>
      <c r="J32" s="467" t="n"/>
      <c r="K32" s="362" t="n"/>
      <c r="L32" s="17">
        <f>SUM(L7:L31)</f>
        <v/>
      </c>
      <c r="M32" s="17">
        <f>SUM(M7:M31)</f>
        <v/>
      </c>
      <c r="N32" s="17" t="n"/>
      <c r="O32" s="17" t="n"/>
      <c r="P32" s="17">
        <f>SUM(P7:P31)</f>
        <v/>
      </c>
      <c r="Q32" s="17">
        <f>SUM(Q7:Q31)</f>
        <v/>
      </c>
      <c r="R32" s="279" t="n"/>
      <c r="S32" s="17" t="n"/>
    </row>
    <row r="33" ht="22.2" customHeight="1" s="330">
      <c r="A33" s="4" t="n"/>
      <c r="E33" s="4" t="n"/>
      <c r="F33" s="4" t="n"/>
      <c r="G33" s="17" t="inlineStr">
        <is>
          <t>รวมจำนวนชั่วโมงสอนคาบต่อสับดาห์</t>
        </is>
      </c>
      <c r="H33" s="467" t="n"/>
      <c r="I33" s="467" t="n"/>
      <c r="J33" s="467" t="n"/>
      <c r="K33" s="362" t="n"/>
      <c r="L33" s="17">
        <f>L32+M32</f>
        <v/>
      </c>
      <c r="M33" s="362" t="n"/>
      <c r="N33" s="17" t="n"/>
      <c r="O33" s="298" t="n"/>
      <c r="P33" s="17">
        <f>P32+Q32</f>
        <v/>
      </c>
      <c r="Q33" s="362" t="n"/>
      <c r="R33" s="278" t="n"/>
      <c r="S33" s="276" t="n"/>
    </row>
    <row r="34" ht="22.2" customHeight="1" s="330">
      <c r="A34" s="4" t="n"/>
      <c r="E34" s="4" t="n"/>
      <c r="F34" s="4" t="n"/>
      <c r="G34" s="17" t="inlineStr">
        <is>
          <t>จำนวนชั่วโมงสอนตามภาระงานสอน</t>
        </is>
      </c>
      <c r="H34" s="467" t="n"/>
      <c r="I34" s="467" t="n"/>
      <c r="J34" s="467" t="n"/>
      <c r="K34" s="362" t="n"/>
      <c r="L34" s="153" t="inlineStr">
        <is>
          <t>0</t>
        </is>
      </c>
      <c r="M34" s="362" t="n"/>
      <c r="N34" s="153" t="n"/>
      <c r="O34" s="152" t="n"/>
      <c r="P34" s="153" t="inlineStr">
        <is>
          <t>10</t>
        </is>
      </c>
      <c r="Q34" s="362" t="n"/>
      <c r="R34" s="249" t="n"/>
      <c r="S34" s="252" t="n"/>
    </row>
    <row r="35" ht="22.2" customHeight="1" s="330" thickBot="1">
      <c r="A35" s="4" t="n"/>
      <c r="E35" s="4" t="n"/>
      <c r="F35" s="15" t="n"/>
      <c r="G35" s="17" t="inlineStr">
        <is>
          <t>จำนวนชั่วโมงบิกเกินภาระงานสอน/ค่าสอน</t>
        </is>
      </c>
      <c r="H35" s="467" t="n"/>
      <c r="I35" s="467" t="n"/>
      <c r="J35" s="467" t="n"/>
      <c r="K35" s="362" t="n"/>
      <c r="L35" s="18" t="n">
        <v>0</v>
      </c>
      <c r="M35" s="18">
        <f>SUM(M7:M31)</f>
        <v/>
      </c>
      <c r="N35" s="18" t="n"/>
      <c r="O35" s="18">
        <f>SUM(O7:O31)</f>
        <v/>
      </c>
      <c r="P35" s="18" t="n">
        <v>0</v>
      </c>
      <c r="Q35" s="18">
        <f>SUM(Q7:Q31)</f>
        <v/>
      </c>
      <c r="R35" s="19" t="n"/>
      <c r="S35" s="18">
        <f>SUM(S7:S31)</f>
        <v/>
      </c>
    </row>
    <row r="36" ht="22.2" customHeight="1" s="330" thickTop="1">
      <c r="A36" s="299" t="inlineStr">
        <is>
          <t>รวมจำนวนหน่วยชั่วโมงที่ขอเบิกค่าสอน ….</t>
        </is>
      </c>
      <c r="B36" s="467" t="n"/>
      <c r="C36" s="467" t="n"/>
      <c r="D36" s="467" t="n"/>
      <c r="E36" s="467" t="n"/>
      <c r="F36" s="467" t="n"/>
      <c r="G36" s="467" t="n"/>
      <c r="H36" s="298">
        <f>M35+Q35</f>
        <v/>
      </c>
      <c r="I36" s="298" t="inlineStr">
        <is>
          <t>….ชั่วโมง</t>
        </is>
      </c>
      <c r="J36" s="298" t="n"/>
      <c r="K36" s="301" t="inlineStr">
        <is>
          <t>ยอดเงินรวม</t>
        </is>
      </c>
      <c r="L36" s="471" t="n"/>
      <c r="M36" s="471" t="n"/>
      <c r="N36" s="301" t="n"/>
      <c r="O36" s="301" t="n"/>
      <c r="P36" s="302">
        <f>S35+O35</f>
        <v/>
      </c>
      <c r="Q36" s="482" t="n"/>
      <c r="R36" s="21" t="n"/>
      <c r="S36" s="20" t="inlineStr">
        <is>
          <t>..บาท</t>
        </is>
      </c>
    </row>
    <row r="37" ht="22.2" customHeight="1" s="330">
      <c r="A37" s="207" t="inlineStr">
        <is>
          <t>ผู้ขอเบิก</t>
        </is>
      </c>
      <c r="B37" s="334" t="n"/>
      <c r="C37" s="334" t="n"/>
      <c r="D37" s="334" t="n"/>
      <c r="E37" s="334" t="n"/>
      <c r="F37" s="334" t="n"/>
      <c r="G37" s="335" t="n"/>
      <c r="H37" s="207" t="inlineStr">
        <is>
          <t>ผู้รับรอง</t>
        </is>
      </c>
      <c r="I37" s="334" t="n"/>
      <c r="J37" s="334" t="n"/>
      <c r="K37" s="334" t="n"/>
      <c r="L37" s="335" t="n"/>
      <c r="M37" s="207" t="inlineStr">
        <is>
          <t>ผู้ตรวจ</t>
        </is>
      </c>
      <c r="N37" s="334" t="n"/>
      <c r="O37" s="334" t="n"/>
      <c r="P37" s="334" t="n"/>
      <c r="Q37" s="334" t="n"/>
      <c r="R37" s="334" t="n"/>
      <c r="S37" s="335" t="n"/>
    </row>
    <row r="38" ht="22.2" customHeight="1" s="330">
      <c r="A38" s="252" t="inlineStr">
        <is>
          <t>ลงชื่อ……………………………………………</t>
        </is>
      </c>
      <c r="G38" s="331" t="n"/>
      <c r="H38" s="252" t="inlineStr">
        <is>
          <t>ลงชื่อ……………………………………………</t>
        </is>
      </c>
      <c r="L38" s="331" t="n"/>
      <c r="M38" s="252" t="inlineStr">
        <is>
          <t>ลงชื่อ……………………………………………</t>
        </is>
      </c>
      <c r="S38" s="331" t="n"/>
    </row>
    <row r="39" ht="22.2" customHeight="1" s="330">
      <c r="A39" s="12" t="inlineStr">
        <is>
          <t>(</t>
        </is>
      </c>
      <c r="B39" s="309">
        <f>B7</f>
        <v/>
      </c>
      <c r="G39" s="310" t="inlineStr">
        <is>
          <t>)</t>
        </is>
      </c>
      <c r="H39" s="309" t="inlineStr">
        <is>
          <t>(</t>
        </is>
      </c>
      <c r="I39" s="314" t="inlineStr">
        <is>
          <t xml:space="preserve">       นายอาทิตย์  แก้วแดง</t>
        </is>
      </c>
      <c r="L39" s="13" t="inlineStr">
        <is>
          <t>)</t>
        </is>
      </c>
      <c r="M39" s="61" t="inlineStr">
        <is>
          <t>(</t>
        </is>
      </c>
      <c r="N39" s="61" t="n"/>
      <c r="O39" s="309" t="inlineStr">
        <is>
          <t>นายทศวรรษ  คำสม</t>
        </is>
      </c>
      <c r="R39" s="29" t="n"/>
      <c r="S39" s="310" t="inlineStr">
        <is>
          <t>)</t>
        </is>
      </c>
    </row>
    <row r="40" ht="22.2" customHeight="1" s="330">
      <c r="A40" s="62" t="inlineStr">
        <is>
          <t>ตำแหน่ง  ครู</t>
        </is>
      </c>
      <c r="G40" s="331" t="n"/>
      <c r="H40" s="62" t="inlineStr">
        <is>
          <t>ตำแหน่ง หัวหน้าแผนก</t>
        </is>
      </c>
      <c r="L40" s="331" t="n"/>
      <c r="M40" s="62" t="inlineStr">
        <is>
          <t>ตำแหน่ง   ผู้ตรวจสอบ</t>
        </is>
      </c>
      <c r="S40" s="331" t="n"/>
    </row>
    <row r="41" ht="22.2" customHeight="1" s="330">
      <c r="A41" s="63" t="inlineStr">
        <is>
          <t>วันที่ 18  เดือน ธันวาคม  พ.ศ.2566</t>
        </is>
      </c>
      <c r="B41" s="471" t="n"/>
      <c r="C41" s="471" t="n"/>
      <c r="D41" s="471" t="n"/>
      <c r="E41" s="471" t="n"/>
      <c r="F41" s="471" t="n"/>
      <c r="G41" s="476" t="n"/>
      <c r="H41" s="62">
        <f>A41</f>
        <v/>
      </c>
      <c r="L41" s="331" t="n"/>
      <c r="M41" s="63">
        <f>A41</f>
        <v/>
      </c>
      <c r="N41" s="471" t="n"/>
      <c r="O41" s="471" t="n"/>
      <c r="P41" s="471" t="n"/>
      <c r="Q41" s="471" t="n"/>
      <c r="R41" s="471" t="n"/>
      <c r="S41" s="476" t="n"/>
    </row>
    <row r="42" ht="22.2" customHeight="1" s="330">
      <c r="A42" s="207" t="inlineStr">
        <is>
          <t>ผู้ตรวจ</t>
        </is>
      </c>
      <c r="B42" s="334" t="n"/>
      <c r="C42" s="334" t="n"/>
      <c r="D42" s="334" t="n"/>
      <c r="E42" s="334" t="n"/>
      <c r="F42" s="334" t="n"/>
      <c r="G42" s="334" t="n"/>
      <c r="H42" s="334" t="n"/>
      <c r="I42" s="335" t="n"/>
      <c r="J42" s="207" t="inlineStr">
        <is>
          <t>ผู้เห็นชอบ</t>
        </is>
      </c>
      <c r="K42" s="334" t="n"/>
      <c r="L42" s="334" t="n"/>
      <c r="M42" s="334" t="n"/>
      <c r="N42" s="334" t="n"/>
      <c r="O42" s="334" t="n"/>
      <c r="P42" s="334" t="n"/>
      <c r="Q42" s="334" t="n"/>
      <c r="R42" s="334" t="n"/>
      <c r="S42" s="335" t="n"/>
    </row>
    <row r="43" ht="22.2" customHeight="1" s="330">
      <c r="A43" s="252" t="inlineStr">
        <is>
          <t>ลงชื่อ……………………………………………</t>
        </is>
      </c>
      <c r="I43" s="331" t="n"/>
      <c r="J43" s="252" t="inlineStr">
        <is>
          <t>ลงชื่อ……………………………………………</t>
        </is>
      </c>
      <c r="S43" s="331" t="n"/>
    </row>
    <row r="44" ht="22.2" customHeight="1" s="330">
      <c r="A44" s="12" t="n"/>
      <c r="B44" s="309" t="inlineStr">
        <is>
          <t xml:space="preserve">                     (นายชัยณรงค์  สุขอิ่ม)</t>
        </is>
      </c>
      <c r="I44" s="310" t="n"/>
      <c r="J44" s="29" t="n"/>
      <c r="K44" s="29" t="n"/>
      <c r="L44" s="309" t="inlineStr">
        <is>
          <t xml:space="preserve">            (นายปรีชา  โพธิ์เกิด)</t>
        </is>
      </c>
      <c r="R44" s="29" t="n"/>
      <c r="S44" s="13" t="n"/>
    </row>
    <row r="45" ht="22.2" customHeight="1" s="330">
      <c r="A45" s="62" t="inlineStr">
        <is>
          <t>ตำแหน่งครู  หัวหน้างานพัฒนาหลักสูตร ฯ</t>
        </is>
      </c>
      <c r="I45" s="331" t="n"/>
      <c r="J45" s="62" t="inlineStr">
        <is>
          <t>ตำแหน่ง  รองผู้อำนวยการฝ่ายวิชาการ</t>
        </is>
      </c>
      <c r="S45" s="331" t="n"/>
    </row>
    <row r="46" ht="22.2" customHeight="1" s="330">
      <c r="A46" s="276" t="inlineStr">
        <is>
          <t>วันที่.......เดือน..........................พ.ศ..............</t>
        </is>
      </c>
      <c r="B46" s="471" t="n"/>
      <c r="C46" s="471" t="n"/>
      <c r="D46" s="471" t="n"/>
      <c r="E46" s="471" t="n"/>
      <c r="F46" s="471" t="n"/>
      <c r="G46" s="471" t="n"/>
      <c r="H46" s="471" t="n"/>
      <c r="I46" s="476" t="n"/>
      <c r="J46" s="276" t="inlineStr">
        <is>
          <t>วันที่.......เดือน..........................พ.ศ..............</t>
        </is>
      </c>
      <c r="K46" s="471" t="n"/>
      <c r="L46" s="471" t="n"/>
      <c r="M46" s="471" t="n"/>
      <c r="N46" s="471" t="n"/>
      <c r="O46" s="471" t="n"/>
      <c r="P46" s="471" t="n"/>
      <c r="Q46" s="471" t="n"/>
      <c r="R46" s="471" t="n"/>
      <c r="S46" s="476" t="n"/>
    </row>
    <row r="47" ht="22.2" customHeight="1" s="330">
      <c r="A47" s="254" t="inlineStr">
        <is>
          <t>ใบเบิกจ่ายเงินค่าสอนพิเศษและค่าสอนเกินภาระงานสอนในสถานศึกษา</t>
        </is>
      </c>
      <c r="AB47" s="240" t="n"/>
      <c r="AC47" s="240" t="n"/>
      <c r="AD47" s="240" t="n"/>
    </row>
    <row r="48" ht="22.2" customHeight="1" s="330">
      <c r="A48" s="254">
        <f>A2</f>
        <v/>
      </c>
      <c r="AB48" s="296" t="n"/>
    </row>
    <row r="49" ht="22.2" customHeight="1" s="330">
      <c r="A49" s="253" t="inlineStr">
        <is>
          <t xml:space="preserve">    ระหว่างวันที่</t>
        </is>
      </c>
      <c r="D49" s="254">
        <f>D3</f>
        <v/>
      </c>
      <c r="E49" s="254" t="inlineStr">
        <is>
          <t xml:space="preserve">   เดือน  </t>
        </is>
      </c>
      <c r="F49" s="254">
        <f>F3</f>
        <v/>
      </c>
      <c r="H49" s="254">
        <f>H3</f>
        <v/>
      </c>
      <c r="I49" s="254" t="inlineStr">
        <is>
          <t xml:space="preserve">     ถึง วันที่</t>
        </is>
      </c>
      <c r="J49" s="254">
        <f>J3</f>
        <v/>
      </c>
      <c r="K49" s="254" t="inlineStr">
        <is>
          <t xml:space="preserve">   เดือน </t>
        </is>
      </c>
      <c r="L49" s="254">
        <f>L3</f>
        <v/>
      </c>
      <c r="N49" s="254">
        <f>N3</f>
        <v/>
      </c>
      <c r="P49" s="254" t="n"/>
      <c r="R49" s="254" t="n"/>
      <c r="AB49" s="296" t="n"/>
    </row>
    <row r="50" ht="22.2" customHeight="1" s="330">
      <c r="G50" s="58" t="inlineStr">
        <is>
          <t>ü</t>
        </is>
      </c>
      <c r="H50" s="301" t="inlineStr">
        <is>
          <t>พนง.ราชการ</t>
        </is>
      </c>
      <c r="I50" s="249" t="inlineStr">
        <is>
          <t>หน้าที่พิเศษ</t>
        </is>
      </c>
      <c r="AB50" s="293" t="n"/>
    </row>
    <row r="51" ht="22.2" customHeight="1" s="330">
      <c r="A51" s="28" t="inlineStr">
        <is>
          <t>ที่</t>
        </is>
      </c>
      <c r="B51" s="28" t="inlineStr">
        <is>
          <t>ชื่อ-สกุล</t>
        </is>
      </c>
      <c r="C51" s="334" t="n"/>
      <c r="D51" s="335" t="n"/>
      <c r="E51" s="16" t="inlineStr">
        <is>
          <t>ตำแหน่ง</t>
        </is>
      </c>
      <c r="F51" s="17" t="inlineStr">
        <is>
          <t>ระยะเวลาที่สอน</t>
        </is>
      </c>
      <c r="G51" s="362" t="n"/>
      <c r="H51" s="17" t="inlineStr">
        <is>
          <t>รหัสวิชา</t>
        </is>
      </c>
      <c r="I51" s="275" t="inlineStr">
        <is>
          <t>ชั้น,แผนก,ห้อง</t>
        </is>
      </c>
      <c r="J51" s="17" t="inlineStr">
        <is>
          <t>เวลาสอน</t>
        </is>
      </c>
      <c r="K51" s="335" t="n"/>
      <c r="L51" s="17" t="inlineStr">
        <is>
          <t>ปวช.(คาบ)</t>
        </is>
      </c>
      <c r="M51" s="362" t="n"/>
      <c r="N51" s="275" t="inlineStr">
        <is>
          <t>เงิน</t>
        </is>
      </c>
      <c r="O51" s="275" t="inlineStr">
        <is>
          <t>ยอดเงิน</t>
        </is>
      </c>
      <c r="P51" s="473" t="inlineStr">
        <is>
          <t>ปวส.(คาบ)</t>
        </is>
      </c>
      <c r="Q51" s="362" t="n"/>
      <c r="R51" s="244" t="inlineStr">
        <is>
          <t>เงิน</t>
        </is>
      </c>
      <c r="S51" s="275" t="inlineStr">
        <is>
          <t>ยอดเงิน</t>
        </is>
      </c>
      <c r="AB51" s="296" t="n"/>
    </row>
    <row r="52" ht="22.2" customHeight="1" s="330">
      <c r="A52" s="60" t="n"/>
      <c r="B52" s="9" t="n"/>
      <c r="C52" s="10" t="n"/>
      <c r="D52" s="14" t="n"/>
      <c r="E52" s="11" t="n"/>
      <c r="F52" s="276" t="inlineStr">
        <is>
          <t>ส.</t>
        </is>
      </c>
      <c r="G52" s="276" t="inlineStr">
        <is>
          <t>วดป.</t>
        </is>
      </c>
      <c r="H52" s="474" t="n"/>
      <c r="I52" s="276" t="n"/>
      <c r="J52" s="475" t="n"/>
      <c r="K52" s="476" t="n"/>
      <c r="L52" s="276" t="inlineStr">
        <is>
          <t>ใน</t>
        </is>
      </c>
      <c r="M52" s="276" t="inlineStr">
        <is>
          <t>นอก</t>
        </is>
      </c>
      <c r="N52" s="276" t="inlineStr">
        <is>
          <t>ต่อ ชม.</t>
        </is>
      </c>
      <c r="O52" s="276" t="inlineStr">
        <is>
          <t>(บาท)</t>
        </is>
      </c>
      <c r="P52" s="60" t="inlineStr">
        <is>
          <t>ใน</t>
        </is>
      </c>
      <c r="Q52" s="60" t="inlineStr">
        <is>
          <t>นอก</t>
        </is>
      </c>
      <c r="R52" s="276" t="inlineStr">
        <is>
          <t>ต่อ ชม.</t>
        </is>
      </c>
      <c r="S52" s="276" t="inlineStr">
        <is>
          <t>(บาท)</t>
        </is>
      </c>
    </row>
    <row r="53" ht="22.2" customHeight="1" s="330">
      <c r="A53" s="275" t="n">
        <v>2</v>
      </c>
      <c r="B53" s="477">
        <f>AB4</f>
        <v/>
      </c>
      <c r="C53" s="334" t="n"/>
      <c r="D53" s="335" t="n"/>
      <c r="E53" s="275" t="inlineStr">
        <is>
          <t>พนักงาน</t>
        </is>
      </c>
      <c r="F53" s="6">
        <f>F7</f>
        <v/>
      </c>
      <c r="G53" s="303" t="inlineStr">
        <is>
          <t>จันทร์</t>
        </is>
      </c>
      <c r="H53" s="332" t="inlineStr">
        <is>
          <t>20101-8501</t>
        </is>
      </c>
      <c r="I53" s="325" t="inlineStr">
        <is>
          <t>ปวช.3/9,10 ชย. (ทวิ)</t>
        </is>
      </c>
      <c r="J53" s="488" t="inlineStr">
        <is>
          <t>15.10-19.10</t>
        </is>
      </c>
      <c r="K53" s="331" t="n"/>
      <c r="L53" s="265" t="n">
        <v>4</v>
      </c>
      <c r="M53" s="332" t="n"/>
      <c r="N53" s="332" t="n"/>
      <c r="O53" s="244">
        <f>M53*N53</f>
        <v/>
      </c>
      <c r="P53" s="332" t="n"/>
      <c r="Q53" s="265" t="n"/>
      <c r="R53" s="332" t="n"/>
      <c r="S53" s="244">
        <f>Q53*R53</f>
        <v/>
      </c>
    </row>
    <row r="54" ht="22.2" customHeight="1" s="330">
      <c r="A54" s="4" t="n"/>
      <c r="B54" s="478" t="n"/>
      <c r="D54" s="331" t="n"/>
      <c r="E54" s="252" t="inlineStr">
        <is>
          <t>ราชการ</t>
        </is>
      </c>
      <c r="F54" s="249" t="n"/>
      <c r="G54" s="308">
        <f>G8</f>
        <v/>
      </c>
      <c r="H54" s="325" t="n"/>
      <c r="I54" s="325" t="n"/>
      <c r="J54" s="252" t="n"/>
      <c r="K54" s="331" t="n"/>
      <c r="L54" s="252" t="n"/>
      <c r="M54" s="252" t="n"/>
      <c r="N54" s="252" t="n"/>
      <c r="O54" s="244">
        <f>M54*N54</f>
        <v/>
      </c>
      <c r="P54" s="252" t="n"/>
      <c r="Q54" s="252" t="n"/>
      <c r="R54" s="325" t="n"/>
      <c r="S54" s="244">
        <f>Q54*R54</f>
        <v/>
      </c>
    </row>
    <row r="55" ht="22.2" customHeight="1" s="330">
      <c r="A55" s="4" t="n"/>
      <c r="B55" s="5" t="n"/>
      <c r="D55" s="3" t="n"/>
      <c r="E55" s="3" t="n"/>
      <c r="F55" s="249" t="n"/>
      <c r="G55" s="248" t="n"/>
      <c r="H55" s="252" t="n"/>
      <c r="I55" s="325" t="n"/>
      <c r="J55" s="325" t="n"/>
      <c r="K55" s="331" t="n"/>
      <c r="L55" s="252" t="n"/>
      <c r="M55" s="252" t="n"/>
      <c r="N55" s="252" t="n"/>
      <c r="O55" s="244">
        <f>M55*N55</f>
        <v/>
      </c>
      <c r="P55" s="252" t="n"/>
      <c r="Q55" s="252" t="n"/>
      <c r="R55" s="252" t="n"/>
      <c r="S55" s="244">
        <f>Q55*R55</f>
        <v/>
      </c>
    </row>
    <row r="56" ht="22.2" customHeight="1" s="330">
      <c r="A56" s="4" t="n"/>
      <c r="B56" s="5" t="n"/>
      <c r="E56" s="4" t="n"/>
      <c r="F56" s="249" t="n"/>
      <c r="G56" s="248" t="n"/>
      <c r="H56" s="1" t="n"/>
      <c r="I56" s="1" t="n"/>
      <c r="J56" s="252" t="n"/>
      <c r="K56" s="331" t="n"/>
      <c r="L56" s="252" t="n"/>
      <c r="M56" s="252" t="n"/>
      <c r="N56" s="252" t="n"/>
      <c r="O56" s="244">
        <f>M56*N56</f>
        <v/>
      </c>
      <c r="P56" s="252" t="n"/>
      <c r="Q56" s="252" t="n"/>
      <c r="R56" s="252" t="n"/>
      <c r="S56" s="244">
        <f>Q56*R56</f>
        <v/>
      </c>
      <c r="Y56" s="71" t="n"/>
      <c r="Z56" s="71" t="n"/>
      <c r="AA56" s="71" t="n"/>
      <c r="AB56" s="71" t="n"/>
    </row>
    <row r="57" ht="22.2" customHeight="1" s="330">
      <c r="A57" s="4" t="n"/>
      <c r="E57" s="4" t="n"/>
      <c r="G57" s="311" t="n"/>
      <c r="H57" s="276" t="n"/>
      <c r="I57" s="276" t="n"/>
      <c r="J57" s="276" t="n"/>
      <c r="K57" s="476" t="n"/>
      <c r="L57" s="252" t="n"/>
      <c r="M57" s="252" t="n"/>
      <c r="N57" s="252" t="n"/>
      <c r="O57" s="244">
        <f>M57*N57</f>
        <v/>
      </c>
      <c r="P57" s="252" t="n"/>
      <c r="Q57" s="252" t="n"/>
      <c r="R57" s="252" t="n"/>
      <c r="S57" s="244">
        <f>Q57*R57</f>
        <v/>
      </c>
      <c r="Y57" s="72" t="n"/>
      <c r="Z57" s="72" t="n"/>
      <c r="AA57" s="72" t="n"/>
      <c r="AB57" s="72" t="n"/>
    </row>
    <row r="58" ht="22.2" customHeight="1" s="330">
      <c r="A58" s="4" t="n"/>
      <c r="E58" s="4" t="n"/>
      <c r="G58" s="62" t="inlineStr">
        <is>
          <t>อังคาร</t>
        </is>
      </c>
      <c r="H58" s="486" t="inlineStr">
        <is>
          <t>หยุด</t>
        </is>
      </c>
      <c r="I58" s="334" t="n"/>
      <c r="J58" s="334" t="n"/>
      <c r="K58" s="335" t="n"/>
      <c r="L58" s="265" t="n"/>
      <c r="M58" s="332" t="n"/>
      <c r="N58" s="332" t="n"/>
      <c r="O58" s="244">
        <f>M58*N58</f>
        <v/>
      </c>
      <c r="P58" s="332" t="n"/>
      <c r="Q58" s="265" t="n"/>
      <c r="R58" s="332" t="n"/>
      <c r="S58" s="244">
        <f>Q58*R58</f>
        <v/>
      </c>
      <c r="W58" s="72" t="n"/>
      <c r="X58" s="72" t="n"/>
      <c r="Y58" s="290" t="n"/>
      <c r="Z58" s="72" t="n"/>
      <c r="AA58" s="290" t="n"/>
      <c r="AB58" s="72" t="n"/>
    </row>
    <row r="59" ht="22.2" customHeight="1" s="330">
      <c r="A59" s="4" t="n"/>
      <c r="E59" s="4" t="n"/>
      <c r="G59" s="308">
        <f>G13</f>
        <v/>
      </c>
      <c r="H59" s="487" t="n"/>
      <c r="K59" s="331" t="n"/>
      <c r="L59" s="252" t="n"/>
      <c r="M59" s="252" t="n"/>
      <c r="N59" s="252" t="n"/>
      <c r="O59" s="244">
        <f>M59*N59</f>
        <v/>
      </c>
      <c r="P59" s="252" t="n"/>
      <c r="Q59" s="252" t="n"/>
      <c r="R59" s="325" t="n"/>
      <c r="S59" s="244">
        <f>Q59*R59</f>
        <v/>
      </c>
      <c r="W59" s="71" t="n"/>
      <c r="X59" s="71" t="n"/>
      <c r="Y59" s="71" t="n"/>
      <c r="Z59" s="72" t="n"/>
      <c r="AA59" s="73" t="n"/>
      <c r="AB59" s="72" t="n"/>
    </row>
    <row r="60" ht="22.2" customHeight="1" s="330">
      <c r="A60" s="4" t="n"/>
      <c r="B60" s="5" t="n"/>
      <c r="D60" s="3" t="n"/>
      <c r="E60" s="3" t="n"/>
      <c r="G60" s="252" t="n"/>
      <c r="H60" s="325" t="n"/>
      <c r="I60" s="325" t="n"/>
      <c r="J60" s="252" t="n"/>
      <c r="K60" s="331" t="n"/>
      <c r="L60" s="252" t="n"/>
      <c r="M60" s="252" t="n"/>
      <c r="N60" s="252" t="n"/>
      <c r="O60" s="244">
        <f>M60*N60</f>
        <v/>
      </c>
      <c r="P60" s="252" t="n"/>
      <c r="Q60" s="252" t="n"/>
      <c r="R60" s="252" t="n"/>
      <c r="S60" s="244">
        <f>Q60*R60</f>
        <v/>
      </c>
      <c r="W60" s="71" t="n"/>
      <c r="X60" s="71" t="n"/>
      <c r="Y60" s="71" t="n"/>
      <c r="Z60" s="72" t="n"/>
      <c r="AA60" s="73" t="n"/>
      <c r="AB60" s="72" t="n"/>
    </row>
    <row r="61" ht="22.2" customHeight="1" s="330">
      <c r="A61" s="4" t="n"/>
      <c r="E61" s="4" t="n"/>
      <c r="G61" s="62" t="n"/>
      <c r="H61" s="249" t="n"/>
      <c r="I61" s="252" t="n"/>
      <c r="J61" s="252" t="n"/>
      <c r="K61" s="331" t="n"/>
      <c r="L61" s="252" t="n"/>
      <c r="M61" s="252" t="n"/>
      <c r="N61" s="252" t="n"/>
      <c r="O61" s="244">
        <f>M61*N61</f>
        <v/>
      </c>
      <c r="P61" s="252" t="n"/>
      <c r="Q61" s="252" t="n"/>
      <c r="R61" s="252" t="n"/>
      <c r="S61" s="244">
        <f>Q61*R61</f>
        <v/>
      </c>
      <c r="T61" s="7" t="n"/>
      <c r="U61" s="23" t="inlineStr">
        <is>
          <t>เบิก ธุรการ</t>
        </is>
      </c>
      <c r="V61" s="66" t="n"/>
      <c r="W61" s="22" t="n"/>
      <c r="X61" s="22" t="n"/>
      <c r="Y61" s="71" t="n"/>
      <c r="Z61" s="72" t="n"/>
      <c r="AA61" s="73" t="n"/>
      <c r="AB61" s="72" t="n"/>
    </row>
    <row r="62" ht="22.2" customHeight="1" s="330">
      <c r="A62" s="4" t="n"/>
      <c r="D62" s="8" t="inlineStr">
        <is>
          <t> </t>
        </is>
      </c>
      <c r="E62" s="4" t="n"/>
      <c r="G62" s="63" t="n"/>
      <c r="H62" s="277" t="n"/>
      <c r="I62" s="276" t="n"/>
      <c r="J62" s="276" t="n"/>
      <c r="K62" s="476" t="n"/>
      <c r="L62" s="252" t="n"/>
      <c r="M62" s="252" t="n"/>
      <c r="N62" s="252" t="n"/>
      <c r="O62" s="244">
        <f>M62*N62</f>
        <v/>
      </c>
      <c r="P62" s="252" t="n"/>
      <c r="Q62" s="252" t="n"/>
      <c r="R62" s="252" t="n"/>
      <c r="S62" s="244">
        <f>Q62*R62</f>
        <v/>
      </c>
      <c r="T62" s="22" t="inlineStr">
        <is>
          <t> </t>
        </is>
      </c>
      <c r="U62" s="23" t="inlineStr">
        <is>
          <t>16.10-19.10</t>
        </is>
      </c>
      <c r="V62" s="66" t="n"/>
      <c r="W62" s="22" t="n"/>
      <c r="X62" s="22" t="n"/>
      <c r="Y62" s="71" t="n"/>
      <c r="Z62" s="71" t="n"/>
      <c r="AA62" s="71" t="n"/>
      <c r="AB62" s="71" t="n"/>
    </row>
    <row r="63" ht="22.2" customHeight="1" s="330">
      <c r="A63" s="4" t="n"/>
      <c r="D63" s="331" t="n"/>
      <c r="E63" s="56" t="n"/>
      <c r="G63" s="207" t="inlineStr">
        <is>
          <t>พุธ</t>
        </is>
      </c>
      <c r="H63" s="286" t="inlineStr">
        <is>
          <t>20101-2008</t>
        </is>
      </c>
      <c r="I63" s="325" t="inlineStr">
        <is>
          <t>ปวช.3/10 ชย. (ทวิ)</t>
        </is>
      </c>
      <c r="J63" s="332" t="inlineStr">
        <is>
          <t>08.10-12.10</t>
        </is>
      </c>
      <c r="K63" s="335" t="n"/>
      <c r="L63" s="332" t="n"/>
      <c r="M63" s="332" t="n">
        <v>4</v>
      </c>
      <c r="N63" s="332" t="n">
        <v>200</v>
      </c>
      <c r="O63" s="244">
        <f>M63*N63</f>
        <v/>
      </c>
      <c r="P63" s="332" t="n"/>
      <c r="Q63" s="332" t="n"/>
      <c r="R63" s="332" t="n"/>
      <c r="S63" s="244">
        <f>Q63*R63</f>
        <v/>
      </c>
      <c r="Y63" s="71" t="n"/>
      <c r="Z63" s="71" t="n"/>
      <c r="AA63" s="71" t="n"/>
      <c r="AB63" s="71" t="n"/>
    </row>
    <row r="64" ht="22.2" customHeight="1" s="330">
      <c r="A64" s="4" t="n"/>
      <c r="B64" s="248" t="n"/>
      <c r="C64" s="249" t="n"/>
      <c r="D64" s="249" t="n"/>
      <c r="E64" s="252" t="n"/>
      <c r="G64" s="62">
        <f>G18</f>
        <v/>
      </c>
      <c r="H64" s="286" t="n"/>
      <c r="I64" s="325" t="n"/>
      <c r="J64" s="252" t="n"/>
      <c r="K64" s="331" t="n"/>
      <c r="L64" s="252" t="n"/>
      <c r="M64" s="252" t="n"/>
      <c r="N64" s="252" t="n"/>
      <c r="O64" s="244">
        <f>M64*N64</f>
        <v/>
      </c>
      <c r="P64" s="252" t="n"/>
      <c r="Q64" s="252" t="n"/>
      <c r="R64" s="252" t="n"/>
      <c r="S64" s="244">
        <f>Q64*R64</f>
        <v/>
      </c>
      <c r="Y64" s="71" t="n"/>
      <c r="Z64" s="71" t="n"/>
      <c r="AA64" s="71" t="n"/>
      <c r="AB64" s="71" t="n"/>
    </row>
    <row r="65" ht="22.2" customHeight="1" s="330">
      <c r="A65" s="4" t="n"/>
      <c r="B65" s="5" t="n"/>
      <c r="D65" s="3" t="n"/>
      <c r="E65" s="3" t="n"/>
      <c r="G65" s="252" t="n"/>
      <c r="H65" s="325" t="n"/>
      <c r="I65" s="325" t="n"/>
      <c r="J65" s="252" t="n"/>
      <c r="K65" s="331" t="n"/>
      <c r="L65" s="252" t="n"/>
      <c r="M65" s="252" t="n"/>
      <c r="N65" s="252" t="n"/>
      <c r="O65" s="244">
        <f>M65*N65</f>
        <v/>
      </c>
      <c r="P65" s="252" t="n"/>
      <c r="Q65" s="252" t="n"/>
      <c r="R65" s="252" t="n"/>
      <c r="S65" s="244">
        <f>Q65*R65</f>
        <v/>
      </c>
      <c r="W65" s="71" t="n"/>
      <c r="X65" s="71" t="n"/>
    </row>
    <row r="66" ht="22.2" customHeight="1" s="330">
      <c r="A66" s="4" t="n"/>
      <c r="E66" s="4" t="n"/>
      <c r="G66" s="248" t="n"/>
      <c r="H66" s="252" t="n"/>
      <c r="I66" s="325" t="n"/>
      <c r="J66" s="252" t="n"/>
      <c r="K66" s="331" t="n"/>
      <c r="L66" s="252" t="n"/>
      <c r="M66" s="252" t="n"/>
      <c r="N66" s="252" t="n"/>
      <c r="O66" s="244">
        <f>M66*N66</f>
        <v/>
      </c>
      <c r="P66" s="252" t="n"/>
      <c r="Q66" s="252" t="n"/>
      <c r="R66" s="252" t="n"/>
      <c r="S66" s="244">
        <f>Q66*R66</f>
        <v/>
      </c>
      <c r="T66" s="25" t="n"/>
      <c r="U66" s="26" t="inlineStr">
        <is>
          <t xml:space="preserve">     PLC</t>
        </is>
      </c>
      <c r="V66" s="64" t="n"/>
      <c r="W66" s="27" t="n"/>
      <c r="X66" s="27" t="n"/>
      <c r="Z66" s="249" t="n"/>
      <c r="AA66" s="249" t="n"/>
      <c r="AB66" s="249" t="n"/>
    </row>
    <row r="67" ht="22.2" customHeight="1" s="330">
      <c r="A67" s="4" t="n"/>
      <c r="E67" s="4" t="n"/>
      <c r="G67" s="277" t="n"/>
      <c r="H67" s="276" t="n"/>
      <c r="I67" s="276" t="n"/>
      <c r="J67" s="276" t="n"/>
      <c r="K67" s="476" t="n"/>
      <c r="L67" s="276" t="n"/>
      <c r="M67" s="276" t="n"/>
      <c r="N67" s="276" t="n"/>
      <c r="O67" s="244">
        <f>M67*N67</f>
        <v/>
      </c>
      <c r="P67" s="276" t="n"/>
      <c r="Q67" s="276" t="n"/>
      <c r="R67" s="276" t="n"/>
      <c r="S67" s="244">
        <f>Q67*R67</f>
        <v/>
      </c>
      <c r="T67" s="27" t="inlineStr">
        <is>
          <t> </t>
        </is>
      </c>
      <c r="U67" s="26" t="inlineStr">
        <is>
          <t>17.10-19.10</t>
        </is>
      </c>
      <c r="V67" s="64" t="n"/>
      <c r="W67" s="27" t="n"/>
      <c r="X67" s="27" t="n"/>
      <c r="Y67" s="249" t="n"/>
      <c r="Z67" s="249" t="n"/>
      <c r="AA67" s="249" t="n"/>
      <c r="AB67" s="249" t="n"/>
    </row>
    <row r="68" ht="22.2" customHeight="1" s="330">
      <c r="A68" s="4" t="n"/>
      <c r="E68" s="4" t="n"/>
      <c r="G68" s="62" t="inlineStr">
        <is>
          <t>พฤหัส</t>
        </is>
      </c>
      <c r="H68" s="325" t="inlineStr">
        <is>
          <t>20101-2008</t>
        </is>
      </c>
      <c r="I68" s="325" t="inlineStr">
        <is>
          <t>ปวช.1/8 ชย. (ปกติ)</t>
        </is>
      </c>
      <c r="J68" s="332" t="inlineStr">
        <is>
          <t>08.10-12.10</t>
        </is>
      </c>
      <c r="K68" s="335" t="n"/>
      <c r="L68" s="252" t="n">
        <v>1</v>
      </c>
      <c r="M68" s="252" t="n">
        <v>3</v>
      </c>
      <c r="N68" s="252" t="n">
        <v>200</v>
      </c>
      <c r="O68" s="244">
        <f>M68*N68</f>
        <v/>
      </c>
      <c r="P68" s="252" t="n"/>
      <c r="Q68" s="275" t="n"/>
      <c r="R68" s="275" t="n"/>
      <c r="S68" s="244">
        <f>Q68*R68</f>
        <v/>
      </c>
      <c r="U68" s="249" t="n"/>
      <c r="V68" s="249" t="n"/>
      <c r="W68" s="249" t="n"/>
      <c r="X68" s="249" t="n"/>
      <c r="Y68" s="249" t="n"/>
      <c r="Z68" s="249" t="n"/>
      <c r="AA68" s="249" t="n"/>
      <c r="AB68" s="249" t="n"/>
    </row>
    <row r="69" ht="22.2" customHeight="1" s="330">
      <c r="A69" s="4" t="n"/>
      <c r="E69" s="4" t="n"/>
      <c r="G69" s="308">
        <f>G23</f>
        <v/>
      </c>
      <c r="H69" s="325" t="inlineStr">
        <is>
          <t>20000-2002</t>
        </is>
      </c>
      <c r="I69" s="325" t="inlineStr">
        <is>
          <t>ปวช.1/7,8 ชย. (ปกติ)</t>
        </is>
      </c>
      <c r="J69" s="488" t="inlineStr">
        <is>
          <t>13.10-15.10</t>
        </is>
      </c>
      <c r="K69" s="331" t="n"/>
      <c r="L69" s="252" t="n">
        <v>2</v>
      </c>
      <c r="M69" s="252" t="n"/>
      <c r="N69" s="252" t="n"/>
      <c r="O69" s="244">
        <f>M69*N69</f>
        <v/>
      </c>
      <c r="P69" s="252" t="n"/>
      <c r="Q69" s="252" t="n"/>
      <c r="R69" s="252" t="n"/>
      <c r="S69" s="244">
        <f>Q69*R69</f>
        <v/>
      </c>
      <c r="U69" s="249" t="n"/>
      <c r="V69" s="249" t="n"/>
      <c r="X69" s="249" t="n"/>
      <c r="Y69" s="249" t="n"/>
      <c r="Z69" s="249" t="n"/>
    </row>
    <row r="70" ht="22.2" customHeight="1" s="330">
      <c r="A70" s="4" t="n"/>
      <c r="B70" s="5" t="n"/>
      <c r="E70" s="4" t="n"/>
      <c r="G70" s="252" t="n"/>
      <c r="H70" s="325" t="inlineStr">
        <is>
          <t>20143-2004</t>
        </is>
      </c>
      <c r="I70" s="325" t="inlineStr">
        <is>
          <t>ปวช.1/1 ชยฟ. (ปกติ)</t>
        </is>
      </c>
      <c r="J70" s="488" t="inlineStr">
        <is>
          <t>15.10-19.10</t>
        </is>
      </c>
      <c r="K70" s="331" t="n"/>
      <c r="L70" s="325" t="n">
        <v>4</v>
      </c>
      <c r="M70" s="325" t="n"/>
      <c r="N70" s="325" t="n"/>
      <c r="O70" s="244">
        <f>M70*N70</f>
        <v/>
      </c>
      <c r="P70" s="325" t="n"/>
      <c r="Q70" s="325" t="n"/>
      <c r="R70" s="325" t="n"/>
      <c r="S70" s="244">
        <f>Q70*R70</f>
        <v/>
      </c>
      <c r="U70" s="249" t="n"/>
      <c r="V70" s="249" t="n"/>
      <c r="W70" s="249" t="n"/>
      <c r="X70" s="249" t="n"/>
      <c r="Y70" s="249" t="n"/>
      <c r="Z70" s="249" t="n"/>
    </row>
    <row r="71" ht="22.2" customHeight="1" s="330">
      <c r="A71" s="4" t="n"/>
      <c r="E71" s="4" t="n"/>
      <c r="G71" s="252" t="n"/>
      <c r="H71" s="252" t="n"/>
      <c r="I71" s="325" t="n"/>
      <c r="J71" s="325" t="n"/>
      <c r="K71" s="331" t="n"/>
      <c r="L71" s="252" t="n"/>
      <c r="M71" s="252" t="n"/>
      <c r="N71" s="252" t="n"/>
      <c r="O71" s="244">
        <f>M71*N71</f>
        <v/>
      </c>
      <c r="P71" s="325" t="n"/>
      <c r="Q71" s="252" t="n"/>
      <c r="R71" s="252" t="n"/>
      <c r="S71" s="244">
        <f>Q71*R71</f>
        <v/>
      </c>
      <c r="U71" s="249" t="n"/>
      <c r="V71" s="249" t="n"/>
      <c r="W71" s="249" t="n"/>
      <c r="X71" s="249" t="n"/>
      <c r="Y71" s="249" t="n"/>
      <c r="Z71" s="249" t="n"/>
    </row>
    <row r="72" ht="22.2" customHeight="1" s="330">
      <c r="A72" s="4" t="n"/>
      <c r="E72" s="4" t="n"/>
      <c r="G72" s="276" t="n"/>
      <c r="H72" s="276" t="n"/>
      <c r="I72" s="158" t="n"/>
      <c r="J72" s="276" t="n"/>
      <c r="K72" s="476" t="n"/>
      <c r="L72" s="276" t="n"/>
      <c r="M72" s="276" t="n"/>
      <c r="N72" s="276" t="n"/>
      <c r="O72" s="244">
        <f>M72*N72</f>
        <v/>
      </c>
      <c r="P72" s="252" t="n"/>
      <c r="Q72" s="276" t="n"/>
      <c r="R72" s="276" t="n"/>
      <c r="S72" s="244">
        <f>Q72*R72</f>
        <v/>
      </c>
      <c r="T72" s="249" t="n"/>
      <c r="U72" s="249" t="n"/>
      <c r="V72" s="249" t="n"/>
      <c r="W72" s="249" t="n"/>
      <c r="X72" s="249" t="n"/>
      <c r="Y72" s="249" t="n"/>
    </row>
    <row r="73" ht="22.2" customHeight="1" s="330">
      <c r="A73" s="4" t="n"/>
      <c r="B73" s="170" t="n"/>
      <c r="C73" s="171" t="n"/>
      <c r="D73" s="172" t="n"/>
      <c r="E73" s="173" t="n"/>
      <c r="F73" s="172" t="n"/>
      <c r="G73" s="62" t="inlineStr">
        <is>
          <t>ศุกร์</t>
        </is>
      </c>
      <c r="H73" s="332" t="inlineStr">
        <is>
          <t>20143-2102</t>
        </is>
      </c>
      <c r="I73" s="325" t="inlineStr">
        <is>
          <t>ปวช.1/1 ชยฟ. (ปกติ)</t>
        </is>
      </c>
      <c r="J73" s="332" t="inlineStr">
        <is>
          <t>08.10-12.10</t>
        </is>
      </c>
      <c r="K73" s="335" t="n"/>
      <c r="L73" s="252" t="n">
        <v>4</v>
      </c>
      <c r="M73" s="252" t="n"/>
      <c r="N73" s="252" t="n"/>
      <c r="O73" s="244">
        <f>M73*N73</f>
        <v/>
      </c>
      <c r="P73" s="275" t="n"/>
      <c r="Q73" s="265" t="n"/>
      <c r="R73" s="332" t="n"/>
      <c r="S73" s="244">
        <f>Q73*R73</f>
        <v/>
      </c>
      <c r="T73" s="249" t="n"/>
      <c r="U73" s="249" t="n"/>
      <c r="V73" s="249" t="n"/>
      <c r="W73" s="249" t="n"/>
      <c r="X73" s="249" t="n"/>
      <c r="Y73" s="249" t="n"/>
    </row>
    <row r="74" ht="22.2" customHeight="1" s="330">
      <c r="A74" s="4" t="n"/>
      <c r="D74" s="3" t="n"/>
      <c r="E74" s="4" t="n"/>
      <c r="G74" s="308">
        <f>G28</f>
        <v/>
      </c>
      <c r="H74" s="325" t="inlineStr">
        <is>
          <t>20143-2102</t>
        </is>
      </c>
      <c r="I74" s="325" t="inlineStr">
        <is>
          <t>ปวช.1/1 ชยฟ. (ปกติ)</t>
        </is>
      </c>
      <c r="J74" s="488" t="inlineStr">
        <is>
          <t>13.10-16.10</t>
        </is>
      </c>
      <c r="K74" s="331" t="n"/>
      <c r="L74" s="252" t="n">
        <v>3</v>
      </c>
      <c r="M74" s="252" t="n"/>
      <c r="N74" s="252" t="n"/>
      <c r="O74" s="244">
        <f>M74*N74</f>
        <v/>
      </c>
      <c r="P74" s="252" t="n"/>
      <c r="Q74" s="252" t="n"/>
      <c r="R74" s="252" t="n"/>
      <c r="S74" s="244">
        <f>Q74*R74</f>
        <v/>
      </c>
      <c r="W74" s="249" t="n"/>
      <c r="X74" s="249" t="n"/>
      <c r="Y74" s="249" t="n"/>
    </row>
    <row r="75" ht="22.2" customHeight="1" s="330">
      <c r="A75" s="4" t="n"/>
      <c r="B75" s="170" t="n"/>
      <c r="C75" s="171" t="n"/>
      <c r="D75" s="172" t="n"/>
      <c r="E75" s="173" t="n"/>
      <c r="F75" s="172" t="n"/>
      <c r="G75" s="252" t="n"/>
      <c r="H75" s="325" t="n"/>
      <c r="I75" s="325" t="n"/>
      <c r="J75" s="252" t="n"/>
      <c r="K75" s="331" t="n"/>
      <c r="L75" s="252" t="n"/>
      <c r="M75" s="252" t="n"/>
      <c r="N75" s="252" t="n"/>
      <c r="O75" s="244">
        <f>M75*N75</f>
        <v/>
      </c>
      <c r="P75" s="252" t="n"/>
      <c r="Q75" s="252" t="n"/>
      <c r="R75" s="252" t="n"/>
      <c r="S75" s="244">
        <f>Q75*R75</f>
        <v/>
      </c>
      <c r="T75" s="249" t="n"/>
      <c r="U75" s="249" t="n"/>
      <c r="V75" s="249" t="n"/>
      <c r="W75" s="249" t="n"/>
      <c r="X75" s="249" t="n"/>
      <c r="Y75" s="249" t="n"/>
    </row>
    <row r="76" ht="22.2" customHeight="1" s="330">
      <c r="A76" s="4" t="n"/>
      <c r="E76" s="4" t="n"/>
      <c r="G76" s="252" t="n"/>
      <c r="H76" s="252" t="n"/>
      <c r="I76" s="325" t="n"/>
      <c r="J76" s="325" t="n"/>
      <c r="K76" s="331" t="n"/>
      <c r="L76" s="252" t="n"/>
      <c r="M76" s="252" t="n"/>
      <c r="N76" s="252" t="n"/>
      <c r="O76" s="244">
        <f>M76*N76</f>
        <v/>
      </c>
      <c r="P76" s="252" t="n"/>
      <c r="Q76" s="252" t="n"/>
      <c r="R76" s="252" t="n"/>
      <c r="S76" s="244">
        <f>Q76*R76</f>
        <v/>
      </c>
      <c r="T76" s="287" t="inlineStr">
        <is>
          <t>สอน ป.ตรี</t>
        </is>
      </c>
    </row>
    <row r="77" ht="22.2" customHeight="1" s="330">
      <c r="A77" s="4" t="n"/>
      <c r="E77" s="4" t="n"/>
      <c r="F77" s="4" t="n"/>
      <c r="G77" s="278" t="n"/>
      <c r="H77" s="252" t="n"/>
      <c r="I77" s="325" t="n"/>
      <c r="J77" s="252" t="n"/>
      <c r="K77" s="331" t="n"/>
      <c r="L77" s="276" t="n"/>
      <c r="M77" s="276" t="n"/>
      <c r="N77" s="276" t="n"/>
      <c r="O77" s="244">
        <f>M77*N77</f>
        <v/>
      </c>
      <c r="P77" s="252" t="n"/>
      <c r="Q77" s="276" t="n"/>
      <c r="R77" s="276" t="n"/>
      <c r="S77" s="244">
        <f>Q77*R77</f>
        <v/>
      </c>
      <c r="T77" s="24" t="n"/>
      <c r="U77" s="24" t="inlineStr">
        <is>
          <t>17.10-20.10</t>
        </is>
      </c>
      <c r="V77" s="65" t="n"/>
      <c r="W77" s="24" t="n"/>
      <c r="X77" s="24" t="n"/>
    </row>
    <row r="78" ht="22.2" customHeight="1" s="330">
      <c r="A78" s="4" t="n"/>
      <c r="E78" s="4" t="n"/>
      <c r="F78" s="4" t="n"/>
      <c r="G78" s="17" t="inlineStr">
        <is>
          <t>รวมขั่วโมงที่สอนแยก ภาระงาน/ เกินภาระงาน</t>
        </is>
      </c>
      <c r="H78" s="467" t="n"/>
      <c r="I78" s="467" t="n"/>
      <c r="J78" s="467" t="n"/>
      <c r="K78" s="362" t="n"/>
      <c r="L78" s="17">
        <f>SUM(L53:L77)</f>
        <v/>
      </c>
      <c r="M78" s="17">
        <f>SUM(M53:M77)</f>
        <v/>
      </c>
      <c r="N78" s="17" t="n"/>
      <c r="O78" s="17" t="n"/>
      <c r="P78" s="17">
        <f>SUM(P53:P77)</f>
        <v/>
      </c>
      <c r="Q78" s="17">
        <f>SUM(Q53:Q77)</f>
        <v/>
      </c>
      <c r="R78" s="279" t="n"/>
      <c r="S78" s="17" t="n"/>
    </row>
    <row r="79" ht="22.2" customHeight="1" s="330">
      <c r="A79" s="4" t="n"/>
      <c r="E79" s="4" t="n"/>
      <c r="F79" s="4" t="n"/>
      <c r="G79" s="17" t="inlineStr">
        <is>
          <t>รวมจำนวนชั่วโมงสอนคาบต่อสับดาห์</t>
        </is>
      </c>
      <c r="H79" s="467" t="n"/>
      <c r="I79" s="467" t="n"/>
      <c r="J79" s="467" t="n"/>
      <c r="K79" s="362" t="n"/>
      <c r="L79" s="17">
        <f>L78+M78</f>
        <v/>
      </c>
      <c r="M79" s="362" t="n"/>
      <c r="N79" s="17" t="n"/>
      <c r="O79" s="298" t="n"/>
      <c r="P79" s="17">
        <f>P78+Q78</f>
        <v/>
      </c>
      <c r="Q79" s="362" t="n"/>
      <c r="R79" s="278" t="n"/>
      <c r="S79" s="276" t="n"/>
    </row>
    <row r="80" ht="22.2" customHeight="1" s="330">
      <c r="A80" s="4" t="n"/>
      <c r="E80" s="4" t="n"/>
      <c r="F80" s="4" t="n"/>
      <c r="G80" s="17" t="inlineStr">
        <is>
          <t>จำนวนชั่วโมงสอนตามภาระงานสอน</t>
        </is>
      </c>
      <c r="H80" s="467" t="n"/>
      <c r="I80" s="467" t="n"/>
      <c r="J80" s="467" t="n"/>
      <c r="K80" s="362" t="n"/>
      <c r="L80" s="17" t="n">
        <v>18</v>
      </c>
      <c r="M80" s="362" t="n"/>
      <c r="N80" s="298" t="n"/>
      <c r="O80" s="17" t="n"/>
      <c r="P80" s="17" t="n">
        <v>0</v>
      </c>
      <c r="Q80" s="362" t="n"/>
      <c r="R80" s="249" t="n"/>
      <c r="S80" s="252" t="n"/>
    </row>
    <row r="81" ht="22.2" customHeight="1" s="330" thickBot="1">
      <c r="A81" s="4" t="n"/>
      <c r="E81" s="4" t="n"/>
      <c r="F81" s="15" t="n"/>
      <c r="G81" s="17" t="inlineStr">
        <is>
          <t>จำนวนชั่วโมงบิกเกินภาระงานสอน/ค่าสอน</t>
        </is>
      </c>
      <c r="H81" s="467" t="n"/>
      <c r="I81" s="467" t="n"/>
      <c r="J81" s="467" t="n"/>
      <c r="K81" s="362" t="n"/>
      <c r="L81" s="18" t="n">
        <v>0</v>
      </c>
      <c r="M81" s="18">
        <f>SUM(M53:M77)</f>
        <v/>
      </c>
      <c r="N81" s="18" t="n"/>
      <c r="O81" s="18">
        <f>SUM(O53:O77)</f>
        <v/>
      </c>
      <c r="P81" s="18" t="n">
        <v>0</v>
      </c>
      <c r="Q81" s="18">
        <f>SUM(Q53:Q77)</f>
        <v/>
      </c>
      <c r="R81" s="19" t="n"/>
      <c r="S81" s="18">
        <f>SUM(S53:S77)</f>
        <v/>
      </c>
    </row>
    <row r="82" ht="22.2" customHeight="1" s="330" thickTop="1">
      <c r="A82" s="299" t="inlineStr">
        <is>
          <t>รวมจำนวนหน่วยชั่วโมงที่ขอเบิกค่าสอน ….</t>
        </is>
      </c>
      <c r="B82" s="467" t="n"/>
      <c r="C82" s="467" t="n"/>
      <c r="D82" s="467" t="n"/>
      <c r="E82" s="467" t="n"/>
      <c r="F82" s="467" t="n"/>
      <c r="G82" s="467" t="n"/>
      <c r="H82" s="298">
        <f>M81+Q81</f>
        <v/>
      </c>
      <c r="I82" s="298" t="inlineStr">
        <is>
          <t>….ชั่วโมง</t>
        </is>
      </c>
      <c r="J82" s="298" t="n"/>
      <c r="K82" s="301" t="inlineStr">
        <is>
          <t>ยอดเงินรวม</t>
        </is>
      </c>
      <c r="L82" s="471" t="n"/>
      <c r="M82" s="471" t="n"/>
      <c r="N82" s="301" t="n"/>
      <c r="O82" s="301" t="n"/>
      <c r="P82" s="302">
        <f>S81+O81</f>
        <v/>
      </c>
      <c r="Q82" s="482" t="n"/>
      <c r="R82" s="21" t="n"/>
      <c r="S82" s="20" t="inlineStr">
        <is>
          <t>..บาท</t>
        </is>
      </c>
    </row>
    <row r="83" ht="22.2" customHeight="1" s="330">
      <c r="A83" s="207" t="inlineStr">
        <is>
          <t>ผู้ขอเบิก</t>
        </is>
      </c>
      <c r="B83" s="334" t="n"/>
      <c r="C83" s="334" t="n"/>
      <c r="D83" s="334" t="n"/>
      <c r="E83" s="334" t="n"/>
      <c r="F83" s="334" t="n"/>
      <c r="G83" s="335" t="n"/>
      <c r="H83" s="207" t="inlineStr">
        <is>
          <t>ผู้รับรอง</t>
        </is>
      </c>
      <c r="I83" s="334" t="n"/>
      <c r="J83" s="334" t="n"/>
      <c r="K83" s="334" t="n"/>
      <c r="L83" s="335" t="n"/>
      <c r="M83" s="207" t="inlineStr">
        <is>
          <t>ผู้ตรวจ</t>
        </is>
      </c>
      <c r="N83" s="334" t="n"/>
      <c r="O83" s="334" t="n"/>
      <c r="P83" s="334" t="n"/>
      <c r="Q83" s="334" t="n"/>
      <c r="R83" s="334" t="n"/>
      <c r="S83" s="335" t="n"/>
      <c r="T83" s="317" t="n"/>
    </row>
    <row r="84" ht="22.2" customHeight="1" s="330">
      <c r="A84" s="252" t="inlineStr">
        <is>
          <t>ลงชื่อ……………………………………………</t>
        </is>
      </c>
      <c r="G84" s="331" t="n"/>
      <c r="H84" s="252" t="inlineStr">
        <is>
          <t>ลงชื่อ……………………………………………</t>
        </is>
      </c>
      <c r="L84" s="331" t="n"/>
      <c r="M84" s="252" t="inlineStr">
        <is>
          <t>ลงชื่อ……………………………………………</t>
        </is>
      </c>
      <c r="S84" s="331" t="n"/>
    </row>
    <row r="85" ht="22.2" customHeight="1" s="330">
      <c r="A85" s="12" t="inlineStr">
        <is>
          <t>(</t>
        </is>
      </c>
      <c r="B85" s="309">
        <f>B53</f>
        <v/>
      </c>
      <c r="G85" s="310" t="inlineStr">
        <is>
          <t>)</t>
        </is>
      </c>
      <c r="H85" s="309" t="inlineStr">
        <is>
          <t>(</t>
        </is>
      </c>
      <c r="I85" s="314">
        <f>I39</f>
        <v/>
      </c>
      <c r="L85" s="13" t="inlineStr">
        <is>
          <t>)</t>
        </is>
      </c>
      <c r="M85" s="61" t="inlineStr">
        <is>
          <t>(</t>
        </is>
      </c>
      <c r="N85" s="61" t="n"/>
      <c r="O85" s="309" t="inlineStr">
        <is>
          <t>นายทศวรรษ  คำสม</t>
        </is>
      </c>
      <c r="R85" s="29" t="n"/>
      <c r="S85" s="310" t="inlineStr">
        <is>
          <t>)</t>
        </is>
      </c>
    </row>
    <row r="86" ht="22.2" customHeight="1" s="330">
      <c r="A86" s="483" t="inlineStr">
        <is>
          <t xml:space="preserve">                    ตำแหน่ง  พนักงานราชการ</t>
        </is>
      </c>
      <c r="G86" s="331" t="n"/>
      <c r="H86" s="62" t="inlineStr">
        <is>
          <t>ตำแหน่ง หัวหน้าแผนก</t>
        </is>
      </c>
      <c r="L86" s="331" t="n"/>
      <c r="M86" s="62" t="inlineStr">
        <is>
          <t>ตำแหน่ง   ผู้ตรวจสอบ</t>
        </is>
      </c>
      <c r="S86" s="331" t="n"/>
    </row>
    <row r="87" ht="22.2" customHeight="1" s="330">
      <c r="A87" s="63">
        <f>A41</f>
        <v/>
      </c>
      <c r="B87" s="471" t="n"/>
      <c r="C87" s="471" t="n"/>
      <c r="D87" s="471" t="n"/>
      <c r="E87" s="471" t="n"/>
      <c r="F87" s="471" t="n"/>
      <c r="G87" s="476" t="n"/>
      <c r="H87" s="62">
        <f>A41</f>
        <v/>
      </c>
      <c r="L87" s="331" t="n"/>
      <c r="M87" s="63">
        <f>A41</f>
        <v/>
      </c>
      <c r="N87" s="471" t="n"/>
      <c r="O87" s="471" t="n"/>
      <c r="P87" s="471" t="n"/>
      <c r="Q87" s="471" t="n"/>
      <c r="R87" s="471" t="n"/>
      <c r="S87" s="476" t="n"/>
    </row>
    <row r="88" ht="22.2" customHeight="1" s="330">
      <c r="A88" s="207" t="inlineStr">
        <is>
          <t>ผู้ตรวจ</t>
        </is>
      </c>
      <c r="B88" s="334" t="n"/>
      <c r="C88" s="334" t="n"/>
      <c r="D88" s="334" t="n"/>
      <c r="E88" s="334" t="n"/>
      <c r="F88" s="334" t="n"/>
      <c r="G88" s="334" t="n"/>
      <c r="H88" s="334" t="n"/>
      <c r="I88" s="335" t="n"/>
      <c r="J88" s="207" t="inlineStr">
        <is>
          <t>ผู้เห็นชอบ</t>
        </is>
      </c>
      <c r="K88" s="334" t="n"/>
      <c r="L88" s="334" t="n"/>
      <c r="M88" s="334" t="n"/>
      <c r="N88" s="334" t="n"/>
      <c r="O88" s="334" t="n"/>
      <c r="P88" s="334" t="n"/>
      <c r="Q88" s="334" t="n"/>
      <c r="R88" s="334" t="n"/>
      <c r="S88" s="335" t="n"/>
    </row>
    <row r="89" ht="22.2" customHeight="1" s="330">
      <c r="A89" s="252" t="inlineStr">
        <is>
          <t>ลงชื่อ……………………………………………</t>
        </is>
      </c>
      <c r="I89" s="331" t="n"/>
      <c r="J89" s="252" t="inlineStr">
        <is>
          <t>ลงชื่อ……………………………………………</t>
        </is>
      </c>
      <c r="S89" s="331" t="n"/>
    </row>
    <row r="90" ht="22.2" customHeight="1" s="330">
      <c r="A90" s="12" t="n"/>
      <c r="B90" s="309" t="inlineStr">
        <is>
          <t xml:space="preserve">                     (นายชัยณรงค์  สุขอิ่ม)</t>
        </is>
      </c>
      <c r="I90" s="310" t="n"/>
      <c r="J90" s="29" t="n"/>
      <c r="K90" s="29" t="n"/>
      <c r="L90" s="309" t="inlineStr">
        <is>
          <t xml:space="preserve">           (นายปรีชา  โพธิ์เกิด)</t>
        </is>
      </c>
      <c r="R90" s="29" t="n"/>
      <c r="S90" s="13" t="n"/>
    </row>
    <row r="91" ht="22.2" customHeight="1" s="330">
      <c r="A91" s="62" t="inlineStr">
        <is>
          <t>ตำแหน่งครู  หัวหน้างานพัฒนาหลักสูตร ฯ</t>
        </is>
      </c>
      <c r="I91" s="331" t="n"/>
      <c r="J91" s="62" t="inlineStr">
        <is>
          <t>ตำแหน่ง  รองผู้อำนวยการฝ่ายวิชาการ</t>
        </is>
      </c>
      <c r="S91" s="331" t="n"/>
    </row>
    <row r="92" ht="22.2" customHeight="1" s="330">
      <c r="A92" s="276" t="inlineStr">
        <is>
          <t>วันที่.......เดือน..........................พ.ศ..............</t>
        </is>
      </c>
      <c r="B92" s="471" t="n"/>
      <c r="C92" s="471" t="n"/>
      <c r="D92" s="471" t="n"/>
      <c r="E92" s="471" t="n"/>
      <c r="F92" s="471" t="n"/>
      <c r="G92" s="471" t="n"/>
      <c r="H92" s="471" t="n"/>
      <c r="I92" s="476" t="n"/>
      <c r="J92" s="276" t="inlineStr">
        <is>
          <t>วันที่.......เดือน..........................พ.ศ..............</t>
        </is>
      </c>
      <c r="K92" s="471" t="n"/>
      <c r="L92" s="471" t="n"/>
      <c r="M92" s="471" t="n"/>
      <c r="N92" s="471" t="n"/>
      <c r="O92" s="471" t="n"/>
      <c r="P92" s="471" t="n"/>
      <c r="Q92" s="471" t="n"/>
      <c r="R92" s="471" t="n"/>
      <c r="S92" s="476" t="n"/>
    </row>
    <row r="93" ht="22.2" customHeight="1" s="330">
      <c r="A9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4" ht="22.2" customHeight="1" s="330">
      <c r="A94" s="254">
        <f>A2</f>
        <v/>
      </c>
    </row>
    <row r="95" ht="22.2" customHeight="1" s="330">
      <c r="A95" s="253" t="inlineStr">
        <is>
          <t xml:space="preserve">    ระหว่างวันที่</t>
        </is>
      </c>
      <c r="D95" s="254">
        <f>D3</f>
        <v/>
      </c>
      <c r="E95" s="254" t="inlineStr">
        <is>
          <t xml:space="preserve">   เดือน  </t>
        </is>
      </c>
      <c r="F95" s="254">
        <f>F3</f>
        <v/>
      </c>
      <c r="H95" s="254">
        <f>H3</f>
        <v/>
      </c>
      <c r="I95" s="254" t="inlineStr">
        <is>
          <t xml:space="preserve">     ถึง วันที่</t>
        </is>
      </c>
      <c r="J95" s="254">
        <f>J3</f>
        <v/>
      </c>
      <c r="K95" s="254" t="inlineStr">
        <is>
          <t xml:space="preserve">   เดือน </t>
        </is>
      </c>
      <c r="L95" s="254">
        <f>L3</f>
        <v/>
      </c>
      <c r="N95" s="254">
        <f>N3</f>
        <v/>
      </c>
      <c r="P95" s="254" t="n"/>
      <c r="R95" s="254" t="n"/>
    </row>
    <row r="96" ht="22.2" customHeight="1" s="330">
      <c r="G96" s="58" t="inlineStr">
        <is>
          <t>ü</t>
        </is>
      </c>
      <c r="H96" s="290" t="inlineStr">
        <is>
          <t>ครู</t>
        </is>
      </c>
      <c r="I96" s="249" t="inlineStr">
        <is>
          <t>หน้าที่พิเศษ</t>
        </is>
      </c>
      <c r="J96" s="8" t="inlineStr">
        <is>
          <t>หัวหน้างานบุคลากร</t>
        </is>
      </c>
    </row>
    <row r="97" ht="22.2" customHeight="1" s="330">
      <c r="A97" s="28" t="inlineStr">
        <is>
          <t>ที่</t>
        </is>
      </c>
      <c r="B97" s="28" t="inlineStr">
        <is>
          <t>ชื่อ-สกุล</t>
        </is>
      </c>
      <c r="C97" s="334" t="n"/>
      <c r="D97" s="335" t="n"/>
      <c r="E97" s="16" t="inlineStr">
        <is>
          <t>ตำแหน่ง</t>
        </is>
      </c>
      <c r="F97" s="17" t="inlineStr">
        <is>
          <t>ระยะเวลาที่สอน</t>
        </is>
      </c>
      <c r="G97" s="362" t="n"/>
      <c r="H97" s="17" t="inlineStr">
        <is>
          <t>รหัสวิชา</t>
        </is>
      </c>
      <c r="I97" s="275" t="inlineStr">
        <is>
          <t>ชั้น,แผนก,ห้อง</t>
        </is>
      </c>
      <c r="J97" s="17" t="inlineStr">
        <is>
          <t>เวลาสอน</t>
        </is>
      </c>
      <c r="K97" s="335" t="n"/>
      <c r="L97" s="17" t="inlineStr">
        <is>
          <t>ปวช.(คาบ)</t>
        </is>
      </c>
      <c r="M97" s="362" t="n"/>
      <c r="N97" s="244" t="inlineStr">
        <is>
          <t>เงิน</t>
        </is>
      </c>
      <c r="O97" s="275" t="inlineStr">
        <is>
          <t>ยอดเงิน</t>
        </is>
      </c>
      <c r="P97" s="473" t="inlineStr">
        <is>
          <t>ปวส.(คาบ)</t>
        </is>
      </c>
      <c r="Q97" s="362" t="n"/>
      <c r="R97" s="244" t="inlineStr">
        <is>
          <t>เงิน</t>
        </is>
      </c>
      <c r="S97" s="275" t="inlineStr">
        <is>
          <t>ยอดเงิน</t>
        </is>
      </c>
    </row>
    <row r="98" ht="22.2" customHeight="1" s="330">
      <c r="A98" s="60" t="n"/>
      <c r="B98" s="9" t="n"/>
      <c r="C98" s="10" t="n"/>
      <c r="D98" s="14" t="n"/>
      <c r="E98" s="11" t="n"/>
      <c r="F98" s="276" t="inlineStr">
        <is>
          <t>ส.</t>
        </is>
      </c>
      <c r="G98" s="276" t="inlineStr">
        <is>
          <t>วดป.</t>
        </is>
      </c>
      <c r="H98" s="474" t="n"/>
      <c r="I98" s="276" t="n"/>
      <c r="J98" s="475" t="n"/>
      <c r="K98" s="476" t="n"/>
      <c r="L98" s="276" t="inlineStr">
        <is>
          <t>ใน</t>
        </is>
      </c>
      <c r="M98" s="276" t="inlineStr">
        <is>
          <t>นอก</t>
        </is>
      </c>
      <c r="N98" s="276" t="inlineStr">
        <is>
          <t>ต่อ ชม.</t>
        </is>
      </c>
      <c r="O98" s="276" t="inlineStr">
        <is>
          <t>(บาท)</t>
        </is>
      </c>
      <c r="P98" s="60" t="inlineStr">
        <is>
          <t>ใน</t>
        </is>
      </c>
      <c r="Q98" s="60" t="inlineStr">
        <is>
          <t>นอก</t>
        </is>
      </c>
      <c r="R98" s="276" t="inlineStr">
        <is>
          <t>ต่อ ชม.</t>
        </is>
      </c>
      <c r="S98" s="276" t="inlineStr">
        <is>
          <t>(บาท)</t>
        </is>
      </c>
    </row>
    <row r="99" ht="22.2" customHeight="1" s="330">
      <c r="A99" s="275" t="n">
        <v>3</v>
      </c>
      <c r="B99" s="477">
        <f>AB5</f>
        <v/>
      </c>
      <c r="C99" s="334" t="n"/>
      <c r="D99" s="335" t="n"/>
      <c r="E99" s="275" t="inlineStr">
        <is>
          <t>ครู</t>
        </is>
      </c>
      <c r="F99" s="6">
        <f>F7</f>
        <v/>
      </c>
      <c r="G99" s="303" t="inlineStr">
        <is>
          <t>จันทร์</t>
        </is>
      </c>
      <c r="H99" s="332" t="inlineStr">
        <is>
          <t>20101-2010</t>
        </is>
      </c>
      <c r="I99" s="325" t="inlineStr">
        <is>
          <t>ปวช.2/2 ชย. (ปกติ)</t>
        </is>
      </c>
      <c r="J99" s="252" t="inlineStr">
        <is>
          <t>13.10-17.10</t>
        </is>
      </c>
      <c r="K99" s="331" t="n"/>
      <c r="L99" s="265" t="n"/>
      <c r="M99" s="332" t="n"/>
      <c r="N99" s="332" t="n"/>
      <c r="O99" s="244">
        <f>M99*N99</f>
        <v/>
      </c>
      <c r="P99" s="332" t="n"/>
      <c r="Q99" s="265" t="n"/>
      <c r="R99" s="332" t="n"/>
      <c r="S99" s="244">
        <f>Q99*R99</f>
        <v/>
      </c>
    </row>
    <row r="100" ht="22.2" customHeight="1" s="330">
      <c r="A100" s="4" t="n"/>
      <c r="B100" s="478" t="n"/>
      <c r="D100" s="331" t="n"/>
      <c r="E100" s="252" t="n"/>
      <c r="F100" s="249" t="n"/>
      <c r="G100" s="308">
        <f>G54</f>
        <v/>
      </c>
      <c r="H100" s="210" t="n"/>
      <c r="I100" s="210" t="n"/>
      <c r="J100" s="210" t="n"/>
      <c r="K100" s="331" t="n"/>
      <c r="L100" s="252" t="n"/>
      <c r="M100" s="252" t="n"/>
      <c r="N100" s="252" t="n"/>
      <c r="O100" s="244">
        <f>M100*N100</f>
        <v/>
      </c>
      <c r="P100" s="252" t="n"/>
      <c r="Q100" s="252" t="n"/>
      <c r="R100" s="252" t="n"/>
      <c r="S100" s="244">
        <f>Q100*R100</f>
        <v/>
      </c>
    </row>
    <row r="101" ht="22.2" customHeight="1" s="330">
      <c r="A101" s="4" t="n"/>
      <c r="B101" s="5" t="n"/>
      <c r="D101" s="52" t="n"/>
      <c r="E101" s="3" t="n"/>
      <c r="F101" s="249" t="n"/>
      <c r="G101" s="308" t="n"/>
      <c r="H101" s="1" t="n"/>
      <c r="I101" s="1" t="n"/>
      <c r="J101" s="1" t="n"/>
      <c r="K101" s="331" t="n"/>
      <c r="L101" s="252" t="n"/>
      <c r="M101" s="252" t="n"/>
      <c r="N101" s="252" t="n"/>
      <c r="O101" s="244">
        <f>M101*N101</f>
        <v/>
      </c>
      <c r="P101" s="252" t="n"/>
      <c r="Q101" s="252" t="n"/>
      <c r="R101" s="252" t="n"/>
      <c r="S101" s="244">
        <f>Q101*R101</f>
        <v/>
      </c>
    </row>
    <row r="102" ht="22.2" customHeight="1" s="330">
      <c r="A102" s="4" t="n"/>
      <c r="B102" s="5" t="n"/>
      <c r="D102" s="70" t="n"/>
      <c r="E102" s="4" t="n"/>
      <c r="F102" s="249" t="n"/>
      <c r="G102" s="308" t="n"/>
      <c r="H102" s="252" t="n"/>
      <c r="I102" s="1" t="n"/>
      <c r="J102" s="1" t="n"/>
      <c r="K102" s="331" t="n"/>
      <c r="L102" s="252" t="n"/>
      <c r="M102" s="252" t="n"/>
      <c r="N102" s="252" t="n"/>
      <c r="O102" s="244">
        <f>M102*N102</f>
        <v/>
      </c>
      <c r="P102" s="252" t="n"/>
      <c r="Q102" s="252" t="n"/>
      <c r="R102" s="252" t="n"/>
      <c r="S102" s="244">
        <f>Q102*R102</f>
        <v/>
      </c>
    </row>
    <row r="103" ht="22.2" customHeight="1" s="330">
      <c r="A103" s="4" t="n"/>
      <c r="E103" s="4" t="n"/>
      <c r="G103" s="63" t="n"/>
      <c r="H103" s="276" t="n"/>
      <c r="I103" s="276" t="n"/>
      <c r="J103" s="276" t="n"/>
      <c r="K103" s="476" t="n"/>
      <c r="L103" s="252" t="n"/>
      <c r="M103" s="252" t="n"/>
      <c r="N103" s="252" t="n"/>
      <c r="O103" s="244">
        <f>M103*N103</f>
        <v/>
      </c>
      <c r="P103" s="252" t="n"/>
      <c r="Q103" s="252" t="n"/>
      <c r="R103" s="252" t="n"/>
      <c r="S103" s="244">
        <f>Q103*R103</f>
        <v/>
      </c>
    </row>
    <row r="104" ht="22.2" customHeight="1" s="330">
      <c r="A104" s="4" t="n"/>
      <c r="E104" s="4" t="n"/>
      <c r="G104" s="62" t="inlineStr">
        <is>
          <t>อังคาร</t>
        </is>
      </c>
      <c r="H104" s="332" t="inlineStr">
        <is>
          <t>20101-2010</t>
        </is>
      </c>
      <c r="I104" s="325" t="inlineStr">
        <is>
          <t>ปวช.2/3 ชย. (ปกติ)</t>
        </is>
      </c>
      <c r="J104" s="332" t="inlineStr">
        <is>
          <t>08.10-12.10</t>
        </is>
      </c>
      <c r="K104" s="335" t="n"/>
      <c r="L104" s="265" t="n"/>
      <c r="M104" s="332" t="n"/>
      <c r="N104" s="332" t="n"/>
      <c r="O104" s="244">
        <f>M104*N104</f>
        <v/>
      </c>
      <c r="P104" s="332" t="n"/>
      <c r="Q104" s="265" t="n"/>
      <c r="R104" s="332" t="n"/>
      <c r="S104" s="244">
        <f>Q104*R104</f>
        <v/>
      </c>
      <c r="T104" s="287" t="inlineStr">
        <is>
          <t>สอน ป.ตรี</t>
        </is>
      </c>
    </row>
    <row r="105" ht="22.2" customHeight="1" s="330">
      <c r="A105" s="4" t="n"/>
      <c r="E105" s="4" t="n"/>
      <c r="G105" s="308">
        <f>G59</f>
        <v/>
      </c>
      <c r="H105" s="325" t="n"/>
      <c r="I105" s="325" t="n"/>
      <c r="J105" s="252" t="n"/>
      <c r="K105" s="331" t="n"/>
      <c r="L105" s="252" t="n"/>
      <c r="M105" s="252" t="n"/>
      <c r="N105" s="252" t="n"/>
      <c r="O105" s="244">
        <f>M105*N105</f>
        <v/>
      </c>
      <c r="P105" s="252" t="n"/>
      <c r="Q105" s="252" t="n"/>
      <c r="R105" s="252" t="n"/>
      <c r="S105" s="244">
        <f>Q105*R105</f>
        <v/>
      </c>
      <c r="T105" s="24" t="n"/>
      <c r="U105" s="24" t="inlineStr">
        <is>
          <t>17.10-20.10</t>
        </is>
      </c>
      <c r="V105" s="65" t="n"/>
      <c r="W105" s="24" t="n"/>
      <c r="X105" s="24" t="n"/>
    </row>
    <row r="106" ht="22.2" customHeight="1" s="330">
      <c r="A106" s="4" t="n"/>
      <c r="B106" s="5" t="n"/>
      <c r="D106" s="3" t="n"/>
      <c r="E106" s="3" t="n"/>
      <c r="G106" s="252" t="n"/>
      <c r="H106" s="325" t="n"/>
      <c r="I106" s="325" t="n"/>
      <c r="J106" s="252" t="n"/>
      <c r="K106" s="331" t="n"/>
      <c r="L106" s="252" t="n"/>
      <c r="M106" s="252" t="n"/>
      <c r="N106" s="252" t="n"/>
      <c r="O106" s="244">
        <f>M106*N106</f>
        <v/>
      </c>
      <c r="P106" s="252" t="n"/>
      <c r="Q106" s="252" t="n"/>
      <c r="R106" s="252" t="n"/>
      <c r="S106" s="244">
        <f>Q106*R106</f>
        <v/>
      </c>
    </row>
    <row r="107" ht="22.2" customHeight="1" s="330">
      <c r="A107" s="4" t="n"/>
      <c r="B107" s="5" t="n"/>
      <c r="D107" s="3" t="n"/>
      <c r="E107" s="3" t="n"/>
      <c r="G107" s="62" t="n"/>
      <c r="H107" s="252" t="n"/>
      <c r="I107" s="252" t="n"/>
      <c r="J107" s="252" t="n"/>
      <c r="K107" s="331" t="n"/>
      <c r="L107" s="252" t="n"/>
      <c r="M107" s="252" t="n"/>
      <c r="N107" s="252" t="n"/>
      <c r="O107" s="244">
        <f>M107*N107</f>
        <v/>
      </c>
      <c r="P107" s="252" t="n"/>
      <c r="Q107" s="252" t="n"/>
      <c r="R107" s="252" t="n"/>
      <c r="S107" s="244">
        <f>Q107*R107</f>
        <v/>
      </c>
    </row>
    <row r="108" ht="22.2" customHeight="1" s="330">
      <c r="A108" s="4" t="n"/>
      <c r="B108" s="5" t="n"/>
      <c r="E108" s="4" t="n"/>
      <c r="G108" s="63" t="n"/>
      <c r="H108" s="276" t="n"/>
      <c r="I108" s="276" t="n"/>
      <c r="J108" s="276" t="n"/>
      <c r="K108" s="476" t="n"/>
      <c r="L108" s="252" t="n"/>
      <c r="M108" s="252" t="n"/>
      <c r="N108" s="252" t="n"/>
      <c r="O108" s="244">
        <f>M108*N108</f>
        <v/>
      </c>
      <c r="P108" s="252" t="n"/>
      <c r="Q108" s="252" t="n"/>
      <c r="R108" s="252" t="n"/>
      <c r="S108" s="244">
        <f>Q108*R108</f>
        <v/>
      </c>
    </row>
    <row r="109" ht="22.2" customHeight="1" s="330">
      <c r="A109" s="4" t="n"/>
      <c r="E109" s="4" t="n"/>
      <c r="G109" s="308" t="inlineStr">
        <is>
          <t>พุธ</t>
        </is>
      </c>
      <c r="H109" s="332" t="inlineStr">
        <is>
          <t>20101-2010</t>
        </is>
      </c>
      <c r="I109" s="325" t="inlineStr">
        <is>
          <t>ปวช.3/9 ชย. (ทวิ)</t>
        </is>
      </c>
      <c r="J109" s="332" t="inlineStr">
        <is>
          <t>08.10-12.10</t>
        </is>
      </c>
      <c r="K109" s="335" t="n"/>
      <c r="L109" s="265" t="n"/>
      <c r="M109" s="332" t="n"/>
      <c r="N109" s="332" t="n"/>
      <c r="O109" s="244">
        <f>M109*N109</f>
        <v/>
      </c>
      <c r="P109" s="332" t="n"/>
      <c r="Q109" s="265" t="n"/>
      <c r="R109" s="332" t="n"/>
      <c r="S109" s="244">
        <f>Q109*R109</f>
        <v/>
      </c>
    </row>
    <row r="110" ht="22.2" customHeight="1" s="330">
      <c r="A110" s="4" t="n"/>
      <c r="E110" s="4" t="n"/>
      <c r="G110" s="308">
        <f>G64</f>
        <v/>
      </c>
      <c r="H110" s="325" t="inlineStr">
        <is>
          <t>20101-2010</t>
        </is>
      </c>
      <c r="I110" s="325" t="inlineStr">
        <is>
          <t>ปวช.3/10 ชย. (ทวิ)</t>
        </is>
      </c>
      <c r="J110" s="252" t="inlineStr">
        <is>
          <t>13.10-17.10</t>
        </is>
      </c>
      <c r="K110" s="331" t="n"/>
      <c r="L110" s="252" t="n"/>
      <c r="M110" s="252" t="n"/>
      <c r="N110" s="252" t="n"/>
      <c r="O110" s="244">
        <f>M110*N110</f>
        <v/>
      </c>
      <c r="P110" s="252" t="n"/>
      <c r="Q110" s="252" t="n"/>
      <c r="R110" s="252" t="n"/>
      <c r="S110" s="244">
        <f>Q110*R110</f>
        <v/>
      </c>
    </row>
    <row r="111" ht="22.2" customHeight="1" s="330">
      <c r="A111" s="4" t="n"/>
      <c r="E111" s="4" t="n"/>
      <c r="G111" s="252" t="n"/>
      <c r="H111" s="325" t="n"/>
      <c r="I111" s="325" t="n"/>
      <c r="J111" s="325" t="n"/>
      <c r="K111" s="331" t="n"/>
      <c r="L111" s="252" t="n"/>
      <c r="M111" s="252" t="n"/>
      <c r="N111" s="252" t="n"/>
      <c r="O111" s="244">
        <f>M111*N111</f>
        <v/>
      </c>
      <c r="P111" s="252" t="n"/>
      <c r="Q111" s="252" t="n"/>
      <c r="R111" s="252" t="n"/>
      <c r="S111" s="244">
        <f>Q111*R111</f>
        <v/>
      </c>
    </row>
    <row r="112" ht="22.2" customHeight="1" s="330">
      <c r="A112" s="4" t="n"/>
      <c r="B112" s="5" t="n"/>
      <c r="D112" s="3" t="n"/>
      <c r="E112" s="3" t="n"/>
      <c r="G112" s="248" t="n"/>
      <c r="H112" s="252" t="n"/>
      <c r="I112" s="325" t="n"/>
      <c r="J112" s="252" t="n"/>
      <c r="K112" s="331" t="n"/>
      <c r="L112" s="252" t="n"/>
      <c r="M112" s="252" t="n"/>
      <c r="N112" s="252" t="n"/>
      <c r="O112" s="244">
        <f>M112*N112</f>
        <v/>
      </c>
      <c r="P112" s="252" t="n"/>
      <c r="Q112" s="252" t="n"/>
      <c r="R112" s="252" t="n"/>
      <c r="S112" s="244">
        <f>Q112*R112</f>
        <v/>
      </c>
    </row>
    <row r="113" ht="22.2" customHeight="1" s="330">
      <c r="A113" s="4" t="n"/>
      <c r="E113" s="4" t="n"/>
      <c r="G113" s="277" t="n"/>
      <c r="H113" s="277" t="n"/>
      <c r="I113" s="276" t="n"/>
      <c r="J113" s="276" t="n"/>
      <c r="K113" s="476" t="n"/>
      <c r="L113" s="276" t="n"/>
      <c r="M113" s="276" t="n"/>
      <c r="N113" s="276" t="n"/>
      <c r="O113" s="244">
        <f>M113*N113</f>
        <v/>
      </c>
      <c r="P113" s="276" t="n"/>
      <c r="Q113" s="276" t="n"/>
      <c r="R113" s="276" t="n"/>
      <c r="S113" s="244">
        <f>Q113*R113</f>
        <v/>
      </c>
    </row>
    <row r="114" ht="22.2" customHeight="1" s="330">
      <c r="A114" s="4" t="n"/>
      <c r="D114" s="8" t="inlineStr">
        <is>
          <t> </t>
        </is>
      </c>
      <c r="E114" s="4" t="n"/>
      <c r="G114" s="62" t="inlineStr">
        <is>
          <t>พฤหัส</t>
        </is>
      </c>
      <c r="H114" s="325" t="inlineStr">
        <is>
          <t>20101-5102</t>
        </is>
      </c>
      <c r="I114" s="325" t="inlineStr">
        <is>
          <t>ปวช.2/10 ชย. (ทวิ)</t>
        </is>
      </c>
      <c r="J114" s="275" t="inlineStr">
        <is>
          <t>08.10-12.10</t>
        </is>
      </c>
      <c r="K114" s="335" t="n"/>
      <c r="L114" s="252" t="n"/>
      <c r="M114" s="252" t="n"/>
      <c r="N114" s="252" t="n"/>
      <c r="O114" s="244">
        <f>M114*N114</f>
        <v/>
      </c>
      <c r="P114" s="252" t="n"/>
      <c r="Q114" s="275" t="n"/>
      <c r="R114" s="275" t="n"/>
      <c r="S114" s="244">
        <f>Q114*R114</f>
        <v/>
      </c>
      <c r="T114" s="287" t="inlineStr">
        <is>
          <t>สอน ป.ตรี</t>
        </is>
      </c>
    </row>
    <row r="115" ht="22.2" customHeight="1" s="330">
      <c r="A115" s="4" t="n"/>
      <c r="E115" s="4" t="n"/>
      <c r="G115" s="308">
        <f>G69</f>
        <v/>
      </c>
      <c r="H115" s="325" t="inlineStr">
        <is>
          <t>20000*2005</t>
        </is>
      </c>
      <c r="I115" s="325" t="inlineStr">
        <is>
          <t>ปวช.3/1,2 ชย. (ปกติ)</t>
        </is>
      </c>
      <c r="J115" s="252" t="inlineStr">
        <is>
          <t>13.10-15.10</t>
        </is>
      </c>
      <c r="K115" s="331" t="n"/>
      <c r="L115" s="252" t="n"/>
      <c r="M115" s="252" t="n"/>
      <c r="N115" s="252" t="n"/>
      <c r="O115" s="244">
        <f>M115*N115</f>
        <v/>
      </c>
      <c r="P115" s="252" t="n"/>
      <c r="Q115" s="252" t="n"/>
      <c r="R115" s="252" t="n"/>
      <c r="S115" s="244">
        <f>Q115*R115</f>
        <v/>
      </c>
      <c r="T115" s="24" t="n"/>
      <c r="U115" s="24" t="inlineStr">
        <is>
          <t>17.10-20.10</t>
        </is>
      </c>
      <c r="V115" s="65" t="n"/>
      <c r="W115" s="24" t="n"/>
      <c r="X115" s="24" t="n"/>
    </row>
    <row r="116" ht="22.2" customHeight="1" s="330">
      <c r="A116" s="4" t="n"/>
      <c r="B116" s="5" t="n"/>
      <c r="E116" s="4" t="n"/>
      <c r="G116" s="252" t="n"/>
      <c r="H116" s="325" t="inlineStr">
        <is>
          <t>20101-5102</t>
        </is>
      </c>
      <c r="I116" s="325" t="inlineStr">
        <is>
          <t>ปวช.2/10 ชย. (ทวิ)</t>
        </is>
      </c>
      <c r="J116" s="252" t="inlineStr">
        <is>
          <t>15.10-18.10</t>
        </is>
      </c>
      <c r="K116" s="331" t="n"/>
      <c r="L116" s="325" t="n"/>
      <c r="M116" s="325" t="n"/>
      <c r="N116" s="325" t="n"/>
      <c r="O116" s="244">
        <f>M116*N116</f>
        <v/>
      </c>
      <c r="P116" s="325" t="n"/>
      <c r="Q116" s="325" t="n"/>
      <c r="R116" s="325" t="n"/>
      <c r="S116" s="244">
        <f>Q116*R116</f>
        <v/>
      </c>
    </row>
    <row r="117" ht="22.2" customHeight="1" s="330">
      <c r="A117" s="4" t="n"/>
      <c r="E117" s="4" t="n"/>
      <c r="G117" s="252" t="n"/>
      <c r="H117" s="252" t="n"/>
      <c r="I117" s="252" t="n"/>
      <c r="J117" s="252" t="n"/>
      <c r="K117" s="331" t="n"/>
      <c r="L117" s="252" t="n"/>
      <c r="M117" s="252" t="n"/>
      <c r="N117" s="252" t="n"/>
      <c r="O117" s="244">
        <f>M117*N117</f>
        <v/>
      </c>
      <c r="P117" s="252" t="n"/>
      <c r="Q117" s="252" t="n"/>
      <c r="R117" s="252" t="n"/>
      <c r="S117" s="244">
        <f>Q117*R117</f>
        <v/>
      </c>
    </row>
    <row r="118" ht="22.2" customHeight="1" s="330">
      <c r="A118" s="4" t="n"/>
      <c r="E118" s="4" t="n"/>
      <c r="G118" s="276" t="n"/>
      <c r="H118" s="301" t="n"/>
      <c r="I118" s="276" t="n"/>
      <c r="J118" s="276" t="n"/>
      <c r="K118" s="476" t="n"/>
      <c r="L118" s="276" t="n"/>
      <c r="M118" s="276" t="n"/>
      <c r="N118" s="276" t="n"/>
      <c r="O118" s="244">
        <f>M118*N118</f>
        <v/>
      </c>
      <c r="P118" s="276" t="n"/>
      <c r="Q118" s="276" t="n"/>
      <c r="R118" s="276" t="n"/>
      <c r="S118" s="244">
        <f>Q118*R118</f>
        <v/>
      </c>
    </row>
    <row r="119" ht="22.2" customHeight="1" s="330">
      <c r="A119" s="4" t="n"/>
      <c r="E119" s="4" t="n"/>
      <c r="G119" s="62" t="inlineStr">
        <is>
          <t>ศุกร์</t>
        </is>
      </c>
      <c r="H119" s="325" t="n"/>
      <c r="I119" s="325" t="n"/>
      <c r="J119" s="325" t="n"/>
      <c r="K119" s="331" t="n"/>
      <c r="L119" s="332" t="n"/>
      <c r="M119" s="275" t="n"/>
      <c r="N119" s="275" t="n"/>
      <c r="O119" s="244">
        <f>M119*N119</f>
        <v/>
      </c>
      <c r="P119" s="332" t="n"/>
      <c r="Q119" s="332" t="n"/>
      <c r="R119" s="332" t="n"/>
      <c r="S119" s="244">
        <f>Q119*R119</f>
        <v/>
      </c>
      <c r="T119" s="25" t="n"/>
      <c r="U119" s="26" t="inlineStr">
        <is>
          <t xml:space="preserve">     PLC</t>
        </is>
      </c>
      <c r="V119" s="64" t="n"/>
      <c r="W119" s="27" t="n"/>
      <c r="X119" s="27" t="n"/>
    </row>
    <row r="120" ht="22.2" customHeight="1" s="330">
      <c r="A120" s="4" t="n"/>
      <c r="E120" s="4" t="n"/>
      <c r="G120" s="308">
        <f>G74</f>
        <v/>
      </c>
      <c r="H120" s="325" t="n"/>
      <c r="I120" s="325" t="n"/>
      <c r="J120" s="325" t="n"/>
      <c r="K120" s="331" t="n"/>
      <c r="L120" s="252" t="n"/>
      <c r="M120" s="252" t="n"/>
      <c r="N120" s="252" t="n"/>
      <c r="O120" s="244">
        <f>M120*N120</f>
        <v/>
      </c>
      <c r="P120" s="252" t="n"/>
      <c r="Q120" s="252" t="n"/>
      <c r="R120" s="252" t="n"/>
      <c r="S120" s="244">
        <f>Q120*R120</f>
        <v/>
      </c>
      <c r="T120" s="27" t="inlineStr">
        <is>
          <t> </t>
        </is>
      </c>
      <c r="U120" s="26" t="inlineStr">
        <is>
          <t>17.10-19.10</t>
        </is>
      </c>
      <c r="V120" s="64" t="n"/>
      <c r="W120" s="27" t="n"/>
      <c r="X120" s="27" t="n"/>
    </row>
    <row r="121" ht="22.2" customHeight="1" s="330">
      <c r="A121" s="4" t="n"/>
      <c r="E121" s="4" t="n"/>
      <c r="G121" s="252" t="n"/>
      <c r="H121" s="56" t="n"/>
      <c r="I121" s="331" t="n"/>
      <c r="J121" s="484" t="n"/>
      <c r="K121" s="331" t="n"/>
      <c r="L121" s="252" t="n"/>
      <c r="M121" s="252" t="n"/>
      <c r="N121" s="252" t="n"/>
      <c r="O121" s="244">
        <f>M121*N121</f>
        <v/>
      </c>
      <c r="P121" s="252" t="n"/>
      <c r="Q121" s="252" t="n"/>
      <c r="R121" s="252" t="n"/>
      <c r="S121" s="244">
        <f>Q121*R121</f>
        <v/>
      </c>
    </row>
    <row r="122" ht="22.2" customHeight="1" s="330">
      <c r="A122" s="4" t="n"/>
      <c r="E122" s="4" t="n"/>
      <c r="G122" s="252" t="n"/>
      <c r="H122" s="252" t="inlineStr">
        <is>
          <t> </t>
        </is>
      </c>
      <c r="I122" s="252" t="n"/>
      <c r="J122" s="250" t="n"/>
      <c r="K122" s="331" t="n"/>
      <c r="L122" s="252" t="n"/>
      <c r="M122" s="252" t="n"/>
      <c r="N122" s="252" t="n"/>
      <c r="O122" s="244">
        <f>M122*N122</f>
        <v/>
      </c>
      <c r="P122" s="252" t="n"/>
      <c r="Q122" s="252" t="n"/>
      <c r="R122" s="252" t="n"/>
      <c r="S122" s="244">
        <f>Q122*R122</f>
        <v/>
      </c>
    </row>
    <row r="123" ht="22.2" customHeight="1" s="330">
      <c r="A123" s="4" t="n"/>
      <c r="E123" s="4" t="n"/>
      <c r="F123" s="4" t="n"/>
      <c r="G123" s="278" t="n"/>
      <c r="H123" s="276" t="n"/>
      <c r="I123" s="276" t="n"/>
      <c r="J123" s="276" t="n"/>
      <c r="K123" s="476" t="n"/>
      <c r="L123" s="276" t="n"/>
      <c r="M123" s="276" t="n"/>
      <c r="N123" s="276" t="n"/>
      <c r="O123" s="244">
        <f>M123*N123</f>
        <v/>
      </c>
      <c r="P123" s="276" t="n"/>
      <c r="Q123" s="276" t="n"/>
      <c r="R123" s="276" t="n"/>
      <c r="S123" s="244">
        <f>Q123*R123</f>
        <v/>
      </c>
    </row>
    <row r="124" ht="22.2" customHeight="1" s="330">
      <c r="A124" s="4" t="n"/>
      <c r="E124" s="4" t="n"/>
      <c r="F124" s="4" t="n"/>
      <c r="G124" s="17" t="inlineStr">
        <is>
          <t>รวมขั่วโมงที่สอนแยก ภาระงาน/ เกินภาระงาน</t>
        </is>
      </c>
      <c r="H124" s="467" t="n"/>
      <c r="I124" s="467" t="n"/>
      <c r="J124" s="467" t="n"/>
      <c r="K124" s="362" t="n"/>
      <c r="L124" s="17">
        <f>SUM(L99:L123)</f>
        <v/>
      </c>
      <c r="M124" s="17">
        <f>SUM(M99:M123)</f>
        <v/>
      </c>
      <c r="N124" s="17" t="n"/>
      <c r="O124" s="17" t="n"/>
      <c r="P124" s="17">
        <f>SUM(P99:P123)</f>
        <v/>
      </c>
      <c r="Q124" s="17">
        <f>SUM(Q99:Q123)</f>
        <v/>
      </c>
      <c r="R124" s="279" t="n"/>
      <c r="S124" s="17" t="n"/>
    </row>
    <row r="125" ht="22.2" customHeight="1" s="330">
      <c r="A125" s="4" t="n"/>
      <c r="E125" s="4" t="n"/>
      <c r="F125" s="4" t="n"/>
      <c r="G125" s="17" t="inlineStr">
        <is>
          <t>รวมจำนวนชั่วโมงสอนคาบต่อสับดาห์</t>
        </is>
      </c>
      <c r="H125" s="467" t="n"/>
      <c r="I125" s="467" t="n"/>
      <c r="J125" s="467" t="n"/>
      <c r="K125" s="362" t="n"/>
      <c r="L125" s="17">
        <f>L124+M124</f>
        <v/>
      </c>
      <c r="M125" s="362" t="n"/>
      <c r="N125" s="298" t="n"/>
      <c r="O125" s="17" t="n"/>
      <c r="P125" s="17">
        <f>P124+Q124</f>
        <v/>
      </c>
      <c r="Q125" s="362" t="n"/>
      <c r="R125" s="278" t="n"/>
      <c r="S125" s="276" t="n"/>
    </row>
    <row r="126" ht="22.2" customHeight="1" s="330">
      <c r="A126" s="4" t="n"/>
      <c r="E126" s="4" t="n"/>
      <c r="F126" s="4" t="n"/>
      <c r="G126" s="17" t="inlineStr">
        <is>
          <t>จำนวนชั่วโมงสอนตามภาระงานสอน</t>
        </is>
      </c>
      <c r="H126" s="467" t="n"/>
      <c r="I126" s="467" t="n"/>
      <c r="J126" s="467" t="n"/>
      <c r="K126" s="362" t="n"/>
      <c r="L126" s="17" t="n">
        <v>12</v>
      </c>
      <c r="M126" s="362" t="n"/>
      <c r="N126" s="17" t="n"/>
      <c r="O126" s="298" t="n"/>
      <c r="P126" s="153" t="inlineStr">
        <is>
          <t>0</t>
        </is>
      </c>
      <c r="Q126" s="362" t="n"/>
      <c r="R126" s="249" t="n"/>
      <c r="S126" s="252" t="n"/>
    </row>
    <row r="127" ht="22.2" customHeight="1" s="330" thickBot="1">
      <c r="A127" s="4" t="n"/>
      <c r="E127" s="4" t="n"/>
      <c r="F127" s="15" t="n"/>
      <c r="G127" s="17" t="inlineStr">
        <is>
          <t>จำนวนชั่วโมงบิกเกินภาระงานสอน/ค่าสอน</t>
        </is>
      </c>
      <c r="H127" s="467" t="n"/>
      <c r="I127" s="467" t="n"/>
      <c r="J127" s="467" t="n"/>
      <c r="K127" s="362" t="n"/>
      <c r="L127" s="18" t="n">
        <v>0</v>
      </c>
      <c r="M127" s="18">
        <f>SUM(M99:M123)</f>
        <v/>
      </c>
      <c r="N127" s="18" t="n"/>
      <c r="O127" s="18">
        <f>SUM(O99:O123)</f>
        <v/>
      </c>
      <c r="P127" s="18" t="n">
        <v>0</v>
      </c>
      <c r="Q127" s="18">
        <f>SUM(Q99:Q123)</f>
        <v/>
      </c>
      <c r="R127" s="19" t="n"/>
      <c r="S127" s="18">
        <f>SUM(S99:S123)</f>
        <v/>
      </c>
    </row>
    <row r="128" ht="22.2" customHeight="1" s="330" thickTop="1">
      <c r="A128" s="299" t="inlineStr">
        <is>
          <t>รวมจำนวนหน่วยชั่วโมงที่ขอเบิกค่าสอน ….</t>
        </is>
      </c>
      <c r="B128" s="467" t="n"/>
      <c r="C128" s="467" t="n"/>
      <c r="D128" s="467" t="n"/>
      <c r="E128" s="467" t="n"/>
      <c r="F128" s="467" t="n"/>
      <c r="G128" s="467" t="n"/>
      <c r="H128" s="298">
        <f>M127+Q127</f>
        <v/>
      </c>
      <c r="I128" s="298" t="inlineStr">
        <is>
          <t>….ชั่วโมง</t>
        </is>
      </c>
      <c r="J128" s="298" t="n"/>
      <c r="K128" s="301" t="inlineStr">
        <is>
          <t>ยอดเงินรวม</t>
        </is>
      </c>
      <c r="L128" s="471" t="n"/>
      <c r="M128" s="471" t="n"/>
      <c r="N128" s="301" t="n"/>
      <c r="O128" s="301" t="n"/>
      <c r="P128" s="302">
        <f>S127+O127</f>
        <v/>
      </c>
      <c r="Q128" s="482" t="n"/>
      <c r="R128" s="21" t="n"/>
      <c r="S128" s="20" t="inlineStr">
        <is>
          <t>..บาท</t>
        </is>
      </c>
    </row>
    <row r="129" ht="22.2" customHeight="1" s="330">
      <c r="A129" s="207" t="inlineStr">
        <is>
          <t>ผู้ขอเบิก</t>
        </is>
      </c>
      <c r="B129" s="334" t="n"/>
      <c r="C129" s="334" t="n"/>
      <c r="D129" s="334" t="n"/>
      <c r="E129" s="334" t="n"/>
      <c r="F129" s="334" t="n"/>
      <c r="G129" s="335" t="n"/>
      <c r="H129" s="207" t="inlineStr">
        <is>
          <t>ผู้รับรอง</t>
        </is>
      </c>
      <c r="I129" s="334" t="n"/>
      <c r="J129" s="334" t="n"/>
      <c r="K129" s="334" t="n"/>
      <c r="L129" s="335" t="n"/>
      <c r="M129" s="207" t="inlineStr">
        <is>
          <t>ผู้ตรวจ</t>
        </is>
      </c>
      <c r="N129" s="334" t="n"/>
      <c r="O129" s="334" t="n"/>
      <c r="P129" s="334" t="n"/>
      <c r="Q129" s="334" t="n"/>
      <c r="R129" s="334" t="n"/>
      <c r="S129" s="335" t="n"/>
    </row>
    <row r="130" ht="22.2" customHeight="1" s="330">
      <c r="A130" s="252" t="inlineStr">
        <is>
          <t>ลงชื่อ……………………………………………</t>
        </is>
      </c>
      <c r="G130" s="331" t="n"/>
      <c r="H130" s="252" t="inlineStr">
        <is>
          <t>ลงชื่อ……………………………………………</t>
        </is>
      </c>
      <c r="L130" s="331" t="n"/>
      <c r="M130" s="252" t="inlineStr">
        <is>
          <t>ลงชื่อ……………………………………………</t>
        </is>
      </c>
      <c r="S130" s="331" t="n"/>
    </row>
    <row r="131" ht="22.2" customHeight="1" s="330">
      <c r="A131" s="12" t="inlineStr">
        <is>
          <t>(</t>
        </is>
      </c>
      <c r="B131" s="309">
        <f>B99</f>
        <v/>
      </c>
      <c r="G131" s="310" t="inlineStr">
        <is>
          <t>)</t>
        </is>
      </c>
      <c r="H131" s="309" t="inlineStr">
        <is>
          <t>(</t>
        </is>
      </c>
      <c r="I131" s="314">
        <f>I85</f>
        <v/>
      </c>
      <c r="L131" s="13" t="inlineStr">
        <is>
          <t>)</t>
        </is>
      </c>
      <c r="M131" s="61" t="inlineStr">
        <is>
          <t>(</t>
        </is>
      </c>
      <c r="N131" s="61" t="n"/>
      <c r="O131" s="309" t="inlineStr">
        <is>
          <t>นายพิสุทธิศักดิ์  กล่อมนาค</t>
        </is>
      </c>
      <c r="R131" s="29" t="n"/>
      <c r="S131" s="310" t="inlineStr">
        <is>
          <t>)</t>
        </is>
      </c>
    </row>
    <row r="132" ht="22.2" customHeight="1" s="330">
      <c r="A132" s="483" t="inlineStr">
        <is>
          <t xml:space="preserve">                    ตำแหน่ง  ครู</t>
        </is>
      </c>
      <c r="G132" s="331" t="n"/>
      <c r="H132" s="62" t="inlineStr">
        <is>
          <t>ตำแหน่ง หัวหน้าแผนก</t>
        </is>
      </c>
      <c r="L132" s="331" t="n"/>
      <c r="M132" s="62" t="inlineStr">
        <is>
          <t>ตำแหน่ง   ผู้ตรวจสอบ</t>
        </is>
      </c>
      <c r="S132" s="331" t="n"/>
    </row>
    <row r="133" ht="22.2" customHeight="1" s="330">
      <c r="A133" s="63">
        <f>A41</f>
        <v/>
      </c>
      <c r="B133" s="471" t="n"/>
      <c r="C133" s="471" t="n"/>
      <c r="D133" s="471" t="n"/>
      <c r="E133" s="471" t="n"/>
      <c r="F133" s="471" t="n"/>
      <c r="G133" s="476" t="n"/>
      <c r="H133" s="62">
        <f>A41</f>
        <v/>
      </c>
      <c r="L133" s="331" t="n"/>
      <c r="M133" s="63">
        <f>A41</f>
        <v/>
      </c>
      <c r="N133" s="471" t="n"/>
      <c r="O133" s="471" t="n"/>
      <c r="P133" s="471" t="n"/>
      <c r="Q133" s="471" t="n"/>
      <c r="R133" s="471" t="n"/>
      <c r="S133" s="476" t="n"/>
    </row>
    <row r="134" ht="22.2" customHeight="1" s="330">
      <c r="A134" s="207" t="inlineStr">
        <is>
          <t>ผู้ตรวจ</t>
        </is>
      </c>
      <c r="B134" s="334" t="n"/>
      <c r="C134" s="334" t="n"/>
      <c r="D134" s="334" t="n"/>
      <c r="E134" s="334" t="n"/>
      <c r="F134" s="334" t="n"/>
      <c r="G134" s="334" t="n"/>
      <c r="H134" s="334" t="n"/>
      <c r="I134" s="335" t="n"/>
      <c r="J134" s="207" t="inlineStr">
        <is>
          <t>ผู้เห็นชอบ</t>
        </is>
      </c>
      <c r="K134" s="334" t="n"/>
      <c r="L134" s="334" t="n"/>
      <c r="M134" s="334" t="n"/>
      <c r="N134" s="334" t="n"/>
      <c r="O134" s="334" t="n"/>
      <c r="P134" s="334" t="n"/>
      <c r="Q134" s="334" t="n"/>
      <c r="R134" s="334" t="n"/>
      <c r="S134" s="335" t="n"/>
    </row>
    <row r="135" ht="22.2" customHeight="1" s="330">
      <c r="A135" s="252" t="inlineStr">
        <is>
          <t>ลงชื่อ……………………………………………</t>
        </is>
      </c>
      <c r="I135" s="331" t="n"/>
      <c r="J135" s="252" t="inlineStr">
        <is>
          <t>ลงชื่อ……………………………………………</t>
        </is>
      </c>
      <c r="S135" s="331" t="n"/>
    </row>
    <row r="136" ht="22.2" customHeight="1" s="330">
      <c r="A136" s="12" t="n"/>
      <c r="B136" s="309" t="inlineStr">
        <is>
          <t xml:space="preserve">          (นางศิวรักษ์   บุญประเสริฐ)</t>
        </is>
      </c>
      <c r="I136" s="310" t="n"/>
      <c r="J136" s="29" t="n"/>
      <c r="K136" s="29" t="n"/>
      <c r="L136" s="309" t="inlineStr">
        <is>
          <t>(นายปรีชา  โพธิ์เกิด)</t>
        </is>
      </c>
      <c r="R136" s="29" t="n"/>
      <c r="S136" s="13" t="n"/>
    </row>
    <row r="137" ht="22.2" customHeight="1" s="330">
      <c r="A137" s="62" t="inlineStr">
        <is>
          <t>ตำแหน่งครู  หัวหน้างานพัฒนาหลักสูตร ฯ</t>
        </is>
      </c>
      <c r="I137" s="331" t="n"/>
      <c r="J137" s="62" t="inlineStr">
        <is>
          <t>ตำแหน่ง  รองผู้อำนวยการฝ่ายวิชาการ</t>
        </is>
      </c>
      <c r="S137" s="331" t="n"/>
    </row>
    <row r="138" ht="22.2" customHeight="1" s="330">
      <c r="A138" s="63">
        <f>A41</f>
        <v/>
      </c>
      <c r="B138" s="471" t="n"/>
      <c r="C138" s="471" t="n"/>
      <c r="D138" s="471" t="n"/>
      <c r="E138" s="471" t="n"/>
      <c r="F138" s="471" t="n"/>
      <c r="G138" s="471" t="n"/>
      <c r="H138" s="471" t="n"/>
      <c r="I138" s="476" t="n"/>
      <c r="J138" s="63">
        <f>A41</f>
        <v/>
      </c>
      <c r="K138" s="471" t="n"/>
      <c r="L138" s="471" t="n"/>
      <c r="M138" s="471" t="n"/>
      <c r="N138" s="471" t="n"/>
      <c r="O138" s="471" t="n"/>
      <c r="P138" s="471" t="n"/>
      <c r="Q138" s="471" t="n"/>
      <c r="R138" s="471" t="n"/>
      <c r="S138" s="476" t="n"/>
    </row>
    <row r="139" ht="22.2" customHeight="1" s="330">
      <c r="A13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40" ht="22.2" customHeight="1" s="330">
      <c r="A140" s="254">
        <f>A2</f>
        <v/>
      </c>
    </row>
    <row r="141" ht="22.2" customHeight="1" s="330">
      <c r="A141" s="253" t="inlineStr">
        <is>
          <t xml:space="preserve">    ระหว่างวันที่</t>
        </is>
      </c>
      <c r="D141" s="254">
        <f>D3</f>
        <v/>
      </c>
      <c r="E141" s="254" t="inlineStr">
        <is>
          <t xml:space="preserve">   เดือน  </t>
        </is>
      </c>
      <c r="F141" s="254">
        <f>F3</f>
        <v/>
      </c>
      <c r="H141" s="254">
        <f>H3</f>
        <v/>
      </c>
      <c r="I141" s="254" t="inlineStr">
        <is>
          <t xml:space="preserve">     ถึง วันที่</t>
        </is>
      </c>
      <c r="J141" s="254">
        <f>J3</f>
        <v/>
      </c>
      <c r="K141" s="254" t="inlineStr">
        <is>
          <t xml:space="preserve">   เดือน </t>
        </is>
      </c>
      <c r="L141" s="254">
        <f>L3</f>
        <v/>
      </c>
      <c r="N141" s="254">
        <f>N3</f>
        <v/>
      </c>
      <c r="P141" s="254" t="n"/>
      <c r="R141" s="254" t="n"/>
    </row>
    <row r="142" ht="22.2" customHeight="1" s="330">
      <c r="G142" s="58" t="inlineStr">
        <is>
          <t>ü</t>
        </is>
      </c>
      <c r="H142" s="290" t="inlineStr">
        <is>
          <t>ครู</t>
        </is>
      </c>
      <c r="I142" s="249" t="inlineStr">
        <is>
          <t>หน้าที่พิเศษ</t>
        </is>
      </c>
    </row>
    <row r="143" ht="22.2" customHeight="1" s="330">
      <c r="A143" s="28" t="inlineStr">
        <is>
          <t>ที่</t>
        </is>
      </c>
      <c r="B143" s="28" t="inlineStr">
        <is>
          <t>ชื่อ-สกุล</t>
        </is>
      </c>
      <c r="C143" s="334" t="n"/>
      <c r="D143" s="335" t="n"/>
      <c r="E143" s="16" t="inlineStr">
        <is>
          <t>ตำแหน่ง</t>
        </is>
      </c>
      <c r="F143" s="17" t="inlineStr">
        <is>
          <t>ระยะเวลาที่สอน</t>
        </is>
      </c>
      <c r="G143" s="362" t="n"/>
      <c r="H143" s="17" t="inlineStr">
        <is>
          <t>รหัสวิชา</t>
        </is>
      </c>
      <c r="I143" s="275" t="inlineStr">
        <is>
          <t>ชั้น,แผนก,ห้อง</t>
        </is>
      </c>
      <c r="J143" s="17" t="inlineStr">
        <is>
          <t>เวลาสอน</t>
        </is>
      </c>
      <c r="K143" s="335" t="n"/>
      <c r="L143" s="17" t="inlineStr">
        <is>
          <t>ปวช.(คาบ)</t>
        </is>
      </c>
      <c r="M143" s="362" t="n"/>
      <c r="N143" s="244" t="inlineStr">
        <is>
          <t>เงิน</t>
        </is>
      </c>
      <c r="O143" s="275" t="inlineStr">
        <is>
          <t>ยอดเงิน</t>
        </is>
      </c>
      <c r="P143" s="473" t="inlineStr">
        <is>
          <t>ปวส.(คาบ)</t>
        </is>
      </c>
      <c r="Q143" s="362" t="n"/>
      <c r="R143" s="244" t="inlineStr">
        <is>
          <t>เงิน</t>
        </is>
      </c>
      <c r="S143" s="275" t="inlineStr">
        <is>
          <t>ยอดเงิน</t>
        </is>
      </c>
    </row>
    <row r="144" ht="22.2" customHeight="1" s="330">
      <c r="A144" s="60" t="n"/>
      <c r="B144" s="9" t="n"/>
      <c r="C144" s="10" t="n"/>
      <c r="D144" s="14" t="n"/>
      <c r="E144" s="11" t="n"/>
      <c r="F144" s="276" t="inlineStr">
        <is>
          <t>ส.</t>
        </is>
      </c>
      <c r="G144" s="276" t="inlineStr">
        <is>
          <t>วดป.</t>
        </is>
      </c>
      <c r="H144" s="474" t="n"/>
      <c r="I144" s="276" t="n"/>
      <c r="J144" s="475" t="n"/>
      <c r="K144" s="476" t="n"/>
      <c r="L144" s="276" t="inlineStr">
        <is>
          <t>ใน</t>
        </is>
      </c>
      <c r="M144" s="276" t="inlineStr">
        <is>
          <t>นอก</t>
        </is>
      </c>
      <c r="N144" s="276" t="inlineStr">
        <is>
          <t>ต่อ ชม.</t>
        </is>
      </c>
      <c r="O144" s="276" t="inlineStr">
        <is>
          <t>(บาท)</t>
        </is>
      </c>
      <c r="P144" s="60" t="inlineStr">
        <is>
          <t>ใน</t>
        </is>
      </c>
      <c r="Q144" s="2" t="inlineStr">
        <is>
          <t>นอก</t>
        </is>
      </c>
      <c r="R144" s="276" t="inlineStr">
        <is>
          <t>ต่อ ชม.</t>
        </is>
      </c>
      <c r="S144" s="276" t="inlineStr">
        <is>
          <t>(บาท)</t>
        </is>
      </c>
    </row>
    <row r="145" ht="22.2" customHeight="1" s="330">
      <c r="A145" s="275" t="n">
        <v>4</v>
      </c>
      <c r="B145" s="477">
        <f>AB6</f>
        <v/>
      </c>
      <c r="C145" s="334" t="n"/>
      <c r="D145" s="335" t="n"/>
      <c r="E145" s="275" t="inlineStr">
        <is>
          <t>ครู</t>
        </is>
      </c>
      <c r="F145" s="6">
        <f>F7</f>
        <v/>
      </c>
      <c r="G145" s="303" t="inlineStr">
        <is>
          <t>จันทร์</t>
        </is>
      </c>
      <c r="H145" s="332" t="inlineStr">
        <is>
          <t>30101-2006</t>
        </is>
      </c>
      <c r="I145" s="325" t="inlineStr">
        <is>
          <t>ปวส.2/5 สย. (ม.6)</t>
        </is>
      </c>
      <c r="J145" s="332" t="inlineStr">
        <is>
          <t>08.10-12.10</t>
        </is>
      </c>
      <c r="K145" s="335" t="n"/>
      <c r="L145" s="265" t="n"/>
      <c r="M145" s="332" t="n"/>
      <c r="N145" s="332" t="n"/>
      <c r="O145" s="244">
        <f>M145*N145</f>
        <v/>
      </c>
      <c r="P145" s="332" t="n"/>
      <c r="Q145" s="265" t="n"/>
      <c r="R145" s="332" t="n"/>
      <c r="S145" s="244">
        <f>Q145*R145</f>
        <v/>
      </c>
    </row>
    <row r="146" ht="22.2" customHeight="1" s="330">
      <c r="A146" s="4" t="n"/>
      <c r="E146" s="252" t="n"/>
      <c r="F146" s="249" t="n"/>
      <c r="G146" s="308">
        <f>G100</f>
        <v/>
      </c>
      <c r="H146" s="325" t="inlineStr">
        <is>
          <t>30101-2006</t>
        </is>
      </c>
      <c r="I146" s="325" t="inlineStr">
        <is>
          <t>ปวส.2/5 สย. (ม.6)</t>
        </is>
      </c>
      <c r="J146" s="252" t="inlineStr">
        <is>
          <t>13.10-14.10</t>
        </is>
      </c>
      <c r="K146" s="331" t="n"/>
      <c r="L146" s="252" t="n"/>
      <c r="M146" s="252" t="n"/>
      <c r="N146" s="252" t="n"/>
      <c r="O146" s="244">
        <f>M146*N146</f>
        <v/>
      </c>
      <c r="P146" s="252" t="n"/>
      <c r="Q146" s="252" t="n"/>
      <c r="R146" s="252" t="n"/>
      <c r="S146" s="244">
        <f>Q146*R146</f>
        <v/>
      </c>
    </row>
    <row r="147" ht="22.2" customHeight="1" s="330">
      <c r="A147" s="4" t="n"/>
      <c r="B147" s="5" t="n"/>
      <c r="D147" s="3" t="n"/>
      <c r="E147" s="3" t="n"/>
      <c r="F147" s="249" t="n"/>
      <c r="G147" s="248" t="n"/>
      <c r="H147" s="325" t="inlineStr">
        <is>
          <t>30101-2006</t>
        </is>
      </c>
      <c r="I147" s="325" t="inlineStr">
        <is>
          <t>ปวส.2/6 สย. (ม.6)</t>
        </is>
      </c>
      <c r="J147" s="252" t="inlineStr">
        <is>
          <t>14.10-19.10</t>
        </is>
      </c>
      <c r="K147" s="331" t="n"/>
      <c r="L147" s="252" t="n"/>
      <c r="M147" s="252" t="n"/>
      <c r="N147" s="252" t="n"/>
      <c r="O147" s="244">
        <f>M147*N147</f>
        <v/>
      </c>
      <c r="P147" s="252" t="n"/>
      <c r="Q147" s="252" t="n"/>
      <c r="R147" s="252" t="n"/>
      <c r="S147" s="244">
        <f>Q147*R147</f>
        <v/>
      </c>
    </row>
    <row r="148" ht="22.2" customHeight="1" s="330">
      <c r="A148" s="4" t="n"/>
      <c r="B148" s="5" t="n"/>
      <c r="E148" s="4" t="n"/>
      <c r="F148" s="249" t="n"/>
      <c r="G148" s="248" t="n"/>
      <c r="H148" s="252" t="n"/>
      <c r="I148" s="252" t="n"/>
      <c r="J148" s="252" t="n"/>
      <c r="K148" s="331" t="n"/>
      <c r="L148" s="252" t="n"/>
      <c r="M148" s="252" t="n"/>
      <c r="N148" s="252" t="n"/>
      <c r="O148" s="244">
        <f>M148*N148</f>
        <v/>
      </c>
      <c r="P148" s="252" t="n"/>
      <c r="Q148" s="252" t="n"/>
      <c r="R148" s="252" t="n"/>
      <c r="S148" s="244">
        <f>Q148*R148</f>
        <v/>
      </c>
    </row>
    <row r="149" ht="22.2" customHeight="1" s="330">
      <c r="A149" s="4" t="n"/>
      <c r="E149" s="4" t="n"/>
      <c r="G149" s="311" t="n"/>
      <c r="H149" s="276" t="n"/>
      <c r="I149" s="276" t="n"/>
      <c r="J149" s="276" t="n"/>
      <c r="K149" s="476" t="n"/>
      <c r="L149" s="252" t="n"/>
      <c r="M149" s="252" t="n"/>
      <c r="N149" s="252" t="n"/>
      <c r="O149" s="244">
        <f>M149*N149</f>
        <v/>
      </c>
      <c r="P149" s="252" t="n"/>
      <c r="Q149" s="252" t="n"/>
      <c r="R149" s="252" t="n"/>
      <c r="S149" s="244">
        <f>Q149*R149</f>
        <v/>
      </c>
    </row>
    <row r="150" ht="22.2" customHeight="1" s="330">
      <c r="A150" s="4" t="n"/>
      <c r="E150" s="4" t="n"/>
      <c r="G150" s="62" t="inlineStr">
        <is>
          <t>อังคาร</t>
        </is>
      </c>
      <c r="H150" s="332" t="inlineStr">
        <is>
          <t>30101-2004</t>
        </is>
      </c>
      <c r="I150" s="332" t="inlineStr">
        <is>
          <t>ปวส.1/7 สย. (ทวิ)</t>
        </is>
      </c>
      <c r="J150" s="332" t="inlineStr">
        <is>
          <t>11.10-12.10</t>
        </is>
      </c>
      <c r="K150" s="335" t="n"/>
      <c r="L150" s="265" t="n"/>
      <c r="M150" s="332" t="n"/>
      <c r="N150" s="332" t="n"/>
      <c r="O150" s="244">
        <f>M150*N150</f>
        <v/>
      </c>
      <c r="P150" s="332" t="n"/>
      <c r="Q150" s="265" t="n"/>
      <c r="R150" s="332" t="n"/>
      <c r="S150" s="244">
        <f>Q150*R150</f>
        <v/>
      </c>
      <c r="T150" s="7" t="n"/>
      <c r="U150" s="23" t="inlineStr">
        <is>
          <t>เบิก ธุรการ</t>
        </is>
      </c>
      <c r="V150" s="66" t="n"/>
      <c r="W150" s="22" t="n"/>
      <c r="X150" s="22" t="n"/>
    </row>
    <row r="151" ht="22.2" customHeight="1" s="330">
      <c r="A151" s="4" t="n"/>
      <c r="E151" s="4" t="n"/>
      <c r="G151" s="308">
        <f>G105</f>
        <v/>
      </c>
      <c r="H151" s="325" t="inlineStr">
        <is>
          <t>30101-2004</t>
        </is>
      </c>
      <c r="I151" s="325" t="inlineStr">
        <is>
          <t>ปวส.1/7 สย. (ทวิ)</t>
        </is>
      </c>
      <c r="J151" s="252" t="inlineStr">
        <is>
          <t>13.10-17.10</t>
        </is>
      </c>
      <c r="K151" s="331" t="n"/>
      <c r="L151" s="252" t="n"/>
      <c r="M151" s="252" t="n"/>
      <c r="N151" s="252" t="n"/>
      <c r="O151" s="244">
        <f>M151*N151</f>
        <v/>
      </c>
      <c r="P151" s="252" t="n"/>
      <c r="Q151" s="252" t="n"/>
      <c r="R151" s="252" t="n"/>
      <c r="S151" s="244">
        <f>Q151*R151</f>
        <v/>
      </c>
      <c r="T151" s="22" t="inlineStr">
        <is>
          <t> </t>
        </is>
      </c>
      <c r="U151" s="23" t="inlineStr">
        <is>
          <t>16.10-19.10</t>
        </is>
      </c>
      <c r="V151" s="66" t="n"/>
      <c r="W151" s="22" t="n"/>
      <c r="X151" s="22" t="n"/>
    </row>
    <row r="152" ht="22.2" customHeight="1" s="330">
      <c r="A152" s="4" t="n"/>
      <c r="B152" s="5" t="n"/>
      <c r="D152" s="3" t="n"/>
      <c r="E152" s="3" t="n"/>
      <c r="G152" s="252" t="n"/>
      <c r="H152" s="325" t="n"/>
      <c r="I152" s="325" t="n"/>
      <c r="J152" s="252" t="n"/>
      <c r="K152" s="331" t="n"/>
      <c r="L152" s="252" t="n"/>
      <c r="M152" s="252" t="n"/>
      <c r="N152" s="252" t="n"/>
      <c r="O152" s="244">
        <f>M152*N152</f>
        <v/>
      </c>
      <c r="P152" s="252" t="n"/>
      <c r="Q152" s="252" t="n"/>
      <c r="R152" s="252" t="n"/>
      <c r="S152" s="244">
        <f>Q152*R152</f>
        <v/>
      </c>
    </row>
    <row r="153" ht="22.2" customHeight="1" s="330">
      <c r="A153" s="4" t="n"/>
      <c r="E153" s="4" t="n"/>
      <c r="G153" s="62" t="n"/>
      <c r="H153" s="252" t="n"/>
      <c r="I153" s="252" t="n"/>
      <c r="J153" s="252" t="n"/>
      <c r="K153" s="331" t="n"/>
      <c r="L153" s="252" t="n"/>
      <c r="M153" s="252" t="n"/>
      <c r="N153" s="252" t="n"/>
      <c r="O153" s="244">
        <f>M153*N153</f>
        <v/>
      </c>
      <c r="P153" s="252" t="n"/>
      <c r="Q153" s="252" t="n"/>
      <c r="R153" s="252" t="n"/>
      <c r="S153" s="244">
        <f>Q153*R153</f>
        <v/>
      </c>
    </row>
    <row r="154" ht="22.2" customHeight="1" s="330">
      <c r="A154" s="4" t="n"/>
      <c r="D154" s="8" t="inlineStr">
        <is>
          <t> </t>
        </is>
      </c>
      <c r="E154" s="4" t="n"/>
      <c r="G154" s="63" t="n"/>
      <c r="H154" s="276" t="n"/>
      <c r="I154" s="276" t="n"/>
      <c r="J154" s="276" t="n"/>
      <c r="K154" s="476" t="n"/>
      <c r="L154" s="252" t="n"/>
      <c r="M154" s="252" t="n"/>
      <c r="N154" s="252" t="n"/>
      <c r="O154" s="244">
        <f>M154*N154</f>
        <v/>
      </c>
      <c r="P154" s="252" t="n"/>
      <c r="Q154" s="252" t="n"/>
      <c r="R154" s="252" t="n"/>
      <c r="S154" s="244">
        <f>Q154*R154</f>
        <v/>
      </c>
    </row>
    <row r="155" ht="22.2" customHeight="1" s="330">
      <c r="A155" s="4" t="n"/>
      <c r="E155" s="4" t="n"/>
      <c r="G155" s="308" t="inlineStr">
        <is>
          <t>พุธ</t>
        </is>
      </c>
      <c r="H155" s="325" t="inlineStr">
        <is>
          <t>30101-0003</t>
        </is>
      </c>
      <c r="I155" s="325" t="inlineStr">
        <is>
          <t>ปวส.1/3 สย. (ม.6)</t>
        </is>
      </c>
      <c r="J155" s="252" t="inlineStr">
        <is>
          <t>13.10-18.10</t>
        </is>
      </c>
      <c r="K155" s="331" t="n"/>
      <c r="L155" s="265" t="n"/>
      <c r="M155" s="332" t="n"/>
      <c r="N155" s="332" t="n"/>
      <c r="O155" s="244">
        <f>M155*N155</f>
        <v/>
      </c>
      <c r="P155" s="332" t="n"/>
      <c r="Q155" s="265" t="n"/>
      <c r="R155" s="332" t="n"/>
      <c r="S155" s="244">
        <f>Q155*R155</f>
        <v/>
      </c>
    </row>
    <row r="156" ht="22.2" customHeight="1" s="330">
      <c r="A156" s="4" t="n"/>
      <c r="E156" s="4" t="n"/>
      <c r="G156" s="308">
        <f>G110</f>
        <v/>
      </c>
      <c r="H156" s="252" t="n"/>
      <c r="I156" s="252" t="n"/>
      <c r="J156" s="252" t="n"/>
      <c r="K156" s="331" t="n"/>
      <c r="L156" s="252" t="n"/>
      <c r="M156" s="252" t="n"/>
      <c r="N156" s="252" t="n"/>
      <c r="O156" s="244">
        <f>M156*N156</f>
        <v/>
      </c>
      <c r="P156" s="252" t="n"/>
      <c r="Q156" s="252" t="n"/>
      <c r="R156" s="252" t="n"/>
      <c r="S156" s="244">
        <f>Q156*R156</f>
        <v/>
      </c>
    </row>
    <row r="157" ht="22.2" customHeight="1" s="330">
      <c r="A157" s="4" t="n"/>
      <c r="B157" s="5" t="n"/>
      <c r="D157" s="3" t="n"/>
      <c r="E157" s="3" t="n"/>
      <c r="G157" s="252" t="n"/>
      <c r="H157" s="252" t="n"/>
      <c r="I157" s="252" t="n"/>
      <c r="J157" s="252" t="n"/>
      <c r="K157" s="331" t="n"/>
      <c r="L157" s="252" t="n"/>
      <c r="M157" s="252" t="n"/>
      <c r="N157" s="252" t="n"/>
      <c r="O157" s="244">
        <f>M157*N157</f>
        <v/>
      </c>
      <c r="P157" s="252" t="n"/>
      <c r="Q157" s="252" t="n"/>
      <c r="R157" s="252" t="n"/>
      <c r="S157" s="244">
        <f>Q157*R157</f>
        <v/>
      </c>
    </row>
    <row r="158" ht="22.2" customHeight="1" s="330">
      <c r="A158" s="4" t="n"/>
      <c r="E158" s="4" t="n"/>
      <c r="G158" s="248" t="n"/>
      <c r="H158" s="252" t="n"/>
      <c r="I158" s="252" t="n"/>
      <c r="J158" s="252" t="n"/>
      <c r="K158" s="331" t="n"/>
      <c r="L158" s="252" t="n"/>
      <c r="M158" s="252" t="n"/>
      <c r="N158" s="252" t="n"/>
      <c r="O158" s="244">
        <f>M158*N158</f>
        <v/>
      </c>
      <c r="P158" s="252" t="n"/>
      <c r="Q158" s="252" t="n"/>
      <c r="R158" s="252" t="n"/>
      <c r="S158" s="244">
        <f>Q158*R158</f>
        <v/>
      </c>
    </row>
    <row r="159" ht="22.2" customHeight="1" s="330">
      <c r="A159" s="4" t="n"/>
      <c r="E159" s="4" t="n"/>
      <c r="G159" s="277" t="n"/>
      <c r="H159" s="276" t="n"/>
      <c r="I159" s="276" t="n"/>
      <c r="J159" s="276" t="n"/>
      <c r="K159" s="476" t="n"/>
      <c r="L159" s="276" t="n"/>
      <c r="M159" s="276" t="n"/>
      <c r="N159" s="276" t="n"/>
      <c r="O159" s="244">
        <f>M159*N159</f>
        <v/>
      </c>
      <c r="P159" s="276" t="n"/>
      <c r="Q159" s="276" t="n"/>
      <c r="R159" s="276" t="n"/>
      <c r="S159" s="17">
        <f>Q159*R159</f>
        <v/>
      </c>
    </row>
    <row r="160" ht="22.2" customHeight="1" s="330">
      <c r="A160" s="4" t="n"/>
      <c r="E160" s="4" t="n"/>
      <c r="G160" s="62" t="inlineStr">
        <is>
          <t>พฤหัส</t>
        </is>
      </c>
      <c r="H160" s="325" t="inlineStr">
        <is>
          <t>30101-2006</t>
        </is>
      </c>
      <c r="I160" s="325" t="inlineStr">
        <is>
          <t>ปวส.2/7 สย. (ม.6)</t>
        </is>
      </c>
      <c r="J160" s="275" t="inlineStr">
        <is>
          <t>08.10-12.10</t>
        </is>
      </c>
      <c r="K160" s="335" t="n"/>
      <c r="L160" s="252" t="n"/>
      <c r="M160" s="179" t="n"/>
      <c r="N160" s="179" t="n"/>
      <c r="O160" s="244">
        <f>M160*N160</f>
        <v/>
      </c>
      <c r="P160" s="179" t="n"/>
      <c r="Q160" s="179" t="n"/>
      <c r="R160" s="179" t="n"/>
      <c r="S160" s="17">
        <f>Q160*R160</f>
        <v/>
      </c>
      <c r="T160" s="25" t="n"/>
      <c r="U160" s="26" t="inlineStr">
        <is>
          <t xml:space="preserve">     PLC</t>
        </is>
      </c>
      <c r="V160" s="64" t="n"/>
      <c r="W160" s="27" t="n"/>
      <c r="X160" s="27" t="n"/>
    </row>
    <row r="161" ht="22.2" customHeight="1" s="330">
      <c r="A161" s="4" t="n"/>
      <c r="E161" s="4" t="n"/>
      <c r="G161" s="308">
        <f>G115</f>
        <v/>
      </c>
      <c r="H161" s="325" t="inlineStr">
        <is>
          <t>30101-2006</t>
        </is>
      </c>
      <c r="I161" s="325" t="inlineStr">
        <is>
          <t>ปวส.2/7 สย. (ม.6)</t>
        </is>
      </c>
      <c r="J161" s="252" t="inlineStr">
        <is>
          <t>15.10-16.10</t>
        </is>
      </c>
      <c r="K161" s="331" t="n"/>
      <c r="L161" s="252" t="n"/>
      <c r="M161" s="56" t="n"/>
      <c r="N161" s="56" t="n"/>
      <c r="O161" s="244">
        <f>M161*N161</f>
        <v/>
      </c>
      <c r="P161" s="180" t="n"/>
      <c r="Q161" s="180" t="n"/>
      <c r="R161" s="180" t="n"/>
      <c r="S161" s="17">
        <f>Q161*R161</f>
        <v/>
      </c>
      <c r="T161" s="27" t="inlineStr">
        <is>
          <t> </t>
        </is>
      </c>
      <c r="U161" s="26" t="inlineStr">
        <is>
          <t>17.10-19.10</t>
        </is>
      </c>
      <c r="V161" s="64" t="n"/>
      <c r="W161" s="27" t="n"/>
      <c r="X161" s="27" t="n"/>
    </row>
    <row r="162" ht="22.2" customHeight="1" s="330">
      <c r="A162" s="4" t="n"/>
      <c r="B162" s="5" t="n"/>
      <c r="E162" s="4" t="n"/>
      <c r="G162" s="252" t="n"/>
      <c r="H162" s="325" t="n"/>
      <c r="I162" s="325" t="n"/>
      <c r="J162" s="252" t="n"/>
      <c r="K162" s="331" t="n"/>
      <c r="L162" s="325" t="n"/>
      <c r="M162" s="56" t="n"/>
      <c r="N162" s="56" t="n"/>
      <c r="O162" s="244">
        <f>M162*N162</f>
        <v/>
      </c>
      <c r="P162" s="56" t="n"/>
      <c r="Q162" s="180" t="n"/>
      <c r="R162" s="180" t="n"/>
      <c r="S162" s="17">
        <f>Q162*R162</f>
        <v/>
      </c>
    </row>
    <row r="163" ht="22.2" customHeight="1" s="330">
      <c r="A163" s="4" t="n"/>
      <c r="E163" s="4" t="n"/>
      <c r="G163" s="252" t="n"/>
      <c r="H163" s="252" t="n"/>
      <c r="I163" s="252" t="n"/>
      <c r="J163" s="252" t="n"/>
      <c r="K163" s="331" t="n"/>
      <c r="L163" s="252" t="n"/>
      <c r="M163" s="252" t="n"/>
      <c r="N163" s="252" t="n"/>
      <c r="O163" s="244">
        <f>M163*N163</f>
        <v/>
      </c>
      <c r="P163" s="252" t="n"/>
      <c r="Q163" s="252" t="n"/>
      <c r="R163" s="252" t="n"/>
      <c r="S163" s="244">
        <f>Q163*R163</f>
        <v/>
      </c>
    </row>
    <row r="164" ht="22.2" customHeight="1" s="330">
      <c r="A164" s="4" t="n"/>
      <c r="E164" s="4" t="n"/>
      <c r="G164" s="276" t="n"/>
      <c r="H164" s="301" t="n"/>
      <c r="I164" s="276" t="n"/>
      <c r="J164" s="276" t="n"/>
      <c r="K164" s="476" t="n"/>
      <c r="L164" s="276" t="n"/>
      <c r="M164" s="276" t="n"/>
      <c r="N164" s="276" t="n"/>
      <c r="O164" s="244">
        <f>M164*N164</f>
        <v/>
      </c>
      <c r="P164" s="276" t="n"/>
      <c r="Q164" s="276" t="n"/>
      <c r="R164" s="276" t="n"/>
      <c r="S164" s="244">
        <f>Q164*R164</f>
        <v/>
      </c>
    </row>
    <row r="165" ht="22.2" customHeight="1" s="330">
      <c r="A165" s="4" t="n"/>
      <c r="D165" s="331" t="n"/>
      <c r="E165" s="56" t="n"/>
      <c r="G165" s="62" t="inlineStr">
        <is>
          <t>ศุกร์</t>
        </is>
      </c>
      <c r="H165" s="325" t="inlineStr">
        <is>
          <t>30100-0104</t>
        </is>
      </c>
      <c r="I165" s="325" t="inlineStr">
        <is>
          <t>ปวส.1/1 สย. (ปกติ)</t>
        </is>
      </c>
      <c r="J165" s="332" t="inlineStr">
        <is>
          <t>08.10-12.10</t>
        </is>
      </c>
      <c r="K165" s="335" t="n"/>
      <c r="L165" s="252" t="n"/>
      <c r="M165" s="28" t="n"/>
      <c r="N165" s="272" t="n"/>
      <c r="O165" s="244">
        <f>M165*N165</f>
        <v/>
      </c>
      <c r="P165" s="275" t="n"/>
      <c r="Q165" s="275" t="n"/>
      <c r="R165" s="244" t="n"/>
      <c r="S165" s="17">
        <f>Q165*R165</f>
        <v/>
      </c>
    </row>
    <row r="166" ht="22.2" customHeight="1" s="330">
      <c r="A166" s="4" t="n"/>
      <c r="D166" s="3" t="n"/>
      <c r="E166" s="4" t="n"/>
      <c r="G166" s="308">
        <f>G120</f>
        <v/>
      </c>
      <c r="H166" s="325" t="n"/>
      <c r="I166" s="325" t="n"/>
      <c r="J166" s="252" t="n"/>
      <c r="K166" s="331" t="n"/>
      <c r="L166" s="252" t="n"/>
      <c r="M166" s="56" t="n"/>
      <c r="N166" s="331" t="n"/>
      <c r="O166" s="244">
        <f>M166*N166</f>
        <v/>
      </c>
      <c r="P166" s="180" t="n"/>
      <c r="Q166" s="56" t="n"/>
      <c r="R166" s="56" t="n"/>
      <c r="S166" s="17">
        <f>Q166*R166</f>
        <v/>
      </c>
    </row>
    <row r="167" ht="22.2" customHeight="1" s="330">
      <c r="A167" s="4" t="n"/>
      <c r="E167" s="4" t="n"/>
      <c r="G167" s="252" t="n"/>
      <c r="H167" s="252" t="n"/>
      <c r="I167" s="252" t="n"/>
      <c r="J167" s="252" t="n"/>
      <c r="K167" s="331" t="n"/>
      <c r="L167" s="252" t="n"/>
      <c r="M167" s="252" t="n"/>
      <c r="N167" s="252" t="n"/>
      <c r="O167" s="244">
        <f>M167*N167</f>
        <v/>
      </c>
      <c r="P167" s="252" t="n"/>
      <c r="Q167" s="252" t="n"/>
      <c r="R167" s="252" t="n"/>
      <c r="S167" s="244">
        <f>Q167*R167</f>
        <v/>
      </c>
    </row>
    <row r="168" ht="22.2" customHeight="1" s="330">
      <c r="A168" s="4" t="n"/>
      <c r="E168" s="4" t="n"/>
      <c r="G168" s="252" t="n"/>
      <c r="H168" s="252" t="n"/>
      <c r="I168" s="252" t="n"/>
      <c r="J168" s="252" t="n"/>
      <c r="K168" s="331" t="n"/>
      <c r="L168" s="252" t="n"/>
      <c r="M168" s="252" t="n"/>
      <c r="N168" s="252" t="n"/>
      <c r="O168" s="244">
        <f>M168*N168</f>
        <v/>
      </c>
      <c r="P168" s="252" t="n"/>
      <c r="Q168" s="252" t="n"/>
      <c r="R168" s="252" t="n"/>
      <c r="S168" s="244">
        <f>Q168*R168</f>
        <v/>
      </c>
    </row>
    <row r="169" ht="22.2" customHeight="1" s="330">
      <c r="A169" s="4" t="n"/>
      <c r="E169" s="4" t="n"/>
      <c r="F169" s="4" t="n"/>
      <c r="G169" s="278" t="n"/>
      <c r="H169" s="301" t="n"/>
      <c r="I169" s="276" t="n"/>
      <c r="J169" s="276" t="n"/>
      <c r="K169" s="476" t="n"/>
      <c r="L169" s="276" t="n"/>
      <c r="M169" s="276" t="n"/>
      <c r="N169" s="276" t="n"/>
      <c r="O169" s="244">
        <f>M169*N169</f>
        <v/>
      </c>
      <c r="P169" s="276" t="n"/>
      <c r="Q169" s="276" t="n"/>
      <c r="R169" s="276" t="n"/>
      <c r="S169" s="244">
        <f>Q169*R169</f>
        <v/>
      </c>
    </row>
    <row r="170" ht="22.2" customHeight="1" s="330">
      <c r="A170" s="4" t="n"/>
      <c r="E170" s="4" t="n"/>
      <c r="F170" s="4" t="n"/>
      <c r="G170" s="17" t="inlineStr">
        <is>
          <t>รวมขั่วโมงที่สอนแยก ภาระงาน/ เกินภาระงาน</t>
        </is>
      </c>
      <c r="H170" s="467" t="n"/>
      <c r="I170" s="467" t="n"/>
      <c r="J170" s="467" t="n"/>
      <c r="K170" s="362" t="n"/>
      <c r="L170" s="17">
        <f>SUM(L145:L169)</f>
        <v/>
      </c>
      <c r="M170" s="17">
        <f>SUM(M145:M169)</f>
        <v/>
      </c>
      <c r="N170" s="17" t="n"/>
      <c r="O170" s="17" t="n"/>
      <c r="P170" s="17">
        <f>SUM(P145:P169)</f>
        <v/>
      </c>
      <c r="Q170" s="17">
        <f>SUM(Q145:Q169)</f>
        <v/>
      </c>
      <c r="R170" s="279" t="n"/>
      <c r="S170" s="17" t="n"/>
      <c r="T170" s="24" t="n"/>
      <c r="U170" s="24" t="inlineStr">
        <is>
          <t>สอน ป.ตรี</t>
        </is>
      </c>
      <c r="V170" s="65" t="n"/>
      <c r="W170" s="24" t="n"/>
      <c r="X170" s="24" t="n"/>
    </row>
    <row r="171" ht="22.2" customHeight="1" s="330">
      <c r="A171" s="4" t="n"/>
      <c r="E171" s="4" t="n"/>
      <c r="F171" s="4" t="n"/>
      <c r="G171" s="17" t="inlineStr">
        <is>
          <t>รวมจำนวนชั่วโมงสอนคาบต่อสับดาห์</t>
        </is>
      </c>
      <c r="H171" s="467" t="n"/>
      <c r="I171" s="467" t="n"/>
      <c r="J171" s="467" t="n"/>
      <c r="K171" s="362" t="n"/>
      <c r="L171" s="17">
        <f>L170+M170</f>
        <v/>
      </c>
      <c r="M171" s="362" t="n"/>
      <c r="N171" s="17" t="n"/>
      <c r="O171" s="298" t="n"/>
      <c r="P171" s="17">
        <f>P170+Q170</f>
        <v/>
      </c>
      <c r="Q171" s="362" t="n"/>
      <c r="R171" s="278" t="n"/>
      <c r="S171" s="276" t="n"/>
      <c r="T171" s="24" t="n"/>
      <c r="U171" s="24" t="inlineStr">
        <is>
          <t>17.10-20.10</t>
        </is>
      </c>
      <c r="V171" s="65" t="n"/>
      <c r="W171" s="24" t="n"/>
      <c r="X171" s="24" t="n"/>
    </row>
    <row r="172" ht="22.2" customHeight="1" s="330">
      <c r="A172" s="4" t="n"/>
      <c r="E172" s="4" t="n"/>
      <c r="F172" s="4" t="n"/>
      <c r="G172" s="17" t="inlineStr">
        <is>
          <t>จำนวนชั่วโมงสอนตามภาระงานสอน</t>
        </is>
      </c>
      <c r="H172" s="467" t="n"/>
      <c r="I172" s="467" t="n"/>
      <c r="J172" s="467" t="n"/>
      <c r="K172" s="362" t="n"/>
      <c r="L172" s="485" t="inlineStr">
        <is>
          <t>0</t>
        </is>
      </c>
      <c r="M172" s="362" t="n"/>
      <c r="N172" s="151" t="n"/>
      <c r="O172" s="154" t="n"/>
      <c r="P172" s="485" t="inlineStr">
        <is>
          <t>15</t>
        </is>
      </c>
      <c r="Q172" s="362" t="n"/>
      <c r="R172" s="249" t="n"/>
      <c r="S172" s="252" t="n"/>
    </row>
    <row r="173" ht="22.2" customHeight="1" s="330" thickBot="1">
      <c r="A173" s="4" t="n"/>
      <c r="E173" s="4" t="n"/>
      <c r="F173" s="15" t="n"/>
      <c r="G173" s="17" t="inlineStr">
        <is>
          <t>จำนวนชั่วโมงบิกเกินภาระงานสอน/ค่าสอน</t>
        </is>
      </c>
      <c r="H173" s="467" t="n"/>
      <c r="I173" s="467" t="n"/>
      <c r="J173" s="467" t="n"/>
      <c r="K173" s="362" t="n"/>
      <c r="L173" s="18" t="n">
        <v>0</v>
      </c>
      <c r="M173" s="18">
        <f>SUM(M145:M169)</f>
        <v/>
      </c>
      <c r="N173" s="18" t="n"/>
      <c r="O173" s="18">
        <f>SUM(O145:O169)</f>
        <v/>
      </c>
      <c r="P173" s="18" t="n">
        <v>0</v>
      </c>
      <c r="Q173" s="18">
        <f>SUM(Q145:Q169)</f>
        <v/>
      </c>
      <c r="R173" s="19" t="n"/>
      <c r="S173" s="18">
        <f>SUM(S145:S169)</f>
        <v/>
      </c>
    </row>
    <row r="174" ht="22.2" customHeight="1" s="330" thickTop="1">
      <c r="A174" s="299" t="inlineStr">
        <is>
          <t>รวมจำนวนหน่วยชั่วโมงที่ขอเบิกค่าสอน ….</t>
        </is>
      </c>
      <c r="B174" s="467" t="n"/>
      <c r="C174" s="467" t="n"/>
      <c r="D174" s="467" t="n"/>
      <c r="E174" s="467" t="n"/>
      <c r="F174" s="467" t="n"/>
      <c r="G174" s="467" t="n"/>
      <c r="H174" s="298">
        <f>M173+Q173</f>
        <v/>
      </c>
      <c r="I174" s="298" t="inlineStr">
        <is>
          <t>….ชั่วโมง</t>
        </is>
      </c>
      <c r="J174" s="298" t="n"/>
      <c r="K174" s="301" t="inlineStr">
        <is>
          <t>ยอดเงินรวม</t>
        </is>
      </c>
      <c r="L174" s="471" t="n"/>
      <c r="M174" s="471" t="n"/>
      <c r="N174" s="301" t="n"/>
      <c r="O174" s="301" t="n"/>
      <c r="P174" s="302">
        <f>S173+O173</f>
        <v/>
      </c>
      <c r="Q174" s="482" t="n"/>
      <c r="R174" s="21" t="n"/>
      <c r="S174" s="20" t="inlineStr">
        <is>
          <t>..บาท</t>
        </is>
      </c>
    </row>
    <row r="175" ht="22.2" customHeight="1" s="330">
      <c r="A175" s="207" t="inlineStr">
        <is>
          <t>ผู้ขอเบิก</t>
        </is>
      </c>
      <c r="B175" s="334" t="n"/>
      <c r="C175" s="334" t="n"/>
      <c r="D175" s="334" t="n"/>
      <c r="E175" s="334" t="n"/>
      <c r="F175" s="334" t="n"/>
      <c r="G175" s="335" t="n"/>
      <c r="H175" s="207" t="inlineStr">
        <is>
          <t>ผู้รับรอง</t>
        </is>
      </c>
      <c r="I175" s="334" t="n"/>
      <c r="J175" s="334" t="n"/>
      <c r="K175" s="334" t="n"/>
      <c r="L175" s="335" t="n"/>
      <c r="M175" s="207" t="inlineStr">
        <is>
          <t>ผู้ตรวจ</t>
        </is>
      </c>
      <c r="N175" s="334" t="n"/>
      <c r="O175" s="334" t="n"/>
      <c r="P175" s="334" t="n"/>
      <c r="Q175" s="334" t="n"/>
      <c r="R175" s="334" t="n"/>
      <c r="S175" s="335" t="n"/>
    </row>
    <row r="176" ht="22.2" customHeight="1" s="330">
      <c r="A176" s="252" t="inlineStr">
        <is>
          <t>ลงชื่อ……………………………………………</t>
        </is>
      </c>
      <c r="G176" s="331" t="n"/>
      <c r="H176" s="252" t="inlineStr">
        <is>
          <t>ลงชื่อ……………………………………………</t>
        </is>
      </c>
      <c r="L176" s="331" t="n"/>
      <c r="M176" s="252" t="inlineStr">
        <is>
          <t>ลงชื่อ……………………………………………</t>
        </is>
      </c>
      <c r="S176" s="331" t="n"/>
    </row>
    <row r="177" ht="22.2" customHeight="1" s="330">
      <c r="A177" s="12" t="inlineStr">
        <is>
          <t>(</t>
        </is>
      </c>
      <c r="B177" s="309">
        <f>B145</f>
        <v/>
      </c>
      <c r="G177" s="310" t="inlineStr">
        <is>
          <t>)</t>
        </is>
      </c>
      <c r="H177" s="309" t="inlineStr">
        <is>
          <t>(</t>
        </is>
      </c>
      <c r="I177" s="314">
        <f>I131</f>
        <v/>
      </c>
      <c r="L177" s="13" t="inlineStr">
        <is>
          <t>)</t>
        </is>
      </c>
      <c r="M177" s="61" t="inlineStr">
        <is>
          <t>(</t>
        </is>
      </c>
      <c r="N177" s="61" t="n"/>
      <c r="O177" s="309" t="inlineStr">
        <is>
          <t>นายพิสุทธิศักดิ์  กล่อมนาค</t>
        </is>
      </c>
      <c r="R177" s="29" t="n"/>
      <c r="S177" s="310" t="inlineStr">
        <is>
          <t>)</t>
        </is>
      </c>
    </row>
    <row r="178" ht="22.2" customHeight="1" s="330">
      <c r="A178" s="483" t="inlineStr">
        <is>
          <t xml:space="preserve">                    ตำแหน่ง  ครู</t>
        </is>
      </c>
      <c r="G178" s="331" t="n"/>
      <c r="H178" s="62" t="inlineStr">
        <is>
          <t>ตำแหน่ง หัวหน้าแผนก</t>
        </is>
      </c>
      <c r="L178" s="331" t="n"/>
      <c r="M178" s="62" t="inlineStr">
        <is>
          <t>ตำแหน่ง   ผู้ตรวจสอบ</t>
        </is>
      </c>
      <c r="S178" s="331" t="n"/>
    </row>
    <row r="179" ht="22.2" customHeight="1" s="330">
      <c r="A179" s="63">
        <f>A41</f>
        <v/>
      </c>
      <c r="B179" s="471" t="n"/>
      <c r="C179" s="471" t="n"/>
      <c r="D179" s="471" t="n"/>
      <c r="E179" s="471" t="n"/>
      <c r="F179" s="471" t="n"/>
      <c r="G179" s="476" t="n"/>
      <c r="H179" s="62">
        <f>A41</f>
        <v/>
      </c>
      <c r="L179" s="331" t="n"/>
      <c r="M179" s="63">
        <f>A41</f>
        <v/>
      </c>
      <c r="N179" s="471" t="n"/>
      <c r="O179" s="471" t="n"/>
      <c r="P179" s="471" t="n"/>
      <c r="Q179" s="471" t="n"/>
      <c r="R179" s="471" t="n"/>
      <c r="S179" s="476" t="n"/>
    </row>
    <row r="180" ht="22.2" customHeight="1" s="330">
      <c r="A180" s="207" t="inlineStr">
        <is>
          <t>ผู้ตรวจ</t>
        </is>
      </c>
      <c r="B180" s="334" t="n"/>
      <c r="C180" s="334" t="n"/>
      <c r="D180" s="334" t="n"/>
      <c r="E180" s="334" t="n"/>
      <c r="F180" s="334" t="n"/>
      <c r="G180" s="334" t="n"/>
      <c r="H180" s="334" t="n"/>
      <c r="I180" s="335" t="n"/>
      <c r="J180" s="207" t="inlineStr">
        <is>
          <t>ผู้เห็นชอบ</t>
        </is>
      </c>
      <c r="K180" s="334" t="n"/>
      <c r="L180" s="334" t="n"/>
      <c r="M180" s="334" t="n"/>
      <c r="N180" s="334" t="n"/>
      <c r="O180" s="334" t="n"/>
      <c r="P180" s="334" t="n"/>
      <c r="Q180" s="334" t="n"/>
      <c r="R180" s="334" t="n"/>
      <c r="S180" s="335" t="n"/>
    </row>
    <row r="181" ht="22.2" customHeight="1" s="330">
      <c r="A181" s="252" t="inlineStr">
        <is>
          <t>ลงชื่อ……………………………………………</t>
        </is>
      </c>
      <c r="I181" s="331" t="n"/>
      <c r="J181" s="252" t="inlineStr">
        <is>
          <t>ลงชื่อ……………………………………………</t>
        </is>
      </c>
      <c r="S181" s="331" t="n"/>
    </row>
    <row r="182" ht="22.2" customHeight="1" s="330">
      <c r="A182" s="12" t="n"/>
      <c r="B182" s="309" t="inlineStr">
        <is>
          <t xml:space="preserve">          (นางศิวรักษ์   บุญประเสริฐ)</t>
        </is>
      </c>
      <c r="I182" s="310" t="n"/>
      <c r="J182" s="29" t="n"/>
      <c r="K182" s="29" t="n"/>
      <c r="L182" s="309" t="inlineStr">
        <is>
          <t>(นายปรีชา  โพธิ์เกิด)</t>
        </is>
      </c>
      <c r="R182" s="29" t="n"/>
      <c r="S182" s="13" t="n"/>
    </row>
    <row r="183" ht="22.2" customHeight="1" s="330">
      <c r="A183" s="62" t="inlineStr">
        <is>
          <t>ตำแหน่งครู  หัวหน้างานพัฒนาหลักสูตร ฯ</t>
        </is>
      </c>
      <c r="I183" s="331" t="n"/>
      <c r="J183" s="62" t="inlineStr">
        <is>
          <t>ตำแหน่ง  รองผู้อำนวยการฝ่ายวิชาการ</t>
        </is>
      </c>
      <c r="S183" s="331" t="n"/>
    </row>
    <row r="184" ht="22.2" customHeight="1" s="330">
      <c r="A184" s="63">
        <f>A41</f>
        <v/>
      </c>
      <c r="B184" s="471" t="n"/>
      <c r="C184" s="471" t="n"/>
      <c r="D184" s="471" t="n"/>
      <c r="E184" s="471" t="n"/>
      <c r="F184" s="471" t="n"/>
      <c r="G184" s="471" t="n"/>
      <c r="H184" s="471" t="n"/>
      <c r="I184" s="476" t="n"/>
      <c r="J184" s="63">
        <f>A41</f>
        <v/>
      </c>
      <c r="K184" s="471" t="n"/>
      <c r="L184" s="471" t="n"/>
      <c r="M184" s="471" t="n"/>
      <c r="N184" s="471" t="n"/>
      <c r="O184" s="471" t="n"/>
      <c r="P184" s="471" t="n"/>
      <c r="Q184" s="471" t="n"/>
      <c r="R184" s="471" t="n"/>
      <c r="S184" s="476" t="n"/>
    </row>
    <row r="185" ht="22.2" customHeight="1" s="330">
      <c r="A18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86" ht="22.2" customHeight="1" s="330">
      <c r="A186" s="254">
        <f>A2</f>
        <v/>
      </c>
    </row>
    <row r="187" ht="22.2" customHeight="1" s="330">
      <c r="A187" s="253" t="inlineStr">
        <is>
          <t xml:space="preserve">    ระหว่างวันที่</t>
        </is>
      </c>
      <c r="D187" s="254">
        <f>D3</f>
        <v/>
      </c>
      <c r="E187" s="254" t="inlineStr">
        <is>
          <t xml:space="preserve">   เดือน  </t>
        </is>
      </c>
      <c r="F187" s="254">
        <f>F3</f>
        <v/>
      </c>
      <c r="H187" s="254">
        <f>H3</f>
        <v/>
      </c>
      <c r="I187" s="254" t="inlineStr">
        <is>
          <t xml:space="preserve">     ถึง วันที่</t>
        </is>
      </c>
      <c r="J187" s="254">
        <f>J3</f>
        <v/>
      </c>
      <c r="K187" s="254" t="inlineStr">
        <is>
          <t xml:space="preserve">   เดือน </t>
        </is>
      </c>
      <c r="L187" s="254">
        <f>L3</f>
        <v/>
      </c>
      <c r="N187" s="254">
        <f>N3</f>
        <v/>
      </c>
      <c r="P187" s="254" t="n"/>
      <c r="R187" s="254" t="n"/>
    </row>
    <row r="188" ht="22.2" customHeight="1" s="330">
      <c r="G188" s="58" t="inlineStr">
        <is>
          <t>ü</t>
        </is>
      </c>
      <c r="H188" s="290" t="inlineStr">
        <is>
          <t>ครู</t>
        </is>
      </c>
      <c r="I188" s="249" t="inlineStr">
        <is>
          <t>หน้าที่พิเศษ</t>
        </is>
      </c>
      <c r="J188" s="8" t="inlineStr">
        <is>
          <t>หัวหน้างานศูนย์ข้อมูล และสารสนเทศ</t>
        </is>
      </c>
    </row>
    <row r="189" ht="22.2" customHeight="1" s="330">
      <c r="A189" s="28" t="inlineStr">
        <is>
          <t>ที่</t>
        </is>
      </c>
      <c r="B189" s="28" t="inlineStr">
        <is>
          <t>ชื่อ-สกุล</t>
        </is>
      </c>
      <c r="C189" s="334" t="n"/>
      <c r="D189" s="335" t="n"/>
      <c r="E189" s="16" t="inlineStr">
        <is>
          <t>ตำแหน่ง</t>
        </is>
      </c>
      <c r="F189" s="17" t="inlineStr">
        <is>
          <t>ระยะเวลาที่สอน</t>
        </is>
      </c>
      <c r="G189" s="362" t="n"/>
      <c r="H189" s="17" t="inlineStr">
        <is>
          <t>รหัสวิชา</t>
        </is>
      </c>
      <c r="I189" s="275" t="inlineStr">
        <is>
          <t>ชั้น,แผนก,ห้อง</t>
        </is>
      </c>
      <c r="J189" s="17" t="inlineStr">
        <is>
          <t>เวลาสอน</t>
        </is>
      </c>
      <c r="K189" s="335" t="n"/>
      <c r="L189" s="17" t="inlineStr">
        <is>
          <t>ปวช.(คาบ)</t>
        </is>
      </c>
      <c r="M189" s="362" t="n"/>
      <c r="N189" s="244" t="inlineStr">
        <is>
          <t>เงิน</t>
        </is>
      </c>
      <c r="O189" s="275" t="inlineStr">
        <is>
          <t>ยอดเงิน</t>
        </is>
      </c>
      <c r="P189" s="473" t="inlineStr">
        <is>
          <t>ปวส.(คาบ)</t>
        </is>
      </c>
      <c r="Q189" s="362" t="n"/>
      <c r="R189" s="244" t="inlineStr">
        <is>
          <t>เงิน</t>
        </is>
      </c>
      <c r="S189" s="275" t="inlineStr">
        <is>
          <t>ยอดเงิน</t>
        </is>
      </c>
    </row>
    <row r="190" ht="22.2" customHeight="1" s="330">
      <c r="A190" s="60" t="n"/>
      <c r="B190" s="9" t="n"/>
      <c r="C190" s="10" t="n"/>
      <c r="D190" s="14" t="n"/>
      <c r="E190" s="11" t="n"/>
      <c r="F190" s="276" t="inlineStr">
        <is>
          <t>ส.</t>
        </is>
      </c>
      <c r="G190" s="276" t="inlineStr">
        <is>
          <t>วดป.</t>
        </is>
      </c>
      <c r="H190" s="474" t="n"/>
      <c r="I190" s="276" t="n"/>
      <c r="J190" s="475" t="n"/>
      <c r="K190" s="476" t="n"/>
      <c r="L190" s="276" t="inlineStr">
        <is>
          <t>ใน</t>
        </is>
      </c>
      <c r="M190" s="276" t="inlineStr">
        <is>
          <t>นอก</t>
        </is>
      </c>
      <c r="N190" s="276" t="inlineStr">
        <is>
          <t>ต่อ ชม.</t>
        </is>
      </c>
      <c r="O190" s="276" t="inlineStr">
        <is>
          <t>(บาท)</t>
        </is>
      </c>
      <c r="P190" s="60" t="inlineStr">
        <is>
          <t>ใน</t>
        </is>
      </c>
      <c r="Q190" s="60" t="inlineStr">
        <is>
          <t>นอก</t>
        </is>
      </c>
      <c r="R190" s="276" t="inlineStr">
        <is>
          <t>ต่อ ชม.</t>
        </is>
      </c>
      <c r="S190" s="276" t="inlineStr">
        <is>
          <t>(บาท)</t>
        </is>
      </c>
    </row>
    <row r="191" ht="22.2" customHeight="1" s="330">
      <c r="A191" s="275" t="n">
        <v>5</v>
      </c>
      <c r="B191" s="477">
        <f>AB7</f>
        <v/>
      </c>
      <c r="C191" s="334" t="n"/>
      <c r="D191" s="335" t="n"/>
      <c r="E191" s="275" t="inlineStr">
        <is>
          <t>ครู</t>
        </is>
      </c>
      <c r="F191" s="6">
        <f>F7</f>
        <v/>
      </c>
      <c r="G191" s="303" t="inlineStr">
        <is>
          <t>จันทร์</t>
        </is>
      </c>
      <c r="H191" s="332" t="inlineStr">
        <is>
          <t>30101-2101</t>
        </is>
      </c>
      <c r="I191" s="325" t="inlineStr">
        <is>
          <t>ปวส.2/6 สย. (ม.6)</t>
        </is>
      </c>
      <c r="J191" s="332" t="inlineStr">
        <is>
          <t>08.10-12.10</t>
        </is>
      </c>
      <c r="K191" s="335" t="n"/>
      <c r="L191" s="265" t="n"/>
      <c r="M191" s="332" t="n"/>
      <c r="N191" s="332" t="n"/>
      <c r="O191" s="244">
        <f>M191*N191</f>
        <v/>
      </c>
      <c r="P191" s="332" t="n"/>
      <c r="Q191" s="265" t="n"/>
      <c r="R191" s="332" t="n"/>
      <c r="S191" s="244">
        <f>Q191*R191</f>
        <v/>
      </c>
    </row>
    <row r="192" ht="22.2" customHeight="1" s="330">
      <c r="A192" s="4" t="n"/>
      <c r="B192" s="478" t="n"/>
      <c r="D192" s="331" t="n"/>
      <c r="E192" s="252" t="n"/>
      <c r="F192" s="249" t="n"/>
      <c r="G192" s="308">
        <f>G146</f>
        <v/>
      </c>
      <c r="H192" s="325" t="inlineStr">
        <is>
          <t>30101-2101</t>
        </is>
      </c>
      <c r="I192" s="325" t="inlineStr">
        <is>
          <t>ปวส.2/6 สย. (ม.6)</t>
        </is>
      </c>
      <c r="J192" s="252" t="inlineStr">
        <is>
          <t>13.10-14.10</t>
        </is>
      </c>
      <c r="K192" s="331" t="n"/>
      <c r="L192" s="252" t="n"/>
      <c r="M192" s="252" t="n"/>
      <c r="N192" s="252" t="n"/>
      <c r="O192" s="244">
        <f>M192*N192</f>
        <v/>
      </c>
      <c r="P192" s="252" t="n"/>
      <c r="Q192" s="252" t="n"/>
      <c r="R192" s="252" t="n"/>
      <c r="S192" s="244">
        <f>Q192*R192</f>
        <v/>
      </c>
    </row>
    <row r="193" ht="22.2" customHeight="1" s="330">
      <c r="A193" s="4" t="n"/>
      <c r="B193" s="5" t="n"/>
      <c r="D193" s="3" t="n"/>
      <c r="E193" s="3" t="n"/>
      <c r="F193" s="249" t="n"/>
      <c r="G193" s="248" t="n"/>
      <c r="H193" s="325" t="inlineStr">
        <is>
          <t>30101-2101</t>
        </is>
      </c>
      <c r="I193" s="325" t="inlineStr">
        <is>
          <t>ปวส.2/5 สย. (ม.6)</t>
        </is>
      </c>
      <c r="J193" s="252" t="inlineStr">
        <is>
          <t>14.10-19.10</t>
        </is>
      </c>
      <c r="K193" s="331" t="n"/>
      <c r="L193" s="252" t="n"/>
      <c r="M193" s="252" t="n"/>
      <c r="N193" s="252" t="n"/>
      <c r="O193" s="244">
        <f>M193*N193</f>
        <v/>
      </c>
      <c r="P193" s="252" t="n"/>
      <c r="Q193" s="252" t="n"/>
      <c r="R193" s="252" t="n"/>
      <c r="S193" s="244">
        <f>Q193*R193</f>
        <v/>
      </c>
    </row>
    <row r="194" ht="22.2" customHeight="1" s="330">
      <c r="A194" s="4" t="n"/>
      <c r="B194" s="5" t="n"/>
      <c r="E194" s="4" t="n"/>
      <c r="F194" s="249" t="n"/>
      <c r="G194" s="248" t="n"/>
      <c r="H194" s="252" t="n"/>
      <c r="I194" s="252" t="n"/>
      <c r="J194" s="252" t="n"/>
      <c r="K194" s="331" t="n"/>
      <c r="L194" s="252" t="n"/>
      <c r="M194" s="252" t="n"/>
      <c r="N194" s="252" t="n"/>
      <c r="O194" s="244">
        <f>M194*N194</f>
        <v/>
      </c>
      <c r="P194" s="252" t="n"/>
      <c r="Q194" s="252" t="n"/>
      <c r="R194" s="252" t="n"/>
      <c r="S194" s="244">
        <f>Q194*R194</f>
        <v/>
      </c>
    </row>
    <row r="195" ht="22.2" customHeight="1" s="330">
      <c r="A195" s="4" t="n"/>
      <c r="E195" s="4" t="n"/>
      <c r="G195" s="311" t="n"/>
      <c r="H195" s="276" t="n"/>
      <c r="I195" s="276" t="n"/>
      <c r="J195" s="276" t="n"/>
      <c r="K195" s="476" t="n"/>
      <c r="L195" s="252" t="n"/>
      <c r="M195" s="252" t="n"/>
      <c r="N195" s="252" t="n"/>
      <c r="O195" s="244">
        <f>M195*N195</f>
        <v/>
      </c>
      <c r="P195" s="252" t="n"/>
      <c r="Q195" s="252" t="n"/>
      <c r="R195" s="252" t="n"/>
      <c r="S195" s="244">
        <f>Q195*R195</f>
        <v/>
      </c>
    </row>
    <row r="196" ht="22.2" customHeight="1" s="330">
      <c r="A196" s="4" t="n"/>
      <c r="B196" s="170" t="n"/>
      <c r="C196" s="171" t="n"/>
      <c r="D196" s="172" t="n"/>
      <c r="E196" s="173" t="n"/>
      <c r="F196" s="172" t="n"/>
      <c r="G196" s="62" t="inlineStr">
        <is>
          <t>อังคาร</t>
        </is>
      </c>
      <c r="H196" s="332" t="inlineStr">
        <is>
          <t>30101-2101</t>
        </is>
      </c>
      <c r="I196" s="325" t="inlineStr">
        <is>
          <t>ปวส.2/7 สย. (ม.6)</t>
        </is>
      </c>
      <c r="J196" s="332" t="inlineStr">
        <is>
          <t>08.10-12.10</t>
        </is>
      </c>
      <c r="K196" s="335" t="n"/>
      <c r="L196" s="265" t="n"/>
      <c r="M196" s="332" t="n"/>
      <c r="N196" s="332" t="n"/>
      <c r="O196" s="244">
        <f>M196*N196</f>
        <v/>
      </c>
      <c r="P196" s="332" t="n"/>
      <c r="Q196" s="265" t="n"/>
      <c r="R196" s="332" t="n"/>
      <c r="S196" s="244">
        <f>Q196*R196</f>
        <v/>
      </c>
    </row>
    <row r="197" ht="22.2" customHeight="1" s="330">
      <c r="A197" s="4" t="n"/>
      <c r="D197" s="3" t="n"/>
      <c r="E197" s="4" t="n"/>
      <c r="G197" s="308">
        <f>G151</f>
        <v/>
      </c>
      <c r="H197" s="325" t="inlineStr">
        <is>
          <t>30101-2101</t>
        </is>
      </c>
      <c r="I197" s="325" t="inlineStr">
        <is>
          <t>ปวส.2/7 สย. (ม.6)</t>
        </is>
      </c>
      <c r="J197" s="252" t="inlineStr">
        <is>
          <t>13.10-14.10</t>
        </is>
      </c>
      <c r="K197" s="331" t="n"/>
      <c r="L197" s="252" t="n"/>
      <c r="M197" s="252" t="n"/>
      <c r="N197" s="252" t="n"/>
      <c r="O197" s="244">
        <f>M197*N197</f>
        <v/>
      </c>
      <c r="P197" s="252" t="n"/>
      <c r="Q197" s="252" t="n"/>
      <c r="R197" s="252" t="n"/>
      <c r="S197" s="244">
        <f>Q197*R197</f>
        <v/>
      </c>
    </row>
    <row r="198" ht="22.2" customHeight="1" s="330">
      <c r="A198" s="4" t="n"/>
      <c r="B198" s="5" t="n"/>
      <c r="D198" s="3" t="n"/>
      <c r="E198" s="3" t="n"/>
      <c r="G198" s="252" t="n"/>
      <c r="H198" s="252" t="n"/>
      <c r="I198" s="325" t="n"/>
      <c r="J198" s="252" t="n"/>
      <c r="K198" s="331" t="n"/>
      <c r="L198" s="252" t="n"/>
      <c r="M198" s="252" t="n"/>
      <c r="N198" s="252" t="n"/>
      <c r="O198" s="244">
        <f>M198*N198</f>
        <v/>
      </c>
      <c r="P198" s="252" t="n"/>
      <c r="Q198" s="252" t="n"/>
      <c r="R198" s="252" t="n"/>
      <c r="S198" s="244">
        <f>Q198*R198</f>
        <v/>
      </c>
    </row>
    <row r="199" ht="22.2" customHeight="1" s="330">
      <c r="A199" s="4" t="n"/>
      <c r="E199" s="4" t="n"/>
      <c r="G199" s="62" t="n"/>
      <c r="H199" s="252" t="n"/>
      <c r="I199" s="252" t="n"/>
      <c r="J199" s="252" t="n"/>
      <c r="K199" s="331" t="n"/>
      <c r="L199" s="252" t="n"/>
      <c r="M199" s="252" t="n"/>
      <c r="N199" s="252" t="n"/>
      <c r="O199" s="244">
        <f>M199*N199</f>
        <v/>
      </c>
      <c r="P199" s="252" t="n"/>
      <c r="Q199" s="252" t="n"/>
      <c r="R199" s="252" t="n"/>
      <c r="S199" s="244">
        <f>Q199*R199</f>
        <v/>
      </c>
    </row>
    <row r="200" ht="22.2" customHeight="1" s="330">
      <c r="A200" s="4" t="n"/>
      <c r="D200" s="8" t="inlineStr">
        <is>
          <t> </t>
        </is>
      </c>
      <c r="E200" s="4" t="n"/>
      <c r="G200" s="63" t="n"/>
      <c r="H200" s="276" t="n"/>
      <c r="I200" s="276" t="n"/>
      <c r="J200" s="276" t="n"/>
      <c r="K200" s="476" t="n"/>
      <c r="L200" s="252" t="n"/>
      <c r="M200" s="252" t="n"/>
      <c r="N200" s="252" t="n"/>
      <c r="O200" s="244">
        <f>M200*N200</f>
        <v/>
      </c>
      <c r="P200" s="252" t="n"/>
      <c r="Q200" s="252" t="n"/>
      <c r="R200" s="252" t="n"/>
      <c r="S200" s="244">
        <f>Q200*R200</f>
        <v/>
      </c>
    </row>
    <row r="201" ht="22.2" customHeight="1" s="330">
      <c r="A201" s="4" t="n"/>
      <c r="E201" s="4" t="n"/>
      <c r="G201" s="308" t="inlineStr">
        <is>
          <t>พุธ</t>
        </is>
      </c>
      <c r="H201" s="252" t="inlineStr">
        <is>
          <t>30101-8001</t>
        </is>
      </c>
      <c r="I201" s="325" t="inlineStr">
        <is>
          <t>ปวส.2/2 สย. (ปกติ)</t>
        </is>
      </c>
      <c r="J201" s="332" t="inlineStr">
        <is>
          <t>08.10-12.10</t>
        </is>
      </c>
      <c r="K201" s="335" t="n"/>
      <c r="L201" s="265" t="n"/>
      <c r="M201" s="332" t="n"/>
      <c r="N201" s="332" t="n"/>
      <c r="O201" s="244">
        <f>M201*N201</f>
        <v/>
      </c>
      <c r="P201" s="332" t="n"/>
      <c r="Q201" s="265" t="n"/>
      <c r="R201" s="332" t="n"/>
      <c r="S201" s="244">
        <f>Q201*R201</f>
        <v/>
      </c>
      <c r="T201" s="24" t="n"/>
      <c r="U201" s="24" t="inlineStr">
        <is>
          <t>สอน ป.ตรี</t>
        </is>
      </c>
      <c r="V201" s="65" t="n"/>
      <c r="W201" s="24" t="n"/>
      <c r="X201" s="24" t="n"/>
    </row>
    <row r="202" ht="22.2" customHeight="1" s="330">
      <c r="A202" s="4" t="n"/>
      <c r="B202" s="248" t="n"/>
      <c r="C202" s="249" t="n"/>
      <c r="D202" s="249" t="n"/>
      <c r="E202" s="252" t="n"/>
      <c r="G202" s="308">
        <f>G156</f>
        <v/>
      </c>
      <c r="H202" s="252" t="n"/>
      <c r="I202" s="325" t="n"/>
      <c r="J202" s="252" t="n"/>
      <c r="K202" s="331" t="n"/>
      <c r="L202" s="252" t="n"/>
      <c r="M202" s="252" t="n"/>
      <c r="N202" s="252" t="n"/>
      <c r="O202" s="244">
        <f>M202*N202</f>
        <v/>
      </c>
      <c r="P202" s="252" t="n"/>
      <c r="Q202" s="252" t="n"/>
      <c r="R202" s="252" t="n"/>
      <c r="S202" s="244">
        <f>Q202*R202</f>
        <v/>
      </c>
      <c r="T202" s="24" t="n"/>
      <c r="U202" s="24" t="inlineStr">
        <is>
          <t>17.10-20.10</t>
        </is>
      </c>
      <c r="V202" s="65" t="n"/>
      <c r="W202" s="24" t="n"/>
      <c r="X202" s="24" t="n"/>
    </row>
    <row r="203" ht="22.2" customHeight="1" s="330">
      <c r="A203" s="4" t="n"/>
      <c r="B203" s="5" t="n"/>
      <c r="D203" s="3" t="n"/>
      <c r="E203" s="3" t="n"/>
      <c r="G203" s="252" t="n"/>
      <c r="H203" s="252" t="n"/>
      <c r="I203" s="325" t="n"/>
      <c r="J203" s="252" t="n"/>
      <c r="K203" s="331" t="n"/>
      <c r="L203" s="252" t="n"/>
      <c r="M203" s="252" t="n"/>
      <c r="N203" s="252" t="n"/>
      <c r="O203" s="244">
        <f>M203*N203</f>
        <v/>
      </c>
      <c r="P203" s="252" t="n"/>
      <c r="Q203" s="252" t="n"/>
      <c r="R203" s="252" t="n"/>
      <c r="S203" s="244">
        <f>Q203*R203</f>
        <v/>
      </c>
    </row>
    <row r="204" ht="22.2" customHeight="1" s="330">
      <c r="A204" s="4" t="n"/>
      <c r="E204" s="4" t="n"/>
      <c r="G204" s="248" t="n"/>
      <c r="H204" s="248" t="n"/>
      <c r="I204" s="252" t="n"/>
      <c r="J204" s="252" t="n"/>
      <c r="K204" s="331" t="n"/>
      <c r="L204" s="252" t="n"/>
      <c r="M204" s="252" t="n"/>
      <c r="N204" s="252" t="n"/>
      <c r="O204" s="244">
        <f>M204*N204</f>
        <v/>
      </c>
      <c r="P204" s="252" t="n"/>
      <c r="Q204" s="252" t="n"/>
      <c r="R204" s="252" t="n"/>
      <c r="S204" s="244">
        <f>Q204*R204</f>
        <v/>
      </c>
    </row>
    <row r="205" ht="22.2" customHeight="1" s="330">
      <c r="A205" s="4" t="n"/>
      <c r="E205" s="4" t="n"/>
      <c r="G205" s="277" t="n"/>
      <c r="H205" s="277" t="n"/>
      <c r="I205" s="276" t="n"/>
      <c r="J205" s="276" t="n"/>
      <c r="K205" s="476" t="n"/>
      <c r="L205" s="276" t="n"/>
      <c r="M205" s="276" t="n"/>
      <c r="N205" s="276" t="n"/>
      <c r="O205" s="244">
        <f>M205*N205</f>
        <v/>
      </c>
      <c r="P205" s="276" t="n"/>
      <c r="Q205" s="276" t="n"/>
      <c r="R205" s="276" t="n"/>
      <c r="S205" s="244">
        <f>Q205*R205</f>
        <v/>
      </c>
    </row>
    <row r="206" ht="22.2" customHeight="1" s="330">
      <c r="A206" s="4" t="n"/>
      <c r="E206" s="4" t="n"/>
      <c r="G206" s="62" t="inlineStr">
        <is>
          <t>พฤหัส</t>
        </is>
      </c>
      <c r="H206" s="252" t="n"/>
      <c r="I206" s="325" t="n"/>
      <c r="J206" s="332" t="n"/>
      <c r="K206" s="335" t="n"/>
      <c r="L206" s="252" t="n"/>
      <c r="M206" s="252" t="n"/>
      <c r="N206" s="252" t="n"/>
      <c r="O206" s="244">
        <f>M206*N206</f>
        <v/>
      </c>
      <c r="P206" s="252" t="n"/>
      <c r="Q206" s="275" t="n"/>
      <c r="R206" s="275" t="n"/>
      <c r="S206" s="244">
        <f>Q206*R206</f>
        <v/>
      </c>
    </row>
    <row r="207" ht="22.2" customHeight="1" s="330">
      <c r="A207" s="4" t="n"/>
      <c r="E207" s="4" t="n"/>
      <c r="G207" s="308">
        <f>G161</f>
        <v/>
      </c>
      <c r="H207" s="252" t="n"/>
      <c r="I207" s="325" t="n"/>
      <c r="J207" s="252" t="n"/>
      <c r="K207" s="331" t="n"/>
      <c r="L207" s="252" t="n"/>
      <c r="M207" s="252" t="n"/>
      <c r="N207" s="252" t="n"/>
      <c r="O207" s="244">
        <f>M207*N207</f>
        <v/>
      </c>
      <c r="P207" s="252" t="n"/>
      <c r="Q207" s="252" t="n"/>
      <c r="R207" s="252" t="n"/>
      <c r="S207" s="244">
        <f>Q207*R207</f>
        <v/>
      </c>
    </row>
    <row r="208" ht="22.2" customHeight="1" s="330">
      <c r="A208" s="4" t="n"/>
      <c r="E208" s="4" t="n"/>
      <c r="G208" s="252" t="n"/>
      <c r="H208" s="325" t="n"/>
      <c r="I208" s="325" t="n"/>
      <c r="J208" s="252" t="n"/>
      <c r="K208" s="331" t="n"/>
      <c r="L208" s="325" t="n"/>
      <c r="M208" s="325" t="n"/>
      <c r="N208" s="325" t="n"/>
      <c r="O208" s="244">
        <f>M208*N208</f>
        <v/>
      </c>
      <c r="P208" s="325" t="n"/>
      <c r="Q208" s="325" t="n"/>
      <c r="R208" s="325" t="n"/>
      <c r="S208" s="244">
        <f>Q208*R208</f>
        <v/>
      </c>
    </row>
    <row r="209" ht="22.2" customHeight="1" s="330">
      <c r="A209" s="4" t="n"/>
      <c r="E209" s="4" t="n"/>
      <c r="G209" s="252" t="n"/>
      <c r="H209" s="252" t="n"/>
      <c r="I209" s="252" t="n"/>
      <c r="J209" s="252" t="n"/>
      <c r="K209" s="331" t="n"/>
      <c r="L209" s="252" t="n"/>
      <c r="M209" s="252" t="n"/>
      <c r="N209" s="252" t="n"/>
      <c r="O209" s="244">
        <f>M209*N209</f>
        <v/>
      </c>
      <c r="P209" s="252" t="n"/>
      <c r="Q209" s="252" t="n"/>
      <c r="R209" s="252" t="n"/>
      <c r="S209" s="244">
        <f>Q209*R209</f>
        <v/>
      </c>
    </row>
    <row r="210" ht="22.2" customHeight="1" s="330">
      <c r="A210" s="4" t="n"/>
      <c r="E210" s="4" t="n"/>
      <c r="G210" s="276" t="n"/>
      <c r="H210" s="301" t="n"/>
      <c r="I210" s="276" t="n"/>
      <c r="J210" s="276" t="n"/>
      <c r="K210" s="476" t="n"/>
      <c r="L210" s="276" t="n"/>
      <c r="M210" s="276" t="n"/>
      <c r="N210" s="276" t="n"/>
      <c r="O210" s="244">
        <f>M210*N210</f>
        <v/>
      </c>
      <c r="P210" s="276" t="n"/>
      <c r="Q210" s="276" t="n"/>
      <c r="R210" s="276" t="n"/>
      <c r="S210" s="244">
        <f>Q210*R210</f>
        <v/>
      </c>
    </row>
    <row r="211" ht="22.2" customHeight="1" s="330">
      <c r="A211" s="4" t="n"/>
      <c r="E211" s="4" t="n"/>
      <c r="G211" s="62" t="inlineStr">
        <is>
          <t>ศุกร์</t>
        </is>
      </c>
      <c r="H211" s="332" t="inlineStr">
        <is>
          <t>30101-2109</t>
        </is>
      </c>
      <c r="I211" s="325" t="inlineStr">
        <is>
          <t>ปวส.2/5 สย. (ม.6)</t>
        </is>
      </c>
      <c r="J211" s="332" t="inlineStr">
        <is>
          <t>08.10-12.10</t>
        </is>
      </c>
      <c r="K211" s="335" t="n"/>
      <c r="L211" s="252" t="n"/>
      <c r="M211" s="252" t="n"/>
      <c r="N211" s="252" t="n"/>
      <c r="O211" s="244">
        <f>M211*N211</f>
        <v/>
      </c>
      <c r="P211" s="332" t="n"/>
      <c r="Q211" s="265" t="n"/>
      <c r="R211" s="332" t="n"/>
      <c r="S211" s="244">
        <f>Q211*R211</f>
        <v/>
      </c>
    </row>
    <row r="212" ht="22.2" customHeight="1" s="330">
      <c r="A212" s="4" t="n"/>
      <c r="B212" s="170" t="n"/>
      <c r="C212" s="171" t="n"/>
      <c r="D212" s="172" t="n"/>
      <c r="E212" s="173" t="n"/>
      <c r="F212" s="172" t="n"/>
      <c r="G212" s="308">
        <f>G166</f>
        <v/>
      </c>
      <c r="H212" s="325" t="inlineStr">
        <is>
          <t>30101-2109</t>
        </is>
      </c>
      <c r="I212" s="325" t="inlineStr">
        <is>
          <t>ปวส.2/5 สย. (ม.6)</t>
        </is>
      </c>
      <c r="J212" s="252" t="inlineStr">
        <is>
          <t>13.10-14.10</t>
        </is>
      </c>
      <c r="K212" s="331" t="n"/>
      <c r="L212" s="252" t="n"/>
      <c r="M212" s="252" t="n"/>
      <c r="N212" s="252" t="n"/>
      <c r="O212" s="244">
        <f>M212*N212</f>
        <v/>
      </c>
      <c r="P212" s="252" t="n"/>
      <c r="Q212" s="252" t="n"/>
      <c r="R212" s="252" t="n"/>
      <c r="S212" s="244">
        <f>Q212*R212</f>
        <v/>
      </c>
    </row>
    <row r="213" ht="22.2" customHeight="1" s="330">
      <c r="A213" s="4" t="n"/>
      <c r="E213" s="4" t="n"/>
      <c r="G213" s="252" t="n"/>
      <c r="H213" s="325" t="n"/>
      <c r="I213" s="325" t="n"/>
      <c r="J213" s="252" t="n"/>
      <c r="K213" s="331" t="n"/>
      <c r="L213" s="252" t="n"/>
      <c r="M213" s="252" t="n"/>
      <c r="N213" s="252" t="n"/>
      <c r="O213" s="244">
        <f>M213*N213</f>
        <v/>
      </c>
      <c r="P213" s="252" t="n"/>
      <c r="Q213" s="252" t="n"/>
      <c r="R213" s="252" t="n"/>
      <c r="S213" s="244">
        <f>Q213*R213</f>
        <v/>
      </c>
    </row>
    <row r="214" ht="22.2" customHeight="1" s="330">
      <c r="A214" s="4" t="n"/>
      <c r="E214" s="4" t="n"/>
      <c r="G214" s="252" t="n"/>
      <c r="H214" s="252" t="n"/>
      <c r="I214" s="252" t="n"/>
      <c r="J214" s="252" t="n"/>
      <c r="K214" s="331" t="n"/>
      <c r="L214" s="252" t="n"/>
      <c r="M214" s="252" t="n"/>
      <c r="N214" s="252" t="n"/>
      <c r="O214" s="244">
        <f>M214*N214</f>
        <v/>
      </c>
      <c r="P214" s="252" t="n"/>
      <c r="Q214" s="252" t="n"/>
      <c r="R214" s="252" t="n"/>
      <c r="S214" s="244">
        <f>Q214*R214</f>
        <v/>
      </c>
    </row>
    <row r="215" ht="22.2" customHeight="1" s="330">
      <c r="A215" s="4" t="n"/>
      <c r="E215" s="4" t="n"/>
      <c r="F215" s="4" t="n"/>
      <c r="G215" s="278" t="n"/>
      <c r="H215" s="301" t="n"/>
      <c r="I215" s="276" t="n"/>
      <c r="J215" s="276" t="n"/>
      <c r="K215" s="476" t="n"/>
      <c r="L215" s="276" t="n"/>
      <c r="M215" s="276" t="n"/>
      <c r="N215" s="276" t="n"/>
      <c r="O215" s="244">
        <f>M215*N215</f>
        <v/>
      </c>
      <c r="P215" s="276" t="n"/>
      <c r="Q215" s="276" t="n"/>
      <c r="R215" s="276" t="n"/>
      <c r="S215" s="244">
        <f>Q215*R215</f>
        <v/>
      </c>
    </row>
    <row r="216" ht="22.2" customHeight="1" s="330">
      <c r="A216" s="4" t="n"/>
      <c r="E216" s="4" t="n"/>
      <c r="F216" s="4" t="n"/>
      <c r="G216" s="17" t="inlineStr">
        <is>
          <t>รวมขั่วโมงที่สอนแยก ภาระงาน/ เกินภาระงาน</t>
        </is>
      </c>
      <c r="H216" s="467" t="n"/>
      <c r="I216" s="467" t="n"/>
      <c r="J216" s="467" t="n"/>
      <c r="K216" s="362" t="n"/>
      <c r="L216" s="17">
        <f>SUM(L191:L215)</f>
        <v/>
      </c>
      <c r="M216" s="17">
        <f>SUM(M191:M215)</f>
        <v/>
      </c>
      <c r="N216" s="17" t="n"/>
      <c r="O216" s="17" t="n"/>
      <c r="P216" s="17">
        <f>SUM(P191:P215)</f>
        <v/>
      </c>
      <c r="Q216" s="17">
        <f>SUM(Q191:Q215)</f>
        <v/>
      </c>
      <c r="R216" s="279" t="n"/>
      <c r="S216" s="17" t="n"/>
      <c r="T216" s="25" t="n"/>
      <c r="U216" s="26" t="inlineStr">
        <is>
          <t xml:space="preserve">     PLC</t>
        </is>
      </c>
      <c r="V216" s="64" t="n"/>
      <c r="W216" s="27" t="n"/>
      <c r="X216" s="27" t="n"/>
    </row>
    <row r="217" ht="22.2" customHeight="1" s="330">
      <c r="A217" s="4" t="n"/>
      <c r="E217" s="4" t="n"/>
      <c r="F217" s="4" t="n"/>
      <c r="G217" s="17" t="inlineStr">
        <is>
          <t>รวมจำนวนชั่วโมงสอนคาบต่อสับดาห์</t>
        </is>
      </c>
      <c r="H217" s="467" t="n"/>
      <c r="I217" s="467" t="n"/>
      <c r="J217" s="467" t="n"/>
      <c r="K217" s="362" t="n"/>
      <c r="L217" s="17">
        <f>L216+M216</f>
        <v/>
      </c>
      <c r="M217" s="362" t="n"/>
      <c r="N217" s="17" t="n"/>
      <c r="O217" s="298" t="n"/>
      <c r="P217" s="17">
        <f>P216+Q216</f>
        <v/>
      </c>
      <c r="Q217" s="362" t="n"/>
      <c r="R217" s="278" t="n"/>
      <c r="S217" s="276" t="n"/>
      <c r="T217" s="27" t="inlineStr">
        <is>
          <t> </t>
        </is>
      </c>
      <c r="U217" s="26" t="inlineStr">
        <is>
          <t>17.10-19.10</t>
        </is>
      </c>
      <c r="V217" s="64" t="n"/>
      <c r="W217" s="27" t="n"/>
      <c r="X217" s="27" t="n"/>
    </row>
    <row r="218" ht="22.2" customHeight="1" s="330">
      <c r="A218" s="4" t="n"/>
      <c r="E218" s="4" t="n"/>
      <c r="F218" s="4" t="n"/>
      <c r="G218" s="17" t="inlineStr">
        <is>
          <t>จำนวนชั่วโมงสอนตามภาระงานสอน</t>
        </is>
      </c>
      <c r="H218" s="467" t="n"/>
      <c r="I218" s="467" t="n"/>
      <c r="J218" s="467" t="n"/>
      <c r="K218" s="362" t="n"/>
      <c r="L218" s="17" t="n">
        <v>0</v>
      </c>
      <c r="M218" s="362" t="n"/>
      <c r="N218" s="298" t="n"/>
      <c r="O218" s="17" t="n"/>
      <c r="P218" s="17" t="n">
        <v>10</v>
      </c>
      <c r="Q218" s="362" t="n"/>
      <c r="R218" s="249" t="n"/>
      <c r="S218" s="252" t="n"/>
    </row>
    <row r="219" ht="22.2" customHeight="1" s="330" thickBot="1">
      <c r="A219" s="4" t="n"/>
      <c r="E219" s="4" t="n"/>
      <c r="F219" s="15" t="n"/>
      <c r="G219" s="17" t="inlineStr">
        <is>
          <t>จำนวนชั่วโมงบิกเกินภาระงานสอน/ค่าสอน</t>
        </is>
      </c>
      <c r="H219" s="467" t="n"/>
      <c r="I219" s="467" t="n"/>
      <c r="J219" s="467" t="n"/>
      <c r="K219" s="362" t="n"/>
      <c r="L219" s="18" t="n">
        <v>0</v>
      </c>
      <c r="M219" s="18">
        <f>SUM(M191:M215)</f>
        <v/>
      </c>
      <c r="N219" s="18" t="n"/>
      <c r="O219" s="18">
        <f>SUM(O191:O215)</f>
        <v/>
      </c>
      <c r="P219" s="18" t="n">
        <v>0</v>
      </c>
      <c r="Q219" s="18">
        <f>SUM(Q191:Q215)</f>
        <v/>
      </c>
      <c r="R219" s="19" t="n"/>
      <c r="S219" s="18">
        <f>SUM(S191:S215)</f>
        <v/>
      </c>
    </row>
    <row r="220" ht="22.2" customHeight="1" s="330" thickTop="1">
      <c r="A220" s="299" t="inlineStr">
        <is>
          <t>รวมจำนวนหน่วยชั่วโมงที่ขอเบิกค่าสอน ….</t>
        </is>
      </c>
      <c r="B220" s="467" t="n"/>
      <c r="C220" s="467" t="n"/>
      <c r="D220" s="467" t="n"/>
      <c r="E220" s="467" t="n"/>
      <c r="F220" s="467" t="n"/>
      <c r="G220" s="467" t="n"/>
      <c r="H220" s="298">
        <f>M219+Q219</f>
        <v/>
      </c>
      <c r="I220" s="298" t="inlineStr">
        <is>
          <t>….ชั่วโมง</t>
        </is>
      </c>
      <c r="J220" s="298" t="n"/>
      <c r="K220" s="301" t="inlineStr">
        <is>
          <t>ยอดเงินรวม</t>
        </is>
      </c>
      <c r="L220" s="471" t="n"/>
      <c r="M220" s="471" t="n"/>
      <c r="N220" s="301" t="n"/>
      <c r="O220" s="301" t="n"/>
      <c r="P220" s="302">
        <f>S219+O219</f>
        <v/>
      </c>
      <c r="Q220" s="482" t="n"/>
      <c r="R220" s="21" t="n"/>
      <c r="S220" s="20" t="inlineStr">
        <is>
          <t>..บาท</t>
        </is>
      </c>
    </row>
    <row r="221" ht="22.2" customHeight="1" s="330">
      <c r="A221" s="207" t="inlineStr">
        <is>
          <t>ผู้ขอเบิก</t>
        </is>
      </c>
      <c r="B221" s="334" t="n"/>
      <c r="C221" s="334" t="n"/>
      <c r="D221" s="334" t="n"/>
      <c r="E221" s="334" t="n"/>
      <c r="F221" s="334" t="n"/>
      <c r="G221" s="335" t="n"/>
      <c r="H221" s="207" t="inlineStr">
        <is>
          <t>ผู้รับรอง</t>
        </is>
      </c>
      <c r="I221" s="334" t="n"/>
      <c r="J221" s="334" t="n"/>
      <c r="K221" s="334" t="n"/>
      <c r="L221" s="335" t="n"/>
      <c r="M221" s="207" t="inlineStr">
        <is>
          <t>ผู้ตรวจ</t>
        </is>
      </c>
      <c r="N221" s="334" t="n"/>
      <c r="O221" s="334" t="n"/>
      <c r="P221" s="334" t="n"/>
      <c r="Q221" s="334" t="n"/>
      <c r="R221" s="334" t="n"/>
      <c r="S221" s="335" t="n"/>
    </row>
    <row r="222" ht="22.2" customHeight="1" s="330">
      <c r="A222" s="252" t="inlineStr">
        <is>
          <t>ลงชื่อ……………………………………………</t>
        </is>
      </c>
      <c r="G222" s="331" t="n"/>
      <c r="H222" s="252" t="inlineStr">
        <is>
          <t>ลงชื่อ……………………………………………</t>
        </is>
      </c>
      <c r="L222" s="331" t="n"/>
      <c r="M222" s="252" t="inlineStr">
        <is>
          <t>ลงชื่อ……………………………………………</t>
        </is>
      </c>
      <c r="S222" s="331" t="n"/>
    </row>
    <row r="223" ht="22.2" customHeight="1" s="330">
      <c r="A223" s="12" t="inlineStr">
        <is>
          <t>(</t>
        </is>
      </c>
      <c r="B223" s="309">
        <f>B191</f>
        <v/>
      </c>
      <c r="G223" s="310" t="inlineStr">
        <is>
          <t>)</t>
        </is>
      </c>
      <c r="H223" s="309" t="inlineStr">
        <is>
          <t>(</t>
        </is>
      </c>
      <c r="I223" s="314">
        <f>I177</f>
        <v/>
      </c>
      <c r="L223" s="13" t="inlineStr">
        <is>
          <t>)</t>
        </is>
      </c>
      <c r="M223" s="61" t="inlineStr">
        <is>
          <t>(</t>
        </is>
      </c>
      <c r="N223" s="61" t="n"/>
      <c r="O223" s="309" t="inlineStr">
        <is>
          <t>นายพิสุทธิศักดิ์  กล่อมนาค</t>
        </is>
      </c>
      <c r="R223" s="29" t="n"/>
      <c r="S223" s="310" t="inlineStr">
        <is>
          <t>)</t>
        </is>
      </c>
    </row>
    <row r="224" ht="22.2" customHeight="1" s="330">
      <c r="A224" s="483" t="inlineStr">
        <is>
          <t xml:space="preserve">                    ตำแหน่ง  ครู</t>
        </is>
      </c>
      <c r="G224" s="331" t="n"/>
      <c r="H224" s="62" t="inlineStr">
        <is>
          <t>ตำแหน่ง หัวหน้าแผนก</t>
        </is>
      </c>
      <c r="L224" s="331" t="n"/>
      <c r="M224" s="62" t="inlineStr">
        <is>
          <t>ตำแหน่ง   ผู้ตรวจสอบ</t>
        </is>
      </c>
      <c r="S224" s="331" t="n"/>
    </row>
    <row r="225" ht="22.2" customHeight="1" s="330">
      <c r="A225" s="63">
        <f>A41</f>
        <v/>
      </c>
      <c r="B225" s="471" t="n"/>
      <c r="C225" s="471" t="n"/>
      <c r="D225" s="471" t="n"/>
      <c r="E225" s="471" t="n"/>
      <c r="F225" s="471" t="n"/>
      <c r="G225" s="476" t="n"/>
      <c r="H225" s="62">
        <f>A41</f>
        <v/>
      </c>
      <c r="L225" s="331" t="n"/>
      <c r="M225" s="63">
        <f>A41</f>
        <v/>
      </c>
      <c r="N225" s="471" t="n"/>
      <c r="O225" s="471" t="n"/>
      <c r="P225" s="471" t="n"/>
      <c r="Q225" s="471" t="n"/>
      <c r="R225" s="471" t="n"/>
      <c r="S225" s="476" t="n"/>
    </row>
    <row r="226" ht="22.2" customHeight="1" s="330">
      <c r="A226" s="207" t="inlineStr">
        <is>
          <t>ผู้ตรวจ</t>
        </is>
      </c>
      <c r="B226" s="334" t="n"/>
      <c r="C226" s="334" t="n"/>
      <c r="D226" s="334" t="n"/>
      <c r="E226" s="334" t="n"/>
      <c r="F226" s="334" t="n"/>
      <c r="G226" s="334" t="n"/>
      <c r="H226" s="334" t="n"/>
      <c r="I226" s="335" t="n"/>
      <c r="J226" s="207" t="inlineStr">
        <is>
          <t>ผู้เห็นชอบ</t>
        </is>
      </c>
      <c r="K226" s="334" t="n"/>
      <c r="L226" s="334" t="n"/>
      <c r="M226" s="334" t="n"/>
      <c r="N226" s="334" t="n"/>
      <c r="O226" s="334" t="n"/>
      <c r="P226" s="334" t="n"/>
      <c r="Q226" s="334" t="n"/>
      <c r="R226" s="334" t="n"/>
      <c r="S226" s="335" t="n"/>
    </row>
    <row r="227" ht="22.2" customHeight="1" s="330">
      <c r="A227" s="252" t="inlineStr">
        <is>
          <t>ลงชื่อ……………………………………………</t>
        </is>
      </c>
      <c r="I227" s="331" t="n"/>
      <c r="J227" s="252" t="inlineStr">
        <is>
          <t>ลงชื่อ……………………………………………</t>
        </is>
      </c>
      <c r="S227" s="331" t="n"/>
    </row>
    <row r="228" ht="22.2" customHeight="1" s="330">
      <c r="A228" s="12" t="n"/>
      <c r="B228" s="309" t="inlineStr">
        <is>
          <t xml:space="preserve">          (นางศิวรักษ์   บุญประเสริฐ)</t>
        </is>
      </c>
      <c r="I228" s="310" t="n"/>
      <c r="J228" s="29" t="n"/>
      <c r="K228" s="29" t="n"/>
      <c r="L228" s="309" t="inlineStr">
        <is>
          <t>(นายปรีชา  โพธิ์เกิด)</t>
        </is>
      </c>
      <c r="R228" s="29" t="n"/>
      <c r="S228" s="13" t="n"/>
    </row>
    <row r="229" ht="22.2" customHeight="1" s="330">
      <c r="A229" s="62" t="inlineStr">
        <is>
          <t>ตำแหน่งครู  หัวหน้างานพัฒนาหลักสูตร ฯ</t>
        </is>
      </c>
      <c r="I229" s="331" t="n"/>
      <c r="J229" s="62" t="inlineStr">
        <is>
          <t>ตำแหน่ง  รองผู้อำนวยการฝ่ายวิชาการ</t>
        </is>
      </c>
      <c r="S229" s="331" t="n"/>
    </row>
    <row r="230" ht="22.2" customHeight="1" s="330">
      <c r="A230" s="63">
        <f>A41</f>
        <v/>
      </c>
      <c r="B230" s="471" t="n"/>
      <c r="C230" s="471" t="n"/>
      <c r="D230" s="471" t="n"/>
      <c r="E230" s="471" t="n"/>
      <c r="F230" s="471" t="n"/>
      <c r="G230" s="471" t="n"/>
      <c r="H230" s="471" t="n"/>
      <c r="I230" s="476" t="n"/>
      <c r="J230" s="63">
        <f>A41</f>
        <v/>
      </c>
      <c r="K230" s="471" t="n"/>
      <c r="L230" s="471" t="n"/>
      <c r="M230" s="471" t="n"/>
      <c r="N230" s="471" t="n"/>
      <c r="O230" s="471" t="n"/>
      <c r="P230" s="471" t="n"/>
      <c r="Q230" s="471" t="n"/>
      <c r="R230" s="471" t="n"/>
      <c r="S230" s="476" t="n"/>
    </row>
    <row r="231" ht="22.2" customHeight="1" s="330">
      <c r="A23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232" ht="22.2" customHeight="1" s="330">
      <c r="A232" s="254">
        <f>A2</f>
        <v/>
      </c>
    </row>
    <row r="233" ht="22.2" customHeight="1" s="330">
      <c r="A233" s="253" t="inlineStr">
        <is>
          <t xml:space="preserve">    ระหว่างวันที่</t>
        </is>
      </c>
      <c r="D233" s="254">
        <f>D3</f>
        <v/>
      </c>
      <c r="E233" s="254" t="inlineStr">
        <is>
          <t xml:space="preserve">   เดือน  </t>
        </is>
      </c>
      <c r="F233" s="254">
        <f>F3</f>
        <v/>
      </c>
      <c r="H233" s="254">
        <f>H3</f>
        <v/>
      </c>
      <c r="I233" s="254" t="inlineStr">
        <is>
          <t xml:space="preserve">     ถึง วันที่</t>
        </is>
      </c>
      <c r="J233" s="254">
        <f>J3</f>
        <v/>
      </c>
      <c r="K233" s="254" t="inlineStr">
        <is>
          <t xml:space="preserve">   เดือน </t>
        </is>
      </c>
      <c r="L233" s="254">
        <f>L3</f>
        <v/>
      </c>
      <c r="N233" s="254">
        <f>N3</f>
        <v/>
      </c>
      <c r="P233" s="254" t="n"/>
      <c r="R233" s="254" t="n"/>
    </row>
    <row r="234" ht="22.2" customHeight="1" s="330">
      <c r="G234" s="58" t="inlineStr">
        <is>
          <t>ü</t>
        </is>
      </c>
      <c r="H234" s="290" t="inlineStr">
        <is>
          <t>ครู</t>
        </is>
      </c>
      <c r="I234" s="249" t="inlineStr">
        <is>
          <t>หน้าที่พิเศษ</t>
        </is>
      </c>
    </row>
    <row r="235" ht="22.2" customHeight="1" s="330">
      <c r="A235" s="28" t="inlineStr">
        <is>
          <t>ที่</t>
        </is>
      </c>
      <c r="B235" s="28" t="inlineStr">
        <is>
          <t>ชื่อ-สกุล</t>
        </is>
      </c>
      <c r="C235" s="334" t="n"/>
      <c r="D235" s="335" t="n"/>
      <c r="E235" s="16" t="inlineStr">
        <is>
          <t>ตำแหน่ง</t>
        </is>
      </c>
      <c r="F235" s="17" t="inlineStr">
        <is>
          <t>ระยะเวลาที่สอน</t>
        </is>
      </c>
      <c r="G235" s="362" t="n"/>
      <c r="H235" s="17" t="inlineStr">
        <is>
          <t>รหัสวิชา</t>
        </is>
      </c>
      <c r="I235" s="275" t="inlineStr">
        <is>
          <t>ชั้น,แผนก,ห้อง</t>
        </is>
      </c>
      <c r="J235" s="17" t="inlineStr">
        <is>
          <t>เวลาสอน</t>
        </is>
      </c>
      <c r="K235" s="335" t="n"/>
      <c r="L235" s="17" t="inlineStr">
        <is>
          <t>ปวช.(คาบ)</t>
        </is>
      </c>
      <c r="M235" s="362" t="n"/>
      <c r="N235" s="244" t="inlineStr">
        <is>
          <t>เงิน</t>
        </is>
      </c>
      <c r="O235" s="275" t="inlineStr">
        <is>
          <t>ยอดเงิน</t>
        </is>
      </c>
      <c r="P235" s="473" t="inlineStr">
        <is>
          <t>ปวส.(คาบ)</t>
        </is>
      </c>
      <c r="Q235" s="362" t="n"/>
      <c r="R235" s="244" t="inlineStr">
        <is>
          <t>เงิน</t>
        </is>
      </c>
      <c r="S235" s="275" t="inlineStr">
        <is>
          <t>ยอดเงิน</t>
        </is>
      </c>
    </row>
    <row r="236" ht="22.2" customHeight="1" s="330">
      <c r="A236" s="60" t="n"/>
      <c r="B236" s="9" t="n"/>
      <c r="C236" s="10" t="n"/>
      <c r="D236" s="14" t="n"/>
      <c r="E236" s="11" t="n"/>
      <c r="F236" s="276" t="inlineStr">
        <is>
          <t>ส.</t>
        </is>
      </c>
      <c r="G236" s="276" t="inlineStr">
        <is>
          <t>วดป.</t>
        </is>
      </c>
      <c r="H236" s="474" t="n"/>
      <c r="I236" s="276" t="n"/>
      <c r="J236" s="475" t="n"/>
      <c r="K236" s="476" t="n"/>
      <c r="L236" s="276" t="inlineStr">
        <is>
          <t>ใน</t>
        </is>
      </c>
      <c r="M236" s="276" t="inlineStr">
        <is>
          <t>นอก</t>
        </is>
      </c>
      <c r="N236" s="276" t="inlineStr">
        <is>
          <t>ต่อ ชม.</t>
        </is>
      </c>
      <c r="O236" s="276" t="inlineStr">
        <is>
          <t>(บาท)</t>
        </is>
      </c>
      <c r="P236" s="60" t="inlineStr">
        <is>
          <t>ใน</t>
        </is>
      </c>
      <c r="Q236" s="60" t="inlineStr">
        <is>
          <t>นอก</t>
        </is>
      </c>
      <c r="R236" s="276" t="inlineStr">
        <is>
          <t>ต่อ ชม.</t>
        </is>
      </c>
      <c r="S236" s="276" t="inlineStr">
        <is>
          <t>(บาท)</t>
        </is>
      </c>
    </row>
    <row r="237" ht="22.2" customHeight="1" s="330">
      <c r="A237" s="275" t="n">
        <v>6</v>
      </c>
      <c r="B237" s="477">
        <f>AB8</f>
        <v/>
      </c>
      <c r="C237" s="334" t="n"/>
      <c r="D237" s="335" t="n"/>
      <c r="E237" s="275" t="inlineStr">
        <is>
          <t>ครู</t>
        </is>
      </c>
      <c r="F237" s="6">
        <f>F7</f>
        <v/>
      </c>
      <c r="G237" s="207" t="inlineStr">
        <is>
          <t>จันทร์</t>
        </is>
      </c>
      <c r="H237" s="156" t="n"/>
      <c r="I237" s="156" t="n"/>
      <c r="J237" s="335" t="n"/>
      <c r="K237" s="335" t="n"/>
      <c r="L237" s="265" t="n"/>
      <c r="M237" s="332" t="n"/>
      <c r="N237" s="332" t="n"/>
      <c r="O237" s="244">
        <f>M237*N237</f>
        <v/>
      </c>
      <c r="P237" s="332" t="n"/>
      <c r="Q237" s="265" t="n"/>
      <c r="R237" s="332" t="n"/>
      <c r="S237" s="244">
        <f>Q237*R237</f>
        <v/>
      </c>
    </row>
    <row r="238" ht="22.2" customHeight="1" s="330">
      <c r="A238" s="4" t="n"/>
      <c r="B238" s="5" t="n"/>
      <c r="D238" s="3" t="n"/>
      <c r="E238" s="3" t="n"/>
      <c r="F238" s="249" t="n"/>
      <c r="G238" s="62">
        <f>G192</f>
        <v/>
      </c>
      <c r="H238" s="56" t="n"/>
      <c r="I238" s="56" t="n"/>
      <c r="J238" s="331" t="n"/>
      <c r="K238" s="331" t="n"/>
      <c r="L238" s="252" t="n"/>
      <c r="M238" s="252" t="n"/>
      <c r="N238" s="252" t="n"/>
      <c r="O238" s="244">
        <f>M238*N238</f>
        <v/>
      </c>
      <c r="P238" s="252" t="n"/>
      <c r="Q238" s="252" t="n"/>
      <c r="R238" s="252" t="n"/>
      <c r="S238" s="244">
        <f>Q238*R238</f>
        <v/>
      </c>
    </row>
    <row r="239" ht="22.2" customHeight="1" s="330">
      <c r="A239" s="4" t="n"/>
      <c r="B239" s="5" t="n"/>
      <c r="D239" s="3" t="n"/>
      <c r="E239" s="3" t="n"/>
      <c r="F239" s="249" t="n"/>
      <c r="G239" s="252" t="n"/>
      <c r="H239" s="250" t="n"/>
      <c r="I239" s="252" t="n"/>
      <c r="J239" s="252" t="n"/>
      <c r="K239" s="331" t="n"/>
      <c r="L239" s="252" t="n"/>
      <c r="M239" s="252" t="n"/>
      <c r="N239" s="252" t="n"/>
      <c r="O239" s="244">
        <f>M239*N239</f>
        <v/>
      </c>
      <c r="P239" s="252" t="n"/>
      <c r="Q239" s="252" t="n"/>
      <c r="R239" s="252" t="n"/>
      <c r="S239" s="244">
        <f>Q239*R239</f>
        <v/>
      </c>
    </row>
    <row r="240" ht="22.2" customHeight="1" s="330">
      <c r="A240" s="4" t="n"/>
      <c r="B240" s="5" t="n"/>
      <c r="E240" s="4" t="n"/>
      <c r="F240" s="249" t="n"/>
      <c r="G240" s="248" t="n"/>
      <c r="H240" s="252" t="n"/>
      <c r="I240" s="252" t="n"/>
      <c r="J240" s="252" t="n"/>
      <c r="K240" s="331" t="n"/>
      <c r="L240" s="252" t="n"/>
      <c r="M240" s="252" t="n"/>
      <c r="N240" s="252" t="n"/>
      <c r="O240" s="244">
        <f>M240*N240</f>
        <v/>
      </c>
      <c r="P240" s="252" t="n"/>
      <c r="Q240" s="252" t="n"/>
      <c r="R240" s="252" t="n"/>
      <c r="S240" s="244">
        <f>Q240*R240</f>
        <v/>
      </c>
    </row>
    <row r="241" ht="22.2" customHeight="1" s="330">
      <c r="A241" s="4" t="n"/>
      <c r="E241" s="4" t="n"/>
      <c r="G241" s="311" t="n"/>
      <c r="H241" s="276" t="n"/>
      <c r="I241" s="276" t="n"/>
      <c r="J241" s="276" t="n"/>
      <c r="K241" s="476" t="n"/>
      <c r="L241" s="252" t="n"/>
      <c r="M241" s="252" t="n"/>
      <c r="N241" s="252" t="n"/>
      <c r="O241" s="244">
        <f>M241*N241</f>
        <v/>
      </c>
      <c r="P241" s="252" t="n"/>
      <c r="Q241" s="252" t="n"/>
      <c r="R241" s="252" t="n"/>
      <c r="S241" s="244">
        <f>Q241*R241</f>
        <v/>
      </c>
    </row>
    <row r="242" ht="22.2" customHeight="1" s="330">
      <c r="A242" s="4" t="n"/>
      <c r="E242" s="4" t="n"/>
      <c r="G242" s="207" t="inlineStr">
        <is>
          <t>อังคาร</t>
        </is>
      </c>
      <c r="H242" s="325" t="inlineStr">
        <is>
          <t>30101-0001</t>
        </is>
      </c>
      <c r="I242" s="325" t="inlineStr">
        <is>
          <t>ปวส.2/5 สย. (ปกติ)</t>
        </is>
      </c>
      <c r="J242" s="332" t="inlineStr">
        <is>
          <t>08.10-11.10</t>
        </is>
      </c>
      <c r="K242" s="335" t="n"/>
      <c r="L242" s="265" t="n"/>
      <c r="M242" s="332" t="n"/>
      <c r="N242" s="332" t="n"/>
      <c r="O242" s="244">
        <f>M242*N242</f>
        <v/>
      </c>
      <c r="P242" s="332" t="n"/>
      <c r="Q242" s="265" t="n"/>
      <c r="R242" s="332" t="n"/>
      <c r="S242" s="244">
        <f>Q242*R242</f>
        <v/>
      </c>
      <c r="T242" s="7" t="n"/>
      <c r="U242" s="23" t="inlineStr">
        <is>
          <t>เบิก ธุรการ</t>
        </is>
      </c>
      <c r="V242" s="66" t="n"/>
      <c r="W242" s="22" t="n"/>
      <c r="X242" s="22" t="n"/>
    </row>
    <row r="243" ht="22.2" customHeight="1" s="330">
      <c r="A243" s="4" t="n"/>
      <c r="E243" s="4" t="n"/>
      <c r="G243" s="62">
        <f>G197</f>
        <v/>
      </c>
      <c r="H243" s="325" t="inlineStr">
        <is>
          <t>30101-0001</t>
        </is>
      </c>
      <c r="I243" s="325" t="inlineStr">
        <is>
          <t>ปวส.2/7 สย. (ปกติ)</t>
        </is>
      </c>
      <c r="J243" s="252" t="inlineStr">
        <is>
          <t>14.10-17.10</t>
        </is>
      </c>
      <c r="K243" s="331" t="n"/>
      <c r="L243" s="252" t="n"/>
      <c r="M243" s="252" t="n"/>
      <c r="N243" s="252" t="n"/>
      <c r="O243" s="244">
        <f>M243*N243</f>
        <v/>
      </c>
      <c r="P243" s="252" t="n"/>
      <c r="Q243" s="252" t="n"/>
      <c r="R243" s="252" t="n"/>
      <c r="S243" s="244">
        <f>Q243*R243</f>
        <v/>
      </c>
      <c r="T243" s="22" t="inlineStr">
        <is>
          <t> </t>
        </is>
      </c>
      <c r="U243" s="23" t="inlineStr">
        <is>
          <t>16.10-19.10</t>
        </is>
      </c>
      <c r="V243" s="66" t="n"/>
      <c r="W243" s="22" t="n"/>
      <c r="X243" s="22" t="n"/>
    </row>
    <row r="244" ht="22.2" customHeight="1" s="330">
      <c r="A244" s="4" t="n"/>
      <c r="B244" s="5" t="n"/>
      <c r="D244" s="3" t="n"/>
      <c r="E244" s="3" t="n"/>
      <c r="G244" s="252" t="n"/>
      <c r="H244" s="56" t="n"/>
      <c r="I244" s="331" t="n"/>
      <c r="J244" s="331" t="n"/>
      <c r="K244" s="331" t="n"/>
      <c r="L244" s="252" t="n"/>
      <c r="M244" s="252" t="n"/>
      <c r="N244" s="252" t="n"/>
      <c r="O244" s="244">
        <f>M244*N244</f>
        <v/>
      </c>
      <c r="P244" s="252" t="n"/>
      <c r="Q244" s="252" t="n"/>
      <c r="R244" s="252" t="n"/>
      <c r="S244" s="244">
        <f>Q244*R244</f>
        <v/>
      </c>
    </row>
    <row r="245" ht="22.2" customHeight="1" s="330">
      <c r="A245" s="4" t="n"/>
      <c r="E245" s="4" t="n"/>
      <c r="G245" s="62" t="n"/>
      <c r="H245" s="252" t="n"/>
      <c r="I245" s="250" t="n"/>
      <c r="J245" s="250" t="n"/>
      <c r="K245" s="331" t="n"/>
      <c r="L245" s="252" t="n"/>
      <c r="M245" s="252" t="n"/>
      <c r="N245" s="252" t="n"/>
      <c r="O245" s="244">
        <f>M245*N245</f>
        <v/>
      </c>
      <c r="P245" s="252" t="n"/>
      <c r="Q245" s="252" t="n"/>
      <c r="R245" s="252" t="n"/>
      <c r="S245" s="244">
        <f>Q245*R245</f>
        <v/>
      </c>
    </row>
    <row r="246" ht="22.2" customHeight="1" s="330">
      <c r="A246" s="4" t="n"/>
      <c r="D246" s="8" t="inlineStr">
        <is>
          <t> </t>
        </is>
      </c>
      <c r="E246" s="4" t="n"/>
      <c r="G246" s="63" t="n"/>
      <c r="H246" s="276" t="n"/>
      <c r="I246" s="276" t="n"/>
      <c r="J246" s="276" t="n"/>
      <c r="K246" s="476" t="n"/>
      <c r="L246" s="252" t="n"/>
      <c r="M246" s="252" t="n"/>
      <c r="N246" s="252" t="n"/>
      <c r="O246" s="244">
        <f>M246*N246</f>
        <v/>
      </c>
      <c r="P246" s="252" t="n"/>
      <c r="Q246" s="252" t="n"/>
      <c r="R246" s="252" t="n"/>
      <c r="S246" s="244">
        <f>Q246*R246</f>
        <v/>
      </c>
    </row>
    <row r="247" ht="22.2" customHeight="1" s="330">
      <c r="A247" s="4" t="n"/>
      <c r="E247" s="4" t="n"/>
      <c r="G247" s="207" t="inlineStr">
        <is>
          <t>พุธ</t>
        </is>
      </c>
      <c r="H247" s="147" t="inlineStr">
        <is>
          <t>30101-2102</t>
        </is>
      </c>
      <c r="I247" s="325" t="inlineStr">
        <is>
          <t>ปวส.1/1 สย. (ปกติ)</t>
        </is>
      </c>
      <c r="J247" s="332" t="inlineStr">
        <is>
          <t>08.10-12.10</t>
        </is>
      </c>
      <c r="K247" s="335" t="n"/>
      <c r="L247" s="265" t="n"/>
      <c r="M247" s="332" t="n"/>
      <c r="N247" s="332" t="n"/>
      <c r="O247" s="244">
        <f>M247*N247</f>
        <v/>
      </c>
      <c r="P247" s="332" t="n"/>
      <c r="Q247" s="265" t="n"/>
      <c r="R247" s="332" t="n"/>
      <c r="S247" s="244">
        <f>Q247*R247</f>
        <v/>
      </c>
    </row>
    <row r="248" ht="22.2" customHeight="1" s="330">
      <c r="A248" s="4" t="n"/>
      <c r="B248" s="248" t="n"/>
      <c r="C248" s="249" t="n"/>
      <c r="D248" s="249" t="n"/>
      <c r="E248" s="252" t="n"/>
      <c r="G248" s="62">
        <f>G202</f>
        <v/>
      </c>
      <c r="H248" s="148" t="inlineStr">
        <is>
          <t>30101-2102</t>
        </is>
      </c>
      <c r="I248" s="286" t="inlineStr">
        <is>
          <t>ปวส.1/1 สย. (ปกติ)</t>
        </is>
      </c>
      <c r="J248" s="325" t="inlineStr">
        <is>
          <t>13.10-14.10</t>
        </is>
      </c>
      <c r="K248" s="331" t="n"/>
      <c r="L248" s="252" t="n"/>
      <c r="M248" s="252" t="n"/>
      <c r="N248" s="252" t="n"/>
      <c r="O248" s="244">
        <f>M248*N248</f>
        <v/>
      </c>
      <c r="P248" s="252" t="n"/>
      <c r="Q248" s="252" t="n"/>
      <c r="R248" s="252" t="n"/>
      <c r="S248" s="244">
        <f>Q248*R248</f>
        <v/>
      </c>
    </row>
    <row r="249" ht="22.2" customHeight="1" s="330">
      <c r="A249" s="4" t="n"/>
      <c r="B249" s="5" t="n"/>
      <c r="D249" s="3" t="n"/>
      <c r="E249" s="3" t="n"/>
      <c r="G249" s="252" t="n"/>
      <c r="H249" s="148" t="inlineStr">
        <is>
          <t>30101-2102</t>
        </is>
      </c>
      <c r="I249" s="325" t="inlineStr">
        <is>
          <t>ปวส.1/2 สย. (ปกติ)</t>
        </is>
      </c>
      <c r="J249" s="252" t="inlineStr">
        <is>
          <t>14.10-19.10</t>
        </is>
      </c>
      <c r="K249" s="331" t="n"/>
      <c r="L249" s="252" t="n"/>
      <c r="M249" s="252" t="n"/>
      <c r="N249" s="252" t="n"/>
      <c r="O249" s="244">
        <f>M249*N249</f>
        <v/>
      </c>
      <c r="P249" s="252" t="n"/>
      <c r="Q249" s="252" t="n"/>
      <c r="R249" s="252" t="n"/>
      <c r="S249" s="244">
        <f>Q249*R249</f>
        <v/>
      </c>
    </row>
    <row r="250" ht="22.2" customHeight="1" s="330">
      <c r="A250" s="4" t="n"/>
      <c r="E250" s="4" t="n"/>
      <c r="G250" s="248" t="n"/>
      <c r="H250" s="252" t="n"/>
      <c r="I250" s="325" t="n"/>
      <c r="J250" s="250" t="n"/>
      <c r="K250" s="331" t="n"/>
      <c r="L250" s="252" t="n"/>
      <c r="M250" s="252" t="n"/>
      <c r="N250" s="252" t="n"/>
      <c r="O250" s="244">
        <f>M250*N250</f>
        <v/>
      </c>
      <c r="P250" s="252" t="n"/>
      <c r="Q250" s="252" t="n"/>
      <c r="R250" s="252" t="n"/>
      <c r="S250" s="244">
        <f>Q250*R250</f>
        <v/>
      </c>
    </row>
    <row r="251" ht="22.2" customHeight="1" s="330">
      <c r="A251" s="4" t="n"/>
      <c r="E251" s="4" t="n"/>
      <c r="G251" s="277" t="n"/>
      <c r="H251" s="276" t="n"/>
      <c r="I251" s="276" t="n"/>
      <c r="J251" s="276" t="n"/>
      <c r="K251" s="476" t="n"/>
      <c r="L251" s="276" t="n"/>
      <c r="M251" s="276" t="n"/>
      <c r="N251" s="276" t="n"/>
      <c r="O251" s="244">
        <f>M251*N251</f>
        <v/>
      </c>
      <c r="P251" s="276" t="n"/>
      <c r="Q251" s="276" t="n"/>
      <c r="R251" s="276" t="n"/>
      <c r="S251" s="244">
        <f>Q251*R251</f>
        <v/>
      </c>
    </row>
    <row r="252" ht="22.2" customHeight="1" s="330">
      <c r="A252" s="4" t="n"/>
      <c r="E252" s="4" t="n"/>
      <c r="G252" s="62" t="inlineStr">
        <is>
          <t>พฤหัส</t>
        </is>
      </c>
      <c r="H252" s="325" t="inlineStr">
        <is>
          <t>30000-2004</t>
        </is>
      </c>
      <c r="I252" s="325" t="inlineStr">
        <is>
          <t>ปวส.2/5,6 สย. (ม.6)</t>
        </is>
      </c>
      <c r="J252" s="332" t="inlineStr">
        <is>
          <t>13.10-15.10</t>
        </is>
      </c>
      <c r="K252" s="335" t="n"/>
      <c r="L252" s="252" t="n"/>
      <c r="M252" s="252" t="n"/>
      <c r="N252" s="252" t="n"/>
      <c r="O252" s="244">
        <f>M252*N252</f>
        <v/>
      </c>
      <c r="P252" s="252" t="n"/>
      <c r="Q252" s="275" t="n"/>
      <c r="R252" s="275" t="n"/>
      <c r="S252" s="244">
        <f>Q252*R252</f>
        <v/>
      </c>
    </row>
    <row r="253" ht="22.2" customHeight="1" s="330">
      <c r="A253" s="4" t="n"/>
      <c r="E253" s="4" t="n"/>
      <c r="G253" s="308">
        <f>G207</f>
        <v/>
      </c>
      <c r="H253" s="325" t="inlineStr">
        <is>
          <t>30100-0101</t>
        </is>
      </c>
      <c r="I253" s="325" t="inlineStr">
        <is>
          <t>ปวส.1/5,6 สย. (ม.5)</t>
        </is>
      </c>
      <c r="J253" s="325" t="inlineStr">
        <is>
          <t>15.10-18.10</t>
        </is>
      </c>
      <c r="K253" s="331" t="n"/>
      <c r="L253" s="252" t="n"/>
      <c r="M253" s="252" t="n"/>
      <c r="N253" s="252" t="n"/>
      <c r="O253" s="244">
        <f>M253*N253</f>
        <v/>
      </c>
      <c r="P253" s="252" t="n"/>
      <c r="Q253" s="252" t="n"/>
      <c r="R253" s="252" t="n"/>
      <c r="S253" s="244">
        <f>Q253*R253</f>
        <v/>
      </c>
    </row>
    <row r="254" ht="22.2" customHeight="1" s="330">
      <c r="A254" s="4" t="n"/>
      <c r="B254" s="5" t="n"/>
      <c r="E254" s="4" t="n"/>
      <c r="G254" s="252" t="n"/>
      <c r="H254" s="325" t="n"/>
      <c r="I254" s="325" t="n"/>
      <c r="J254" s="252" t="n"/>
      <c r="K254" s="331" t="n"/>
      <c r="L254" s="325" t="n"/>
      <c r="M254" s="325" t="n"/>
      <c r="N254" s="325" t="n"/>
      <c r="O254" s="244">
        <f>M254*N254</f>
        <v/>
      </c>
      <c r="P254" s="325" t="n"/>
      <c r="Q254" s="325" t="n"/>
      <c r="R254" s="325" t="n"/>
      <c r="S254" s="244">
        <f>Q254*R254</f>
        <v/>
      </c>
    </row>
    <row r="255" ht="22.2" customHeight="1" s="330">
      <c r="A255" s="4" t="n"/>
      <c r="E255" s="4" t="n"/>
      <c r="G255" s="252" t="n"/>
      <c r="H255" s="252" t="n"/>
      <c r="I255" s="252" t="n"/>
      <c r="J255" s="252" t="n"/>
      <c r="K255" s="331" t="n"/>
      <c r="L255" s="252" t="n"/>
      <c r="M255" s="252" t="n"/>
      <c r="N255" s="252" t="n"/>
      <c r="O255" s="244">
        <f>M255*N255</f>
        <v/>
      </c>
      <c r="P255" s="252" t="n"/>
      <c r="Q255" s="252" t="n"/>
      <c r="R255" s="252" t="n"/>
      <c r="S255" s="244">
        <f>Q255*R255</f>
        <v/>
      </c>
    </row>
    <row r="256" ht="22.2" customHeight="1" s="330">
      <c r="A256" s="4" t="n"/>
      <c r="E256" s="4" t="n"/>
      <c r="G256" s="276" t="n"/>
      <c r="H256" s="252" t="n"/>
      <c r="I256" s="276" t="n"/>
      <c r="J256" s="276" t="n"/>
      <c r="K256" s="476" t="n"/>
      <c r="L256" s="276" t="n"/>
      <c r="M256" s="276" t="n"/>
      <c r="N256" s="276" t="n"/>
      <c r="O256" s="244">
        <f>M256*N256</f>
        <v/>
      </c>
      <c r="P256" s="276" t="n"/>
      <c r="Q256" s="276" t="n"/>
      <c r="R256" s="276" t="n"/>
      <c r="S256" s="244">
        <f>Q256*R256</f>
        <v/>
      </c>
    </row>
    <row r="257" ht="22.2" customHeight="1" s="330">
      <c r="A257" s="4" t="n"/>
      <c r="D257" s="331" t="n"/>
      <c r="E257" s="56" t="n"/>
      <c r="G257" s="62" t="inlineStr">
        <is>
          <t>ศุกร์</t>
        </is>
      </c>
      <c r="H257" s="147" t="inlineStr">
        <is>
          <t>30100-0101</t>
        </is>
      </c>
      <c r="I257" s="325" t="inlineStr">
        <is>
          <t>ปวส.1/3,4 สย. (ม.6)</t>
        </is>
      </c>
      <c r="J257" s="332" t="inlineStr">
        <is>
          <t>08.10-11.10</t>
        </is>
      </c>
      <c r="K257" s="335" t="n"/>
      <c r="L257" s="149" t="n"/>
      <c r="M257" s="69" t="n"/>
      <c r="N257" s="69" t="n"/>
      <c r="O257" s="244">
        <f>M257*N257</f>
        <v/>
      </c>
      <c r="P257" s="147" t="n"/>
      <c r="Q257" s="149" t="n"/>
      <c r="R257" s="147" t="n"/>
      <c r="S257" s="244">
        <f>Q257*R257</f>
        <v/>
      </c>
      <c r="T257" s="24" t="n"/>
      <c r="U257" s="24" t="inlineStr">
        <is>
          <t>สอน ป.ตรี</t>
        </is>
      </c>
      <c r="V257" s="65" t="n"/>
      <c r="W257" s="24" t="n"/>
      <c r="X257" s="24" t="n"/>
    </row>
    <row r="258" ht="22.2" customHeight="1" s="330">
      <c r="A258" s="4" t="n"/>
      <c r="E258" s="4" t="n"/>
      <c r="G258" s="308">
        <f>G212</f>
        <v/>
      </c>
      <c r="H258" s="148" t="inlineStr">
        <is>
          <t>30101-8001</t>
        </is>
      </c>
      <c r="I258" s="325" t="inlineStr">
        <is>
          <t>ปวส.2/1 สย. (ปกติ)</t>
        </is>
      </c>
      <c r="J258" s="325" t="inlineStr">
        <is>
          <t>13.10-17.10</t>
        </is>
      </c>
      <c r="K258" s="331" t="n"/>
      <c r="L258" s="150" t="n"/>
      <c r="M258" s="68" t="n"/>
      <c r="N258" s="68" t="n"/>
      <c r="O258" s="244">
        <f>M258*N258</f>
        <v/>
      </c>
      <c r="P258" s="150" t="n"/>
      <c r="Q258" s="150" t="n"/>
      <c r="R258" s="150" t="n"/>
      <c r="S258" s="244">
        <f>Q258*R258</f>
        <v/>
      </c>
      <c r="T258" s="24" t="n"/>
      <c r="U258" s="24" t="inlineStr">
        <is>
          <t>17.10-21.10</t>
        </is>
      </c>
      <c r="V258" s="65" t="n"/>
      <c r="W258" s="24" t="n"/>
      <c r="X258" s="24" t="n"/>
    </row>
    <row r="259" ht="22.2" customHeight="1" s="330">
      <c r="A259" s="4" t="n"/>
      <c r="E259" s="4" t="n"/>
      <c r="G259" s="252" t="n"/>
      <c r="H259" s="148" t="n"/>
      <c r="I259" s="325" t="n"/>
      <c r="J259" s="252" t="n"/>
      <c r="K259" s="331" t="n"/>
      <c r="L259" s="68" t="n"/>
      <c r="M259" s="68" t="n"/>
      <c r="N259" s="68" t="n"/>
      <c r="O259" s="244">
        <f>M259*N259</f>
        <v/>
      </c>
      <c r="P259" s="150" t="n"/>
      <c r="Q259" s="68" t="n"/>
      <c r="R259" s="68" t="n"/>
      <c r="S259" s="244">
        <f>Q259*R259</f>
        <v/>
      </c>
    </row>
    <row r="260" ht="22.2" customHeight="1" s="330">
      <c r="A260" s="4" t="n"/>
      <c r="E260" s="4" t="n"/>
      <c r="G260" s="252" t="n"/>
      <c r="H260" s="252" t="n"/>
      <c r="I260" s="252" t="n"/>
      <c r="J260" s="252" t="n"/>
      <c r="K260" s="331" t="n"/>
      <c r="L260" s="252" t="n"/>
      <c r="N260" s="252" t="n"/>
      <c r="O260" s="244">
        <f>L260*N260</f>
        <v/>
      </c>
      <c r="P260" s="252" t="n"/>
      <c r="Q260" s="252" t="n"/>
      <c r="R260" s="252" t="n"/>
      <c r="S260" s="244">
        <f>Q260*R260</f>
        <v/>
      </c>
    </row>
    <row r="261" ht="22.2" customHeight="1" s="330">
      <c r="A261" s="4" t="n"/>
      <c r="E261" s="4" t="n"/>
      <c r="F261" s="4" t="n"/>
      <c r="G261" s="278" t="n"/>
      <c r="H261" s="301" t="n"/>
      <c r="I261" s="276" t="n"/>
      <c r="J261" s="276" t="n"/>
      <c r="K261" s="476" t="n"/>
      <c r="L261" s="276" t="n"/>
      <c r="M261" s="276" t="n"/>
      <c r="N261" s="276" t="n"/>
      <c r="O261" s="244">
        <f>M261*N261</f>
        <v/>
      </c>
      <c r="P261" s="276" t="n"/>
      <c r="Q261" s="276" t="n"/>
      <c r="R261" s="276" t="n"/>
      <c r="S261" s="244">
        <f>Q261*R261</f>
        <v/>
      </c>
    </row>
    <row r="262" ht="22.2" customHeight="1" s="330">
      <c r="A262" s="4" t="n"/>
      <c r="E262" s="4" t="n"/>
      <c r="F262" s="4" t="n"/>
      <c r="G262" s="17" t="inlineStr">
        <is>
          <t>รวมขั่วโมงที่สอนแยก ภาระงาน/ เกินภาระงาน</t>
        </is>
      </c>
      <c r="H262" s="467" t="n"/>
      <c r="I262" s="467" t="n"/>
      <c r="J262" s="467" t="n"/>
      <c r="K262" s="362" t="n"/>
      <c r="L262" s="17">
        <f>SUM(L237:L261)</f>
        <v/>
      </c>
      <c r="M262" s="17">
        <f>SUM(M237:M261)</f>
        <v/>
      </c>
      <c r="N262" s="17" t="n"/>
      <c r="O262" s="17" t="n"/>
      <c r="P262" s="17">
        <f>SUM(P237:P261)</f>
        <v/>
      </c>
      <c r="Q262" s="17">
        <f>SUM(Q237:Q261)</f>
        <v/>
      </c>
      <c r="R262" s="279" t="n"/>
      <c r="S262" s="17" t="n"/>
      <c r="T262" s="25" t="n"/>
      <c r="U262" s="26" t="inlineStr">
        <is>
          <t xml:space="preserve">     PLC</t>
        </is>
      </c>
      <c r="V262" s="64" t="n"/>
      <c r="W262" s="27" t="n"/>
      <c r="X262" s="27" t="n"/>
    </row>
    <row r="263" ht="22.2" customHeight="1" s="330">
      <c r="A263" s="4" t="n"/>
      <c r="E263" s="4" t="n"/>
      <c r="F263" s="4" t="n"/>
      <c r="G263" s="17" t="inlineStr">
        <is>
          <t>รวมจำนวนชั่วโมงสอนคาบต่อสับดาห์</t>
        </is>
      </c>
      <c r="H263" s="467" t="n"/>
      <c r="I263" s="467" t="n"/>
      <c r="J263" s="467" t="n"/>
      <c r="K263" s="362" t="n"/>
      <c r="L263" s="17">
        <f>L262+M262</f>
        <v/>
      </c>
      <c r="M263" s="362" t="n"/>
      <c r="N263" s="298" t="n"/>
      <c r="O263" s="17" t="n"/>
      <c r="P263" s="17">
        <f>P262+Q262</f>
        <v/>
      </c>
      <c r="Q263" s="362" t="n"/>
      <c r="R263" s="278" t="n"/>
      <c r="S263" s="276" t="n"/>
      <c r="T263" s="27" t="inlineStr">
        <is>
          <t> </t>
        </is>
      </c>
      <c r="U263" s="26" t="inlineStr">
        <is>
          <t>17.10-19.10</t>
        </is>
      </c>
      <c r="V263" s="64" t="n"/>
      <c r="W263" s="27" t="n"/>
      <c r="X263" s="27" t="n"/>
    </row>
    <row r="264" ht="22.2" customHeight="1" s="330">
      <c r="A264" s="4" t="n"/>
      <c r="E264" s="4" t="n"/>
      <c r="F264" s="4" t="n"/>
      <c r="G264" s="17" t="inlineStr">
        <is>
          <t>จำนวนชั่วโมงสอนตามภาระงานสอน</t>
        </is>
      </c>
      <c r="H264" s="467" t="n"/>
      <c r="I264" s="467" t="n"/>
      <c r="J264" s="467" t="n"/>
      <c r="K264" s="362" t="n"/>
      <c r="L264" s="153" t="inlineStr">
        <is>
          <t>0</t>
        </is>
      </c>
      <c r="M264" s="362" t="n"/>
      <c r="N264" s="152" t="n"/>
      <c r="O264" s="153" t="n"/>
      <c r="P264" s="153" t="inlineStr">
        <is>
          <t>15</t>
        </is>
      </c>
      <c r="Q264" s="362" t="n"/>
      <c r="R264" s="249" t="n"/>
      <c r="S264" s="252" t="n"/>
    </row>
    <row r="265" ht="22.2" customHeight="1" s="330" thickBot="1">
      <c r="A265" s="4" t="n"/>
      <c r="E265" s="4" t="n"/>
      <c r="F265" s="15" t="n"/>
      <c r="G265" s="17" t="inlineStr">
        <is>
          <t>จำนวนชั่วโมงบิกเกินภาระงานสอน/ค่าสอน</t>
        </is>
      </c>
      <c r="H265" s="467" t="n"/>
      <c r="I265" s="467" t="n"/>
      <c r="J265" s="467" t="n"/>
      <c r="K265" s="362" t="n"/>
      <c r="L265" s="18" t="n">
        <v>0</v>
      </c>
      <c r="M265" s="18">
        <f>SUM(M237:M261)</f>
        <v/>
      </c>
      <c r="N265" s="18" t="n"/>
      <c r="O265" s="18">
        <f>SUM(O237:O261)</f>
        <v/>
      </c>
      <c r="P265" s="18" t="n">
        <v>0</v>
      </c>
      <c r="Q265" s="18">
        <f>SUM(Q237:Q261)</f>
        <v/>
      </c>
      <c r="R265" s="19" t="n"/>
      <c r="S265" s="18">
        <f>SUM(S237:S261)</f>
        <v/>
      </c>
    </row>
    <row r="266" ht="22.2" customHeight="1" s="330" thickTop="1">
      <c r="A266" s="299" t="inlineStr">
        <is>
          <t>รวมจำนวนหน่วยชั่วโมงที่ขอเบิกค่าสอน ….</t>
        </is>
      </c>
      <c r="B266" s="467" t="n"/>
      <c r="C266" s="467" t="n"/>
      <c r="D266" s="467" t="n"/>
      <c r="E266" s="467" t="n"/>
      <c r="F266" s="467" t="n"/>
      <c r="G266" s="467" t="n"/>
      <c r="H266" s="298">
        <f>M265+Q265</f>
        <v/>
      </c>
      <c r="I266" s="298" t="inlineStr">
        <is>
          <t>….ชั่วโมง</t>
        </is>
      </c>
      <c r="J266" s="298" t="n"/>
      <c r="K266" s="301" t="inlineStr">
        <is>
          <t>ยอดเงินรวม</t>
        </is>
      </c>
      <c r="L266" s="471" t="n"/>
      <c r="M266" s="471" t="n"/>
      <c r="N266" s="301" t="n"/>
      <c r="O266" s="301" t="n"/>
      <c r="P266" s="302">
        <f>S265+O265</f>
        <v/>
      </c>
      <c r="Q266" s="482" t="n"/>
      <c r="R266" s="21" t="n"/>
      <c r="S266" s="20" t="inlineStr">
        <is>
          <t>..บาท</t>
        </is>
      </c>
    </row>
    <row r="267" ht="22.2" customHeight="1" s="330">
      <c r="A267" s="207" t="inlineStr">
        <is>
          <t>ผู้ขอเบิก</t>
        </is>
      </c>
      <c r="B267" s="334" t="n"/>
      <c r="C267" s="334" t="n"/>
      <c r="D267" s="334" t="n"/>
      <c r="E267" s="334" t="n"/>
      <c r="F267" s="334" t="n"/>
      <c r="G267" s="335" t="n"/>
      <c r="H267" s="207" t="inlineStr">
        <is>
          <t>ผู้รับรอง</t>
        </is>
      </c>
      <c r="I267" s="334" t="n"/>
      <c r="J267" s="334" t="n"/>
      <c r="K267" s="334" t="n"/>
      <c r="L267" s="335" t="n"/>
      <c r="M267" s="207" t="inlineStr">
        <is>
          <t>ผู้ตรวจ</t>
        </is>
      </c>
      <c r="N267" s="334" t="n"/>
      <c r="O267" s="334" t="n"/>
      <c r="P267" s="334" t="n"/>
      <c r="Q267" s="334" t="n"/>
      <c r="R267" s="334" t="n"/>
      <c r="S267" s="335" t="n"/>
    </row>
    <row r="268" ht="22.2" customHeight="1" s="330">
      <c r="A268" s="252" t="inlineStr">
        <is>
          <t>ลงชื่อ……………………………………………</t>
        </is>
      </c>
      <c r="G268" s="331" t="n"/>
      <c r="H268" s="252" t="inlineStr">
        <is>
          <t>ลงชื่อ……………………………………………</t>
        </is>
      </c>
      <c r="L268" s="331" t="n"/>
      <c r="M268" s="252" t="inlineStr">
        <is>
          <t>ลงชื่อ……………………………………………</t>
        </is>
      </c>
      <c r="S268" s="331" t="n"/>
    </row>
    <row r="269" ht="22.2" customHeight="1" s="330">
      <c r="A269" s="12" t="inlineStr">
        <is>
          <t>(</t>
        </is>
      </c>
      <c r="B269" s="309">
        <f>B237</f>
        <v/>
      </c>
      <c r="G269" s="310" t="inlineStr">
        <is>
          <t>)</t>
        </is>
      </c>
      <c r="H269" s="309" t="inlineStr">
        <is>
          <t>(</t>
        </is>
      </c>
      <c r="I269" s="314">
        <f>I223</f>
        <v/>
      </c>
      <c r="L269" s="13" t="inlineStr">
        <is>
          <t>)</t>
        </is>
      </c>
      <c r="M269" s="61" t="inlineStr">
        <is>
          <t>(</t>
        </is>
      </c>
      <c r="N269" s="61" t="n"/>
      <c r="O269" s="309" t="inlineStr">
        <is>
          <t>นายพิสุทธิศักดิ์  กล่อมนาค</t>
        </is>
      </c>
      <c r="R269" s="29" t="n"/>
      <c r="S269" s="310" t="inlineStr">
        <is>
          <t>)</t>
        </is>
      </c>
    </row>
    <row r="270" ht="22.2" customHeight="1" s="330">
      <c r="A270" s="483" t="inlineStr">
        <is>
          <t xml:space="preserve">                    ตำแหน่ง  ครู</t>
        </is>
      </c>
      <c r="G270" s="331" t="n"/>
      <c r="H270" s="62" t="inlineStr">
        <is>
          <t>ตำแหน่ง หัวหน้าแผนก</t>
        </is>
      </c>
      <c r="L270" s="331" t="n"/>
      <c r="M270" s="62" t="inlineStr">
        <is>
          <t>ตำแหน่ง   ผู้ตรวจสอบ</t>
        </is>
      </c>
      <c r="S270" s="331" t="n"/>
    </row>
    <row r="271" ht="22.2" customHeight="1" s="330">
      <c r="A271" s="63">
        <f>A41</f>
        <v/>
      </c>
      <c r="B271" s="471" t="n"/>
      <c r="C271" s="471" t="n"/>
      <c r="D271" s="471" t="n"/>
      <c r="E271" s="471" t="n"/>
      <c r="F271" s="471" t="n"/>
      <c r="G271" s="476" t="n"/>
      <c r="H271" s="62">
        <f>A41</f>
        <v/>
      </c>
      <c r="L271" s="331" t="n"/>
      <c r="M271" s="63">
        <f>A41</f>
        <v/>
      </c>
      <c r="N271" s="471" t="n"/>
      <c r="O271" s="471" t="n"/>
      <c r="P271" s="471" t="n"/>
      <c r="Q271" s="471" t="n"/>
      <c r="R271" s="471" t="n"/>
      <c r="S271" s="476" t="n"/>
    </row>
    <row r="272" ht="22.2" customHeight="1" s="330">
      <c r="A272" s="207" t="inlineStr">
        <is>
          <t>ผู้ตรวจ</t>
        </is>
      </c>
      <c r="B272" s="334" t="n"/>
      <c r="C272" s="334" t="n"/>
      <c r="D272" s="334" t="n"/>
      <c r="E272" s="334" t="n"/>
      <c r="F272" s="334" t="n"/>
      <c r="G272" s="334" t="n"/>
      <c r="H272" s="334" t="n"/>
      <c r="I272" s="335" t="n"/>
      <c r="J272" s="207" t="inlineStr">
        <is>
          <t>ผู้เห็นชอบ</t>
        </is>
      </c>
      <c r="K272" s="334" t="n"/>
      <c r="L272" s="334" t="n"/>
      <c r="M272" s="334" t="n"/>
      <c r="N272" s="334" t="n"/>
      <c r="O272" s="334" t="n"/>
      <c r="P272" s="334" t="n"/>
      <c r="Q272" s="334" t="n"/>
      <c r="R272" s="334" t="n"/>
      <c r="S272" s="335" t="n"/>
    </row>
    <row r="273" ht="22.2" customHeight="1" s="330">
      <c r="A273" s="252" t="inlineStr">
        <is>
          <t>ลงชื่อ……………………………………………</t>
        </is>
      </c>
      <c r="I273" s="331" t="n"/>
      <c r="J273" s="252" t="inlineStr">
        <is>
          <t>ลงชื่อ……………………………………………</t>
        </is>
      </c>
      <c r="S273" s="331" t="n"/>
    </row>
    <row r="274" ht="22.2" customHeight="1" s="330">
      <c r="A274" s="12" t="n"/>
      <c r="B274" s="309" t="inlineStr">
        <is>
          <t xml:space="preserve">          (นางศิวรักษ์   บุญประเสริฐ)</t>
        </is>
      </c>
      <c r="I274" s="310" t="n"/>
      <c r="J274" s="29" t="n"/>
      <c r="K274" s="29" t="n"/>
      <c r="L274" s="309" t="inlineStr">
        <is>
          <t>(นายปรีชา  โพธิ์เกิด)</t>
        </is>
      </c>
      <c r="R274" s="29" t="n"/>
      <c r="S274" s="13" t="n"/>
    </row>
    <row r="275" ht="22.2" customHeight="1" s="330">
      <c r="A275" s="62" t="inlineStr">
        <is>
          <t>ตำแหน่งครู  หัวหน้างานพัฒนาหลักสูตร ฯ</t>
        </is>
      </c>
      <c r="I275" s="331" t="n"/>
      <c r="J275" s="62" t="inlineStr">
        <is>
          <t>ตำแหน่ง  รองผู้อำนวยการฝ่ายวิชาการ</t>
        </is>
      </c>
      <c r="S275" s="331" t="n"/>
    </row>
    <row r="276" ht="22.2" customHeight="1" s="330">
      <c r="A276" s="63">
        <f>A41</f>
        <v/>
      </c>
      <c r="B276" s="471" t="n"/>
      <c r="C276" s="471" t="n"/>
      <c r="D276" s="471" t="n"/>
      <c r="E276" s="471" t="n"/>
      <c r="F276" s="471" t="n"/>
      <c r="G276" s="471" t="n"/>
      <c r="H276" s="471" t="n"/>
      <c r="I276" s="476" t="n"/>
      <c r="J276" s="63">
        <f>A41</f>
        <v/>
      </c>
      <c r="K276" s="471" t="n"/>
      <c r="L276" s="471" t="n"/>
      <c r="M276" s="471" t="n"/>
      <c r="N276" s="471" t="n"/>
      <c r="O276" s="471" t="n"/>
      <c r="P276" s="471" t="n"/>
      <c r="Q276" s="471" t="n"/>
      <c r="R276" s="471" t="n"/>
      <c r="S276" s="476" t="n"/>
    </row>
    <row r="277" ht="22.2" customHeight="1" s="330">
      <c r="A27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278" ht="22.2" customHeight="1" s="330">
      <c r="A278" s="254">
        <f>A2</f>
        <v/>
      </c>
    </row>
    <row r="279" ht="22.2" customHeight="1" s="330">
      <c r="A279" s="253" t="inlineStr">
        <is>
          <t xml:space="preserve">    ระหว่างวันที่</t>
        </is>
      </c>
      <c r="D279" s="254">
        <f>D3</f>
        <v/>
      </c>
      <c r="E279" s="254" t="inlineStr">
        <is>
          <t xml:space="preserve">   เดือน  </t>
        </is>
      </c>
      <c r="F279" s="254">
        <f>F3</f>
        <v/>
      </c>
      <c r="H279" s="254">
        <f>H3</f>
        <v/>
      </c>
      <c r="I279" s="254" t="inlineStr">
        <is>
          <t xml:space="preserve">     ถึง วันที่</t>
        </is>
      </c>
      <c r="J279" s="254">
        <f>J3</f>
        <v/>
      </c>
      <c r="K279" s="254" t="inlineStr">
        <is>
          <t xml:space="preserve">   เดือน </t>
        </is>
      </c>
      <c r="L279" s="254">
        <f>L3</f>
        <v/>
      </c>
      <c r="N279" s="254">
        <f>N3</f>
        <v/>
      </c>
      <c r="P279" s="254" t="n"/>
      <c r="R279" s="254" t="n"/>
    </row>
    <row r="280" ht="25.5" customHeight="1" s="330">
      <c r="G280" s="58" t="inlineStr">
        <is>
          <t>ü</t>
        </is>
      </c>
      <c r="H280" s="290" t="inlineStr">
        <is>
          <t>ครู</t>
        </is>
      </c>
      <c r="I280" s="249" t="inlineStr">
        <is>
          <t>หน้าที่พิเศษ</t>
        </is>
      </c>
    </row>
    <row r="281" ht="22.2" customHeight="1" s="330">
      <c r="A281" s="28" t="inlineStr">
        <is>
          <t>ที่</t>
        </is>
      </c>
      <c r="B281" s="28" t="inlineStr">
        <is>
          <t>ชื่อ-สกุล</t>
        </is>
      </c>
      <c r="C281" s="334" t="n"/>
      <c r="D281" s="335" t="n"/>
      <c r="E281" s="16" t="inlineStr">
        <is>
          <t>ตำแหน่ง</t>
        </is>
      </c>
      <c r="F281" s="17" t="inlineStr">
        <is>
          <t>ระยะเวลาที่สอน</t>
        </is>
      </c>
      <c r="G281" s="362" t="n"/>
      <c r="H281" s="17" t="inlineStr">
        <is>
          <t>รหัสวิชา</t>
        </is>
      </c>
      <c r="I281" s="275" t="inlineStr">
        <is>
          <t>ชั้น,แผนก,ห้อง</t>
        </is>
      </c>
      <c r="J281" s="17" t="inlineStr">
        <is>
          <t>เวลาสอน</t>
        </is>
      </c>
      <c r="K281" s="335" t="n"/>
      <c r="L281" s="17" t="inlineStr">
        <is>
          <t>ปวช.(คาบ)</t>
        </is>
      </c>
      <c r="M281" s="362" t="n"/>
      <c r="N281" s="244" t="inlineStr">
        <is>
          <t>เงิน</t>
        </is>
      </c>
      <c r="O281" s="275" t="inlineStr">
        <is>
          <t>ยอดเงิน</t>
        </is>
      </c>
      <c r="P281" s="473" t="inlineStr">
        <is>
          <t>ปวส.(คาบ)</t>
        </is>
      </c>
      <c r="Q281" s="362" t="n"/>
      <c r="R281" s="244" t="inlineStr">
        <is>
          <t>เงิน</t>
        </is>
      </c>
      <c r="S281" s="275" t="inlineStr">
        <is>
          <t>ยอดเงิน</t>
        </is>
      </c>
    </row>
    <row r="282" ht="22.2" customHeight="1" s="330">
      <c r="A282" s="60" t="n"/>
      <c r="B282" s="9" t="n"/>
      <c r="C282" s="10" t="n"/>
      <c r="D282" s="14" t="n"/>
      <c r="E282" s="11" t="n"/>
      <c r="F282" s="276" t="inlineStr">
        <is>
          <t>ส.</t>
        </is>
      </c>
      <c r="G282" s="276" t="inlineStr">
        <is>
          <t>วดป.</t>
        </is>
      </c>
      <c r="H282" s="474" t="n"/>
      <c r="I282" s="276" t="n"/>
      <c r="J282" s="475" t="n"/>
      <c r="K282" s="476" t="n"/>
      <c r="L282" s="276" t="inlineStr">
        <is>
          <t>ใน</t>
        </is>
      </c>
      <c r="M282" s="276" t="inlineStr">
        <is>
          <t>นอก</t>
        </is>
      </c>
      <c r="N282" s="276" t="inlineStr">
        <is>
          <t>ต่อ ชม.</t>
        </is>
      </c>
      <c r="O282" s="276" t="inlineStr">
        <is>
          <t>(บาท)</t>
        </is>
      </c>
      <c r="P282" s="60" t="inlineStr">
        <is>
          <t>ใน</t>
        </is>
      </c>
      <c r="Q282" s="60" t="inlineStr">
        <is>
          <t>นอก</t>
        </is>
      </c>
      <c r="R282" s="276" t="inlineStr">
        <is>
          <t>ต่อ ชม.</t>
        </is>
      </c>
      <c r="S282" s="276" t="inlineStr">
        <is>
          <t>(บาท)</t>
        </is>
      </c>
    </row>
    <row r="283" ht="22.2" customHeight="1" s="330">
      <c r="A283" s="275" t="n">
        <v>7</v>
      </c>
      <c r="B283" s="477">
        <f>AB9</f>
        <v/>
      </c>
      <c r="C283" s="334" t="n"/>
      <c r="D283" s="335" t="n"/>
      <c r="E283" s="275" t="inlineStr">
        <is>
          <t>ครู</t>
        </is>
      </c>
      <c r="F283" s="6">
        <f>F7</f>
        <v/>
      </c>
      <c r="G283" s="303" t="inlineStr">
        <is>
          <t>จันทร์</t>
        </is>
      </c>
      <c r="H283" s="332" t="inlineStr">
        <is>
          <t>20101-8001</t>
        </is>
      </c>
      <c r="I283" s="325" t="inlineStr">
        <is>
          <t>ปวช.3/5 ชย. (ปกติ)</t>
        </is>
      </c>
      <c r="J283" s="332" t="inlineStr">
        <is>
          <t>08.10-12.10</t>
        </is>
      </c>
      <c r="K283" s="335" t="n"/>
      <c r="L283" s="265" t="n"/>
      <c r="M283" s="332" t="n"/>
      <c r="N283" s="332" t="n"/>
      <c r="O283" s="244">
        <f>M283*N283</f>
        <v/>
      </c>
      <c r="P283" s="332" t="n"/>
      <c r="Q283" s="265" t="n"/>
      <c r="R283" s="332" t="n"/>
      <c r="S283" s="244">
        <f>Q283*R283</f>
        <v/>
      </c>
    </row>
    <row r="284" ht="22.2" customHeight="1" s="330">
      <c r="A284" s="4" t="n"/>
      <c r="B284" s="478" t="n"/>
      <c r="D284" s="331" t="n"/>
      <c r="E284" s="252" t="n"/>
      <c r="F284" s="249" t="n"/>
      <c r="G284" s="308">
        <f>G238</f>
        <v/>
      </c>
      <c r="H284" s="325" t="n"/>
      <c r="I284" s="325" t="n"/>
      <c r="J284" s="252" t="n"/>
      <c r="K284" s="331" t="n"/>
      <c r="L284" s="252" t="n"/>
      <c r="M284" s="252" t="n"/>
      <c r="N284" s="252" t="n"/>
      <c r="O284" s="244">
        <f>M284*N284</f>
        <v/>
      </c>
      <c r="P284" s="252" t="n"/>
      <c r="Q284" s="252" t="n"/>
      <c r="R284" s="252" t="n"/>
      <c r="S284" s="244">
        <f>Q284*R284</f>
        <v/>
      </c>
    </row>
    <row r="285" ht="22.2" customHeight="1" s="330">
      <c r="A285" s="4" t="n"/>
      <c r="B285" s="5" t="n"/>
      <c r="D285" s="3" t="n"/>
      <c r="E285" s="3" t="n"/>
      <c r="F285" s="249" t="n"/>
      <c r="G285" s="248" t="n"/>
      <c r="H285" s="325" t="n"/>
      <c r="I285" s="325" t="n"/>
      <c r="J285" s="325" t="n"/>
      <c r="K285" s="331" t="n"/>
      <c r="L285" s="252" t="n"/>
      <c r="M285" s="252" t="n"/>
      <c r="N285" s="252" t="n"/>
      <c r="O285" s="244">
        <f>M285*N285</f>
        <v/>
      </c>
      <c r="P285" s="252" t="n"/>
      <c r="Q285" s="252" t="n"/>
      <c r="R285" s="252" t="n"/>
      <c r="S285" s="244">
        <f>Q285*R285</f>
        <v/>
      </c>
    </row>
    <row r="286" ht="22.2" customHeight="1" s="330">
      <c r="A286" s="4" t="n"/>
      <c r="B286" s="5" t="n"/>
      <c r="E286" s="4" t="n"/>
      <c r="F286" s="249" t="n"/>
      <c r="G286" s="248" t="n"/>
      <c r="H286" s="252" t="n"/>
      <c r="I286" s="252" t="n"/>
      <c r="J286" s="252" t="n"/>
      <c r="K286" s="331" t="n"/>
      <c r="L286" s="252" t="n"/>
      <c r="M286" s="252" t="n"/>
      <c r="N286" s="252" t="n"/>
      <c r="O286" s="244">
        <f>M286*N286</f>
        <v/>
      </c>
      <c r="P286" s="252" t="n"/>
      <c r="Q286" s="252" t="n"/>
      <c r="R286" s="252" t="n"/>
      <c r="S286" s="244">
        <f>Q286*R286</f>
        <v/>
      </c>
    </row>
    <row r="287" ht="22.2" customHeight="1" s="330">
      <c r="A287" s="4" t="n"/>
      <c r="E287" s="4" t="n"/>
      <c r="G287" s="311" t="n"/>
      <c r="H287" s="276" t="n"/>
      <c r="I287" s="276" t="n"/>
      <c r="J287" s="276" t="n"/>
      <c r="K287" s="476" t="n"/>
      <c r="L287" s="252" t="n"/>
      <c r="M287" s="252" t="n"/>
      <c r="N287" s="252" t="n"/>
      <c r="O287" s="244">
        <f>M287*N287</f>
        <v/>
      </c>
      <c r="P287" s="252" t="n"/>
      <c r="Q287" s="252" t="n"/>
      <c r="R287" s="252" t="n"/>
      <c r="S287" s="244">
        <f>Q287*R287</f>
        <v/>
      </c>
    </row>
    <row r="288" ht="22.2" customHeight="1" s="330">
      <c r="A288" s="4" t="n"/>
      <c r="E288" s="4" t="n"/>
      <c r="G288" s="62" t="inlineStr">
        <is>
          <t>อังคาร</t>
        </is>
      </c>
      <c r="H288" s="325" t="inlineStr">
        <is>
          <t>20101-2003</t>
        </is>
      </c>
      <c r="I288" s="325" t="inlineStr">
        <is>
          <t>ปวช.1/1 ชย. (ปกติ)</t>
        </is>
      </c>
      <c r="J288" s="332" t="inlineStr">
        <is>
          <t>08.10-12.10</t>
        </is>
      </c>
      <c r="K288" s="335" t="n"/>
      <c r="L288" s="265" t="n"/>
      <c r="M288" s="332" t="n"/>
      <c r="N288" s="332" t="n"/>
      <c r="O288" s="244">
        <f>M288*N288</f>
        <v/>
      </c>
      <c r="P288" s="332" t="n"/>
      <c r="Q288" s="265" t="n"/>
      <c r="R288" s="332" t="n"/>
      <c r="S288" s="244">
        <f>Q288*R288</f>
        <v/>
      </c>
    </row>
    <row r="289" ht="22.2" customHeight="1" s="330">
      <c r="A289" s="4" t="n"/>
      <c r="E289" s="4" t="n"/>
      <c r="G289" s="308">
        <f>G243</f>
        <v/>
      </c>
      <c r="H289" s="325" t="inlineStr">
        <is>
          <t>20101-2003</t>
        </is>
      </c>
      <c r="I289" s="325" t="inlineStr">
        <is>
          <t>ปวช.1/1 ชย. (ปกติ)</t>
        </is>
      </c>
      <c r="J289" s="252" t="inlineStr">
        <is>
          <t>13.10-16.10</t>
        </is>
      </c>
      <c r="K289" s="331" t="n"/>
      <c r="L289" s="252" t="n"/>
      <c r="M289" s="252" t="n"/>
      <c r="N289" s="252" t="n"/>
      <c r="O289" s="244">
        <f>M289*N289</f>
        <v/>
      </c>
      <c r="P289" s="252" t="n"/>
      <c r="Q289" s="252" t="n"/>
      <c r="R289" s="252" t="n"/>
      <c r="S289" s="244">
        <f>Q289*R289</f>
        <v/>
      </c>
    </row>
    <row r="290" ht="22.2" customHeight="1" s="330">
      <c r="A290" s="4" t="n"/>
      <c r="B290" s="5" t="n"/>
      <c r="D290" s="3" t="n"/>
      <c r="E290" s="3" t="n"/>
      <c r="G290" s="252" t="n"/>
      <c r="H290" s="252" t="n"/>
      <c r="I290" s="325" t="n"/>
      <c r="J290" s="252" t="n"/>
      <c r="K290" s="331" t="n"/>
      <c r="L290" s="252" t="n"/>
      <c r="M290" s="252" t="n"/>
      <c r="N290" s="252" t="n"/>
      <c r="O290" s="244">
        <f>M290*N290</f>
        <v/>
      </c>
      <c r="P290" s="252" t="n"/>
      <c r="Q290" s="252" t="n"/>
      <c r="R290" s="252" t="n"/>
      <c r="S290" s="244">
        <f>Q290*R290</f>
        <v/>
      </c>
    </row>
    <row r="291" ht="22.2" customHeight="1" s="330">
      <c r="A291" s="4" t="n"/>
      <c r="E291" s="4" t="n"/>
      <c r="G291" s="62" t="n"/>
      <c r="H291" s="249" t="n"/>
      <c r="I291" s="252" t="n"/>
      <c r="J291" s="252" t="n"/>
      <c r="K291" s="331" t="n"/>
      <c r="L291" s="252" t="n"/>
      <c r="M291" s="252" t="n"/>
      <c r="N291" s="252" t="n"/>
      <c r="O291" s="244">
        <f>M291*N291</f>
        <v/>
      </c>
      <c r="P291" s="252" t="n"/>
      <c r="Q291" s="252" t="n"/>
      <c r="R291" s="252" t="n"/>
      <c r="S291" s="244">
        <f>Q291*R291</f>
        <v/>
      </c>
    </row>
    <row r="292" ht="22.2" customHeight="1" s="330">
      <c r="A292" s="4" t="n"/>
      <c r="D292" s="8" t="inlineStr">
        <is>
          <t> </t>
        </is>
      </c>
      <c r="E292" s="4" t="n"/>
      <c r="G292" s="63" t="n"/>
      <c r="H292" s="276" t="n"/>
      <c r="I292" s="276" t="n"/>
      <c r="J292" s="276" t="n"/>
      <c r="K292" s="476" t="n"/>
      <c r="L292" s="252" t="n"/>
      <c r="M292" s="252" t="n"/>
      <c r="N292" s="252" t="n"/>
      <c r="O292" s="244">
        <f>M292*N292</f>
        <v/>
      </c>
      <c r="P292" s="252" t="n"/>
      <c r="Q292" s="252" t="n"/>
      <c r="R292" s="252" t="n"/>
      <c r="S292" s="244">
        <f>Q292*R292</f>
        <v/>
      </c>
    </row>
    <row r="293" ht="22.2" customHeight="1" s="330">
      <c r="A293" s="4" t="n"/>
      <c r="E293" s="4" t="n"/>
      <c r="G293" s="308" t="inlineStr">
        <is>
          <t>พุธ</t>
        </is>
      </c>
      <c r="H293" s="325" t="inlineStr">
        <is>
          <t>20101-2003</t>
        </is>
      </c>
      <c r="I293" s="325" t="inlineStr">
        <is>
          <t>ปวช.1/3 ชย. (ปกติ)</t>
        </is>
      </c>
      <c r="J293" s="332" t="inlineStr">
        <is>
          <t>08.10-12.10</t>
        </is>
      </c>
      <c r="K293" s="335" t="n"/>
      <c r="L293" s="265" t="n"/>
      <c r="M293" s="332" t="n"/>
      <c r="N293" s="332" t="n"/>
      <c r="O293" s="244">
        <f>M293*N293</f>
        <v/>
      </c>
      <c r="P293" s="332" t="n"/>
      <c r="Q293" s="265" t="n"/>
      <c r="R293" s="332" t="n"/>
      <c r="S293" s="244">
        <f>Q293*R293</f>
        <v/>
      </c>
      <c r="T293" s="24" t="n"/>
      <c r="U293" s="24" t="inlineStr">
        <is>
          <t>สอน ป.ตรี</t>
        </is>
      </c>
      <c r="V293" s="65" t="n"/>
      <c r="W293" s="24" t="n"/>
      <c r="X293" s="24" t="n"/>
    </row>
    <row r="294" ht="22.2" customHeight="1" s="330">
      <c r="A294" s="4" t="n"/>
      <c r="B294" s="54" t="n"/>
      <c r="C294" s="67" t="n"/>
      <c r="D294" s="55" t="n"/>
      <c r="E294" s="55" t="n"/>
      <c r="G294" s="308">
        <f>G248</f>
        <v/>
      </c>
      <c r="H294" s="325" t="inlineStr">
        <is>
          <t>20101-2003</t>
        </is>
      </c>
      <c r="I294" s="325" t="inlineStr">
        <is>
          <t>ปวช.1/3 ชย. (ปกติ)</t>
        </is>
      </c>
      <c r="J294" s="252" t="inlineStr">
        <is>
          <t>13.10-16.10</t>
        </is>
      </c>
      <c r="K294" s="331" t="n"/>
      <c r="L294" s="252" t="n"/>
      <c r="M294" s="252" t="n"/>
      <c r="N294" s="252" t="n"/>
      <c r="O294" s="244">
        <f>M294*N294</f>
        <v/>
      </c>
      <c r="P294" s="252" t="n"/>
      <c r="Q294" s="252" t="n"/>
      <c r="R294" s="252" t="n"/>
      <c r="S294" s="244">
        <f>Q294*R294</f>
        <v/>
      </c>
      <c r="T294" s="24" t="n"/>
      <c r="U294" s="24" t="inlineStr">
        <is>
          <t>17.10-21.10</t>
        </is>
      </c>
      <c r="V294" s="65" t="n"/>
      <c r="W294" s="24" t="n"/>
      <c r="X294" s="24" t="n"/>
    </row>
    <row r="295" ht="22.2" customHeight="1" s="330">
      <c r="A295" s="4" t="n"/>
      <c r="B295" s="54" t="n"/>
      <c r="C295" s="67" t="n"/>
      <c r="D295" s="55" t="n"/>
      <c r="E295" s="55" t="n"/>
      <c r="G295" s="252" t="n"/>
      <c r="H295" s="325" t="n"/>
      <c r="I295" s="325" t="n"/>
      <c r="J295" s="325" t="n"/>
      <c r="K295" s="331" t="n"/>
      <c r="L295" s="252" t="n"/>
      <c r="M295" s="252" t="n"/>
      <c r="N295" s="252" t="n"/>
      <c r="O295" s="244">
        <f>M295*N295</f>
        <v/>
      </c>
      <c r="P295" s="252" t="n"/>
      <c r="Q295" s="252" t="n"/>
      <c r="R295" s="252" t="n"/>
      <c r="S295" s="244">
        <f>Q295*R295</f>
        <v/>
      </c>
    </row>
    <row r="296" ht="22.2" customHeight="1" s="330">
      <c r="A296" s="4" t="n"/>
      <c r="B296" s="54" t="n"/>
      <c r="C296" s="67" t="n"/>
      <c r="D296" s="55" t="n"/>
      <c r="E296" s="55" t="n"/>
      <c r="G296" s="248" t="n"/>
      <c r="H296" s="252" t="n"/>
      <c r="I296" s="325" t="n"/>
      <c r="J296" s="252" t="n"/>
      <c r="K296" s="331" t="n"/>
      <c r="L296" s="252" t="n"/>
      <c r="M296" s="252" t="n"/>
      <c r="N296" s="252" t="n"/>
      <c r="O296" s="244">
        <f>M296*N296</f>
        <v/>
      </c>
      <c r="P296" s="252" t="n"/>
      <c r="Q296" s="252" t="n"/>
      <c r="R296" s="252" t="n"/>
      <c r="S296" s="244">
        <f>Q296*R296</f>
        <v/>
      </c>
    </row>
    <row r="297" ht="22.2" customHeight="1" s="330">
      <c r="A297" s="4" t="n"/>
      <c r="D297" s="3" t="n"/>
      <c r="E297" s="3" t="n"/>
      <c r="G297" s="277" t="n"/>
      <c r="H297" s="277" t="n"/>
      <c r="I297" s="276" t="n"/>
      <c r="J297" s="276" t="n"/>
      <c r="K297" s="476" t="n"/>
      <c r="L297" s="276" t="n"/>
      <c r="M297" s="276" t="n"/>
      <c r="N297" s="276" t="n"/>
      <c r="O297" s="244">
        <f>M297*N297</f>
        <v/>
      </c>
      <c r="P297" s="276" t="n"/>
      <c r="Q297" s="276" t="n"/>
      <c r="R297" s="276" t="n"/>
      <c r="S297" s="244">
        <f>Q297*R297</f>
        <v/>
      </c>
    </row>
    <row r="298" ht="22.2" customHeight="1" s="330">
      <c r="A298" s="4" t="n"/>
      <c r="E298" s="4" t="n"/>
      <c r="G298" s="62" t="inlineStr">
        <is>
          <t>พฤหัส</t>
        </is>
      </c>
      <c r="H298" s="325" t="inlineStr">
        <is>
          <t>20101-2003</t>
        </is>
      </c>
      <c r="I298" s="325" t="inlineStr">
        <is>
          <t>ปวช.1/2 ชย. (ปกติ)</t>
        </is>
      </c>
      <c r="J298" s="332" t="inlineStr">
        <is>
          <t>08.10-12.10</t>
        </is>
      </c>
      <c r="K298" s="335" t="n"/>
      <c r="L298" s="252" t="n"/>
      <c r="M298" s="252" t="n"/>
      <c r="N298" s="252" t="n"/>
      <c r="O298" s="244">
        <f>M298*N298</f>
        <v/>
      </c>
      <c r="P298" s="252" t="n"/>
      <c r="Q298" s="275" t="n"/>
      <c r="R298" s="275" t="n"/>
      <c r="S298" s="244">
        <f>Q298*R298</f>
        <v/>
      </c>
      <c r="T298" s="25" t="n"/>
      <c r="U298" s="26" t="inlineStr">
        <is>
          <t xml:space="preserve">     PLC</t>
        </is>
      </c>
      <c r="V298" s="64" t="n"/>
      <c r="W298" s="27" t="n"/>
      <c r="X298" s="27" t="n"/>
    </row>
    <row r="299" ht="22.2" customHeight="1" s="330">
      <c r="A299" s="4" t="n"/>
      <c r="E299" s="4" t="n"/>
      <c r="G299" s="308">
        <f>G253</f>
        <v/>
      </c>
      <c r="H299" s="325" t="inlineStr">
        <is>
          <t>20101-2003</t>
        </is>
      </c>
      <c r="I299" s="325" t="inlineStr">
        <is>
          <t>ปวช.1/2 ชย. (ปกติ)</t>
        </is>
      </c>
      <c r="J299" s="252" t="inlineStr">
        <is>
          <t>15.10-18.10</t>
        </is>
      </c>
      <c r="K299" s="331" t="n"/>
      <c r="L299" s="252" t="n"/>
      <c r="M299" s="252" t="n"/>
      <c r="N299" s="252" t="n"/>
      <c r="O299" s="244">
        <f>M299*N299</f>
        <v/>
      </c>
      <c r="P299" s="252" t="n"/>
      <c r="Q299" s="252" t="n"/>
      <c r="R299" s="252" t="n"/>
      <c r="S299" s="244">
        <f>Q299*R299</f>
        <v/>
      </c>
      <c r="T299" s="27" t="inlineStr">
        <is>
          <t> </t>
        </is>
      </c>
      <c r="U299" s="26" t="inlineStr">
        <is>
          <t>17.10-19.10</t>
        </is>
      </c>
      <c r="V299" s="64" t="n"/>
      <c r="W299" s="27" t="n"/>
      <c r="X299" s="27" t="n"/>
    </row>
    <row r="300" ht="22.2" customHeight="1" s="330">
      <c r="A300" s="4" t="n"/>
      <c r="B300" s="5" t="n"/>
      <c r="E300" s="4" t="n"/>
      <c r="G300" s="252" t="n"/>
      <c r="H300" s="325" t="n"/>
      <c r="I300" s="325" t="n"/>
      <c r="J300" s="252" t="n"/>
      <c r="K300" s="331" t="n"/>
      <c r="L300" s="325" t="n"/>
      <c r="M300" s="325" t="n"/>
      <c r="N300" s="325" t="n"/>
      <c r="O300" s="244">
        <f>M300*N300</f>
        <v/>
      </c>
      <c r="P300" s="325" t="n"/>
      <c r="Q300" s="325" t="n"/>
      <c r="R300" s="325" t="n"/>
      <c r="S300" s="244">
        <f>Q300*R300</f>
        <v/>
      </c>
    </row>
    <row r="301" ht="22.2" customHeight="1" s="330">
      <c r="A301" s="4" t="n"/>
      <c r="E301" s="4" t="n"/>
      <c r="G301" s="252" t="n"/>
      <c r="H301" s="252" t="n"/>
      <c r="I301" s="252" t="n"/>
      <c r="J301" s="252" t="n"/>
      <c r="K301" s="331" t="n"/>
      <c r="L301" s="252" t="n"/>
      <c r="M301" s="252" t="n"/>
      <c r="N301" s="252" t="n"/>
      <c r="O301" s="244">
        <f>M301*N301</f>
        <v/>
      </c>
      <c r="P301" s="252" t="n"/>
      <c r="Q301" s="252" t="n"/>
      <c r="R301" s="252" t="n"/>
      <c r="S301" s="244">
        <f>Q301*R301</f>
        <v/>
      </c>
    </row>
    <row r="302" ht="22.2" customHeight="1" s="330">
      <c r="A302" s="4" t="n"/>
      <c r="E302" s="4" t="n"/>
      <c r="G302" s="276" t="n"/>
      <c r="H302" s="301" t="n"/>
      <c r="I302" s="276" t="n"/>
      <c r="J302" s="276" t="n"/>
      <c r="K302" s="476" t="n"/>
      <c r="L302" s="276" t="n"/>
      <c r="M302" s="276" t="n"/>
      <c r="N302" s="276" t="n"/>
      <c r="O302" s="244">
        <f>M302*N302</f>
        <v/>
      </c>
      <c r="P302" s="276" t="n"/>
      <c r="Q302" s="276" t="n"/>
      <c r="R302" s="276" t="n"/>
      <c r="S302" s="244">
        <f>Q302*R302</f>
        <v/>
      </c>
    </row>
    <row r="303" ht="22.2" customHeight="1" s="330">
      <c r="A303" s="4" t="n"/>
      <c r="E303" s="4" t="n"/>
      <c r="G303" s="62" t="inlineStr">
        <is>
          <t>ศุกร์</t>
        </is>
      </c>
      <c r="H303" s="325" t="inlineStr">
        <is>
          <t>20101-2003</t>
        </is>
      </c>
      <c r="I303" s="325" t="inlineStr">
        <is>
          <t>ปวช.1/4 ชย. (ปกติ)</t>
        </is>
      </c>
      <c r="J303" s="332" t="inlineStr">
        <is>
          <t>08.10-12.10</t>
        </is>
      </c>
      <c r="K303" s="335" t="n"/>
      <c r="L303" s="265" t="n"/>
      <c r="M303" s="252" t="n"/>
      <c r="N303" s="252" t="n"/>
      <c r="O303" s="244">
        <f>M303*N303</f>
        <v/>
      </c>
      <c r="P303" s="332" t="n"/>
      <c r="Q303" s="265" t="n"/>
      <c r="R303" s="332" t="n"/>
      <c r="S303" s="244">
        <f>Q303*R303</f>
        <v/>
      </c>
      <c r="T303" s="24" t="n"/>
      <c r="U303" s="24" t="inlineStr">
        <is>
          <t>สอน ป.ตรี</t>
        </is>
      </c>
      <c r="V303" s="65" t="n"/>
      <c r="W303" s="24" t="n"/>
      <c r="X303" s="24" t="n"/>
    </row>
    <row r="304" ht="22.2" customHeight="1" s="330">
      <c r="A304" s="4" t="n"/>
      <c r="E304" s="4" t="n"/>
      <c r="G304" s="308">
        <f>G258</f>
        <v/>
      </c>
      <c r="H304" s="325" t="inlineStr">
        <is>
          <t>20101-2003</t>
        </is>
      </c>
      <c r="I304" s="325" t="inlineStr">
        <is>
          <t>ปวช.1/4 ชย. (ปกติ)</t>
        </is>
      </c>
      <c r="J304" s="252" t="inlineStr">
        <is>
          <t>13.10-16.10</t>
        </is>
      </c>
      <c r="K304" s="331" t="n"/>
      <c r="L304" s="252" t="n"/>
      <c r="M304" s="252" t="n"/>
      <c r="N304" s="252" t="n"/>
      <c r="O304" s="244">
        <f>M304*N304</f>
        <v/>
      </c>
      <c r="P304" s="252" t="n"/>
      <c r="Q304" s="252" t="n"/>
      <c r="R304" s="252" t="n"/>
      <c r="S304" s="244">
        <f>Q304*R304</f>
        <v/>
      </c>
      <c r="T304" s="24" t="n"/>
      <c r="U304" s="24" t="inlineStr">
        <is>
          <t>17.10-21.10</t>
        </is>
      </c>
      <c r="V304" s="65" t="n"/>
      <c r="W304" s="24" t="n"/>
      <c r="X304" s="24" t="n"/>
    </row>
    <row r="305" ht="22.2" customHeight="1" s="330">
      <c r="A305" s="4" t="n"/>
      <c r="E305" s="4" t="n"/>
      <c r="G305" s="252" t="n"/>
      <c r="H305" s="252" t="n"/>
      <c r="I305" s="252" t="n"/>
      <c r="J305" s="252" t="n"/>
      <c r="K305" s="331" t="n"/>
      <c r="L305" s="252" t="n"/>
      <c r="M305" s="252" t="n"/>
      <c r="N305" s="252" t="n"/>
      <c r="O305" s="244">
        <f>M305*N305</f>
        <v/>
      </c>
      <c r="P305" s="252" t="n"/>
      <c r="Q305" s="252" t="n"/>
      <c r="R305" s="252" t="n"/>
      <c r="S305" s="244">
        <f>Q305*R305</f>
        <v/>
      </c>
    </row>
    <row r="306" ht="22.2" customHeight="1" s="330">
      <c r="A306" s="4" t="n"/>
      <c r="E306" s="4" t="n"/>
      <c r="G306" s="252" t="n"/>
      <c r="H306" s="252" t="n"/>
      <c r="I306" s="252" t="n"/>
      <c r="J306" s="252" t="n"/>
      <c r="K306" s="331" t="n"/>
      <c r="L306" s="252" t="n"/>
      <c r="M306" s="252" t="n"/>
      <c r="N306" s="252" t="n"/>
      <c r="O306" s="244">
        <f>M306*N306</f>
        <v/>
      </c>
      <c r="P306" s="252" t="n"/>
      <c r="Q306" s="252" t="n"/>
      <c r="R306" s="252" t="n"/>
      <c r="S306" s="244">
        <f>Q306*R306</f>
        <v/>
      </c>
    </row>
    <row r="307" ht="22.2" customHeight="1" s="330">
      <c r="A307" s="4" t="n"/>
      <c r="E307" s="4" t="n"/>
      <c r="F307" s="4" t="n"/>
      <c r="G307" s="278" t="n"/>
      <c r="H307" s="252" t="n"/>
      <c r="I307" s="252" t="n"/>
      <c r="J307" s="276" t="n"/>
      <c r="K307" s="476" t="n"/>
      <c r="L307" s="276" t="n"/>
      <c r="M307" s="276" t="n"/>
      <c r="N307" s="276" t="n"/>
      <c r="O307" s="244">
        <f>M307*N307</f>
        <v/>
      </c>
      <c r="P307" s="276" t="n"/>
      <c r="Q307" s="276" t="n"/>
      <c r="R307" s="276" t="n"/>
      <c r="S307" s="244">
        <f>Q307*R307</f>
        <v/>
      </c>
    </row>
    <row r="308" ht="22.2" customHeight="1" s="330">
      <c r="A308" s="4" t="n"/>
      <c r="E308" s="4" t="n"/>
      <c r="F308" s="4" t="n"/>
      <c r="G308" s="17" t="inlineStr">
        <is>
          <t>รวมขั่วโมงที่สอนแยก ภาระงาน/ เกินภาระงาน</t>
        </is>
      </c>
      <c r="H308" s="467" t="n"/>
      <c r="I308" s="467" t="n"/>
      <c r="J308" s="467" t="n"/>
      <c r="K308" s="362" t="n"/>
      <c r="L308" s="17">
        <f>SUM(L283:L307)</f>
        <v/>
      </c>
      <c r="M308" s="17">
        <f>SUM(M283:M307)</f>
        <v/>
      </c>
      <c r="N308" s="17" t="n"/>
      <c r="O308" s="17" t="n"/>
      <c r="P308" s="17">
        <f>SUM(P283:P307)</f>
        <v/>
      </c>
      <c r="Q308" s="17">
        <f>SUM(Q283:Q307)</f>
        <v/>
      </c>
      <c r="R308" s="279" t="n"/>
      <c r="S308" s="17" t="n"/>
    </row>
    <row r="309" ht="22.2" customHeight="1" s="330">
      <c r="A309" s="4" t="n"/>
      <c r="E309" s="4" t="n"/>
      <c r="F309" s="4" t="n"/>
      <c r="G309" s="17" t="inlineStr">
        <is>
          <t>รวมจำนวนชั่วโมงสอนคาบต่อสับดาห์</t>
        </is>
      </c>
      <c r="H309" s="467" t="n"/>
      <c r="I309" s="467" t="n"/>
      <c r="J309" s="467" t="n"/>
      <c r="K309" s="362" t="n"/>
      <c r="L309" s="17">
        <f>L308+M308</f>
        <v/>
      </c>
      <c r="M309" s="362" t="n"/>
      <c r="N309" s="17" t="n"/>
      <c r="O309" s="298" t="n"/>
      <c r="P309" s="17">
        <f>P308+Q308</f>
        <v/>
      </c>
      <c r="Q309" s="362" t="n"/>
      <c r="R309" s="278" t="n"/>
      <c r="S309" s="276" t="n"/>
    </row>
    <row r="310" ht="22.2" customHeight="1" s="330">
      <c r="A310" s="4" t="n"/>
      <c r="E310" s="4" t="n"/>
      <c r="F310" s="4" t="n"/>
      <c r="G310" s="17" t="inlineStr">
        <is>
          <t>จำนวนชั่วโมงสอนตามภาระงานสอน</t>
        </is>
      </c>
      <c r="H310" s="467" t="n"/>
      <c r="I310" s="467" t="n"/>
      <c r="J310" s="467" t="n"/>
      <c r="K310" s="362" t="n"/>
      <c r="L310" s="17" t="n">
        <v>18</v>
      </c>
      <c r="M310" s="362" t="n"/>
      <c r="N310" s="298" t="n"/>
      <c r="O310" s="17" t="n"/>
      <c r="P310" s="17" t="n">
        <v>0</v>
      </c>
      <c r="Q310" s="362" t="n"/>
      <c r="R310" s="249" t="n"/>
      <c r="S310" s="252" t="n"/>
    </row>
    <row r="311" ht="22.2" customHeight="1" s="330" thickBot="1">
      <c r="A311" s="4" t="n"/>
      <c r="E311" s="4" t="n"/>
      <c r="F311" s="15" t="n"/>
      <c r="G311" s="17" t="inlineStr">
        <is>
          <t>จำนวนชั่วโมงบิกเกินภาระงานสอน/ค่าสอน</t>
        </is>
      </c>
      <c r="H311" s="467" t="n"/>
      <c r="I311" s="467" t="n"/>
      <c r="J311" s="467" t="n"/>
      <c r="K311" s="362" t="n"/>
      <c r="L311" s="18" t="n">
        <v>0</v>
      </c>
      <c r="M311" s="18">
        <f>SUM(M283:M307)</f>
        <v/>
      </c>
      <c r="N311" s="18" t="n"/>
      <c r="O311" s="18">
        <f>SUM(O283:O307)</f>
        <v/>
      </c>
      <c r="P311" s="18" t="n">
        <v>0</v>
      </c>
      <c r="Q311" s="18">
        <f>SUM(Q283:Q307)</f>
        <v/>
      </c>
      <c r="R311" s="19" t="n"/>
      <c r="S311" s="18">
        <f>SUM(S283:S307)</f>
        <v/>
      </c>
    </row>
    <row r="312" ht="22.2" customHeight="1" s="330" thickTop="1">
      <c r="A312" s="299" t="inlineStr">
        <is>
          <t>รวมจำนวนหน่วยชั่วโมงที่ขอเบิกค่าสอน ….</t>
        </is>
      </c>
      <c r="B312" s="467" t="n"/>
      <c r="C312" s="467" t="n"/>
      <c r="D312" s="467" t="n"/>
      <c r="E312" s="467" t="n"/>
      <c r="F312" s="467" t="n"/>
      <c r="G312" s="467" t="n"/>
      <c r="H312" s="298">
        <f>M311+Q311</f>
        <v/>
      </c>
      <c r="I312" s="298" t="inlineStr">
        <is>
          <t>….ชั่วโมง</t>
        </is>
      </c>
      <c r="J312" s="298" t="n"/>
      <c r="K312" s="301" t="inlineStr">
        <is>
          <t>ยอดเงินรวม</t>
        </is>
      </c>
      <c r="L312" s="471" t="n"/>
      <c r="M312" s="471" t="n"/>
      <c r="N312" s="301" t="n"/>
      <c r="O312" s="301" t="n"/>
      <c r="P312" s="302">
        <f>S311+O311</f>
        <v/>
      </c>
      <c r="Q312" s="482" t="n"/>
      <c r="R312" s="21" t="n"/>
      <c r="S312" s="20" t="inlineStr">
        <is>
          <t>..บาท</t>
        </is>
      </c>
    </row>
    <row r="313" ht="22.2" customHeight="1" s="330">
      <c r="A313" s="207" t="inlineStr">
        <is>
          <t>ผู้ขอเบิก</t>
        </is>
      </c>
      <c r="B313" s="334" t="n"/>
      <c r="C313" s="334" t="n"/>
      <c r="D313" s="334" t="n"/>
      <c r="E313" s="334" t="n"/>
      <c r="F313" s="334" t="n"/>
      <c r="G313" s="335" t="n"/>
      <c r="H313" s="207" t="inlineStr">
        <is>
          <t>ผู้รับรอง</t>
        </is>
      </c>
      <c r="I313" s="334" t="n"/>
      <c r="J313" s="334" t="n"/>
      <c r="K313" s="334" t="n"/>
      <c r="L313" s="335" t="n"/>
      <c r="M313" s="207" t="inlineStr">
        <is>
          <t>ผู้ตรวจ</t>
        </is>
      </c>
      <c r="N313" s="334" t="n"/>
      <c r="O313" s="334" t="n"/>
      <c r="P313" s="334" t="n"/>
      <c r="Q313" s="334" t="n"/>
      <c r="R313" s="334" t="n"/>
      <c r="S313" s="335" t="n"/>
    </row>
    <row r="314" ht="22.2" customHeight="1" s="330">
      <c r="A314" s="252" t="inlineStr">
        <is>
          <t>ลงชื่อ……………………………………………</t>
        </is>
      </c>
      <c r="G314" s="331" t="n"/>
      <c r="H314" s="252" t="inlineStr">
        <is>
          <t>ลงชื่อ……………………………………………</t>
        </is>
      </c>
      <c r="L314" s="331" t="n"/>
      <c r="M314" s="252" t="inlineStr">
        <is>
          <t>ลงชื่อ……………………………………………</t>
        </is>
      </c>
      <c r="S314" s="331" t="n"/>
    </row>
    <row r="315" ht="22.2" customHeight="1" s="330">
      <c r="A315" s="12" t="inlineStr">
        <is>
          <t>(</t>
        </is>
      </c>
      <c r="B315" s="309">
        <f>B283</f>
        <v/>
      </c>
      <c r="G315" s="310" t="inlineStr">
        <is>
          <t>)</t>
        </is>
      </c>
      <c r="H315" s="309" t="inlineStr">
        <is>
          <t>(</t>
        </is>
      </c>
      <c r="I315" s="314">
        <f>I269</f>
        <v/>
      </c>
      <c r="L315" s="13" t="inlineStr">
        <is>
          <t>)</t>
        </is>
      </c>
      <c r="M315" s="61" t="inlineStr">
        <is>
          <t>(</t>
        </is>
      </c>
      <c r="N315" s="61" t="n"/>
      <c r="O315" s="309" t="inlineStr">
        <is>
          <t>นายพิสุทธิศักดิ์  กล่อมนาค</t>
        </is>
      </c>
      <c r="R315" s="29" t="n"/>
      <c r="S315" s="310" t="inlineStr">
        <is>
          <t>)</t>
        </is>
      </c>
    </row>
    <row r="316" ht="22.2" customHeight="1" s="330">
      <c r="A316" s="483" t="inlineStr">
        <is>
          <t xml:space="preserve">                    ตำแหน่ง  ครู</t>
        </is>
      </c>
      <c r="G316" s="331" t="n"/>
      <c r="H316" s="62" t="inlineStr">
        <is>
          <t>ตำแหน่ง หัวหน้าแผนก</t>
        </is>
      </c>
      <c r="L316" s="331" t="n"/>
      <c r="M316" s="62" t="inlineStr">
        <is>
          <t>ตำแหน่ง   ผู้ตรวจสอบ</t>
        </is>
      </c>
      <c r="S316" s="331" t="n"/>
    </row>
    <row r="317" ht="22.2" customHeight="1" s="330">
      <c r="A317" s="63">
        <f>A41</f>
        <v/>
      </c>
      <c r="B317" s="471" t="n"/>
      <c r="C317" s="471" t="n"/>
      <c r="D317" s="471" t="n"/>
      <c r="E317" s="471" t="n"/>
      <c r="F317" s="471" t="n"/>
      <c r="G317" s="476" t="n"/>
      <c r="H317" s="62">
        <f>A41</f>
        <v/>
      </c>
      <c r="L317" s="331" t="n"/>
      <c r="M317" s="63">
        <f>A41</f>
        <v/>
      </c>
      <c r="N317" s="471" t="n"/>
      <c r="O317" s="471" t="n"/>
      <c r="P317" s="471" t="n"/>
      <c r="Q317" s="471" t="n"/>
      <c r="R317" s="471" t="n"/>
      <c r="S317" s="476" t="n"/>
    </row>
    <row r="318" ht="22.2" customHeight="1" s="330">
      <c r="A318" s="207" t="inlineStr">
        <is>
          <t>ผู้ตรวจ</t>
        </is>
      </c>
      <c r="B318" s="334" t="n"/>
      <c r="C318" s="334" t="n"/>
      <c r="D318" s="334" t="n"/>
      <c r="E318" s="334" t="n"/>
      <c r="F318" s="334" t="n"/>
      <c r="G318" s="334" t="n"/>
      <c r="H318" s="334" t="n"/>
      <c r="I318" s="335" t="n"/>
      <c r="J318" s="207" t="inlineStr">
        <is>
          <t>ผู้เห็นชอบ</t>
        </is>
      </c>
      <c r="K318" s="334" t="n"/>
      <c r="L318" s="334" t="n"/>
      <c r="M318" s="334" t="n"/>
      <c r="N318" s="334" t="n"/>
      <c r="O318" s="334" t="n"/>
      <c r="P318" s="334" t="n"/>
      <c r="Q318" s="334" t="n"/>
      <c r="R318" s="334" t="n"/>
      <c r="S318" s="335" t="n"/>
    </row>
    <row r="319" ht="22.2" customHeight="1" s="330">
      <c r="A319" s="252" t="inlineStr">
        <is>
          <t>ลงชื่อ……………………………………………</t>
        </is>
      </c>
      <c r="I319" s="331" t="n"/>
      <c r="J319" s="252" t="inlineStr">
        <is>
          <t>ลงชื่อ……………………………………………</t>
        </is>
      </c>
      <c r="S319" s="331" t="n"/>
    </row>
    <row r="320" ht="22.2" customHeight="1" s="330">
      <c r="A320" s="12" t="n"/>
      <c r="B320" s="309" t="inlineStr">
        <is>
          <t xml:space="preserve">          (นางศิวรักษ์   บุญประเสริฐ)</t>
        </is>
      </c>
      <c r="I320" s="310" t="n"/>
      <c r="J320" s="29" t="n"/>
      <c r="K320" s="29" t="n"/>
      <c r="L320" s="309" t="inlineStr">
        <is>
          <t>(นายปรีชา  โพธิ์เกิด)</t>
        </is>
      </c>
      <c r="R320" s="29" t="n"/>
      <c r="S320" s="13" t="n"/>
    </row>
    <row r="321" ht="22.2" customHeight="1" s="330">
      <c r="A321" s="62" t="inlineStr">
        <is>
          <t>ตำแหน่งครู  หัวหน้างานพัฒนาหลักสูตร ฯ</t>
        </is>
      </c>
      <c r="I321" s="331" t="n"/>
      <c r="J321" s="62" t="inlineStr">
        <is>
          <t>ตำแหน่ง  รองผู้อำนวยการฝ่ายวิชาการ</t>
        </is>
      </c>
      <c r="S321" s="331" t="n"/>
    </row>
    <row r="322" ht="22.2" customHeight="1" s="330">
      <c r="A322" s="63">
        <f>A41</f>
        <v/>
      </c>
      <c r="B322" s="471" t="n"/>
      <c r="C322" s="471" t="n"/>
      <c r="D322" s="471" t="n"/>
      <c r="E322" s="471" t="n"/>
      <c r="F322" s="471" t="n"/>
      <c r="G322" s="471" t="n"/>
      <c r="H322" s="471" t="n"/>
      <c r="I322" s="476" t="n"/>
      <c r="J322" s="63">
        <f>A41</f>
        <v/>
      </c>
      <c r="K322" s="471" t="n"/>
      <c r="L322" s="471" t="n"/>
      <c r="M322" s="471" t="n"/>
      <c r="N322" s="471" t="n"/>
      <c r="O322" s="471" t="n"/>
      <c r="P322" s="471" t="n"/>
      <c r="Q322" s="471" t="n"/>
      <c r="R322" s="471" t="n"/>
      <c r="S322" s="476" t="n"/>
    </row>
    <row r="323" ht="22.2" customHeight="1" s="330">
      <c r="A32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324" ht="22.2" customHeight="1" s="330">
      <c r="A324" s="254">
        <f>A2</f>
        <v/>
      </c>
    </row>
    <row r="325" ht="22.2" customHeight="1" s="330">
      <c r="A325" s="253" t="inlineStr">
        <is>
          <t xml:space="preserve">    ระหว่างวันที่</t>
        </is>
      </c>
      <c r="D325" s="254">
        <f>D3</f>
        <v/>
      </c>
      <c r="E325" s="254" t="inlineStr">
        <is>
          <t xml:space="preserve">   เดือน  </t>
        </is>
      </c>
      <c r="F325" s="254">
        <f>F3</f>
        <v/>
      </c>
      <c r="H325" s="254">
        <f>H3</f>
        <v/>
      </c>
      <c r="I325" s="254" t="inlineStr">
        <is>
          <t xml:space="preserve">     ถึง วันที่</t>
        </is>
      </c>
      <c r="J325" s="254">
        <f>J3</f>
        <v/>
      </c>
      <c r="K325" s="254" t="inlineStr">
        <is>
          <t xml:space="preserve">   เดือน </t>
        </is>
      </c>
      <c r="L325" s="254">
        <f>L3</f>
        <v/>
      </c>
      <c r="N325" s="254">
        <f>N3</f>
        <v/>
      </c>
      <c r="P325" s="254" t="n"/>
      <c r="R325" s="254" t="n"/>
    </row>
    <row r="326" ht="22.2" customHeight="1" s="330">
      <c r="G326" s="58" t="inlineStr">
        <is>
          <t>ü</t>
        </is>
      </c>
      <c r="H326" s="290" t="inlineStr">
        <is>
          <t>ครู</t>
        </is>
      </c>
      <c r="I326" s="249" t="inlineStr">
        <is>
          <t>หน้าที่พิเศษ</t>
        </is>
      </c>
      <c r="J326" s="290" t="n"/>
    </row>
    <row r="327" ht="22.2" customHeight="1" s="330">
      <c r="A327" s="28" t="inlineStr">
        <is>
          <t>ที่</t>
        </is>
      </c>
      <c r="B327" s="28" t="inlineStr">
        <is>
          <t>ชื่อ-สกุล</t>
        </is>
      </c>
      <c r="C327" s="334" t="n"/>
      <c r="D327" s="335" t="n"/>
      <c r="E327" s="16" t="inlineStr">
        <is>
          <t>ตำแหน่ง</t>
        </is>
      </c>
      <c r="F327" s="17" t="inlineStr">
        <is>
          <t>ระยะเวลาที่สอน</t>
        </is>
      </c>
      <c r="G327" s="362" t="n"/>
      <c r="H327" s="17" t="inlineStr">
        <is>
          <t>รหัสวิชา</t>
        </is>
      </c>
      <c r="I327" s="275" t="inlineStr">
        <is>
          <t>ชั้น,แผนก,ห้อง</t>
        </is>
      </c>
      <c r="J327" s="17" t="inlineStr">
        <is>
          <t>เวลาสอน</t>
        </is>
      </c>
      <c r="K327" s="335" t="n"/>
      <c r="L327" s="17" t="inlineStr">
        <is>
          <t>ปวช.(คาบ)</t>
        </is>
      </c>
      <c r="M327" s="362" t="n"/>
      <c r="N327" s="244" t="inlineStr">
        <is>
          <t>เงิน</t>
        </is>
      </c>
      <c r="O327" s="275" t="inlineStr">
        <is>
          <t>ยอดเงิน</t>
        </is>
      </c>
      <c r="P327" s="473" t="inlineStr">
        <is>
          <t>ปวส.(คาบ)</t>
        </is>
      </c>
      <c r="Q327" s="362" t="n"/>
      <c r="R327" s="244" t="inlineStr">
        <is>
          <t>เงิน</t>
        </is>
      </c>
      <c r="S327" s="275" t="inlineStr">
        <is>
          <t>ยอดเงิน</t>
        </is>
      </c>
    </row>
    <row r="328" ht="22.2" customHeight="1" s="330">
      <c r="A328" s="60" t="n"/>
      <c r="B328" s="9" t="n"/>
      <c r="C328" s="10" t="n"/>
      <c r="D328" s="14" t="n"/>
      <c r="E328" s="11" t="n"/>
      <c r="F328" s="276" t="inlineStr">
        <is>
          <t>ส.</t>
        </is>
      </c>
      <c r="G328" s="276" t="inlineStr">
        <is>
          <t>วดป.</t>
        </is>
      </c>
      <c r="H328" s="474" t="n"/>
      <c r="I328" s="276" t="n"/>
      <c r="J328" s="475" t="n"/>
      <c r="K328" s="476" t="n"/>
      <c r="L328" s="276" t="inlineStr">
        <is>
          <t>ใน</t>
        </is>
      </c>
      <c r="M328" s="276" t="inlineStr">
        <is>
          <t>นอก</t>
        </is>
      </c>
      <c r="N328" s="276" t="inlineStr">
        <is>
          <t>ต่อ ชม.</t>
        </is>
      </c>
      <c r="O328" s="276" t="inlineStr">
        <is>
          <t>(บาท)</t>
        </is>
      </c>
      <c r="P328" s="60" t="inlineStr">
        <is>
          <t>ใน</t>
        </is>
      </c>
      <c r="Q328" s="60" t="inlineStr">
        <is>
          <t>นอก</t>
        </is>
      </c>
      <c r="R328" s="276" t="inlineStr">
        <is>
          <t>ต่อ ชม.</t>
        </is>
      </c>
      <c r="S328" s="276" t="inlineStr">
        <is>
          <t>(บาท)</t>
        </is>
      </c>
    </row>
    <row r="329" ht="22.2" customHeight="1" s="330">
      <c r="A329" s="275" t="n">
        <v>8</v>
      </c>
      <c r="B329" s="477">
        <f>AB10</f>
        <v/>
      </c>
      <c r="C329" s="334" t="n"/>
      <c r="D329" s="335" t="n"/>
      <c r="E329" s="275" t="inlineStr">
        <is>
          <t>ครู</t>
        </is>
      </c>
      <c r="F329" s="6">
        <f>F7</f>
        <v/>
      </c>
      <c r="G329" s="303" t="inlineStr">
        <is>
          <t>จันทร์</t>
        </is>
      </c>
      <c r="H329" s="325" t="n"/>
      <c r="I329" s="325" t="n"/>
      <c r="J329" s="332" t="n"/>
      <c r="K329" s="335" t="n"/>
      <c r="L329" s="265" t="n"/>
      <c r="M329" s="332" t="n"/>
      <c r="N329" s="332" t="n"/>
      <c r="O329" s="244">
        <f>M329*N329</f>
        <v/>
      </c>
      <c r="P329" s="332" t="n"/>
      <c r="Q329" s="265" t="n"/>
      <c r="R329" s="332" t="n"/>
      <c r="S329" s="244">
        <f>Q329*R329</f>
        <v/>
      </c>
    </row>
    <row r="330" ht="22.2" customHeight="1" s="330">
      <c r="A330" s="4" t="n"/>
      <c r="B330" s="478" t="n"/>
      <c r="D330" s="331" t="n"/>
      <c r="E330" s="252" t="n"/>
      <c r="F330" s="249" t="n"/>
      <c r="G330" s="308">
        <f>G284</f>
        <v/>
      </c>
      <c r="H330" s="325" t="n"/>
      <c r="I330" s="325" t="n"/>
      <c r="J330" s="252" t="n"/>
      <c r="K330" s="331" t="n"/>
      <c r="L330" s="252" t="n"/>
      <c r="M330" s="252" t="n"/>
      <c r="N330" s="252" t="n"/>
      <c r="O330" s="244">
        <f>M330*N330</f>
        <v/>
      </c>
      <c r="P330" s="252" t="n"/>
      <c r="Q330" s="252" t="n"/>
      <c r="R330" s="252" t="n"/>
      <c r="S330" s="244">
        <f>Q330*R330</f>
        <v/>
      </c>
    </row>
    <row r="331" ht="22.2" customHeight="1" s="330">
      <c r="A331" s="4" t="n"/>
      <c r="B331" s="5" t="n"/>
      <c r="D331" s="3" t="n"/>
      <c r="E331" s="3" t="n"/>
      <c r="F331" s="249" t="n"/>
      <c r="G331" s="248" t="n"/>
      <c r="H331" s="252" t="n"/>
      <c r="I331" s="252" t="n"/>
      <c r="J331" s="252" t="n"/>
      <c r="K331" s="331" t="n"/>
      <c r="L331" s="252" t="n"/>
      <c r="M331" s="252" t="n"/>
      <c r="N331" s="252" t="n"/>
      <c r="O331" s="244">
        <f>M331*N331</f>
        <v/>
      </c>
      <c r="P331" s="252" t="n"/>
      <c r="Q331" s="252" t="n"/>
      <c r="R331" s="252" t="n"/>
      <c r="S331" s="244">
        <f>Q331*R331</f>
        <v/>
      </c>
    </row>
    <row r="332" ht="22.2" customHeight="1" s="330">
      <c r="A332" s="4" t="n"/>
      <c r="B332" s="5" t="n"/>
      <c r="E332" s="4" t="n"/>
      <c r="F332" s="249" t="n"/>
      <c r="G332" s="248" t="n"/>
      <c r="H332" s="252" t="n"/>
      <c r="I332" s="252" t="n"/>
      <c r="J332" s="252" t="n"/>
      <c r="K332" s="331" t="n"/>
      <c r="L332" s="252" t="n"/>
      <c r="M332" s="252" t="n"/>
      <c r="N332" s="252" t="n"/>
      <c r="O332" s="244">
        <f>M332*N332</f>
        <v/>
      </c>
      <c r="P332" s="252" t="n"/>
      <c r="Q332" s="252" t="n"/>
      <c r="R332" s="252" t="n"/>
      <c r="S332" s="244">
        <f>Q332*R332</f>
        <v/>
      </c>
    </row>
    <row r="333" ht="22.2" customHeight="1" s="330">
      <c r="A333" s="4" t="n"/>
      <c r="E333" s="4" t="n"/>
      <c r="G333" s="311" t="n"/>
      <c r="H333" s="276" t="n"/>
      <c r="I333" s="276" t="n"/>
      <c r="J333" s="276" t="n"/>
      <c r="K333" s="476" t="n"/>
      <c r="L333" s="252" t="n"/>
      <c r="M333" s="252" t="n"/>
      <c r="N333" s="252" t="n"/>
      <c r="O333" s="244">
        <f>M333*N333</f>
        <v/>
      </c>
      <c r="P333" s="252" t="n"/>
      <c r="Q333" s="252" t="n"/>
      <c r="R333" s="252" t="n"/>
      <c r="S333" s="244">
        <f>Q333*R333</f>
        <v/>
      </c>
    </row>
    <row r="334" ht="22.2" customHeight="1" s="330">
      <c r="A334" s="4" t="n"/>
      <c r="D334" s="8" t="inlineStr">
        <is>
          <t> </t>
        </is>
      </c>
      <c r="E334" s="4" t="n"/>
      <c r="G334" s="62" t="inlineStr">
        <is>
          <t>อังคาร</t>
        </is>
      </c>
      <c r="H334" s="325" t="inlineStr">
        <is>
          <t>30101-8001</t>
        </is>
      </c>
      <c r="I334" s="325" t="inlineStr">
        <is>
          <t>ปวส.2/3 สย. (ปกติ)</t>
        </is>
      </c>
      <c r="J334" s="332" t="inlineStr">
        <is>
          <t>08.10-12.10</t>
        </is>
      </c>
      <c r="K334" s="335" t="n"/>
      <c r="L334" s="265" t="n"/>
      <c r="M334" s="332" t="n"/>
      <c r="N334" s="332" t="n"/>
      <c r="O334" s="244">
        <f>M334*N334</f>
        <v/>
      </c>
      <c r="P334" s="332" t="n"/>
      <c r="Q334" s="265" t="n"/>
      <c r="R334" s="332" t="n"/>
      <c r="S334" s="244">
        <f>Q334*R334</f>
        <v/>
      </c>
    </row>
    <row r="335" ht="22.2" customHeight="1" s="330">
      <c r="A335" s="4" t="n"/>
      <c r="E335" s="4" t="n"/>
      <c r="G335" s="308">
        <f>G289</f>
        <v/>
      </c>
      <c r="H335" s="325" t="inlineStr">
        <is>
          <t>30101-0003</t>
        </is>
      </c>
      <c r="I335" s="325" t="inlineStr">
        <is>
          <t>ปวส.1/6 สย. (ม.6)</t>
        </is>
      </c>
      <c r="J335" s="252" t="inlineStr">
        <is>
          <t>14.10-19.10</t>
        </is>
      </c>
      <c r="K335" s="331" t="n"/>
      <c r="L335" s="252" t="n"/>
      <c r="M335" s="252" t="n"/>
      <c r="N335" s="252" t="n"/>
      <c r="O335" s="244">
        <f>M335*N335</f>
        <v/>
      </c>
      <c r="P335" s="252" t="n"/>
      <c r="Q335" s="252" t="n"/>
      <c r="R335" s="252" t="n"/>
      <c r="S335" s="244">
        <f>Q335*R335</f>
        <v/>
      </c>
    </row>
    <row r="336" ht="22.2" customHeight="1" s="330">
      <c r="A336" s="4" t="n"/>
      <c r="B336" s="248" t="n"/>
      <c r="C336" s="249" t="n"/>
      <c r="D336" s="249" t="n"/>
      <c r="E336" s="252" t="n"/>
      <c r="G336" s="252" t="n"/>
      <c r="H336" s="252" t="n"/>
      <c r="I336" s="252" t="n"/>
      <c r="J336" s="252" t="n"/>
      <c r="K336" s="331" t="n"/>
      <c r="L336" s="252" t="n"/>
      <c r="M336" s="252" t="n"/>
      <c r="N336" s="252" t="n"/>
      <c r="O336" s="244">
        <f>M336*N336</f>
        <v/>
      </c>
      <c r="P336" s="252" t="n"/>
      <c r="Q336" s="252" t="n"/>
      <c r="R336" s="252" t="n"/>
      <c r="S336" s="244">
        <f>Q336*R336</f>
        <v/>
      </c>
    </row>
    <row r="337" ht="22.2" customHeight="1" s="330">
      <c r="A337" s="4" t="n"/>
      <c r="B337" s="5" t="n"/>
      <c r="D337" s="3" t="n"/>
      <c r="E337" s="3" t="n"/>
      <c r="G337" s="62" t="n"/>
      <c r="H337" s="252" t="n"/>
      <c r="I337" s="252" t="n"/>
      <c r="J337" s="252" t="n"/>
      <c r="K337" s="331" t="n"/>
      <c r="L337" s="252" t="n"/>
      <c r="M337" s="252" t="n"/>
      <c r="N337" s="252" t="n"/>
      <c r="O337" s="244">
        <f>M337*N337</f>
        <v/>
      </c>
      <c r="P337" s="252" t="n"/>
      <c r="Q337" s="252" t="n"/>
      <c r="R337" s="252" t="n"/>
      <c r="S337" s="244">
        <f>Q337*R337</f>
        <v/>
      </c>
    </row>
    <row r="338" ht="22.2" customHeight="1" s="330">
      <c r="A338" s="4" t="n"/>
      <c r="D338" s="8" t="inlineStr">
        <is>
          <t> </t>
        </is>
      </c>
      <c r="E338" s="4" t="n"/>
      <c r="G338" s="63" t="n"/>
      <c r="H338" s="276" t="n"/>
      <c r="I338" s="276" t="n"/>
      <c r="J338" s="276" t="n"/>
      <c r="K338" s="476" t="n"/>
      <c r="L338" s="252" t="n"/>
      <c r="M338" s="252" t="n"/>
      <c r="N338" s="252" t="n"/>
      <c r="O338" s="244">
        <f>M338*N338</f>
        <v/>
      </c>
      <c r="P338" s="252" t="n"/>
      <c r="Q338" s="252" t="n"/>
      <c r="R338" s="252" t="n"/>
      <c r="S338" s="244">
        <f>Q338*R338</f>
        <v/>
      </c>
    </row>
    <row r="339" ht="22.2" customHeight="1" s="330">
      <c r="A339" s="4" t="n"/>
      <c r="E339" s="4" t="n"/>
      <c r="G339" s="308" t="inlineStr">
        <is>
          <t>พุธ</t>
        </is>
      </c>
      <c r="H339" s="325" t="inlineStr">
        <is>
          <t>30101-0003</t>
        </is>
      </c>
      <c r="I339" s="325" t="inlineStr">
        <is>
          <t>ปวส.1/4 สย. (ม.6)</t>
        </is>
      </c>
      <c r="J339" s="252" t="inlineStr">
        <is>
          <t>13.10-18.10</t>
        </is>
      </c>
      <c r="K339" s="331" t="n"/>
      <c r="L339" s="265" t="n"/>
      <c r="M339" s="332" t="n"/>
      <c r="N339" s="332" t="n"/>
      <c r="O339" s="244">
        <f>M339*N339</f>
        <v/>
      </c>
      <c r="P339" s="332" t="n"/>
      <c r="Q339" s="265" t="n"/>
      <c r="R339" s="332" t="n"/>
      <c r="S339" s="244">
        <f>Q339*R339</f>
        <v/>
      </c>
      <c r="T339" s="7" t="n"/>
      <c r="U339" s="23" t="inlineStr">
        <is>
          <t>เบิก ธุรการ</t>
        </is>
      </c>
      <c r="V339" s="66" t="n"/>
      <c r="W339" s="22" t="n"/>
      <c r="X339" s="22" t="n"/>
    </row>
    <row r="340" ht="22.2" customHeight="1" s="330">
      <c r="A340" s="4" t="n"/>
      <c r="B340" s="248" t="n"/>
      <c r="C340" s="249" t="n"/>
      <c r="D340" s="249" t="n"/>
      <c r="E340" s="252" t="n"/>
      <c r="G340" s="308">
        <f>G294</f>
        <v/>
      </c>
      <c r="H340" s="325" t="n"/>
      <c r="I340" s="325" t="n"/>
      <c r="J340" s="252" t="n"/>
      <c r="K340" s="331" t="n"/>
      <c r="L340" s="252" t="n"/>
      <c r="M340" s="252" t="n"/>
      <c r="N340" s="252" t="n"/>
      <c r="O340" s="244">
        <f>M340*N340</f>
        <v/>
      </c>
      <c r="P340" s="252" t="n"/>
      <c r="Q340" s="252" t="n"/>
      <c r="R340" s="252" t="n"/>
      <c r="S340" s="244">
        <f>Q340*R340</f>
        <v/>
      </c>
      <c r="T340" s="22" t="inlineStr">
        <is>
          <t> </t>
        </is>
      </c>
      <c r="U340" s="23" t="inlineStr">
        <is>
          <t>16.10-19.10</t>
        </is>
      </c>
      <c r="V340" s="66" t="n"/>
      <c r="W340" s="22" t="n"/>
      <c r="X340" s="22" t="n"/>
    </row>
    <row r="341" ht="22.2" customHeight="1" s="330">
      <c r="A341" s="4" t="n"/>
      <c r="B341" s="5" t="n"/>
      <c r="D341" s="3" t="n"/>
      <c r="E341" s="3" t="n"/>
      <c r="G341" s="252" t="n"/>
      <c r="H341" s="325" t="n"/>
      <c r="I341" s="325" t="n"/>
      <c r="J341" s="325" t="n"/>
      <c r="K341" s="331" t="n"/>
      <c r="L341" s="252" t="n"/>
      <c r="M341" s="252" t="n"/>
      <c r="N341" s="252" t="n"/>
      <c r="O341" s="244">
        <f>M341*N341</f>
        <v/>
      </c>
      <c r="P341" s="252" t="n"/>
      <c r="Q341" s="252" t="n"/>
      <c r="R341" s="252" t="n"/>
      <c r="S341" s="244">
        <f>Q341*R341</f>
        <v/>
      </c>
    </row>
    <row r="342" ht="22.2" customHeight="1" s="330">
      <c r="A342" s="4" t="n"/>
      <c r="E342" s="4" t="n"/>
      <c r="G342" s="248" t="n"/>
      <c r="H342" s="248" t="n"/>
      <c r="I342" s="252" t="n"/>
      <c r="J342" s="252" t="n"/>
      <c r="K342" s="331" t="n"/>
      <c r="L342" s="252" t="n"/>
      <c r="M342" s="252" t="n"/>
      <c r="N342" s="252" t="n"/>
      <c r="O342" s="244">
        <f>M342*N342</f>
        <v/>
      </c>
      <c r="P342" s="252" t="n"/>
      <c r="Q342" s="252" t="n"/>
      <c r="R342" s="252" t="n"/>
      <c r="S342" s="244">
        <f>Q342*R342</f>
        <v/>
      </c>
    </row>
    <row r="343" ht="22.2" customHeight="1" s="330">
      <c r="A343" s="4" t="n"/>
      <c r="E343" s="4" t="n"/>
      <c r="G343" s="277" t="n"/>
      <c r="H343" s="277" t="n"/>
      <c r="I343" s="276" t="n"/>
      <c r="J343" s="276" t="n"/>
      <c r="K343" s="476" t="n"/>
      <c r="L343" s="276" t="n"/>
      <c r="M343" s="276" t="n"/>
      <c r="N343" s="276" t="n"/>
      <c r="O343" s="244">
        <f>M343*N343</f>
        <v/>
      </c>
      <c r="P343" s="276" t="n"/>
      <c r="Q343" s="276" t="n"/>
      <c r="R343" s="276" t="n"/>
      <c r="S343" s="244">
        <f>Q343*R343</f>
        <v/>
      </c>
    </row>
    <row r="344" ht="22.2" customHeight="1" s="330">
      <c r="A344" s="4" t="n"/>
      <c r="E344" s="4" t="n"/>
      <c r="G344" s="62" t="inlineStr">
        <is>
          <t>พฤหัส</t>
        </is>
      </c>
      <c r="H344" s="325" t="inlineStr">
        <is>
          <t>30101-2603</t>
        </is>
      </c>
      <c r="I344" s="325" t="inlineStr">
        <is>
          <t>ปวส.1/1 สย. (ปกติ)</t>
        </is>
      </c>
      <c r="J344" s="332" t="inlineStr">
        <is>
          <t>08.10-12.10</t>
        </is>
      </c>
      <c r="K344" s="335" t="n"/>
      <c r="L344" s="252" t="n"/>
      <c r="M344" s="252" t="n"/>
      <c r="N344" s="252" t="n"/>
      <c r="O344" s="244">
        <f>M344*N344</f>
        <v/>
      </c>
      <c r="P344" s="252" t="n"/>
      <c r="Q344" s="275" t="n"/>
      <c r="R344" s="275" t="n"/>
      <c r="S344" s="244">
        <f>Q344*R344</f>
        <v/>
      </c>
    </row>
    <row r="345" ht="22.2" customHeight="1" s="330">
      <c r="A345" s="4" t="n"/>
      <c r="E345" s="4" t="n"/>
      <c r="G345" s="62">
        <f>G299</f>
        <v/>
      </c>
      <c r="H345" s="181" t="inlineStr">
        <is>
          <t>30000-2002</t>
        </is>
      </c>
      <c r="I345" s="325" t="inlineStr">
        <is>
          <t>ปวส.1/1,2 สย. (ปกติ)</t>
        </is>
      </c>
      <c r="J345" s="252" t="inlineStr">
        <is>
          <t>13.10-15.10</t>
        </is>
      </c>
      <c r="K345" s="331" t="n"/>
      <c r="L345" s="252" t="n"/>
      <c r="M345" s="252" t="n"/>
      <c r="N345" s="252" t="n"/>
      <c r="O345" s="244">
        <f>M345*N345</f>
        <v/>
      </c>
      <c r="P345" s="252" t="n"/>
      <c r="Q345" s="252" t="n"/>
      <c r="R345" s="252" t="n"/>
      <c r="S345" s="244">
        <f>Q345*R345</f>
        <v/>
      </c>
    </row>
    <row r="346" ht="22.2" customHeight="1" s="330">
      <c r="A346" s="4" t="n"/>
      <c r="B346" s="5" t="n"/>
      <c r="E346" s="4" t="n"/>
      <c r="G346" s="252" t="n"/>
      <c r="H346" s="325" t="inlineStr">
        <is>
          <t>30101-2603</t>
        </is>
      </c>
      <c r="I346" s="325" t="inlineStr">
        <is>
          <t>ปวส.1/1 สย. (ปกติ)</t>
        </is>
      </c>
      <c r="J346" s="252" t="inlineStr">
        <is>
          <t>15.10-16.10</t>
        </is>
      </c>
      <c r="K346" s="331" t="n"/>
      <c r="L346" s="325" t="n"/>
      <c r="M346" s="325" t="n"/>
      <c r="N346" s="325" t="n"/>
      <c r="O346" s="244">
        <f>M346*N346</f>
        <v/>
      </c>
      <c r="P346" s="325" t="n"/>
      <c r="Q346" s="325" t="n"/>
      <c r="R346" s="325" t="n"/>
      <c r="S346" s="244">
        <f>Q346*R346</f>
        <v/>
      </c>
    </row>
    <row r="347" ht="22.2" customHeight="1" s="330">
      <c r="A347" s="4" t="n"/>
      <c r="E347" s="4" t="n"/>
      <c r="G347" s="252" t="n"/>
      <c r="H347" s="252" t="n"/>
      <c r="I347" s="250" t="n"/>
      <c r="J347" s="252" t="n"/>
      <c r="K347" s="331" t="n"/>
      <c r="L347" s="252" t="n"/>
      <c r="M347" s="252" t="n"/>
      <c r="N347" s="252" t="n"/>
      <c r="O347" s="244">
        <f>M347*N347</f>
        <v/>
      </c>
      <c r="P347" s="252" t="n"/>
      <c r="Q347" s="252" t="n"/>
      <c r="R347" s="252" t="n"/>
      <c r="S347" s="244">
        <f>Q347*R347</f>
        <v/>
      </c>
    </row>
    <row r="348" ht="22.2" customHeight="1" s="330">
      <c r="A348" s="4" t="n"/>
      <c r="E348" s="4" t="n"/>
      <c r="G348" s="276" t="n"/>
      <c r="H348" s="301" t="n"/>
      <c r="I348" s="276" t="n"/>
      <c r="J348" s="276" t="n"/>
      <c r="K348" s="476" t="n"/>
      <c r="L348" s="276" t="n"/>
      <c r="M348" s="276" t="n"/>
      <c r="N348" s="276" t="n"/>
      <c r="O348" s="244">
        <f>M348*N348</f>
        <v/>
      </c>
      <c r="P348" s="276" t="n"/>
      <c r="Q348" s="276" t="n"/>
      <c r="R348" s="276" t="n"/>
      <c r="S348" s="244">
        <f>Q348*R348</f>
        <v/>
      </c>
    </row>
    <row r="349" ht="22.2" customHeight="1" s="330">
      <c r="A349" s="4" t="n"/>
      <c r="E349" s="4" t="n"/>
      <c r="G349" s="62" t="inlineStr">
        <is>
          <t>ศุกร์</t>
        </is>
      </c>
      <c r="H349" s="325" t="inlineStr">
        <is>
          <t>30101-2005</t>
        </is>
      </c>
      <c r="I349" s="325" t="inlineStr">
        <is>
          <t>ปวส.1/2 สย. (ปกติ)</t>
        </is>
      </c>
      <c r="J349" s="332" t="inlineStr">
        <is>
          <t>08.10-12.10</t>
        </is>
      </c>
      <c r="K349" s="335" t="n"/>
      <c r="L349" s="252" t="n"/>
      <c r="M349" s="252" t="n"/>
      <c r="N349" s="252" t="n"/>
      <c r="O349" s="244">
        <f>M349*N349</f>
        <v/>
      </c>
      <c r="P349" s="332" t="n"/>
      <c r="Q349" s="265" t="n"/>
      <c r="R349" s="332" t="n"/>
      <c r="S349" s="244">
        <f>Q349*R349</f>
        <v/>
      </c>
    </row>
    <row r="350" ht="22.2" customHeight="1" s="330">
      <c r="A350" s="4" t="n"/>
      <c r="E350" s="4" t="n"/>
      <c r="G350" s="62">
        <f>G304</f>
        <v/>
      </c>
      <c r="H350" s="325" t="inlineStr">
        <is>
          <t>30101-2005</t>
        </is>
      </c>
      <c r="I350" s="325" t="inlineStr">
        <is>
          <t>ปวส.1/1 สย. (ปกติ)</t>
        </is>
      </c>
      <c r="J350" s="252" t="inlineStr">
        <is>
          <t>13.10-17.10</t>
        </is>
      </c>
      <c r="K350" s="331" t="n"/>
      <c r="L350" s="252" t="n"/>
      <c r="M350" s="252" t="n"/>
      <c r="N350" s="252" t="n"/>
      <c r="O350" s="244">
        <f>M350*N350</f>
        <v/>
      </c>
      <c r="P350" s="252" t="n"/>
      <c r="Q350" s="252" t="n"/>
      <c r="R350" s="252" t="n"/>
      <c r="S350" s="244">
        <f>Q350*R350</f>
        <v/>
      </c>
    </row>
    <row r="351" ht="22.2" customHeight="1" s="330">
      <c r="A351" s="4" t="n"/>
      <c r="E351" s="4" t="n"/>
      <c r="G351" s="252" t="n"/>
      <c r="H351" s="173" t="n"/>
      <c r="I351" s="4" t="n"/>
      <c r="J351" s="252" t="n"/>
      <c r="K351" s="331" t="n"/>
      <c r="L351" s="252" t="n"/>
      <c r="M351" s="252" t="n"/>
      <c r="N351" s="252" t="n"/>
      <c r="O351" s="244">
        <f>M351*N351</f>
        <v/>
      </c>
      <c r="P351" s="252" t="n"/>
      <c r="Q351" s="252" t="n"/>
      <c r="R351" s="252" t="n"/>
      <c r="S351" s="244">
        <f>Q351*R351</f>
        <v/>
      </c>
    </row>
    <row r="352" ht="22.2" customHeight="1" s="330">
      <c r="A352" s="4" t="n"/>
      <c r="E352" s="4" t="n"/>
      <c r="G352" s="252" t="n"/>
      <c r="H352" s="176" t="n"/>
      <c r="I352" s="4" t="n"/>
      <c r="J352" s="252" t="n"/>
      <c r="K352" s="331" t="n"/>
      <c r="L352" s="252" t="n"/>
      <c r="M352" s="252" t="n"/>
      <c r="N352" s="252" t="n"/>
      <c r="O352" s="244">
        <f>M352*N352</f>
        <v/>
      </c>
      <c r="P352" s="252" t="n"/>
      <c r="Q352" s="252" t="n"/>
      <c r="R352" s="252" t="n"/>
      <c r="S352" s="244">
        <f>Q352*R352</f>
        <v/>
      </c>
    </row>
    <row r="353" ht="22.2" customHeight="1" s="330">
      <c r="A353" s="4" t="n"/>
      <c r="E353" s="4" t="n"/>
      <c r="F353" s="4" t="n"/>
      <c r="G353" s="278" t="n"/>
      <c r="H353" s="276" t="n"/>
      <c r="I353" s="278" t="n"/>
      <c r="J353" s="276" t="n"/>
      <c r="K353" s="476" t="n"/>
      <c r="L353" s="276" t="n"/>
      <c r="M353" s="276" t="n"/>
      <c r="N353" s="276" t="n"/>
      <c r="O353" s="244">
        <f>M353*N353</f>
        <v/>
      </c>
      <c r="P353" s="276" t="n"/>
      <c r="Q353" s="276" t="n"/>
      <c r="R353" s="276" t="n"/>
      <c r="S353" s="244">
        <f>Q353*R353</f>
        <v/>
      </c>
    </row>
    <row r="354" ht="22.2" customHeight="1" s="330">
      <c r="A354" s="4" t="n"/>
      <c r="E354" s="4" t="n"/>
      <c r="F354" s="4" t="n"/>
      <c r="G354" s="17" t="inlineStr">
        <is>
          <t>รวมขั่วโมงที่สอนแยก ภาระงาน/ เกินภาระงาน</t>
        </is>
      </c>
      <c r="H354" s="467" t="n"/>
      <c r="I354" s="467" t="n"/>
      <c r="J354" s="467" t="n"/>
      <c r="K354" s="362" t="n"/>
      <c r="L354" s="17">
        <f>SUM(L329:L353)</f>
        <v/>
      </c>
      <c r="M354" s="17">
        <f>SUM(M329:M353)</f>
        <v/>
      </c>
      <c r="N354" s="17" t="n"/>
      <c r="O354" s="17" t="n"/>
      <c r="P354" s="17">
        <f>SUM(P329:P353)</f>
        <v/>
      </c>
      <c r="Q354" s="17">
        <f>SUM(Q329:Q353)</f>
        <v/>
      </c>
      <c r="R354" s="279" t="n"/>
      <c r="S354" s="17" t="n"/>
      <c r="T354" s="25" t="n"/>
      <c r="U354" s="26" t="inlineStr">
        <is>
          <t xml:space="preserve">     PLC</t>
        </is>
      </c>
      <c r="V354" s="64" t="n"/>
      <c r="W354" s="27" t="n"/>
      <c r="X354" s="27" t="n"/>
    </row>
    <row r="355" ht="22.2" customHeight="1" s="330">
      <c r="A355" s="4" t="n"/>
      <c r="E355" s="4" t="n"/>
      <c r="F355" s="4" t="n"/>
      <c r="G355" s="17" t="inlineStr">
        <is>
          <t>รวมจำนวนชั่วโมงสอนคาบต่อสับดาห์</t>
        </is>
      </c>
      <c r="H355" s="467" t="n"/>
      <c r="I355" s="467" t="n"/>
      <c r="J355" s="467" t="n"/>
      <c r="K355" s="362" t="n"/>
      <c r="L355" s="17">
        <f>L354+M354</f>
        <v/>
      </c>
      <c r="M355" s="362" t="n"/>
      <c r="N355" s="298" t="n"/>
      <c r="O355" s="17" t="n"/>
      <c r="P355" s="17">
        <f>P354+Q354</f>
        <v/>
      </c>
      <c r="Q355" s="362" t="n"/>
      <c r="R355" s="278" t="n"/>
      <c r="S355" s="276" t="n"/>
      <c r="T355" s="27" t="inlineStr">
        <is>
          <t> </t>
        </is>
      </c>
      <c r="U355" s="26" t="inlineStr">
        <is>
          <t>17.10-19.10</t>
        </is>
      </c>
      <c r="V355" s="64" t="n"/>
      <c r="W355" s="27" t="n"/>
      <c r="X355" s="27" t="n"/>
    </row>
    <row r="356" ht="22.2" customHeight="1" s="330">
      <c r="A356" s="4" t="n"/>
      <c r="E356" s="4" t="n"/>
      <c r="F356" s="4" t="n"/>
      <c r="G356" s="17" t="inlineStr">
        <is>
          <t>จำนวนชั่วโมงสอนตามภาระงานสอน</t>
        </is>
      </c>
      <c r="H356" s="467" t="n"/>
      <c r="I356" s="467" t="n"/>
      <c r="J356" s="467" t="n"/>
      <c r="K356" s="362" t="n"/>
      <c r="L356" s="17" t="n">
        <v>0</v>
      </c>
      <c r="M356" s="362" t="n"/>
      <c r="N356" s="298" t="n"/>
      <c r="O356" s="17" t="n"/>
      <c r="P356" s="17" t="n">
        <v>15</v>
      </c>
      <c r="Q356" s="362" t="n"/>
      <c r="R356" s="249" t="n"/>
      <c r="S356" s="252" t="n"/>
    </row>
    <row r="357" ht="22.2" customHeight="1" s="330" thickBot="1">
      <c r="A357" s="4" t="n"/>
      <c r="E357" s="4" t="n"/>
      <c r="F357" s="15" t="n"/>
      <c r="G357" s="17" t="inlineStr">
        <is>
          <t>จำนวนชั่วโมงบิกเกินภาระงานสอน/ค่าสอน</t>
        </is>
      </c>
      <c r="H357" s="467" t="n"/>
      <c r="I357" s="467" t="n"/>
      <c r="J357" s="467" t="n"/>
      <c r="K357" s="362" t="n"/>
      <c r="L357" s="18" t="n">
        <v>0</v>
      </c>
      <c r="M357" s="18">
        <f>SUM(M329:M353)</f>
        <v/>
      </c>
      <c r="N357" s="18" t="n"/>
      <c r="O357" s="18">
        <f>SUM(O329:O353)</f>
        <v/>
      </c>
      <c r="P357" s="18" t="n">
        <v>0</v>
      </c>
      <c r="Q357" s="18">
        <f>SUM(Q329:Q353)</f>
        <v/>
      </c>
      <c r="R357" s="19" t="n"/>
      <c r="S357" s="18">
        <f>SUM(S329:S353)</f>
        <v/>
      </c>
    </row>
    <row r="358" ht="22.2" customHeight="1" s="330" thickTop="1">
      <c r="A358" s="299" t="inlineStr">
        <is>
          <t>รวมจำนวนหน่วยชั่วโมงที่ขอเบิกค่าสอน ….</t>
        </is>
      </c>
      <c r="B358" s="467" t="n"/>
      <c r="C358" s="467" t="n"/>
      <c r="D358" s="467" t="n"/>
      <c r="E358" s="467" t="n"/>
      <c r="F358" s="467" t="n"/>
      <c r="G358" s="467" t="n"/>
      <c r="H358" s="298">
        <f>M357+Q357</f>
        <v/>
      </c>
      <c r="I358" s="298" t="inlineStr">
        <is>
          <t>….ชั่วโมง</t>
        </is>
      </c>
      <c r="J358" s="298" t="n"/>
      <c r="K358" s="301" t="inlineStr">
        <is>
          <t>ยอดเงินรวม</t>
        </is>
      </c>
      <c r="L358" s="471" t="n"/>
      <c r="M358" s="471" t="n"/>
      <c r="N358" s="301" t="n"/>
      <c r="O358" s="301" t="n"/>
      <c r="P358" s="302">
        <f>S357+O357</f>
        <v/>
      </c>
      <c r="Q358" s="482" t="n"/>
      <c r="R358" s="21" t="n"/>
      <c r="S358" s="20" t="inlineStr">
        <is>
          <t>..บาท</t>
        </is>
      </c>
    </row>
    <row r="359" ht="22.2" customHeight="1" s="330">
      <c r="A359" s="207" t="inlineStr">
        <is>
          <t>ผู้ขอเบิก</t>
        </is>
      </c>
      <c r="B359" s="334" t="n"/>
      <c r="C359" s="334" t="n"/>
      <c r="D359" s="334" t="n"/>
      <c r="E359" s="334" t="n"/>
      <c r="F359" s="334" t="n"/>
      <c r="G359" s="335" t="n"/>
      <c r="H359" s="207" t="inlineStr">
        <is>
          <t>ผู้รับรอง</t>
        </is>
      </c>
      <c r="I359" s="334" t="n"/>
      <c r="J359" s="334" t="n"/>
      <c r="K359" s="334" t="n"/>
      <c r="L359" s="335" t="n"/>
      <c r="M359" s="207" t="inlineStr">
        <is>
          <t>ผู้ตรวจ</t>
        </is>
      </c>
      <c r="N359" s="334" t="n"/>
      <c r="O359" s="334" t="n"/>
      <c r="P359" s="334" t="n"/>
      <c r="Q359" s="334" t="n"/>
      <c r="R359" s="334" t="n"/>
      <c r="S359" s="335" t="n"/>
    </row>
    <row r="360" ht="22.2" customHeight="1" s="330">
      <c r="A360" s="252" t="inlineStr">
        <is>
          <t>ลงชื่อ……………………………………………</t>
        </is>
      </c>
      <c r="G360" s="331" t="n"/>
      <c r="H360" s="252" t="inlineStr">
        <is>
          <t>ลงชื่อ……………………………………………</t>
        </is>
      </c>
      <c r="L360" s="331" t="n"/>
      <c r="M360" s="252" t="inlineStr">
        <is>
          <t>ลงชื่อ……………………………………………</t>
        </is>
      </c>
      <c r="S360" s="331" t="n"/>
    </row>
    <row r="361" ht="22.2" customHeight="1" s="330">
      <c r="A361" s="12" t="inlineStr">
        <is>
          <t>(</t>
        </is>
      </c>
      <c r="B361" s="309">
        <f>B329</f>
        <v/>
      </c>
      <c r="G361" s="310" t="inlineStr">
        <is>
          <t>)</t>
        </is>
      </c>
      <c r="H361" s="309" t="inlineStr">
        <is>
          <t>(</t>
        </is>
      </c>
      <c r="I361" s="314">
        <f>I315</f>
        <v/>
      </c>
      <c r="L361" s="13" t="inlineStr">
        <is>
          <t>)</t>
        </is>
      </c>
      <c r="M361" s="61" t="inlineStr">
        <is>
          <t>(</t>
        </is>
      </c>
      <c r="N361" s="61" t="n"/>
      <c r="O361" s="309" t="inlineStr">
        <is>
          <t>นายพิสุทธิศักดิ์  กล่อมนาค</t>
        </is>
      </c>
      <c r="R361" s="29" t="n"/>
      <c r="S361" s="310" t="inlineStr">
        <is>
          <t>)</t>
        </is>
      </c>
    </row>
    <row r="362" ht="22.2" customHeight="1" s="330">
      <c r="A362" s="483" t="inlineStr">
        <is>
          <t xml:space="preserve">                    ตำแหน่ง  ครู</t>
        </is>
      </c>
      <c r="G362" s="331" t="n"/>
      <c r="H362" s="62" t="inlineStr">
        <is>
          <t>ตำแหน่ง หัวหน้าแผนก</t>
        </is>
      </c>
      <c r="L362" s="331" t="n"/>
      <c r="M362" s="62" t="inlineStr">
        <is>
          <t>ตำแหน่ง   ผู้ตรวจสอบ</t>
        </is>
      </c>
      <c r="S362" s="331" t="n"/>
    </row>
    <row r="363" ht="22.2" customHeight="1" s="330">
      <c r="A363" s="63">
        <f>A41</f>
        <v/>
      </c>
      <c r="B363" s="471" t="n"/>
      <c r="C363" s="471" t="n"/>
      <c r="D363" s="471" t="n"/>
      <c r="E363" s="471" t="n"/>
      <c r="F363" s="471" t="n"/>
      <c r="G363" s="476" t="n"/>
      <c r="H363" s="62">
        <f>A41</f>
        <v/>
      </c>
      <c r="L363" s="331" t="n"/>
      <c r="M363" s="63">
        <f>A41</f>
        <v/>
      </c>
      <c r="N363" s="471" t="n"/>
      <c r="O363" s="471" t="n"/>
      <c r="P363" s="471" t="n"/>
      <c r="Q363" s="471" t="n"/>
      <c r="R363" s="471" t="n"/>
      <c r="S363" s="476" t="n"/>
    </row>
    <row r="364" ht="22.2" customHeight="1" s="330">
      <c r="A364" s="207" t="inlineStr">
        <is>
          <t>ผู้ตรวจ</t>
        </is>
      </c>
      <c r="B364" s="334" t="n"/>
      <c r="C364" s="334" t="n"/>
      <c r="D364" s="334" t="n"/>
      <c r="E364" s="334" t="n"/>
      <c r="F364" s="334" t="n"/>
      <c r="G364" s="334" t="n"/>
      <c r="H364" s="334" t="n"/>
      <c r="I364" s="335" t="n"/>
      <c r="J364" s="207" t="inlineStr">
        <is>
          <t>ผู้เห็นชอบ</t>
        </is>
      </c>
      <c r="K364" s="334" t="n"/>
      <c r="L364" s="334" t="n"/>
      <c r="M364" s="334" t="n"/>
      <c r="N364" s="334" t="n"/>
      <c r="O364" s="334" t="n"/>
      <c r="P364" s="334" t="n"/>
      <c r="Q364" s="334" t="n"/>
      <c r="R364" s="334" t="n"/>
      <c r="S364" s="335" t="n"/>
    </row>
    <row r="365" ht="22.2" customHeight="1" s="330">
      <c r="A365" s="252" t="inlineStr">
        <is>
          <t>ลงชื่อ……………………………………………</t>
        </is>
      </c>
      <c r="I365" s="331" t="n"/>
      <c r="J365" s="252" t="inlineStr">
        <is>
          <t>ลงชื่อ……………………………………………</t>
        </is>
      </c>
      <c r="S365" s="331" t="n"/>
    </row>
    <row r="366" ht="22.2" customHeight="1" s="330">
      <c r="A366" s="12" t="n"/>
      <c r="B366" s="309" t="inlineStr">
        <is>
          <t xml:space="preserve">          (นางศิวรักษ์   บุญประเสริฐ)</t>
        </is>
      </c>
      <c r="I366" s="310" t="n"/>
      <c r="J366" s="29" t="n"/>
      <c r="K366" s="29" t="n"/>
      <c r="L366" s="309" t="inlineStr">
        <is>
          <t>(นายปรีชา  โพธิ์เกิด)</t>
        </is>
      </c>
      <c r="R366" s="29" t="n"/>
      <c r="S366" s="13" t="n"/>
    </row>
    <row r="367" ht="22.2" customHeight="1" s="330">
      <c r="A367" s="62" t="inlineStr">
        <is>
          <t>ตำแหน่งครู  หัวหน้างานพัฒนาหลักสูตร ฯ</t>
        </is>
      </c>
      <c r="I367" s="331" t="n"/>
      <c r="J367" s="62" t="inlineStr">
        <is>
          <t>ตำแหน่ง  รองผู้อำนวยการฝ่ายวิชาการ</t>
        </is>
      </c>
      <c r="S367" s="331" t="n"/>
    </row>
    <row r="368" ht="22.2" customHeight="1" s="330">
      <c r="A368" s="63">
        <f>A41</f>
        <v/>
      </c>
      <c r="B368" s="471" t="n"/>
      <c r="C368" s="471" t="n"/>
      <c r="D368" s="471" t="n"/>
      <c r="E368" s="471" t="n"/>
      <c r="F368" s="471" t="n"/>
      <c r="G368" s="471" t="n"/>
      <c r="H368" s="471" t="n"/>
      <c r="I368" s="476" t="n"/>
      <c r="J368" s="63">
        <f>A41</f>
        <v/>
      </c>
      <c r="K368" s="471" t="n"/>
      <c r="L368" s="471" t="n"/>
      <c r="M368" s="471" t="n"/>
      <c r="N368" s="471" t="n"/>
      <c r="O368" s="471" t="n"/>
      <c r="P368" s="471" t="n"/>
      <c r="Q368" s="471" t="n"/>
      <c r="R368" s="471" t="n"/>
      <c r="S368" s="476" t="n"/>
    </row>
    <row r="369" ht="22.2" customHeight="1" s="330">
      <c r="A369" s="333" t="inlineStr">
        <is>
          <t>ใบเบิกจ่ายเงินค่าสอนพิเศษและค่าสอนเกินภาระงานสอนในสถานศึกษา</t>
        </is>
      </c>
      <c r="B369" s="334" t="n"/>
      <c r="C369" s="334" t="n"/>
      <c r="D369" s="334" t="n"/>
      <c r="E369" s="334" t="n"/>
      <c r="F369" s="334" t="n"/>
      <c r="G369" s="334" t="n"/>
      <c r="H369" s="334" t="n"/>
      <c r="I369" s="334" t="n"/>
      <c r="J369" s="334" t="n"/>
      <c r="K369" s="334" t="n"/>
      <c r="L369" s="334" t="n"/>
      <c r="M369" s="334" t="n"/>
      <c r="N369" s="334" t="n"/>
      <c r="O369" s="334" t="n"/>
      <c r="P369" s="334" t="n"/>
      <c r="Q369" s="334" t="n"/>
      <c r="R369" s="334" t="n"/>
      <c r="S369" s="334" t="n"/>
    </row>
    <row r="370" ht="22.2" customHeight="1" s="330">
      <c r="A370" s="254">
        <f>A2</f>
        <v/>
      </c>
    </row>
    <row r="371" ht="22.2" customHeight="1" s="330">
      <c r="A371" s="253" t="inlineStr">
        <is>
          <t xml:space="preserve">    ระหว่างวันที่</t>
        </is>
      </c>
      <c r="D371" s="254">
        <f>D3</f>
        <v/>
      </c>
      <c r="E371" s="254" t="inlineStr">
        <is>
          <t xml:space="preserve">   เดือน  </t>
        </is>
      </c>
      <c r="F371" s="254">
        <f>F3</f>
        <v/>
      </c>
      <c r="H371" s="254">
        <f>H3</f>
        <v/>
      </c>
      <c r="I371" s="254" t="inlineStr">
        <is>
          <t xml:space="preserve">     ถึง วันที่</t>
        </is>
      </c>
      <c r="J371" s="254">
        <f>J3</f>
        <v/>
      </c>
      <c r="K371" s="254" t="inlineStr">
        <is>
          <t xml:space="preserve">   เดือน </t>
        </is>
      </c>
      <c r="L371" s="254">
        <f>L3</f>
        <v/>
      </c>
      <c r="N371" s="254">
        <f>N3</f>
        <v/>
      </c>
      <c r="P371" s="254" t="n"/>
      <c r="R371" s="254" t="n"/>
    </row>
    <row r="372" ht="22.2" customHeight="1" s="330">
      <c r="G372" s="58" t="inlineStr">
        <is>
          <t>ü</t>
        </is>
      </c>
      <c r="H372" s="290" t="inlineStr">
        <is>
          <t>ครู</t>
        </is>
      </c>
      <c r="I372" s="249" t="inlineStr">
        <is>
          <t>หน้าที่พิเศษ</t>
        </is>
      </c>
      <c r="J372" s="290" t="inlineStr">
        <is>
          <t>หัวหน้างานทวิภาคี</t>
        </is>
      </c>
    </row>
    <row r="373" ht="22.2" customHeight="1" s="330">
      <c r="A373" s="28" t="inlineStr">
        <is>
          <t>ที่</t>
        </is>
      </c>
      <c r="B373" s="28" t="inlineStr">
        <is>
          <t>ชื่อ-สกุล</t>
        </is>
      </c>
      <c r="C373" s="334" t="n"/>
      <c r="D373" s="335" t="n"/>
      <c r="E373" s="16" t="inlineStr">
        <is>
          <t>ตำแหน่ง</t>
        </is>
      </c>
      <c r="F373" s="17" t="inlineStr">
        <is>
          <t>ระยะเวลาที่สอน</t>
        </is>
      </c>
      <c r="G373" s="362" t="n"/>
      <c r="H373" s="17" t="inlineStr">
        <is>
          <t>รหัสวิชา</t>
        </is>
      </c>
      <c r="I373" s="275" t="inlineStr">
        <is>
          <t>ชั้น,แผนก,ห้อง</t>
        </is>
      </c>
      <c r="J373" s="17" t="inlineStr">
        <is>
          <t>เวลาสอน</t>
        </is>
      </c>
      <c r="K373" s="335" t="n"/>
      <c r="L373" s="17" t="inlineStr">
        <is>
          <t>ปวช.(คาบ)</t>
        </is>
      </c>
      <c r="M373" s="362" t="n"/>
      <c r="N373" s="244" t="inlineStr">
        <is>
          <t>เงิน</t>
        </is>
      </c>
      <c r="O373" s="275" t="inlineStr">
        <is>
          <t>ยอดเงิน</t>
        </is>
      </c>
      <c r="P373" s="473" t="inlineStr">
        <is>
          <t>ปวส.(คาบ)</t>
        </is>
      </c>
      <c r="Q373" s="362" t="n"/>
      <c r="R373" s="244" t="inlineStr">
        <is>
          <t>เงิน</t>
        </is>
      </c>
      <c r="S373" s="275" t="inlineStr">
        <is>
          <t>ยอดเงิน</t>
        </is>
      </c>
    </row>
    <row r="374" ht="22.2" customHeight="1" s="330">
      <c r="A374" s="60" t="n"/>
      <c r="B374" s="9" t="n"/>
      <c r="C374" s="10" t="n"/>
      <c r="D374" s="14" t="n"/>
      <c r="E374" s="11" t="n"/>
      <c r="F374" s="276" t="inlineStr">
        <is>
          <t>ส.</t>
        </is>
      </c>
      <c r="G374" s="276" t="inlineStr">
        <is>
          <t>วดป.</t>
        </is>
      </c>
      <c r="H374" s="474" t="n"/>
      <c r="I374" s="159" t="n"/>
      <c r="J374" s="475" t="n"/>
      <c r="K374" s="476" t="n"/>
      <c r="L374" s="276" t="inlineStr">
        <is>
          <t>ใน</t>
        </is>
      </c>
      <c r="M374" s="276" t="inlineStr">
        <is>
          <t>นอก</t>
        </is>
      </c>
      <c r="N374" s="276" t="inlineStr">
        <is>
          <t>ต่อ ชม.</t>
        </is>
      </c>
      <c r="O374" s="276" t="inlineStr">
        <is>
          <t>(บาท)</t>
        </is>
      </c>
      <c r="P374" s="60" t="inlineStr">
        <is>
          <t>ใน</t>
        </is>
      </c>
      <c r="Q374" s="60" t="inlineStr">
        <is>
          <t>นอก</t>
        </is>
      </c>
      <c r="R374" s="276" t="inlineStr">
        <is>
          <t>ต่อ ชม.</t>
        </is>
      </c>
      <c r="S374" s="276" t="inlineStr">
        <is>
          <t>(บาท)</t>
        </is>
      </c>
    </row>
    <row r="375" ht="22.2" customHeight="1" s="330">
      <c r="A375" s="252" t="n">
        <v>9</v>
      </c>
      <c r="B375" s="478">
        <f>AB11</f>
        <v/>
      </c>
      <c r="D375" s="331" t="n"/>
      <c r="E375" s="252" t="inlineStr">
        <is>
          <t>ครู</t>
        </is>
      </c>
      <c r="F375" s="252">
        <f>F7</f>
        <v/>
      </c>
      <c r="G375" s="303" t="inlineStr">
        <is>
          <t>จันทร์</t>
        </is>
      </c>
      <c r="H375" s="332" t="inlineStr">
        <is>
          <t>20101-2010</t>
        </is>
      </c>
      <c r="I375" s="325" t="inlineStr">
        <is>
          <t>ปวช.2/1 ชย. (ปกติ)</t>
        </is>
      </c>
      <c r="J375" s="332" t="inlineStr">
        <is>
          <t>08.10-12.10</t>
        </is>
      </c>
      <c r="K375" s="335" t="n"/>
      <c r="L375" s="332" t="n"/>
      <c r="M375" s="156" t="n"/>
      <c r="N375" s="335" t="n"/>
      <c r="O375" s="244">
        <f>M375*N375</f>
        <v/>
      </c>
      <c r="P375" s="156" t="n"/>
      <c r="Q375" s="156" t="n"/>
      <c r="R375" s="156" t="n"/>
      <c r="S375" s="244">
        <f>Q375*R375</f>
        <v/>
      </c>
    </row>
    <row r="376" ht="22.2" customHeight="1" s="330">
      <c r="A376" s="4" t="n"/>
      <c r="B376" s="478" t="n"/>
      <c r="D376" s="331" t="n"/>
      <c r="E376" s="252" t="n"/>
      <c r="F376" s="249" t="n"/>
      <c r="G376" s="308">
        <f>G330</f>
        <v/>
      </c>
      <c r="H376" s="325" t="n"/>
      <c r="I376" s="325" t="n"/>
      <c r="J376" s="325" t="n"/>
      <c r="K376" s="331" t="n"/>
      <c r="L376" s="325" t="n"/>
      <c r="M376" s="252" t="n"/>
      <c r="N376" s="250" t="n"/>
      <c r="O376" s="244">
        <f>M376*N376</f>
        <v/>
      </c>
      <c r="P376" s="252" t="n"/>
      <c r="Q376" s="252" t="n"/>
      <c r="R376" s="252" t="n"/>
      <c r="S376" s="244">
        <f>Q376*R376</f>
        <v/>
      </c>
    </row>
    <row r="377" ht="22.2" customHeight="1" s="330">
      <c r="A377" s="4" t="n"/>
      <c r="B377" s="5" t="n"/>
      <c r="D377" s="3" t="n"/>
      <c r="E377" s="3" t="n"/>
      <c r="F377" s="249" t="n"/>
      <c r="G377" s="248" t="n"/>
      <c r="H377" s="252" t="n"/>
      <c r="I377" s="252" t="n"/>
      <c r="J377" s="252" t="n"/>
      <c r="K377" s="331" t="n"/>
      <c r="L377" s="252" t="n"/>
      <c r="M377" s="252" t="n"/>
      <c r="N377" s="252" t="n"/>
      <c r="O377" s="244">
        <f>M377*N377</f>
        <v/>
      </c>
      <c r="P377" s="252" t="n"/>
      <c r="Q377" s="252" t="n"/>
      <c r="R377" s="252" t="n"/>
      <c r="S377" s="244">
        <f>Q377*R377</f>
        <v/>
      </c>
    </row>
    <row r="378" ht="22.2" customHeight="1" s="330">
      <c r="A378" s="4" t="n"/>
      <c r="D378" s="3" t="n"/>
      <c r="E378" s="3" t="n"/>
      <c r="F378" s="249" t="n"/>
      <c r="G378" s="248" t="n"/>
      <c r="H378" s="252" t="n"/>
      <c r="I378" s="252" t="n"/>
      <c r="J378" s="252" t="n"/>
      <c r="K378" s="331" t="n"/>
      <c r="L378" s="252" t="n"/>
      <c r="M378" s="252" t="n"/>
      <c r="N378" s="252" t="n"/>
      <c r="O378" s="244">
        <f>M378*N378</f>
        <v/>
      </c>
      <c r="P378" s="252" t="n"/>
      <c r="Q378" s="252" t="n"/>
      <c r="R378" s="252" t="n"/>
      <c r="S378" s="244">
        <f>Q378*R378</f>
        <v/>
      </c>
    </row>
    <row r="379" ht="22.2" customHeight="1" s="330">
      <c r="A379" s="4" t="n"/>
      <c r="E379" s="4" t="n"/>
      <c r="G379" s="311" t="n"/>
      <c r="H379" s="276" t="n"/>
      <c r="I379" s="276" t="n"/>
      <c r="J379" s="276" t="n"/>
      <c r="K379" s="476" t="n"/>
      <c r="L379" s="276" t="n"/>
      <c r="M379" s="252" t="n"/>
      <c r="N379" s="252" t="n"/>
      <c r="O379" s="244">
        <f>M379*N379</f>
        <v/>
      </c>
      <c r="P379" s="252" t="n"/>
      <c r="Q379" s="252" t="n"/>
      <c r="R379" s="252" t="n"/>
      <c r="S379" s="244">
        <f>Q379*R379</f>
        <v/>
      </c>
    </row>
    <row r="380" ht="22.2" customHeight="1" s="330">
      <c r="A380" s="4" t="n"/>
      <c r="E380" s="4" t="n"/>
      <c r="G380" s="62" t="inlineStr">
        <is>
          <t>อังคาร</t>
        </is>
      </c>
      <c r="H380" s="332" t="inlineStr">
        <is>
          <t>20101-2102</t>
        </is>
      </c>
      <c r="I380" s="332" t="inlineStr">
        <is>
          <t>ปวช.1/5 ชย. (ปกติ)</t>
        </is>
      </c>
      <c r="J380" s="332" t="inlineStr">
        <is>
          <t>08.10-12.10</t>
        </is>
      </c>
      <c r="K380" s="335" t="n"/>
      <c r="L380" s="265" t="n"/>
      <c r="M380" s="332" t="n"/>
      <c r="N380" s="332" t="n"/>
      <c r="O380" s="244">
        <f>M380*N380</f>
        <v/>
      </c>
      <c r="P380" s="332" t="n"/>
      <c r="Q380" s="265" t="n"/>
      <c r="R380" s="332" t="n"/>
      <c r="S380" s="244">
        <f>Q380*R380</f>
        <v/>
      </c>
    </row>
    <row r="381" ht="22.2" customHeight="1" s="330">
      <c r="A381" s="4" t="n"/>
      <c r="E381" s="4" t="n"/>
      <c r="G381" s="308">
        <f>G335</f>
        <v/>
      </c>
      <c r="H381" s="325" t="inlineStr">
        <is>
          <t>20101-2102</t>
        </is>
      </c>
      <c r="I381" s="325" t="inlineStr">
        <is>
          <t>ปวช.1/5 ชย. (ปกติ)</t>
        </is>
      </c>
      <c r="J381" s="325" t="inlineStr">
        <is>
          <t>13.10-16.10</t>
        </is>
      </c>
      <c r="K381" s="331" t="n"/>
      <c r="L381" s="252" t="n"/>
      <c r="M381" s="252" t="n"/>
      <c r="N381" s="252" t="n"/>
      <c r="O381" s="244">
        <f>M381*N381</f>
        <v/>
      </c>
      <c r="P381" s="252" t="n"/>
      <c r="Q381" s="252" t="n"/>
      <c r="R381" s="252" t="n"/>
      <c r="S381" s="244">
        <f>Q381*R381</f>
        <v/>
      </c>
    </row>
    <row r="382" ht="22.2" customHeight="1" s="330">
      <c r="A382" s="4" t="n"/>
      <c r="B382" s="5" t="n"/>
      <c r="D382" s="3" t="n"/>
      <c r="E382" s="3" t="n"/>
      <c r="G382" s="252" t="n"/>
      <c r="H382" s="252" t="n"/>
      <c r="I382" s="252" t="n"/>
      <c r="J382" s="252" t="n"/>
      <c r="K382" s="331" t="n"/>
      <c r="L382" s="252" t="n"/>
      <c r="M382" s="252" t="n"/>
      <c r="N382" s="252" t="n"/>
      <c r="O382" s="244">
        <f>M382*N382</f>
        <v/>
      </c>
      <c r="P382" s="252" t="n"/>
      <c r="Q382" s="252" t="n"/>
      <c r="R382" s="252" t="n"/>
      <c r="S382" s="244">
        <f>Q382*R382</f>
        <v/>
      </c>
    </row>
    <row r="383" ht="22.2" customHeight="1" s="330">
      <c r="A383" s="4" t="n"/>
      <c r="D383" s="3" t="n"/>
      <c r="E383" s="3" t="n"/>
      <c r="G383" s="252" t="n"/>
      <c r="H383" s="249" t="n"/>
      <c r="I383" s="252" t="n"/>
      <c r="J383" s="252" t="n"/>
      <c r="K383" s="331" t="n"/>
      <c r="L383" s="252" t="n"/>
      <c r="M383" s="252" t="n"/>
      <c r="N383" s="252" t="n"/>
      <c r="O383" s="244">
        <f>M383*N383</f>
        <v/>
      </c>
      <c r="P383" s="252" t="n"/>
      <c r="Q383" s="252" t="n"/>
      <c r="R383" s="252" t="n"/>
      <c r="S383" s="244">
        <f>Q383*R383</f>
        <v/>
      </c>
    </row>
    <row r="384" ht="22.2" customHeight="1" s="330">
      <c r="A384" s="4" t="n"/>
      <c r="D384" s="3" t="inlineStr">
        <is>
          <t> </t>
        </is>
      </c>
      <c r="E384" s="3" t="n"/>
      <c r="G384" s="63" t="n"/>
      <c r="H384" s="276" t="n"/>
      <c r="I384" s="276" t="n"/>
      <c r="J384" s="276" t="n"/>
      <c r="K384" s="476" t="n"/>
      <c r="L384" s="252" t="n"/>
      <c r="M384" s="276" t="n"/>
      <c r="N384" s="276" t="n"/>
      <c r="O384" s="244">
        <f>M384*N384</f>
        <v/>
      </c>
      <c r="P384" s="276" t="n"/>
      <c r="Q384" s="276" t="n"/>
      <c r="R384" s="276" t="n"/>
      <c r="S384" s="279">
        <f>Q384*R384</f>
        <v/>
      </c>
    </row>
    <row r="385" ht="22.2" customHeight="1" s="330">
      <c r="A385" s="4" t="n"/>
      <c r="B385" s="170" t="n"/>
      <c r="C385" s="171" t="n"/>
      <c r="D385" s="172" t="n"/>
      <c r="E385" s="173" t="n"/>
      <c r="G385" s="308" t="inlineStr">
        <is>
          <t>พุธ</t>
        </is>
      </c>
      <c r="H385" s="325" t="inlineStr">
        <is>
          <t>20101-2102</t>
        </is>
      </c>
      <c r="I385" s="325" t="inlineStr">
        <is>
          <t>ปวช.1/9 ชย. (ทวิ)</t>
        </is>
      </c>
      <c r="J385" s="332" t="inlineStr">
        <is>
          <t>08.10-12.10</t>
        </is>
      </c>
      <c r="K385" s="335" t="n"/>
      <c r="L385" s="332" t="n"/>
      <c r="M385" s="182" t="n"/>
      <c r="N385" s="179" t="n"/>
      <c r="O385" s="244">
        <f>M385*N385</f>
        <v/>
      </c>
      <c r="P385" s="156" t="n"/>
      <c r="Q385" s="335" t="n"/>
      <c r="R385" s="335" t="n"/>
      <c r="S385" s="279">
        <f>Q385*R385</f>
        <v/>
      </c>
      <c r="T385" s="7" t="n"/>
      <c r="U385" s="23" t="inlineStr">
        <is>
          <t>เบิก ธุรการ</t>
        </is>
      </c>
      <c r="V385" s="66" t="n"/>
      <c r="W385" s="22" t="n"/>
      <c r="X385" s="22" t="n"/>
    </row>
    <row r="386" ht="22.2" customHeight="1" s="330">
      <c r="A386" s="4" t="n"/>
      <c r="B386" s="248" t="n"/>
      <c r="C386" s="249" t="n"/>
      <c r="D386" s="250" t="n"/>
      <c r="E386" s="252" t="n"/>
      <c r="G386" s="308">
        <f>G340</f>
        <v/>
      </c>
      <c r="H386" s="325" t="inlineStr">
        <is>
          <t>20101-2102</t>
        </is>
      </c>
      <c r="I386" s="325" t="inlineStr">
        <is>
          <t>ปวช.1/9 ชย. (ทวิ)</t>
        </is>
      </c>
      <c r="J386" s="325" t="inlineStr">
        <is>
          <t>13.10-16.10</t>
        </is>
      </c>
      <c r="K386" s="331" t="n"/>
      <c r="L386" s="252" t="n"/>
      <c r="M386" s="211" t="n"/>
      <c r="N386" s="180" t="n"/>
      <c r="O386" s="244">
        <f>M386*N386</f>
        <v/>
      </c>
      <c r="P386" s="56" t="n"/>
      <c r="Q386" s="56" t="n"/>
      <c r="R386" s="331" t="n"/>
      <c r="S386" s="279">
        <f>Q386*R386</f>
        <v/>
      </c>
      <c r="T386" s="22" t="inlineStr">
        <is>
          <t> </t>
        </is>
      </c>
      <c r="U386" s="23" t="inlineStr">
        <is>
          <t>16.10-19.10</t>
        </is>
      </c>
      <c r="V386" s="66" t="n"/>
      <c r="W386" s="22" t="n"/>
      <c r="X386" s="22" t="n"/>
    </row>
    <row r="387" ht="22.2" customHeight="1" s="330">
      <c r="A387" s="4" t="n"/>
      <c r="B387" s="5" t="n"/>
      <c r="D387" s="3" t="n"/>
      <c r="E387" s="3" t="n"/>
      <c r="G387" s="252" t="n"/>
      <c r="H387" s="252" t="n"/>
      <c r="I387" s="252" t="n"/>
      <c r="J387" s="252" t="n"/>
      <c r="K387" s="331" t="n"/>
      <c r="L387" s="252" t="n"/>
      <c r="M387" s="252" t="n"/>
      <c r="N387" s="252" t="n"/>
      <c r="O387" s="275">
        <f>M387*N387</f>
        <v/>
      </c>
      <c r="P387" s="252" t="n"/>
      <c r="Q387" s="252" t="n"/>
      <c r="R387" s="252" t="n"/>
      <c r="S387" s="244">
        <f>Q387*R387</f>
        <v/>
      </c>
    </row>
    <row r="388" ht="22.2" customHeight="1" s="330">
      <c r="A388" s="4" t="n"/>
      <c r="D388" s="3" t="n"/>
      <c r="E388" s="3" t="n"/>
      <c r="G388" s="248" t="n"/>
      <c r="H388" s="248" t="n"/>
      <c r="I388" s="252" t="n"/>
      <c r="J388" s="252" t="n"/>
      <c r="K388" s="331" t="n"/>
      <c r="L388" s="252" t="n"/>
      <c r="M388" s="252" t="n"/>
      <c r="N388" s="252" t="n"/>
      <c r="O388" s="275">
        <f>M388*N388</f>
        <v/>
      </c>
      <c r="P388" s="252" t="n"/>
      <c r="Q388" s="252" t="n"/>
      <c r="R388" s="252" t="n"/>
      <c r="S388" s="244">
        <f>Q388*R388</f>
        <v/>
      </c>
    </row>
    <row r="389" ht="22.2" customHeight="1" s="330">
      <c r="A389" s="4" t="n"/>
      <c r="E389" s="4" t="n"/>
      <c r="G389" s="277" t="n"/>
      <c r="H389" s="277" t="n"/>
      <c r="I389" s="276" t="n"/>
      <c r="J389" s="276" t="n"/>
      <c r="K389" s="476" t="n"/>
      <c r="L389" s="276" t="n"/>
      <c r="M389" s="276" t="n"/>
      <c r="N389" s="276" t="n"/>
      <c r="O389" s="244">
        <f>M389*N389</f>
        <v/>
      </c>
      <c r="P389" s="276" t="n"/>
      <c r="Q389" s="276" t="n"/>
      <c r="R389" s="276" t="n"/>
      <c r="S389" s="244">
        <f>Q389*R389</f>
        <v/>
      </c>
    </row>
    <row r="390" ht="22.2" customHeight="1" s="330">
      <c r="A390" s="4" t="n"/>
      <c r="E390" s="4" t="n"/>
      <c r="G390" s="62" t="inlineStr">
        <is>
          <t>พฤหัส</t>
        </is>
      </c>
      <c r="H390" s="325" t="inlineStr">
        <is>
          <t>20000-2004</t>
        </is>
      </c>
      <c r="I390" s="332" t="inlineStr">
        <is>
          <t>ปวช.2/7,8 ชย. (ปกติ)</t>
        </is>
      </c>
      <c r="J390" s="325" t="inlineStr">
        <is>
          <t>13.10-15.10</t>
        </is>
      </c>
      <c r="K390" s="331" t="n"/>
      <c r="L390" s="265" t="n"/>
      <c r="M390" s="332" t="n"/>
      <c r="N390" s="325" t="n"/>
      <c r="O390" s="244">
        <f>M390*N390</f>
        <v/>
      </c>
      <c r="P390" s="252" t="n"/>
      <c r="Q390" s="275" t="n"/>
      <c r="R390" s="275" t="n"/>
      <c r="S390" s="244">
        <f>Q390*R390</f>
        <v/>
      </c>
      <c r="T390" s="24" t="n"/>
      <c r="U390" s="24" t="inlineStr">
        <is>
          <t>สอน ป.ตรี</t>
        </is>
      </c>
      <c r="V390" s="65" t="n"/>
      <c r="W390" s="24" t="n"/>
      <c r="X390" s="24" t="n"/>
    </row>
    <row r="391" ht="22.2" customHeight="1" s="330">
      <c r="A391" s="4" t="n"/>
      <c r="E391" s="4" t="n"/>
      <c r="G391" s="62">
        <f>G345</f>
        <v/>
      </c>
      <c r="H391" s="325" t="n"/>
      <c r="I391" s="325" t="n"/>
      <c r="J391" s="325" t="n"/>
      <c r="K391" s="331" t="n"/>
      <c r="L391" s="325" t="n"/>
      <c r="M391" s="56" t="n"/>
      <c r="N391" s="331" t="n"/>
      <c r="O391" s="244">
        <f>M391*N391</f>
        <v/>
      </c>
      <c r="P391" s="252" t="n"/>
      <c r="Q391" s="252" t="n"/>
      <c r="R391" s="252" t="n"/>
      <c r="S391" s="244">
        <f>Q391*R391</f>
        <v/>
      </c>
      <c r="T391" s="24" t="n"/>
      <c r="U391" s="24" t="inlineStr">
        <is>
          <t>17.10-21.10</t>
        </is>
      </c>
      <c r="V391" s="65" t="n"/>
      <c r="W391" s="24" t="n"/>
      <c r="X391" s="24" t="n"/>
    </row>
    <row r="392" ht="22.2" customHeight="1" s="330">
      <c r="A392" s="4" t="n"/>
      <c r="B392" s="5" t="n"/>
      <c r="E392" s="4" t="n"/>
      <c r="G392" s="252" t="n"/>
      <c r="H392" s="325" t="n"/>
      <c r="I392" s="325" t="n"/>
      <c r="J392" s="325" t="n"/>
      <c r="K392" s="331" t="n"/>
      <c r="L392" s="325" t="n"/>
      <c r="M392" s="325" t="n"/>
      <c r="N392" s="286" t="n"/>
      <c r="O392" s="244">
        <f>M392*N392</f>
        <v/>
      </c>
      <c r="P392" s="325" t="n"/>
      <c r="Q392" s="286" t="n"/>
      <c r="R392" s="325" t="n"/>
      <c r="S392" s="244">
        <f>Q392*R392</f>
        <v/>
      </c>
    </row>
    <row r="393" ht="22.2" customHeight="1" s="330">
      <c r="A393" s="4" t="n"/>
      <c r="E393" s="4" t="n"/>
      <c r="G393" s="252" t="n"/>
      <c r="H393" s="72" t="n"/>
      <c r="I393" s="325" t="n"/>
      <c r="J393" s="325" t="n"/>
      <c r="K393" s="331" t="n"/>
      <c r="L393" s="325" t="n"/>
      <c r="M393" s="325" t="n"/>
      <c r="N393" s="286" t="n"/>
      <c r="O393" s="244">
        <f>M393*N393</f>
        <v/>
      </c>
      <c r="P393" s="325" t="n"/>
      <c r="Q393" s="286" t="n"/>
      <c r="R393" s="325" t="n"/>
      <c r="S393" s="244">
        <f>Q393*R393</f>
        <v/>
      </c>
    </row>
    <row r="394" ht="22.2" customHeight="1" s="330">
      <c r="A394" s="4" t="n"/>
      <c r="E394" s="4" t="n"/>
      <c r="G394" s="276" t="n"/>
      <c r="H394" s="301" t="n"/>
      <c r="I394" s="276" t="n"/>
      <c r="J394" s="276" t="n"/>
      <c r="K394" s="476" t="n"/>
      <c r="L394" s="276" t="n"/>
      <c r="M394" s="276" t="n"/>
      <c r="N394" s="276" t="n"/>
      <c r="O394" s="244">
        <f>M394*N394</f>
        <v/>
      </c>
      <c r="P394" s="276" t="n"/>
      <c r="Q394" s="276" t="n"/>
      <c r="R394" s="276" t="n"/>
      <c r="S394" s="244">
        <f>Q394*R394</f>
        <v/>
      </c>
    </row>
    <row r="395" ht="22.2" customHeight="1" s="330">
      <c r="A395" s="4" t="n"/>
      <c r="E395" s="4" t="n"/>
      <c r="G395" s="62" t="inlineStr">
        <is>
          <t>ศุกร์</t>
        </is>
      </c>
      <c r="H395" s="325" t="inlineStr">
        <is>
          <t>20101-2102</t>
        </is>
      </c>
      <c r="I395" s="325" t="inlineStr">
        <is>
          <t>ปวช.1/7 ชย. (ปกติ)</t>
        </is>
      </c>
      <c r="J395" s="332" t="inlineStr">
        <is>
          <t>08.10-12.10</t>
        </is>
      </c>
      <c r="K395" s="335" t="n"/>
      <c r="L395" s="252" t="n"/>
      <c r="M395" s="252" t="n"/>
      <c r="N395" s="252" t="n"/>
      <c r="O395" s="244">
        <f>M395*N395</f>
        <v/>
      </c>
      <c r="P395" s="332" t="n"/>
      <c r="Q395" s="265" t="n"/>
      <c r="R395" s="332" t="n"/>
      <c r="S395" s="244">
        <f>Q395*R395</f>
        <v/>
      </c>
    </row>
    <row r="396" ht="22.2" customHeight="1" s="330">
      <c r="A396" s="4" t="n"/>
      <c r="E396" s="4" t="n"/>
      <c r="G396" s="62">
        <f>G350</f>
        <v/>
      </c>
      <c r="H396" s="325" t="inlineStr">
        <is>
          <t>20101-2102</t>
        </is>
      </c>
      <c r="I396" s="325" t="inlineStr">
        <is>
          <t>ปวช.1/7 ชย. (ปกติ)</t>
        </is>
      </c>
      <c r="J396" s="325" t="inlineStr">
        <is>
          <t>13.10-16.10</t>
        </is>
      </c>
      <c r="K396" s="331" t="n"/>
      <c r="L396" s="252" t="n"/>
      <c r="M396" s="252" t="n"/>
      <c r="N396" s="252" t="n"/>
      <c r="O396" s="244">
        <f>M396*N396</f>
        <v/>
      </c>
      <c r="P396" s="252" t="n"/>
      <c r="Q396" s="252" t="n"/>
      <c r="R396" s="252" t="n"/>
      <c r="S396" s="244">
        <f>Q396*R396</f>
        <v/>
      </c>
    </row>
    <row r="397" ht="22.2" customHeight="1" s="330">
      <c r="A397" s="4" t="n"/>
      <c r="E397" s="4" t="n"/>
      <c r="G397" s="252" t="n"/>
      <c r="H397" s="252" t="n"/>
      <c r="I397" s="252" t="n"/>
      <c r="J397" s="252" t="n"/>
      <c r="K397" s="331" t="n"/>
      <c r="L397" s="252" t="n"/>
      <c r="M397" s="252" t="n"/>
      <c r="N397" s="252" t="n"/>
      <c r="O397" s="244">
        <f>M397*N397</f>
        <v/>
      </c>
      <c r="P397" s="252" t="n"/>
      <c r="Q397" s="252" t="n"/>
      <c r="R397" s="252" t="n"/>
      <c r="S397" s="244">
        <f>Q397*R397</f>
        <v/>
      </c>
    </row>
    <row r="398" ht="22.2" customHeight="1" s="330">
      <c r="A398" s="4" t="n"/>
      <c r="E398" s="4" t="n"/>
      <c r="F398" s="4" t="n"/>
      <c r="G398" s="250" t="n"/>
      <c r="H398" s="249" t="n"/>
      <c r="I398" s="252" t="n"/>
      <c r="J398" s="252" t="n"/>
      <c r="K398" s="331" t="n"/>
      <c r="L398" s="252" t="n"/>
      <c r="M398" s="252" t="n"/>
      <c r="N398" s="252" t="n"/>
      <c r="O398" s="244">
        <f>M398*N398</f>
        <v/>
      </c>
      <c r="P398" s="252" t="n"/>
      <c r="Q398" s="252" t="n"/>
      <c r="R398" s="252" t="n"/>
      <c r="S398" s="244">
        <f>Q398*R398</f>
        <v/>
      </c>
    </row>
    <row r="399" ht="22.2" customHeight="1" s="330">
      <c r="A399" s="4" t="n"/>
      <c r="E399" s="4" t="n"/>
      <c r="F399" s="4" t="n"/>
      <c r="G399" s="278" t="n"/>
      <c r="H399" s="301" t="n"/>
      <c r="I399" s="276" t="n"/>
      <c r="J399" s="276" t="n"/>
      <c r="K399" s="476" t="n"/>
      <c r="L399" s="276" t="n"/>
      <c r="M399" s="276" t="n"/>
      <c r="N399" s="276" t="n"/>
      <c r="O399" s="244">
        <f>M399*N399</f>
        <v/>
      </c>
      <c r="P399" s="276" t="n"/>
      <c r="Q399" s="276" t="n"/>
      <c r="R399" s="276" t="n"/>
      <c r="S399" s="244">
        <f>Q399*R399</f>
        <v/>
      </c>
    </row>
    <row r="400" ht="22.2" customHeight="1" s="330">
      <c r="A400" s="4" t="n"/>
      <c r="E400" s="4" t="n"/>
      <c r="F400" s="4" t="n"/>
      <c r="G400" s="17" t="inlineStr">
        <is>
          <t>รวมขั่วโมงที่สอนแยก ภาระงาน/ เกินภาระงาน</t>
        </is>
      </c>
      <c r="H400" s="467" t="n"/>
      <c r="I400" s="467" t="n"/>
      <c r="J400" s="467" t="n"/>
      <c r="K400" s="362" t="n"/>
      <c r="L400" s="17">
        <f>SUM(L375:L399)</f>
        <v/>
      </c>
      <c r="M400" s="17">
        <f>SUM(M375:M399)</f>
        <v/>
      </c>
      <c r="N400" s="17" t="n"/>
      <c r="O400" s="17" t="n"/>
      <c r="P400" s="17">
        <f>SUM(P375:P399)</f>
        <v/>
      </c>
      <c r="Q400" s="17">
        <f>SUM(Q375:Q399)</f>
        <v/>
      </c>
      <c r="R400" s="279" t="n"/>
      <c r="S400" s="17" t="n"/>
      <c r="T400" s="25" t="n"/>
      <c r="U400" s="26" t="inlineStr">
        <is>
          <t xml:space="preserve">     PLC</t>
        </is>
      </c>
      <c r="V400" s="64" t="n"/>
      <c r="W400" s="27" t="n"/>
      <c r="X400" s="27" t="n"/>
    </row>
    <row r="401" ht="22.2" customHeight="1" s="330">
      <c r="A401" s="4" t="n"/>
      <c r="E401" s="4" t="n"/>
      <c r="F401" s="4" t="n"/>
      <c r="G401" s="17" t="inlineStr">
        <is>
          <t>รวมจำนวนชั่วโมงสอนคาบต่อสับดาห์</t>
        </is>
      </c>
      <c r="H401" s="467" t="n"/>
      <c r="I401" s="467" t="n"/>
      <c r="J401" s="467" t="n"/>
      <c r="K401" s="362" t="n"/>
      <c r="L401" s="17">
        <f>L400+M400</f>
        <v/>
      </c>
      <c r="M401" s="362" t="n"/>
      <c r="N401" s="298" t="n"/>
      <c r="O401" s="17" t="n"/>
      <c r="P401" s="17">
        <f>P400+Q400</f>
        <v/>
      </c>
      <c r="Q401" s="362" t="n"/>
      <c r="R401" s="278" t="n"/>
      <c r="S401" s="276" t="n"/>
      <c r="T401" s="27" t="inlineStr">
        <is>
          <t> </t>
        </is>
      </c>
      <c r="U401" s="26" t="inlineStr">
        <is>
          <t>17.10-19.10</t>
        </is>
      </c>
      <c r="V401" s="64" t="n"/>
      <c r="W401" s="27" t="n"/>
      <c r="X401" s="27" t="n"/>
    </row>
    <row r="402" ht="22.2" customHeight="1" s="330">
      <c r="A402" s="4" t="n"/>
      <c r="E402" s="4" t="n"/>
      <c r="F402" s="4" t="n"/>
      <c r="G402" s="17" t="inlineStr">
        <is>
          <t>จำนวนชั่วโมงสอนตามภาระงานสอน</t>
        </is>
      </c>
      <c r="H402" s="467" t="n"/>
      <c r="I402" s="467" t="n"/>
      <c r="J402" s="467" t="n"/>
      <c r="K402" s="362" t="n"/>
      <c r="L402" s="153" t="inlineStr">
        <is>
          <t>12</t>
        </is>
      </c>
      <c r="M402" s="362" t="n"/>
      <c r="N402" s="17" t="n"/>
      <c r="O402" s="298" t="n"/>
      <c r="P402" s="153" t="inlineStr">
        <is>
          <t>0</t>
        </is>
      </c>
      <c r="Q402" s="362" t="n"/>
      <c r="R402" s="249" t="n"/>
      <c r="S402" s="252" t="n"/>
    </row>
    <row r="403" ht="22.2" customHeight="1" s="330" thickBot="1">
      <c r="A403" s="4" t="n"/>
      <c r="E403" s="4" t="n"/>
      <c r="F403" s="15" t="n"/>
      <c r="G403" s="17" t="inlineStr">
        <is>
          <t>จำนวนชั่วโมงบิกเกินภาระงานสอน/ค่าสอน</t>
        </is>
      </c>
      <c r="H403" s="467" t="n"/>
      <c r="I403" s="467" t="n"/>
      <c r="J403" s="467" t="n"/>
      <c r="K403" s="362" t="n"/>
      <c r="L403" s="18" t="n">
        <v>0</v>
      </c>
      <c r="M403" s="18">
        <f>SUM(M375:M399)</f>
        <v/>
      </c>
      <c r="N403" s="18" t="n"/>
      <c r="O403" s="18">
        <f>SUM(O375:O399)</f>
        <v/>
      </c>
      <c r="P403" s="18" t="n">
        <v>0</v>
      </c>
      <c r="Q403" s="18">
        <f>SUM(Q375:Q399)</f>
        <v/>
      </c>
      <c r="R403" s="19" t="n"/>
      <c r="S403" s="18">
        <f>SUM(S375:S399)</f>
        <v/>
      </c>
    </row>
    <row r="404" ht="22.2" customHeight="1" s="330" thickTop="1">
      <c r="A404" s="299" t="inlineStr">
        <is>
          <t>รวมจำนวนหน่วยชั่วโมงที่ขอเบิกค่าสอน ….</t>
        </is>
      </c>
      <c r="B404" s="467" t="n"/>
      <c r="C404" s="467" t="n"/>
      <c r="D404" s="467" t="n"/>
      <c r="E404" s="467" t="n"/>
      <c r="F404" s="467" t="n"/>
      <c r="G404" s="467" t="n"/>
      <c r="H404" s="298">
        <f>M403+Q403</f>
        <v/>
      </c>
      <c r="I404" s="298" t="inlineStr">
        <is>
          <t>….ชั่วโมง</t>
        </is>
      </c>
      <c r="J404" s="298" t="n"/>
      <c r="K404" s="301" t="inlineStr">
        <is>
          <t>ยอดเงินรวม</t>
        </is>
      </c>
      <c r="L404" s="471" t="n"/>
      <c r="M404" s="471" t="n"/>
      <c r="N404" s="301" t="n"/>
      <c r="O404" s="301" t="n"/>
      <c r="P404" s="302">
        <f>S403+O403</f>
        <v/>
      </c>
      <c r="Q404" s="482" t="n"/>
      <c r="R404" s="21" t="n"/>
      <c r="S404" s="20" t="inlineStr">
        <is>
          <t>..บาท</t>
        </is>
      </c>
    </row>
    <row r="405" ht="22.2" customHeight="1" s="330">
      <c r="A405" s="207" t="inlineStr">
        <is>
          <t>ผู้ขอเบิก</t>
        </is>
      </c>
      <c r="B405" s="334" t="n"/>
      <c r="C405" s="334" t="n"/>
      <c r="D405" s="334" t="n"/>
      <c r="E405" s="334" t="n"/>
      <c r="F405" s="334" t="n"/>
      <c r="G405" s="335" t="n"/>
      <c r="H405" s="207" t="inlineStr">
        <is>
          <t>ผู้รับรอง</t>
        </is>
      </c>
      <c r="I405" s="334" t="n"/>
      <c r="J405" s="334" t="n"/>
      <c r="K405" s="334" t="n"/>
      <c r="L405" s="335" t="n"/>
      <c r="M405" s="207" t="inlineStr">
        <is>
          <t>ผู้ตรวจ</t>
        </is>
      </c>
      <c r="N405" s="334" t="n"/>
      <c r="O405" s="334" t="n"/>
      <c r="P405" s="334" t="n"/>
      <c r="Q405" s="334" t="n"/>
      <c r="R405" s="334" t="n"/>
      <c r="S405" s="335" t="n"/>
    </row>
    <row r="406" ht="22.2" customHeight="1" s="330">
      <c r="A406" s="252" t="inlineStr">
        <is>
          <t>ลงชื่อ……………………………………………</t>
        </is>
      </c>
      <c r="G406" s="331" t="n"/>
      <c r="H406" s="252" t="inlineStr">
        <is>
          <t>ลงชื่อ……………………………………………</t>
        </is>
      </c>
      <c r="L406" s="331" t="n"/>
      <c r="M406" s="252" t="inlineStr">
        <is>
          <t>ลงชื่อ……………………………………………</t>
        </is>
      </c>
      <c r="S406" s="331" t="n"/>
    </row>
    <row r="407" ht="22.2" customHeight="1" s="330">
      <c r="A407" s="12" t="inlineStr">
        <is>
          <t>(</t>
        </is>
      </c>
      <c r="B407" s="309">
        <f>B375</f>
        <v/>
      </c>
      <c r="G407" s="310" t="inlineStr">
        <is>
          <t>)</t>
        </is>
      </c>
      <c r="H407" s="309" t="inlineStr">
        <is>
          <t>(</t>
        </is>
      </c>
      <c r="I407" s="314">
        <f>I361</f>
        <v/>
      </c>
      <c r="L407" s="13" t="inlineStr">
        <is>
          <t>)</t>
        </is>
      </c>
      <c r="M407" s="61" t="inlineStr">
        <is>
          <t>(</t>
        </is>
      </c>
      <c r="N407" s="61" t="n"/>
      <c r="O407" s="309" t="inlineStr">
        <is>
          <t>นายพิสุทธิศักดิ์  กล่อมนาค</t>
        </is>
      </c>
      <c r="R407" s="29" t="n"/>
      <c r="S407" s="310" t="inlineStr">
        <is>
          <t>)</t>
        </is>
      </c>
    </row>
    <row r="408" ht="22.2" customHeight="1" s="330">
      <c r="A408" s="483" t="inlineStr">
        <is>
          <t xml:space="preserve">                 ตำแหน่ง  ครู</t>
        </is>
      </c>
      <c r="G408" s="331" t="n"/>
      <c r="H408" s="62" t="inlineStr">
        <is>
          <t>ตำแหน่ง หัวหน้าแผนก</t>
        </is>
      </c>
      <c r="L408" s="331" t="n"/>
      <c r="M408" s="62" t="inlineStr">
        <is>
          <t>ตำแหน่ง   ผู้ตรวจสอบ</t>
        </is>
      </c>
      <c r="S408" s="331" t="n"/>
    </row>
    <row r="409" ht="22.2" customHeight="1" s="330">
      <c r="A409" s="63">
        <f>A41</f>
        <v/>
      </c>
      <c r="B409" s="471" t="n"/>
      <c r="C409" s="471" t="n"/>
      <c r="D409" s="471" t="n"/>
      <c r="E409" s="471" t="n"/>
      <c r="F409" s="471" t="n"/>
      <c r="G409" s="476" t="n"/>
      <c r="H409" s="62">
        <f>A41</f>
        <v/>
      </c>
      <c r="L409" s="331" t="n"/>
      <c r="M409" s="63">
        <f>A41</f>
        <v/>
      </c>
      <c r="N409" s="471" t="n"/>
      <c r="O409" s="471" t="n"/>
      <c r="P409" s="471" t="n"/>
      <c r="Q409" s="471" t="n"/>
      <c r="R409" s="471" t="n"/>
      <c r="S409" s="476" t="n"/>
    </row>
    <row r="410" ht="22.2" customHeight="1" s="330">
      <c r="A410" s="207" t="inlineStr">
        <is>
          <t>ผู้ตรวจ</t>
        </is>
      </c>
      <c r="B410" s="334" t="n"/>
      <c r="C410" s="334" t="n"/>
      <c r="D410" s="334" t="n"/>
      <c r="E410" s="334" t="n"/>
      <c r="F410" s="334" t="n"/>
      <c r="G410" s="334" t="n"/>
      <c r="H410" s="334" t="n"/>
      <c r="I410" s="335" t="n"/>
      <c r="J410" s="207" t="inlineStr">
        <is>
          <t>ผู้เห็นชอบ</t>
        </is>
      </c>
      <c r="K410" s="334" t="n"/>
      <c r="L410" s="334" t="n"/>
      <c r="M410" s="334" t="n"/>
      <c r="N410" s="334" t="n"/>
      <c r="O410" s="334" t="n"/>
      <c r="P410" s="334" t="n"/>
      <c r="Q410" s="334" t="n"/>
      <c r="R410" s="334" t="n"/>
      <c r="S410" s="335" t="n"/>
    </row>
    <row r="411" ht="22.2" customHeight="1" s="330">
      <c r="A411" s="252" t="inlineStr">
        <is>
          <t>ลงชื่อ……………………………………………</t>
        </is>
      </c>
      <c r="I411" s="331" t="n"/>
      <c r="J411" s="252" t="inlineStr">
        <is>
          <t>ลงชื่อ……………………………………………</t>
        </is>
      </c>
      <c r="S411" s="331" t="n"/>
    </row>
    <row r="412" ht="22.2" customHeight="1" s="330">
      <c r="A412" s="12" t="n"/>
      <c r="B412" s="309" t="inlineStr">
        <is>
          <t xml:space="preserve">          (นางศิวรักษ์   บุญประเสริฐ)</t>
        </is>
      </c>
      <c r="I412" s="310" t="n"/>
      <c r="J412" s="29" t="n"/>
      <c r="K412" s="29" t="n"/>
      <c r="L412" s="309" t="inlineStr">
        <is>
          <t>(นายปรีชา  โพธิ์เกิด)</t>
        </is>
      </c>
      <c r="R412" s="29" t="n"/>
      <c r="S412" s="13" t="n"/>
    </row>
    <row r="413" ht="22.2" customHeight="1" s="330">
      <c r="A413" s="62" t="inlineStr">
        <is>
          <t>ตำแหน่งครู  หัวหน้างานพัฒนาหลักสูตร ฯ</t>
        </is>
      </c>
      <c r="I413" s="331" t="n"/>
      <c r="J413" s="62" t="inlineStr">
        <is>
          <t>ตำแหน่ง  รองผู้อำนวยการฝ่ายวิชาการ</t>
        </is>
      </c>
      <c r="S413" s="331" t="n"/>
    </row>
    <row r="414" ht="22.2" customHeight="1" s="330">
      <c r="A414" s="63">
        <f>A41</f>
        <v/>
      </c>
      <c r="B414" s="471" t="n"/>
      <c r="C414" s="471" t="n"/>
      <c r="D414" s="471" t="n"/>
      <c r="E414" s="471" t="n"/>
      <c r="F414" s="471" t="n"/>
      <c r="G414" s="471" t="n"/>
      <c r="H414" s="471" t="n"/>
      <c r="I414" s="476" t="n"/>
      <c r="J414" s="63">
        <f>A41</f>
        <v/>
      </c>
      <c r="K414" s="471" t="n"/>
      <c r="L414" s="471" t="n"/>
      <c r="M414" s="471" t="n"/>
      <c r="N414" s="471" t="n"/>
      <c r="O414" s="471" t="n"/>
      <c r="P414" s="471" t="n"/>
      <c r="Q414" s="471" t="n"/>
      <c r="R414" s="471" t="n"/>
      <c r="S414" s="476" t="n"/>
    </row>
    <row r="415" ht="22.2" customHeight="1" s="330">
      <c r="A41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416" ht="22.2" customHeight="1" s="330">
      <c r="A416" s="254">
        <f>A2</f>
        <v/>
      </c>
    </row>
    <row r="417" ht="22.2" customHeight="1" s="330">
      <c r="A417" s="253" t="inlineStr">
        <is>
          <t xml:space="preserve">    ระหว่างวันที่</t>
        </is>
      </c>
      <c r="D417" s="254">
        <f>D3</f>
        <v/>
      </c>
      <c r="E417" s="254" t="inlineStr">
        <is>
          <t xml:space="preserve">   เดือน  </t>
        </is>
      </c>
      <c r="F417" s="254">
        <f>F3</f>
        <v/>
      </c>
      <c r="H417" s="254">
        <f>H3</f>
        <v/>
      </c>
      <c r="I417" s="254" t="inlineStr">
        <is>
          <t xml:space="preserve">     ถึง วันที่</t>
        </is>
      </c>
      <c r="J417" s="254">
        <f>J3</f>
        <v/>
      </c>
      <c r="K417" s="254" t="inlineStr">
        <is>
          <t xml:space="preserve">   เดือน </t>
        </is>
      </c>
      <c r="L417" s="254">
        <f>L3</f>
        <v/>
      </c>
      <c r="N417" s="254">
        <f>N3</f>
        <v/>
      </c>
      <c r="P417" s="254" t="n"/>
      <c r="R417" s="254" t="n"/>
    </row>
    <row r="418" ht="22.2" customHeight="1" s="330">
      <c r="G418" s="58" t="inlineStr">
        <is>
          <t>ü</t>
        </is>
      </c>
      <c r="H418" s="290" t="inlineStr">
        <is>
          <t>ครู</t>
        </is>
      </c>
      <c r="I418" s="249" t="inlineStr">
        <is>
          <t>หน้าที่พิเศษ</t>
        </is>
      </c>
      <c r="J418" s="8" t="inlineStr">
        <is>
          <t>หัวหน้างานความร่วมมือ</t>
        </is>
      </c>
    </row>
    <row r="419" ht="22.2" customHeight="1" s="330">
      <c r="A419" s="28" t="inlineStr">
        <is>
          <t>ที่</t>
        </is>
      </c>
      <c r="B419" s="28" t="inlineStr">
        <is>
          <t>ชื่อ-สกุล</t>
        </is>
      </c>
      <c r="C419" s="334" t="n"/>
      <c r="D419" s="335" t="n"/>
      <c r="E419" s="16" t="inlineStr">
        <is>
          <t>ตำแหน่ง</t>
        </is>
      </c>
      <c r="F419" s="17" t="inlineStr">
        <is>
          <t>ระยะเวลาที่สอน</t>
        </is>
      </c>
      <c r="G419" s="362" t="n"/>
      <c r="H419" s="17" t="inlineStr">
        <is>
          <t>รหัสวิชา</t>
        </is>
      </c>
      <c r="I419" s="275" t="inlineStr">
        <is>
          <t>ชั้น,แผนก,ห้อง</t>
        </is>
      </c>
      <c r="J419" s="17" t="inlineStr">
        <is>
          <t>เวลาสอน</t>
        </is>
      </c>
      <c r="K419" s="335" t="n"/>
      <c r="L419" s="17" t="inlineStr">
        <is>
          <t>ปวช.(คาบ)</t>
        </is>
      </c>
      <c r="M419" s="362" t="n"/>
      <c r="N419" s="244" t="inlineStr">
        <is>
          <t>เงิน</t>
        </is>
      </c>
      <c r="O419" s="275" t="inlineStr">
        <is>
          <t>ยอดเงิน</t>
        </is>
      </c>
      <c r="P419" s="473" t="inlineStr">
        <is>
          <t>ปวส.(คาบ)</t>
        </is>
      </c>
      <c r="Q419" s="362" t="n"/>
      <c r="R419" s="244" t="inlineStr">
        <is>
          <t>เงิน</t>
        </is>
      </c>
      <c r="S419" s="275" t="inlineStr">
        <is>
          <t>ยอดเงิน</t>
        </is>
      </c>
    </row>
    <row r="420" ht="22.2" customHeight="1" s="330">
      <c r="A420" s="60" t="n"/>
      <c r="B420" s="9" t="n"/>
      <c r="C420" s="10" t="n"/>
      <c r="D420" s="14" t="n"/>
      <c r="E420" s="11" t="n"/>
      <c r="F420" s="276" t="inlineStr">
        <is>
          <t>ส.</t>
        </is>
      </c>
      <c r="G420" s="276" t="inlineStr">
        <is>
          <t>วดป.</t>
        </is>
      </c>
      <c r="H420" s="474" t="n"/>
      <c r="I420" s="276" t="n"/>
      <c r="J420" s="475" t="n"/>
      <c r="K420" s="476" t="n"/>
      <c r="L420" s="276" t="inlineStr">
        <is>
          <t>ใน</t>
        </is>
      </c>
      <c r="M420" s="276" t="inlineStr">
        <is>
          <t>นอก</t>
        </is>
      </c>
      <c r="N420" s="276" t="inlineStr">
        <is>
          <t>ต่อ ชม.</t>
        </is>
      </c>
      <c r="O420" s="276" t="inlineStr">
        <is>
          <t>(บาท)</t>
        </is>
      </c>
      <c r="P420" s="60" t="inlineStr">
        <is>
          <t>ใน</t>
        </is>
      </c>
      <c r="Q420" s="60" t="inlineStr">
        <is>
          <t>นอก</t>
        </is>
      </c>
      <c r="R420" s="276" t="inlineStr">
        <is>
          <t>ต่อ ชม.</t>
        </is>
      </c>
      <c r="S420" s="276" t="inlineStr">
        <is>
          <t>(บาท)</t>
        </is>
      </c>
    </row>
    <row r="421" ht="22.2" customHeight="1" s="330">
      <c r="A421" s="275" t="n">
        <v>10</v>
      </c>
      <c r="B421" s="477">
        <f>AB12</f>
        <v/>
      </c>
      <c r="C421" s="334" t="n"/>
      <c r="D421" s="335" t="n"/>
      <c r="E421" s="275" t="inlineStr">
        <is>
          <t>ครู</t>
        </is>
      </c>
      <c r="F421" s="6">
        <f>F7</f>
        <v/>
      </c>
      <c r="G421" s="303" t="inlineStr">
        <is>
          <t>จันทร์</t>
        </is>
      </c>
      <c r="H421" s="325" t="inlineStr">
        <is>
          <t>20101-2105</t>
        </is>
      </c>
      <c r="I421" s="325" t="inlineStr">
        <is>
          <t>ปวช.2/2 ชย. (ปกติ)</t>
        </is>
      </c>
      <c r="J421" s="332" t="inlineStr">
        <is>
          <t>08.10-12.10</t>
        </is>
      </c>
      <c r="K421" s="335" t="n"/>
      <c r="L421" s="265" t="n"/>
      <c r="M421" s="332" t="n"/>
      <c r="N421" s="332" t="n"/>
      <c r="O421" s="244">
        <f>M421*N421</f>
        <v/>
      </c>
      <c r="P421" s="332" t="n"/>
      <c r="Q421" s="265" t="n"/>
      <c r="R421" s="332" t="n"/>
      <c r="S421" s="244">
        <f>Q421*R421</f>
        <v/>
      </c>
    </row>
    <row r="422" ht="22.2" customHeight="1" s="330">
      <c r="A422" s="4" t="n"/>
      <c r="B422" s="5" t="n"/>
      <c r="D422" s="3" t="n"/>
      <c r="E422" s="51" t="n"/>
      <c r="F422" s="249" t="n"/>
      <c r="G422" s="308">
        <f>G376</f>
        <v/>
      </c>
      <c r="H422" s="325" t="inlineStr">
        <is>
          <t>20101-2105</t>
        </is>
      </c>
      <c r="I422" s="325" t="inlineStr">
        <is>
          <t>ปวช.2/1 ชย. (ปกติ)</t>
        </is>
      </c>
      <c r="J422" s="252" t="inlineStr">
        <is>
          <t>13.10-17.10</t>
        </is>
      </c>
      <c r="K422" s="331" t="n"/>
      <c r="L422" s="252" t="n"/>
      <c r="M422" s="252" t="n"/>
      <c r="N422" s="252" t="n"/>
      <c r="O422" s="244">
        <f>M422*N422</f>
        <v/>
      </c>
      <c r="P422" s="252" t="n"/>
      <c r="Q422" s="252" t="n"/>
      <c r="R422" s="252" t="n"/>
      <c r="S422" s="244">
        <f>Q422*R422</f>
        <v/>
      </c>
    </row>
    <row r="423" ht="22.2" customHeight="1" s="330">
      <c r="A423" s="4" t="n"/>
      <c r="E423" s="4" t="n"/>
      <c r="F423" s="249" t="n"/>
      <c r="G423" s="248" t="n"/>
      <c r="H423" s="252" t="n"/>
      <c r="I423" s="252" t="n"/>
      <c r="J423" s="252" t="n"/>
      <c r="K423" s="331" t="n"/>
      <c r="L423" s="252" t="n"/>
      <c r="M423" s="252" t="n"/>
      <c r="N423" s="252" t="n"/>
      <c r="O423" s="244">
        <f>M423*N423</f>
        <v/>
      </c>
      <c r="P423" s="252" t="n"/>
      <c r="Q423" s="252" t="n"/>
      <c r="R423" s="252" t="n"/>
      <c r="S423" s="244">
        <f>Q423*R423</f>
        <v/>
      </c>
    </row>
    <row r="424" ht="22.2" customHeight="1" s="330">
      <c r="A424" s="4" t="n"/>
      <c r="D424" s="8" t="inlineStr">
        <is>
          <t> </t>
        </is>
      </c>
      <c r="E424" s="4" t="n"/>
      <c r="F424" s="249" t="n"/>
      <c r="G424" s="248" t="n"/>
      <c r="H424" s="252" t="n"/>
      <c r="I424" s="252" t="n"/>
      <c r="J424" s="252" t="n"/>
      <c r="K424" s="331" t="n"/>
      <c r="L424" s="252" t="n"/>
      <c r="M424" s="252" t="n"/>
      <c r="N424" s="252" t="n"/>
      <c r="O424" s="244">
        <f>M424*N424</f>
        <v/>
      </c>
      <c r="P424" s="252" t="n"/>
      <c r="Q424" s="252" t="n"/>
      <c r="R424" s="252" t="n"/>
      <c r="S424" s="244">
        <f>Q424*R424</f>
        <v/>
      </c>
    </row>
    <row r="425" ht="22.2" customHeight="1" s="330">
      <c r="A425" s="4" t="n"/>
      <c r="E425" s="4" t="n"/>
      <c r="G425" s="311" t="n"/>
      <c r="H425" s="276" t="n"/>
      <c r="I425" s="276" t="n"/>
      <c r="J425" s="276" t="n"/>
      <c r="K425" s="476" t="n"/>
      <c r="L425" s="252" t="n"/>
      <c r="M425" s="252" t="n"/>
      <c r="N425" s="252" t="n"/>
      <c r="O425" s="244">
        <f>M425*N425</f>
        <v/>
      </c>
      <c r="P425" s="252" t="n"/>
      <c r="Q425" s="252" t="n"/>
      <c r="R425" s="252" t="n"/>
      <c r="S425" s="244">
        <f>Q425*R425</f>
        <v/>
      </c>
    </row>
    <row r="426" ht="22.2" customHeight="1" s="330">
      <c r="A426" s="4" t="n"/>
      <c r="B426" s="248" t="n"/>
      <c r="C426" s="249" t="n"/>
      <c r="D426" s="249" t="n"/>
      <c r="E426" s="252" t="n"/>
      <c r="G426" s="62" t="inlineStr">
        <is>
          <t>อังคาร</t>
        </is>
      </c>
      <c r="H426" s="325" t="inlineStr">
        <is>
          <t>20101-2105</t>
        </is>
      </c>
      <c r="I426" s="325" t="inlineStr">
        <is>
          <t>ปวช.2/3 ชย. (ปกติ)</t>
        </is>
      </c>
      <c r="J426" s="252" t="inlineStr">
        <is>
          <t>13.10-17.10</t>
        </is>
      </c>
      <c r="K426" s="331" t="n"/>
      <c r="L426" s="265" t="n"/>
      <c r="M426" s="332" t="n"/>
      <c r="N426" s="332" t="n"/>
      <c r="O426" s="244">
        <f>M426*N426</f>
        <v/>
      </c>
      <c r="P426" s="332" t="n"/>
      <c r="Q426" s="265" t="n"/>
      <c r="R426" s="332" t="n"/>
      <c r="S426" s="244">
        <f>Q426*R426</f>
        <v/>
      </c>
    </row>
    <row r="427" ht="22.2" customHeight="1" s="330">
      <c r="A427" s="4" t="n"/>
      <c r="B427" s="5" t="n"/>
      <c r="D427" s="3" t="n"/>
      <c r="E427" s="3" t="n"/>
      <c r="G427" s="308">
        <f>G381</f>
        <v/>
      </c>
      <c r="H427" s="325" t="n"/>
      <c r="I427" s="325" t="n"/>
      <c r="J427" s="252" t="n"/>
      <c r="K427" s="331" t="n"/>
      <c r="L427" s="252" t="n"/>
      <c r="M427" s="252" t="n"/>
      <c r="N427" s="252" t="n"/>
      <c r="O427" s="244">
        <f>M427*N427</f>
        <v/>
      </c>
      <c r="P427" s="252" t="n"/>
      <c r="Q427" s="252" t="n"/>
      <c r="R427" s="252" t="n"/>
      <c r="S427" s="244">
        <f>Q427*R427</f>
        <v/>
      </c>
    </row>
    <row r="428" ht="22.2" customHeight="1" s="330">
      <c r="A428" s="4" t="n"/>
      <c r="B428" s="5" t="n"/>
      <c r="D428" s="3" t="n"/>
      <c r="E428" s="3" t="n"/>
      <c r="G428" s="252" t="n"/>
      <c r="H428" s="252" t="n"/>
      <c r="I428" s="252" t="n"/>
      <c r="J428" s="252" t="n"/>
      <c r="K428" s="331" t="n"/>
      <c r="L428" s="252" t="n"/>
      <c r="M428" s="252" t="n"/>
      <c r="N428" s="252" t="n"/>
      <c r="O428" s="244">
        <f>M428*N428</f>
        <v/>
      </c>
      <c r="P428" s="252" t="n"/>
      <c r="Q428" s="252" t="n"/>
      <c r="R428" s="252" t="n"/>
      <c r="S428" s="244">
        <f>Q428*R428</f>
        <v/>
      </c>
    </row>
    <row r="429" ht="22.2" customHeight="1" s="330">
      <c r="A429" s="4" t="n"/>
      <c r="E429" s="4" t="n"/>
      <c r="G429" s="62" t="n"/>
      <c r="H429" s="249" t="n"/>
      <c r="I429" s="252" t="n"/>
      <c r="J429" s="252" t="n"/>
      <c r="K429" s="331" t="n"/>
      <c r="L429" s="252" t="n"/>
      <c r="M429" s="252" t="n"/>
      <c r="N429" s="252" t="n"/>
      <c r="O429" s="244">
        <f>M429*N429</f>
        <v/>
      </c>
      <c r="P429" s="252" t="n"/>
      <c r="Q429" s="252" t="n"/>
      <c r="R429" s="252" t="n"/>
      <c r="S429" s="244">
        <f>Q429*R429</f>
        <v/>
      </c>
    </row>
    <row r="430" ht="22.2" customHeight="1" s="330">
      <c r="A430" s="4" t="n"/>
      <c r="D430" s="8" t="inlineStr">
        <is>
          <t> </t>
        </is>
      </c>
      <c r="E430" s="4" t="n"/>
      <c r="G430" s="63" t="n"/>
      <c r="H430" s="276" t="n"/>
      <c r="I430" s="276" t="n"/>
      <c r="J430" s="276" t="n"/>
      <c r="K430" s="476" t="n"/>
      <c r="L430" s="252" t="n"/>
      <c r="M430" s="252" t="n"/>
      <c r="N430" s="252" t="n"/>
      <c r="O430" s="244">
        <f>M430*N430</f>
        <v/>
      </c>
      <c r="P430" s="252" t="n"/>
      <c r="Q430" s="252" t="n"/>
      <c r="R430" s="252" t="n"/>
      <c r="S430" s="244">
        <f>Q430*R430</f>
        <v/>
      </c>
    </row>
    <row r="431" ht="22.2" customHeight="1" s="330">
      <c r="A431" s="4" t="n"/>
      <c r="E431" s="4" t="n"/>
      <c r="G431" s="308" t="inlineStr">
        <is>
          <t>พุธ</t>
        </is>
      </c>
      <c r="H431" s="325" t="inlineStr">
        <is>
          <t>20101-2105</t>
        </is>
      </c>
      <c r="I431" s="325" t="inlineStr">
        <is>
          <t>ปวช.3/10 ชย. (ทวิ)</t>
        </is>
      </c>
      <c r="J431" s="332" t="inlineStr">
        <is>
          <t>08.10-12.10</t>
        </is>
      </c>
      <c r="K431" s="335" t="n"/>
      <c r="L431" s="265" t="n"/>
      <c r="M431" s="332" t="n"/>
      <c r="N431" s="332" t="n"/>
      <c r="O431" s="244">
        <f>M431*N431</f>
        <v/>
      </c>
      <c r="P431" s="332" t="n"/>
      <c r="Q431" s="265" t="n"/>
      <c r="R431" s="332" t="n"/>
      <c r="S431" s="244">
        <f>Q431*R431</f>
        <v/>
      </c>
    </row>
    <row r="432" ht="22.2" customHeight="1" s="330">
      <c r="A432" s="4" t="n"/>
      <c r="B432" s="248" t="n"/>
      <c r="C432" s="249" t="n"/>
      <c r="D432" s="249" t="n"/>
      <c r="E432" s="252" t="n"/>
      <c r="G432" s="308">
        <f>G386</f>
        <v/>
      </c>
      <c r="H432" s="325" t="inlineStr">
        <is>
          <t>20101-2105</t>
        </is>
      </c>
      <c r="I432" s="325" t="inlineStr">
        <is>
          <t>ปวช.3/9 ชย. (ทวิ)</t>
        </is>
      </c>
      <c r="J432" s="252" t="inlineStr">
        <is>
          <t>13.10-17.10</t>
        </is>
      </c>
      <c r="K432" s="331" t="n"/>
      <c r="L432" s="252" t="n"/>
      <c r="M432" s="252" t="n"/>
      <c r="N432" s="252" t="n"/>
      <c r="O432" s="244">
        <f>M432*N432</f>
        <v/>
      </c>
      <c r="P432" s="252" t="n"/>
      <c r="Q432" s="252" t="n"/>
      <c r="R432" s="252" t="n"/>
      <c r="S432" s="244">
        <f>Q432*R432</f>
        <v/>
      </c>
    </row>
    <row r="433" ht="22.2" customHeight="1" s="330">
      <c r="A433" s="4" t="n"/>
      <c r="B433" s="5" t="n"/>
      <c r="D433" s="3" t="n"/>
      <c r="E433" s="3" t="n"/>
      <c r="G433" s="252" t="n"/>
      <c r="H433" s="252" t="n"/>
      <c r="I433" s="252" t="n"/>
      <c r="J433" s="252" t="n"/>
      <c r="K433" s="331" t="n"/>
      <c r="L433" s="252" t="n"/>
      <c r="M433" s="252" t="n"/>
      <c r="N433" s="252" t="n"/>
      <c r="O433" s="244">
        <f>M433*N433</f>
        <v/>
      </c>
      <c r="P433" s="252" t="n"/>
      <c r="Q433" s="252" t="n"/>
      <c r="R433" s="252" t="n"/>
      <c r="S433" s="244">
        <f>Q433*R433</f>
        <v/>
      </c>
    </row>
    <row r="434" ht="22.2" customHeight="1" s="330">
      <c r="A434" s="4" t="n"/>
      <c r="E434" s="4" t="n"/>
      <c r="G434" s="248" t="n"/>
      <c r="H434" s="248" t="n"/>
      <c r="I434" s="252" t="n"/>
      <c r="J434" s="252" t="n"/>
      <c r="K434" s="331" t="n"/>
      <c r="L434" s="252" t="n"/>
      <c r="M434" s="252" t="n"/>
      <c r="N434" s="252" t="n"/>
      <c r="O434" s="244">
        <f>M434*N434</f>
        <v/>
      </c>
      <c r="P434" s="252" t="n"/>
      <c r="Q434" s="252" t="n"/>
      <c r="R434" s="252" t="n"/>
      <c r="S434" s="244">
        <f>Q434*R434</f>
        <v/>
      </c>
    </row>
    <row r="435" ht="22.2" customHeight="1" s="330">
      <c r="A435" s="4" t="n"/>
      <c r="E435" s="4" t="n"/>
      <c r="G435" s="277" t="n"/>
      <c r="H435" s="277" t="n"/>
      <c r="I435" s="276" t="n"/>
      <c r="J435" s="276" t="n"/>
      <c r="K435" s="476" t="n"/>
      <c r="L435" s="276" t="n"/>
      <c r="M435" s="276" t="n"/>
      <c r="N435" s="276" t="n"/>
      <c r="O435" s="244">
        <f>M435*N435</f>
        <v/>
      </c>
      <c r="P435" s="276" t="n"/>
      <c r="Q435" s="276" t="n"/>
      <c r="R435" s="276" t="n"/>
      <c r="S435" s="244">
        <f>Q435*R435</f>
        <v/>
      </c>
    </row>
    <row r="436" ht="22.2" customHeight="1" s="330">
      <c r="A436" s="4" t="n"/>
      <c r="E436" s="4" t="n"/>
      <c r="G436" s="62" t="inlineStr">
        <is>
          <t>พฤหัส</t>
        </is>
      </c>
      <c r="H436" s="325" t="inlineStr">
        <is>
          <t>20101-5103</t>
        </is>
      </c>
      <c r="I436" s="325" t="inlineStr">
        <is>
          <t>ปวช.2/9 ชย. (ทวิ)</t>
        </is>
      </c>
      <c r="J436" s="332" t="inlineStr">
        <is>
          <t>08.10-12.10</t>
        </is>
      </c>
      <c r="K436" s="335" t="n"/>
      <c r="L436" s="265" t="n"/>
      <c r="M436" s="332" t="n"/>
      <c r="N436" s="325" t="n"/>
      <c r="O436" s="244">
        <f>M436*N436</f>
        <v/>
      </c>
      <c r="P436" s="209" t="n"/>
      <c r="Q436" s="209" t="n"/>
      <c r="R436" s="209" t="n"/>
      <c r="S436" s="244">
        <f>Q436*R436</f>
        <v/>
      </c>
      <c r="T436" s="7" t="n"/>
      <c r="U436" s="23" t="inlineStr">
        <is>
          <t>เบิก ธุรการ</t>
        </is>
      </c>
      <c r="V436" s="66" t="n"/>
      <c r="W436" s="22" t="n"/>
      <c r="X436" s="22" t="n"/>
    </row>
    <row r="437" ht="22.2" customHeight="1" s="330">
      <c r="A437" s="4" t="n"/>
      <c r="E437" s="4" t="n"/>
      <c r="G437" s="308">
        <f>G391</f>
        <v/>
      </c>
      <c r="H437" s="325" t="inlineStr">
        <is>
          <t>20101-5103</t>
        </is>
      </c>
      <c r="I437" s="325" t="inlineStr">
        <is>
          <t>ปวช.2/9 ชย. (ทวิ)</t>
        </is>
      </c>
      <c r="J437" s="252" t="inlineStr">
        <is>
          <t>15.10-18.10</t>
        </is>
      </c>
      <c r="K437" s="331" t="n"/>
      <c r="L437" s="252" t="n"/>
      <c r="M437" s="252" t="n"/>
      <c r="N437" s="252" t="n"/>
      <c r="O437" s="244">
        <f>M437*N437</f>
        <v/>
      </c>
      <c r="P437" s="4" t="n"/>
      <c r="Q437" s="4" t="n"/>
      <c r="R437" s="4" t="n"/>
      <c r="S437" s="244">
        <f>Q437*R437</f>
        <v/>
      </c>
      <c r="T437" s="22" t="inlineStr">
        <is>
          <t> </t>
        </is>
      </c>
      <c r="U437" s="23" t="inlineStr">
        <is>
          <t>16.10-19.10</t>
        </is>
      </c>
      <c r="V437" s="66" t="n"/>
      <c r="W437" s="22" t="n"/>
      <c r="X437" s="22" t="n"/>
    </row>
    <row r="438" ht="22.2" customHeight="1" s="330">
      <c r="A438" s="4" t="n"/>
      <c r="B438" s="5" t="n"/>
      <c r="E438" s="4" t="n"/>
      <c r="G438" s="252" t="n"/>
      <c r="H438" s="325" t="n"/>
      <c r="I438" s="325" t="n"/>
      <c r="J438" s="252" t="n"/>
      <c r="K438" s="331" t="n"/>
      <c r="L438" s="252" t="n"/>
      <c r="M438" s="252" t="n"/>
      <c r="N438" s="252" t="n"/>
      <c r="O438" s="244">
        <f>M438*N438</f>
        <v/>
      </c>
      <c r="P438" s="325" t="n"/>
      <c r="Q438" s="325" t="n"/>
      <c r="R438" s="325" t="n"/>
      <c r="S438" s="244">
        <f>Q438*R438</f>
        <v/>
      </c>
    </row>
    <row r="439" ht="22.2" customHeight="1" s="330">
      <c r="A439" s="4" t="n"/>
      <c r="E439" s="4" t="n"/>
      <c r="G439" s="252" t="n"/>
      <c r="H439" s="252" t="n"/>
      <c r="I439" s="252" t="n"/>
      <c r="J439" s="252" t="n"/>
      <c r="K439" s="331" t="n"/>
      <c r="L439" s="252" t="n"/>
      <c r="M439" s="252" t="n"/>
      <c r="N439" s="252" t="n"/>
      <c r="O439" s="244">
        <f>M439*N439</f>
        <v/>
      </c>
      <c r="P439" s="252" t="n"/>
      <c r="Q439" s="252" t="n"/>
      <c r="R439" s="252" t="n"/>
      <c r="S439" s="244">
        <f>Q439*R439</f>
        <v/>
      </c>
    </row>
    <row r="440" ht="22.2" customHeight="1" s="330">
      <c r="A440" s="4" t="n"/>
      <c r="E440" s="4" t="n"/>
      <c r="G440" s="276" t="n"/>
      <c r="H440" s="301" t="n"/>
      <c r="I440" s="276" t="n"/>
      <c r="J440" s="276" t="n"/>
      <c r="K440" s="476" t="n"/>
      <c r="L440" s="276" t="n"/>
      <c r="M440" s="276" t="n"/>
      <c r="N440" s="276" t="n"/>
      <c r="O440" s="244">
        <f>M440*N440</f>
        <v/>
      </c>
      <c r="P440" s="276" t="n"/>
      <c r="Q440" s="276" t="n"/>
      <c r="R440" s="276" t="n"/>
      <c r="S440" s="244">
        <f>Q440*R440</f>
        <v/>
      </c>
    </row>
    <row r="441" ht="22.2" customHeight="1" s="330">
      <c r="A441" s="4" t="n"/>
      <c r="E441" s="4" t="n"/>
      <c r="G441" s="62" t="inlineStr">
        <is>
          <t>ศุกร์</t>
        </is>
      </c>
      <c r="H441" s="325" t="n"/>
      <c r="I441" s="325" t="n"/>
      <c r="J441" s="325" t="n"/>
      <c r="K441" s="331" t="n"/>
      <c r="L441" s="252" t="n"/>
      <c r="M441" s="332" t="n"/>
      <c r="N441" s="332" t="n"/>
      <c r="O441" s="244">
        <f>M441*N441</f>
        <v/>
      </c>
      <c r="P441" s="332" t="n"/>
      <c r="Q441" s="265" t="n"/>
      <c r="R441" s="332" t="n"/>
      <c r="S441" s="244">
        <f>Q441*R441</f>
        <v/>
      </c>
    </row>
    <row r="442" ht="22.2" customHeight="1" s="330">
      <c r="A442" s="4" t="n"/>
      <c r="E442" s="4" t="n"/>
      <c r="G442" s="308">
        <f>G396</f>
        <v/>
      </c>
      <c r="H442" s="325" t="n"/>
      <c r="I442" s="325" t="n"/>
      <c r="J442" s="325" t="n"/>
      <c r="K442" s="331" t="n"/>
      <c r="L442" s="252" t="n"/>
      <c r="M442" s="252" t="n"/>
      <c r="N442" s="252" t="n"/>
      <c r="O442" s="244">
        <f>M442*N442</f>
        <v/>
      </c>
      <c r="P442" s="252" t="n"/>
      <c r="Q442" s="252" t="n"/>
      <c r="R442" s="252" t="n"/>
      <c r="S442" s="244">
        <f>Q442*R442</f>
        <v/>
      </c>
    </row>
    <row r="443" ht="22.2" customHeight="1" s="330">
      <c r="A443" s="4" t="n"/>
      <c r="E443" s="4" t="n"/>
      <c r="G443" s="252" t="n"/>
      <c r="H443" s="252" t="n"/>
      <c r="I443" s="252" t="n"/>
      <c r="J443" s="252" t="n"/>
      <c r="K443" s="331" t="n"/>
      <c r="L443" s="252" t="n"/>
      <c r="M443" s="252" t="n"/>
      <c r="N443" s="252" t="n"/>
      <c r="O443" s="244">
        <f>M443*N443</f>
        <v/>
      </c>
      <c r="P443" s="252" t="n"/>
      <c r="Q443" s="252" t="n"/>
      <c r="R443" s="252" t="n"/>
      <c r="S443" s="244">
        <f>Q443*R443</f>
        <v/>
      </c>
    </row>
    <row r="444" ht="22.2" customHeight="1" s="330">
      <c r="A444" s="4" t="n"/>
      <c r="E444" s="4" t="n"/>
      <c r="G444" s="252" t="n"/>
      <c r="H444" s="249" t="inlineStr">
        <is>
          <t> </t>
        </is>
      </c>
      <c r="I444" s="252" t="n"/>
      <c r="J444" s="252" t="n"/>
      <c r="K444" s="331" t="n"/>
      <c r="L444" s="252" t="n"/>
      <c r="M444" s="252" t="n"/>
      <c r="N444" s="252" t="n"/>
      <c r="O444" s="244">
        <f>M444*N444</f>
        <v/>
      </c>
      <c r="P444" s="252" t="n"/>
      <c r="Q444" s="252" t="n"/>
      <c r="R444" s="252" t="n"/>
      <c r="S444" s="244">
        <f>Q444*R444</f>
        <v/>
      </c>
    </row>
    <row r="445" ht="22.2" customHeight="1" s="330">
      <c r="A445" s="4" t="n"/>
      <c r="E445" s="4" t="n"/>
      <c r="F445" s="4" t="n"/>
      <c r="G445" s="278" t="n"/>
      <c r="H445" s="301" t="n"/>
      <c r="I445" s="276" t="n"/>
      <c r="J445" s="276" t="n"/>
      <c r="K445" s="476" t="n"/>
      <c r="L445" s="276" t="n"/>
      <c r="M445" s="276" t="n"/>
      <c r="N445" s="276" t="n"/>
      <c r="O445" s="244">
        <f>M445*N445</f>
        <v/>
      </c>
      <c r="P445" s="276" t="n"/>
      <c r="Q445" s="276" t="n"/>
      <c r="R445" s="276" t="n"/>
      <c r="S445" s="244">
        <f>Q445*R445</f>
        <v/>
      </c>
    </row>
    <row r="446" ht="22.2" customHeight="1" s="330">
      <c r="A446" s="4" t="n"/>
      <c r="E446" s="4" t="n"/>
      <c r="F446" s="4" t="n"/>
      <c r="G446" s="17" t="inlineStr">
        <is>
          <t>รวมขั่วโมงที่สอนแยก ภาระงาน/ เกินภาระงาน</t>
        </is>
      </c>
      <c r="H446" s="467" t="n"/>
      <c r="I446" s="467" t="n"/>
      <c r="J446" s="467" t="n"/>
      <c r="K446" s="362" t="n"/>
      <c r="L446" s="17">
        <f>SUM(L421:L445)</f>
        <v/>
      </c>
      <c r="M446" s="17">
        <f>SUM(M421:M445)</f>
        <v/>
      </c>
      <c r="N446" s="17" t="n"/>
      <c r="O446" s="17" t="n"/>
      <c r="P446" s="17">
        <f>SUM(P421:P445)</f>
        <v/>
      </c>
      <c r="Q446" s="17">
        <f>SUM(Q421:Q445)</f>
        <v/>
      </c>
      <c r="R446" s="279" t="n"/>
      <c r="S446" s="17" t="n"/>
      <c r="T446" s="25" t="n"/>
      <c r="U446" s="26" t="inlineStr">
        <is>
          <t xml:space="preserve">     PLC</t>
        </is>
      </c>
      <c r="V446" s="64" t="n"/>
      <c r="W446" s="27" t="n"/>
      <c r="X446" s="27" t="n"/>
    </row>
    <row r="447" ht="22.2" customHeight="1" s="330">
      <c r="A447" s="4" t="n"/>
      <c r="E447" s="4" t="n"/>
      <c r="F447" s="4" t="n"/>
      <c r="G447" s="17" t="inlineStr">
        <is>
          <t>รวมจำนวนชั่วโมงสอนคาบต่อสับดาห์</t>
        </is>
      </c>
      <c r="H447" s="467" t="n"/>
      <c r="I447" s="467" t="n"/>
      <c r="J447" s="467" t="n"/>
      <c r="K447" s="362" t="n"/>
      <c r="L447" s="17">
        <f>L446+M446</f>
        <v/>
      </c>
      <c r="M447" s="362" t="n"/>
      <c r="N447" s="298" t="n"/>
      <c r="O447" s="17" t="n"/>
      <c r="P447" s="17">
        <f>P446+Q446</f>
        <v/>
      </c>
      <c r="Q447" s="362" t="n"/>
      <c r="R447" s="278" t="n"/>
      <c r="S447" s="276" t="n"/>
      <c r="T447" s="27" t="inlineStr">
        <is>
          <t> </t>
        </is>
      </c>
      <c r="U447" s="26" t="inlineStr">
        <is>
          <t>17.10-19.10</t>
        </is>
      </c>
      <c r="V447" s="64" t="n"/>
      <c r="W447" s="27" t="n"/>
      <c r="X447" s="27" t="n"/>
    </row>
    <row r="448" ht="22.2" customHeight="1" s="330">
      <c r="A448" s="4" t="n"/>
      <c r="E448" s="4" t="n"/>
      <c r="F448" s="4" t="n"/>
      <c r="G448" s="17" t="inlineStr">
        <is>
          <t>จำนวนชั่วโมงสอนตามภาระงานสอน</t>
        </is>
      </c>
      <c r="H448" s="467" t="n"/>
      <c r="I448" s="467" t="n"/>
      <c r="J448" s="467" t="n"/>
      <c r="K448" s="362" t="n"/>
      <c r="L448" s="485" t="inlineStr">
        <is>
          <t>12</t>
        </is>
      </c>
      <c r="M448" s="362" t="n"/>
      <c r="N448" s="151" t="n"/>
      <c r="O448" s="154" t="n"/>
      <c r="P448" s="153" t="inlineStr">
        <is>
          <t>0</t>
        </is>
      </c>
      <c r="Q448" s="362" t="n"/>
      <c r="R448" s="249" t="n"/>
      <c r="S448" s="252" t="n"/>
    </row>
    <row r="449" ht="22.2" customHeight="1" s="330" thickBot="1">
      <c r="A449" s="4" t="n"/>
      <c r="E449" s="4" t="n"/>
      <c r="F449" s="15" t="n"/>
      <c r="G449" s="17" t="inlineStr">
        <is>
          <t>จำนวนชั่วโมงบิกเกินภาระงานสอน/ค่าสอน</t>
        </is>
      </c>
      <c r="H449" s="467" t="n"/>
      <c r="I449" s="467" t="n"/>
      <c r="J449" s="467" t="n"/>
      <c r="K449" s="362" t="n"/>
      <c r="L449" s="18" t="n">
        <v>0</v>
      </c>
      <c r="M449" s="18">
        <f>SUM(M421:M445)</f>
        <v/>
      </c>
      <c r="N449" s="18" t="n"/>
      <c r="O449" s="18">
        <f>SUM(O421:O445)</f>
        <v/>
      </c>
      <c r="P449" s="18" t="n">
        <v>0</v>
      </c>
      <c r="Q449" s="18">
        <f>SUM(Q421:Q445)</f>
        <v/>
      </c>
      <c r="R449" s="19" t="n"/>
      <c r="S449" s="18">
        <f>SUM(S421:S445)</f>
        <v/>
      </c>
    </row>
    <row r="450" ht="22.2" customHeight="1" s="330" thickTop="1">
      <c r="A450" s="299" t="inlineStr">
        <is>
          <t>รวมจำนวนหน่วยชั่วโมงที่ขอเบิกค่าสอน ….</t>
        </is>
      </c>
      <c r="B450" s="467" t="n"/>
      <c r="C450" s="467" t="n"/>
      <c r="D450" s="467" t="n"/>
      <c r="E450" s="467" t="n"/>
      <c r="F450" s="467" t="n"/>
      <c r="G450" s="467" t="n"/>
      <c r="H450" s="298">
        <f>M449+Q449</f>
        <v/>
      </c>
      <c r="I450" s="298" t="inlineStr">
        <is>
          <t>….ชั่วโมง</t>
        </is>
      </c>
      <c r="J450" s="298" t="n"/>
      <c r="K450" s="301" t="inlineStr">
        <is>
          <t>ยอดเงินรวม</t>
        </is>
      </c>
      <c r="L450" s="471" t="n"/>
      <c r="M450" s="471" t="n"/>
      <c r="N450" s="301" t="n"/>
      <c r="O450" s="301" t="n"/>
      <c r="P450" s="302">
        <f>S449+O449</f>
        <v/>
      </c>
      <c r="Q450" s="482" t="n"/>
      <c r="R450" s="21" t="n"/>
      <c r="S450" s="20" t="inlineStr">
        <is>
          <t>..บาท</t>
        </is>
      </c>
    </row>
    <row r="451" ht="22.2" customHeight="1" s="330">
      <c r="A451" s="207" t="inlineStr">
        <is>
          <t>ผู้ขอเบิก</t>
        </is>
      </c>
      <c r="B451" s="334" t="n"/>
      <c r="C451" s="334" t="n"/>
      <c r="D451" s="334" t="n"/>
      <c r="E451" s="334" t="n"/>
      <c r="F451" s="334" t="n"/>
      <c r="G451" s="335" t="n"/>
      <c r="H451" s="207" t="inlineStr">
        <is>
          <t>ผู้รับรอง</t>
        </is>
      </c>
      <c r="I451" s="334" t="n"/>
      <c r="J451" s="334" t="n"/>
      <c r="K451" s="334" t="n"/>
      <c r="L451" s="335" t="n"/>
      <c r="M451" s="207" t="inlineStr">
        <is>
          <t>ผู้ตรวจ</t>
        </is>
      </c>
      <c r="N451" s="334" t="n"/>
      <c r="O451" s="334" t="n"/>
      <c r="P451" s="334" t="n"/>
      <c r="Q451" s="334" t="n"/>
      <c r="R451" s="334" t="n"/>
      <c r="S451" s="335" t="n"/>
    </row>
    <row r="452" ht="22.2" customHeight="1" s="330">
      <c r="A452" s="252" t="inlineStr">
        <is>
          <t>ลงชื่อ……………………………………………</t>
        </is>
      </c>
      <c r="G452" s="331" t="n"/>
      <c r="H452" s="252" t="inlineStr">
        <is>
          <t>ลงชื่อ……………………………………………</t>
        </is>
      </c>
      <c r="L452" s="331" t="n"/>
      <c r="M452" s="252" t="inlineStr">
        <is>
          <t>ลงชื่อ……………………………………………</t>
        </is>
      </c>
      <c r="S452" s="331" t="n"/>
    </row>
    <row r="453" ht="22.2" customHeight="1" s="330">
      <c r="A453" s="12" t="inlineStr">
        <is>
          <t>(</t>
        </is>
      </c>
      <c r="B453" s="309">
        <f>B421</f>
        <v/>
      </c>
      <c r="G453" s="310" t="inlineStr">
        <is>
          <t>)</t>
        </is>
      </c>
      <c r="H453" s="309" t="inlineStr">
        <is>
          <t>(</t>
        </is>
      </c>
      <c r="I453" s="314">
        <f>I407</f>
        <v/>
      </c>
      <c r="L453" s="13" t="inlineStr">
        <is>
          <t>)</t>
        </is>
      </c>
      <c r="M453" s="61" t="inlineStr">
        <is>
          <t>(</t>
        </is>
      </c>
      <c r="N453" s="61" t="n"/>
      <c r="O453" s="309" t="inlineStr">
        <is>
          <t>นายพิสุทธิศักดิ์  กล่อมนาค</t>
        </is>
      </c>
      <c r="R453" s="29" t="n"/>
      <c r="S453" s="310" t="inlineStr">
        <is>
          <t>)</t>
        </is>
      </c>
    </row>
    <row r="454" ht="22.2" customHeight="1" s="330">
      <c r="A454" s="483" t="inlineStr">
        <is>
          <t xml:space="preserve">                 ตำแหน่ง  ครู </t>
        </is>
      </c>
      <c r="G454" s="331" t="n"/>
      <c r="H454" s="62" t="inlineStr">
        <is>
          <t>ตำแหน่ง หัวหน้าแผนก</t>
        </is>
      </c>
      <c r="L454" s="331" t="n"/>
      <c r="M454" s="62" t="inlineStr">
        <is>
          <t>ตำแหน่ง   ผู้ตรวจสอบ</t>
        </is>
      </c>
      <c r="S454" s="331" t="n"/>
    </row>
    <row r="455" ht="22.2" customHeight="1" s="330">
      <c r="A455" s="63">
        <f>A41</f>
        <v/>
      </c>
      <c r="B455" s="471" t="n"/>
      <c r="C455" s="471" t="n"/>
      <c r="D455" s="471" t="n"/>
      <c r="E455" s="471" t="n"/>
      <c r="F455" s="471" t="n"/>
      <c r="G455" s="476" t="n"/>
      <c r="H455" s="62">
        <f>A41</f>
        <v/>
      </c>
      <c r="L455" s="331" t="n"/>
      <c r="M455" s="63">
        <f>A41</f>
        <v/>
      </c>
      <c r="N455" s="471" t="n"/>
      <c r="O455" s="471" t="n"/>
      <c r="P455" s="471" t="n"/>
      <c r="Q455" s="471" t="n"/>
      <c r="R455" s="471" t="n"/>
      <c r="S455" s="476" t="n"/>
    </row>
    <row r="456" ht="22.2" customHeight="1" s="330">
      <c r="A456" s="207" t="inlineStr">
        <is>
          <t>ผู้ตรวจ</t>
        </is>
      </c>
      <c r="B456" s="334" t="n"/>
      <c r="C456" s="334" t="n"/>
      <c r="D456" s="334" t="n"/>
      <c r="E456" s="334" t="n"/>
      <c r="F456" s="334" t="n"/>
      <c r="G456" s="334" t="n"/>
      <c r="H456" s="334" t="n"/>
      <c r="I456" s="335" t="n"/>
      <c r="J456" s="207" t="inlineStr">
        <is>
          <t>ผู้เห็นชอบ</t>
        </is>
      </c>
      <c r="K456" s="334" t="n"/>
      <c r="L456" s="334" t="n"/>
      <c r="M456" s="334" t="n"/>
      <c r="N456" s="334" t="n"/>
      <c r="O456" s="334" t="n"/>
      <c r="P456" s="334" t="n"/>
      <c r="Q456" s="334" t="n"/>
      <c r="R456" s="334" t="n"/>
      <c r="S456" s="335" t="n"/>
    </row>
    <row r="457" ht="22.2" customHeight="1" s="330">
      <c r="A457" s="252" t="inlineStr">
        <is>
          <t>ลงชื่อ……………………………………………</t>
        </is>
      </c>
      <c r="I457" s="331" t="n"/>
      <c r="J457" s="252" t="inlineStr">
        <is>
          <t>ลงชื่อ……………………………………………</t>
        </is>
      </c>
      <c r="S457" s="331" t="n"/>
    </row>
    <row r="458" ht="22.2" customHeight="1" s="330">
      <c r="A458" s="12" t="n"/>
      <c r="B458" s="309" t="inlineStr">
        <is>
          <t xml:space="preserve">          (นางศิวรักษ์   บุญประเสริฐ)</t>
        </is>
      </c>
      <c r="I458" s="310" t="n"/>
      <c r="J458" s="29" t="n"/>
      <c r="K458" s="29" t="n"/>
      <c r="L458" s="309" t="inlineStr">
        <is>
          <t>(นายปรีชา  โพธิ์เกิด)</t>
        </is>
      </c>
      <c r="R458" s="29" t="n"/>
      <c r="S458" s="13" t="n"/>
    </row>
    <row r="459" ht="22.2" customHeight="1" s="330">
      <c r="A459" s="62" t="inlineStr">
        <is>
          <t>ตำแหน่งครู  หัวหน้างานพัฒนาหลักสูตร ฯ</t>
        </is>
      </c>
      <c r="I459" s="331" t="n"/>
      <c r="J459" s="62" t="inlineStr">
        <is>
          <t>ตำแหน่ง  รองผู้อำนวยการฝ่ายวิชาการ</t>
        </is>
      </c>
      <c r="S459" s="331" t="n"/>
    </row>
    <row r="460" ht="22.2" customHeight="1" s="330">
      <c r="A460" s="63">
        <f>A41</f>
        <v/>
      </c>
      <c r="B460" s="471" t="n"/>
      <c r="C460" s="471" t="n"/>
      <c r="D460" s="471" t="n"/>
      <c r="E460" s="471" t="n"/>
      <c r="F460" s="471" t="n"/>
      <c r="G460" s="471" t="n"/>
      <c r="H460" s="471" t="n"/>
      <c r="I460" s="476" t="n"/>
      <c r="J460" s="63">
        <f>A41</f>
        <v/>
      </c>
      <c r="K460" s="471" t="n"/>
      <c r="L460" s="471" t="n"/>
      <c r="M460" s="471" t="n"/>
      <c r="N460" s="471" t="n"/>
      <c r="O460" s="471" t="n"/>
      <c r="P460" s="471" t="n"/>
      <c r="Q460" s="471" t="n"/>
      <c r="R460" s="471" t="n"/>
      <c r="S460" s="476" t="n"/>
    </row>
    <row r="461" ht="22.2" customHeight="1" s="330">
      <c r="A46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462" ht="22.2" customHeight="1" s="330">
      <c r="A462" s="254">
        <f>A2</f>
        <v/>
      </c>
    </row>
    <row r="463" ht="22.2" customHeight="1" s="330">
      <c r="A463" s="253" t="inlineStr">
        <is>
          <t xml:space="preserve">    ระหว่างวันที่</t>
        </is>
      </c>
      <c r="D463" s="254">
        <f>D3</f>
        <v/>
      </c>
      <c r="E463" s="254" t="inlineStr">
        <is>
          <t xml:space="preserve">   เดือน  </t>
        </is>
      </c>
      <c r="F463" s="254">
        <f>F3</f>
        <v/>
      </c>
      <c r="H463" s="254">
        <f>H3</f>
        <v/>
      </c>
      <c r="I463" s="254" t="inlineStr">
        <is>
          <t xml:space="preserve">     ถึง วันที่</t>
        </is>
      </c>
      <c r="J463" s="254">
        <f>J3</f>
        <v/>
      </c>
      <c r="K463" s="254" t="inlineStr">
        <is>
          <t xml:space="preserve">   เดือน </t>
        </is>
      </c>
      <c r="L463" s="254">
        <f>L3</f>
        <v/>
      </c>
      <c r="N463" s="254">
        <f>N3</f>
        <v/>
      </c>
      <c r="P463" s="254" t="n"/>
      <c r="R463" s="254" t="n"/>
    </row>
    <row r="464" ht="22.2" customHeight="1" s="330">
      <c r="G464" s="58" t="inlineStr">
        <is>
          <t>ü</t>
        </is>
      </c>
      <c r="H464" s="290" t="inlineStr">
        <is>
          <t>ครู</t>
        </is>
      </c>
      <c r="I464" s="249" t="inlineStr">
        <is>
          <t>หน้าที่พิเศษ</t>
        </is>
      </c>
    </row>
    <row r="465" ht="22.2" customHeight="1" s="330">
      <c r="A465" s="28" t="inlineStr">
        <is>
          <t>ที่</t>
        </is>
      </c>
      <c r="B465" s="28" t="inlineStr">
        <is>
          <t>ชื่อ-สกุล</t>
        </is>
      </c>
      <c r="C465" s="334" t="n"/>
      <c r="D465" s="335" t="n"/>
      <c r="E465" s="16" t="inlineStr">
        <is>
          <t>ตำแหน่ง</t>
        </is>
      </c>
      <c r="F465" s="17" t="inlineStr">
        <is>
          <t>ระยะเวลาที่สอน</t>
        </is>
      </c>
      <c r="G465" s="362" t="n"/>
      <c r="H465" s="17" t="inlineStr">
        <is>
          <t>รหัสวิชา</t>
        </is>
      </c>
      <c r="I465" s="275" t="inlineStr">
        <is>
          <t>ชั้น,แผนก,ห้อง</t>
        </is>
      </c>
      <c r="J465" s="17" t="inlineStr">
        <is>
          <t>เวลาสอน</t>
        </is>
      </c>
      <c r="K465" s="335" t="n"/>
      <c r="L465" s="17" t="inlineStr">
        <is>
          <t>ปวช.(คาบ)</t>
        </is>
      </c>
      <c r="M465" s="362" t="n"/>
      <c r="N465" s="244" t="inlineStr">
        <is>
          <t>เงิน</t>
        </is>
      </c>
      <c r="O465" s="275" t="inlineStr">
        <is>
          <t>ยอดเงิน</t>
        </is>
      </c>
      <c r="P465" s="473" t="inlineStr">
        <is>
          <t>ปวส.(คาบ)</t>
        </is>
      </c>
      <c r="Q465" s="362" t="n"/>
      <c r="R465" s="244" t="inlineStr">
        <is>
          <t>เงิน</t>
        </is>
      </c>
      <c r="S465" s="275" t="inlineStr">
        <is>
          <t>ยอดเงิน</t>
        </is>
      </c>
    </row>
    <row r="466" ht="22.2" customHeight="1" s="330">
      <c r="A466" s="60" t="n"/>
      <c r="B466" s="9" t="n"/>
      <c r="C466" s="10" t="n"/>
      <c r="D466" s="14" t="n"/>
      <c r="E466" s="11" t="n"/>
      <c r="F466" s="276" t="inlineStr">
        <is>
          <t>ส.</t>
        </is>
      </c>
      <c r="G466" s="276" t="inlineStr">
        <is>
          <t>วดป.</t>
        </is>
      </c>
      <c r="H466" s="474" t="n"/>
      <c r="I466" s="276" t="n"/>
      <c r="J466" s="475" t="n"/>
      <c r="K466" s="476" t="n"/>
      <c r="L466" s="276" t="inlineStr">
        <is>
          <t>ใน</t>
        </is>
      </c>
      <c r="M466" s="276" t="inlineStr">
        <is>
          <t>นอก</t>
        </is>
      </c>
      <c r="N466" s="276" t="inlineStr">
        <is>
          <t>ต่อ ชม.</t>
        </is>
      </c>
      <c r="O466" s="276" t="inlineStr">
        <is>
          <t>(บาท)</t>
        </is>
      </c>
      <c r="P466" s="60" t="inlineStr">
        <is>
          <t>ใน</t>
        </is>
      </c>
      <c r="Q466" s="60" t="inlineStr">
        <is>
          <t>นอก</t>
        </is>
      </c>
      <c r="R466" s="276" t="inlineStr">
        <is>
          <t>ต่อ ชม.</t>
        </is>
      </c>
      <c r="S466" s="276" t="inlineStr">
        <is>
          <t>(บาท)</t>
        </is>
      </c>
    </row>
    <row r="467" ht="22.2" customHeight="1" s="330">
      <c r="A467" s="275" t="n">
        <v>11</v>
      </c>
      <c r="B467" s="477">
        <f>AB13</f>
        <v/>
      </c>
      <c r="C467" s="334" t="n"/>
      <c r="D467" s="335" t="n"/>
      <c r="E467" s="275" t="inlineStr">
        <is>
          <t>ครู</t>
        </is>
      </c>
      <c r="F467" s="6">
        <f>F7</f>
        <v/>
      </c>
      <c r="G467" s="303" t="inlineStr">
        <is>
          <t>จันทร์</t>
        </is>
      </c>
      <c r="H467" s="325" t="inlineStr">
        <is>
          <t>20101-2109</t>
        </is>
      </c>
      <c r="I467" s="325" t="inlineStr">
        <is>
          <t>ปวช.3/2 ชย. (ปกติ)</t>
        </is>
      </c>
      <c r="J467" s="332" t="inlineStr">
        <is>
          <t>08.10-12.10</t>
        </is>
      </c>
      <c r="K467" s="335" t="n"/>
      <c r="L467" s="265" t="n"/>
      <c r="M467" s="332" t="n"/>
      <c r="N467" s="332" t="n"/>
      <c r="O467" s="244">
        <f>M467*N467</f>
        <v/>
      </c>
      <c r="P467" s="332" t="n"/>
      <c r="Q467" s="265" t="n"/>
      <c r="R467" s="332" t="n"/>
      <c r="S467" s="244">
        <f>Q467*R467</f>
        <v/>
      </c>
    </row>
    <row r="468" ht="22.2" customHeight="1" s="330">
      <c r="A468" s="4" t="n"/>
      <c r="B468" s="478" t="n"/>
      <c r="D468" s="331" t="n"/>
      <c r="E468" s="51" t="n"/>
      <c r="F468" s="249" t="n"/>
      <c r="G468" s="308">
        <f>G422</f>
        <v/>
      </c>
      <c r="H468" s="325" t="inlineStr">
        <is>
          <t>20101-2109</t>
        </is>
      </c>
      <c r="I468" s="325" t="inlineStr">
        <is>
          <t>ปวช.3/2 ชย. (ปกติ)</t>
        </is>
      </c>
      <c r="J468" s="252" t="inlineStr">
        <is>
          <t>13.10-16.10</t>
        </is>
      </c>
      <c r="K468" s="331" t="n"/>
      <c r="L468" s="252" t="n"/>
      <c r="M468" s="252" t="n"/>
      <c r="N468" s="252" t="n"/>
      <c r="O468" s="244">
        <f>M468*N468</f>
        <v/>
      </c>
      <c r="P468" s="252" t="n"/>
      <c r="Q468" s="252" t="n"/>
      <c r="R468" s="252" t="n"/>
      <c r="S468" s="244">
        <f>Q468*R468</f>
        <v/>
      </c>
    </row>
    <row r="469" ht="22.2" customHeight="1" s="330">
      <c r="A469" s="4" t="n"/>
      <c r="B469" s="5" t="n"/>
      <c r="D469" s="3" t="n"/>
      <c r="E469" s="3" t="n"/>
      <c r="F469" s="249" t="n"/>
      <c r="G469" s="248" t="n"/>
      <c r="H469" s="325" t="inlineStr">
        <is>
          <t>20101-8501</t>
        </is>
      </c>
      <c r="I469" s="325" t="inlineStr">
        <is>
          <t>ปวช.3/1,2 ชย. (ปกติ)</t>
        </is>
      </c>
      <c r="J469" s="252" t="inlineStr">
        <is>
          <t>16.10-18.10</t>
        </is>
      </c>
      <c r="K469" s="331" t="n"/>
      <c r="L469" s="252" t="n"/>
      <c r="M469" s="252" t="n"/>
      <c r="N469" s="252" t="n"/>
      <c r="O469" s="244">
        <f>M469*N469</f>
        <v/>
      </c>
      <c r="P469" s="252" t="n"/>
      <c r="Q469" s="252" t="n"/>
      <c r="R469" s="252" t="n"/>
      <c r="S469" s="244">
        <f>Q469*R469</f>
        <v/>
      </c>
    </row>
    <row r="470" ht="22.2" customHeight="1" s="330">
      <c r="A470" s="4" t="n"/>
      <c r="B470" s="5" t="n"/>
      <c r="E470" s="4" t="n"/>
      <c r="F470" s="249" t="n"/>
      <c r="G470" s="248" t="n"/>
      <c r="H470" s="252" t="n"/>
      <c r="I470" s="252" t="n"/>
      <c r="J470" s="252" t="n"/>
      <c r="K470" s="331" t="n"/>
      <c r="L470" s="252" t="n"/>
      <c r="M470" s="252" t="n"/>
      <c r="N470" s="252" t="n"/>
      <c r="O470" s="244">
        <f>M470*N470</f>
        <v/>
      </c>
      <c r="P470" s="252" t="n"/>
      <c r="Q470" s="252" t="n"/>
      <c r="R470" s="252" t="n"/>
      <c r="S470" s="244">
        <f>Q470*R470</f>
        <v/>
      </c>
    </row>
    <row r="471" ht="22.2" customHeight="1" s="330">
      <c r="A471" s="4" t="n"/>
      <c r="E471" s="4" t="n"/>
      <c r="G471" s="311" t="n"/>
      <c r="H471" s="276" t="n"/>
      <c r="I471" s="276" t="n"/>
      <c r="J471" s="276" t="n"/>
      <c r="K471" s="476" t="n"/>
      <c r="L471" s="252" t="n"/>
      <c r="M471" s="252" t="n"/>
      <c r="N471" s="252" t="n"/>
      <c r="O471" s="244">
        <f>M471*N471</f>
        <v/>
      </c>
      <c r="P471" s="252" t="n"/>
      <c r="Q471" s="252" t="n"/>
      <c r="R471" s="252" t="n"/>
      <c r="S471" s="244">
        <f>Q471*R471</f>
        <v/>
      </c>
    </row>
    <row r="472" ht="22.2" customHeight="1" s="330">
      <c r="A472" s="4" t="n"/>
      <c r="D472" s="331" t="n"/>
      <c r="E472" s="56" t="n"/>
      <c r="G472" s="62" t="inlineStr">
        <is>
          <t>อังคาร</t>
        </is>
      </c>
      <c r="H472" s="325" t="inlineStr">
        <is>
          <t>20101-2109</t>
        </is>
      </c>
      <c r="I472" s="325" t="inlineStr">
        <is>
          <t>ปวช.3/1 ชย. (ปกติ)</t>
        </is>
      </c>
      <c r="J472" s="332" t="inlineStr">
        <is>
          <t>08.10-12.10</t>
        </is>
      </c>
      <c r="K472" s="335" t="n"/>
      <c r="L472" s="265" t="n"/>
      <c r="M472" s="332" t="n"/>
      <c r="N472" s="332" t="n"/>
      <c r="O472" s="244">
        <f>M472*N472</f>
        <v/>
      </c>
      <c r="P472" s="332" t="n"/>
      <c r="Q472" s="265" t="n"/>
      <c r="R472" s="332" t="n"/>
      <c r="S472" s="244">
        <f>Q472*R472</f>
        <v/>
      </c>
      <c r="T472" s="7" t="n"/>
      <c r="U472" s="23" t="inlineStr">
        <is>
          <t>เบิก ธุรการ</t>
        </is>
      </c>
      <c r="V472" s="66" t="n"/>
      <c r="W472" s="22" t="n"/>
      <c r="X472" s="22" t="n"/>
    </row>
    <row r="473" ht="22.2" customHeight="1" s="330">
      <c r="A473" s="4" t="n"/>
      <c r="D473" s="3" t="n"/>
      <c r="E473" s="3" t="n"/>
      <c r="G473" s="308">
        <f>G427</f>
        <v/>
      </c>
      <c r="H473" s="325" t="inlineStr">
        <is>
          <t>20101-2109</t>
        </is>
      </c>
      <c r="I473" s="325" t="inlineStr">
        <is>
          <t>ปวช.3/1 ชย. (ปกติ)</t>
        </is>
      </c>
      <c r="J473" s="252" t="inlineStr">
        <is>
          <t>13.10-16.10</t>
        </is>
      </c>
      <c r="K473" s="331" t="n"/>
      <c r="L473" s="252" t="n"/>
      <c r="M473" s="252" t="n"/>
      <c r="N473" s="252" t="n"/>
      <c r="O473" s="244">
        <f>M473*N473</f>
        <v/>
      </c>
      <c r="P473" s="252" t="n"/>
      <c r="Q473" s="252" t="n"/>
      <c r="R473" s="252" t="n"/>
      <c r="S473" s="244">
        <f>Q473*R473</f>
        <v/>
      </c>
      <c r="T473" s="22" t="inlineStr">
        <is>
          <t> </t>
        </is>
      </c>
      <c r="U473" s="23" t="inlineStr">
        <is>
          <t>16.10-19.10</t>
        </is>
      </c>
      <c r="V473" s="66" t="n"/>
      <c r="W473" s="22" t="n"/>
      <c r="X473" s="22" t="n"/>
    </row>
    <row r="474" ht="22.2" customHeight="1" s="330">
      <c r="A474" s="4" t="n"/>
      <c r="B474" s="5" t="n"/>
      <c r="D474" s="3" t="n"/>
      <c r="E474" s="3" t="n"/>
      <c r="G474" s="252" t="n"/>
      <c r="H474" s="325" t="inlineStr">
        <is>
          <t>20101-8501</t>
        </is>
      </c>
      <c r="I474" s="325" t="inlineStr">
        <is>
          <t>ปวช.3/1,2 ชย. (ปกติ)</t>
        </is>
      </c>
      <c r="J474" s="252" t="inlineStr">
        <is>
          <t>16.10-18.10</t>
        </is>
      </c>
      <c r="K474" s="331" t="n"/>
      <c r="L474" s="252" t="n"/>
      <c r="M474" s="252" t="n"/>
      <c r="N474" s="252" t="n"/>
      <c r="O474" s="244">
        <f>M474*N474</f>
        <v/>
      </c>
      <c r="P474" s="252" t="n"/>
      <c r="Q474" s="252" t="n"/>
      <c r="R474" s="252" t="n"/>
      <c r="S474" s="244">
        <f>Q474*R474</f>
        <v/>
      </c>
    </row>
    <row r="475" ht="22.2" customHeight="1" s="330">
      <c r="A475" s="4" t="n"/>
      <c r="E475" s="4" t="n"/>
      <c r="G475" s="62" t="n"/>
      <c r="H475" s="249" t="n"/>
      <c r="I475" s="252" t="n"/>
      <c r="J475" s="252" t="n"/>
      <c r="K475" s="331" t="n"/>
      <c r="L475" s="252" t="n"/>
      <c r="M475" s="252" t="n"/>
      <c r="N475" s="252" t="n"/>
      <c r="O475" s="244">
        <f>M475*N475</f>
        <v/>
      </c>
      <c r="P475" s="252" t="n"/>
      <c r="Q475" s="252" t="n"/>
      <c r="R475" s="252" t="n"/>
      <c r="S475" s="244">
        <f>Q475*R475</f>
        <v/>
      </c>
    </row>
    <row r="476" ht="22.2" customHeight="1" s="330">
      <c r="A476" s="4" t="n"/>
      <c r="D476" s="8" t="inlineStr">
        <is>
          <t> </t>
        </is>
      </c>
      <c r="E476" s="4" t="n"/>
      <c r="G476" s="63" t="n"/>
      <c r="H476" s="276" t="n"/>
      <c r="I476" s="276" t="n"/>
      <c r="J476" s="276" t="n"/>
      <c r="K476" s="476" t="n"/>
      <c r="L476" s="252" t="n"/>
      <c r="M476" s="252" t="n"/>
      <c r="N476" s="252" t="n"/>
      <c r="O476" s="244">
        <f>M476*N476</f>
        <v/>
      </c>
      <c r="P476" s="252" t="n"/>
      <c r="Q476" s="252" t="n"/>
      <c r="R476" s="252" t="n"/>
      <c r="S476" s="244">
        <f>Q476*R476</f>
        <v/>
      </c>
    </row>
    <row r="477" ht="22.2" customHeight="1" s="330">
      <c r="A477" s="4" t="n"/>
      <c r="E477" s="4" t="n"/>
      <c r="G477" s="308" t="inlineStr">
        <is>
          <t>พุธ</t>
        </is>
      </c>
      <c r="H477" s="325" t="inlineStr">
        <is>
          <t>20101-2109</t>
        </is>
      </c>
      <c r="I477" s="325" t="inlineStr">
        <is>
          <t>ปวช.3/4 ชย. (ปกติ)</t>
        </is>
      </c>
      <c r="J477" s="332" t="inlineStr">
        <is>
          <t>08.10-12.10</t>
        </is>
      </c>
      <c r="K477" s="335" t="n"/>
      <c r="L477" s="265" t="n"/>
      <c r="M477" s="332" t="n"/>
      <c r="N477" s="332" t="n"/>
      <c r="O477" s="244">
        <f>M477*N477</f>
        <v/>
      </c>
      <c r="P477" s="332" t="n"/>
      <c r="Q477" s="265" t="n"/>
      <c r="R477" s="332" t="n"/>
      <c r="S477" s="244">
        <f>Q477*R477</f>
        <v/>
      </c>
    </row>
    <row r="478" ht="22.2" customHeight="1" s="330">
      <c r="A478" s="4" t="n"/>
      <c r="B478" s="248" t="n"/>
      <c r="C478" s="249" t="n"/>
      <c r="D478" s="249" t="n"/>
      <c r="E478" s="252" t="n"/>
      <c r="G478" s="308">
        <f>G432</f>
        <v/>
      </c>
      <c r="H478" s="325" t="inlineStr">
        <is>
          <t>20101-2109</t>
        </is>
      </c>
      <c r="I478" s="325" t="inlineStr">
        <is>
          <t>ปวช.3/4 ชย. (ปกติ)</t>
        </is>
      </c>
      <c r="J478" s="252" t="inlineStr">
        <is>
          <t>13.10-16.10</t>
        </is>
      </c>
      <c r="K478" s="331" t="n"/>
      <c r="L478" s="252" t="n"/>
      <c r="M478" s="252" t="n"/>
      <c r="N478" s="252" t="n"/>
      <c r="O478" s="244">
        <f>M478*N478</f>
        <v/>
      </c>
      <c r="P478" s="252" t="n"/>
      <c r="Q478" s="252" t="n"/>
      <c r="R478" s="252" t="n"/>
      <c r="S478" s="244">
        <f>Q478*R478</f>
        <v/>
      </c>
    </row>
    <row r="479" ht="22.2" customHeight="1" s="330">
      <c r="A479" s="4" t="n"/>
      <c r="B479" s="5" t="n"/>
      <c r="D479" s="3" t="n"/>
      <c r="E479" s="3" t="n"/>
      <c r="G479" s="252" t="n"/>
      <c r="H479" s="325" t="n"/>
      <c r="I479" s="325" t="n"/>
      <c r="J479" s="252" t="n"/>
      <c r="K479" s="331" t="n"/>
      <c r="L479" s="252" t="n"/>
      <c r="M479" s="252" t="n"/>
      <c r="N479" s="252" t="n"/>
      <c r="O479" s="244">
        <f>M479*N479</f>
        <v/>
      </c>
      <c r="P479" s="252" t="n"/>
      <c r="Q479" s="252" t="n"/>
      <c r="R479" s="252" t="n"/>
      <c r="S479" s="244">
        <f>Q479*R479</f>
        <v/>
      </c>
    </row>
    <row r="480" ht="22.2" customHeight="1" s="330">
      <c r="A480" s="4" t="n"/>
      <c r="E480" s="4" t="n"/>
      <c r="G480" s="248" t="n"/>
      <c r="H480" s="252" t="n"/>
      <c r="I480" s="252" t="n"/>
      <c r="J480" s="252" t="n"/>
      <c r="K480" s="331" t="n"/>
      <c r="L480" s="252" t="n"/>
      <c r="M480" s="252" t="n"/>
      <c r="N480" s="252" t="n"/>
      <c r="O480" s="244">
        <f>M480*N480</f>
        <v/>
      </c>
      <c r="P480" s="252" t="n"/>
      <c r="Q480" s="252" t="n"/>
      <c r="R480" s="252" t="n"/>
      <c r="S480" s="244">
        <f>Q480*R480</f>
        <v/>
      </c>
    </row>
    <row r="481" ht="22.2" customHeight="1" s="330">
      <c r="A481" s="4" t="n"/>
      <c r="E481" s="4" t="n"/>
      <c r="G481" s="277" t="n"/>
      <c r="H481" s="252" t="n"/>
      <c r="I481" s="276" t="n"/>
      <c r="J481" s="276" t="n"/>
      <c r="K481" s="476" t="n"/>
      <c r="L481" s="276" t="n"/>
      <c r="M481" s="276" t="n"/>
      <c r="N481" s="276" t="n"/>
      <c r="O481" s="244">
        <f>M481*N481</f>
        <v/>
      </c>
      <c r="P481" s="276" t="n"/>
      <c r="Q481" s="276" t="n"/>
      <c r="R481" s="276" t="n"/>
      <c r="S481" s="244">
        <f>Q481*R481</f>
        <v/>
      </c>
    </row>
    <row r="482" ht="22.2" customHeight="1" s="330">
      <c r="A482" s="4" t="n"/>
      <c r="D482" s="331" t="n"/>
      <c r="E482" s="56" t="n"/>
      <c r="G482" s="62" t="inlineStr">
        <is>
          <t>พฤหัส</t>
        </is>
      </c>
      <c r="H482" s="332" t="n"/>
      <c r="I482" s="325" t="n"/>
      <c r="J482" s="332" t="n"/>
      <c r="K482" s="335" t="n"/>
      <c r="L482" s="252" t="n"/>
      <c r="M482" s="252" t="n"/>
      <c r="N482" s="252" t="n"/>
      <c r="O482" s="244">
        <f>M482*N482</f>
        <v/>
      </c>
      <c r="P482" s="252" t="n"/>
      <c r="Q482" s="275" t="n"/>
      <c r="R482" s="275" t="n"/>
      <c r="S482" s="244">
        <f>Q482*R482</f>
        <v/>
      </c>
    </row>
    <row r="483" ht="22.2" customHeight="1" s="330">
      <c r="A483" s="4" t="n"/>
      <c r="D483" s="3" t="n"/>
      <c r="E483" s="3" t="n"/>
      <c r="G483" s="308">
        <f>G437</f>
        <v/>
      </c>
      <c r="H483" s="325" t="n"/>
      <c r="I483" s="325" t="n"/>
      <c r="J483" s="252" t="n"/>
      <c r="K483" s="331" t="n"/>
      <c r="L483" s="252" t="n"/>
      <c r="M483" s="252" t="n"/>
      <c r="N483" s="252" t="n"/>
      <c r="O483" s="244">
        <f>M483*N483</f>
        <v/>
      </c>
      <c r="P483" s="252" t="n"/>
      <c r="Q483" s="252" t="n"/>
      <c r="R483" s="252" t="n"/>
      <c r="S483" s="244">
        <f>Q483*R483</f>
        <v/>
      </c>
    </row>
    <row r="484" ht="22.2" customHeight="1" s="330">
      <c r="A484" s="4" t="n"/>
      <c r="B484" s="5" t="n"/>
      <c r="E484" s="4" t="n"/>
      <c r="G484" s="252" t="n"/>
      <c r="H484" s="325" t="n"/>
      <c r="I484" s="325" t="n"/>
      <c r="J484" s="252" t="n"/>
      <c r="K484" s="331" t="n"/>
      <c r="L484" s="325" t="n"/>
      <c r="M484" s="325" t="n"/>
      <c r="N484" s="325" t="n"/>
      <c r="O484" s="244">
        <f>M484*N484</f>
        <v/>
      </c>
      <c r="P484" s="325" t="n"/>
      <c r="Q484" s="325" t="n"/>
      <c r="R484" s="325" t="n"/>
      <c r="S484" s="244">
        <f>Q484*R484</f>
        <v/>
      </c>
    </row>
    <row r="485" ht="22.2" customHeight="1" s="330">
      <c r="A485" s="4" t="n"/>
      <c r="E485" s="4" t="n"/>
      <c r="G485" s="252" t="n"/>
      <c r="H485" s="252" t="n"/>
      <c r="I485" s="252" t="n"/>
      <c r="J485" s="252" t="n"/>
      <c r="K485" s="331" t="n"/>
      <c r="L485" s="252" t="n"/>
      <c r="M485" s="252" t="n"/>
      <c r="N485" s="252" t="n"/>
      <c r="O485" s="244">
        <f>M485*N485</f>
        <v/>
      </c>
      <c r="P485" s="252" t="n"/>
      <c r="Q485" s="252" t="n"/>
      <c r="R485" s="252" t="n"/>
      <c r="S485" s="244">
        <f>Q485*R485</f>
        <v/>
      </c>
    </row>
    <row r="486" ht="22.2" customHeight="1" s="330">
      <c r="A486" s="4" t="n"/>
      <c r="E486" s="4" t="n"/>
      <c r="G486" s="276" t="n"/>
      <c r="H486" s="301" t="n"/>
      <c r="I486" s="276" t="n"/>
      <c r="J486" s="276" t="n"/>
      <c r="K486" s="476" t="n"/>
      <c r="L486" s="276" t="n"/>
      <c r="M486" s="276" t="n"/>
      <c r="N486" s="276" t="n"/>
      <c r="O486" s="244">
        <f>M486*N486</f>
        <v/>
      </c>
      <c r="P486" s="276" t="n"/>
      <c r="Q486" s="276" t="n"/>
      <c r="R486" s="276" t="n"/>
      <c r="S486" s="244">
        <f>Q486*R486</f>
        <v/>
      </c>
    </row>
    <row r="487" ht="22.2" customHeight="1" s="330">
      <c r="A487" s="4" t="n"/>
      <c r="E487" s="4" t="n"/>
      <c r="G487" s="62" t="inlineStr">
        <is>
          <t>ศุกร์</t>
        </is>
      </c>
      <c r="H487" s="325" t="inlineStr">
        <is>
          <t>20101-2109</t>
        </is>
      </c>
      <c r="I487" s="325" t="inlineStr">
        <is>
          <t>ปวช.3/3 ชย. (ปกติ)</t>
        </is>
      </c>
      <c r="J487" s="332" t="inlineStr">
        <is>
          <t>09.10-12.10</t>
        </is>
      </c>
      <c r="K487" s="335" t="n"/>
      <c r="L487" s="252" t="n"/>
      <c r="M487" s="252" t="n"/>
      <c r="N487" s="252" t="n"/>
      <c r="O487" s="244">
        <f>M487*N487</f>
        <v/>
      </c>
      <c r="P487" s="332" t="n"/>
      <c r="Q487" s="265" t="n"/>
      <c r="R487" s="332" t="n"/>
      <c r="S487" s="244">
        <f>Q487*R487</f>
        <v/>
      </c>
      <c r="T487" s="25" t="n"/>
      <c r="U487" s="26" t="inlineStr">
        <is>
          <t xml:space="preserve">     PLC</t>
        </is>
      </c>
      <c r="V487" s="64" t="n"/>
      <c r="W487" s="27" t="n"/>
      <c r="X487" s="27" t="n"/>
    </row>
    <row r="488" ht="22.2" customHeight="1" s="330">
      <c r="A488" s="4" t="n"/>
      <c r="E488" s="4" t="n"/>
      <c r="G488" s="308">
        <f>G442</f>
        <v/>
      </c>
      <c r="H488" s="325" t="inlineStr">
        <is>
          <t>20101-2109</t>
        </is>
      </c>
      <c r="I488" s="325" t="inlineStr">
        <is>
          <t>ปวช.3/3 ชย. (ปกติ)</t>
        </is>
      </c>
      <c r="J488" s="252" t="inlineStr">
        <is>
          <t>13.10-17.10</t>
        </is>
      </c>
      <c r="K488" s="331" t="n"/>
      <c r="L488" s="252" t="n"/>
      <c r="M488" s="252" t="n"/>
      <c r="N488" s="252" t="n"/>
      <c r="O488" s="244">
        <f>M488*N488</f>
        <v/>
      </c>
      <c r="P488" s="252" t="n"/>
      <c r="Q488" s="252" t="n"/>
      <c r="R488" s="252" t="n"/>
      <c r="S488" s="244">
        <f>Q488*R488</f>
        <v/>
      </c>
      <c r="T488" s="27" t="inlineStr">
        <is>
          <t> </t>
        </is>
      </c>
      <c r="U488" s="26" t="inlineStr">
        <is>
          <t>17.10-19.10</t>
        </is>
      </c>
      <c r="V488" s="64" t="n"/>
      <c r="W488" s="27" t="n"/>
      <c r="X488" s="27" t="n"/>
    </row>
    <row r="489" ht="22.2" customHeight="1" s="330">
      <c r="A489" s="4" t="n"/>
      <c r="E489" s="4" t="n"/>
      <c r="G489" s="252" t="n"/>
      <c r="H489" s="252" t="n"/>
      <c r="I489" s="252" t="n"/>
      <c r="J489" s="252" t="n"/>
      <c r="K489" s="331" t="n"/>
      <c r="L489" s="252" t="n"/>
      <c r="M489" s="252" t="n"/>
      <c r="N489" s="252" t="n"/>
      <c r="O489" s="244">
        <f>M489*N489</f>
        <v/>
      </c>
      <c r="P489" s="252" t="n"/>
      <c r="Q489" s="252" t="n"/>
      <c r="R489" s="252" t="n"/>
      <c r="S489" s="244">
        <f>Q489*R489</f>
        <v/>
      </c>
    </row>
    <row r="490" ht="22.2" customHeight="1" s="330">
      <c r="A490" s="4" t="n"/>
      <c r="E490" s="4" t="n"/>
      <c r="G490" s="252" t="n"/>
      <c r="H490" s="249" t="inlineStr">
        <is>
          <t> </t>
        </is>
      </c>
      <c r="I490" s="252" t="n"/>
      <c r="J490" s="252" t="n"/>
      <c r="K490" s="331" t="n"/>
      <c r="L490" s="252" t="n"/>
      <c r="M490" s="252" t="n"/>
      <c r="N490" s="252" t="n"/>
      <c r="O490" s="244">
        <f>M490*N490</f>
        <v/>
      </c>
      <c r="P490" s="252" t="n"/>
      <c r="Q490" s="252" t="n"/>
      <c r="R490" s="252" t="n"/>
      <c r="S490" s="244">
        <f>Q490*R490</f>
        <v/>
      </c>
    </row>
    <row r="491" ht="22.2" customHeight="1" s="330">
      <c r="A491" s="4" t="n"/>
      <c r="E491" s="4" t="n"/>
      <c r="F491" s="4" t="n"/>
      <c r="G491" s="278" t="n"/>
      <c r="H491" s="301" t="n"/>
      <c r="I491" s="276" t="n"/>
      <c r="J491" s="276" t="n"/>
      <c r="K491" s="476" t="n"/>
      <c r="L491" s="276" t="n"/>
      <c r="M491" s="276" t="n"/>
      <c r="N491" s="276" t="n"/>
      <c r="O491" s="244">
        <f>M491*N491</f>
        <v/>
      </c>
      <c r="P491" s="276" t="n"/>
      <c r="Q491" s="276" t="n"/>
      <c r="R491" s="276" t="n"/>
      <c r="S491" s="244">
        <f>Q491*R491</f>
        <v/>
      </c>
    </row>
    <row r="492" ht="22.2" customHeight="1" s="330">
      <c r="A492" s="4" t="n"/>
      <c r="E492" s="4" t="n"/>
      <c r="F492" s="4" t="n"/>
      <c r="G492" s="17" t="inlineStr">
        <is>
          <t>รวมขั่วโมงที่สอนแยก ภาระงาน/ เกินภาระงาน</t>
        </is>
      </c>
      <c r="H492" s="467" t="n"/>
      <c r="I492" s="467" t="n"/>
      <c r="J492" s="467" t="n"/>
      <c r="K492" s="362" t="n"/>
      <c r="L492" s="17">
        <f>SUM(L467:L491)</f>
        <v/>
      </c>
      <c r="M492" s="17">
        <f>SUM(M467:M491)</f>
        <v/>
      </c>
      <c r="N492" s="17" t="n"/>
      <c r="O492" s="17" t="n"/>
      <c r="P492" s="17">
        <f>SUM(P467:P491)</f>
        <v/>
      </c>
      <c r="Q492" s="17">
        <f>SUM(Q467:Q491)</f>
        <v/>
      </c>
      <c r="R492" s="279" t="n"/>
      <c r="S492" s="17" t="n"/>
    </row>
    <row r="493" ht="22.2" customHeight="1" s="330">
      <c r="A493" s="4" t="n"/>
      <c r="E493" s="4" t="n"/>
      <c r="F493" s="4" t="n"/>
      <c r="G493" s="17" t="inlineStr">
        <is>
          <t>รวมจำนวนชั่วโมงสอนคาบต่อสับดาห์</t>
        </is>
      </c>
      <c r="H493" s="467" t="n"/>
      <c r="I493" s="467" t="n"/>
      <c r="J493" s="467" t="n"/>
      <c r="K493" s="362" t="n"/>
      <c r="L493" s="17">
        <f>L492+M492</f>
        <v/>
      </c>
      <c r="M493" s="362" t="n"/>
      <c r="N493" s="17" t="n"/>
      <c r="O493" s="298" t="n"/>
      <c r="P493" s="17">
        <f>P492+Q492</f>
        <v/>
      </c>
      <c r="Q493" s="362" t="n"/>
      <c r="R493" s="278" t="n"/>
      <c r="S493" s="276" t="n"/>
    </row>
    <row r="494" ht="22.2" customHeight="1" s="330">
      <c r="A494" s="4" t="n"/>
      <c r="E494" s="4" t="n"/>
      <c r="F494" s="4" t="n"/>
      <c r="G494" s="17" t="inlineStr">
        <is>
          <t>จำนวนชั่วโมงสอนตามภาระงานสอน</t>
        </is>
      </c>
      <c r="H494" s="467" t="n"/>
      <c r="I494" s="467" t="n"/>
      <c r="J494" s="467" t="n"/>
      <c r="K494" s="362" t="n"/>
      <c r="L494" s="153" t="inlineStr">
        <is>
          <t>18</t>
        </is>
      </c>
      <c r="M494" s="362" t="n"/>
      <c r="N494" s="152" t="n"/>
      <c r="O494" s="153" t="n"/>
      <c r="P494" s="153" t="inlineStr">
        <is>
          <t>0</t>
        </is>
      </c>
      <c r="Q494" s="362" t="n"/>
      <c r="R494" s="249" t="n"/>
      <c r="S494" s="252" t="n"/>
    </row>
    <row r="495" ht="22.2" customHeight="1" s="330" thickBot="1">
      <c r="A495" s="4" t="n"/>
      <c r="E495" s="4" t="n"/>
      <c r="F495" s="15" t="n"/>
      <c r="G495" s="17" t="inlineStr">
        <is>
          <t>จำนวนชั่วโมงบิกเกินภาระงานสอน/ค่าสอน</t>
        </is>
      </c>
      <c r="H495" s="467" t="n"/>
      <c r="I495" s="467" t="n"/>
      <c r="J495" s="467" t="n"/>
      <c r="K495" s="362" t="n"/>
      <c r="L495" s="18" t="n">
        <v>0</v>
      </c>
      <c r="M495" s="18">
        <f>SUM(M467:M491)</f>
        <v/>
      </c>
      <c r="N495" s="18" t="n"/>
      <c r="O495" s="18">
        <f>SUM(O467:O491)</f>
        <v/>
      </c>
      <c r="P495" s="18" t="n">
        <v>0</v>
      </c>
      <c r="Q495" s="18">
        <f>SUM(Q467:Q491)</f>
        <v/>
      </c>
      <c r="R495" s="19" t="n"/>
      <c r="S495" s="18">
        <f>SUM(S467:S491)</f>
        <v/>
      </c>
    </row>
    <row r="496" ht="22.2" customHeight="1" s="330" thickTop="1">
      <c r="A496" s="299" t="inlineStr">
        <is>
          <t>รวมจำนวนหน่วยชั่วโมงที่ขอเบิกค่าสอน ….</t>
        </is>
      </c>
      <c r="B496" s="467" t="n"/>
      <c r="C496" s="467" t="n"/>
      <c r="D496" s="467" t="n"/>
      <c r="E496" s="467" t="n"/>
      <c r="F496" s="467" t="n"/>
      <c r="G496" s="467" t="n"/>
      <c r="H496" s="298">
        <f>M495+Q495</f>
        <v/>
      </c>
      <c r="I496" s="298" t="inlineStr">
        <is>
          <t>….ชั่วโมง</t>
        </is>
      </c>
      <c r="J496" s="298" t="n"/>
      <c r="K496" s="301" t="inlineStr">
        <is>
          <t>ยอดเงินรวม</t>
        </is>
      </c>
      <c r="L496" s="471" t="n"/>
      <c r="M496" s="471" t="n"/>
      <c r="N496" s="301" t="n"/>
      <c r="O496" s="301" t="n"/>
      <c r="P496" s="302">
        <f>S495+O495</f>
        <v/>
      </c>
      <c r="Q496" s="482" t="n"/>
      <c r="R496" s="21" t="n"/>
      <c r="S496" s="20" t="inlineStr">
        <is>
          <t>..บาท</t>
        </is>
      </c>
    </row>
    <row r="497" ht="22.2" customHeight="1" s="330">
      <c r="A497" s="207" t="inlineStr">
        <is>
          <t>ผู้ขอเบิก</t>
        </is>
      </c>
      <c r="B497" s="334" t="n"/>
      <c r="C497" s="334" t="n"/>
      <c r="D497" s="334" t="n"/>
      <c r="E497" s="334" t="n"/>
      <c r="F497" s="334" t="n"/>
      <c r="G497" s="335" t="n"/>
      <c r="H497" s="207" t="inlineStr">
        <is>
          <t>ผู้รับรอง</t>
        </is>
      </c>
      <c r="I497" s="334" t="n"/>
      <c r="J497" s="334" t="n"/>
      <c r="K497" s="334" t="n"/>
      <c r="L497" s="335" t="n"/>
      <c r="M497" s="207" t="inlineStr">
        <is>
          <t>ผู้ตรวจ</t>
        </is>
      </c>
      <c r="N497" s="334" t="n"/>
      <c r="O497" s="334" t="n"/>
      <c r="P497" s="334" t="n"/>
      <c r="Q497" s="334" t="n"/>
      <c r="R497" s="334" t="n"/>
      <c r="S497" s="335" t="n"/>
    </row>
    <row r="498" ht="22.2" customHeight="1" s="330">
      <c r="A498" s="252" t="inlineStr">
        <is>
          <t>ลงชื่อ……………………………………………</t>
        </is>
      </c>
      <c r="G498" s="331" t="n"/>
      <c r="H498" s="252" t="inlineStr">
        <is>
          <t>ลงชื่อ……………………………………………</t>
        </is>
      </c>
      <c r="L498" s="331" t="n"/>
      <c r="M498" s="252" t="inlineStr">
        <is>
          <t>ลงชื่อ……………………………………………</t>
        </is>
      </c>
      <c r="S498" s="331" t="n"/>
    </row>
    <row r="499" ht="22.2" customHeight="1" s="330">
      <c r="A499" s="12" t="inlineStr">
        <is>
          <t>(</t>
        </is>
      </c>
      <c r="B499" s="309">
        <f>B467</f>
        <v/>
      </c>
      <c r="G499" s="310" t="inlineStr">
        <is>
          <t>)</t>
        </is>
      </c>
      <c r="H499" s="309" t="inlineStr">
        <is>
          <t>(</t>
        </is>
      </c>
      <c r="I499" s="314">
        <f>I453</f>
        <v/>
      </c>
      <c r="L499" s="13" t="inlineStr">
        <is>
          <t>)</t>
        </is>
      </c>
      <c r="M499" s="61" t="inlineStr">
        <is>
          <t>(</t>
        </is>
      </c>
      <c r="N499" s="61" t="n"/>
      <c r="O499" s="309" t="inlineStr">
        <is>
          <t>นายพิสุทธิศักดิ์  กล่อมนาค</t>
        </is>
      </c>
      <c r="R499" s="29" t="n"/>
      <c r="S499" s="310" t="inlineStr">
        <is>
          <t>)</t>
        </is>
      </c>
    </row>
    <row r="500" ht="22.2" customHeight="1" s="330">
      <c r="A500" s="483" t="inlineStr">
        <is>
          <t xml:space="preserve">                 ตำแหน่ง  ครู </t>
        </is>
      </c>
      <c r="G500" s="331" t="n"/>
      <c r="H500" s="62" t="inlineStr">
        <is>
          <t>ตำแหน่ง หัวหน้าแผนก</t>
        </is>
      </c>
      <c r="L500" s="331" t="n"/>
      <c r="M500" s="62" t="inlineStr">
        <is>
          <t>ตำแหน่ง   ผู้ตรวจสอบ</t>
        </is>
      </c>
      <c r="S500" s="331" t="n"/>
    </row>
    <row r="501" ht="22.2" customHeight="1" s="330">
      <c r="A501" s="63">
        <f>A41</f>
        <v/>
      </c>
      <c r="B501" s="471" t="n"/>
      <c r="C501" s="471" t="n"/>
      <c r="D501" s="471" t="n"/>
      <c r="E501" s="471" t="n"/>
      <c r="F501" s="471" t="n"/>
      <c r="G501" s="476" t="n"/>
      <c r="H501" s="62">
        <f>A41</f>
        <v/>
      </c>
      <c r="L501" s="331" t="n"/>
      <c r="M501" s="63">
        <f>A41</f>
        <v/>
      </c>
      <c r="N501" s="471" t="n"/>
      <c r="O501" s="471" t="n"/>
      <c r="P501" s="471" t="n"/>
      <c r="Q501" s="471" t="n"/>
      <c r="R501" s="471" t="n"/>
      <c r="S501" s="476" t="n"/>
    </row>
    <row r="502" ht="22.2" customHeight="1" s="330">
      <c r="A502" s="207" t="inlineStr">
        <is>
          <t>ผู้ตรวจ</t>
        </is>
      </c>
      <c r="B502" s="334" t="n"/>
      <c r="C502" s="334" t="n"/>
      <c r="D502" s="334" t="n"/>
      <c r="E502" s="334" t="n"/>
      <c r="F502" s="334" t="n"/>
      <c r="G502" s="334" t="n"/>
      <c r="H502" s="334" t="n"/>
      <c r="I502" s="335" t="n"/>
      <c r="J502" s="207" t="inlineStr">
        <is>
          <t>ผู้เห็นชอบ</t>
        </is>
      </c>
      <c r="K502" s="334" t="n"/>
      <c r="L502" s="334" t="n"/>
      <c r="M502" s="334" t="n"/>
      <c r="N502" s="334" t="n"/>
      <c r="O502" s="334" t="n"/>
      <c r="P502" s="334" t="n"/>
      <c r="Q502" s="334" t="n"/>
      <c r="R502" s="334" t="n"/>
      <c r="S502" s="335" t="n"/>
    </row>
    <row r="503" ht="22.2" customHeight="1" s="330">
      <c r="A503" s="252" t="inlineStr">
        <is>
          <t>ลงชื่อ……………………………………………</t>
        </is>
      </c>
      <c r="I503" s="331" t="n"/>
      <c r="J503" s="252" t="inlineStr">
        <is>
          <t>ลงชื่อ……………………………………………</t>
        </is>
      </c>
      <c r="S503" s="331" t="n"/>
    </row>
    <row r="504" ht="22.2" customHeight="1" s="330">
      <c r="A504" s="12" t="n"/>
      <c r="B504" s="309" t="inlineStr">
        <is>
          <t xml:space="preserve">          (นางศิวรักษ์   บุญประเสริฐ)</t>
        </is>
      </c>
      <c r="I504" s="310" t="n"/>
      <c r="J504" s="29" t="n"/>
      <c r="K504" s="29" t="n"/>
      <c r="L504" s="309" t="inlineStr">
        <is>
          <t>(นายปรีชา  โพธิ์เกิด)</t>
        </is>
      </c>
      <c r="R504" s="29" t="n"/>
      <c r="S504" s="13" t="n"/>
    </row>
    <row r="505" ht="22.2" customHeight="1" s="330">
      <c r="A505" s="62" t="inlineStr">
        <is>
          <t>ตำแหน่งครู  หัวหน้างานพัฒนาหลักสูตร ฯ</t>
        </is>
      </c>
      <c r="I505" s="331" t="n"/>
      <c r="J505" s="62" t="inlineStr">
        <is>
          <t>ตำแหน่ง  รองผู้อำนวยการฝ่ายวิชาการ</t>
        </is>
      </c>
      <c r="S505" s="331" t="n"/>
    </row>
    <row r="506" ht="22.2" customHeight="1" s="330">
      <c r="A506" s="63">
        <f>A41</f>
        <v/>
      </c>
      <c r="B506" s="471" t="n"/>
      <c r="C506" s="471" t="n"/>
      <c r="D506" s="471" t="n"/>
      <c r="E506" s="471" t="n"/>
      <c r="F506" s="471" t="n"/>
      <c r="G506" s="471" t="n"/>
      <c r="H506" s="471" t="n"/>
      <c r="I506" s="476" t="n"/>
      <c r="J506" s="63">
        <f>A41</f>
        <v/>
      </c>
      <c r="K506" s="471" t="n"/>
      <c r="L506" s="471" t="n"/>
      <c r="M506" s="471" t="n"/>
      <c r="N506" s="471" t="n"/>
      <c r="O506" s="471" t="n"/>
      <c r="P506" s="471" t="n"/>
      <c r="Q506" s="471" t="n"/>
      <c r="R506" s="471" t="n"/>
      <c r="S506" s="476" t="n"/>
    </row>
    <row r="507" ht="22.2" customHeight="1" s="330">
      <c r="A50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508" ht="22.2" customHeight="1" s="330">
      <c r="A508" s="254">
        <f>A2</f>
        <v/>
      </c>
    </row>
    <row r="509" ht="22.2" customHeight="1" s="330">
      <c r="A509" s="253" t="inlineStr">
        <is>
          <t xml:space="preserve">    ระหว่างวันที่</t>
        </is>
      </c>
      <c r="D509" s="254">
        <f>D3</f>
        <v/>
      </c>
      <c r="E509" s="254" t="inlineStr">
        <is>
          <t xml:space="preserve">   เดือน  </t>
        </is>
      </c>
      <c r="F509" s="254">
        <f>F3</f>
        <v/>
      </c>
      <c r="H509" s="254">
        <f>H3</f>
        <v/>
      </c>
      <c r="I509" s="254" t="inlineStr">
        <is>
          <t xml:space="preserve">     ถึง วันที่</t>
        </is>
      </c>
      <c r="J509" s="254">
        <f>J3</f>
        <v/>
      </c>
      <c r="K509" s="254" t="inlineStr">
        <is>
          <t xml:space="preserve">   เดือน </t>
        </is>
      </c>
      <c r="L509" s="254">
        <f>L3</f>
        <v/>
      </c>
      <c r="N509" s="254">
        <f>N3</f>
        <v/>
      </c>
      <c r="P509" s="254" t="n"/>
      <c r="R509" s="254" t="n"/>
    </row>
    <row r="510" ht="22.2" customHeight="1" s="330">
      <c r="G510" s="58" t="inlineStr">
        <is>
          <t>ü</t>
        </is>
      </c>
      <c r="H510" s="290" t="inlineStr">
        <is>
          <t>ครู</t>
        </is>
      </c>
      <c r="I510" s="249" t="inlineStr">
        <is>
          <t>หน้าที่พิเศษ</t>
        </is>
      </c>
      <c r="J510" s="290" t="inlineStr">
        <is>
          <t>หัวหน้างานโครงการพิเศษและบริการชุมชน</t>
        </is>
      </c>
    </row>
    <row r="511" ht="22.2" customHeight="1" s="330">
      <c r="A511" s="28" t="inlineStr">
        <is>
          <t>ที่</t>
        </is>
      </c>
      <c r="B511" s="28" t="inlineStr">
        <is>
          <t>ชื่อ-สกุล</t>
        </is>
      </c>
      <c r="C511" s="334" t="n"/>
      <c r="D511" s="335" t="n"/>
      <c r="E511" s="16" t="inlineStr">
        <is>
          <t>ตำแหน่ง</t>
        </is>
      </c>
      <c r="F511" s="17" t="inlineStr">
        <is>
          <t>ระยะเวลาที่สอน</t>
        </is>
      </c>
      <c r="G511" s="362" t="n"/>
      <c r="H511" s="17" t="inlineStr">
        <is>
          <t>รหัสวิชา</t>
        </is>
      </c>
      <c r="I511" s="275" t="inlineStr">
        <is>
          <t>ชั้น,แผนก,ห้อง</t>
        </is>
      </c>
      <c r="J511" s="17" t="inlineStr">
        <is>
          <t>เวลาสอน</t>
        </is>
      </c>
      <c r="K511" s="335" t="n"/>
      <c r="L511" s="17" t="inlineStr">
        <is>
          <t>ปวช.(คาบ)</t>
        </is>
      </c>
      <c r="M511" s="362" t="n"/>
      <c r="N511" s="244" t="inlineStr">
        <is>
          <t>เงิน</t>
        </is>
      </c>
      <c r="O511" s="275" t="inlineStr">
        <is>
          <t>ยอดเงิน</t>
        </is>
      </c>
      <c r="P511" s="473" t="inlineStr">
        <is>
          <t>ปวส.(คาบ)</t>
        </is>
      </c>
      <c r="Q511" s="362" t="n"/>
      <c r="R511" s="244" t="inlineStr">
        <is>
          <t>เงิน</t>
        </is>
      </c>
      <c r="S511" s="275" t="inlineStr">
        <is>
          <t>ยอดเงิน</t>
        </is>
      </c>
    </row>
    <row r="512" ht="22.2" customHeight="1" s="330">
      <c r="A512" s="60" t="n"/>
      <c r="B512" s="9" t="n"/>
      <c r="C512" s="10" t="n"/>
      <c r="D512" s="14" t="n"/>
      <c r="E512" s="11" t="n"/>
      <c r="F512" s="276" t="inlineStr">
        <is>
          <t>ส.</t>
        </is>
      </c>
      <c r="G512" s="276" t="inlineStr">
        <is>
          <t>วดป.</t>
        </is>
      </c>
      <c r="H512" s="474" t="n"/>
      <c r="I512" s="276" t="n"/>
      <c r="J512" s="475" t="n"/>
      <c r="K512" s="476" t="n"/>
      <c r="L512" s="276" t="inlineStr">
        <is>
          <t>ใน</t>
        </is>
      </c>
      <c r="M512" s="276" t="inlineStr">
        <is>
          <t>นอก</t>
        </is>
      </c>
      <c r="N512" s="276" t="inlineStr">
        <is>
          <t>ต่อ ชม.</t>
        </is>
      </c>
      <c r="O512" s="276" t="inlineStr">
        <is>
          <t>(บาท)</t>
        </is>
      </c>
      <c r="P512" s="60" t="inlineStr">
        <is>
          <t>ใน</t>
        </is>
      </c>
      <c r="Q512" s="60" t="inlineStr">
        <is>
          <t>นอก</t>
        </is>
      </c>
      <c r="R512" s="276" t="inlineStr">
        <is>
          <t>ต่อ ชม.</t>
        </is>
      </c>
      <c r="S512" s="276" t="inlineStr">
        <is>
          <t>(บาท)</t>
        </is>
      </c>
    </row>
    <row r="513" ht="22.2" customHeight="1" s="330">
      <c r="A513" s="275" t="n">
        <v>12</v>
      </c>
      <c r="B513" s="477">
        <f>AB14</f>
        <v/>
      </c>
      <c r="C513" s="334" t="n"/>
      <c r="D513" s="335" t="n"/>
      <c r="E513" s="275" t="inlineStr">
        <is>
          <t>ครู</t>
        </is>
      </c>
      <c r="F513" s="6">
        <f>F7</f>
        <v/>
      </c>
      <c r="G513" s="303" t="inlineStr">
        <is>
          <t>จันทร์</t>
        </is>
      </c>
      <c r="H513" s="332" t="inlineStr">
        <is>
          <t>20101-2008</t>
        </is>
      </c>
      <c r="I513" s="325" t="inlineStr">
        <is>
          <t>ปวช.1/8 ชย. (ปกติ)</t>
        </is>
      </c>
      <c r="J513" s="252" t="inlineStr">
        <is>
          <t>13.10-17.10</t>
        </is>
      </c>
      <c r="K513" s="331" t="n"/>
      <c r="L513" s="265" t="n"/>
      <c r="M513" s="332" t="n"/>
      <c r="N513" s="332" t="n"/>
      <c r="O513" s="244">
        <f>M513*N513</f>
        <v/>
      </c>
      <c r="P513" s="332" t="n"/>
      <c r="Q513" s="265" t="n"/>
      <c r="R513" s="332" t="n"/>
      <c r="S513" s="244">
        <f>Q513*R513</f>
        <v/>
      </c>
    </row>
    <row r="514" ht="22.2" customHeight="1" s="330">
      <c r="A514" s="4" t="n"/>
      <c r="B514" s="478" t="n"/>
      <c r="D514" s="331" t="n"/>
      <c r="E514" s="51" t="n"/>
      <c r="F514" s="249" t="n"/>
      <c r="G514" s="308">
        <f>G468</f>
        <v/>
      </c>
      <c r="H514" s="325" t="n"/>
      <c r="I514" s="325" t="n"/>
      <c r="J514" s="252" t="n"/>
      <c r="K514" s="331" t="n"/>
      <c r="L514" s="252" t="n"/>
      <c r="M514" s="252" t="n"/>
      <c r="N514" s="252" t="n"/>
      <c r="O514" s="244">
        <f>M514*N514</f>
        <v/>
      </c>
      <c r="P514" s="252" t="n"/>
      <c r="Q514" s="252" t="n"/>
      <c r="R514" s="252" t="n"/>
      <c r="S514" s="244">
        <f>Q514*R514</f>
        <v/>
      </c>
    </row>
    <row r="515" ht="22.2" customHeight="1" s="330">
      <c r="A515" s="4" t="n"/>
      <c r="B515" s="5" t="n"/>
      <c r="D515" s="3" t="n"/>
      <c r="E515" s="3" t="n"/>
      <c r="F515" s="249" t="n"/>
      <c r="G515" s="248" t="n"/>
      <c r="H515" s="252" t="n"/>
      <c r="I515" s="252" t="n"/>
      <c r="J515" s="252" t="n"/>
      <c r="K515" s="331" t="n"/>
      <c r="L515" s="252" t="n"/>
      <c r="M515" s="252" t="n"/>
      <c r="N515" s="252" t="n"/>
      <c r="O515" s="244">
        <f>M515*N515</f>
        <v/>
      </c>
      <c r="P515" s="252" t="n"/>
      <c r="Q515" s="252" t="n"/>
      <c r="R515" s="252" t="n"/>
      <c r="S515" s="244">
        <f>Q515*R515</f>
        <v/>
      </c>
    </row>
    <row r="516" ht="22.2" customHeight="1" s="330">
      <c r="A516" s="4" t="n"/>
      <c r="B516" s="5" t="n"/>
      <c r="E516" s="4" t="n"/>
      <c r="F516" s="249" t="n"/>
      <c r="G516" s="248" t="n"/>
      <c r="H516" s="252" t="n"/>
      <c r="I516" s="252" t="n"/>
      <c r="J516" s="252" t="n"/>
      <c r="K516" s="331" t="n"/>
      <c r="L516" s="252" t="n"/>
      <c r="M516" s="252" t="n"/>
      <c r="N516" s="252" t="n"/>
      <c r="O516" s="244">
        <f>M516*N516</f>
        <v/>
      </c>
      <c r="P516" s="252" t="n"/>
      <c r="Q516" s="252" t="n"/>
      <c r="R516" s="252" t="n"/>
      <c r="S516" s="244">
        <f>Q516*R516</f>
        <v/>
      </c>
    </row>
    <row r="517" ht="22.2" customHeight="1" s="330">
      <c r="A517" s="4" t="n"/>
      <c r="E517" s="4" t="n"/>
      <c r="G517" s="311" t="n"/>
      <c r="H517" s="276" t="n"/>
      <c r="I517" s="276" t="n"/>
      <c r="J517" s="276" t="n"/>
      <c r="K517" s="476" t="n"/>
      <c r="L517" s="252" t="n"/>
      <c r="M517" s="252" t="n"/>
      <c r="N517" s="252" t="n"/>
      <c r="O517" s="244">
        <f>M517*N517</f>
        <v/>
      </c>
      <c r="P517" s="252" t="n"/>
      <c r="Q517" s="252" t="n"/>
      <c r="R517" s="252" t="n"/>
      <c r="S517" s="244">
        <f>Q517*R517</f>
        <v/>
      </c>
    </row>
    <row r="518" ht="22.2" customHeight="1" s="330">
      <c r="A518" s="4" t="n"/>
      <c r="E518" s="4" t="n"/>
      <c r="G518" s="62" t="inlineStr">
        <is>
          <t>อังคาร</t>
        </is>
      </c>
      <c r="H518" s="325" t="inlineStr">
        <is>
          <t>20101-2002</t>
        </is>
      </c>
      <c r="I518" s="325" t="inlineStr">
        <is>
          <t>ปวช.2/7 ชย. (ปกติ)</t>
        </is>
      </c>
      <c r="J518" s="332" t="inlineStr">
        <is>
          <t>08.10-12.10</t>
        </is>
      </c>
      <c r="K518" s="335" t="n"/>
      <c r="L518" s="265" t="n"/>
      <c r="M518" s="332" t="n"/>
      <c r="N518" s="332" t="n"/>
      <c r="O518" s="244">
        <f>M518*N518</f>
        <v/>
      </c>
      <c r="P518" s="332" t="n"/>
      <c r="Q518" s="265" t="n"/>
      <c r="R518" s="332" t="n"/>
      <c r="S518" s="244">
        <f>Q518*R518</f>
        <v/>
      </c>
    </row>
    <row r="519" ht="22.2" customHeight="1" s="330">
      <c r="A519" s="4" t="n"/>
      <c r="E519" s="4" t="n"/>
      <c r="G519" s="308">
        <f>G473</f>
        <v/>
      </c>
      <c r="H519" s="325" t="inlineStr">
        <is>
          <t>20101-2002</t>
        </is>
      </c>
      <c r="I519" s="325" t="inlineStr">
        <is>
          <t>ปวช.2/7 ชย. (ปกติ)</t>
        </is>
      </c>
      <c r="J519" s="252" t="inlineStr">
        <is>
          <t>13.10-16.10</t>
        </is>
      </c>
      <c r="K519" s="331" t="n"/>
      <c r="L519" s="252" t="n"/>
      <c r="M519" s="252" t="n"/>
      <c r="N519" s="252" t="n"/>
      <c r="O519" s="244">
        <f>M519*N519</f>
        <v/>
      </c>
      <c r="P519" s="252" t="n"/>
      <c r="Q519" s="252" t="n"/>
      <c r="R519" s="252" t="n"/>
      <c r="S519" s="244">
        <f>Q519*R519</f>
        <v/>
      </c>
    </row>
    <row r="520" ht="22.2" customHeight="1" s="330">
      <c r="A520" s="4" t="n"/>
      <c r="B520" s="5" t="n"/>
      <c r="D520" s="3" t="n"/>
      <c r="E520" s="3" t="n"/>
      <c r="G520" s="252" t="n"/>
      <c r="H520" s="252" t="n"/>
      <c r="I520" s="252" t="n"/>
      <c r="J520" s="252" t="n"/>
      <c r="K520" s="331" t="n"/>
      <c r="L520" s="252" t="n"/>
      <c r="M520" s="252" t="n"/>
      <c r="N520" s="252" t="n"/>
      <c r="O520" s="244">
        <f>M520*N520</f>
        <v/>
      </c>
      <c r="P520" s="252" t="n"/>
      <c r="Q520" s="252" t="n"/>
      <c r="R520" s="252" t="n"/>
      <c r="S520" s="244">
        <f>Q520*R520</f>
        <v/>
      </c>
    </row>
    <row r="521" ht="22.2" customHeight="1" s="330">
      <c r="A521" s="4" t="n"/>
      <c r="E521" s="4" t="n"/>
      <c r="G521" s="62" t="n"/>
      <c r="H521" s="249" t="n"/>
      <c r="I521" s="252" t="n"/>
      <c r="J521" s="252" t="n"/>
      <c r="K521" s="331" t="n"/>
      <c r="L521" s="252" t="n"/>
      <c r="M521" s="252" t="n"/>
      <c r="N521" s="252" t="n"/>
      <c r="O521" s="244">
        <f>M521*N521</f>
        <v/>
      </c>
      <c r="P521" s="252" t="n"/>
      <c r="Q521" s="252" t="n"/>
      <c r="R521" s="252" t="n"/>
      <c r="S521" s="244">
        <f>Q521*R521</f>
        <v/>
      </c>
    </row>
    <row r="522" ht="22.2" customHeight="1" s="330">
      <c r="A522" s="4" t="n"/>
      <c r="D522" s="8" t="inlineStr">
        <is>
          <t> </t>
        </is>
      </c>
      <c r="E522" s="4" t="n"/>
      <c r="G522" s="63" t="n"/>
      <c r="H522" s="276" t="n"/>
      <c r="I522" s="276" t="n"/>
      <c r="J522" s="276" t="n"/>
      <c r="K522" s="476" t="n"/>
      <c r="L522" s="252" t="n"/>
      <c r="M522" s="252" t="n"/>
      <c r="N522" s="252" t="n"/>
      <c r="O522" s="244">
        <f>M522*N522</f>
        <v/>
      </c>
      <c r="P522" s="252" t="n"/>
      <c r="Q522" s="252" t="n"/>
      <c r="R522" s="252" t="n"/>
      <c r="S522" s="244">
        <f>Q522*R522</f>
        <v/>
      </c>
    </row>
    <row r="523" ht="22.2" customHeight="1" s="330">
      <c r="A523" s="4" t="n"/>
      <c r="E523" s="4" t="n"/>
      <c r="G523" s="308" t="inlineStr">
        <is>
          <t>พุธ</t>
        </is>
      </c>
      <c r="H523" s="325" t="n"/>
      <c r="I523" s="325" t="n"/>
      <c r="J523" s="332" t="n"/>
      <c r="K523" s="335" t="n"/>
      <c r="L523" s="265" t="n"/>
      <c r="M523" s="332" t="n"/>
      <c r="N523" s="332" t="n"/>
      <c r="O523" s="244">
        <f>M523*N523</f>
        <v/>
      </c>
      <c r="P523" s="332" t="n"/>
      <c r="Q523" s="265" t="n"/>
      <c r="R523" s="332" t="n"/>
      <c r="S523" s="244">
        <f>Q523*R523</f>
        <v/>
      </c>
    </row>
    <row r="524" ht="22.2" customHeight="1" s="330">
      <c r="A524" s="4" t="n"/>
      <c r="B524" s="248" t="n"/>
      <c r="C524" s="249" t="n"/>
      <c r="D524" s="249" t="n"/>
      <c r="E524" s="252" t="n"/>
      <c r="G524" s="308">
        <f>G478</f>
        <v/>
      </c>
      <c r="H524" s="325" t="n"/>
      <c r="I524" s="325" t="n"/>
      <c r="J524" s="252" t="n"/>
      <c r="K524" s="331" t="n"/>
      <c r="L524" s="252" t="n"/>
      <c r="M524" s="252" t="n"/>
      <c r="N524" s="252" t="n"/>
      <c r="O524" s="244">
        <f>M524*N524</f>
        <v/>
      </c>
      <c r="P524" s="252" t="n"/>
      <c r="Q524" s="252" t="n"/>
      <c r="R524" s="252" t="n"/>
      <c r="S524" s="244">
        <f>Q524*R524</f>
        <v/>
      </c>
    </row>
    <row r="525" ht="22.2" customHeight="1" s="330">
      <c r="A525" s="4" t="n"/>
      <c r="B525" s="5" t="n"/>
      <c r="D525" s="3" t="n"/>
      <c r="E525" s="3" t="n"/>
      <c r="G525" s="252" t="n"/>
      <c r="H525" s="325" t="n"/>
      <c r="I525" s="325" t="n"/>
      <c r="J525" s="252" t="n"/>
      <c r="K525" s="331" t="n"/>
      <c r="L525" s="252" t="n"/>
      <c r="M525" s="252" t="n"/>
      <c r="N525" s="252" t="n"/>
      <c r="O525" s="244">
        <f>M525*N525</f>
        <v/>
      </c>
      <c r="P525" s="252" t="n"/>
      <c r="Q525" s="252" t="n"/>
      <c r="R525" s="252" t="n"/>
      <c r="S525" s="244">
        <f>Q525*R525</f>
        <v/>
      </c>
    </row>
    <row r="526" ht="22.2" customHeight="1" s="330">
      <c r="A526" s="4" t="n"/>
      <c r="E526" s="4" t="n"/>
      <c r="G526" s="248" t="n"/>
      <c r="H526" s="252" t="n"/>
      <c r="I526" s="252" t="n"/>
      <c r="J526" s="252" t="n"/>
      <c r="K526" s="331" t="n"/>
      <c r="L526" s="252" t="n"/>
      <c r="M526" s="252" t="n"/>
      <c r="N526" s="252" t="n"/>
      <c r="O526" s="244">
        <f>M526*N526</f>
        <v/>
      </c>
      <c r="P526" s="252" t="n"/>
      <c r="Q526" s="252" t="n"/>
      <c r="R526" s="252" t="n"/>
      <c r="S526" s="244">
        <f>Q526*R526</f>
        <v/>
      </c>
    </row>
    <row r="527" ht="22.2" customHeight="1" s="330">
      <c r="A527" s="4" t="n"/>
      <c r="E527" s="4" t="n"/>
      <c r="G527" s="277" t="n"/>
      <c r="H527" s="276" t="n"/>
      <c r="I527" s="276" t="n"/>
      <c r="J527" s="276" t="n"/>
      <c r="K527" s="476" t="n"/>
      <c r="L527" s="276" t="n"/>
      <c r="M527" s="276" t="n"/>
      <c r="N527" s="276" t="n"/>
      <c r="O527" s="244">
        <f>M527*N527</f>
        <v/>
      </c>
      <c r="P527" s="276" t="n"/>
      <c r="Q527" s="276" t="n"/>
      <c r="R527" s="276" t="n"/>
      <c r="S527" s="244">
        <f>Q527*R527</f>
        <v/>
      </c>
    </row>
    <row r="528" ht="22.2" customHeight="1" s="330">
      <c r="A528" s="4" t="n"/>
      <c r="E528" s="4" t="n"/>
      <c r="G528" s="62" t="inlineStr">
        <is>
          <t>พฤหัส</t>
        </is>
      </c>
      <c r="H528" s="325" t="inlineStr">
        <is>
          <t>20101-2002</t>
        </is>
      </c>
      <c r="I528" s="325" t="inlineStr">
        <is>
          <t>ปวช.2/6 ชย. (ปกติ)</t>
        </is>
      </c>
      <c r="J528" s="332" t="inlineStr">
        <is>
          <t>08.10-12.10</t>
        </is>
      </c>
      <c r="K528" s="335" t="n"/>
      <c r="L528" s="252" t="n"/>
      <c r="M528" s="252" t="n"/>
      <c r="N528" s="252" t="n"/>
      <c r="O528" s="244">
        <f>M528*N528</f>
        <v/>
      </c>
      <c r="P528" s="208" t="n"/>
      <c r="Q528" s="209" t="n"/>
      <c r="R528" s="209" t="n"/>
      <c r="S528" s="244">
        <f>Q528*R528</f>
        <v/>
      </c>
    </row>
    <row r="529" ht="22.2" customHeight="1" s="330">
      <c r="A529" s="4" t="n"/>
      <c r="E529" s="4" t="n"/>
      <c r="G529" s="308">
        <f>G483</f>
        <v/>
      </c>
      <c r="H529" s="325" t="inlineStr">
        <is>
          <t>20000-2004</t>
        </is>
      </c>
      <c r="I529" s="325" t="inlineStr">
        <is>
          <t>ปวช.2/3 3/9,10 ชย.</t>
        </is>
      </c>
      <c r="J529" s="252" t="inlineStr">
        <is>
          <t>13.10-15.10</t>
        </is>
      </c>
      <c r="K529" s="331" t="n"/>
      <c r="L529" s="252" t="n"/>
      <c r="M529" s="252" t="n"/>
      <c r="N529" s="252" t="n"/>
      <c r="O529" s="244">
        <f>M529*N529</f>
        <v/>
      </c>
      <c r="P529" s="252" t="n"/>
      <c r="Q529" s="252" t="n"/>
      <c r="R529" s="252" t="n"/>
      <c r="S529" s="244">
        <f>Q529*R529</f>
        <v/>
      </c>
    </row>
    <row r="530" ht="22.2" customHeight="1" s="330">
      <c r="A530" s="4" t="n"/>
      <c r="B530" s="5" t="n"/>
      <c r="E530" s="4" t="n"/>
      <c r="G530" s="252" t="n"/>
      <c r="H530" s="325" t="inlineStr">
        <is>
          <t>20101-2002</t>
        </is>
      </c>
      <c r="I530" s="325" t="inlineStr">
        <is>
          <t>ปวช.2/6 ชย. (ปกติ)</t>
        </is>
      </c>
      <c r="J530" s="252" t="inlineStr">
        <is>
          <t>15.10-18.10</t>
        </is>
      </c>
      <c r="K530" s="331" t="n"/>
      <c r="L530" s="325" t="n"/>
      <c r="M530" s="325" t="n"/>
      <c r="N530" s="325" t="n"/>
      <c r="O530" s="244">
        <f>M530*N530</f>
        <v/>
      </c>
      <c r="P530" s="4" t="n"/>
      <c r="Q530" s="4" t="n"/>
      <c r="R530" s="4" t="n"/>
      <c r="S530" s="244">
        <f>Q530*R530</f>
        <v/>
      </c>
    </row>
    <row r="531" ht="22.2" customHeight="1" s="330">
      <c r="A531" s="4" t="n"/>
      <c r="E531" s="4" t="n"/>
      <c r="G531" s="252" t="n"/>
      <c r="H531" s="252" t="n"/>
      <c r="I531" s="252" t="n"/>
      <c r="J531" s="252" t="n"/>
      <c r="K531" s="331" t="n"/>
      <c r="L531" s="252" t="n"/>
      <c r="M531" s="252" t="n"/>
      <c r="N531" s="252" t="n"/>
      <c r="O531" s="244">
        <f>M531*N531</f>
        <v/>
      </c>
      <c r="P531" s="252" t="n"/>
      <c r="Q531" s="252" t="n"/>
      <c r="R531" s="252" t="n"/>
      <c r="S531" s="244">
        <f>Q531*R531</f>
        <v/>
      </c>
    </row>
    <row r="532" ht="22.2" customHeight="1" s="330">
      <c r="A532" s="4" t="n"/>
      <c r="E532" s="4" t="n"/>
      <c r="G532" s="276" t="n"/>
      <c r="H532" s="301" t="n"/>
      <c r="I532" s="276" t="n"/>
      <c r="J532" s="276" t="n"/>
      <c r="K532" s="476" t="n"/>
      <c r="L532" s="276" t="n"/>
      <c r="M532" s="276" t="n"/>
      <c r="N532" s="276" t="n"/>
      <c r="O532" s="244">
        <f>M532*N532</f>
        <v/>
      </c>
      <c r="P532" s="276" t="n"/>
      <c r="Q532" s="276" t="n"/>
      <c r="R532" s="276" t="n"/>
      <c r="S532" s="244">
        <f>Q532*R532</f>
        <v/>
      </c>
    </row>
    <row r="533" ht="22.2" customHeight="1" s="330">
      <c r="A533" s="4" t="n"/>
      <c r="E533" s="4" t="n"/>
      <c r="G533" s="62" t="inlineStr">
        <is>
          <t>ศุกร์</t>
        </is>
      </c>
      <c r="H533" s="325" t="inlineStr">
        <is>
          <t>20101-2002</t>
        </is>
      </c>
      <c r="I533" s="325" t="inlineStr">
        <is>
          <t>ปวช.2/5 ชย. (ปกติ)</t>
        </is>
      </c>
      <c r="J533" s="332" t="inlineStr">
        <is>
          <t>08.10-12.10</t>
        </is>
      </c>
      <c r="K533" s="335" t="n"/>
      <c r="L533" s="252" t="n"/>
      <c r="M533" s="252" t="n"/>
      <c r="N533" s="252" t="n"/>
      <c r="O533" s="244">
        <f>M533*N533</f>
        <v/>
      </c>
      <c r="P533" s="332" t="n"/>
      <c r="Q533" s="265" t="n"/>
      <c r="R533" s="332" t="n"/>
      <c r="S533" s="244">
        <f>Q533*R533</f>
        <v/>
      </c>
    </row>
    <row r="534" ht="22.2" customHeight="1" s="330">
      <c r="A534" s="4" t="n"/>
      <c r="E534" s="4" t="n"/>
      <c r="G534" s="308">
        <f>G488</f>
        <v/>
      </c>
      <c r="H534" s="325" t="inlineStr">
        <is>
          <t>20101-2002</t>
        </is>
      </c>
      <c r="I534" s="325" t="inlineStr">
        <is>
          <t>ปวช.2/5 ชย. (ปกติ)</t>
        </is>
      </c>
      <c r="J534" s="252" t="inlineStr">
        <is>
          <t>13.10-16.10</t>
        </is>
      </c>
      <c r="K534" s="331" t="n"/>
      <c r="L534" s="252" t="n"/>
      <c r="M534" s="252" t="n"/>
      <c r="N534" s="252" t="n"/>
      <c r="O534" s="244">
        <f>M534*N534</f>
        <v/>
      </c>
      <c r="P534" s="252" t="n"/>
      <c r="Q534" s="252" t="n"/>
      <c r="R534" s="252" t="n"/>
      <c r="S534" s="244">
        <f>Q534*R534</f>
        <v/>
      </c>
    </row>
    <row r="535" ht="22.2" customHeight="1" s="330">
      <c r="A535" s="4" t="n"/>
      <c r="E535" s="4" t="n"/>
      <c r="G535" s="252" t="n"/>
      <c r="H535" s="252" t="n"/>
      <c r="I535" s="252" t="n"/>
      <c r="J535" s="252" t="n"/>
      <c r="K535" s="331" t="n"/>
      <c r="L535" s="252" t="n"/>
      <c r="M535" s="252" t="n"/>
      <c r="N535" s="252" t="n"/>
      <c r="O535" s="244">
        <f>M535*N535</f>
        <v/>
      </c>
      <c r="P535" s="252" t="n"/>
      <c r="Q535" s="252" t="n"/>
      <c r="R535" s="252" t="n"/>
      <c r="S535" s="244">
        <f>Q535*R535</f>
        <v/>
      </c>
    </row>
    <row r="536" ht="22.2" customHeight="1" s="330">
      <c r="A536" s="4" t="n"/>
      <c r="E536" s="4" t="n"/>
      <c r="G536" s="252" t="n"/>
      <c r="H536" s="249" t="inlineStr">
        <is>
          <t> </t>
        </is>
      </c>
      <c r="I536" s="252" t="n"/>
      <c r="J536" s="252" t="n"/>
      <c r="K536" s="331" t="n"/>
      <c r="L536" s="252" t="n"/>
      <c r="M536" s="252" t="n"/>
      <c r="N536" s="252" t="n"/>
      <c r="O536" s="244">
        <f>M536*N536</f>
        <v/>
      </c>
      <c r="P536" s="252" t="n"/>
      <c r="Q536" s="252" t="n"/>
      <c r="R536" s="252" t="n"/>
      <c r="S536" s="244">
        <f>Q536*R536</f>
        <v/>
      </c>
    </row>
    <row r="537" ht="22.2" customHeight="1" s="330">
      <c r="A537" s="4" t="n"/>
      <c r="E537" s="4" t="n"/>
      <c r="F537" s="4" t="n"/>
      <c r="G537" s="278" t="n"/>
      <c r="H537" s="301" t="n"/>
      <c r="I537" s="276" t="n"/>
      <c r="J537" s="276" t="n"/>
      <c r="K537" s="476" t="n"/>
      <c r="L537" s="276" t="n"/>
      <c r="M537" s="276" t="n"/>
      <c r="N537" s="276" t="n"/>
      <c r="O537" s="244">
        <f>M537*N537</f>
        <v/>
      </c>
      <c r="P537" s="276" t="n"/>
      <c r="Q537" s="276" t="n"/>
      <c r="R537" s="276" t="n"/>
      <c r="S537" s="244">
        <f>Q537*R537</f>
        <v/>
      </c>
    </row>
    <row r="538" ht="22.2" customHeight="1" s="330">
      <c r="A538" s="4" t="n"/>
      <c r="E538" s="4" t="n"/>
      <c r="F538" s="4" t="n"/>
      <c r="G538" s="17" t="inlineStr">
        <is>
          <t>รวมขั่วโมงที่สอนแยก ภาระงาน/ เกินภาระงาน</t>
        </is>
      </c>
      <c r="H538" s="467" t="n"/>
      <c r="I538" s="467" t="n"/>
      <c r="J538" s="467" t="n"/>
      <c r="K538" s="362" t="n"/>
      <c r="L538" s="17">
        <f>SUM(L513:L537)</f>
        <v/>
      </c>
      <c r="M538" s="17">
        <f>SUM(M513:M537)</f>
        <v/>
      </c>
      <c r="N538" s="17" t="n"/>
      <c r="O538" s="17" t="n"/>
      <c r="P538" s="17">
        <f>SUM(P513:P537)</f>
        <v/>
      </c>
      <c r="Q538" s="17">
        <f>SUM(Q513:Q537)</f>
        <v/>
      </c>
      <c r="R538" s="279" t="n"/>
      <c r="S538" s="17" t="n"/>
    </row>
    <row r="539" ht="22.2" customHeight="1" s="330">
      <c r="A539" s="4" t="n"/>
      <c r="E539" s="4" t="n"/>
      <c r="F539" s="4" t="n"/>
      <c r="G539" s="17" t="inlineStr">
        <is>
          <t>รวมจำนวนชั่วโมงสอนคาบต่อสับดาห์</t>
        </is>
      </c>
      <c r="H539" s="467" t="n"/>
      <c r="I539" s="467" t="n"/>
      <c r="J539" s="467" t="n"/>
      <c r="K539" s="362" t="n"/>
      <c r="L539" s="17">
        <f>L538+M538</f>
        <v/>
      </c>
      <c r="M539" s="362" t="n"/>
      <c r="N539" s="17" t="n"/>
      <c r="O539" s="298" t="n"/>
      <c r="P539" s="17">
        <f>P538+Q538</f>
        <v/>
      </c>
      <c r="Q539" s="362" t="n"/>
      <c r="R539" s="278" t="n"/>
      <c r="S539" s="276" t="n"/>
    </row>
    <row r="540" ht="22.2" customHeight="1" s="330">
      <c r="A540" s="4" t="n"/>
      <c r="E540" s="4" t="n"/>
      <c r="F540" s="4" t="n"/>
      <c r="G540" s="17" t="inlineStr">
        <is>
          <t>จำนวนชั่วโมงสอนตามภาระงานสอน</t>
        </is>
      </c>
      <c r="H540" s="467" t="n"/>
      <c r="I540" s="467" t="n"/>
      <c r="J540" s="467" t="n"/>
      <c r="K540" s="362" t="n"/>
      <c r="L540" s="153" t="inlineStr">
        <is>
          <t>12</t>
        </is>
      </c>
      <c r="M540" s="362" t="n"/>
      <c r="N540" s="152" t="n"/>
      <c r="O540" s="153" t="n"/>
      <c r="P540" s="153" t="inlineStr">
        <is>
          <t>0</t>
        </is>
      </c>
      <c r="Q540" s="362" t="n"/>
      <c r="R540" s="249" t="n"/>
      <c r="S540" s="252" t="n"/>
    </row>
    <row r="541" ht="22.2" customHeight="1" s="330" thickBot="1">
      <c r="A541" s="4" t="n"/>
      <c r="E541" s="4" t="n"/>
      <c r="F541" s="15" t="n"/>
      <c r="G541" s="17" t="inlineStr">
        <is>
          <t>จำนวนชั่วโมงบิกเกินภาระงานสอน/ค่าสอน</t>
        </is>
      </c>
      <c r="H541" s="467" t="n"/>
      <c r="I541" s="467" t="n"/>
      <c r="J541" s="467" t="n"/>
      <c r="K541" s="362" t="n"/>
      <c r="L541" s="18" t="n">
        <v>0</v>
      </c>
      <c r="M541" s="18">
        <f>SUM(M513:M537)</f>
        <v/>
      </c>
      <c r="N541" s="18" t="n"/>
      <c r="O541" s="18">
        <f>SUM(O513:O537)</f>
        <v/>
      </c>
      <c r="P541" s="18" t="n">
        <v>0</v>
      </c>
      <c r="Q541" s="18">
        <f>SUM(Q513:Q537)</f>
        <v/>
      </c>
      <c r="R541" s="19" t="n"/>
      <c r="S541" s="18">
        <f>SUM(S513:S537)</f>
        <v/>
      </c>
    </row>
    <row r="542" ht="22.2" customHeight="1" s="330" thickTop="1">
      <c r="A542" s="299" t="inlineStr">
        <is>
          <t>รวมจำนวนหน่วยชั่วโมงที่ขอเบิกค่าสอน ….</t>
        </is>
      </c>
      <c r="B542" s="467" t="n"/>
      <c r="C542" s="467" t="n"/>
      <c r="D542" s="467" t="n"/>
      <c r="E542" s="467" t="n"/>
      <c r="F542" s="467" t="n"/>
      <c r="G542" s="467" t="n"/>
      <c r="H542" s="298">
        <f>M541+Q541</f>
        <v/>
      </c>
      <c r="I542" s="298" t="inlineStr">
        <is>
          <t>….ชั่วโมง</t>
        </is>
      </c>
      <c r="J542" s="298" t="n"/>
      <c r="K542" s="301" t="inlineStr">
        <is>
          <t>ยอดเงินรวม</t>
        </is>
      </c>
      <c r="L542" s="471" t="n"/>
      <c r="M542" s="471" t="n"/>
      <c r="N542" s="301" t="n"/>
      <c r="O542" s="301" t="n"/>
      <c r="P542" s="302">
        <f>S541+O541</f>
        <v/>
      </c>
      <c r="Q542" s="482" t="n"/>
      <c r="R542" s="21" t="n"/>
      <c r="S542" s="20" t="inlineStr">
        <is>
          <t>..บาท</t>
        </is>
      </c>
    </row>
    <row r="543" ht="22.2" customHeight="1" s="330">
      <c r="A543" s="207" t="inlineStr">
        <is>
          <t>ผู้ขอเบิก</t>
        </is>
      </c>
      <c r="B543" s="334" t="n"/>
      <c r="C543" s="334" t="n"/>
      <c r="D543" s="334" t="n"/>
      <c r="E543" s="334" t="n"/>
      <c r="F543" s="334" t="n"/>
      <c r="G543" s="335" t="n"/>
      <c r="H543" s="207" t="inlineStr">
        <is>
          <t>ผู้รับรอง</t>
        </is>
      </c>
      <c r="I543" s="334" t="n"/>
      <c r="J543" s="334" t="n"/>
      <c r="K543" s="334" t="n"/>
      <c r="L543" s="335" t="n"/>
      <c r="M543" s="207" t="inlineStr">
        <is>
          <t>ผู้ตรวจ</t>
        </is>
      </c>
      <c r="N543" s="334" t="n"/>
      <c r="O543" s="334" t="n"/>
      <c r="P543" s="334" t="n"/>
      <c r="Q543" s="334" t="n"/>
      <c r="R543" s="334" t="n"/>
      <c r="S543" s="335" t="n"/>
    </row>
    <row r="544" ht="22.2" customHeight="1" s="330">
      <c r="A544" s="252" t="inlineStr">
        <is>
          <t>ลงชื่อ……………………………………………</t>
        </is>
      </c>
      <c r="G544" s="331" t="n"/>
      <c r="H544" s="252" t="inlineStr">
        <is>
          <t>ลงชื่อ……………………………………………</t>
        </is>
      </c>
      <c r="L544" s="331" t="n"/>
      <c r="M544" s="252" t="inlineStr">
        <is>
          <t>ลงชื่อ……………………………………………</t>
        </is>
      </c>
      <c r="S544" s="331" t="n"/>
    </row>
    <row r="545" ht="22.2" customHeight="1" s="330">
      <c r="A545" s="12" t="inlineStr">
        <is>
          <t>(</t>
        </is>
      </c>
      <c r="B545" s="309">
        <f>B513</f>
        <v/>
      </c>
      <c r="G545" s="310" t="inlineStr">
        <is>
          <t>)</t>
        </is>
      </c>
      <c r="H545" s="309" t="inlineStr">
        <is>
          <t>(</t>
        </is>
      </c>
      <c r="I545" s="314">
        <f>I499</f>
        <v/>
      </c>
      <c r="L545" s="13" t="inlineStr">
        <is>
          <t>)</t>
        </is>
      </c>
      <c r="M545" s="61" t="inlineStr">
        <is>
          <t>(</t>
        </is>
      </c>
      <c r="N545" s="61" t="n"/>
      <c r="O545" s="309" t="inlineStr">
        <is>
          <t>นายพิสุทธิศักดิ์  กล่อมนาค</t>
        </is>
      </c>
      <c r="R545" s="29" t="n"/>
      <c r="S545" s="310" t="inlineStr">
        <is>
          <t>)</t>
        </is>
      </c>
    </row>
    <row r="546" ht="22.2" customHeight="1" s="330">
      <c r="A546" s="483" t="inlineStr">
        <is>
          <t xml:space="preserve">                 ตำแหน่ง  ครู </t>
        </is>
      </c>
      <c r="G546" s="331" t="n"/>
      <c r="H546" s="62" t="inlineStr">
        <is>
          <t>ตำแหน่ง หัวหน้าแผนก</t>
        </is>
      </c>
      <c r="L546" s="331" t="n"/>
      <c r="M546" s="62" t="inlineStr">
        <is>
          <t>ตำแหน่ง   ผู้ตรวจสอบ</t>
        </is>
      </c>
      <c r="S546" s="331" t="n"/>
    </row>
    <row r="547" ht="22.2" customHeight="1" s="330">
      <c r="A547" s="63">
        <f>A87</f>
        <v/>
      </c>
      <c r="B547" s="471" t="n"/>
      <c r="C547" s="471" t="n"/>
      <c r="D547" s="471" t="n"/>
      <c r="E547" s="471" t="n"/>
      <c r="F547" s="471" t="n"/>
      <c r="G547" s="476" t="n"/>
      <c r="H547" s="62">
        <f>A87</f>
        <v/>
      </c>
      <c r="L547" s="331" t="n"/>
      <c r="M547" s="63">
        <f>A87</f>
        <v/>
      </c>
      <c r="N547" s="471" t="n"/>
      <c r="O547" s="471" t="n"/>
      <c r="P547" s="471" t="n"/>
      <c r="Q547" s="471" t="n"/>
      <c r="R547" s="471" t="n"/>
      <c r="S547" s="476" t="n"/>
    </row>
    <row r="548" ht="22.2" customHeight="1" s="330">
      <c r="A548" s="207" t="inlineStr">
        <is>
          <t>ผู้ตรวจ</t>
        </is>
      </c>
      <c r="B548" s="334" t="n"/>
      <c r="C548" s="334" t="n"/>
      <c r="D548" s="334" t="n"/>
      <c r="E548" s="334" t="n"/>
      <c r="F548" s="334" t="n"/>
      <c r="G548" s="334" t="n"/>
      <c r="H548" s="334" t="n"/>
      <c r="I548" s="335" t="n"/>
      <c r="J548" s="207" t="inlineStr">
        <is>
          <t>ผู้เห็นชอบ</t>
        </is>
      </c>
      <c r="K548" s="334" t="n"/>
      <c r="L548" s="334" t="n"/>
      <c r="M548" s="334" t="n"/>
      <c r="N548" s="334" t="n"/>
      <c r="O548" s="334" t="n"/>
      <c r="P548" s="334" t="n"/>
      <c r="Q548" s="334" t="n"/>
      <c r="R548" s="334" t="n"/>
      <c r="S548" s="335" t="n"/>
    </row>
    <row r="549" ht="22.2" customHeight="1" s="330">
      <c r="A549" s="252" t="inlineStr">
        <is>
          <t>ลงชื่อ……………………………………………</t>
        </is>
      </c>
      <c r="I549" s="331" t="n"/>
      <c r="J549" s="252" t="inlineStr">
        <is>
          <t>ลงชื่อ……………………………………………</t>
        </is>
      </c>
      <c r="S549" s="331" t="n"/>
    </row>
    <row r="550" ht="22.2" customHeight="1" s="330">
      <c r="A550" s="12" t="n"/>
      <c r="B550" s="309" t="inlineStr">
        <is>
          <t xml:space="preserve">          (นางศิวรักษ์   บุญประเสริฐ)</t>
        </is>
      </c>
      <c r="I550" s="310" t="n"/>
      <c r="J550" s="29" t="n"/>
      <c r="K550" s="29" t="n"/>
      <c r="L550" s="309" t="inlineStr">
        <is>
          <t>(นายปรีชา  โพธิ์เกิด)</t>
        </is>
      </c>
      <c r="R550" s="29" t="n"/>
      <c r="S550" s="13" t="n"/>
    </row>
    <row r="551" ht="22.2" customHeight="1" s="330">
      <c r="A551" s="62" t="inlineStr">
        <is>
          <t>ตำแหน่งครู  หัวหน้างานพัฒนาหลักสูตร ฯ</t>
        </is>
      </c>
      <c r="I551" s="331" t="n"/>
      <c r="J551" s="62" t="inlineStr">
        <is>
          <t>ตำแหน่ง  รองผู้อำนวยการฝ่ายวิชาการ</t>
        </is>
      </c>
      <c r="S551" s="331" t="n"/>
    </row>
    <row r="552" ht="22.2" customHeight="1" s="330">
      <c r="A552" s="63">
        <f>A87</f>
        <v/>
      </c>
      <c r="B552" s="471" t="n"/>
      <c r="C552" s="471" t="n"/>
      <c r="D552" s="471" t="n"/>
      <c r="E552" s="471" t="n"/>
      <c r="F552" s="471" t="n"/>
      <c r="G552" s="471" t="n"/>
      <c r="H552" s="471" t="n"/>
      <c r="I552" s="476" t="n"/>
      <c r="J552" s="63">
        <f>A87</f>
        <v/>
      </c>
      <c r="K552" s="471" t="n"/>
      <c r="L552" s="471" t="n"/>
      <c r="M552" s="471" t="n"/>
      <c r="N552" s="471" t="n"/>
      <c r="O552" s="471" t="n"/>
      <c r="P552" s="471" t="n"/>
      <c r="Q552" s="471" t="n"/>
      <c r="R552" s="471" t="n"/>
      <c r="S552" s="476" t="n"/>
    </row>
    <row r="553" ht="22.2" customHeight="1" s="330">
      <c r="A55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554" ht="22.2" customHeight="1" s="330">
      <c r="A554" s="254">
        <f>A2</f>
        <v/>
      </c>
    </row>
    <row r="555" ht="22.2" customHeight="1" s="330">
      <c r="A555" s="253" t="inlineStr">
        <is>
          <t xml:space="preserve">    ระหว่างวันที่</t>
        </is>
      </c>
      <c r="D555" s="254">
        <f>D3</f>
        <v/>
      </c>
      <c r="E555" s="254" t="inlineStr">
        <is>
          <t xml:space="preserve">   เดือน  </t>
        </is>
      </c>
      <c r="F555" s="254">
        <f>F3</f>
        <v/>
      </c>
      <c r="H555" s="254">
        <f>H3</f>
        <v/>
      </c>
      <c r="I555" s="254" t="inlineStr">
        <is>
          <t xml:space="preserve">     ถึง วันที่</t>
        </is>
      </c>
      <c r="J555" s="254">
        <f>J3</f>
        <v/>
      </c>
      <c r="K555" s="254" t="inlineStr">
        <is>
          <t xml:space="preserve">   เดือน </t>
        </is>
      </c>
      <c r="L555" s="254">
        <f>L3</f>
        <v/>
      </c>
      <c r="N555" s="254">
        <f>N3</f>
        <v/>
      </c>
      <c r="P555" s="254" t="n"/>
      <c r="R555" s="254" t="n"/>
    </row>
    <row r="556" ht="22.2" customHeight="1" s="330">
      <c r="G556" s="58" t="inlineStr">
        <is>
          <t>ü</t>
        </is>
      </c>
      <c r="H556" s="301" t="inlineStr">
        <is>
          <t>ครู</t>
        </is>
      </c>
      <c r="I556" s="301" t="inlineStr">
        <is>
          <t>หน้าที่พิเศษ</t>
        </is>
      </c>
      <c r="J556" s="290" t="n"/>
      <c r="K556" s="290" t="n"/>
      <c r="L556" s="290" t="n"/>
      <c r="M556" s="290" t="n"/>
      <c r="N556" s="290" t="n"/>
      <c r="O556" s="290" t="n"/>
      <c r="P556" s="290" t="n"/>
      <c r="Q556" s="290" t="n"/>
      <c r="R556" s="290" t="n"/>
      <c r="S556" s="290" t="n"/>
    </row>
    <row r="557" ht="22.2" customHeight="1" s="330">
      <c r="A557" s="28" t="inlineStr">
        <is>
          <t>ที่</t>
        </is>
      </c>
      <c r="B557" s="28" t="inlineStr">
        <is>
          <t>ชื่อ-สกุล</t>
        </is>
      </c>
      <c r="C557" s="334" t="n"/>
      <c r="D557" s="335" t="n"/>
      <c r="E557" s="16" t="inlineStr">
        <is>
          <t>ตำแหน่ง</t>
        </is>
      </c>
      <c r="F557" s="17" t="inlineStr">
        <is>
          <t>ระยะเวลาที่สอน</t>
        </is>
      </c>
      <c r="G557" s="362" t="n"/>
      <c r="H557" s="17" t="inlineStr">
        <is>
          <t>รหัสวิชา</t>
        </is>
      </c>
      <c r="I557" s="275" t="inlineStr">
        <is>
          <t>ชั้น,แผนก,ห้อง</t>
        </is>
      </c>
      <c r="J557" s="17" t="inlineStr">
        <is>
          <t>เวลาสอน</t>
        </is>
      </c>
      <c r="K557" s="335" t="n"/>
      <c r="L557" s="17" t="inlineStr">
        <is>
          <t>ปวช.(คาบ)</t>
        </is>
      </c>
      <c r="M557" s="362" t="n"/>
      <c r="N557" s="244" t="inlineStr">
        <is>
          <t>เงิน</t>
        </is>
      </c>
      <c r="O557" s="275" t="inlineStr">
        <is>
          <t>ยอดเงิน</t>
        </is>
      </c>
      <c r="P557" s="473" t="inlineStr">
        <is>
          <t>ปวส.(คาบ)</t>
        </is>
      </c>
      <c r="Q557" s="362" t="n"/>
      <c r="R557" s="244" t="inlineStr">
        <is>
          <t>เงิน</t>
        </is>
      </c>
      <c r="S557" s="275" t="inlineStr">
        <is>
          <t>ยอดเงิน</t>
        </is>
      </c>
    </row>
    <row r="558" ht="22.2" customHeight="1" s="330">
      <c r="A558" s="60" t="n"/>
      <c r="B558" s="9" t="n"/>
      <c r="C558" s="10" t="n"/>
      <c r="D558" s="14" t="n"/>
      <c r="E558" s="11" t="n"/>
      <c r="F558" s="276" t="inlineStr">
        <is>
          <t>ส.</t>
        </is>
      </c>
      <c r="G558" s="276" t="inlineStr">
        <is>
          <t>วดป.</t>
        </is>
      </c>
      <c r="H558" s="474" t="n"/>
      <c r="I558" s="276" t="n"/>
      <c r="J558" s="475" t="n"/>
      <c r="K558" s="476" t="n"/>
      <c r="L558" s="276" t="inlineStr">
        <is>
          <t>ใน</t>
        </is>
      </c>
      <c r="M558" s="276" t="inlineStr">
        <is>
          <t>นอก</t>
        </is>
      </c>
      <c r="N558" s="276" t="inlineStr">
        <is>
          <t>ต่อ ชม.</t>
        </is>
      </c>
      <c r="O558" s="276" t="inlineStr">
        <is>
          <t>(บาท)</t>
        </is>
      </c>
      <c r="P558" s="60" t="inlineStr">
        <is>
          <t>ใน</t>
        </is>
      </c>
      <c r="Q558" s="60" t="inlineStr">
        <is>
          <t>นอก</t>
        </is>
      </c>
      <c r="R558" s="276" t="inlineStr">
        <is>
          <t>ต่อ ชม.</t>
        </is>
      </c>
      <c r="S558" s="276" t="inlineStr">
        <is>
          <t>(บาท)</t>
        </is>
      </c>
    </row>
    <row r="559" ht="22.2" customHeight="1" s="330">
      <c r="A559" s="275" t="n">
        <v>13</v>
      </c>
      <c r="B559" s="477">
        <f>AB15</f>
        <v/>
      </c>
      <c r="C559" s="334" t="n"/>
      <c r="D559" s="335" t="n"/>
      <c r="E559" s="275" t="inlineStr">
        <is>
          <t>ครู</t>
        </is>
      </c>
      <c r="F559" s="6">
        <f>F7</f>
        <v/>
      </c>
      <c r="G559" s="303" t="inlineStr">
        <is>
          <t>จันทร์</t>
        </is>
      </c>
      <c r="H559" s="332" t="n"/>
      <c r="I559" s="332" t="n"/>
      <c r="J559" s="332" t="n"/>
      <c r="K559" s="335" t="n"/>
      <c r="L559" s="265" t="n"/>
      <c r="M559" s="332" t="n"/>
      <c r="N559" s="332" t="n"/>
      <c r="O559" s="244">
        <f>M559*N559</f>
        <v/>
      </c>
      <c r="P559" s="332" t="n"/>
      <c r="Q559" s="265" t="n"/>
      <c r="R559" s="332" t="n"/>
      <c r="S559" s="244">
        <f>Q559*R559</f>
        <v/>
      </c>
    </row>
    <row r="560" ht="22.2" customHeight="1" s="330">
      <c r="A560" s="4" t="n"/>
      <c r="B560" s="478" t="n"/>
      <c r="D560" s="331" t="n"/>
      <c r="E560" s="252" t="n"/>
      <c r="F560" s="249" t="n"/>
      <c r="G560" s="308">
        <f>G468</f>
        <v/>
      </c>
      <c r="H560" s="325" t="n"/>
      <c r="I560" s="325" t="n"/>
      <c r="J560" s="252" t="n"/>
      <c r="K560" s="331" t="n"/>
      <c r="L560" s="252" t="n"/>
      <c r="M560" s="252" t="n"/>
      <c r="N560" s="252" t="n"/>
      <c r="O560" s="244">
        <f>M560*N560</f>
        <v/>
      </c>
      <c r="P560" s="252" t="n"/>
      <c r="Q560" s="252" t="n"/>
      <c r="R560" s="252" t="n"/>
      <c r="S560" s="244">
        <f>Q560*R560</f>
        <v/>
      </c>
      <c r="T560" s="290" t="n"/>
    </row>
    <row r="561" ht="22.2" customHeight="1" s="330">
      <c r="A561" s="4" t="n"/>
      <c r="B561" s="5" t="n"/>
      <c r="D561" s="3" t="n"/>
      <c r="E561" s="3" t="n"/>
      <c r="F561" s="249" t="n"/>
      <c r="G561" s="248" t="n"/>
      <c r="H561" s="325" t="n"/>
      <c r="I561" s="252" t="n"/>
      <c r="J561" s="252" t="n"/>
      <c r="K561" s="331" t="n"/>
      <c r="L561" s="252" t="n"/>
      <c r="M561" s="252" t="n"/>
      <c r="N561" s="252" t="n"/>
      <c r="O561" s="244">
        <f>M561*N561</f>
        <v/>
      </c>
      <c r="P561" s="252" t="n"/>
      <c r="Q561" s="252" t="n"/>
      <c r="R561" s="252" t="n"/>
      <c r="S561" s="244">
        <f>Q561*R561</f>
        <v/>
      </c>
    </row>
    <row r="562" ht="22.2" customHeight="1" s="330">
      <c r="A562" s="4" t="n"/>
      <c r="B562" s="5" t="n"/>
      <c r="E562" s="4" t="n"/>
      <c r="F562" s="249" t="n"/>
      <c r="G562" s="248" t="n"/>
      <c r="H562" s="252" t="n"/>
      <c r="I562" s="252" t="n"/>
      <c r="J562" s="252" t="n"/>
      <c r="K562" s="331" t="n"/>
      <c r="L562" s="252" t="n"/>
      <c r="M562" s="252" t="n"/>
      <c r="N562" s="252" t="n"/>
      <c r="O562" s="244">
        <f>M562*N562</f>
        <v/>
      </c>
      <c r="P562" s="252" t="n"/>
      <c r="Q562" s="252" t="n"/>
      <c r="R562" s="252" t="n"/>
      <c r="S562" s="244">
        <f>Q562*R562</f>
        <v/>
      </c>
    </row>
    <row r="563" ht="22.2" customHeight="1" s="330">
      <c r="A563" s="4" t="n"/>
      <c r="E563" s="4" t="n"/>
      <c r="G563" s="311" t="n"/>
      <c r="H563" s="276" t="n"/>
      <c r="I563" s="276" t="n"/>
      <c r="J563" s="276" t="n"/>
      <c r="K563" s="476" t="n"/>
      <c r="L563" s="252" t="n"/>
      <c r="M563" s="252" t="n"/>
      <c r="N563" s="252" t="n"/>
      <c r="O563" s="244">
        <f>M563*N563</f>
        <v/>
      </c>
      <c r="P563" s="252" t="n"/>
      <c r="Q563" s="252" t="n"/>
      <c r="R563" s="252" t="n"/>
      <c r="S563" s="244">
        <f>Q563*R563</f>
        <v/>
      </c>
    </row>
    <row r="564" ht="22.2" customHeight="1" s="330">
      <c r="A564" s="4" t="n"/>
      <c r="E564" s="4" t="n"/>
      <c r="G564" s="62" t="inlineStr">
        <is>
          <t>อังคาร</t>
        </is>
      </c>
      <c r="H564" s="332" t="inlineStr">
        <is>
          <t>20101-2007</t>
        </is>
      </c>
      <c r="I564" s="325" t="inlineStr">
        <is>
          <t>ปวช.3/9,10 ชย. (ทวิ)</t>
        </is>
      </c>
      <c r="J564" s="332" t="inlineStr">
        <is>
          <t>08.10-10.10</t>
        </is>
      </c>
      <c r="K564" s="335" t="n"/>
      <c r="L564" s="265" t="n"/>
      <c r="M564" s="332" t="n"/>
      <c r="N564" s="332" t="n"/>
      <c r="O564" s="244">
        <f>M564*N564</f>
        <v/>
      </c>
      <c r="P564" s="332" t="n"/>
      <c r="Q564" s="265" t="n"/>
      <c r="R564" s="332" t="n"/>
      <c r="S564" s="244">
        <f>Q564*R564</f>
        <v/>
      </c>
      <c r="T564" s="24" t="n"/>
      <c r="U564" s="24" t="inlineStr">
        <is>
          <t>สอน ป.ตรี</t>
        </is>
      </c>
      <c r="V564" s="65" t="n"/>
      <c r="W564" s="24" t="n"/>
      <c r="X564" s="24" t="n"/>
    </row>
    <row r="565" ht="22.2" customHeight="1" s="330">
      <c r="A565" s="4" t="n"/>
      <c r="E565" s="4" t="n"/>
      <c r="G565" s="308">
        <f>G473</f>
        <v/>
      </c>
      <c r="H565" s="325" t="inlineStr">
        <is>
          <t>20101-2006</t>
        </is>
      </c>
      <c r="I565" s="325" t="inlineStr">
        <is>
          <t>ปวช.2/1,2 ชย. (ปกติ)</t>
        </is>
      </c>
      <c r="J565" s="325" t="inlineStr">
        <is>
          <t>10.10-12.10</t>
        </is>
      </c>
      <c r="K565" s="331" t="n"/>
      <c r="L565" s="252" t="n"/>
      <c r="M565" s="252" t="n"/>
      <c r="N565" s="252" t="n"/>
      <c r="O565" s="244">
        <f>M565*N565</f>
        <v/>
      </c>
      <c r="P565" s="252" t="n"/>
      <c r="Q565" s="252" t="n"/>
      <c r="R565" s="252" t="n"/>
      <c r="S565" s="244">
        <f>Q565*R565</f>
        <v/>
      </c>
      <c r="T565" s="24" t="n"/>
      <c r="U565" s="24" t="inlineStr">
        <is>
          <t>18.10-21.10</t>
        </is>
      </c>
      <c r="V565" s="65" t="n"/>
      <c r="W565" s="24" t="n"/>
      <c r="X565" s="24" t="n"/>
    </row>
    <row r="566" ht="22.2" customHeight="1" s="330">
      <c r="A566" s="4" t="n"/>
      <c r="B566" s="5" t="n"/>
      <c r="D566" s="3" t="n"/>
      <c r="E566" s="3" t="n"/>
      <c r="G566" s="252" t="n"/>
      <c r="H566" s="325" t="inlineStr">
        <is>
          <t>20101-2006</t>
        </is>
      </c>
      <c r="I566" s="325" t="inlineStr">
        <is>
          <t>ปวช.2/5,6 ชย. (ปกติ)</t>
        </is>
      </c>
      <c r="J566" s="252" t="inlineStr">
        <is>
          <t>17.10-19.10</t>
        </is>
      </c>
      <c r="K566" s="331" t="n"/>
      <c r="L566" s="252" t="n"/>
      <c r="M566" s="252" t="n"/>
      <c r="N566" s="252" t="n"/>
      <c r="O566" s="244">
        <f>M566*N566</f>
        <v/>
      </c>
      <c r="P566" s="252" t="n"/>
      <c r="Q566" s="252" t="n"/>
      <c r="R566" s="252" t="n"/>
      <c r="S566" s="244">
        <f>Q566*R566</f>
        <v/>
      </c>
    </row>
    <row r="567" ht="22.2" customHeight="1" s="330">
      <c r="A567" s="4" t="n"/>
      <c r="E567" s="4" t="n"/>
      <c r="G567" s="62" t="n"/>
      <c r="H567" s="249" t="n"/>
      <c r="I567" s="252" t="n"/>
      <c r="J567" s="252" t="n"/>
      <c r="K567" s="331" t="n"/>
      <c r="L567" s="252" t="n"/>
      <c r="M567" s="252" t="n"/>
      <c r="N567" s="252" t="n"/>
      <c r="O567" s="244">
        <f>M567*N567</f>
        <v/>
      </c>
      <c r="P567" s="252" t="n"/>
      <c r="Q567" s="252" t="n"/>
      <c r="R567" s="252" t="n"/>
      <c r="S567" s="244">
        <f>Q567*R567</f>
        <v/>
      </c>
    </row>
    <row r="568" ht="22.2" customHeight="1" s="330">
      <c r="A568" s="4" t="n"/>
      <c r="D568" s="8" t="inlineStr">
        <is>
          <t> </t>
        </is>
      </c>
      <c r="E568" s="4" t="n"/>
      <c r="G568" s="63" t="n"/>
      <c r="H568" s="276" t="n"/>
      <c r="I568" s="276" t="n"/>
      <c r="J568" s="276" t="n"/>
      <c r="K568" s="476" t="n"/>
      <c r="L568" s="252" t="n"/>
      <c r="M568" s="252" t="n"/>
      <c r="N568" s="252" t="n"/>
      <c r="O568" s="244">
        <f>M568*N568</f>
        <v/>
      </c>
      <c r="P568" s="252" t="n"/>
      <c r="Q568" s="252" t="n"/>
      <c r="R568" s="252" t="n"/>
      <c r="S568" s="244">
        <f>Q568*R568</f>
        <v/>
      </c>
    </row>
    <row r="569" ht="22.2" customHeight="1" s="330">
      <c r="A569" s="4" t="n"/>
      <c r="E569" s="4" t="n"/>
      <c r="G569" s="308" t="inlineStr">
        <is>
          <t>พุธ</t>
        </is>
      </c>
      <c r="H569" s="325" t="inlineStr">
        <is>
          <t>20101-2209</t>
        </is>
      </c>
      <c r="I569" s="325" t="inlineStr">
        <is>
          <t>ปวช.2/5,6 ชย. (ปกติ)</t>
        </is>
      </c>
      <c r="J569" s="332" t="inlineStr">
        <is>
          <t>08.10-12.10</t>
        </is>
      </c>
      <c r="K569" s="335" t="n"/>
      <c r="L569" s="265" t="n"/>
      <c r="M569" s="332" t="n"/>
      <c r="N569" s="332" t="n"/>
      <c r="O569" s="244">
        <f>M569*N569</f>
        <v/>
      </c>
      <c r="P569" s="332" t="n"/>
      <c r="Q569" s="265" t="n"/>
      <c r="R569" s="332" t="n"/>
      <c r="S569" s="244">
        <f>Q569*R569</f>
        <v/>
      </c>
      <c r="T569" s="7" t="n"/>
      <c r="U569" s="23" t="inlineStr">
        <is>
          <t>เบิก ธุรการ</t>
        </is>
      </c>
      <c r="V569" s="66" t="n"/>
      <c r="W569" s="22" t="n"/>
      <c r="X569" s="22" t="n"/>
    </row>
    <row r="570" ht="22.2" customHeight="1" s="330">
      <c r="A570" s="4" t="n"/>
      <c r="B570" s="248" t="n"/>
      <c r="C570" s="249" t="n"/>
      <c r="D570" s="249" t="n"/>
      <c r="E570" s="252" t="n"/>
      <c r="G570" s="308">
        <f>G478</f>
        <v/>
      </c>
      <c r="H570" s="325" t="inlineStr">
        <is>
          <t>20101-2209</t>
        </is>
      </c>
      <c r="I570" s="325" t="inlineStr">
        <is>
          <t>ปวช.2/5,6 ชย. (ปกติ)</t>
        </is>
      </c>
      <c r="J570" s="252" t="inlineStr">
        <is>
          <t>13.10-16.10</t>
        </is>
      </c>
      <c r="K570" s="331" t="n"/>
      <c r="L570" s="252" t="n"/>
      <c r="M570" s="252" t="n"/>
      <c r="N570" s="252" t="n"/>
      <c r="O570" s="244">
        <f>M570*N570</f>
        <v/>
      </c>
      <c r="P570" s="252" t="n"/>
      <c r="Q570" s="252" t="n"/>
      <c r="R570" s="252" t="n"/>
      <c r="S570" s="244">
        <f>Q570*R570</f>
        <v/>
      </c>
      <c r="T570" s="22" t="inlineStr">
        <is>
          <t> </t>
        </is>
      </c>
      <c r="U570" s="23" t="inlineStr">
        <is>
          <t>16.10-19.10</t>
        </is>
      </c>
      <c r="V570" s="66" t="n"/>
      <c r="W570" s="22" t="n"/>
      <c r="X570" s="22" t="n"/>
    </row>
    <row r="571" ht="22.2" customHeight="1" s="330">
      <c r="A571" s="4" t="n"/>
      <c r="B571" s="5" t="n"/>
      <c r="D571" s="3" t="n"/>
      <c r="E571" s="3" t="n"/>
      <c r="G571" s="252" t="n"/>
      <c r="H571" s="325" t="inlineStr">
        <is>
          <t>20101-2006</t>
        </is>
      </c>
      <c r="I571" s="325" t="inlineStr">
        <is>
          <t>ปวช.2/7,8 ชย. (ปกติ)</t>
        </is>
      </c>
      <c r="J571" s="252" t="inlineStr">
        <is>
          <t>17.10-19.10</t>
        </is>
      </c>
      <c r="K571" s="331" t="n"/>
      <c r="L571" s="252" t="n"/>
      <c r="M571" s="252" t="n"/>
      <c r="N571" s="252" t="n"/>
      <c r="O571" s="244">
        <f>M571*N571</f>
        <v/>
      </c>
      <c r="P571" s="252" t="n"/>
      <c r="Q571" s="252" t="n"/>
      <c r="R571" s="252" t="n"/>
      <c r="S571" s="244">
        <f>Q571*R571</f>
        <v/>
      </c>
    </row>
    <row r="572" ht="22.2" customHeight="1" s="330">
      <c r="A572" s="4" t="n"/>
      <c r="E572" s="4" t="n"/>
      <c r="G572" s="248" t="n"/>
      <c r="H572" s="248" t="n"/>
      <c r="I572" s="252" t="n"/>
      <c r="J572" s="252" t="n"/>
      <c r="K572" s="331" t="n"/>
      <c r="L572" s="252" t="n"/>
      <c r="M572" s="252" t="n"/>
      <c r="N572" s="252" t="n"/>
      <c r="O572" s="244">
        <f>M572*N572</f>
        <v/>
      </c>
      <c r="P572" s="252" t="n"/>
      <c r="Q572" s="252" t="n"/>
      <c r="R572" s="252" t="n"/>
      <c r="S572" s="244">
        <f>Q572*R572</f>
        <v/>
      </c>
    </row>
    <row r="573" ht="22.2" customHeight="1" s="330">
      <c r="A573" s="4" t="n"/>
      <c r="E573" s="4" t="n"/>
      <c r="G573" s="277" t="n"/>
      <c r="H573" s="277" t="n"/>
      <c r="I573" s="276" t="n"/>
      <c r="J573" s="276" t="n"/>
      <c r="K573" s="476" t="n"/>
      <c r="L573" s="276" t="n"/>
      <c r="M573" s="276" t="n"/>
      <c r="N573" s="276" t="n"/>
      <c r="O573" s="244">
        <f>M573*N573</f>
        <v/>
      </c>
      <c r="P573" s="276" t="n"/>
      <c r="Q573" s="276" t="n"/>
      <c r="R573" s="276" t="n"/>
      <c r="S573" s="244">
        <f>Q573*R573</f>
        <v/>
      </c>
    </row>
    <row r="574" ht="22.2" customHeight="1" s="330">
      <c r="A574" s="4" t="n"/>
      <c r="E574" s="4" t="n"/>
      <c r="G574" s="62" t="inlineStr">
        <is>
          <t>พฤหัส</t>
        </is>
      </c>
      <c r="H574" s="325" t="inlineStr">
        <is>
          <t>20101-2209</t>
        </is>
      </c>
      <c r="I574" s="325" t="inlineStr">
        <is>
          <t>ปวช.2/7,8 ชย. (ปกติ)</t>
        </is>
      </c>
      <c r="J574" s="332" t="inlineStr">
        <is>
          <t>08.10-12.10</t>
        </is>
      </c>
      <c r="K574" s="335" t="n"/>
      <c r="L574" s="265" t="n"/>
      <c r="M574" s="252" t="n"/>
      <c r="N574" s="252" t="n"/>
      <c r="O574" s="244">
        <f>M574*N574</f>
        <v/>
      </c>
      <c r="P574" s="252" t="n"/>
      <c r="Q574" s="275" t="n"/>
      <c r="R574" s="275" t="n"/>
      <c r="S574" s="244">
        <f>Q574*R574</f>
        <v/>
      </c>
      <c r="T574" s="25" t="n"/>
      <c r="U574" s="26" t="inlineStr">
        <is>
          <t xml:space="preserve">     PLC</t>
        </is>
      </c>
      <c r="V574" s="64" t="n"/>
      <c r="W574" s="27" t="n"/>
      <c r="X574" s="27" t="n"/>
    </row>
    <row r="575" ht="22.2" customHeight="1" s="330">
      <c r="A575" s="4" t="n"/>
      <c r="E575" s="4" t="n"/>
      <c r="G575" s="308">
        <f>G483</f>
        <v/>
      </c>
      <c r="H575" s="325" t="inlineStr">
        <is>
          <t>20000-2002</t>
        </is>
      </c>
      <c r="I575" s="325" t="inlineStr">
        <is>
          <t>ปวช.1/3,4 ชย. (ปกติ)</t>
        </is>
      </c>
      <c r="J575" s="325" t="inlineStr">
        <is>
          <t>13.10-15.10</t>
        </is>
      </c>
      <c r="K575" s="331" t="n"/>
      <c r="L575" s="252" t="n"/>
      <c r="M575" s="252" t="n"/>
      <c r="N575" s="252" t="n"/>
      <c r="O575" s="244">
        <f>M575*N575</f>
        <v/>
      </c>
      <c r="P575" s="252" t="n"/>
      <c r="Q575" s="252" t="n"/>
      <c r="R575" s="252" t="n"/>
      <c r="S575" s="244">
        <f>Q575*R575</f>
        <v/>
      </c>
      <c r="T575" s="27" t="inlineStr">
        <is>
          <t> </t>
        </is>
      </c>
      <c r="U575" s="26" t="inlineStr">
        <is>
          <t>17.10-19.10</t>
        </is>
      </c>
      <c r="V575" s="64" t="n"/>
      <c r="W575" s="27" t="n"/>
      <c r="X575" s="27" t="n"/>
    </row>
    <row r="576" ht="22.2" customHeight="1" s="330">
      <c r="A576" s="4" t="n"/>
      <c r="B576" s="5" t="n"/>
      <c r="E576" s="4" t="n"/>
      <c r="G576" s="252" t="n"/>
      <c r="H576" s="325" t="inlineStr">
        <is>
          <t>20101-2209</t>
        </is>
      </c>
      <c r="I576" s="325" t="inlineStr">
        <is>
          <t>ปวช.2/7,8 ชย. (ปกติ)</t>
        </is>
      </c>
      <c r="J576" s="325" t="inlineStr">
        <is>
          <t>15.10-18.10</t>
        </is>
      </c>
      <c r="K576" s="331" t="n"/>
      <c r="L576" s="325" t="n"/>
      <c r="M576" s="325" t="n"/>
      <c r="N576" s="325" t="n"/>
      <c r="O576" s="244">
        <f>M576*N576</f>
        <v/>
      </c>
      <c r="P576" s="325" t="n"/>
      <c r="Q576" s="325" t="n"/>
      <c r="R576" s="325" t="n"/>
      <c r="S576" s="244">
        <f>Q576*R576</f>
        <v/>
      </c>
    </row>
    <row r="577" ht="22.2" customHeight="1" s="330">
      <c r="A577" s="4" t="n"/>
      <c r="E577" s="4" t="n"/>
      <c r="G577" s="252" t="n"/>
      <c r="H577" s="252" t="n"/>
      <c r="I577" s="252" t="n"/>
      <c r="J577" s="252" t="n"/>
      <c r="K577" s="331" t="n"/>
      <c r="L577" s="252" t="n"/>
      <c r="M577" s="252" t="n"/>
      <c r="N577" s="252" t="n"/>
      <c r="O577" s="244">
        <f>M577*N577</f>
        <v/>
      </c>
      <c r="P577" s="252" t="n"/>
      <c r="Q577" s="252" t="n"/>
      <c r="R577" s="252" t="n"/>
      <c r="S577" s="244">
        <f>Q577*R577</f>
        <v/>
      </c>
    </row>
    <row r="578" ht="22.2" customHeight="1" s="330">
      <c r="A578" s="4" t="n"/>
      <c r="E578" s="4" t="n"/>
      <c r="G578" s="276" t="n"/>
      <c r="H578" s="301" t="n"/>
      <c r="I578" s="276" t="n"/>
      <c r="J578" s="276" t="n"/>
      <c r="K578" s="476" t="n"/>
      <c r="L578" s="276" t="n"/>
      <c r="M578" s="276" t="n"/>
      <c r="N578" s="276" t="n"/>
      <c r="O578" s="244">
        <f>M578*N578</f>
        <v/>
      </c>
      <c r="P578" s="276" t="n"/>
      <c r="Q578" s="276" t="n"/>
      <c r="R578" s="276" t="n"/>
      <c r="S578" s="244">
        <f>Q578*R578</f>
        <v/>
      </c>
    </row>
    <row r="579" ht="22.2" customHeight="1" s="330">
      <c r="A579" s="4" t="n"/>
      <c r="E579" s="4" t="n"/>
      <c r="G579" s="62" t="inlineStr">
        <is>
          <t>ศุกร์</t>
        </is>
      </c>
      <c r="H579" s="325" t="inlineStr">
        <is>
          <t>20101-2008</t>
        </is>
      </c>
      <c r="I579" s="325" t="inlineStr">
        <is>
          <t>ปวช.1/6 ชย. (ปกติ)</t>
        </is>
      </c>
      <c r="J579" s="332" t="inlineStr">
        <is>
          <t>08.10-12.10</t>
        </is>
      </c>
      <c r="K579" s="335" t="n"/>
      <c r="L579" s="265" t="n"/>
      <c r="M579" s="332" t="n"/>
      <c r="N579" s="332" t="n"/>
      <c r="O579" s="244">
        <f>M579*N579</f>
        <v/>
      </c>
      <c r="P579" s="332" t="n"/>
      <c r="Q579" s="265" t="n"/>
      <c r="R579" s="332" t="n"/>
      <c r="S579" s="244">
        <f>Q579*R579</f>
        <v/>
      </c>
    </row>
    <row r="580" ht="22.2" customHeight="1" s="330">
      <c r="A580" s="4" t="n"/>
      <c r="E580" s="4" t="n"/>
      <c r="G580" s="308">
        <f>G488</f>
        <v/>
      </c>
      <c r="H580" s="325" t="inlineStr">
        <is>
          <t>20101-2006</t>
        </is>
      </c>
      <c r="I580" s="325" t="inlineStr">
        <is>
          <t>ปวช.2/3 ชย. (ปกติ)</t>
        </is>
      </c>
      <c r="J580" s="252" t="inlineStr">
        <is>
          <t>13.10-15.10</t>
        </is>
      </c>
      <c r="K580" s="331" t="n"/>
      <c r="L580" s="252" t="n"/>
      <c r="M580" s="252" t="n"/>
      <c r="N580" s="252" t="n"/>
      <c r="O580" s="244">
        <f>M580*N580</f>
        <v/>
      </c>
      <c r="P580" s="252" t="n"/>
      <c r="Q580" s="252" t="n"/>
      <c r="R580" s="252" t="n"/>
      <c r="S580" s="244">
        <f>Q580*R580</f>
        <v/>
      </c>
    </row>
    <row r="581" ht="22.2" customHeight="1" s="330">
      <c r="A581" s="4" t="n"/>
      <c r="E581" s="4" t="n"/>
      <c r="G581" s="252" t="n"/>
      <c r="H581" s="325" t="inlineStr">
        <is>
          <t>20101-2107</t>
        </is>
      </c>
      <c r="I581" s="325" t="inlineStr">
        <is>
          <t>ปวช.2/3 ชย. (ปกติ)</t>
        </is>
      </c>
      <c r="J581" s="325" t="inlineStr">
        <is>
          <t>15.10-17.10</t>
        </is>
      </c>
      <c r="K581" s="331" t="n"/>
      <c r="L581" s="252" t="n"/>
      <c r="M581" s="252" t="n"/>
      <c r="N581" s="252" t="n"/>
      <c r="O581" s="244">
        <f>M581*N581</f>
        <v/>
      </c>
      <c r="P581" s="252" t="n"/>
      <c r="Q581" s="252" t="n"/>
      <c r="R581" s="252" t="n"/>
      <c r="S581" s="244">
        <f>Q581*R581</f>
        <v/>
      </c>
    </row>
    <row r="582" ht="22.2" customHeight="1" s="330">
      <c r="A582" s="4" t="n"/>
      <c r="E582" s="4" t="n"/>
      <c r="G582" s="252" t="n"/>
      <c r="H582" s="249" t="n"/>
      <c r="I582" s="252" t="n"/>
      <c r="J582" s="252" t="n"/>
      <c r="K582" s="331" t="n"/>
      <c r="L582" s="252" t="n"/>
      <c r="M582" s="252" t="n"/>
      <c r="N582" s="252" t="n"/>
      <c r="O582" s="244">
        <f>M582*N582</f>
        <v/>
      </c>
      <c r="P582" s="252" t="n"/>
      <c r="Q582" s="252" t="n"/>
      <c r="R582" s="252" t="n"/>
      <c r="S582" s="244">
        <f>Q582*R582</f>
        <v/>
      </c>
    </row>
    <row r="583" ht="22.2" customHeight="1" s="330">
      <c r="A583" s="4" t="n"/>
      <c r="E583" s="4" t="n"/>
      <c r="F583" s="4" t="n"/>
      <c r="G583" s="278" t="n"/>
      <c r="H583" s="301" t="n"/>
      <c r="I583" s="276" t="n"/>
      <c r="J583" s="276" t="n"/>
      <c r="K583" s="476" t="n"/>
      <c r="L583" s="276" t="n"/>
      <c r="M583" s="276" t="n"/>
      <c r="N583" s="276" t="n"/>
      <c r="O583" s="244">
        <f>M583*N583</f>
        <v/>
      </c>
      <c r="P583" s="276" t="n"/>
      <c r="Q583" s="276" t="n"/>
      <c r="R583" s="276" t="n"/>
      <c r="S583" s="244">
        <f>Q583*R583</f>
        <v/>
      </c>
    </row>
    <row r="584" ht="22.2" customHeight="1" s="330">
      <c r="A584" s="4" t="n"/>
      <c r="E584" s="4" t="n"/>
      <c r="F584" s="4" t="n"/>
      <c r="G584" s="17" t="inlineStr">
        <is>
          <t>รวมขั่วโมงที่สอนแยก ภาระงาน/ เกินภาระงาน</t>
        </is>
      </c>
      <c r="H584" s="467" t="n"/>
      <c r="I584" s="467" t="n"/>
      <c r="J584" s="467" t="n"/>
      <c r="K584" s="362" t="n"/>
      <c r="L584" s="17">
        <f>SUM(L559:L583)</f>
        <v/>
      </c>
      <c r="M584" s="17">
        <f>SUM(M559:M583)</f>
        <v/>
      </c>
      <c r="N584" s="17" t="n"/>
      <c r="O584" s="17" t="n"/>
      <c r="P584" s="17">
        <f>SUM(P559:P583)</f>
        <v/>
      </c>
      <c r="Q584" s="17">
        <f>SUM(Q559:Q583)</f>
        <v/>
      </c>
      <c r="R584" s="279" t="n"/>
      <c r="S584" s="17" t="n"/>
      <c r="T584" s="24" t="n"/>
      <c r="U584" s="24" t="inlineStr">
        <is>
          <t>สอน ป.ตรี</t>
        </is>
      </c>
      <c r="V584" s="65" t="n"/>
      <c r="W584" s="24" t="n"/>
      <c r="X584" s="24" t="n"/>
    </row>
    <row r="585" ht="22.2" customHeight="1" s="330">
      <c r="A585" s="4" t="n"/>
      <c r="E585" s="4" t="n"/>
      <c r="F585" s="4" t="n"/>
      <c r="G585" s="17" t="inlineStr">
        <is>
          <t>รวมจำนวนชั่วโมงสอนคาบต่อสับดาห์</t>
        </is>
      </c>
      <c r="H585" s="467" t="n"/>
      <c r="I585" s="467" t="n"/>
      <c r="J585" s="467" t="n"/>
      <c r="K585" s="362" t="n"/>
      <c r="L585" s="17">
        <f>L584+M584</f>
        <v/>
      </c>
      <c r="M585" s="362" t="n"/>
      <c r="N585" s="298" t="n"/>
      <c r="O585" s="17" t="n"/>
      <c r="P585" s="17">
        <f>P584+Q584</f>
        <v/>
      </c>
      <c r="Q585" s="362" t="n"/>
      <c r="R585" s="278" t="n"/>
      <c r="S585" s="276" t="n"/>
      <c r="T585" s="24" t="n"/>
      <c r="U585" s="24" t="inlineStr">
        <is>
          <t>17.10-20.10</t>
        </is>
      </c>
      <c r="V585" s="65" t="n"/>
      <c r="W585" s="24" t="n"/>
      <c r="X585" s="24" t="n"/>
    </row>
    <row r="586" ht="22.2" customHeight="1" s="330">
      <c r="A586" s="4" t="n"/>
      <c r="E586" s="4" t="n"/>
      <c r="F586" s="4" t="n"/>
      <c r="G586" s="17" t="inlineStr">
        <is>
          <t>จำนวนชั่วโมงสอนตามภาระงานสอน</t>
        </is>
      </c>
      <c r="H586" s="467" t="n"/>
      <c r="I586" s="467" t="n"/>
      <c r="J586" s="467" t="n"/>
      <c r="K586" s="362" t="n"/>
      <c r="L586" s="17" t="n">
        <v>18</v>
      </c>
      <c r="M586" s="362" t="n"/>
      <c r="N586" s="298" t="n"/>
      <c r="O586" s="17" t="n"/>
      <c r="P586" s="17" t="n">
        <v>0</v>
      </c>
      <c r="Q586" s="362" t="n"/>
      <c r="R586" s="249" t="n"/>
      <c r="S586" s="252" t="n"/>
    </row>
    <row r="587" ht="22.2" customHeight="1" s="330" thickBot="1">
      <c r="A587" s="4" t="n"/>
      <c r="E587" s="4" t="n"/>
      <c r="F587" s="15" t="n"/>
      <c r="G587" s="17" t="inlineStr">
        <is>
          <t>จำนวนชั่วโมงบิกเกินภาระงานสอน/ค่าสอน</t>
        </is>
      </c>
      <c r="H587" s="467" t="n"/>
      <c r="I587" s="467" t="n"/>
      <c r="J587" s="467" t="n"/>
      <c r="K587" s="362" t="n"/>
      <c r="L587" s="18" t="n">
        <v>0</v>
      </c>
      <c r="M587" s="18">
        <f>SUM(M559:M583)</f>
        <v/>
      </c>
      <c r="N587" s="18" t="n"/>
      <c r="O587" s="18">
        <f>SUM(O559:O583)</f>
        <v/>
      </c>
      <c r="P587" s="18" t="n">
        <v>0</v>
      </c>
      <c r="Q587" s="18">
        <f>SUM(Q559:Q583)</f>
        <v/>
      </c>
      <c r="R587" s="19" t="n"/>
      <c r="S587" s="18">
        <f>SUM(S559:S583)</f>
        <v/>
      </c>
    </row>
    <row r="588" ht="22.2" customHeight="1" s="330" thickTop="1">
      <c r="A588" s="299" t="inlineStr">
        <is>
          <t>รวมจำนวนหน่วยชั่วโมงที่ขอเบิกค่าสอน ….</t>
        </is>
      </c>
      <c r="B588" s="467" t="n"/>
      <c r="C588" s="467" t="n"/>
      <c r="D588" s="467" t="n"/>
      <c r="E588" s="467" t="n"/>
      <c r="F588" s="467" t="n"/>
      <c r="G588" s="467" t="n"/>
      <c r="H588" s="298">
        <f>M587+Q587</f>
        <v/>
      </c>
      <c r="I588" s="298" t="inlineStr">
        <is>
          <t>….ชั่วโมง</t>
        </is>
      </c>
      <c r="J588" s="298" t="n"/>
      <c r="K588" s="301" t="inlineStr">
        <is>
          <t>ยอดเงินรวม</t>
        </is>
      </c>
      <c r="L588" s="471" t="n"/>
      <c r="M588" s="471" t="n"/>
      <c r="N588" s="301" t="n"/>
      <c r="O588" s="301" t="n"/>
      <c r="P588" s="302">
        <f>S587+O587</f>
        <v/>
      </c>
      <c r="Q588" s="482" t="n"/>
      <c r="R588" s="21" t="n"/>
      <c r="S588" s="20" t="inlineStr">
        <is>
          <t>..บาท</t>
        </is>
      </c>
    </row>
    <row r="589" ht="22.2" customHeight="1" s="330">
      <c r="A589" s="207" t="inlineStr">
        <is>
          <t>ผู้ขอเบิก</t>
        </is>
      </c>
      <c r="B589" s="334" t="n"/>
      <c r="C589" s="334" t="n"/>
      <c r="D589" s="334" t="n"/>
      <c r="E589" s="334" t="n"/>
      <c r="F589" s="334" t="n"/>
      <c r="G589" s="335" t="n"/>
      <c r="H589" s="207" t="inlineStr">
        <is>
          <t>ผู้รับรอง</t>
        </is>
      </c>
      <c r="I589" s="334" t="n"/>
      <c r="J589" s="334" t="n"/>
      <c r="K589" s="334" t="n"/>
      <c r="L589" s="335" t="n"/>
      <c r="M589" s="207" t="inlineStr">
        <is>
          <t>ผู้ตรวจ</t>
        </is>
      </c>
      <c r="N589" s="334" t="n"/>
      <c r="O589" s="334" t="n"/>
      <c r="P589" s="334" t="n"/>
      <c r="Q589" s="334" t="n"/>
      <c r="R589" s="334" t="n"/>
      <c r="S589" s="335" t="n"/>
    </row>
    <row r="590" ht="22.2" customHeight="1" s="330">
      <c r="A590" s="252" t="inlineStr">
        <is>
          <t>ลงชื่อ……………………………………………</t>
        </is>
      </c>
      <c r="G590" s="331" t="n"/>
      <c r="H590" s="252" t="inlineStr">
        <is>
          <t>ลงชื่อ……………………………………………</t>
        </is>
      </c>
      <c r="L590" s="331" t="n"/>
      <c r="M590" s="252" t="inlineStr">
        <is>
          <t>ลงชื่อ……………………………………………</t>
        </is>
      </c>
      <c r="S590" s="331" t="n"/>
    </row>
    <row r="591" ht="22.2" customHeight="1" s="330">
      <c r="A591" s="12" t="inlineStr">
        <is>
          <t>(</t>
        </is>
      </c>
      <c r="B591" s="309">
        <f>B559</f>
        <v/>
      </c>
      <c r="G591" s="310" t="inlineStr">
        <is>
          <t>)</t>
        </is>
      </c>
      <c r="H591" s="309" t="inlineStr">
        <is>
          <t>(</t>
        </is>
      </c>
      <c r="I591" s="314">
        <f>I545</f>
        <v/>
      </c>
      <c r="L591" s="13" t="inlineStr">
        <is>
          <t>)</t>
        </is>
      </c>
      <c r="M591" s="61" t="inlineStr">
        <is>
          <t>(</t>
        </is>
      </c>
      <c r="N591" s="61" t="n"/>
      <c r="O591" s="309" t="inlineStr">
        <is>
          <t>นายพิสุทธิศักดิ์  กล่อมนาค</t>
        </is>
      </c>
      <c r="R591" s="29" t="n"/>
      <c r="S591" s="310" t="inlineStr">
        <is>
          <t>)</t>
        </is>
      </c>
    </row>
    <row r="592" ht="22.2" customHeight="1" s="330">
      <c r="A592" s="483" t="inlineStr">
        <is>
          <t xml:space="preserve">                        ตำแหน่ง ครู</t>
        </is>
      </c>
      <c r="G592" s="331" t="n"/>
      <c r="H592" s="62" t="inlineStr">
        <is>
          <t>ตำแหน่ง หัวหน้าแผนก</t>
        </is>
      </c>
      <c r="L592" s="331" t="n"/>
      <c r="M592" s="62" t="inlineStr">
        <is>
          <t>ตำแหน่ง   ผู้ตรวจสอบ</t>
        </is>
      </c>
      <c r="S592" s="331" t="n"/>
    </row>
    <row r="593" ht="22.2" customHeight="1" s="330">
      <c r="A593" s="63">
        <f>A41</f>
        <v/>
      </c>
      <c r="B593" s="471" t="n"/>
      <c r="C593" s="471" t="n"/>
      <c r="D593" s="471" t="n"/>
      <c r="E593" s="471" t="n"/>
      <c r="F593" s="471" t="n"/>
      <c r="G593" s="476" t="n"/>
      <c r="H593" s="62">
        <f>A41</f>
        <v/>
      </c>
      <c r="L593" s="331" t="n"/>
      <c r="M593" s="63">
        <f>A41</f>
        <v/>
      </c>
      <c r="N593" s="471" t="n"/>
      <c r="O593" s="471" t="n"/>
      <c r="P593" s="471" t="n"/>
      <c r="Q593" s="471" t="n"/>
      <c r="R593" s="471" t="n"/>
      <c r="S593" s="476" t="n"/>
    </row>
    <row r="594" ht="22.2" customHeight="1" s="330">
      <c r="A594" s="207" t="inlineStr">
        <is>
          <t>ผู้ตรวจ</t>
        </is>
      </c>
      <c r="B594" s="334" t="n"/>
      <c r="C594" s="334" t="n"/>
      <c r="D594" s="334" t="n"/>
      <c r="E594" s="334" t="n"/>
      <c r="F594" s="334" t="n"/>
      <c r="G594" s="334" t="n"/>
      <c r="H594" s="334" t="n"/>
      <c r="I594" s="335" t="n"/>
      <c r="J594" s="207" t="inlineStr">
        <is>
          <t>ผู้เห็นชอบ</t>
        </is>
      </c>
      <c r="K594" s="334" t="n"/>
      <c r="L594" s="334" t="n"/>
      <c r="M594" s="334" t="n"/>
      <c r="N594" s="334" t="n"/>
      <c r="O594" s="334" t="n"/>
      <c r="P594" s="334" t="n"/>
      <c r="Q594" s="334" t="n"/>
      <c r="R594" s="334" t="n"/>
      <c r="S594" s="335" t="n"/>
    </row>
    <row r="595" ht="22.2" customHeight="1" s="330">
      <c r="A595" s="252" t="inlineStr">
        <is>
          <t>ลงชื่อ……………………………………………</t>
        </is>
      </c>
      <c r="I595" s="331" t="n"/>
      <c r="J595" s="252" t="inlineStr">
        <is>
          <t>ลงชื่อ……………………………………………</t>
        </is>
      </c>
      <c r="S595" s="331" t="n"/>
    </row>
    <row r="596" ht="22.2" customHeight="1" s="330">
      <c r="A596" s="12" t="n"/>
      <c r="B596" s="309" t="inlineStr">
        <is>
          <t xml:space="preserve">          (นางศิวรักษ์   บุญประเสริฐ)</t>
        </is>
      </c>
      <c r="I596" s="310" t="n"/>
      <c r="J596" s="29" t="n"/>
      <c r="K596" s="29" t="n"/>
      <c r="L596" s="309" t="inlineStr">
        <is>
          <t>(นายปรีชา  โพธิ์เกิด)</t>
        </is>
      </c>
      <c r="R596" s="29" t="n"/>
      <c r="S596" s="13" t="n"/>
    </row>
    <row r="597" ht="22.2" customHeight="1" s="330">
      <c r="A597" s="62" t="inlineStr">
        <is>
          <t>ตำแหน่งครู  หัวหน้างานพัฒนาหลักสูตร ฯ</t>
        </is>
      </c>
      <c r="I597" s="331" t="n"/>
      <c r="J597" s="62" t="inlineStr">
        <is>
          <t>ตำแหน่ง  รองผู้อำนวยการฝ่ายวิชาการ</t>
        </is>
      </c>
      <c r="S597" s="331" t="n"/>
    </row>
    <row r="598" ht="22.2" customHeight="1" s="330">
      <c r="A598" s="63">
        <f>A41</f>
        <v/>
      </c>
      <c r="B598" s="471" t="n"/>
      <c r="C598" s="471" t="n"/>
      <c r="D598" s="471" t="n"/>
      <c r="E598" s="471" t="n"/>
      <c r="F598" s="471" t="n"/>
      <c r="G598" s="471" t="n"/>
      <c r="H598" s="471" t="n"/>
      <c r="I598" s="476" t="n"/>
      <c r="J598" s="63">
        <f>A41</f>
        <v/>
      </c>
      <c r="K598" s="471" t="n"/>
      <c r="L598" s="471" t="n"/>
      <c r="M598" s="471" t="n"/>
      <c r="N598" s="471" t="n"/>
      <c r="O598" s="471" t="n"/>
      <c r="P598" s="471" t="n"/>
      <c r="Q598" s="471" t="n"/>
      <c r="R598" s="471" t="n"/>
      <c r="S598" s="476" t="n"/>
    </row>
    <row r="599" ht="22.2" customHeight="1" s="330">
      <c r="A59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00" ht="22.2" customHeight="1" s="330">
      <c r="A600" s="254">
        <f>A2</f>
        <v/>
      </c>
    </row>
    <row r="601" ht="22.2" customHeight="1" s="330">
      <c r="A601" s="253" t="inlineStr">
        <is>
          <t xml:space="preserve">    ระหว่างวันที่</t>
        </is>
      </c>
      <c r="D601" s="254">
        <f>D49</f>
        <v/>
      </c>
      <c r="E601" s="254" t="inlineStr">
        <is>
          <t xml:space="preserve">   เดือน  </t>
        </is>
      </c>
      <c r="F601" s="254">
        <f>F49</f>
        <v/>
      </c>
      <c r="H601" s="254">
        <f>H49</f>
        <v/>
      </c>
      <c r="I601" s="254" t="inlineStr">
        <is>
          <t xml:space="preserve">     ถึง วันที่</t>
        </is>
      </c>
      <c r="J601" s="254">
        <f>J49</f>
        <v/>
      </c>
      <c r="K601" s="254" t="inlineStr">
        <is>
          <t xml:space="preserve">   เดือน </t>
        </is>
      </c>
      <c r="L601" s="254">
        <f>L49</f>
        <v/>
      </c>
      <c r="N601" s="254">
        <f>N49</f>
        <v/>
      </c>
      <c r="P601" s="254" t="n"/>
      <c r="R601" s="254" t="n"/>
    </row>
    <row r="602" ht="22.2" customHeight="1" s="330">
      <c r="G602" s="58" t="inlineStr">
        <is>
          <t>ü</t>
        </is>
      </c>
      <c r="H602" s="301" t="inlineStr">
        <is>
          <t>ครู</t>
        </is>
      </c>
      <c r="I602" s="301" t="inlineStr">
        <is>
          <t>หน้าที่พิเศษ</t>
        </is>
      </c>
      <c r="J602" s="290" t="n"/>
      <c r="K602" s="290" t="n"/>
      <c r="L602" s="290" t="n"/>
      <c r="M602" s="290" t="n"/>
      <c r="N602" s="290" t="n"/>
      <c r="O602" s="290" t="n"/>
      <c r="P602" s="290" t="n"/>
      <c r="Q602" s="290" t="n"/>
      <c r="R602" s="290" t="n"/>
      <c r="S602" s="290" t="n"/>
    </row>
    <row r="603" ht="22.2" customHeight="1" s="330">
      <c r="A603" s="28" t="inlineStr">
        <is>
          <t>ที่</t>
        </is>
      </c>
      <c r="B603" s="28" t="inlineStr">
        <is>
          <t>ชื่อ-สกุล</t>
        </is>
      </c>
      <c r="C603" s="334" t="n"/>
      <c r="D603" s="335" t="n"/>
      <c r="E603" s="16" t="inlineStr">
        <is>
          <t>ตำแหน่ง</t>
        </is>
      </c>
      <c r="F603" s="17" t="inlineStr">
        <is>
          <t>ระยะเวลาที่สอน</t>
        </is>
      </c>
      <c r="G603" s="362" t="n"/>
      <c r="H603" s="17" t="inlineStr">
        <is>
          <t>รหัสวิชา</t>
        </is>
      </c>
      <c r="I603" s="275" t="inlineStr">
        <is>
          <t>ชั้น,แผนก,ห้อง</t>
        </is>
      </c>
      <c r="J603" s="17" t="inlineStr">
        <is>
          <t>เวลาสอน</t>
        </is>
      </c>
      <c r="K603" s="335" t="n"/>
      <c r="L603" s="17" t="inlineStr">
        <is>
          <t>ปวช.(คาบ)</t>
        </is>
      </c>
      <c r="M603" s="362" t="n"/>
      <c r="N603" s="244" t="inlineStr">
        <is>
          <t>เงิน</t>
        </is>
      </c>
      <c r="O603" s="275" t="inlineStr">
        <is>
          <t>ยอดเงิน</t>
        </is>
      </c>
      <c r="P603" s="473" t="inlineStr">
        <is>
          <t>ปวส.(คาบ)</t>
        </is>
      </c>
      <c r="Q603" s="362" t="n"/>
      <c r="R603" s="244" t="inlineStr">
        <is>
          <t>เงิน</t>
        </is>
      </c>
      <c r="S603" s="275" t="inlineStr">
        <is>
          <t>ยอดเงิน</t>
        </is>
      </c>
    </row>
    <row r="604" ht="22.2" customHeight="1" s="330">
      <c r="A604" s="60" t="n"/>
      <c r="B604" s="9" t="n"/>
      <c r="C604" s="10" t="n"/>
      <c r="D604" s="14" t="n"/>
      <c r="E604" s="11" t="n"/>
      <c r="F604" s="276" t="inlineStr">
        <is>
          <t>ส.</t>
        </is>
      </c>
      <c r="G604" s="276" t="inlineStr">
        <is>
          <t>วดป.</t>
        </is>
      </c>
      <c r="H604" s="474" t="n"/>
      <c r="I604" s="276" t="n"/>
      <c r="J604" s="475" t="n"/>
      <c r="K604" s="476" t="n"/>
      <c r="L604" s="276" t="inlineStr">
        <is>
          <t>ใน</t>
        </is>
      </c>
      <c r="M604" s="276" t="inlineStr">
        <is>
          <t>นอก</t>
        </is>
      </c>
      <c r="N604" s="276" t="inlineStr">
        <is>
          <t>ต่อ ชม.</t>
        </is>
      </c>
      <c r="O604" s="276" t="inlineStr">
        <is>
          <t>(บาท)</t>
        </is>
      </c>
      <c r="P604" s="60" t="inlineStr">
        <is>
          <t>ใน</t>
        </is>
      </c>
      <c r="Q604" s="60" t="inlineStr">
        <is>
          <t>นอก</t>
        </is>
      </c>
      <c r="R604" s="276" t="inlineStr">
        <is>
          <t>ต่อ ชม.</t>
        </is>
      </c>
      <c r="S604" s="276" t="inlineStr">
        <is>
          <t>(บาท)</t>
        </is>
      </c>
    </row>
    <row r="605" ht="22.2" customHeight="1" s="330">
      <c r="A605" s="275" t="n">
        <v>14</v>
      </c>
      <c r="B605" s="477">
        <f>AB16</f>
        <v/>
      </c>
      <c r="C605" s="334" t="n"/>
      <c r="D605" s="335" t="n"/>
      <c r="E605" s="275" t="inlineStr">
        <is>
          <t>ครู</t>
        </is>
      </c>
      <c r="F605" s="6">
        <f>F7</f>
        <v/>
      </c>
      <c r="G605" s="303" t="inlineStr">
        <is>
          <t>จันทร์</t>
        </is>
      </c>
      <c r="H605" s="325" t="inlineStr">
        <is>
          <t>30101-2003</t>
        </is>
      </c>
      <c r="I605" s="325" t="inlineStr">
        <is>
          <t>ปวส.1/7 สย. (ทวิ)</t>
        </is>
      </c>
      <c r="J605" s="252" t="inlineStr">
        <is>
          <t>13.10-16.10</t>
        </is>
      </c>
      <c r="K605" s="331" t="n"/>
      <c r="L605" s="265" t="n"/>
      <c r="M605" s="332" t="n"/>
      <c r="N605" s="332" t="n"/>
      <c r="O605" s="244">
        <f>M605*N605</f>
        <v/>
      </c>
      <c r="P605" s="332" t="n"/>
      <c r="Q605" s="265" t="n"/>
      <c r="R605" s="332" t="n"/>
      <c r="S605" s="244">
        <f>Q605*R605</f>
        <v/>
      </c>
    </row>
    <row r="606" ht="22.2" customHeight="1" s="330">
      <c r="A606" s="4" t="n"/>
      <c r="B606" s="478" t="n"/>
      <c r="D606" s="331" t="n"/>
      <c r="E606" s="252" t="n"/>
      <c r="F606" s="249" t="n"/>
      <c r="G606" s="308">
        <f>G514</f>
        <v/>
      </c>
      <c r="H606" s="325" t="n"/>
      <c r="I606" s="325" t="n"/>
      <c r="J606" s="252" t="n"/>
      <c r="K606" s="331" t="n"/>
      <c r="L606" s="252" t="n"/>
      <c r="M606" s="252" t="n"/>
      <c r="N606" s="252" t="n"/>
      <c r="O606" s="244">
        <f>M606*N606</f>
        <v/>
      </c>
      <c r="P606" s="252" t="n"/>
      <c r="Q606" s="252" t="n"/>
      <c r="R606" s="252" t="n"/>
      <c r="S606" s="244">
        <f>Q606*R606</f>
        <v/>
      </c>
    </row>
    <row r="607" ht="22.2" customHeight="1" s="330">
      <c r="A607" s="4" t="n"/>
      <c r="B607" s="5" t="n"/>
      <c r="D607" s="3" t="n"/>
      <c r="E607" s="3" t="n"/>
      <c r="F607" s="249" t="n"/>
      <c r="G607" s="248" t="n"/>
      <c r="H607" s="252" t="n"/>
      <c r="I607" s="252" t="n"/>
      <c r="J607" s="252" t="n"/>
      <c r="K607" s="331" t="n"/>
      <c r="L607" s="252" t="n"/>
      <c r="M607" s="252" t="n"/>
      <c r="N607" s="252" t="n"/>
      <c r="O607" s="244">
        <f>M607*N607</f>
        <v/>
      </c>
      <c r="P607" s="252" t="n"/>
      <c r="Q607" s="252" t="n"/>
      <c r="R607" s="252" t="n"/>
      <c r="S607" s="244">
        <f>Q607*R607</f>
        <v/>
      </c>
    </row>
    <row r="608" ht="22.2" customHeight="1" s="330">
      <c r="A608" s="4" t="n"/>
      <c r="B608" s="5" t="n"/>
      <c r="E608" s="4" t="n"/>
      <c r="F608" s="249" t="n"/>
      <c r="G608" s="248" t="n"/>
      <c r="H608" s="252" t="n"/>
      <c r="I608" s="252" t="n"/>
      <c r="J608" s="252" t="n"/>
      <c r="K608" s="331" t="n"/>
      <c r="L608" s="252" t="n"/>
      <c r="M608" s="252" t="n"/>
      <c r="N608" s="252" t="n"/>
      <c r="O608" s="244">
        <f>M608*N608</f>
        <v/>
      </c>
      <c r="P608" s="252" t="n"/>
      <c r="Q608" s="252" t="n"/>
      <c r="R608" s="252" t="n"/>
      <c r="S608" s="244">
        <f>Q608*R608</f>
        <v/>
      </c>
    </row>
    <row r="609" ht="22.2" customHeight="1" s="330">
      <c r="A609" s="4" t="n"/>
      <c r="E609" s="4" t="n"/>
      <c r="G609" s="311" t="n"/>
      <c r="H609" s="276" t="n"/>
      <c r="I609" s="276" t="n"/>
      <c r="J609" s="276" t="n"/>
      <c r="K609" s="476" t="n"/>
      <c r="L609" s="252" t="n"/>
      <c r="M609" s="252" t="n"/>
      <c r="N609" s="252" t="n"/>
      <c r="O609" s="244">
        <f>M609*N609</f>
        <v/>
      </c>
      <c r="P609" s="252" t="n"/>
      <c r="Q609" s="252" t="n"/>
      <c r="R609" s="252" t="n"/>
      <c r="S609" s="244">
        <f>Q609*R609</f>
        <v/>
      </c>
    </row>
    <row r="610" ht="22.2" customHeight="1" s="330">
      <c r="A610" s="4" t="n"/>
      <c r="E610" s="4" t="n"/>
      <c r="G610" s="62" t="inlineStr">
        <is>
          <t>อังคาร</t>
        </is>
      </c>
      <c r="H610" s="325" t="inlineStr">
        <is>
          <t>30100-0105</t>
        </is>
      </c>
      <c r="I610" s="325" t="inlineStr">
        <is>
          <t>ปวส.1/7 สย. (ทวิ)</t>
        </is>
      </c>
      <c r="J610" s="332" t="inlineStr">
        <is>
          <t>08.10-11.10</t>
        </is>
      </c>
      <c r="K610" s="335" t="n"/>
      <c r="L610" s="265" t="n"/>
      <c r="M610" s="332" t="n"/>
      <c r="N610" s="332" t="n"/>
      <c r="O610" s="244">
        <f>M610*N610</f>
        <v/>
      </c>
      <c r="P610" s="332" t="n"/>
      <c r="Q610" s="265" t="n"/>
      <c r="R610" s="332" t="n"/>
      <c r="S610" s="244">
        <f>Q610*R610</f>
        <v/>
      </c>
    </row>
    <row r="611" ht="22.2" customHeight="1" s="330">
      <c r="A611" s="4" t="n"/>
      <c r="E611" s="4" t="n"/>
      <c r="G611" s="308">
        <f>G519</f>
        <v/>
      </c>
      <c r="H611" s="325" t="inlineStr">
        <is>
          <t>30101-8001</t>
        </is>
      </c>
      <c r="I611" s="325" t="inlineStr">
        <is>
          <t>ปวส.2/4 สย. (ปกติ)</t>
        </is>
      </c>
      <c r="J611" s="252" t="inlineStr">
        <is>
          <t>13.10-17.10</t>
        </is>
      </c>
      <c r="K611" s="331" t="n"/>
      <c r="L611" s="252" t="n"/>
      <c r="M611" s="252" t="n"/>
      <c r="N611" s="252" t="n"/>
      <c r="O611" s="244">
        <f>M611*N611</f>
        <v/>
      </c>
      <c r="P611" s="252" t="n"/>
      <c r="Q611" s="252" t="n"/>
      <c r="R611" s="252" t="n"/>
      <c r="S611" s="244">
        <f>Q611*R611</f>
        <v/>
      </c>
    </row>
    <row r="612" ht="22.2" customHeight="1" s="330">
      <c r="A612" s="4" t="n"/>
      <c r="B612" s="5" t="n"/>
      <c r="D612" s="3" t="n"/>
      <c r="E612" s="3" t="n"/>
      <c r="G612" s="252" t="n"/>
      <c r="H612" s="252" t="n"/>
      <c r="I612" s="252" t="n"/>
      <c r="J612" s="252" t="n"/>
      <c r="K612" s="331" t="n"/>
      <c r="L612" s="252" t="n"/>
      <c r="M612" s="252" t="n"/>
      <c r="N612" s="252" t="n"/>
      <c r="O612" s="244">
        <f>M612*N612</f>
        <v/>
      </c>
      <c r="P612" s="252" t="n"/>
      <c r="Q612" s="252" t="n"/>
      <c r="R612" s="252" t="n"/>
      <c r="S612" s="244">
        <f>Q612*R612</f>
        <v/>
      </c>
    </row>
    <row r="613" ht="22.2" customHeight="1" s="330">
      <c r="A613" s="4" t="n"/>
      <c r="E613" s="4" t="n"/>
      <c r="G613" s="62" t="n"/>
      <c r="H613" s="249" t="n"/>
      <c r="I613" s="252" t="n"/>
      <c r="J613" s="252" t="n"/>
      <c r="K613" s="331" t="n"/>
      <c r="L613" s="252" t="n"/>
      <c r="M613" s="252" t="n"/>
      <c r="N613" s="252" t="n"/>
      <c r="O613" s="244">
        <f>M613*N613</f>
        <v/>
      </c>
      <c r="P613" s="252" t="n"/>
      <c r="Q613" s="252" t="n"/>
      <c r="R613" s="252" t="n"/>
      <c r="S613" s="244">
        <f>Q613*R613</f>
        <v/>
      </c>
    </row>
    <row r="614" ht="22.2" customHeight="1" s="330">
      <c r="A614" s="4" t="n"/>
      <c r="D614" s="8" t="inlineStr">
        <is>
          <t> </t>
        </is>
      </c>
      <c r="E614" s="4" t="n"/>
      <c r="G614" s="63" t="n"/>
      <c r="H614" s="276" t="n"/>
      <c r="I614" s="276" t="n"/>
      <c r="J614" s="276" t="n"/>
      <c r="K614" s="476" t="n"/>
      <c r="L614" s="252" t="n"/>
      <c r="M614" s="252" t="n"/>
      <c r="N614" s="252" t="n"/>
      <c r="O614" s="244">
        <f>M614*N614</f>
        <v/>
      </c>
      <c r="P614" s="276" t="n"/>
      <c r="Q614" s="276" t="n"/>
      <c r="R614" s="276" t="n"/>
      <c r="S614" s="244">
        <f>Q614*R614</f>
        <v/>
      </c>
    </row>
    <row r="615" ht="22.2" customHeight="1" s="330">
      <c r="A615" s="4" t="n"/>
      <c r="E615" s="4" t="n"/>
      <c r="G615" s="308" t="inlineStr">
        <is>
          <t>พุธ</t>
        </is>
      </c>
      <c r="H615" s="325" t="inlineStr">
        <is>
          <t>30101-2002</t>
        </is>
      </c>
      <c r="I615" s="325" t="inlineStr">
        <is>
          <t>ปวส.1/5,6 สย. (ม.6)</t>
        </is>
      </c>
      <c r="J615" s="332" t="inlineStr">
        <is>
          <t>08.10-11.10</t>
        </is>
      </c>
      <c r="K615" s="335" t="n"/>
      <c r="L615" s="265" t="n"/>
      <c r="M615" s="332" t="n"/>
      <c r="N615" s="332" t="n"/>
      <c r="O615" s="244">
        <f>M615*N615</f>
        <v/>
      </c>
      <c r="P615" s="179" t="n"/>
      <c r="Q615" s="179" t="n"/>
      <c r="R615" s="180" t="n"/>
      <c r="S615" s="244">
        <f>Q615*R615</f>
        <v/>
      </c>
    </row>
    <row r="616" ht="22.2" customHeight="1" s="330">
      <c r="A616" s="4" t="n"/>
      <c r="B616" s="248" t="n"/>
      <c r="C616" s="249" t="n"/>
      <c r="D616" s="249" t="n"/>
      <c r="E616" s="252" t="n"/>
      <c r="G616" s="308">
        <f>G524</f>
        <v/>
      </c>
      <c r="H616" s="325" t="inlineStr">
        <is>
          <t>30100-0105</t>
        </is>
      </c>
      <c r="I616" s="325" t="inlineStr">
        <is>
          <t>ปวส.2/5,6 สย. (ม.6)</t>
        </is>
      </c>
      <c r="J616" s="252" t="inlineStr">
        <is>
          <t>13.10-16.10</t>
        </is>
      </c>
      <c r="K616" s="331" t="n"/>
      <c r="L616" s="252" t="n"/>
      <c r="M616" s="252" t="n"/>
      <c r="N616" s="252" t="n"/>
      <c r="O616" s="244">
        <f>M616*N616</f>
        <v/>
      </c>
      <c r="P616" s="252" t="n"/>
      <c r="Q616" s="252" t="n"/>
      <c r="R616" s="252" t="n"/>
      <c r="S616" s="244">
        <f>Q616*R616</f>
        <v/>
      </c>
    </row>
    <row r="617" ht="22.2" customHeight="1" s="330">
      <c r="A617" s="4" t="n"/>
      <c r="B617" s="5" t="n"/>
      <c r="D617" s="3" t="n"/>
      <c r="E617" s="3" t="n"/>
      <c r="G617" s="252" t="n"/>
      <c r="H617" s="252" t="n"/>
      <c r="I617" s="252" t="n"/>
      <c r="J617" s="252" t="n"/>
      <c r="K617" s="331" t="n"/>
      <c r="L617" s="252" t="n"/>
      <c r="M617" s="252" t="n"/>
      <c r="N617" s="252" t="n"/>
      <c r="O617" s="244">
        <f>M617*N617</f>
        <v/>
      </c>
      <c r="P617" s="252" t="n"/>
      <c r="Q617" s="252" t="n"/>
      <c r="R617" s="252" t="n"/>
      <c r="S617" s="244">
        <f>Q617*R617</f>
        <v/>
      </c>
    </row>
    <row r="618" ht="22.2" customHeight="1" s="330">
      <c r="A618" s="4" t="n"/>
      <c r="E618" s="4" t="n"/>
      <c r="G618" s="248" t="n"/>
      <c r="H618" s="248" t="n"/>
      <c r="I618" s="252" t="n"/>
      <c r="J618" s="252" t="n"/>
      <c r="K618" s="331" t="n"/>
      <c r="L618" s="252" t="n"/>
      <c r="M618" s="252" t="n"/>
      <c r="N618" s="252" t="n"/>
      <c r="O618" s="244">
        <f>M618*N618</f>
        <v/>
      </c>
      <c r="P618" s="252" t="n"/>
      <c r="Q618" s="252" t="n"/>
      <c r="R618" s="252" t="n"/>
      <c r="S618" s="244">
        <f>Q618*R618</f>
        <v/>
      </c>
    </row>
    <row r="619" ht="22.2" customHeight="1" s="330">
      <c r="A619" s="4" t="n"/>
      <c r="E619" s="4" t="n"/>
      <c r="G619" s="277" t="n"/>
      <c r="H619" s="277" t="n"/>
      <c r="I619" s="276" t="n"/>
      <c r="J619" s="276" t="n"/>
      <c r="K619" s="476" t="n"/>
      <c r="L619" s="276" t="n"/>
      <c r="M619" s="276" t="n"/>
      <c r="N619" s="276" t="n"/>
      <c r="O619" s="244">
        <f>M619*N619</f>
        <v/>
      </c>
      <c r="P619" s="276" t="n"/>
      <c r="Q619" s="276" t="n"/>
      <c r="R619" s="276" t="n"/>
      <c r="S619" s="244">
        <f>Q619*R619</f>
        <v/>
      </c>
    </row>
    <row r="620" ht="22.2" customHeight="1" s="330">
      <c r="A620" s="4" t="n"/>
      <c r="E620" s="4" t="n"/>
      <c r="G620" s="62" t="inlineStr">
        <is>
          <t>พฤหัส</t>
        </is>
      </c>
      <c r="H620" s="325" t="inlineStr">
        <is>
          <t>30000-2002</t>
        </is>
      </c>
      <c r="I620" s="325" t="inlineStr">
        <is>
          <t>ปวส.1/3,4 สย. (ม.6)</t>
        </is>
      </c>
      <c r="J620" s="252" t="inlineStr">
        <is>
          <t>13.10-15.10</t>
        </is>
      </c>
      <c r="K620" s="331" t="n"/>
      <c r="L620" s="265" t="n"/>
      <c r="M620" s="252" t="n"/>
      <c r="N620" s="252" t="n"/>
      <c r="O620" s="244">
        <f>M620*N620</f>
        <v/>
      </c>
      <c r="P620" s="179" t="n"/>
      <c r="Q620" s="156" t="n"/>
      <c r="R620" s="156" t="n"/>
      <c r="S620" s="244">
        <f>Q620*R620</f>
        <v/>
      </c>
    </row>
    <row r="621" ht="22.2" customHeight="1" s="330">
      <c r="A621" s="4" t="n"/>
      <c r="E621" s="4" t="n"/>
      <c r="G621" s="308">
        <f>G529</f>
        <v/>
      </c>
      <c r="H621" s="325" t="n"/>
      <c r="I621" s="325" t="n"/>
      <c r="J621" s="252" t="n"/>
      <c r="K621" s="331" t="n"/>
      <c r="L621" s="252" t="n"/>
      <c r="M621" s="252" t="n"/>
      <c r="N621" s="252" t="n"/>
      <c r="O621" s="244">
        <f>M621*N621</f>
        <v/>
      </c>
      <c r="P621" s="56" t="n"/>
      <c r="Q621" s="56" t="n"/>
      <c r="R621" s="56" t="n"/>
      <c r="S621" s="244">
        <f>Q621*R621</f>
        <v/>
      </c>
    </row>
    <row r="622" ht="22.2" customHeight="1" s="330">
      <c r="A622" s="4" t="n"/>
      <c r="B622" s="5" t="n"/>
      <c r="E622" s="4" t="n"/>
      <c r="G622" s="252" t="n"/>
      <c r="H622" s="325" t="n"/>
      <c r="I622" s="325" t="n"/>
      <c r="J622" s="252" t="n"/>
      <c r="K622" s="331" t="n"/>
      <c r="L622" s="325" t="n"/>
      <c r="M622" s="325" t="n"/>
      <c r="N622" s="325" t="n"/>
      <c r="O622" s="244">
        <f>M622*N622</f>
        <v/>
      </c>
      <c r="P622" s="56" t="n"/>
      <c r="Q622" s="56" t="n"/>
      <c r="R622" s="56" t="n"/>
      <c r="S622" s="244">
        <f>Q622*R622</f>
        <v/>
      </c>
    </row>
    <row r="623" ht="22.2" customHeight="1" s="330">
      <c r="A623" s="4" t="n"/>
      <c r="E623" s="4" t="n"/>
      <c r="G623" s="252" t="n"/>
      <c r="H623" s="252" t="n"/>
      <c r="I623" s="252" t="n"/>
      <c r="J623" s="252" t="n"/>
      <c r="K623" s="331" t="n"/>
      <c r="L623" s="252" t="n"/>
      <c r="M623" s="252" t="n"/>
      <c r="N623" s="252" t="n"/>
      <c r="O623" s="244">
        <f>M623*N623</f>
        <v/>
      </c>
      <c r="P623" s="252" t="n"/>
      <c r="Q623" s="252" t="n"/>
      <c r="R623" s="252" t="n"/>
      <c r="S623" s="244">
        <f>Q623*R623</f>
        <v/>
      </c>
    </row>
    <row r="624" ht="22.2" customHeight="1" s="330">
      <c r="A624" s="4" t="n"/>
      <c r="E624" s="4" t="n"/>
      <c r="G624" s="276" t="n"/>
      <c r="H624" s="301" t="n"/>
      <c r="I624" s="276" t="n"/>
      <c r="J624" s="276" t="n"/>
      <c r="K624" s="476" t="n"/>
      <c r="L624" s="276" t="n"/>
      <c r="M624" s="276" t="n"/>
      <c r="N624" s="276" t="n"/>
      <c r="O624" s="244">
        <f>M624*N624</f>
        <v/>
      </c>
      <c r="P624" s="276" t="n"/>
      <c r="Q624" s="276" t="n"/>
      <c r="R624" s="276" t="n"/>
      <c r="S624" s="244">
        <f>Q624*R624</f>
        <v/>
      </c>
    </row>
    <row r="625" ht="22.2" customHeight="1" s="330">
      <c r="A625" s="4" t="n"/>
      <c r="E625" s="4" t="n"/>
      <c r="G625" s="62" t="inlineStr">
        <is>
          <t>ศุกร์</t>
        </is>
      </c>
      <c r="H625" s="325" t="inlineStr">
        <is>
          <t>30101-2109</t>
        </is>
      </c>
      <c r="I625" s="325" t="inlineStr">
        <is>
          <t>ปวส.2/7 สย. (ม.6)</t>
        </is>
      </c>
      <c r="J625" s="332" t="inlineStr">
        <is>
          <t>08.10-12.10</t>
        </is>
      </c>
      <c r="K625" s="335" t="n"/>
      <c r="L625" s="252" t="n"/>
      <c r="M625" s="332" t="n"/>
      <c r="N625" s="332" t="n"/>
      <c r="O625" s="244">
        <f>M625*N625</f>
        <v/>
      </c>
      <c r="P625" s="332" t="n"/>
      <c r="Q625" s="265" t="n"/>
      <c r="R625" s="332" t="n"/>
      <c r="S625" s="244">
        <f>Q625*R625</f>
        <v/>
      </c>
    </row>
    <row r="626" ht="22.2" customHeight="1" s="330">
      <c r="A626" s="4" t="n"/>
      <c r="E626" s="4" t="n"/>
      <c r="G626" s="308">
        <f>G534</f>
        <v/>
      </c>
      <c r="H626" s="325" t="inlineStr">
        <is>
          <t>30101-2109</t>
        </is>
      </c>
      <c r="I626" s="325" t="inlineStr">
        <is>
          <t>ปวส.2/7 สย. (ม.6)</t>
        </is>
      </c>
      <c r="J626" s="252" t="inlineStr">
        <is>
          <t>13.10-14.10</t>
        </is>
      </c>
      <c r="K626" s="331" t="n"/>
      <c r="L626" s="252" t="n"/>
      <c r="M626" s="252" t="n"/>
      <c r="N626" s="252" t="n"/>
      <c r="O626" s="244">
        <f>M626*N626</f>
        <v/>
      </c>
      <c r="P626" s="252" t="n"/>
      <c r="Q626" s="252" t="n"/>
      <c r="R626" s="252" t="n"/>
      <c r="S626" s="244">
        <f>Q626*R626</f>
        <v/>
      </c>
    </row>
    <row r="627" ht="22.2" customHeight="1" s="330">
      <c r="A627" s="4" t="n"/>
      <c r="E627" s="4" t="n"/>
      <c r="G627" s="252" t="n"/>
      <c r="H627" s="325" t="inlineStr">
        <is>
          <t>30100-0104</t>
        </is>
      </c>
      <c r="I627" s="325" t="inlineStr">
        <is>
          <t>ปวส.1/2 สย. (ปกติ)</t>
        </is>
      </c>
      <c r="J627" s="252" t="inlineStr">
        <is>
          <t>14.10-18.10</t>
        </is>
      </c>
      <c r="K627" s="331" t="n"/>
      <c r="L627" s="252" t="n"/>
      <c r="M627" s="252" t="n"/>
      <c r="N627" s="252" t="n"/>
      <c r="O627" s="244">
        <f>M627*N627</f>
        <v/>
      </c>
      <c r="P627" s="252" t="n"/>
      <c r="Q627" s="252" t="n"/>
      <c r="R627" s="252" t="n"/>
      <c r="S627" s="244">
        <f>Q627*R627</f>
        <v/>
      </c>
    </row>
    <row r="628" ht="22.2" customHeight="1" s="330">
      <c r="A628" s="4" t="n"/>
      <c r="E628" s="4" t="n"/>
      <c r="G628" s="252" t="n"/>
      <c r="H628" s="249" t="n"/>
      <c r="I628" s="252" t="n"/>
      <c r="J628" s="252" t="n"/>
      <c r="K628" s="331" t="n"/>
      <c r="L628" s="252" t="n"/>
      <c r="M628" s="252" t="n"/>
      <c r="N628" s="252" t="n"/>
      <c r="O628" s="244">
        <f>M628*N628</f>
        <v/>
      </c>
      <c r="P628" s="252" t="n"/>
      <c r="Q628" s="252" t="n"/>
      <c r="R628" s="252" t="n"/>
      <c r="S628" s="244">
        <f>Q628*R628</f>
        <v/>
      </c>
    </row>
    <row r="629" ht="22.2" customHeight="1" s="330">
      <c r="A629" s="4" t="n"/>
      <c r="E629" s="4" t="n"/>
      <c r="F629" s="4" t="n"/>
      <c r="G629" s="278" t="n"/>
      <c r="H629" s="301" t="n"/>
      <c r="I629" s="276" t="n"/>
      <c r="J629" s="276" t="n"/>
      <c r="K629" s="476" t="n"/>
      <c r="L629" s="276" t="n"/>
      <c r="M629" s="276" t="n"/>
      <c r="N629" s="276" t="n"/>
      <c r="O629" s="244">
        <f>M629*N629</f>
        <v/>
      </c>
      <c r="P629" s="276" t="n"/>
      <c r="Q629" s="276" t="n"/>
      <c r="R629" s="276" t="n"/>
      <c r="S629" s="244">
        <f>Q629*R629</f>
        <v/>
      </c>
    </row>
    <row r="630" ht="22.2" customHeight="1" s="330">
      <c r="A630" s="4" t="n"/>
      <c r="E630" s="4" t="n"/>
      <c r="F630" s="4" t="n"/>
      <c r="G630" s="17" t="inlineStr">
        <is>
          <t>รวมขั่วโมงที่สอนแยก ภาระงาน/ เกินภาระงาน</t>
        </is>
      </c>
      <c r="H630" s="467" t="n"/>
      <c r="I630" s="467" t="n"/>
      <c r="J630" s="467" t="n"/>
      <c r="K630" s="362" t="n"/>
      <c r="L630" s="17">
        <f>SUM(L605:L629)</f>
        <v/>
      </c>
      <c r="M630" s="17">
        <f>SUM(M605:M629)</f>
        <v/>
      </c>
      <c r="N630" s="17" t="n"/>
      <c r="O630" s="17" t="n"/>
      <c r="P630" s="17">
        <f>SUM(P605:P629)</f>
        <v/>
      </c>
      <c r="Q630" s="17">
        <f>SUM(Q605:Q629)</f>
        <v/>
      </c>
      <c r="R630" s="279" t="n"/>
      <c r="S630" s="17" t="n"/>
    </row>
    <row r="631" ht="22.2" customHeight="1" s="330">
      <c r="A631" s="4" t="n"/>
      <c r="E631" s="4" t="n"/>
      <c r="F631" s="4" t="n"/>
      <c r="G631" s="17" t="inlineStr">
        <is>
          <t>รวมจำนวนชั่วโมงสอนคาบต่อสับดาห์</t>
        </is>
      </c>
      <c r="H631" s="467" t="n"/>
      <c r="I631" s="467" t="n"/>
      <c r="J631" s="467" t="n"/>
      <c r="K631" s="362" t="n"/>
      <c r="L631" s="17">
        <f>L630+M630</f>
        <v/>
      </c>
      <c r="M631" s="362" t="n"/>
      <c r="N631" s="298" t="n"/>
      <c r="O631" s="17" t="n"/>
      <c r="P631" s="17">
        <f>P630+Q630</f>
        <v/>
      </c>
      <c r="Q631" s="362" t="n"/>
      <c r="R631" s="278" t="n"/>
      <c r="S631" s="276" t="n"/>
    </row>
    <row r="632" ht="22.2" customHeight="1" s="330">
      <c r="A632" s="4" t="n"/>
      <c r="E632" s="4" t="n"/>
      <c r="F632" s="4" t="n"/>
      <c r="G632" s="17" t="inlineStr">
        <is>
          <t>จำนวนชั่วโมงสอนตามภาระงานสอน</t>
        </is>
      </c>
      <c r="H632" s="467" t="n"/>
      <c r="I632" s="467" t="n"/>
      <c r="J632" s="467" t="n"/>
      <c r="K632" s="362" t="n"/>
      <c r="L632" s="17" t="n">
        <v>0</v>
      </c>
      <c r="M632" s="362" t="n"/>
      <c r="N632" s="298" t="n"/>
      <c r="O632" s="17" t="n"/>
      <c r="P632" s="17" t="n">
        <v>15</v>
      </c>
      <c r="Q632" s="362" t="n"/>
      <c r="R632" s="249" t="n"/>
      <c r="S632" s="252" t="n"/>
    </row>
    <row r="633" ht="22.2" customHeight="1" s="330" thickBot="1">
      <c r="A633" s="4" t="n"/>
      <c r="E633" s="4" t="n"/>
      <c r="F633" s="15" t="n"/>
      <c r="G633" s="17" t="inlineStr">
        <is>
          <t>จำนวนชั่วโมงบิกเกินภาระงานสอน/ค่าสอน</t>
        </is>
      </c>
      <c r="H633" s="467" t="n"/>
      <c r="I633" s="467" t="n"/>
      <c r="J633" s="467" t="n"/>
      <c r="K633" s="362" t="n"/>
      <c r="L633" s="18" t="n">
        <v>0</v>
      </c>
      <c r="M633" s="18">
        <f>SUM(M605:M629)</f>
        <v/>
      </c>
      <c r="N633" s="18" t="n"/>
      <c r="O633" s="18">
        <f>SUM(O605:O629)</f>
        <v/>
      </c>
      <c r="P633" s="18" t="n">
        <v>0</v>
      </c>
      <c r="Q633" s="18">
        <f>SUM(Q605:Q629)</f>
        <v/>
      </c>
      <c r="R633" s="19" t="n"/>
      <c r="S633" s="18">
        <f>SUM(S605:S629)</f>
        <v/>
      </c>
    </row>
    <row r="634" ht="22.2" customHeight="1" s="330" thickTop="1">
      <c r="A634" s="299" t="inlineStr">
        <is>
          <t>รวมจำนวนหน่วยชั่วโมงที่ขอเบิกค่าสอน ….</t>
        </is>
      </c>
      <c r="B634" s="467" t="n"/>
      <c r="C634" s="467" t="n"/>
      <c r="D634" s="467" t="n"/>
      <c r="E634" s="467" t="n"/>
      <c r="F634" s="467" t="n"/>
      <c r="G634" s="467" t="n"/>
      <c r="H634" s="298">
        <f>M633+Q633</f>
        <v/>
      </c>
      <c r="I634" s="298" t="inlineStr">
        <is>
          <t>….ชั่วโมง</t>
        </is>
      </c>
      <c r="J634" s="298" t="n"/>
      <c r="K634" s="301" t="inlineStr">
        <is>
          <t>ยอดเงินรวม</t>
        </is>
      </c>
      <c r="L634" s="471" t="n"/>
      <c r="M634" s="471" t="n"/>
      <c r="N634" s="301" t="n"/>
      <c r="O634" s="301" t="n"/>
      <c r="P634" s="302">
        <f>S633+O633</f>
        <v/>
      </c>
      <c r="Q634" s="482" t="n"/>
      <c r="R634" s="21" t="n"/>
      <c r="S634" s="20" t="inlineStr">
        <is>
          <t>..บาท</t>
        </is>
      </c>
    </row>
    <row r="635" ht="22.2" customHeight="1" s="330">
      <c r="A635" s="207" t="inlineStr">
        <is>
          <t>ผู้ขอเบิก</t>
        </is>
      </c>
      <c r="B635" s="334" t="n"/>
      <c r="C635" s="334" t="n"/>
      <c r="D635" s="334" t="n"/>
      <c r="E635" s="334" t="n"/>
      <c r="F635" s="334" t="n"/>
      <c r="G635" s="335" t="n"/>
      <c r="H635" s="207" t="inlineStr">
        <is>
          <t>ผู้รับรอง</t>
        </is>
      </c>
      <c r="I635" s="334" t="n"/>
      <c r="J635" s="334" t="n"/>
      <c r="K635" s="334" t="n"/>
      <c r="L635" s="335" t="n"/>
      <c r="M635" s="207" t="inlineStr">
        <is>
          <t>ผู้ตรวจ</t>
        </is>
      </c>
      <c r="N635" s="334" t="n"/>
      <c r="O635" s="334" t="n"/>
      <c r="P635" s="334" t="n"/>
      <c r="Q635" s="334" t="n"/>
      <c r="R635" s="334" t="n"/>
      <c r="S635" s="335" t="n"/>
    </row>
    <row r="636" ht="22.2" customHeight="1" s="330">
      <c r="A636" s="252" t="inlineStr">
        <is>
          <t>ลงชื่อ……………………………………………</t>
        </is>
      </c>
      <c r="G636" s="331" t="n"/>
      <c r="H636" s="252" t="inlineStr">
        <is>
          <t>ลงชื่อ……………………………………………</t>
        </is>
      </c>
      <c r="L636" s="331" t="n"/>
      <c r="M636" s="252" t="inlineStr">
        <is>
          <t>ลงชื่อ……………………………………………</t>
        </is>
      </c>
      <c r="S636" s="331" t="n"/>
    </row>
    <row r="637" ht="22.2" customHeight="1" s="330">
      <c r="A637" s="12" t="inlineStr">
        <is>
          <t>(</t>
        </is>
      </c>
      <c r="B637" s="309">
        <f>B605</f>
        <v/>
      </c>
      <c r="G637" s="310" t="inlineStr">
        <is>
          <t>)</t>
        </is>
      </c>
      <c r="H637" s="309" t="inlineStr">
        <is>
          <t>(</t>
        </is>
      </c>
      <c r="I637" s="314">
        <f>I591</f>
        <v/>
      </c>
      <c r="L637" s="13" t="inlineStr">
        <is>
          <t>)</t>
        </is>
      </c>
      <c r="M637" s="61" t="inlineStr">
        <is>
          <t>(</t>
        </is>
      </c>
      <c r="N637" s="61" t="n"/>
      <c r="O637" s="309" t="inlineStr">
        <is>
          <t>นายพิสุทธิศักดิ์  กล่อมนาค</t>
        </is>
      </c>
      <c r="R637" s="29" t="n"/>
      <c r="S637" s="310" t="inlineStr">
        <is>
          <t>)</t>
        </is>
      </c>
    </row>
    <row r="638" ht="22.2" customHeight="1" s="330">
      <c r="A638" s="483" t="inlineStr">
        <is>
          <t xml:space="preserve">                        ตำแหน่ง ครู</t>
        </is>
      </c>
      <c r="G638" s="331" t="n"/>
      <c r="H638" s="62" t="inlineStr">
        <is>
          <t>ตำแหน่ง หัวหน้าแผนก</t>
        </is>
      </c>
      <c r="L638" s="331" t="n"/>
      <c r="M638" s="62" t="inlineStr">
        <is>
          <t>ตำแหน่ง   ผู้ตรวจสอบ</t>
        </is>
      </c>
      <c r="S638" s="331" t="n"/>
    </row>
    <row r="639" ht="22.2" customHeight="1" s="330">
      <c r="A639" s="63">
        <f>A87</f>
        <v/>
      </c>
      <c r="B639" s="471" t="n"/>
      <c r="C639" s="471" t="n"/>
      <c r="D639" s="471" t="n"/>
      <c r="E639" s="471" t="n"/>
      <c r="F639" s="471" t="n"/>
      <c r="G639" s="476" t="n"/>
      <c r="H639" s="62">
        <f>A87</f>
        <v/>
      </c>
      <c r="L639" s="331" t="n"/>
      <c r="M639" s="63">
        <f>A87</f>
        <v/>
      </c>
      <c r="N639" s="471" t="n"/>
      <c r="O639" s="471" t="n"/>
      <c r="P639" s="471" t="n"/>
      <c r="Q639" s="471" t="n"/>
      <c r="R639" s="471" t="n"/>
      <c r="S639" s="476" t="n"/>
    </row>
    <row r="640" ht="22.2" customHeight="1" s="330">
      <c r="A640" s="207" t="inlineStr">
        <is>
          <t>ผู้ตรวจ</t>
        </is>
      </c>
      <c r="B640" s="334" t="n"/>
      <c r="C640" s="334" t="n"/>
      <c r="D640" s="334" t="n"/>
      <c r="E640" s="334" t="n"/>
      <c r="F640" s="334" t="n"/>
      <c r="G640" s="334" t="n"/>
      <c r="H640" s="334" t="n"/>
      <c r="I640" s="335" t="n"/>
      <c r="J640" s="207" t="inlineStr">
        <is>
          <t>ผู้เห็นชอบ</t>
        </is>
      </c>
      <c r="K640" s="334" t="n"/>
      <c r="L640" s="334" t="n"/>
      <c r="M640" s="334" t="n"/>
      <c r="N640" s="334" t="n"/>
      <c r="O640" s="334" t="n"/>
      <c r="P640" s="334" t="n"/>
      <c r="Q640" s="334" t="n"/>
      <c r="R640" s="334" t="n"/>
      <c r="S640" s="335" t="n"/>
    </row>
    <row r="641" ht="22.2" customHeight="1" s="330">
      <c r="A641" s="252" t="inlineStr">
        <is>
          <t>ลงชื่อ……………………………………………</t>
        </is>
      </c>
      <c r="I641" s="331" t="n"/>
      <c r="J641" s="252" t="inlineStr">
        <is>
          <t>ลงชื่อ……………………………………………</t>
        </is>
      </c>
      <c r="S641" s="331" t="n"/>
    </row>
    <row r="642" ht="22.2" customHeight="1" s="330">
      <c r="A642" s="12" t="n"/>
      <c r="B642" s="309" t="inlineStr">
        <is>
          <t xml:space="preserve">          (นางศิวรักษ์   บุญประเสริฐ)</t>
        </is>
      </c>
      <c r="I642" s="310" t="n"/>
      <c r="J642" s="29" t="n"/>
      <c r="K642" s="29" t="n"/>
      <c r="L642" s="309" t="inlineStr">
        <is>
          <t>(นายปรีชา  โพธิ์เกิด)</t>
        </is>
      </c>
      <c r="R642" s="29" t="n"/>
      <c r="S642" s="13" t="n"/>
    </row>
    <row r="643" ht="22.2" customHeight="1" s="330">
      <c r="A643" s="62" t="inlineStr">
        <is>
          <t>ตำแหน่งครู  หัวหน้างานพัฒนาหลักสูตร ฯ</t>
        </is>
      </c>
      <c r="I643" s="331" t="n"/>
      <c r="J643" s="62" t="inlineStr">
        <is>
          <t>ตำแหน่ง  รองผู้อำนวยการฝ่ายวิชาการ</t>
        </is>
      </c>
      <c r="S643" s="331" t="n"/>
    </row>
    <row r="644" ht="22.2" customHeight="1" s="330">
      <c r="A644" s="63">
        <f>A87</f>
        <v/>
      </c>
      <c r="B644" s="471" t="n"/>
      <c r="C644" s="471" t="n"/>
      <c r="D644" s="471" t="n"/>
      <c r="E644" s="471" t="n"/>
      <c r="F644" s="471" t="n"/>
      <c r="G644" s="471" t="n"/>
      <c r="H644" s="471" t="n"/>
      <c r="I644" s="476" t="n"/>
      <c r="J644" s="63">
        <f>A87</f>
        <v/>
      </c>
      <c r="K644" s="471" t="n"/>
      <c r="L644" s="471" t="n"/>
      <c r="M644" s="471" t="n"/>
      <c r="N644" s="471" t="n"/>
      <c r="O644" s="471" t="n"/>
      <c r="P644" s="471" t="n"/>
      <c r="Q644" s="471" t="n"/>
      <c r="R644" s="471" t="n"/>
      <c r="S644" s="476" t="n"/>
    </row>
    <row r="645" ht="22.2" customHeight="1" s="330">
      <c r="A64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46" ht="22.2" customHeight="1" s="330">
      <c r="A646" s="254">
        <f>A2</f>
        <v/>
      </c>
    </row>
    <row r="647" ht="22.2" customHeight="1" s="330">
      <c r="A647" s="253" t="inlineStr">
        <is>
          <t xml:space="preserve">    ระหว่างวันที่</t>
        </is>
      </c>
      <c r="D647" s="254">
        <f>D49</f>
        <v/>
      </c>
      <c r="E647" s="254" t="inlineStr">
        <is>
          <t xml:space="preserve">   เดือน  </t>
        </is>
      </c>
      <c r="F647" s="254">
        <f>F49</f>
        <v/>
      </c>
      <c r="H647" s="254">
        <f>H49</f>
        <v/>
      </c>
      <c r="I647" s="254" t="inlineStr">
        <is>
          <t xml:space="preserve">     ถึง วันที่</t>
        </is>
      </c>
      <c r="J647" s="254">
        <f>J49</f>
        <v/>
      </c>
      <c r="K647" s="254" t="inlineStr">
        <is>
          <t xml:space="preserve">   เดือน </t>
        </is>
      </c>
      <c r="L647" s="254">
        <f>L49</f>
        <v/>
      </c>
      <c r="N647" s="254">
        <f>N49</f>
        <v/>
      </c>
      <c r="P647" s="254" t="n"/>
      <c r="R647" s="254" t="n"/>
    </row>
    <row r="648" ht="22.2" customHeight="1" s="330">
      <c r="G648" s="58" t="inlineStr">
        <is>
          <t>ü</t>
        </is>
      </c>
      <c r="H648" s="301" t="inlineStr">
        <is>
          <t>ครู</t>
        </is>
      </c>
      <c r="I648" s="301" t="inlineStr">
        <is>
          <t>หน้าที่พิเศษ</t>
        </is>
      </c>
      <c r="J648" s="290" t="n"/>
      <c r="K648" s="290" t="n"/>
      <c r="L648" s="290" t="n"/>
      <c r="M648" s="290" t="n"/>
      <c r="N648" s="290" t="n"/>
      <c r="O648" s="290" t="n"/>
      <c r="P648" s="290" t="n"/>
      <c r="Q648" s="290" t="n"/>
      <c r="R648" s="290" t="n"/>
      <c r="S648" s="290" t="n"/>
    </row>
    <row r="649" ht="22.2" customHeight="1" s="330">
      <c r="A649" s="28" t="inlineStr">
        <is>
          <t>ที่</t>
        </is>
      </c>
      <c r="B649" s="28" t="inlineStr">
        <is>
          <t>ชื่อ-สกุล</t>
        </is>
      </c>
      <c r="C649" s="334" t="n"/>
      <c r="D649" s="335" t="n"/>
      <c r="E649" s="16" t="inlineStr">
        <is>
          <t>ตำแหน่ง</t>
        </is>
      </c>
      <c r="F649" s="17" t="inlineStr">
        <is>
          <t>ระยะเวลาที่สอน</t>
        </is>
      </c>
      <c r="G649" s="362" t="n"/>
      <c r="H649" s="17" t="inlineStr">
        <is>
          <t>รหัสวิชา</t>
        </is>
      </c>
      <c r="I649" s="275" t="inlineStr">
        <is>
          <t>ชั้น,แผนก,ห้อง</t>
        </is>
      </c>
      <c r="J649" s="17" t="inlineStr">
        <is>
          <t>เวลาสอน</t>
        </is>
      </c>
      <c r="K649" s="335" t="n"/>
      <c r="L649" s="17" t="inlineStr">
        <is>
          <t>ปวช.(คาบ)</t>
        </is>
      </c>
      <c r="M649" s="362" t="n"/>
      <c r="N649" s="244" t="inlineStr">
        <is>
          <t>เงิน</t>
        </is>
      </c>
      <c r="O649" s="275" t="inlineStr">
        <is>
          <t>ยอดเงิน</t>
        </is>
      </c>
      <c r="P649" s="473" t="inlineStr">
        <is>
          <t>ปวส.(คาบ)</t>
        </is>
      </c>
      <c r="Q649" s="362" t="n"/>
      <c r="R649" s="244" t="inlineStr">
        <is>
          <t>เงิน</t>
        </is>
      </c>
      <c r="S649" s="275" t="inlineStr">
        <is>
          <t>ยอดเงิน</t>
        </is>
      </c>
    </row>
    <row r="650" ht="22.2" customHeight="1" s="330">
      <c r="A650" s="60" t="n"/>
      <c r="B650" s="9" t="n"/>
      <c r="C650" s="10" t="n"/>
      <c r="D650" s="14" t="n"/>
      <c r="E650" s="11" t="n"/>
      <c r="F650" s="276" t="inlineStr">
        <is>
          <t>ส.</t>
        </is>
      </c>
      <c r="G650" s="276" t="inlineStr">
        <is>
          <t>วดป.</t>
        </is>
      </c>
      <c r="H650" s="474" t="n"/>
      <c r="I650" s="276" t="n"/>
      <c r="J650" s="475" t="n"/>
      <c r="K650" s="476" t="n"/>
      <c r="L650" s="276" t="inlineStr">
        <is>
          <t>ใน</t>
        </is>
      </c>
      <c r="M650" s="276" t="inlineStr">
        <is>
          <t>นอก</t>
        </is>
      </c>
      <c r="N650" s="276" t="inlineStr">
        <is>
          <t>ต่อ ชม.</t>
        </is>
      </c>
      <c r="O650" s="276" t="inlineStr">
        <is>
          <t>(บาท)</t>
        </is>
      </c>
      <c r="P650" s="60" t="inlineStr">
        <is>
          <t>ใน</t>
        </is>
      </c>
      <c r="Q650" s="60" t="inlineStr">
        <is>
          <t>นอก</t>
        </is>
      </c>
      <c r="R650" s="276" t="inlineStr">
        <is>
          <t>ต่อ ชม.</t>
        </is>
      </c>
      <c r="S650" s="276" t="inlineStr">
        <is>
          <t>(บาท)</t>
        </is>
      </c>
    </row>
    <row r="651" ht="22.2" customHeight="1" s="330">
      <c r="A651" s="275" t="n">
        <v>15</v>
      </c>
      <c r="B651" s="477">
        <f>AB17</f>
        <v/>
      </c>
      <c r="C651" s="334" t="n"/>
      <c r="D651" s="335" t="n"/>
      <c r="E651" s="275" t="inlineStr">
        <is>
          <t>ครู</t>
        </is>
      </c>
      <c r="F651" s="6">
        <f>F53</f>
        <v/>
      </c>
      <c r="G651" s="303" t="inlineStr">
        <is>
          <t>จันทร์</t>
        </is>
      </c>
      <c r="H651" s="252" t="inlineStr">
        <is>
          <t>30101-2007</t>
        </is>
      </c>
      <c r="I651" s="325" t="inlineStr">
        <is>
          <t>ปวส.1/6 ชย. (ปกติ)</t>
        </is>
      </c>
      <c r="J651" s="332" t="inlineStr">
        <is>
          <t>08.10-12.10</t>
        </is>
      </c>
      <c r="K651" s="335" t="n"/>
      <c r="L651" s="265" t="n"/>
      <c r="M651" s="332" t="n"/>
      <c r="N651" s="332" t="n"/>
      <c r="O651" s="244">
        <f>M651*N651</f>
        <v/>
      </c>
      <c r="P651" s="332" t="n"/>
      <c r="Q651" s="265" t="n"/>
      <c r="R651" s="332" t="n"/>
      <c r="S651" s="244">
        <f>Q651*R651</f>
        <v/>
      </c>
    </row>
    <row r="652" ht="22.2" customHeight="1" s="330">
      <c r="A652" s="4" t="n"/>
      <c r="B652" s="478" t="n"/>
      <c r="D652" s="331" t="n"/>
      <c r="E652" s="252" t="n"/>
      <c r="F652" s="249" t="n"/>
      <c r="G652" s="308">
        <f>G560</f>
        <v/>
      </c>
      <c r="H652" s="252" t="inlineStr">
        <is>
          <t>30101-2007</t>
        </is>
      </c>
      <c r="I652" s="325" t="inlineStr">
        <is>
          <t>ปวส.1/5 ชย. (ปกติ)</t>
        </is>
      </c>
      <c r="J652" s="252" t="inlineStr">
        <is>
          <t>13.10-17.10</t>
        </is>
      </c>
      <c r="K652" s="331" t="n"/>
      <c r="L652" s="252" t="n"/>
      <c r="M652" s="252" t="n"/>
      <c r="N652" s="252" t="n"/>
      <c r="O652" s="244">
        <f>M652*N652</f>
        <v/>
      </c>
      <c r="P652" s="252" t="n"/>
      <c r="Q652" s="252" t="n"/>
      <c r="R652" s="252" t="n"/>
      <c r="S652" s="244">
        <f>Q652*R652</f>
        <v/>
      </c>
    </row>
    <row r="653" ht="22.2" customHeight="1" s="330">
      <c r="A653" s="4" t="n"/>
      <c r="B653" s="5" t="n"/>
      <c r="D653" s="3" t="n"/>
      <c r="E653" s="3" t="n"/>
      <c r="F653" s="249" t="n"/>
      <c r="G653" s="248" t="n"/>
      <c r="H653" s="252" t="n"/>
      <c r="I653" s="252" t="n"/>
      <c r="J653" s="252" t="n"/>
      <c r="K653" s="331" t="n"/>
      <c r="L653" s="252" t="n"/>
      <c r="M653" s="252" t="n"/>
      <c r="N653" s="252" t="n"/>
      <c r="O653" s="244">
        <f>M653*N653</f>
        <v/>
      </c>
      <c r="P653" s="252" t="n"/>
      <c r="Q653" s="252" t="n"/>
      <c r="R653" s="252" t="n"/>
      <c r="S653" s="244">
        <f>Q653*R653</f>
        <v/>
      </c>
    </row>
    <row r="654" ht="22.2" customHeight="1" s="330">
      <c r="A654" s="4" t="n"/>
      <c r="B654" s="5" t="n"/>
      <c r="E654" s="4" t="n"/>
      <c r="F654" s="249" t="n"/>
      <c r="G654" s="248" t="n"/>
      <c r="H654" s="252" t="n"/>
      <c r="I654" s="252" t="n"/>
      <c r="J654" s="252" t="n"/>
      <c r="K654" s="331" t="n"/>
      <c r="L654" s="252" t="n"/>
      <c r="M654" s="252" t="n"/>
      <c r="N654" s="252" t="n"/>
      <c r="O654" s="244">
        <f>M654*N654</f>
        <v/>
      </c>
      <c r="P654" s="252" t="n"/>
      <c r="Q654" s="252" t="n"/>
      <c r="R654" s="252" t="n"/>
      <c r="S654" s="244">
        <f>Q654*R654</f>
        <v/>
      </c>
    </row>
    <row r="655" ht="22.2" customHeight="1" s="330">
      <c r="A655" s="4" t="n"/>
      <c r="E655" s="4" t="n"/>
      <c r="G655" s="311" t="n"/>
      <c r="H655" s="276" t="n"/>
      <c r="I655" s="276" t="n"/>
      <c r="J655" s="276" t="n"/>
      <c r="K655" s="476" t="n"/>
      <c r="L655" s="252" t="n"/>
      <c r="M655" s="252" t="n"/>
      <c r="N655" s="252" t="n"/>
      <c r="O655" s="244">
        <f>M655*N655</f>
        <v/>
      </c>
      <c r="P655" s="252" t="n"/>
      <c r="Q655" s="252" t="n"/>
      <c r="R655" s="252" t="n"/>
      <c r="S655" s="244">
        <f>Q655*R655</f>
        <v/>
      </c>
    </row>
    <row r="656" ht="22.2" customHeight="1" s="330">
      <c r="A656" s="4" t="n"/>
      <c r="E656" s="4" t="n"/>
      <c r="G656" s="62" t="inlineStr">
        <is>
          <t>อังคาร</t>
        </is>
      </c>
      <c r="H656" s="252" t="inlineStr">
        <is>
          <t>30101-2002</t>
        </is>
      </c>
      <c r="I656" s="325" t="inlineStr">
        <is>
          <t>ปวส.1/3,4 สย. (ม.6)</t>
        </is>
      </c>
      <c r="J656" s="332" t="inlineStr">
        <is>
          <t>08.10-11.10</t>
        </is>
      </c>
      <c r="K656" s="335" t="n"/>
      <c r="L656" s="265" t="n"/>
      <c r="M656" s="332" t="n"/>
      <c r="N656" s="332" t="n"/>
      <c r="O656" s="244">
        <f>M656*N656</f>
        <v/>
      </c>
      <c r="P656" s="332" t="n"/>
      <c r="Q656" s="265" t="n"/>
      <c r="R656" s="332" t="n"/>
      <c r="S656" s="244">
        <f>Q656*R656</f>
        <v/>
      </c>
    </row>
    <row r="657" ht="22.2" customHeight="1" s="330">
      <c r="A657" s="4" t="n"/>
      <c r="E657" s="4" t="n"/>
      <c r="G657" s="308">
        <f>G565</f>
        <v/>
      </c>
      <c r="H657" s="252" t="inlineStr">
        <is>
          <t>30101-2001</t>
        </is>
      </c>
      <c r="I657" s="325" t="inlineStr">
        <is>
          <t>ปวส.1/1,2 ชย. (ปกติ)</t>
        </is>
      </c>
      <c r="J657" s="252" t="inlineStr">
        <is>
          <t>13.10-16.10</t>
        </is>
      </c>
      <c r="K657" s="331" t="n"/>
      <c r="L657" s="252" t="n"/>
      <c r="M657" s="252" t="n"/>
      <c r="N657" s="252" t="n"/>
      <c r="O657" s="244">
        <f>M657*N657</f>
        <v/>
      </c>
      <c r="P657" s="252" t="n"/>
      <c r="Q657" s="252" t="n"/>
      <c r="R657" s="252" t="n"/>
      <c r="S657" s="244">
        <f>Q657*R657</f>
        <v/>
      </c>
    </row>
    <row r="658" ht="22.2" customHeight="1" s="330">
      <c r="A658" s="4" t="n"/>
      <c r="B658" s="5" t="n"/>
      <c r="D658" s="3" t="n"/>
      <c r="E658" s="3" t="n"/>
      <c r="G658" s="252" t="n"/>
      <c r="H658" s="325" t="n"/>
      <c r="I658" s="325" t="n"/>
      <c r="J658" s="325" t="n"/>
      <c r="K658" s="331" t="n"/>
      <c r="L658" s="252" t="n"/>
      <c r="M658" s="252" t="n"/>
      <c r="N658" s="252" t="n"/>
      <c r="O658" s="244">
        <f>M658*N658</f>
        <v/>
      </c>
      <c r="P658" s="252" t="n"/>
      <c r="Q658" s="252" t="n"/>
      <c r="R658" s="252" t="n"/>
      <c r="S658" s="244">
        <f>Q658*R658</f>
        <v/>
      </c>
    </row>
    <row r="659" ht="22.2" customHeight="1" s="330">
      <c r="A659" s="4" t="n"/>
      <c r="E659" s="4" t="n"/>
      <c r="G659" s="62" t="n"/>
      <c r="H659" s="249" t="n"/>
      <c r="I659" s="252" t="n"/>
      <c r="J659" s="252" t="n"/>
      <c r="K659" s="331" t="n"/>
      <c r="L659" s="252" t="n"/>
      <c r="M659" s="252" t="n"/>
      <c r="N659" s="252" t="n"/>
      <c r="O659" s="244">
        <f>M659*N659</f>
        <v/>
      </c>
      <c r="P659" s="252" t="n"/>
      <c r="Q659" s="252" t="n"/>
      <c r="R659" s="252" t="n"/>
      <c r="S659" s="244">
        <f>Q659*R659</f>
        <v/>
      </c>
    </row>
    <row r="660" ht="22.2" customHeight="1" s="330">
      <c r="A660" s="4" t="n"/>
      <c r="D660" s="8" t="inlineStr">
        <is>
          <t> </t>
        </is>
      </c>
      <c r="E660" s="4" t="n"/>
      <c r="G660" s="63" t="n"/>
      <c r="H660" s="276" t="n"/>
      <c r="I660" s="276" t="n"/>
      <c r="J660" s="276" t="n"/>
      <c r="K660" s="476" t="n"/>
      <c r="L660" s="252" t="n"/>
      <c r="M660" s="252" t="n"/>
      <c r="N660" s="252" t="n"/>
      <c r="O660" s="244">
        <f>M660*N660</f>
        <v/>
      </c>
      <c r="P660" s="252" t="n"/>
      <c r="Q660" s="252" t="n"/>
      <c r="R660" s="252" t="n"/>
      <c r="S660" s="244">
        <f>Q660*R660</f>
        <v/>
      </c>
    </row>
    <row r="661" ht="22.2" customHeight="1" s="330">
      <c r="A661" s="4" t="n"/>
      <c r="E661" s="4" t="n"/>
      <c r="G661" s="308" t="inlineStr">
        <is>
          <t>พุธ</t>
        </is>
      </c>
      <c r="H661" s="252" t="inlineStr">
        <is>
          <t>30101-2001</t>
        </is>
      </c>
      <c r="I661" s="325" t="inlineStr">
        <is>
          <t>ปวส.1/7 สย. (ทวิ)</t>
        </is>
      </c>
      <c r="J661" s="252" t="inlineStr">
        <is>
          <t>13.10-16.10</t>
        </is>
      </c>
      <c r="K661" s="331" t="n"/>
      <c r="L661" s="265" t="n"/>
      <c r="M661" s="332" t="n"/>
      <c r="N661" s="332" t="n"/>
      <c r="O661" s="244">
        <f>M661*N661</f>
        <v/>
      </c>
      <c r="P661" s="332" t="n"/>
      <c r="Q661" s="265" t="n"/>
      <c r="R661" s="332" t="n"/>
      <c r="S661" s="244">
        <f>Q661*R661</f>
        <v/>
      </c>
    </row>
    <row r="662" ht="22.2" customHeight="1" s="330">
      <c r="A662" s="4" t="n"/>
      <c r="B662" s="248" t="n"/>
      <c r="C662" s="249" t="n"/>
      <c r="D662" s="249" t="n"/>
      <c r="E662" s="252" t="n"/>
      <c r="G662" s="308">
        <f>G570</f>
        <v/>
      </c>
      <c r="H662" s="325" t="n"/>
      <c r="I662" s="325" t="n"/>
      <c r="J662" s="252" t="n"/>
      <c r="K662" s="331" t="n"/>
      <c r="L662" s="252" t="n"/>
      <c r="M662" s="252" t="n"/>
      <c r="N662" s="252" t="n"/>
      <c r="O662" s="244">
        <f>M662*N662</f>
        <v/>
      </c>
      <c r="P662" s="252" t="n"/>
      <c r="Q662" s="252" t="n"/>
      <c r="R662" s="252" t="n"/>
      <c r="S662" s="244">
        <f>Q662*R662</f>
        <v/>
      </c>
    </row>
    <row r="663" ht="22.2" customHeight="1" s="330">
      <c r="A663" s="4" t="n"/>
      <c r="B663" s="5" t="n"/>
      <c r="D663" s="3" t="n"/>
      <c r="E663" s="3" t="n"/>
      <c r="G663" s="252" t="n"/>
      <c r="H663" s="325" t="n"/>
      <c r="I663" s="325" t="n"/>
      <c r="J663" s="325" t="n"/>
      <c r="K663" s="331" t="n"/>
      <c r="L663" s="252" t="n"/>
      <c r="M663" s="252" t="n"/>
      <c r="N663" s="252" t="n"/>
      <c r="O663" s="244">
        <f>M663*N663</f>
        <v/>
      </c>
      <c r="P663" s="252" t="n"/>
      <c r="Q663" s="252" t="n"/>
      <c r="R663" s="252" t="n"/>
      <c r="S663" s="244">
        <f>Q663*R663</f>
        <v/>
      </c>
    </row>
    <row r="664" ht="22.2" customHeight="1" s="330">
      <c r="A664" s="4" t="n"/>
      <c r="E664" s="4" t="n"/>
      <c r="G664" s="248" t="n"/>
      <c r="H664" s="248" t="n"/>
      <c r="I664" s="252" t="n"/>
      <c r="J664" s="252" t="n"/>
      <c r="K664" s="331" t="n"/>
      <c r="L664" s="252" t="n"/>
      <c r="M664" s="252" t="n"/>
      <c r="N664" s="252" t="n"/>
      <c r="O664" s="244">
        <f>M664*N664</f>
        <v/>
      </c>
      <c r="P664" s="252" t="n"/>
      <c r="Q664" s="252" t="n"/>
      <c r="R664" s="252" t="n"/>
      <c r="S664" s="244">
        <f>Q664*R664</f>
        <v/>
      </c>
    </row>
    <row r="665" ht="22.2" customHeight="1" s="330">
      <c r="A665" s="4" t="n"/>
      <c r="E665" s="4" t="n"/>
      <c r="G665" s="277" t="n"/>
      <c r="H665" s="277" t="n"/>
      <c r="I665" s="276" t="n"/>
      <c r="J665" s="276" t="n"/>
      <c r="K665" s="476" t="n"/>
      <c r="L665" s="276" t="n"/>
      <c r="M665" s="276" t="n"/>
      <c r="N665" s="276" t="n"/>
      <c r="O665" s="244">
        <f>M665*N665</f>
        <v/>
      </c>
      <c r="P665" s="276" t="n"/>
      <c r="Q665" s="276" t="n"/>
      <c r="R665" s="276" t="n"/>
      <c r="S665" s="244">
        <f>Q665*R665</f>
        <v/>
      </c>
    </row>
    <row r="666" ht="22.2" customHeight="1" s="330">
      <c r="A666" s="4" t="n"/>
      <c r="E666" s="4" t="n"/>
      <c r="G666" s="62" t="inlineStr">
        <is>
          <t>พฤหัส</t>
        </is>
      </c>
      <c r="H666" s="252" t="inlineStr">
        <is>
          <t>30101-2007</t>
        </is>
      </c>
      <c r="I666" s="325" t="inlineStr">
        <is>
          <t>ปวส.1/4 สย. (ม.6)</t>
        </is>
      </c>
      <c r="J666" s="332" t="inlineStr">
        <is>
          <t>08.10-12.10</t>
        </is>
      </c>
      <c r="K666" s="335" t="n"/>
      <c r="L666" s="265" t="n"/>
      <c r="M666" s="332" t="n"/>
      <c r="N666" s="325" t="n"/>
      <c r="O666" s="244">
        <f>M666*N666</f>
        <v/>
      </c>
      <c r="P666" s="252" t="n"/>
      <c r="Q666" s="275" t="n"/>
      <c r="R666" s="275" t="n"/>
      <c r="S666" s="244">
        <f>Q666*R666</f>
        <v/>
      </c>
    </row>
    <row r="667" ht="22.2" customHeight="1" s="330">
      <c r="A667" s="4" t="n"/>
      <c r="E667" s="4" t="n"/>
      <c r="G667" s="308">
        <f>G575</f>
        <v/>
      </c>
      <c r="H667" s="252" t="inlineStr">
        <is>
          <t>30101-2007</t>
        </is>
      </c>
      <c r="I667" s="325" t="inlineStr">
        <is>
          <t>ปวส.1/3 สย. (ม.6)</t>
        </is>
      </c>
      <c r="J667" s="252" t="inlineStr">
        <is>
          <t>15.10-19.10</t>
        </is>
      </c>
      <c r="K667" s="331" t="n"/>
      <c r="L667" s="252" t="n"/>
      <c r="M667" s="252" t="n"/>
      <c r="N667" s="252" t="n"/>
      <c r="O667" s="244">
        <f>M667*N667</f>
        <v/>
      </c>
      <c r="P667" s="252" t="n"/>
      <c r="Q667" s="252" t="n"/>
      <c r="R667" s="252" t="n"/>
      <c r="S667" s="244">
        <f>Q667*R667</f>
        <v/>
      </c>
    </row>
    <row r="668" ht="22.2" customHeight="1" s="330">
      <c r="A668" s="4" t="n"/>
      <c r="B668" s="5" t="n"/>
      <c r="E668" s="4" t="n"/>
      <c r="G668" s="252" t="n"/>
      <c r="H668" s="325" t="n"/>
      <c r="I668" s="325" t="n"/>
      <c r="J668" s="325" t="n"/>
      <c r="K668" s="331" t="n"/>
      <c r="L668" s="325" t="n"/>
      <c r="M668" s="325" t="n"/>
      <c r="N668" s="325" t="n"/>
      <c r="O668" s="244">
        <f>M668*N668</f>
        <v/>
      </c>
      <c r="P668" s="325" t="n"/>
      <c r="Q668" s="325" t="n"/>
      <c r="R668" s="325" t="n"/>
      <c r="S668" s="244">
        <f>Q668*R668</f>
        <v/>
      </c>
    </row>
    <row r="669" ht="22.2" customHeight="1" s="330">
      <c r="A669" s="4" t="n"/>
      <c r="E669" s="4" t="n"/>
      <c r="G669" s="252" t="n"/>
      <c r="H669" s="252" t="n"/>
      <c r="I669" s="252" t="n"/>
      <c r="J669" s="252" t="n"/>
      <c r="K669" s="331" t="n"/>
      <c r="L669" s="252" t="n"/>
      <c r="M669" s="252" t="n"/>
      <c r="N669" s="252" t="n"/>
      <c r="O669" s="244">
        <f>M669*N669</f>
        <v/>
      </c>
      <c r="P669" s="252" t="n"/>
      <c r="Q669" s="252" t="n"/>
      <c r="R669" s="252" t="n"/>
      <c r="S669" s="244">
        <f>Q669*R669</f>
        <v/>
      </c>
    </row>
    <row r="670" ht="22.2" customHeight="1" s="330">
      <c r="A670" s="4" t="n"/>
      <c r="E670" s="4" t="n"/>
      <c r="G670" s="276" t="n"/>
      <c r="H670" s="301" t="n"/>
      <c r="I670" s="276" t="n"/>
      <c r="J670" s="276" t="n"/>
      <c r="K670" s="476" t="n"/>
      <c r="L670" s="276" t="n"/>
      <c r="M670" s="276" t="n"/>
      <c r="N670" s="276" t="n"/>
      <c r="O670" s="244">
        <f>M670*N670</f>
        <v/>
      </c>
      <c r="P670" s="276" t="n"/>
      <c r="Q670" s="276" t="n"/>
      <c r="R670" s="276" t="n"/>
      <c r="S670" s="244">
        <f>Q670*R670</f>
        <v/>
      </c>
    </row>
    <row r="671" ht="22.2" customHeight="1" s="330">
      <c r="A671" s="4" t="n"/>
      <c r="E671" s="4" t="n"/>
      <c r="G671" s="62" t="inlineStr">
        <is>
          <t>ศุกร์</t>
        </is>
      </c>
      <c r="H671" s="252" t="inlineStr">
        <is>
          <t>30101-2007</t>
        </is>
      </c>
      <c r="I671" s="325" t="inlineStr">
        <is>
          <t>ปวส.1/7 สย. (ทวิ)</t>
        </is>
      </c>
      <c r="J671" s="332" t="inlineStr">
        <is>
          <t>08.10-12.10</t>
        </is>
      </c>
      <c r="K671" s="335" t="n"/>
      <c r="L671" s="265" t="n"/>
      <c r="M671" s="332" t="n"/>
      <c r="N671" s="332" t="n"/>
      <c r="O671" s="244">
        <f>M671*N671</f>
        <v/>
      </c>
      <c r="P671" s="332" t="n"/>
      <c r="Q671" s="265" t="n"/>
      <c r="R671" s="332" t="n"/>
      <c r="S671" s="244">
        <f>Q671*R671</f>
        <v/>
      </c>
    </row>
    <row r="672" ht="22.2" customHeight="1" s="330">
      <c r="A672" s="4" t="n"/>
      <c r="E672" s="4" t="n"/>
      <c r="G672" s="308">
        <f>G580</f>
        <v/>
      </c>
      <c r="H672" s="325" t="n"/>
      <c r="I672" s="325" t="n"/>
      <c r="J672" s="325" t="n"/>
      <c r="K672" s="331" t="n"/>
      <c r="L672" s="252" t="n"/>
      <c r="M672" s="252" t="n"/>
      <c r="N672" s="252" t="n"/>
      <c r="O672" s="244">
        <f>M672*N672</f>
        <v/>
      </c>
      <c r="P672" s="252" t="n"/>
      <c r="Q672" s="252" t="n"/>
      <c r="R672" s="252" t="n"/>
      <c r="S672" s="244">
        <f>Q672*R672</f>
        <v/>
      </c>
    </row>
    <row r="673" ht="22.2" customHeight="1" s="330">
      <c r="A673" s="4" t="n"/>
      <c r="E673" s="4" t="n"/>
      <c r="G673" s="252" t="n"/>
      <c r="H673" s="325" t="n"/>
      <c r="I673" s="325" t="n"/>
      <c r="J673" s="325" t="n"/>
      <c r="K673" s="331" t="n"/>
      <c r="L673" s="252" t="n"/>
      <c r="M673" s="252" t="n"/>
      <c r="N673" s="252" t="n"/>
      <c r="O673" s="244">
        <f>M673*N673</f>
        <v/>
      </c>
      <c r="P673" s="252" t="n"/>
      <c r="Q673" s="252" t="n"/>
      <c r="R673" s="252" t="n"/>
      <c r="S673" s="244">
        <f>Q673*R673</f>
        <v/>
      </c>
    </row>
    <row r="674" ht="22.2" customHeight="1" s="330">
      <c r="A674" s="4" t="n"/>
      <c r="E674" s="4" t="n"/>
      <c r="G674" s="252" t="n"/>
      <c r="H674" s="249" t="n"/>
      <c r="I674" s="252" t="n"/>
      <c r="J674" s="252" t="n"/>
      <c r="K674" s="331" t="n"/>
      <c r="L674" s="252" t="n"/>
      <c r="M674" s="252" t="n"/>
      <c r="N674" s="252" t="n"/>
      <c r="O674" s="244">
        <f>M674*N674</f>
        <v/>
      </c>
      <c r="P674" s="252" t="n"/>
      <c r="Q674" s="252" t="n"/>
      <c r="R674" s="252" t="n"/>
      <c r="S674" s="244">
        <f>Q674*R674</f>
        <v/>
      </c>
    </row>
    <row r="675" ht="22.2" customHeight="1" s="330">
      <c r="A675" s="4" t="n"/>
      <c r="E675" s="4" t="n"/>
      <c r="F675" s="4" t="n"/>
      <c r="G675" s="278" t="n"/>
      <c r="H675" s="301" t="n"/>
      <c r="I675" s="276" t="n"/>
      <c r="J675" s="276" t="n"/>
      <c r="K675" s="476" t="n"/>
      <c r="L675" s="276" t="n"/>
      <c r="M675" s="276" t="n"/>
      <c r="N675" s="276" t="n"/>
      <c r="O675" s="244">
        <f>M675*N675</f>
        <v/>
      </c>
      <c r="P675" s="276" t="n"/>
      <c r="Q675" s="276" t="n"/>
      <c r="R675" s="276" t="n"/>
      <c r="S675" s="244">
        <f>Q675*R675</f>
        <v/>
      </c>
    </row>
    <row r="676" ht="22.2" customHeight="1" s="330">
      <c r="A676" s="4" t="n"/>
      <c r="E676" s="4" t="n"/>
      <c r="F676" s="4" t="n"/>
      <c r="G676" s="17" t="inlineStr">
        <is>
          <t>รวมขั่วโมงที่สอนแยก ภาระงาน/ เกินภาระงาน</t>
        </is>
      </c>
      <c r="H676" s="467" t="n"/>
      <c r="I676" s="467" t="n"/>
      <c r="J676" s="467" t="n"/>
      <c r="K676" s="362" t="n"/>
      <c r="L676" s="17">
        <f>SUM(L651:L675)</f>
        <v/>
      </c>
      <c r="M676" s="17">
        <f>SUM(M651:M675)</f>
        <v/>
      </c>
      <c r="N676" s="17" t="n"/>
      <c r="O676" s="17" t="n"/>
      <c r="P676" s="17">
        <f>SUM(P651:P675)</f>
        <v/>
      </c>
      <c r="Q676" s="17">
        <f>SUM(Q651:Q675)</f>
        <v/>
      </c>
      <c r="R676" s="279" t="n"/>
      <c r="S676" s="17" t="n"/>
    </row>
    <row r="677" ht="22.2" customHeight="1" s="330">
      <c r="A677" s="4" t="n"/>
      <c r="E677" s="4" t="n"/>
      <c r="F677" s="4" t="n"/>
      <c r="G677" s="17" t="inlineStr">
        <is>
          <t>รวมจำนวนชั่วโมงสอนคาบต่อสับดาห์</t>
        </is>
      </c>
      <c r="H677" s="467" t="n"/>
      <c r="I677" s="467" t="n"/>
      <c r="J677" s="467" t="n"/>
      <c r="K677" s="362" t="n"/>
      <c r="L677" s="17">
        <f>L676+M676</f>
        <v/>
      </c>
      <c r="M677" s="362" t="n"/>
      <c r="N677" s="298" t="n"/>
      <c r="O677" s="17" t="n"/>
      <c r="P677" s="17">
        <f>P676+Q676</f>
        <v/>
      </c>
      <c r="Q677" s="362" t="n"/>
      <c r="R677" s="278" t="n"/>
      <c r="S677" s="276" t="n"/>
    </row>
    <row r="678" ht="22.2" customHeight="1" s="330">
      <c r="A678" s="4" t="n"/>
      <c r="E678" s="4" t="n"/>
      <c r="F678" s="4" t="n"/>
      <c r="G678" s="17" t="inlineStr">
        <is>
          <t>จำนวนชั่วโมงสอนตามภาระงานสอน</t>
        </is>
      </c>
      <c r="H678" s="467" t="n"/>
      <c r="I678" s="467" t="n"/>
      <c r="J678" s="467" t="n"/>
      <c r="K678" s="362" t="n"/>
      <c r="L678" s="17" t="n">
        <v>0</v>
      </c>
      <c r="M678" s="362" t="n"/>
      <c r="N678" s="298" t="n"/>
      <c r="O678" s="17" t="n"/>
      <c r="P678" s="17" t="n">
        <v>15</v>
      </c>
      <c r="Q678" s="362" t="n"/>
      <c r="R678" s="249" t="n"/>
      <c r="S678" s="252" t="n"/>
    </row>
    <row r="679" ht="22.2" customHeight="1" s="330" thickBot="1">
      <c r="A679" s="4" t="n"/>
      <c r="E679" s="4" t="n"/>
      <c r="F679" s="15" t="n"/>
      <c r="G679" s="17" t="inlineStr">
        <is>
          <t>จำนวนชั่วโมงบิกเกินภาระงานสอน/ค่าสอน</t>
        </is>
      </c>
      <c r="H679" s="467" t="n"/>
      <c r="I679" s="467" t="n"/>
      <c r="J679" s="467" t="n"/>
      <c r="K679" s="362" t="n"/>
      <c r="L679" s="18" t="n">
        <v>0</v>
      </c>
      <c r="M679" s="18">
        <f>SUM(M651:M675)</f>
        <v/>
      </c>
      <c r="N679" s="18" t="n"/>
      <c r="O679" s="18">
        <f>SUM(O651:O675)</f>
        <v/>
      </c>
      <c r="P679" s="18" t="n">
        <v>0</v>
      </c>
      <c r="Q679" s="18">
        <f>SUM(Q651:Q675)</f>
        <v/>
      </c>
      <c r="R679" s="19" t="n"/>
      <c r="S679" s="18">
        <f>SUM(S651:S675)</f>
        <v/>
      </c>
    </row>
    <row r="680" ht="22.2" customHeight="1" s="330" thickTop="1">
      <c r="A680" s="299" t="inlineStr">
        <is>
          <t>รวมจำนวนหน่วยชั่วโมงที่ขอเบิกค่าสอน ….</t>
        </is>
      </c>
      <c r="B680" s="467" t="n"/>
      <c r="C680" s="467" t="n"/>
      <c r="D680" s="467" t="n"/>
      <c r="E680" s="467" t="n"/>
      <c r="F680" s="467" t="n"/>
      <c r="G680" s="467" t="n"/>
      <c r="H680" s="298">
        <f>M679+Q679</f>
        <v/>
      </c>
      <c r="I680" s="298" t="inlineStr">
        <is>
          <t>….ชั่วโมง</t>
        </is>
      </c>
      <c r="J680" s="298" t="n"/>
      <c r="K680" s="301" t="inlineStr">
        <is>
          <t>ยอดเงินรวม</t>
        </is>
      </c>
      <c r="L680" s="471" t="n"/>
      <c r="M680" s="471" t="n"/>
      <c r="N680" s="301" t="n"/>
      <c r="O680" s="301" t="n"/>
      <c r="P680" s="302">
        <f>S679+O679</f>
        <v/>
      </c>
      <c r="Q680" s="482" t="n"/>
      <c r="R680" s="21" t="n"/>
      <c r="S680" s="20" t="inlineStr">
        <is>
          <t>..บาท</t>
        </is>
      </c>
    </row>
    <row r="681" ht="22.2" customHeight="1" s="330">
      <c r="A681" s="207" t="inlineStr">
        <is>
          <t>ผู้ขอเบิก</t>
        </is>
      </c>
      <c r="B681" s="334" t="n"/>
      <c r="C681" s="334" t="n"/>
      <c r="D681" s="334" t="n"/>
      <c r="E681" s="334" t="n"/>
      <c r="F681" s="334" t="n"/>
      <c r="G681" s="335" t="n"/>
      <c r="H681" s="207" t="inlineStr">
        <is>
          <t>ผู้รับรอง</t>
        </is>
      </c>
      <c r="I681" s="334" t="n"/>
      <c r="J681" s="334" t="n"/>
      <c r="K681" s="334" t="n"/>
      <c r="L681" s="335" t="n"/>
      <c r="M681" s="207" t="inlineStr">
        <is>
          <t>ผู้ตรวจ</t>
        </is>
      </c>
      <c r="N681" s="334" t="n"/>
      <c r="O681" s="334" t="n"/>
      <c r="P681" s="334" t="n"/>
      <c r="Q681" s="334" t="n"/>
      <c r="R681" s="334" t="n"/>
      <c r="S681" s="335" t="n"/>
    </row>
    <row r="682" ht="22.2" customHeight="1" s="330">
      <c r="A682" s="252" t="inlineStr">
        <is>
          <t>ลงชื่อ……………………………………………</t>
        </is>
      </c>
      <c r="G682" s="331" t="n"/>
      <c r="H682" s="252" t="inlineStr">
        <is>
          <t>ลงชื่อ……………………………………………</t>
        </is>
      </c>
      <c r="L682" s="331" t="n"/>
      <c r="M682" s="252" t="inlineStr">
        <is>
          <t>ลงชื่อ……………………………………………</t>
        </is>
      </c>
      <c r="S682" s="331" t="n"/>
    </row>
    <row r="683" ht="22.2" customHeight="1" s="330">
      <c r="A683" s="12" t="inlineStr">
        <is>
          <t>(</t>
        </is>
      </c>
      <c r="B683" s="309">
        <f>B651</f>
        <v/>
      </c>
      <c r="G683" s="310" t="inlineStr">
        <is>
          <t>)</t>
        </is>
      </c>
      <c r="H683" s="309" t="inlineStr">
        <is>
          <t>(</t>
        </is>
      </c>
      <c r="I683" s="314">
        <f>I637</f>
        <v/>
      </c>
      <c r="L683" s="13" t="inlineStr">
        <is>
          <t>)</t>
        </is>
      </c>
      <c r="M683" s="61" t="inlineStr">
        <is>
          <t>(</t>
        </is>
      </c>
      <c r="N683" s="61" t="n"/>
      <c r="O683" s="309" t="inlineStr">
        <is>
          <t>นายพิสุทธิศักดิ์  กล่อมนาค</t>
        </is>
      </c>
      <c r="R683" s="29" t="n"/>
      <c r="S683" s="310" t="inlineStr">
        <is>
          <t>)</t>
        </is>
      </c>
    </row>
    <row r="684" ht="22.2" customHeight="1" s="330">
      <c r="A684" s="483" t="inlineStr">
        <is>
          <t xml:space="preserve">                        ตำแหน่ง ครู</t>
        </is>
      </c>
      <c r="G684" s="331" t="n"/>
      <c r="H684" s="62" t="inlineStr">
        <is>
          <t>ตำแหน่ง หัวหน้าแผนก</t>
        </is>
      </c>
      <c r="L684" s="331" t="n"/>
      <c r="M684" s="62" t="inlineStr">
        <is>
          <t>ตำแหน่ง   ผู้ตรวจสอบ</t>
        </is>
      </c>
      <c r="S684" s="331" t="n"/>
    </row>
    <row r="685" ht="22.2" customHeight="1" s="330">
      <c r="A685" s="63">
        <f>A87</f>
        <v/>
      </c>
      <c r="B685" s="471" t="n"/>
      <c r="C685" s="471" t="n"/>
      <c r="D685" s="471" t="n"/>
      <c r="E685" s="471" t="n"/>
      <c r="F685" s="471" t="n"/>
      <c r="G685" s="476" t="n"/>
      <c r="H685" s="62">
        <f>A87</f>
        <v/>
      </c>
      <c r="L685" s="331" t="n"/>
      <c r="M685" s="63">
        <f>A87</f>
        <v/>
      </c>
      <c r="N685" s="471" t="n"/>
      <c r="O685" s="471" t="n"/>
      <c r="P685" s="471" t="n"/>
      <c r="Q685" s="471" t="n"/>
      <c r="R685" s="471" t="n"/>
      <c r="S685" s="476" t="n"/>
    </row>
    <row r="686" ht="22.2" customHeight="1" s="330">
      <c r="A686" s="207" t="inlineStr">
        <is>
          <t>ผู้ตรวจ</t>
        </is>
      </c>
      <c r="B686" s="334" t="n"/>
      <c r="C686" s="334" t="n"/>
      <c r="D686" s="334" t="n"/>
      <c r="E686" s="334" t="n"/>
      <c r="F686" s="334" t="n"/>
      <c r="G686" s="334" t="n"/>
      <c r="H686" s="334" t="n"/>
      <c r="I686" s="335" t="n"/>
      <c r="J686" s="207" t="inlineStr">
        <is>
          <t>ผู้เห็นชอบ</t>
        </is>
      </c>
      <c r="K686" s="334" t="n"/>
      <c r="L686" s="334" t="n"/>
      <c r="M686" s="334" t="n"/>
      <c r="N686" s="334" t="n"/>
      <c r="O686" s="334" t="n"/>
      <c r="P686" s="334" t="n"/>
      <c r="Q686" s="334" t="n"/>
      <c r="R686" s="334" t="n"/>
      <c r="S686" s="335" t="n"/>
    </row>
    <row r="687" ht="22.2" customHeight="1" s="330">
      <c r="A687" s="252" t="inlineStr">
        <is>
          <t>ลงชื่อ……………………………………………</t>
        </is>
      </c>
      <c r="I687" s="331" t="n"/>
      <c r="J687" s="252" t="inlineStr">
        <is>
          <t>ลงชื่อ……………………………………………</t>
        </is>
      </c>
      <c r="S687" s="331" t="n"/>
    </row>
    <row r="688" ht="22.2" customHeight="1" s="330">
      <c r="A688" s="12" t="n"/>
      <c r="B688" s="309" t="inlineStr">
        <is>
          <t xml:space="preserve">          (นางศิวรักษ์   บุญประเสริฐ)</t>
        </is>
      </c>
      <c r="I688" s="310" t="n"/>
      <c r="J688" s="29" t="n"/>
      <c r="K688" s="29" t="n"/>
      <c r="L688" s="309" t="inlineStr">
        <is>
          <t>(นายปรีชา  โพธิ์เกิด)</t>
        </is>
      </c>
      <c r="R688" s="29" t="n"/>
      <c r="S688" s="13" t="n"/>
    </row>
    <row r="689" ht="22.2" customHeight="1" s="330">
      <c r="A689" s="62" t="inlineStr">
        <is>
          <t>ตำแหน่งครู  หัวหน้างานพัฒนาหลักสูตร ฯ</t>
        </is>
      </c>
      <c r="I689" s="331" t="n"/>
      <c r="J689" s="62" t="inlineStr">
        <is>
          <t>ตำแหน่ง  รองผู้อำนวยการฝ่ายวิชาการ</t>
        </is>
      </c>
      <c r="S689" s="331" t="n"/>
    </row>
    <row r="690" ht="22.2" customHeight="1" s="330">
      <c r="A690" s="63">
        <f>A87</f>
        <v/>
      </c>
      <c r="B690" s="471" t="n"/>
      <c r="C690" s="471" t="n"/>
      <c r="D690" s="471" t="n"/>
      <c r="E690" s="471" t="n"/>
      <c r="F690" s="471" t="n"/>
      <c r="G690" s="471" t="n"/>
      <c r="H690" s="471" t="n"/>
      <c r="I690" s="476" t="n"/>
      <c r="J690" s="63">
        <f>A87</f>
        <v/>
      </c>
      <c r="K690" s="471" t="n"/>
      <c r="L690" s="471" t="n"/>
      <c r="M690" s="471" t="n"/>
      <c r="N690" s="471" t="n"/>
      <c r="O690" s="471" t="n"/>
      <c r="P690" s="471" t="n"/>
      <c r="Q690" s="471" t="n"/>
      <c r="R690" s="471" t="n"/>
      <c r="S690" s="476" t="n"/>
    </row>
    <row r="691" ht="22.2" customHeight="1" s="330">
      <c r="A69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92" ht="22.2" customHeight="1" s="330">
      <c r="A692" s="254">
        <f>A2</f>
        <v/>
      </c>
    </row>
    <row r="693" ht="22.2" customHeight="1" s="330">
      <c r="A693" s="253" t="inlineStr">
        <is>
          <t xml:space="preserve">    ระหว่างวันที่</t>
        </is>
      </c>
      <c r="D693" s="254">
        <f>D95</f>
        <v/>
      </c>
      <c r="E693" s="254" t="inlineStr">
        <is>
          <t xml:space="preserve">   เดือน  </t>
        </is>
      </c>
      <c r="F693" s="254">
        <f>F95</f>
        <v/>
      </c>
      <c r="H693" s="254">
        <f>H95</f>
        <v/>
      </c>
      <c r="I693" s="254" t="inlineStr">
        <is>
          <t xml:space="preserve">     ถึง วันที่</t>
        </is>
      </c>
      <c r="J693" s="254">
        <f>J95</f>
        <v/>
      </c>
      <c r="K693" s="254" t="inlineStr">
        <is>
          <t xml:space="preserve">   เดือน </t>
        </is>
      </c>
      <c r="L693" s="254">
        <f>L95</f>
        <v/>
      </c>
      <c r="N693" s="254">
        <f>N95</f>
        <v/>
      </c>
      <c r="P693" s="254" t="n"/>
      <c r="R693" s="254" t="n"/>
    </row>
    <row r="694" ht="22.2" customHeight="1" s="330">
      <c r="G694" s="58" t="inlineStr">
        <is>
          <t>ü</t>
        </is>
      </c>
      <c r="H694" s="301" t="inlineStr">
        <is>
          <t>ครู</t>
        </is>
      </c>
      <c r="I694" s="301" t="inlineStr">
        <is>
          <t>หน้าที่พิเศษ</t>
        </is>
      </c>
      <c r="J694" s="290" t="n"/>
      <c r="K694" s="290" t="n"/>
      <c r="L694" s="290" t="n"/>
      <c r="M694" s="290" t="n"/>
      <c r="N694" s="290" t="n"/>
      <c r="O694" s="290" t="n"/>
      <c r="P694" s="290" t="n"/>
      <c r="Q694" s="290" t="n"/>
      <c r="R694" s="290" t="n"/>
      <c r="S694" s="290" t="n"/>
    </row>
    <row r="695" ht="22.2" customHeight="1" s="330">
      <c r="A695" s="28" t="inlineStr">
        <is>
          <t>ที่</t>
        </is>
      </c>
      <c r="B695" s="28" t="inlineStr">
        <is>
          <t>ชื่อ-สกุล</t>
        </is>
      </c>
      <c r="C695" s="334" t="n"/>
      <c r="D695" s="335" t="n"/>
      <c r="E695" s="16" t="inlineStr">
        <is>
          <t>ตำแหน่ง</t>
        </is>
      </c>
      <c r="F695" s="17" t="inlineStr">
        <is>
          <t>ระยะเวลาที่สอน</t>
        </is>
      </c>
      <c r="G695" s="362" t="n"/>
      <c r="H695" s="17" t="inlineStr">
        <is>
          <t>รหัสวิชา</t>
        </is>
      </c>
      <c r="I695" s="275" t="inlineStr">
        <is>
          <t>ชั้น,แผนก,ห้อง</t>
        </is>
      </c>
      <c r="J695" s="17" t="inlineStr">
        <is>
          <t>เวลาสอน</t>
        </is>
      </c>
      <c r="K695" s="335" t="n"/>
      <c r="L695" s="17" t="inlineStr">
        <is>
          <t>ปวช.(คาบ)</t>
        </is>
      </c>
      <c r="M695" s="362" t="n"/>
      <c r="N695" s="244" t="inlineStr">
        <is>
          <t>เงิน</t>
        </is>
      </c>
      <c r="O695" s="275" t="inlineStr">
        <is>
          <t>ยอดเงิน</t>
        </is>
      </c>
      <c r="P695" s="473" t="inlineStr">
        <is>
          <t>ปวส.(คาบ)</t>
        </is>
      </c>
      <c r="Q695" s="362" t="n"/>
      <c r="R695" s="244" t="inlineStr">
        <is>
          <t>เงิน</t>
        </is>
      </c>
      <c r="S695" s="275" t="inlineStr">
        <is>
          <t>ยอดเงิน</t>
        </is>
      </c>
    </row>
    <row r="696" ht="22.2" customHeight="1" s="330">
      <c r="A696" s="60" t="n"/>
      <c r="B696" s="9" t="n"/>
      <c r="C696" s="10" t="n"/>
      <c r="D696" s="14" t="n"/>
      <c r="E696" s="11" t="n"/>
      <c r="F696" s="276" t="inlineStr">
        <is>
          <t>ส.</t>
        </is>
      </c>
      <c r="G696" s="276" t="inlineStr">
        <is>
          <t>วดป.</t>
        </is>
      </c>
      <c r="H696" s="474" t="n"/>
      <c r="I696" s="276" t="n"/>
      <c r="J696" s="475" t="n"/>
      <c r="K696" s="476" t="n"/>
      <c r="L696" s="276" t="inlineStr">
        <is>
          <t>ใน</t>
        </is>
      </c>
      <c r="M696" s="276" t="inlineStr">
        <is>
          <t>นอก</t>
        </is>
      </c>
      <c r="N696" s="276" t="inlineStr">
        <is>
          <t>ต่อ ชม.</t>
        </is>
      </c>
      <c r="O696" s="276" t="inlineStr">
        <is>
          <t>(บาท)</t>
        </is>
      </c>
      <c r="P696" s="60" t="inlineStr">
        <is>
          <t>ใน</t>
        </is>
      </c>
      <c r="Q696" s="60" t="inlineStr">
        <is>
          <t>นอก</t>
        </is>
      </c>
      <c r="R696" s="276" t="inlineStr">
        <is>
          <t>ต่อ ชม.</t>
        </is>
      </c>
      <c r="S696" s="276" t="inlineStr">
        <is>
          <t>(บาท)</t>
        </is>
      </c>
    </row>
    <row r="697" ht="22.2" customHeight="1" s="330">
      <c r="A697" s="275" t="n">
        <v>16</v>
      </c>
      <c r="B697" s="477">
        <f>AB18</f>
        <v/>
      </c>
      <c r="C697" s="334" t="n"/>
      <c r="D697" s="335" t="n"/>
      <c r="E697" s="275" t="inlineStr">
        <is>
          <t>ครู</t>
        </is>
      </c>
      <c r="F697" s="6">
        <f>F99</f>
        <v/>
      </c>
      <c r="G697" s="303" t="inlineStr">
        <is>
          <t>จันทร์</t>
        </is>
      </c>
      <c r="H697" s="332" t="n"/>
      <c r="I697" s="325" t="n"/>
      <c r="J697" s="332" t="n"/>
      <c r="K697" s="335" t="n"/>
      <c r="L697" s="332" t="n"/>
      <c r="M697" s="332" t="n"/>
      <c r="N697" s="332" t="n"/>
      <c r="O697" s="244">
        <f>M697*N697</f>
        <v/>
      </c>
      <c r="P697" s="332" t="n"/>
      <c r="Q697" s="265" t="n"/>
      <c r="R697" s="332" t="n"/>
      <c r="S697" s="244">
        <f>Q697*R697</f>
        <v/>
      </c>
    </row>
    <row r="698" ht="22.2" customHeight="1" s="330">
      <c r="A698" s="4" t="n"/>
      <c r="B698" s="478" t="n"/>
      <c r="D698" s="331" t="n"/>
      <c r="E698" s="252" t="n"/>
      <c r="F698" s="249" t="n"/>
      <c r="G698" s="308">
        <f>G606</f>
        <v/>
      </c>
      <c r="H698" s="325" t="n"/>
      <c r="I698" s="325" t="n"/>
      <c r="J698" s="252" t="n"/>
      <c r="K698" s="331" t="n"/>
      <c r="L698" s="252" t="n"/>
      <c r="M698" s="252" t="n"/>
      <c r="N698" s="252" t="n"/>
      <c r="O698" s="244">
        <f>M698*N698</f>
        <v/>
      </c>
      <c r="P698" s="252" t="n"/>
      <c r="Q698" s="252" t="n"/>
      <c r="R698" s="252" t="n"/>
      <c r="S698" s="244">
        <f>Q698*R698</f>
        <v/>
      </c>
    </row>
    <row r="699" ht="22.2" customHeight="1" s="330">
      <c r="A699" s="4" t="n"/>
      <c r="B699" s="5" t="n"/>
      <c r="D699" s="3" t="n"/>
      <c r="E699" s="3" t="n"/>
      <c r="F699" s="249" t="n"/>
      <c r="G699" s="248" t="n"/>
      <c r="H699" s="252" t="n"/>
      <c r="I699" s="252" t="n"/>
      <c r="J699" s="252" t="n"/>
      <c r="K699" s="331" t="n"/>
      <c r="L699" s="252" t="n"/>
      <c r="M699" s="252" t="n"/>
      <c r="N699" s="252" t="n"/>
      <c r="O699" s="244">
        <f>M699*N699</f>
        <v/>
      </c>
      <c r="P699" s="252" t="n"/>
      <c r="Q699" s="252" t="n"/>
      <c r="R699" s="252" t="n"/>
      <c r="S699" s="244">
        <f>Q699*R699</f>
        <v/>
      </c>
    </row>
    <row r="700" ht="22.2" customHeight="1" s="330">
      <c r="A700" s="4" t="n"/>
      <c r="B700" s="5" t="n"/>
      <c r="E700" s="4" t="n"/>
      <c r="F700" s="249" t="n"/>
      <c r="G700" s="248" t="n"/>
      <c r="H700" s="252" t="n"/>
      <c r="I700" s="252" t="n"/>
      <c r="J700" s="252" t="n"/>
      <c r="K700" s="331" t="n"/>
      <c r="L700" s="252" t="n"/>
      <c r="M700" s="252" t="n"/>
      <c r="N700" s="252" t="n"/>
      <c r="O700" s="244">
        <f>M700*N700</f>
        <v/>
      </c>
      <c r="P700" s="252" t="n"/>
      <c r="Q700" s="252" t="n"/>
      <c r="R700" s="252" t="n"/>
      <c r="S700" s="244">
        <f>Q700*R700</f>
        <v/>
      </c>
    </row>
    <row r="701" ht="22.2" customHeight="1" s="330">
      <c r="A701" s="4" t="n"/>
      <c r="E701" s="4" t="n"/>
      <c r="G701" s="311" t="n"/>
      <c r="H701" s="276" t="n"/>
      <c r="I701" s="276" t="n"/>
      <c r="J701" s="276" t="n"/>
      <c r="K701" s="476" t="n"/>
      <c r="L701" s="252" t="n"/>
      <c r="M701" s="252" t="n"/>
      <c r="N701" s="252" t="n"/>
      <c r="O701" s="244">
        <f>M701*N701</f>
        <v/>
      </c>
      <c r="P701" s="252" t="n"/>
      <c r="Q701" s="252" t="n"/>
      <c r="R701" s="252" t="n"/>
      <c r="S701" s="244">
        <f>Q701*R701</f>
        <v/>
      </c>
    </row>
    <row r="702" ht="22.2" customHeight="1" s="330">
      <c r="A702" s="4" t="n"/>
      <c r="E702" s="4" t="n"/>
      <c r="G702" s="62" t="inlineStr">
        <is>
          <t>อังคาร</t>
        </is>
      </c>
      <c r="H702" s="325" t="inlineStr">
        <is>
          <t>20101-2102</t>
        </is>
      </c>
      <c r="I702" s="325" t="inlineStr">
        <is>
          <t>ปวช.1/6 ชย. (ปกติ)</t>
        </is>
      </c>
      <c r="J702" s="332" t="inlineStr">
        <is>
          <t>08.10-12.10</t>
        </is>
      </c>
      <c r="K702" s="335" t="n"/>
      <c r="L702" s="265" t="n"/>
      <c r="M702" s="332" t="n"/>
      <c r="N702" s="332" t="n"/>
      <c r="O702" s="244">
        <f>M702*N702</f>
        <v/>
      </c>
      <c r="P702" s="332" t="n"/>
      <c r="Q702" s="265" t="n"/>
      <c r="R702" s="332" t="n"/>
      <c r="S702" s="244">
        <f>Q702*R702</f>
        <v/>
      </c>
    </row>
    <row r="703" ht="22.2" customHeight="1" s="330">
      <c r="A703" s="4" t="n"/>
      <c r="E703" s="4" t="n"/>
      <c r="G703" s="308">
        <f>G611</f>
        <v/>
      </c>
      <c r="H703" s="325" t="inlineStr">
        <is>
          <t>20101-2102</t>
        </is>
      </c>
      <c r="I703" s="325" t="inlineStr">
        <is>
          <t>ปวช.1/6 ชย. (ปกติ)</t>
        </is>
      </c>
      <c r="J703" s="325" t="inlineStr">
        <is>
          <t>13.10-16.10</t>
        </is>
      </c>
      <c r="K703" s="331" t="n"/>
      <c r="L703" s="252" t="n"/>
      <c r="M703" s="252" t="n"/>
      <c r="N703" s="252" t="n"/>
      <c r="O703" s="244">
        <f>M703*N703</f>
        <v/>
      </c>
      <c r="P703" s="252" t="n"/>
      <c r="Q703" s="252" t="n"/>
      <c r="R703" s="252" t="n"/>
      <c r="S703" s="244">
        <f>Q703*R703</f>
        <v/>
      </c>
    </row>
    <row r="704" ht="22.2" customHeight="1" s="330">
      <c r="A704" s="4" t="n"/>
      <c r="B704" s="5" t="n"/>
      <c r="D704" s="3" t="n"/>
      <c r="E704" s="3" t="n"/>
      <c r="G704" s="252" t="n"/>
      <c r="H704" s="252" t="n"/>
      <c r="I704" s="252" t="n"/>
      <c r="J704" s="252" t="n"/>
      <c r="K704" s="331" t="n"/>
      <c r="L704" s="252" t="n"/>
      <c r="M704" s="252" t="n"/>
      <c r="N704" s="252" t="n"/>
      <c r="O704" s="244">
        <f>M704*N704</f>
        <v/>
      </c>
      <c r="P704" s="252" t="n"/>
      <c r="Q704" s="252" t="n"/>
      <c r="R704" s="252" t="n"/>
      <c r="S704" s="244">
        <f>Q704*R704</f>
        <v/>
      </c>
    </row>
    <row r="705" ht="22.2" customHeight="1" s="330">
      <c r="A705" s="4" t="n"/>
      <c r="E705" s="4" t="n"/>
      <c r="G705" s="62" t="n"/>
      <c r="H705" s="249" t="n"/>
      <c r="I705" s="252" t="n"/>
      <c r="J705" s="252" t="n"/>
      <c r="K705" s="331" t="n"/>
      <c r="L705" s="252" t="n"/>
      <c r="M705" s="252" t="n"/>
      <c r="N705" s="252" t="n"/>
      <c r="O705" s="244">
        <f>M705*N705</f>
        <v/>
      </c>
      <c r="P705" s="252" t="n"/>
      <c r="Q705" s="252" t="n"/>
      <c r="R705" s="252" t="n"/>
      <c r="S705" s="244">
        <f>Q705*R705</f>
        <v/>
      </c>
    </row>
    <row r="706" ht="22.2" customHeight="1" s="330">
      <c r="A706" s="4" t="n"/>
      <c r="D706" s="8" t="inlineStr">
        <is>
          <t> </t>
        </is>
      </c>
      <c r="E706" s="4" t="n"/>
      <c r="G706" s="63" t="n"/>
      <c r="H706" s="276" t="n"/>
      <c r="I706" s="252" t="n"/>
      <c r="J706" s="276" t="n"/>
      <c r="K706" s="476" t="n"/>
      <c r="L706" s="252" t="n"/>
      <c r="M706" s="252" t="n"/>
      <c r="N706" s="252" t="n"/>
      <c r="O706" s="244">
        <f>M706*N706</f>
        <v/>
      </c>
      <c r="P706" s="252" t="n"/>
      <c r="Q706" s="252" t="n"/>
      <c r="R706" s="252" t="n"/>
      <c r="S706" s="244">
        <f>Q706*R706</f>
        <v/>
      </c>
    </row>
    <row r="707" ht="22.2" customHeight="1" s="330">
      <c r="A707" s="4" t="n"/>
      <c r="E707" s="4" t="n"/>
      <c r="G707" s="308" t="inlineStr">
        <is>
          <t>พุธ</t>
        </is>
      </c>
      <c r="H707" s="325" t="inlineStr">
        <is>
          <t>20101-2102</t>
        </is>
      </c>
      <c r="I707" s="332" t="inlineStr">
        <is>
          <t>ปวช.1/10 ชย. (ทวิ)</t>
        </is>
      </c>
      <c r="J707" s="332" t="inlineStr">
        <is>
          <t>08.10-12.10</t>
        </is>
      </c>
      <c r="K707" s="335" t="n"/>
      <c r="L707" s="332" t="n"/>
      <c r="M707" s="182" t="n"/>
      <c r="N707" s="179" t="n"/>
      <c r="O707" s="244">
        <f>M707*N707</f>
        <v/>
      </c>
      <c r="P707" s="332" t="n"/>
      <c r="Q707" s="265" t="n"/>
      <c r="R707" s="332" t="n"/>
      <c r="S707" s="244">
        <f>Q707*R707</f>
        <v/>
      </c>
    </row>
    <row r="708" ht="22.2" customHeight="1" s="330">
      <c r="A708" s="4" t="n"/>
      <c r="B708" s="248" t="n"/>
      <c r="C708" s="249" t="n"/>
      <c r="D708" s="249" t="n"/>
      <c r="E708" s="252" t="n"/>
      <c r="G708" s="308">
        <f>G616</f>
        <v/>
      </c>
      <c r="H708" s="325" t="inlineStr">
        <is>
          <t>20101-2102</t>
        </is>
      </c>
      <c r="I708" s="325" t="inlineStr">
        <is>
          <t>ปวช.1/10 ชย. (ทวิ)</t>
        </is>
      </c>
      <c r="J708" s="325" t="inlineStr">
        <is>
          <t>13.10-16.10</t>
        </is>
      </c>
      <c r="K708" s="331" t="n"/>
      <c r="L708" s="252" t="n"/>
      <c r="M708" s="331" t="n"/>
      <c r="N708" s="56" t="n"/>
      <c r="O708" s="244">
        <f>M708*N708</f>
        <v/>
      </c>
      <c r="P708" s="252" t="n"/>
      <c r="Q708" s="252" t="n"/>
      <c r="R708" s="252" t="n"/>
      <c r="S708" s="244">
        <f>Q708*R708</f>
        <v/>
      </c>
    </row>
    <row r="709" ht="22.2" customHeight="1" s="330">
      <c r="A709" s="4" t="n"/>
      <c r="B709" s="5" t="n"/>
      <c r="D709" s="3" t="n"/>
      <c r="E709" s="3" t="n"/>
      <c r="G709" s="252" t="n"/>
      <c r="H709" s="252" t="n"/>
      <c r="I709" s="252" t="n"/>
      <c r="J709" s="252" t="n"/>
      <c r="K709" s="331" t="n"/>
      <c r="L709" s="252" t="n"/>
      <c r="M709" s="252" t="n"/>
      <c r="N709" s="252" t="n"/>
      <c r="O709" s="244">
        <f>M709*N709</f>
        <v/>
      </c>
      <c r="P709" s="252" t="n"/>
      <c r="Q709" s="252" t="n"/>
      <c r="R709" s="252" t="n"/>
      <c r="S709" s="244">
        <f>Q709*R709</f>
        <v/>
      </c>
    </row>
    <row r="710" ht="22.2" customHeight="1" s="330">
      <c r="A710" s="4" t="n"/>
      <c r="E710" s="4" t="n"/>
      <c r="G710" s="248" t="n"/>
      <c r="H710" s="248" t="n"/>
      <c r="I710" s="252" t="n"/>
      <c r="J710" s="252" t="n"/>
      <c r="K710" s="331" t="n"/>
      <c r="L710" s="252" t="n"/>
      <c r="M710" s="252" t="n"/>
      <c r="N710" s="252" t="n"/>
      <c r="O710" s="244">
        <f>M710*N710</f>
        <v/>
      </c>
      <c r="P710" s="252" t="n"/>
      <c r="Q710" s="252" t="n"/>
      <c r="R710" s="252" t="n"/>
      <c r="S710" s="244">
        <f>Q710*R710</f>
        <v/>
      </c>
    </row>
    <row r="711" ht="22.2" customHeight="1" s="330">
      <c r="A711" s="4" t="n"/>
      <c r="E711" s="4" t="n"/>
      <c r="G711" s="277" t="n"/>
      <c r="H711" s="277" t="n"/>
      <c r="I711" s="276" t="n"/>
      <c r="J711" s="276" t="n"/>
      <c r="K711" s="476" t="n"/>
      <c r="L711" s="276" t="n"/>
      <c r="M711" s="276" t="n"/>
      <c r="N711" s="276" t="n"/>
      <c r="O711" s="244">
        <f>M711*N711</f>
        <v/>
      </c>
      <c r="P711" s="276" t="n"/>
      <c r="Q711" s="276" t="n"/>
      <c r="R711" s="276" t="n"/>
      <c r="S711" s="244">
        <f>Q711*R711</f>
        <v/>
      </c>
    </row>
    <row r="712" ht="22.2" customHeight="1" s="330">
      <c r="A712" s="4" t="n"/>
      <c r="E712" s="4" t="n"/>
      <c r="G712" s="62" t="inlineStr">
        <is>
          <t>พฤหัส</t>
        </is>
      </c>
      <c r="H712" s="325" t="inlineStr">
        <is>
          <t>20101-2102</t>
        </is>
      </c>
      <c r="I712" s="325" t="inlineStr">
        <is>
          <t>ปวช.1/8 ชย. (ปกติ)</t>
        </is>
      </c>
      <c r="J712" s="332" t="inlineStr">
        <is>
          <t>08.10-12.10</t>
        </is>
      </c>
      <c r="K712" s="335" t="n"/>
      <c r="L712" s="252" t="n"/>
      <c r="M712" s="252" t="n"/>
      <c r="N712" s="252" t="n"/>
      <c r="O712" s="244">
        <f>M712*N712</f>
        <v/>
      </c>
      <c r="P712" s="252" t="n"/>
      <c r="Q712" s="275" t="n"/>
      <c r="R712" s="275" t="n"/>
      <c r="S712" s="244">
        <f>Q712*R712</f>
        <v/>
      </c>
    </row>
    <row r="713" ht="22.2" customHeight="1" s="330">
      <c r="A713" s="4" t="n"/>
      <c r="E713" s="4" t="n"/>
      <c r="G713" s="308">
        <f>G621</f>
        <v/>
      </c>
      <c r="H713" s="325" t="inlineStr">
        <is>
          <t>20000-2002</t>
        </is>
      </c>
      <c r="I713" s="325" t="inlineStr">
        <is>
          <t>ปวช.1/1,2 ชย. (ปกติ)</t>
        </is>
      </c>
      <c r="J713" s="252" t="inlineStr">
        <is>
          <t>13.10-15.10</t>
        </is>
      </c>
      <c r="K713" s="331" t="n"/>
      <c r="L713" s="325" t="n"/>
      <c r="M713" s="252" t="n"/>
      <c r="N713" s="252" t="n"/>
      <c r="O713" s="244">
        <f>M713*N713</f>
        <v/>
      </c>
      <c r="P713" s="252" t="n"/>
      <c r="Q713" s="252" t="n"/>
      <c r="R713" s="252" t="n"/>
      <c r="S713" s="244">
        <f>Q713*R713</f>
        <v/>
      </c>
    </row>
    <row r="714" ht="22.2" customHeight="1" s="330">
      <c r="A714" s="4" t="n"/>
      <c r="B714" s="5" t="n"/>
      <c r="E714" s="4" t="n"/>
      <c r="G714" s="252" t="n"/>
      <c r="H714" s="325" t="inlineStr">
        <is>
          <t>20101-2102</t>
        </is>
      </c>
      <c r="I714" s="325" t="inlineStr">
        <is>
          <t>ปวช.1/8 ชย. (ปกติ)</t>
        </is>
      </c>
      <c r="J714" s="252" t="inlineStr">
        <is>
          <t>15.10-18.10</t>
        </is>
      </c>
      <c r="K714" s="331" t="n"/>
      <c r="L714" s="325" t="n"/>
      <c r="M714" s="325" t="n"/>
      <c r="N714" s="325" t="n"/>
      <c r="O714" s="244">
        <f>M714*N714</f>
        <v/>
      </c>
      <c r="P714" s="325" t="n"/>
      <c r="Q714" s="325" t="n"/>
      <c r="R714" s="325" t="n"/>
      <c r="S714" s="244">
        <f>Q714*R714</f>
        <v/>
      </c>
    </row>
    <row r="715" ht="22.2" customHeight="1" s="330">
      <c r="A715" s="4" t="n"/>
      <c r="E715" s="4" t="n"/>
      <c r="G715" s="252" t="n"/>
      <c r="H715" s="252" t="n"/>
      <c r="I715" s="252" t="n"/>
      <c r="J715" s="252" t="n"/>
      <c r="K715" s="331" t="n"/>
      <c r="L715" s="252" t="n"/>
      <c r="M715" s="252" t="n"/>
      <c r="N715" s="252" t="n"/>
      <c r="O715" s="244">
        <f>M715*N715</f>
        <v/>
      </c>
      <c r="P715" s="252" t="n"/>
      <c r="Q715" s="252" t="n"/>
      <c r="R715" s="252" t="n"/>
      <c r="S715" s="244">
        <f>Q715*R715</f>
        <v/>
      </c>
    </row>
    <row r="716" ht="22.2" customHeight="1" s="330">
      <c r="A716" s="4" t="n"/>
      <c r="E716" s="4" t="n"/>
      <c r="G716" s="276" t="n"/>
      <c r="H716" s="301" t="n"/>
      <c r="I716" s="276" t="n"/>
      <c r="J716" s="276" t="n"/>
      <c r="K716" s="476" t="n"/>
      <c r="L716" s="276" t="n"/>
      <c r="M716" s="276" t="n"/>
      <c r="N716" s="276" t="n"/>
      <c r="O716" s="244">
        <f>M716*N716</f>
        <v/>
      </c>
      <c r="P716" s="276" t="n"/>
      <c r="Q716" s="276" t="n"/>
      <c r="R716" s="276" t="n"/>
      <c r="S716" s="244">
        <f>Q716*R716</f>
        <v/>
      </c>
    </row>
    <row r="717" ht="22.2" customHeight="1" s="330">
      <c r="A717" s="4" t="n"/>
      <c r="E717" s="4" t="n"/>
      <c r="G717" s="62" t="inlineStr">
        <is>
          <t>ศุกร์</t>
        </is>
      </c>
      <c r="H717" s="332" t="inlineStr">
        <is>
          <t>20101-2008</t>
        </is>
      </c>
      <c r="I717" s="325" t="inlineStr">
        <is>
          <t>ปวช.1/5 ชย. (ปกติ)</t>
        </is>
      </c>
      <c r="J717" s="332" t="inlineStr">
        <is>
          <t>08.10-12.10</t>
        </is>
      </c>
      <c r="K717" s="335" t="n"/>
      <c r="L717" s="265" t="n"/>
      <c r="M717" s="332" t="n"/>
      <c r="N717" s="332" t="n"/>
      <c r="O717" s="244">
        <f>M717*N717</f>
        <v/>
      </c>
      <c r="P717" s="332" t="n"/>
      <c r="Q717" s="265" t="n"/>
      <c r="R717" s="332" t="n"/>
      <c r="S717" s="244">
        <f>Q717*R717</f>
        <v/>
      </c>
    </row>
    <row r="718" ht="22.2" customHeight="1" s="330">
      <c r="A718" s="4" t="n"/>
      <c r="E718" s="4" t="n"/>
      <c r="G718" s="308">
        <f>G626</f>
        <v/>
      </c>
      <c r="H718" s="325" t="inlineStr">
        <is>
          <t>20101-2106</t>
        </is>
      </c>
      <c r="I718" s="325" t="inlineStr">
        <is>
          <t>ปวช.3/7 ชย. (ปกติ)</t>
        </is>
      </c>
      <c r="J718" s="252" t="inlineStr">
        <is>
          <t>13.10-17.10</t>
        </is>
      </c>
      <c r="K718" s="331" t="n"/>
      <c r="L718" s="252" t="n"/>
      <c r="M718" s="252" t="n"/>
      <c r="N718" s="252" t="n"/>
      <c r="O718" s="244">
        <f>M718*N718</f>
        <v/>
      </c>
      <c r="P718" s="252" t="n"/>
      <c r="Q718" s="252" t="n"/>
      <c r="R718" s="252" t="n"/>
      <c r="S718" s="244">
        <f>Q718*R718</f>
        <v/>
      </c>
    </row>
    <row r="719" ht="22.2" customHeight="1" s="330">
      <c r="A719" s="4" t="n"/>
      <c r="E719" s="4" t="n"/>
      <c r="G719" s="252" t="n"/>
      <c r="H719" s="325" t="n"/>
      <c r="I719" s="325" t="n"/>
      <c r="J719" s="325" t="n"/>
      <c r="K719" s="331" t="n"/>
      <c r="L719" s="252" t="n"/>
      <c r="M719" s="252" t="n"/>
      <c r="N719" s="252" t="n"/>
      <c r="O719" s="244">
        <f>M719*N719</f>
        <v/>
      </c>
      <c r="P719" s="252" t="n"/>
      <c r="Q719" s="252" t="n"/>
      <c r="R719" s="252" t="n"/>
      <c r="S719" s="244">
        <f>Q719*R719</f>
        <v/>
      </c>
    </row>
    <row r="720" ht="22.2" customHeight="1" s="330">
      <c r="A720" s="4" t="n"/>
      <c r="E720" s="4" t="n"/>
      <c r="G720" s="252" t="n"/>
      <c r="H720" s="249" t="n"/>
      <c r="I720" s="252" t="n"/>
      <c r="J720" s="252" t="n"/>
      <c r="K720" s="331" t="n"/>
      <c r="L720" s="252" t="n"/>
      <c r="M720" s="252" t="n"/>
      <c r="N720" s="252" t="n"/>
      <c r="O720" s="244">
        <f>M720*N720</f>
        <v/>
      </c>
      <c r="P720" s="252" t="n"/>
      <c r="Q720" s="252" t="n"/>
      <c r="R720" s="252" t="n"/>
      <c r="S720" s="244">
        <f>Q720*R720</f>
        <v/>
      </c>
    </row>
    <row r="721" ht="22.2" customHeight="1" s="330">
      <c r="A721" s="4" t="n"/>
      <c r="E721" s="4" t="n"/>
      <c r="F721" s="4" t="n"/>
      <c r="G721" s="278" t="n"/>
      <c r="H721" s="301" t="n"/>
      <c r="I721" s="276" t="n"/>
      <c r="J721" s="276" t="n"/>
      <c r="K721" s="476" t="n"/>
      <c r="L721" s="276" t="n"/>
      <c r="M721" s="276" t="n"/>
      <c r="N721" s="276" t="n"/>
      <c r="O721" s="244">
        <f>M721*N721</f>
        <v/>
      </c>
      <c r="P721" s="276" t="n"/>
      <c r="Q721" s="276" t="n"/>
      <c r="R721" s="276" t="n"/>
      <c r="S721" s="244">
        <f>Q721*R721</f>
        <v/>
      </c>
    </row>
    <row r="722" ht="22.2" customHeight="1" s="330">
      <c r="A722" s="4" t="n"/>
      <c r="E722" s="4" t="n"/>
      <c r="F722" s="4" t="n"/>
      <c r="G722" s="17" t="inlineStr">
        <is>
          <t>รวมขั่วโมงที่สอนแยก ภาระงาน/ เกินภาระงาน</t>
        </is>
      </c>
      <c r="H722" s="467" t="n"/>
      <c r="I722" s="467" t="n"/>
      <c r="J722" s="467" t="n"/>
      <c r="K722" s="362" t="n"/>
      <c r="L722" s="17">
        <f>SUM(L697:L721)</f>
        <v/>
      </c>
      <c r="M722" s="17">
        <f>SUM(M697:M721)</f>
        <v/>
      </c>
      <c r="N722" s="17" t="n"/>
      <c r="O722" s="17" t="n"/>
      <c r="P722" s="17">
        <f>SUM(P697:P721)</f>
        <v/>
      </c>
      <c r="Q722" s="17">
        <f>SUM(Q697:Q721)</f>
        <v/>
      </c>
      <c r="R722" s="279" t="n"/>
      <c r="S722" s="17" t="n"/>
    </row>
    <row r="723" ht="22.2" customHeight="1" s="330">
      <c r="A723" s="4" t="n"/>
      <c r="E723" s="4" t="n"/>
      <c r="F723" s="4" t="n"/>
      <c r="G723" s="17" t="inlineStr">
        <is>
          <t>รวมจำนวนชั่วโมงสอนคาบต่อสับดาห์</t>
        </is>
      </c>
      <c r="H723" s="467" t="n"/>
      <c r="I723" s="467" t="n"/>
      <c r="J723" s="467" t="n"/>
      <c r="K723" s="362" t="n"/>
      <c r="L723" s="17">
        <f>L722+M722</f>
        <v/>
      </c>
      <c r="M723" s="362" t="n"/>
      <c r="N723" s="298" t="n"/>
      <c r="O723" s="17" t="n"/>
      <c r="P723" s="17">
        <f>P722+Q722</f>
        <v/>
      </c>
      <c r="Q723" s="362" t="n"/>
      <c r="R723" s="278" t="n"/>
      <c r="S723" s="276" t="n"/>
    </row>
    <row r="724" ht="22.2" customHeight="1" s="330">
      <c r="A724" s="4" t="n"/>
      <c r="E724" s="4" t="n"/>
      <c r="F724" s="4" t="n"/>
      <c r="G724" s="17" t="inlineStr">
        <is>
          <t>จำนวนชั่วโมงสอนตามภาระงานสอน</t>
        </is>
      </c>
      <c r="H724" s="467" t="n"/>
      <c r="I724" s="467" t="n"/>
      <c r="J724" s="467" t="n"/>
      <c r="K724" s="362" t="n"/>
      <c r="L724" s="17" t="n">
        <v>18</v>
      </c>
      <c r="M724" s="362" t="n"/>
      <c r="N724" s="298" t="n"/>
      <c r="O724" s="17" t="n"/>
      <c r="P724" s="17" t="n">
        <v>0</v>
      </c>
      <c r="Q724" s="362" t="n"/>
      <c r="R724" s="249" t="n"/>
      <c r="S724" s="252" t="n"/>
    </row>
    <row r="725" ht="22.2" customHeight="1" s="330" thickBot="1">
      <c r="A725" s="4" t="n"/>
      <c r="E725" s="4" t="n"/>
      <c r="F725" s="15" t="n"/>
      <c r="G725" s="17" t="inlineStr">
        <is>
          <t>จำนวนชั่วโมงบิกเกินภาระงานสอน/ค่าสอน</t>
        </is>
      </c>
      <c r="H725" s="467" t="n"/>
      <c r="I725" s="467" t="n"/>
      <c r="J725" s="467" t="n"/>
      <c r="K725" s="362" t="n"/>
      <c r="L725" s="18" t="n">
        <v>0</v>
      </c>
      <c r="M725" s="18">
        <f>SUM(M697:M721)</f>
        <v/>
      </c>
      <c r="N725" s="18" t="n"/>
      <c r="O725" s="18">
        <f>SUM(O697:O721)</f>
        <v/>
      </c>
      <c r="P725" s="18" t="n">
        <v>0</v>
      </c>
      <c r="Q725" s="18">
        <f>SUM(Q697:Q721)</f>
        <v/>
      </c>
      <c r="R725" s="19" t="n"/>
      <c r="S725" s="18">
        <f>SUM(S697:S721)</f>
        <v/>
      </c>
    </row>
    <row r="726" ht="22.2" customHeight="1" s="330" thickTop="1">
      <c r="A726" s="299" t="inlineStr">
        <is>
          <t>รวมจำนวนหน่วยชั่วโมงที่ขอเบิกค่าสอน ….</t>
        </is>
      </c>
      <c r="B726" s="467" t="n"/>
      <c r="C726" s="467" t="n"/>
      <c r="D726" s="467" t="n"/>
      <c r="E726" s="467" t="n"/>
      <c r="F726" s="467" t="n"/>
      <c r="G726" s="467" t="n"/>
      <c r="H726" s="298">
        <f>M725+Q725</f>
        <v/>
      </c>
      <c r="I726" s="298" t="inlineStr">
        <is>
          <t>….ชั่วโมง</t>
        </is>
      </c>
      <c r="J726" s="298" t="n"/>
      <c r="K726" s="301" t="inlineStr">
        <is>
          <t>ยอดเงินรวม</t>
        </is>
      </c>
      <c r="L726" s="471" t="n"/>
      <c r="M726" s="471" t="n"/>
      <c r="N726" s="301" t="n"/>
      <c r="O726" s="301" t="n"/>
      <c r="P726" s="302">
        <f>S725+O725</f>
        <v/>
      </c>
      <c r="Q726" s="482" t="n"/>
      <c r="R726" s="21" t="n"/>
      <c r="S726" s="20" t="inlineStr">
        <is>
          <t>..บาท</t>
        </is>
      </c>
    </row>
    <row r="727" ht="22.2" customHeight="1" s="330">
      <c r="A727" s="207" t="inlineStr">
        <is>
          <t>ผู้ขอเบิก</t>
        </is>
      </c>
      <c r="B727" s="334" t="n"/>
      <c r="C727" s="334" t="n"/>
      <c r="D727" s="334" t="n"/>
      <c r="E727" s="334" t="n"/>
      <c r="F727" s="334" t="n"/>
      <c r="G727" s="335" t="n"/>
      <c r="H727" s="207" t="inlineStr">
        <is>
          <t>ผู้รับรอง</t>
        </is>
      </c>
      <c r="I727" s="334" t="n"/>
      <c r="J727" s="334" t="n"/>
      <c r="K727" s="334" t="n"/>
      <c r="L727" s="335" t="n"/>
      <c r="M727" s="207" t="inlineStr">
        <is>
          <t>ผู้ตรวจ</t>
        </is>
      </c>
      <c r="N727" s="334" t="n"/>
      <c r="O727" s="334" t="n"/>
      <c r="P727" s="334" t="n"/>
      <c r="Q727" s="334" t="n"/>
      <c r="R727" s="334" t="n"/>
      <c r="S727" s="335" t="n"/>
    </row>
    <row r="728" ht="22.2" customHeight="1" s="330">
      <c r="A728" s="252" t="inlineStr">
        <is>
          <t>ลงชื่อ……………………………………………</t>
        </is>
      </c>
      <c r="G728" s="331" t="n"/>
      <c r="H728" s="252" t="inlineStr">
        <is>
          <t>ลงชื่อ……………………………………………</t>
        </is>
      </c>
      <c r="L728" s="331" t="n"/>
      <c r="M728" s="252" t="inlineStr">
        <is>
          <t>ลงชื่อ……………………………………………</t>
        </is>
      </c>
      <c r="S728" s="331" t="n"/>
    </row>
    <row r="729" ht="22.2" customHeight="1" s="330">
      <c r="A729" s="12" t="inlineStr">
        <is>
          <t>(</t>
        </is>
      </c>
      <c r="B729" s="309">
        <f>B697</f>
        <v/>
      </c>
      <c r="G729" s="310" t="inlineStr">
        <is>
          <t>)</t>
        </is>
      </c>
      <c r="H729" s="309" t="inlineStr">
        <is>
          <t>(</t>
        </is>
      </c>
      <c r="I729" s="314">
        <f>I683</f>
        <v/>
      </c>
      <c r="L729" s="13" t="inlineStr">
        <is>
          <t>)</t>
        </is>
      </c>
      <c r="M729" s="61" t="inlineStr">
        <is>
          <t>(</t>
        </is>
      </c>
      <c r="N729" s="61" t="n"/>
      <c r="O729" s="309" t="inlineStr">
        <is>
          <t>นายพิสุทธิศักดิ์  กล่อมนาค</t>
        </is>
      </c>
      <c r="R729" s="29" t="n"/>
      <c r="S729" s="310" t="inlineStr">
        <is>
          <t>)</t>
        </is>
      </c>
    </row>
    <row r="730" ht="22.2" customHeight="1" s="330">
      <c r="A730" s="483" t="inlineStr">
        <is>
          <t xml:space="preserve">                        ตำแหน่ง ครู</t>
        </is>
      </c>
      <c r="G730" s="331" t="n"/>
      <c r="H730" s="62" t="inlineStr">
        <is>
          <t>ตำแหน่ง หัวหน้าแผนก</t>
        </is>
      </c>
      <c r="L730" s="331" t="n"/>
      <c r="M730" s="62" t="inlineStr">
        <is>
          <t>ตำแหน่ง   ผู้ตรวจสอบ</t>
        </is>
      </c>
      <c r="S730" s="331" t="n"/>
    </row>
    <row r="731" ht="22.2" customHeight="1" s="330">
      <c r="A731" s="63">
        <f>A133</f>
        <v/>
      </c>
      <c r="B731" s="471" t="n"/>
      <c r="C731" s="471" t="n"/>
      <c r="D731" s="471" t="n"/>
      <c r="E731" s="471" t="n"/>
      <c r="F731" s="471" t="n"/>
      <c r="G731" s="476" t="n"/>
      <c r="H731" s="62">
        <f>A133</f>
        <v/>
      </c>
      <c r="L731" s="331" t="n"/>
      <c r="M731" s="63">
        <f>A133</f>
        <v/>
      </c>
      <c r="N731" s="471" t="n"/>
      <c r="O731" s="471" t="n"/>
      <c r="P731" s="471" t="n"/>
      <c r="Q731" s="471" t="n"/>
      <c r="R731" s="471" t="n"/>
      <c r="S731" s="476" t="n"/>
    </row>
    <row r="732" ht="22.2" customHeight="1" s="330">
      <c r="A732" s="207" t="inlineStr">
        <is>
          <t>ผู้ตรวจ</t>
        </is>
      </c>
      <c r="B732" s="334" t="n"/>
      <c r="C732" s="334" t="n"/>
      <c r="D732" s="334" t="n"/>
      <c r="E732" s="334" t="n"/>
      <c r="F732" s="334" t="n"/>
      <c r="G732" s="334" t="n"/>
      <c r="H732" s="334" t="n"/>
      <c r="I732" s="335" t="n"/>
      <c r="J732" s="207" t="inlineStr">
        <is>
          <t>ผู้เห็นชอบ</t>
        </is>
      </c>
      <c r="K732" s="334" t="n"/>
      <c r="L732" s="334" t="n"/>
      <c r="M732" s="334" t="n"/>
      <c r="N732" s="334" t="n"/>
      <c r="O732" s="334" t="n"/>
      <c r="P732" s="334" t="n"/>
      <c r="Q732" s="334" t="n"/>
      <c r="R732" s="334" t="n"/>
      <c r="S732" s="335" t="n"/>
    </row>
    <row r="733" ht="22.2" customHeight="1" s="330">
      <c r="A733" s="252" t="inlineStr">
        <is>
          <t>ลงชื่อ……………………………………………</t>
        </is>
      </c>
      <c r="I733" s="331" t="n"/>
      <c r="J733" s="252" t="inlineStr">
        <is>
          <t>ลงชื่อ……………………………………………</t>
        </is>
      </c>
      <c r="S733" s="331" t="n"/>
    </row>
    <row r="734" ht="22.2" customHeight="1" s="330">
      <c r="A734" s="12" t="n"/>
      <c r="B734" s="309" t="inlineStr">
        <is>
          <t xml:space="preserve">          (นางศิวรักษ์   บุญประเสริฐ)</t>
        </is>
      </c>
      <c r="I734" s="310" t="n"/>
      <c r="J734" s="29" t="n"/>
      <c r="K734" s="29" t="n"/>
      <c r="L734" s="309" t="inlineStr">
        <is>
          <t>(นายปรีชา  โพธิ์เกิด)</t>
        </is>
      </c>
      <c r="R734" s="29" t="n"/>
      <c r="S734" s="13" t="n"/>
    </row>
    <row r="735" ht="22.2" customHeight="1" s="330">
      <c r="A735" s="62" t="inlineStr">
        <is>
          <t>ตำแหน่งครู  หัวหน้างานพัฒนาหลักสูตร ฯ</t>
        </is>
      </c>
      <c r="I735" s="331" t="n"/>
      <c r="J735" s="62" t="inlineStr">
        <is>
          <t>ตำแหน่ง  รองผู้อำนวยการฝ่ายวิชาการ</t>
        </is>
      </c>
      <c r="S735" s="331" t="n"/>
    </row>
    <row r="736" ht="22.2" customHeight="1" s="330">
      <c r="A736" s="63">
        <f>A133</f>
        <v/>
      </c>
      <c r="B736" s="471" t="n"/>
      <c r="C736" s="471" t="n"/>
      <c r="D736" s="471" t="n"/>
      <c r="E736" s="471" t="n"/>
      <c r="F736" s="471" t="n"/>
      <c r="G736" s="471" t="n"/>
      <c r="H736" s="471" t="n"/>
      <c r="I736" s="476" t="n"/>
      <c r="J736" s="63">
        <f>A133</f>
        <v/>
      </c>
      <c r="K736" s="471" t="n"/>
      <c r="L736" s="471" t="n"/>
      <c r="M736" s="471" t="n"/>
      <c r="N736" s="471" t="n"/>
      <c r="O736" s="471" t="n"/>
      <c r="P736" s="471" t="n"/>
      <c r="Q736" s="471" t="n"/>
      <c r="R736" s="471" t="n"/>
      <c r="S736" s="476" t="n"/>
    </row>
    <row r="737" ht="22.2" customHeight="1" s="330">
      <c r="A73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738" ht="22.2" customHeight="1" s="330">
      <c r="A738" s="254">
        <f>A2</f>
        <v/>
      </c>
    </row>
    <row r="739" ht="22.2" customHeight="1" s="330">
      <c r="A739" s="253" t="inlineStr">
        <is>
          <t xml:space="preserve">    ระหว่างวันที่</t>
        </is>
      </c>
      <c r="D739" s="254">
        <f>D141</f>
        <v/>
      </c>
      <c r="E739" s="254" t="inlineStr">
        <is>
          <t xml:space="preserve">   เดือน  </t>
        </is>
      </c>
      <c r="F739" s="254">
        <f>F141</f>
        <v/>
      </c>
      <c r="H739" s="254">
        <f>H141</f>
        <v/>
      </c>
      <c r="I739" s="254" t="inlineStr">
        <is>
          <t xml:space="preserve">     ถึง วันที่</t>
        </is>
      </c>
      <c r="J739" s="254">
        <f>J141</f>
        <v/>
      </c>
      <c r="K739" s="254" t="inlineStr">
        <is>
          <t xml:space="preserve">   เดือน </t>
        </is>
      </c>
      <c r="L739" s="254">
        <f>L141</f>
        <v/>
      </c>
      <c r="N739" s="254">
        <f>N141</f>
        <v/>
      </c>
      <c r="P739" s="254" t="n"/>
      <c r="R739" s="254" t="n"/>
    </row>
    <row r="740" ht="22.2" customHeight="1" s="330">
      <c r="G740" s="58" t="inlineStr">
        <is>
          <t>ü</t>
        </is>
      </c>
      <c r="H740" s="301" t="inlineStr">
        <is>
          <t>ครู</t>
        </is>
      </c>
      <c r="I740" s="301" t="inlineStr">
        <is>
          <t>หน้าที่พิเศษ</t>
        </is>
      </c>
      <c r="J740" s="290" t="n"/>
      <c r="K740" s="290" t="n"/>
      <c r="L740" s="290" t="n"/>
      <c r="M740" s="290" t="n"/>
      <c r="N740" s="290" t="n"/>
      <c r="O740" s="290" t="n"/>
      <c r="P740" s="290" t="n"/>
      <c r="Q740" s="290" t="n"/>
      <c r="R740" s="290" t="n"/>
      <c r="S740" s="290" t="n"/>
    </row>
    <row r="741" ht="22.2" customHeight="1" s="330">
      <c r="A741" s="28" t="inlineStr">
        <is>
          <t>ที่</t>
        </is>
      </c>
      <c r="B741" s="28" t="inlineStr">
        <is>
          <t>ชื่อ-สกุล</t>
        </is>
      </c>
      <c r="C741" s="334" t="n"/>
      <c r="D741" s="335" t="n"/>
      <c r="E741" s="16" t="inlineStr">
        <is>
          <t>ตำแหน่ง</t>
        </is>
      </c>
      <c r="F741" s="17" t="inlineStr">
        <is>
          <t>ระยะเวลาที่สอน</t>
        </is>
      </c>
      <c r="G741" s="362" t="n"/>
      <c r="H741" s="17" t="inlineStr">
        <is>
          <t>รหัสวิชา</t>
        </is>
      </c>
      <c r="I741" s="275" t="inlineStr">
        <is>
          <t>ชั้น,แผนก,ห้อง</t>
        </is>
      </c>
      <c r="J741" s="17" t="inlineStr">
        <is>
          <t>เวลาสอน</t>
        </is>
      </c>
      <c r="K741" s="335" t="n"/>
      <c r="L741" s="17" t="inlineStr">
        <is>
          <t>ปวช.(คาบ)</t>
        </is>
      </c>
      <c r="M741" s="362" t="n"/>
      <c r="N741" s="244" t="inlineStr">
        <is>
          <t>เงิน</t>
        </is>
      </c>
      <c r="O741" s="275" t="inlineStr">
        <is>
          <t>ยอดเงิน</t>
        </is>
      </c>
      <c r="P741" s="473" t="inlineStr">
        <is>
          <t>ปวส.(คาบ)</t>
        </is>
      </c>
      <c r="Q741" s="362" t="n"/>
      <c r="R741" s="244" t="inlineStr">
        <is>
          <t>เงิน</t>
        </is>
      </c>
      <c r="S741" s="275" t="inlineStr">
        <is>
          <t>ยอดเงิน</t>
        </is>
      </c>
    </row>
    <row r="742" ht="22.2" customHeight="1" s="330">
      <c r="A742" s="60" t="n"/>
      <c r="B742" s="9" t="n"/>
      <c r="C742" s="10" t="n"/>
      <c r="D742" s="14" t="n"/>
      <c r="E742" s="11" t="n"/>
      <c r="F742" s="276" t="inlineStr">
        <is>
          <t>ส.</t>
        </is>
      </c>
      <c r="G742" s="276" t="inlineStr">
        <is>
          <t>วดป.</t>
        </is>
      </c>
      <c r="H742" s="474" t="n"/>
      <c r="I742" s="276" t="n"/>
      <c r="J742" s="475" t="n"/>
      <c r="K742" s="476" t="n"/>
      <c r="L742" s="276" t="inlineStr">
        <is>
          <t>ใน</t>
        </is>
      </c>
      <c r="M742" s="276" t="inlineStr">
        <is>
          <t>นอก</t>
        </is>
      </c>
      <c r="N742" s="276" t="inlineStr">
        <is>
          <t>ต่อ ชม.</t>
        </is>
      </c>
      <c r="O742" s="276" t="inlineStr">
        <is>
          <t>(บาท)</t>
        </is>
      </c>
      <c r="P742" s="60" t="inlineStr">
        <is>
          <t>ใน</t>
        </is>
      </c>
      <c r="Q742" s="60" t="inlineStr">
        <is>
          <t>นอก</t>
        </is>
      </c>
      <c r="R742" s="276" t="inlineStr">
        <is>
          <t>ต่อ ชม.</t>
        </is>
      </c>
      <c r="S742" s="276" t="inlineStr">
        <is>
          <t>(บาท)</t>
        </is>
      </c>
    </row>
    <row r="743" ht="22.2" customHeight="1" s="330">
      <c r="A743" s="275" t="n">
        <v>17</v>
      </c>
      <c r="B743" s="477">
        <f>AB19</f>
        <v/>
      </c>
      <c r="C743" s="334" t="n"/>
      <c r="D743" s="335" t="n"/>
      <c r="E743" s="275" t="inlineStr">
        <is>
          <t>ครู</t>
        </is>
      </c>
      <c r="F743" s="6">
        <f>F145</f>
        <v/>
      </c>
      <c r="G743" s="303" t="inlineStr">
        <is>
          <t>จันทร์</t>
        </is>
      </c>
      <c r="H743" s="325" t="inlineStr">
        <is>
          <t>20101-2002</t>
        </is>
      </c>
      <c r="I743" s="325" t="inlineStr">
        <is>
          <t>ปวช.2/8 ชย. (ปกติ)</t>
        </is>
      </c>
      <c r="J743" s="252" t="inlineStr">
        <is>
          <t>08.10-12.10</t>
        </is>
      </c>
      <c r="K743" s="331" t="n"/>
      <c r="L743" s="252" t="n"/>
      <c r="M743" s="332" t="n"/>
      <c r="N743" s="332" t="n"/>
      <c r="O743" s="244">
        <f>M743*N743</f>
        <v/>
      </c>
      <c r="P743" s="332" t="n"/>
      <c r="Q743" s="265" t="n"/>
      <c r="R743" s="332" t="n"/>
      <c r="S743" s="244">
        <f>Q743*R743</f>
        <v/>
      </c>
    </row>
    <row r="744" ht="22.2" customHeight="1" s="330">
      <c r="A744" s="4" t="n"/>
      <c r="B744" s="478" t="n"/>
      <c r="D744" s="331" t="n"/>
      <c r="E744" s="252" t="n"/>
      <c r="F744" s="249" t="n"/>
      <c r="G744" s="308">
        <f>G652</f>
        <v/>
      </c>
      <c r="H744" s="325" t="inlineStr">
        <is>
          <t>20101-2002</t>
        </is>
      </c>
      <c r="I744" s="325" t="inlineStr">
        <is>
          <t>ปวช.2/8 ชย. (ปกติ)</t>
        </is>
      </c>
      <c r="J744" s="252" t="inlineStr">
        <is>
          <t>13.10-16.10</t>
        </is>
      </c>
      <c r="K744" s="331" t="n"/>
      <c r="L744" s="252" t="n"/>
      <c r="M744" s="252" t="n"/>
      <c r="N744" s="252" t="n"/>
      <c r="O744" s="244">
        <f>M744*N744</f>
        <v/>
      </c>
      <c r="P744" s="252" t="n"/>
      <c r="Q744" s="252" t="n"/>
      <c r="R744" s="252" t="n"/>
      <c r="S744" s="244">
        <f>Q744*R744</f>
        <v/>
      </c>
    </row>
    <row r="745" ht="22.2" customHeight="1" s="330">
      <c r="A745" s="4" t="n"/>
      <c r="B745" s="5" t="n"/>
      <c r="D745" s="3" t="n"/>
      <c r="E745" s="3" t="n"/>
      <c r="F745" s="249" t="n"/>
      <c r="G745" s="248" t="n"/>
      <c r="H745" s="252" t="n"/>
      <c r="I745" s="252" t="n"/>
      <c r="J745" s="252" t="n"/>
      <c r="K745" s="331" t="n"/>
      <c r="L745" s="252" t="n"/>
      <c r="M745" s="252" t="n"/>
      <c r="N745" s="252" t="n"/>
      <c r="O745" s="244">
        <f>M745*N745</f>
        <v/>
      </c>
      <c r="P745" s="252" t="n"/>
      <c r="Q745" s="252" t="n"/>
      <c r="R745" s="252" t="n"/>
      <c r="S745" s="244">
        <f>Q745*R745</f>
        <v/>
      </c>
    </row>
    <row r="746" ht="22.2" customHeight="1" s="330">
      <c r="A746" s="4" t="n"/>
      <c r="B746" s="5" t="n"/>
      <c r="E746" s="4" t="n"/>
      <c r="F746" s="249" t="n"/>
      <c r="G746" s="248" t="n"/>
      <c r="H746" s="252" t="n"/>
      <c r="I746" s="252" t="n"/>
      <c r="J746" s="252" t="n"/>
      <c r="K746" s="331" t="n"/>
      <c r="L746" s="252" t="n"/>
      <c r="M746" s="252" t="n"/>
      <c r="N746" s="252" t="n"/>
      <c r="O746" s="244">
        <f>M746*N746</f>
        <v/>
      </c>
      <c r="P746" s="252" t="n"/>
      <c r="Q746" s="252" t="n"/>
      <c r="R746" s="252" t="n"/>
      <c r="S746" s="244">
        <f>Q746*R746</f>
        <v/>
      </c>
    </row>
    <row r="747" ht="22.2" customHeight="1" s="330">
      <c r="A747" s="4" t="n"/>
      <c r="E747" s="4" t="n"/>
      <c r="G747" s="311" t="n"/>
      <c r="H747" s="276" t="n"/>
      <c r="I747" s="276" t="n"/>
      <c r="J747" s="276" t="n"/>
      <c r="K747" s="476" t="n"/>
      <c r="L747" s="276" t="n"/>
      <c r="M747" s="252" t="n"/>
      <c r="N747" s="252" t="n"/>
      <c r="O747" s="244">
        <f>M747*N747</f>
        <v/>
      </c>
      <c r="P747" s="252" t="n"/>
      <c r="Q747" s="252" t="n"/>
      <c r="R747" s="252" t="n"/>
      <c r="S747" s="244">
        <f>Q747*R747</f>
        <v/>
      </c>
    </row>
    <row r="748" ht="22.2" customHeight="1" s="330">
      <c r="A748" s="4" t="n"/>
      <c r="E748" s="4" t="n"/>
      <c r="G748" s="62" t="inlineStr">
        <is>
          <t>อังคาร</t>
        </is>
      </c>
      <c r="H748" s="325" t="inlineStr">
        <is>
          <t>20101-2107</t>
        </is>
      </c>
      <c r="I748" s="325" t="inlineStr">
        <is>
          <t>ปวช.2/1,2 ชย. (ปกติ)</t>
        </is>
      </c>
      <c r="J748" s="252" t="inlineStr">
        <is>
          <t>08.10-10.10</t>
        </is>
      </c>
      <c r="K748" s="331" t="n"/>
      <c r="L748" s="252" t="n"/>
      <c r="M748" s="332" t="n"/>
      <c r="N748" s="332" t="n"/>
      <c r="O748" s="244">
        <f>M748*N748</f>
        <v/>
      </c>
      <c r="P748" s="332" t="n"/>
      <c r="Q748" s="265" t="n"/>
      <c r="R748" s="332" t="n"/>
      <c r="S748" s="244">
        <f>Q748*R748</f>
        <v/>
      </c>
    </row>
    <row r="749" ht="22.2" customHeight="1" s="330">
      <c r="A749" s="4" t="n"/>
      <c r="E749" s="4" t="n"/>
      <c r="G749" s="308">
        <f>G657</f>
        <v/>
      </c>
      <c r="H749" s="325" t="n"/>
      <c r="I749" s="325" t="n"/>
      <c r="J749" s="252" t="n"/>
      <c r="K749" s="331" t="n"/>
      <c r="L749" s="252" t="n"/>
      <c r="M749" s="252" t="n"/>
      <c r="N749" s="252" t="n"/>
      <c r="O749" s="244">
        <f>M749*N749</f>
        <v/>
      </c>
      <c r="P749" s="252" t="n"/>
      <c r="Q749" s="252" t="n"/>
      <c r="R749" s="252" t="n"/>
      <c r="S749" s="244">
        <f>Q749*R749</f>
        <v/>
      </c>
    </row>
    <row r="750" ht="22.2" customHeight="1" s="330">
      <c r="A750" s="4" t="n"/>
      <c r="B750" s="5" t="n"/>
      <c r="D750" s="3" t="n"/>
      <c r="E750" s="3" t="n"/>
      <c r="G750" s="252" t="n"/>
      <c r="H750" s="252" t="n"/>
      <c r="I750" s="252" t="n"/>
      <c r="J750" s="252" t="n"/>
      <c r="K750" s="331" t="n"/>
      <c r="L750" s="252" t="n"/>
      <c r="M750" s="252" t="n"/>
      <c r="N750" s="252" t="n"/>
      <c r="O750" s="244">
        <f>M750*N750</f>
        <v/>
      </c>
      <c r="P750" s="252" t="n"/>
      <c r="Q750" s="252" t="n"/>
      <c r="R750" s="252" t="n"/>
      <c r="S750" s="244">
        <f>Q750*R750</f>
        <v/>
      </c>
    </row>
    <row r="751" ht="22.2" customHeight="1" s="330">
      <c r="A751" s="4" t="n"/>
      <c r="E751" s="4" t="n"/>
      <c r="G751" s="62" t="n"/>
      <c r="H751" s="249" t="n"/>
      <c r="I751" s="252" t="n"/>
      <c r="J751" s="252" t="n"/>
      <c r="K751" s="331" t="n"/>
      <c r="L751" s="252" t="n"/>
      <c r="M751" s="252" t="n"/>
      <c r="N751" s="252" t="n"/>
      <c r="O751" s="244">
        <f>M751*N751</f>
        <v/>
      </c>
      <c r="P751" s="252" t="n"/>
      <c r="Q751" s="252" t="n"/>
      <c r="R751" s="252" t="n"/>
      <c r="S751" s="244">
        <f>Q751*R751</f>
        <v/>
      </c>
    </row>
    <row r="752" ht="22.2" customHeight="1" s="330">
      <c r="A752" s="4" t="n"/>
      <c r="D752" s="8" t="inlineStr">
        <is>
          <t> </t>
        </is>
      </c>
      <c r="E752" s="4" t="n"/>
      <c r="G752" s="63" t="n"/>
      <c r="H752" s="276" t="n"/>
      <c r="I752" s="276" t="n"/>
      <c r="J752" s="276" t="n"/>
      <c r="K752" s="476" t="n"/>
      <c r="L752" s="252" t="n"/>
      <c r="M752" s="252" t="n"/>
      <c r="N752" s="252" t="n"/>
      <c r="O752" s="244">
        <f>M752*N752</f>
        <v/>
      </c>
      <c r="P752" s="252" t="n"/>
      <c r="Q752" s="252" t="n"/>
      <c r="R752" s="252" t="n"/>
      <c r="S752" s="244">
        <f>Q752*R752</f>
        <v/>
      </c>
    </row>
    <row r="753" ht="22.2" customHeight="1" s="330">
      <c r="A753" s="4" t="n"/>
      <c r="E753" s="4" t="n"/>
      <c r="G753" s="308" t="inlineStr">
        <is>
          <t>พุธ</t>
        </is>
      </c>
      <c r="H753" s="332" t="inlineStr">
        <is>
          <t>20101-2001</t>
        </is>
      </c>
      <c r="I753" s="332" t="inlineStr">
        <is>
          <t>ปวช.1/6 ชย. (ปกติ)</t>
        </is>
      </c>
      <c r="J753" s="332" t="inlineStr">
        <is>
          <t>08.10-12.10</t>
        </is>
      </c>
      <c r="K753" s="335" t="n"/>
      <c r="L753" s="265" t="n"/>
      <c r="M753" s="332" t="n"/>
      <c r="N753" s="332" t="n"/>
      <c r="O753" s="244">
        <f>M753*N753</f>
        <v/>
      </c>
      <c r="P753" s="332" t="n"/>
      <c r="Q753" s="265" t="n"/>
      <c r="R753" s="332" t="n"/>
      <c r="S753" s="244">
        <f>Q753*R753</f>
        <v/>
      </c>
    </row>
    <row r="754" ht="22.2" customHeight="1" s="330">
      <c r="A754" s="4" t="n"/>
      <c r="B754" s="248" t="n"/>
      <c r="C754" s="249" t="n"/>
      <c r="D754" s="249" t="n"/>
      <c r="E754" s="252" t="n"/>
      <c r="G754" s="308">
        <f>G662</f>
        <v/>
      </c>
      <c r="H754" s="325" t="inlineStr">
        <is>
          <t>20101-2001</t>
        </is>
      </c>
      <c r="I754" s="325" t="inlineStr">
        <is>
          <t>ปวช.1/6 ชย. (ปกติ)</t>
        </is>
      </c>
      <c r="J754" s="252" t="inlineStr">
        <is>
          <t>13.10-16.10</t>
        </is>
      </c>
      <c r="K754" s="331" t="n"/>
      <c r="L754" s="252" t="n"/>
      <c r="M754" s="252" t="n"/>
      <c r="N754" s="252" t="n"/>
      <c r="O754" s="244">
        <f>M754*N754</f>
        <v/>
      </c>
      <c r="P754" s="252" t="n"/>
      <c r="Q754" s="252" t="n"/>
      <c r="R754" s="252" t="n"/>
      <c r="S754" s="244">
        <f>Q754*R754</f>
        <v/>
      </c>
    </row>
    <row r="755" ht="22.2" customHeight="1" s="330">
      <c r="A755" s="4" t="n"/>
      <c r="B755" s="5" t="n"/>
      <c r="D755" s="3" t="n"/>
      <c r="E755" s="3" t="n"/>
      <c r="G755" s="252" t="n"/>
      <c r="H755" s="252" t="n"/>
      <c r="I755" s="252" t="n"/>
      <c r="J755" s="252" t="n"/>
      <c r="K755" s="331" t="n"/>
      <c r="L755" s="252" t="n"/>
      <c r="M755" s="252" t="n"/>
      <c r="N755" s="252" t="n"/>
      <c r="O755" s="244">
        <f>M755*N755</f>
        <v/>
      </c>
      <c r="P755" s="252" t="n"/>
      <c r="Q755" s="252" t="n"/>
      <c r="R755" s="252" t="n"/>
      <c r="S755" s="244">
        <f>Q755*R755</f>
        <v/>
      </c>
    </row>
    <row r="756" ht="22.2" customHeight="1" s="330">
      <c r="A756" s="4" t="n"/>
      <c r="E756" s="4" t="n"/>
      <c r="G756" s="248" t="n"/>
      <c r="H756" s="248" t="n"/>
      <c r="I756" s="252" t="n"/>
      <c r="J756" s="252" t="n"/>
      <c r="K756" s="331" t="n"/>
      <c r="L756" s="252" t="n"/>
      <c r="M756" s="252" t="n"/>
      <c r="N756" s="252" t="n"/>
      <c r="O756" s="244">
        <f>M756*N756</f>
        <v/>
      </c>
      <c r="P756" s="252" t="n"/>
      <c r="Q756" s="252" t="n"/>
      <c r="R756" s="252" t="n"/>
      <c r="S756" s="244">
        <f>Q756*R756</f>
        <v/>
      </c>
    </row>
    <row r="757" ht="22.2" customHeight="1" s="330">
      <c r="A757" s="4" t="n"/>
      <c r="E757" s="4" t="n"/>
      <c r="G757" s="277" t="n"/>
      <c r="H757" s="277" t="n"/>
      <c r="I757" s="276" t="n"/>
      <c r="J757" s="276" t="n"/>
      <c r="K757" s="476" t="n"/>
      <c r="L757" s="276" t="n"/>
      <c r="M757" s="276" t="n"/>
      <c r="N757" s="276" t="n"/>
      <c r="O757" s="244">
        <f>M757*N757</f>
        <v/>
      </c>
      <c r="P757" s="276" t="n"/>
      <c r="Q757" s="276" t="n"/>
      <c r="R757" s="276" t="n"/>
      <c r="S757" s="244">
        <f>Q757*R757</f>
        <v/>
      </c>
    </row>
    <row r="758" ht="22.2" customHeight="1" s="330">
      <c r="A758" s="4" t="n"/>
      <c r="E758" s="4" t="n"/>
      <c r="G758" s="62" t="inlineStr">
        <is>
          <t>พฤหัส</t>
        </is>
      </c>
      <c r="H758" s="325" t="inlineStr">
        <is>
          <t>20101-2107</t>
        </is>
      </c>
      <c r="I758" s="325" t="inlineStr">
        <is>
          <t>ปวช.1/9,10 ชย. (ทวิ)</t>
        </is>
      </c>
      <c r="J758" s="332" t="inlineStr">
        <is>
          <t>10.10-12.10</t>
        </is>
      </c>
      <c r="K758" s="335" t="n"/>
      <c r="L758" s="265" t="n"/>
      <c r="M758" s="275" t="n"/>
      <c r="N758" s="275" t="n"/>
      <c r="O758" s="244">
        <f>M758*N758</f>
        <v/>
      </c>
      <c r="P758" s="252" t="n"/>
      <c r="Q758" s="275" t="n"/>
      <c r="R758" s="275" t="n"/>
      <c r="S758" s="244">
        <f>Q758*R758</f>
        <v/>
      </c>
    </row>
    <row r="759" ht="22.2" customHeight="1" s="330">
      <c r="A759" s="4" t="n"/>
      <c r="E759" s="4" t="n"/>
      <c r="G759" s="308">
        <f>G667</f>
        <v/>
      </c>
      <c r="H759" s="252" t="inlineStr">
        <is>
          <t>20000-2004</t>
        </is>
      </c>
      <c r="I759" s="325" t="inlineStr">
        <is>
          <t>ปวช.2/5,6 ชย. (ปกติ)</t>
        </is>
      </c>
      <c r="J759" s="252" t="inlineStr">
        <is>
          <t>13.10-15.10</t>
        </is>
      </c>
      <c r="K759" s="331" t="n"/>
      <c r="L759" s="252" t="n"/>
      <c r="M759" s="252" t="n"/>
      <c r="N759" s="252" t="n"/>
      <c r="O759" s="244">
        <f>M759*N759</f>
        <v/>
      </c>
      <c r="P759" s="252" t="n"/>
      <c r="Q759" s="252" t="n"/>
      <c r="R759" s="252" t="n"/>
      <c r="S759" s="244">
        <f>Q759*R759</f>
        <v/>
      </c>
    </row>
    <row r="760" ht="22.2" customHeight="1" s="330">
      <c r="A760" s="4" t="n"/>
      <c r="B760" s="5" t="n"/>
      <c r="E760" s="4" t="n"/>
      <c r="G760" s="252" t="n"/>
      <c r="H760" s="325" t="inlineStr">
        <is>
          <t>20101-2008</t>
        </is>
      </c>
      <c r="I760" s="325" t="inlineStr">
        <is>
          <t>ปวช.3/10 ชย. (ทวิ)</t>
        </is>
      </c>
      <c r="J760" s="252" t="inlineStr">
        <is>
          <t>15.10-19.10</t>
        </is>
      </c>
      <c r="K760" s="331" t="n"/>
      <c r="L760" s="325" t="n"/>
      <c r="M760" s="325" t="n"/>
      <c r="N760" s="325" t="n"/>
      <c r="O760" s="244">
        <f>M760*N760</f>
        <v/>
      </c>
      <c r="P760" s="325" t="n"/>
      <c r="Q760" s="325" t="n"/>
      <c r="R760" s="325" t="n"/>
      <c r="S760" s="244">
        <f>Q760*R760</f>
        <v/>
      </c>
    </row>
    <row r="761" ht="22.2" customHeight="1" s="330">
      <c r="A761" s="4" t="n"/>
      <c r="E761" s="4" t="n"/>
      <c r="G761" s="252" t="n"/>
      <c r="H761" s="252" t="n"/>
      <c r="I761" s="252" t="n"/>
      <c r="J761" s="252" t="n"/>
      <c r="K761" s="331" t="n"/>
      <c r="L761" s="252" t="n"/>
      <c r="M761" s="252" t="n"/>
      <c r="N761" s="252" t="n"/>
      <c r="O761" s="244">
        <f>M761*N761</f>
        <v/>
      </c>
      <c r="P761" s="252" t="n"/>
      <c r="Q761" s="252" t="n"/>
      <c r="R761" s="252" t="n"/>
      <c r="S761" s="244">
        <f>Q761*R761</f>
        <v/>
      </c>
    </row>
    <row r="762" ht="22.2" customHeight="1" s="330">
      <c r="A762" s="4" t="n"/>
      <c r="E762" s="4" t="n"/>
      <c r="G762" s="276" t="n"/>
      <c r="H762" s="301" t="n"/>
      <c r="I762" s="276" t="n"/>
      <c r="J762" s="276" t="n"/>
      <c r="K762" s="476" t="n"/>
      <c r="L762" s="276" t="n"/>
      <c r="M762" s="276" t="n"/>
      <c r="N762" s="276" t="n"/>
      <c r="O762" s="244">
        <f>M762*N762</f>
        <v/>
      </c>
      <c r="P762" s="276" t="n"/>
      <c r="Q762" s="276" t="n"/>
      <c r="R762" s="276" t="n"/>
      <c r="S762" s="244">
        <f>Q762*R762</f>
        <v/>
      </c>
    </row>
    <row r="763" ht="22.2" customHeight="1" s="330">
      <c r="A763" s="4" t="n"/>
      <c r="E763" s="4" t="n"/>
      <c r="G763" s="62" t="inlineStr">
        <is>
          <t>ศุกร์</t>
        </is>
      </c>
      <c r="H763" s="325" t="inlineStr">
        <is>
          <t>20101-5101</t>
        </is>
      </c>
      <c r="I763" s="325" t="inlineStr">
        <is>
          <t>ปวช.2/10 ชย. (ทวิ)</t>
        </is>
      </c>
      <c r="J763" s="332" t="inlineStr">
        <is>
          <t>08.10-12.10</t>
        </is>
      </c>
      <c r="K763" s="335" t="n"/>
      <c r="L763" s="252" t="n"/>
      <c r="M763" s="332" t="n"/>
      <c r="N763" s="332" t="n"/>
      <c r="O763" s="244">
        <f>M763*N763</f>
        <v/>
      </c>
      <c r="P763" s="332" t="n"/>
      <c r="Q763" s="265" t="n"/>
      <c r="R763" s="332" t="n"/>
      <c r="S763" s="244">
        <f>Q763*R763</f>
        <v/>
      </c>
    </row>
    <row r="764" ht="22.2" customHeight="1" s="330">
      <c r="A764" s="4" t="n"/>
      <c r="E764" s="4" t="n"/>
      <c r="G764" s="308">
        <f>G672</f>
        <v/>
      </c>
      <c r="H764" s="325" t="inlineStr">
        <is>
          <t>20101-5101</t>
        </is>
      </c>
      <c r="I764" s="325" t="inlineStr">
        <is>
          <t>ปวช.2/10 ชย. (ทวิ)</t>
        </is>
      </c>
      <c r="J764" s="252" t="inlineStr">
        <is>
          <t>13.10-16.10</t>
        </is>
      </c>
      <c r="K764" s="331" t="n"/>
      <c r="L764" s="252" t="n"/>
      <c r="M764" s="252" t="n"/>
      <c r="N764" s="252" t="n"/>
      <c r="O764" s="244">
        <f>M764*N764</f>
        <v/>
      </c>
      <c r="P764" s="252" t="n"/>
      <c r="Q764" s="252" t="n"/>
      <c r="R764" s="252" t="n"/>
      <c r="S764" s="244">
        <f>Q764*R764</f>
        <v/>
      </c>
    </row>
    <row r="765" ht="22.2" customHeight="1" s="330">
      <c r="A765" s="4" t="n"/>
      <c r="E765" s="4" t="n"/>
      <c r="G765" s="252" t="n"/>
      <c r="H765" s="325" t="n"/>
      <c r="I765" s="325" t="n"/>
      <c r="J765" s="325" t="n"/>
      <c r="K765" s="331" t="n"/>
      <c r="L765" s="252" t="n"/>
      <c r="M765" s="252" t="n"/>
      <c r="N765" s="252" t="n"/>
      <c r="O765" s="244">
        <f>M765*N765</f>
        <v/>
      </c>
      <c r="P765" s="252" t="n"/>
      <c r="Q765" s="252" t="n"/>
      <c r="R765" s="252" t="n"/>
      <c r="S765" s="244">
        <f>Q765*R765</f>
        <v/>
      </c>
    </row>
    <row r="766" ht="22.2" customHeight="1" s="330">
      <c r="A766" s="4" t="n"/>
      <c r="E766" s="4" t="n"/>
      <c r="G766" s="252" t="n"/>
      <c r="H766" s="249" t="n"/>
      <c r="I766" s="252" t="n"/>
      <c r="J766" s="252" t="n"/>
      <c r="K766" s="331" t="n"/>
      <c r="L766" s="252" t="n"/>
      <c r="M766" s="252" t="n"/>
      <c r="N766" s="252" t="n"/>
      <c r="O766" s="244">
        <f>M766*N766</f>
        <v/>
      </c>
      <c r="P766" s="252" t="n"/>
      <c r="Q766" s="252" t="n"/>
      <c r="R766" s="252" t="n"/>
      <c r="S766" s="244">
        <f>Q766*R766</f>
        <v/>
      </c>
    </row>
    <row r="767" ht="22.2" customHeight="1" s="330">
      <c r="A767" s="4" t="n"/>
      <c r="E767" s="4" t="n"/>
      <c r="F767" s="4" t="n"/>
      <c r="G767" s="278" t="n"/>
      <c r="H767" s="301" t="n"/>
      <c r="I767" s="276" t="n"/>
      <c r="J767" s="276" t="n"/>
      <c r="K767" s="476" t="n"/>
      <c r="L767" s="276" t="n"/>
      <c r="M767" s="276" t="n"/>
      <c r="N767" s="276" t="n"/>
      <c r="O767" s="244">
        <f>M767*N767</f>
        <v/>
      </c>
      <c r="P767" s="276" t="n"/>
      <c r="Q767" s="276" t="n"/>
      <c r="R767" s="276" t="n"/>
      <c r="S767" s="244">
        <f>Q767*R767</f>
        <v/>
      </c>
    </row>
    <row r="768" ht="22.2" customHeight="1" s="330">
      <c r="A768" s="4" t="n"/>
      <c r="E768" s="4" t="n"/>
      <c r="F768" s="4" t="n"/>
      <c r="G768" s="17" t="inlineStr">
        <is>
          <t>รวมขั่วโมงที่สอนแยก ภาระงาน/ เกินภาระงาน</t>
        </is>
      </c>
      <c r="H768" s="467" t="n"/>
      <c r="I768" s="467" t="n"/>
      <c r="J768" s="467" t="n"/>
      <c r="K768" s="362" t="n"/>
      <c r="L768" s="17">
        <f>SUM(L743:L767)</f>
        <v/>
      </c>
      <c r="M768" s="17">
        <f>SUM(M743:M767)</f>
        <v/>
      </c>
      <c r="N768" s="17" t="n"/>
      <c r="O768" s="17" t="n"/>
      <c r="P768" s="17">
        <f>SUM(P743:P767)</f>
        <v/>
      </c>
      <c r="Q768" s="17">
        <f>SUM(Q743:Q767)</f>
        <v/>
      </c>
      <c r="R768" s="279" t="n"/>
      <c r="S768" s="17" t="n"/>
    </row>
    <row r="769" ht="22.2" customHeight="1" s="330">
      <c r="A769" s="4" t="n"/>
      <c r="E769" s="4" t="n"/>
      <c r="F769" s="4" t="n"/>
      <c r="G769" s="17" t="inlineStr">
        <is>
          <t>รวมจำนวนชั่วโมงสอนคาบต่อสับดาห์</t>
        </is>
      </c>
      <c r="H769" s="467" t="n"/>
      <c r="I769" s="467" t="n"/>
      <c r="J769" s="467" t="n"/>
      <c r="K769" s="362" t="n"/>
      <c r="L769" s="17">
        <f>L768+M768</f>
        <v/>
      </c>
      <c r="M769" s="362" t="n"/>
      <c r="N769" s="298" t="n"/>
      <c r="O769" s="17" t="n"/>
      <c r="P769" s="17">
        <f>P768+Q768</f>
        <v/>
      </c>
      <c r="Q769" s="362" t="n"/>
      <c r="R769" s="278" t="n"/>
      <c r="S769" s="276" t="n"/>
    </row>
    <row r="770" ht="22.2" customHeight="1" s="330">
      <c r="A770" s="4" t="n"/>
      <c r="E770" s="4" t="n"/>
      <c r="F770" s="4" t="n"/>
      <c r="G770" s="17" t="inlineStr">
        <is>
          <t>จำนวนชั่วโมงสอนตามภาระงานสอน</t>
        </is>
      </c>
      <c r="H770" s="467" t="n"/>
      <c r="I770" s="467" t="n"/>
      <c r="J770" s="467" t="n"/>
      <c r="K770" s="362" t="n"/>
      <c r="L770" s="17" t="n">
        <v>18</v>
      </c>
      <c r="M770" s="362" t="n"/>
      <c r="N770" s="298" t="n"/>
      <c r="O770" s="17" t="n"/>
      <c r="P770" s="17" t="n">
        <v>0</v>
      </c>
      <c r="Q770" s="362" t="n"/>
      <c r="R770" s="249" t="n"/>
      <c r="S770" s="252" t="n"/>
    </row>
    <row r="771" ht="22.2" customHeight="1" s="330" thickBot="1">
      <c r="A771" s="4" t="n"/>
      <c r="E771" s="4" t="n"/>
      <c r="F771" s="15" t="n"/>
      <c r="G771" s="17" t="inlineStr">
        <is>
          <t>จำนวนชั่วโมงบิกเกินภาระงานสอน/ค่าสอน</t>
        </is>
      </c>
      <c r="H771" s="467" t="n"/>
      <c r="I771" s="467" t="n"/>
      <c r="J771" s="467" t="n"/>
      <c r="K771" s="362" t="n"/>
      <c r="L771" s="18" t="n">
        <v>0</v>
      </c>
      <c r="M771" s="18">
        <f>SUM(M743:M767)</f>
        <v/>
      </c>
      <c r="N771" s="18" t="n"/>
      <c r="O771" s="18">
        <f>SUM(O743:O767)</f>
        <v/>
      </c>
      <c r="P771" s="18" t="n">
        <v>0</v>
      </c>
      <c r="Q771" s="18">
        <f>SUM(Q743:Q767)</f>
        <v/>
      </c>
      <c r="R771" s="19" t="n"/>
      <c r="S771" s="18">
        <f>SUM(S743:S767)</f>
        <v/>
      </c>
    </row>
    <row r="772" ht="22.2" customHeight="1" s="330" thickTop="1">
      <c r="A772" s="299" t="inlineStr">
        <is>
          <t>รวมจำนวนหน่วยชั่วโมงที่ขอเบิกค่าสอน ….</t>
        </is>
      </c>
      <c r="B772" s="467" t="n"/>
      <c r="C772" s="467" t="n"/>
      <c r="D772" s="467" t="n"/>
      <c r="E772" s="467" t="n"/>
      <c r="F772" s="467" t="n"/>
      <c r="G772" s="467" t="n"/>
      <c r="H772" s="298">
        <f>M771+Q771</f>
        <v/>
      </c>
      <c r="I772" s="298" t="inlineStr">
        <is>
          <t>….ชั่วโมง</t>
        </is>
      </c>
      <c r="J772" s="298" t="n"/>
      <c r="K772" s="301" t="inlineStr">
        <is>
          <t>ยอดเงินรวม</t>
        </is>
      </c>
      <c r="L772" s="471" t="n"/>
      <c r="M772" s="471" t="n"/>
      <c r="N772" s="301" t="n"/>
      <c r="O772" s="301" t="n"/>
      <c r="P772" s="302">
        <f>S771+O771</f>
        <v/>
      </c>
      <c r="Q772" s="482" t="n"/>
      <c r="R772" s="21" t="n"/>
      <c r="S772" s="20" t="inlineStr">
        <is>
          <t>..บาท</t>
        </is>
      </c>
    </row>
    <row r="773" ht="22.2" customHeight="1" s="330">
      <c r="A773" s="207" t="inlineStr">
        <is>
          <t>ผู้ขอเบิก</t>
        </is>
      </c>
      <c r="B773" s="334" t="n"/>
      <c r="C773" s="334" t="n"/>
      <c r="D773" s="334" t="n"/>
      <c r="E773" s="334" t="n"/>
      <c r="F773" s="334" t="n"/>
      <c r="G773" s="335" t="n"/>
      <c r="H773" s="207" t="inlineStr">
        <is>
          <t>ผู้รับรอง</t>
        </is>
      </c>
      <c r="I773" s="334" t="n"/>
      <c r="J773" s="334" t="n"/>
      <c r="K773" s="334" t="n"/>
      <c r="L773" s="335" t="n"/>
      <c r="M773" s="207" t="inlineStr">
        <is>
          <t>ผู้ตรวจ</t>
        </is>
      </c>
      <c r="N773" s="334" t="n"/>
      <c r="O773" s="334" t="n"/>
      <c r="P773" s="334" t="n"/>
      <c r="Q773" s="334" t="n"/>
      <c r="R773" s="334" t="n"/>
      <c r="S773" s="335" t="n"/>
    </row>
    <row r="774" ht="22.2" customHeight="1" s="330">
      <c r="A774" s="252" t="inlineStr">
        <is>
          <t>ลงชื่อ……………………………………………</t>
        </is>
      </c>
      <c r="G774" s="331" t="n"/>
      <c r="H774" s="252" t="inlineStr">
        <is>
          <t>ลงชื่อ……………………………………………</t>
        </is>
      </c>
      <c r="L774" s="331" t="n"/>
      <c r="M774" s="252" t="inlineStr">
        <is>
          <t>ลงชื่อ……………………………………………</t>
        </is>
      </c>
      <c r="S774" s="331" t="n"/>
    </row>
    <row r="775" ht="22.2" customHeight="1" s="330">
      <c r="A775" s="12" t="inlineStr">
        <is>
          <t>(</t>
        </is>
      </c>
      <c r="B775" s="309">
        <f>B743</f>
        <v/>
      </c>
      <c r="G775" s="310" t="inlineStr">
        <is>
          <t>)</t>
        </is>
      </c>
      <c r="H775" s="309" t="inlineStr">
        <is>
          <t>(</t>
        </is>
      </c>
      <c r="I775" s="314">
        <f>I729</f>
        <v/>
      </c>
      <c r="L775" s="13" t="inlineStr">
        <is>
          <t>)</t>
        </is>
      </c>
      <c r="M775" s="61" t="inlineStr">
        <is>
          <t>(</t>
        </is>
      </c>
      <c r="N775" s="61" t="n"/>
      <c r="O775" s="309" t="inlineStr">
        <is>
          <t>นายพิสุทธิศักดิ์  กล่อมนาค</t>
        </is>
      </c>
      <c r="R775" s="29" t="n"/>
      <c r="S775" s="310" t="inlineStr">
        <is>
          <t>)</t>
        </is>
      </c>
    </row>
    <row r="776" ht="22.2" customHeight="1" s="330">
      <c r="A776" s="483" t="inlineStr">
        <is>
          <t xml:space="preserve">                        ตำแหน่ง ครู</t>
        </is>
      </c>
      <c r="G776" s="331" t="n"/>
      <c r="H776" s="62" t="inlineStr">
        <is>
          <t>ตำแหน่ง หัวหน้าแผนก</t>
        </is>
      </c>
      <c r="L776" s="331" t="n"/>
      <c r="M776" s="62" t="inlineStr">
        <is>
          <t>ตำแหน่ง   ผู้ตรวจสอบ</t>
        </is>
      </c>
      <c r="S776" s="331" t="n"/>
    </row>
    <row r="777" ht="22.2" customHeight="1" s="330">
      <c r="A777" s="63">
        <f>A179</f>
        <v/>
      </c>
      <c r="B777" s="471" t="n"/>
      <c r="C777" s="471" t="n"/>
      <c r="D777" s="471" t="n"/>
      <c r="E777" s="471" t="n"/>
      <c r="F777" s="471" t="n"/>
      <c r="G777" s="476" t="n"/>
      <c r="H777" s="62">
        <f>A179</f>
        <v/>
      </c>
      <c r="L777" s="331" t="n"/>
      <c r="M777" s="63">
        <f>A179</f>
        <v/>
      </c>
      <c r="N777" s="471" t="n"/>
      <c r="O777" s="471" t="n"/>
      <c r="P777" s="471" t="n"/>
      <c r="Q777" s="471" t="n"/>
      <c r="R777" s="471" t="n"/>
      <c r="S777" s="476" t="n"/>
    </row>
    <row r="778" ht="22.2" customHeight="1" s="330">
      <c r="A778" s="207" t="inlineStr">
        <is>
          <t>ผู้ตรวจ</t>
        </is>
      </c>
      <c r="B778" s="334" t="n"/>
      <c r="C778" s="334" t="n"/>
      <c r="D778" s="334" t="n"/>
      <c r="E778" s="334" t="n"/>
      <c r="F778" s="334" t="n"/>
      <c r="G778" s="334" t="n"/>
      <c r="H778" s="334" t="n"/>
      <c r="I778" s="335" t="n"/>
      <c r="J778" s="207" t="inlineStr">
        <is>
          <t>ผู้เห็นชอบ</t>
        </is>
      </c>
      <c r="K778" s="334" t="n"/>
      <c r="L778" s="334" t="n"/>
      <c r="M778" s="334" t="n"/>
      <c r="N778" s="334" t="n"/>
      <c r="O778" s="334" t="n"/>
      <c r="P778" s="334" t="n"/>
      <c r="Q778" s="334" t="n"/>
      <c r="R778" s="334" t="n"/>
      <c r="S778" s="335" t="n"/>
    </row>
    <row r="779" ht="22.2" customHeight="1" s="330">
      <c r="A779" s="252" t="inlineStr">
        <is>
          <t>ลงชื่อ……………………………………………</t>
        </is>
      </c>
      <c r="I779" s="331" t="n"/>
      <c r="J779" s="252" t="inlineStr">
        <is>
          <t>ลงชื่อ……………………………………………</t>
        </is>
      </c>
      <c r="S779" s="331" t="n"/>
    </row>
    <row r="780" ht="22.2" customHeight="1" s="330">
      <c r="A780" s="12" t="n"/>
      <c r="B780" s="309" t="inlineStr">
        <is>
          <t xml:space="preserve">          (นางศิวรักษ์   บุญประเสริฐ)</t>
        </is>
      </c>
      <c r="I780" s="310" t="n"/>
      <c r="J780" s="29" t="n"/>
      <c r="K780" s="29" t="n"/>
      <c r="L780" s="309" t="inlineStr">
        <is>
          <t>(นายปรีชา  โพธิ์เกิด)</t>
        </is>
      </c>
      <c r="R780" s="29" t="n"/>
      <c r="S780" s="13" t="n"/>
    </row>
    <row r="781" ht="22.2" customHeight="1" s="330">
      <c r="A781" s="62" t="inlineStr">
        <is>
          <t>ตำแหน่งครู  หัวหน้างานพัฒนาหลักสูตร ฯ</t>
        </is>
      </c>
      <c r="I781" s="331" t="n"/>
      <c r="J781" s="62" t="inlineStr">
        <is>
          <t>ตำแหน่ง  รองผู้อำนวยการฝ่ายวิชาการ</t>
        </is>
      </c>
      <c r="S781" s="331" t="n"/>
    </row>
    <row r="782" ht="22.2" customHeight="1" s="330">
      <c r="A782" s="63">
        <f>A179</f>
        <v/>
      </c>
      <c r="B782" s="471" t="n"/>
      <c r="C782" s="471" t="n"/>
      <c r="D782" s="471" t="n"/>
      <c r="E782" s="471" t="n"/>
      <c r="F782" s="471" t="n"/>
      <c r="G782" s="471" t="n"/>
      <c r="H782" s="471" t="n"/>
      <c r="I782" s="476" t="n"/>
      <c r="J782" s="63">
        <f>A179</f>
        <v/>
      </c>
      <c r="K782" s="471" t="n"/>
      <c r="L782" s="471" t="n"/>
      <c r="M782" s="471" t="n"/>
      <c r="N782" s="471" t="n"/>
      <c r="O782" s="471" t="n"/>
      <c r="P782" s="471" t="n"/>
      <c r="Q782" s="471" t="n"/>
      <c r="R782" s="471" t="n"/>
      <c r="S782" s="476" t="n"/>
    </row>
    <row r="783" ht="22.2" customHeight="1" s="330">
      <c r="A78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784" ht="22.2" customHeight="1" s="330">
      <c r="A784" s="254">
        <f>A2</f>
        <v/>
      </c>
    </row>
    <row r="785" ht="22.2" customHeight="1" s="330">
      <c r="A785" s="253" t="inlineStr">
        <is>
          <t xml:space="preserve">    ระหว่างวันที่</t>
        </is>
      </c>
      <c r="D785" s="254">
        <f>D3</f>
        <v/>
      </c>
      <c r="E785" s="254" t="inlineStr">
        <is>
          <t xml:space="preserve">   เดือน  </t>
        </is>
      </c>
      <c r="F785" s="254">
        <f>F3</f>
        <v/>
      </c>
      <c r="H785" s="254">
        <f>H3</f>
        <v/>
      </c>
      <c r="I785" s="254" t="inlineStr">
        <is>
          <t xml:space="preserve">     ถึง วันที่</t>
        </is>
      </c>
      <c r="J785" s="254">
        <f>J3</f>
        <v/>
      </c>
      <c r="K785" s="254" t="inlineStr">
        <is>
          <t xml:space="preserve">   เดือน </t>
        </is>
      </c>
      <c r="L785" s="254">
        <f>L3</f>
        <v/>
      </c>
      <c r="N785" s="254">
        <f>N3</f>
        <v/>
      </c>
      <c r="P785" s="254" t="n"/>
      <c r="R785" s="254" t="n"/>
    </row>
    <row r="786" ht="22.2" customHeight="1" s="330">
      <c r="G786" s="58" t="inlineStr">
        <is>
          <t>ü</t>
        </is>
      </c>
      <c r="H786" s="301" t="inlineStr">
        <is>
          <t>ครู</t>
        </is>
      </c>
      <c r="I786" s="301" t="inlineStr">
        <is>
          <t>หน้าที่พิเศษ</t>
        </is>
      </c>
      <c r="J786" s="290" t="n"/>
      <c r="K786" s="290" t="n"/>
    </row>
    <row r="787" ht="22.2" customHeight="1" s="330">
      <c r="A787" s="28" t="inlineStr">
        <is>
          <t>ที่</t>
        </is>
      </c>
      <c r="B787" s="28" t="inlineStr">
        <is>
          <t>ชื่อ-สกุล</t>
        </is>
      </c>
      <c r="C787" s="334" t="n"/>
      <c r="D787" s="335" t="n"/>
      <c r="E787" s="16" t="inlineStr">
        <is>
          <t>ตำแหน่ง</t>
        </is>
      </c>
      <c r="F787" s="17" t="inlineStr">
        <is>
          <t>ระยะเวลาที่สอน</t>
        </is>
      </c>
      <c r="G787" s="362" t="n"/>
      <c r="H787" s="17" t="inlineStr">
        <is>
          <t>รหัสวิชา</t>
        </is>
      </c>
      <c r="I787" s="275" t="inlineStr">
        <is>
          <t>ชั้น,แผนก,ห้อง</t>
        </is>
      </c>
      <c r="J787" s="17" t="inlineStr">
        <is>
          <t>เวลาสอน</t>
        </is>
      </c>
      <c r="K787" s="335" t="n"/>
      <c r="L787" s="17" t="inlineStr">
        <is>
          <t>ปวช.(คาบ)</t>
        </is>
      </c>
      <c r="M787" s="362" t="n"/>
      <c r="N787" s="244" t="inlineStr">
        <is>
          <t>เงิน</t>
        </is>
      </c>
      <c r="O787" s="275" t="inlineStr">
        <is>
          <t>ยอดเงิน</t>
        </is>
      </c>
      <c r="P787" s="473" t="inlineStr">
        <is>
          <t>ปวส.(คาบ)</t>
        </is>
      </c>
      <c r="Q787" s="362" t="n"/>
      <c r="R787" s="244" t="inlineStr">
        <is>
          <t>เงิน</t>
        </is>
      </c>
      <c r="S787" s="275" t="inlineStr">
        <is>
          <t>ยอดเงิน</t>
        </is>
      </c>
    </row>
    <row r="788" ht="22.2" customHeight="1" s="330">
      <c r="A788" s="60" t="n"/>
      <c r="B788" s="9" t="n"/>
      <c r="C788" s="10" t="n"/>
      <c r="D788" s="14" t="n"/>
      <c r="E788" s="11" t="n"/>
      <c r="F788" s="276" t="inlineStr">
        <is>
          <t>ส.</t>
        </is>
      </c>
      <c r="G788" s="276" t="inlineStr">
        <is>
          <t>วดป.</t>
        </is>
      </c>
      <c r="H788" s="474" t="n"/>
      <c r="I788" s="276" t="n"/>
      <c r="J788" s="475" t="n"/>
      <c r="K788" s="476" t="n"/>
      <c r="L788" s="276" t="inlineStr">
        <is>
          <t>ใน</t>
        </is>
      </c>
      <c r="M788" s="276" t="inlineStr">
        <is>
          <t>นอก</t>
        </is>
      </c>
      <c r="N788" s="276" t="inlineStr">
        <is>
          <t>ต่อ ชม.</t>
        </is>
      </c>
      <c r="O788" s="276" t="inlineStr">
        <is>
          <t>(บาท)</t>
        </is>
      </c>
      <c r="P788" s="60" t="inlineStr">
        <is>
          <t>ใน</t>
        </is>
      </c>
      <c r="Q788" s="60" t="inlineStr">
        <is>
          <t>นอก</t>
        </is>
      </c>
      <c r="R788" s="276" t="inlineStr">
        <is>
          <t>ต่อ ชม.</t>
        </is>
      </c>
      <c r="S788" s="276" t="inlineStr">
        <is>
          <t>(บาท)</t>
        </is>
      </c>
    </row>
    <row r="789" ht="22.2" customHeight="1" s="330">
      <c r="A789" s="275" t="n">
        <v>18</v>
      </c>
      <c r="B789" s="477">
        <f>AB20</f>
        <v/>
      </c>
      <c r="C789" s="334" t="n"/>
      <c r="D789" s="335" t="n"/>
      <c r="E789" s="275" t="inlineStr">
        <is>
          <t>ครู</t>
        </is>
      </c>
      <c r="F789" s="6">
        <f>F7</f>
        <v/>
      </c>
      <c r="G789" s="303" t="inlineStr">
        <is>
          <t>จันทร์</t>
        </is>
      </c>
      <c r="H789" s="325" t="inlineStr">
        <is>
          <t>20101-2110</t>
        </is>
      </c>
      <c r="I789" s="325" t="inlineStr">
        <is>
          <t>ปวช.3/4 ชย. (ปกติ)</t>
        </is>
      </c>
      <c r="J789" s="332" t="inlineStr">
        <is>
          <t>08.10-12.10</t>
        </is>
      </c>
      <c r="K789" s="335" t="n"/>
      <c r="L789" s="265" t="n"/>
      <c r="M789" s="332" t="n"/>
      <c r="N789" s="332" t="n"/>
      <c r="O789" s="244">
        <f>M789*N789</f>
        <v/>
      </c>
      <c r="P789" s="332" t="n"/>
      <c r="Q789" s="265" t="n"/>
      <c r="R789" s="332" t="n"/>
      <c r="S789" s="244">
        <f>Q789*R789</f>
        <v/>
      </c>
    </row>
    <row r="790" ht="22.2" customHeight="1" s="330">
      <c r="A790" s="4" t="n"/>
      <c r="B790" s="478" t="n"/>
      <c r="D790" s="331" t="n"/>
      <c r="E790" s="252" t="n"/>
      <c r="F790" s="249" t="n"/>
      <c r="G790" s="308">
        <f>G560</f>
        <v/>
      </c>
      <c r="H790" s="325" t="n"/>
      <c r="I790" s="325" t="n"/>
      <c r="J790" s="252" t="n"/>
      <c r="K790" s="331" t="n"/>
      <c r="L790" s="252" t="n"/>
      <c r="M790" s="252" t="n"/>
      <c r="N790" s="252" t="n"/>
      <c r="O790" s="244">
        <f>M790*N790</f>
        <v/>
      </c>
      <c r="P790" s="252" t="n"/>
      <c r="Q790" s="252" t="n"/>
      <c r="R790" s="252" t="n"/>
      <c r="S790" s="244">
        <f>Q790*R790</f>
        <v/>
      </c>
    </row>
    <row r="791" ht="22.2" customHeight="1" s="330">
      <c r="A791" s="4" t="n"/>
      <c r="B791" s="5" t="n"/>
      <c r="D791" s="3" t="n"/>
      <c r="E791" s="3" t="n"/>
      <c r="F791" s="249" t="n"/>
      <c r="G791" s="248" t="n"/>
      <c r="H791" s="252" t="n"/>
      <c r="I791" s="252" t="n"/>
      <c r="J791" s="252" t="n"/>
      <c r="K791" s="331" t="n"/>
      <c r="L791" s="252" t="n"/>
      <c r="M791" s="252" t="n"/>
      <c r="N791" s="252" t="n"/>
      <c r="O791" s="244">
        <f>M791*N791</f>
        <v/>
      </c>
      <c r="P791" s="252" t="n"/>
      <c r="Q791" s="252" t="n"/>
      <c r="R791" s="252" t="n"/>
      <c r="S791" s="244">
        <f>Q791*R791</f>
        <v/>
      </c>
    </row>
    <row r="792" ht="22.2" customHeight="1" s="330">
      <c r="A792" s="4" t="n"/>
      <c r="B792" s="5" t="n"/>
      <c r="E792" s="4" t="n"/>
      <c r="F792" s="249" t="n"/>
      <c r="G792" s="248" t="n"/>
      <c r="H792" s="252" t="n"/>
      <c r="I792" s="252" t="n"/>
      <c r="J792" s="252" t="n"/>
      <c r="K792" s="331" t="n"/>
      <c r="L792" s="252" t="n"/>
      <c r="M792" s="252" t="n"/>
      <c r="N792" s="252" t="n"/>
      <c r="O792" s="244">
        <f>M792*N792</f>
        <v/>
      </c>
      <c r="P792" s="252" t="n"/>
      <c r="Q792" s="252" t="n"/>
      <c r="R792" s="252" t="n"/>
      <c r="S792" s="244">
        <f>Q792*R792</f>
        <v/>
      </c>
    </row>
    <row r="793" ht="22.2" customHeight="1" s="330">
      <c r="A793" s="4" t="n"/>
      <c r="E793" s="4" t="n"/>
      <c r="G793" s="311" t="n"/>
      <c r="H793" s="276" t="n"/>
      <c r="I793" s="276" t="n"/>
      <c r="J793" s="276" t="n"/>
      <c r="K793" s="476" t="n"/>
      <c r="L793" s="252" t="n"/>
      <c r="M793" s="252" t="n"/>
      <c r="N793" s="252" t="n"/>
      <c r="O793" s="244">
        <f>M793*N793</f>
        <v/>
      </c>
      <c r="P793" s="252" t="n"/>
      <c r="Q793" s="252" t="n"/>
      <c r="R793" s="252" t="n"/>
      <c r="S793" s="244">
        <f>Q793*R793</f>
        <v/>
      </c>
    </row>
    <row r="794" ht="22.2" customHeight="1" s="330">
      <c r="A794" s="4" t="n"/>
      <c r="E794" s="4" t="n"/>
      <c r="G794" s="62" t="inlineStr">
        <is>
          <t>อังคาร</t>
        </is>
      </c>
      <c r="H794" s="325" t="inlineStr">
        <is>
          <t>20101-2103</t>
        </is>
      </c>
      <c r="I794" s="325" t="inlineStr">
        <is>
          <t>ปวช.2/5 ชย. (ปกติ)</t>
        </is>
      </c>
      <c r="J794" s="332" t="inlineStr">
        <is>
          <t>08.10-12.10</t>
        </is>
      </c>
      <c r="K794" s="335" t="n"/>
      <c r="L794" s="265" t="n"/>
      <c r="M794" s="332" t="n"/>
      <c r="N794" s="332" t="n"/>
      <c r="O794" s="244">
        <f>M794*N794</f>
        <v/>
      </c>
      <c r="P794" s="332" t="n"/>
      <c r="Q794" s="265" t="n"/>
      <c r="R794" s="332" t="n"/>
      <c r="S794" s="244">
        <f>Q794*R794</f>
        <v/>
      </c>
    </row>
    <row r="795" ht="22.2" customHeight="1" s="330">
      <c r="A795" s="4" t="n"/>
      <c r="E795" s="4" t="n"/>
      <c r="G795" s="308">
        <f>G565</f>
        <v/>
      </c>
      <c r="H795" s="325" t="inlineStr">
        <is>
          <t>20101-2103</t>
        </is>
      </c>
      <c r="I795" s="325" t="inlineStr">
        <is>
          <t>ปวช.2/6 ชย. (ปกติ)</t>
        </is>
      </c>
      <c r="J795" s="252" t="inlineStr">
        <is>
          <t>13.10-17.10</t>
        </is>
      </c>
      <c r="K795" s="331" t="n"/>
      <c r="L795" s="252" t="n"/>
      <c r="M795" s="252" t="n"/>
      <c r="N795" s="252" t="n"/>
      <c r="O795" s="244">
        <f>M795*N795</f>
        <v/>
      </c>
      <c r="P795" s="252" t="n"/>
      <c r="Q795" s="252" t="n"/>
      <c r="R795" s="252" t="n"/>
      <c r="S795" s="244">
        <f>Q795*R795</f>
        <v/>
      </c>
    </row>
    <row r="796" ht="22.2" customHeight="1" s="330">
      <c r="A796" s="4" t="n"/>
      <c r="B796" s="5" t="n"/>
      <c r="D796" s="3" t="n"/>
      <c r="E796" s="3" t="n"/>
      <c r="G796" s="252" t="n"/>
      <c r="H796" s="252" t="n"/>
      <c r="I796" s="252" t="n"/>
      <c r="J796" s="252" t="n"/>
      <c r="K796" s="331" t="n"/>
      <c r="L796" s="252" t="n"/>
      <c r="M796" s="252" t="n"/>
      <c r="N796" s="252" t="n"/>
      <c r="O796" s="244">
        <f>M796*N796</f>
        <v/>
      </c>
      <c r="P796" s="252" t="n"/>
      <c r="Q796" s="252" t="n"/>
      <c r="R796" s="252" t="n"/>
      <c r="S796" s="244">
        <f>Q796*R796</f>
        <v/>
      </c>
    </row>
    <row r="797" ht="22.2" customHeight="1" s="330">
      <c r="A797" s="4" t="n"/>
      <c r="E797" s="4" t="n"/>
      <c r="G797" s="62" t="n"/>
      <c r="H797" s="252" t="n"/>
      <c r="I797" s="252" t="n"/>
      <c r="J797" s="252" t="n"/>
      <c r="K797" s="331" t="n"/>
      <c r="L797" s="252" t="n"/>
      <c r="M797" s="252" t="n"/>
      <c r="N797" s="252" t="n"/>
      <c r="O797" s="244">
        <f>M797*N797</f>
        <v/>
      </c>
      <c r="P797" s="252" t="n"/>
      <c r="Q797" s="252" t="n"/>
      <c r="R797" s="252" t="n"/>
      <c r="S797" s="244">
        <f>Q797*R797</f>
        <v/>
      </c>
    </row>
    <row r="798" ht="22.2" customHeight="1" s="330">
      <c r="A798" s="4" t="n"/>
      <c r="D798" s="8" t="inlineStr">
        <is>
          <t> </t>
        </is>
      </c>
      <c r="E798" s="4" t="n"/>
      <c r="G798" s="63" t="n"/>
      <c r="H798" s="276" t="n"/>
      <c r="I798" s="276" t="n"/>
      <c r="J798" s="276" t="n"/>
      <c r="K798" s="476" t="n"/>
      <c r="L798" s="252" t="n"/>
      <c r="M798" s="252" t="n"/>
      <c r="N798" s="252" t="n"/>
      <c r="O798" s="244">
        <f>M798*N798</f>
        <v/>
      </c>
      <c r="P798" s="252" t="n"/>
      <c r="Q798" s="252" t="n"/>
      <c r="R798" s="252" t="n"/>
      <c r="S798" s="244">
        <f>Q798*R798</f>
        <v/>
      </c>
    </row>
    <row r="799" ht="22.2" customHeight="1" s="330">
      <c r="A799" s="4" t="n"/>
      <c r="E799" s="4" t="n"/>
      <c r="G799" s="308" t="inlineStr">
        <is>
          <t>พุธ</t>
        </is>
      </c>
      <c r="H799" s="325" t="inlineStr">
        <is>
          <t>20101-2103</t>
        </is>
      </c>
      <c r="I799" s="325" t="inlineStr">
        <is>
          <t>ปวช.2/7 ชย. (ปกติ)</t>
        </is>
      </c>
      <c r="J799" s="332" t="inlineStr">
        <is>
          <t>08.10-12.10</t>
        </is>
      </c>
      <c r="K799" s="335" t="n"/>
      <c r="L799" s="265" t="n"/>
      <c r="M799" s="332" t="n"/>
      <c r="N799" s="332" t="n"/>
      <c r="O799" s="244">
        <f>M799*N799</f>
        <v/>
      </c>
      <c r="P799" s="332" t="n"/>
      <c r="Q799" s="265" t="n"/>
      <c r="R799" s="332" t="n"/>
      <c r="S799" s="244">
        <f>Q799*R799</f>
        <v/>
      </c>
    </row>
    <row r="800" ht="22.2" customHeight="1" s="330">
      <c r="A800" s="4" t="n"/>
      <c r="B800" s="248" t="n"/>
      <c r="C800" s="249" t="n"/>
      <c r="D800" s="249" t="n"/>
      <c r="E800" s="252" t="n"/>
      <c r="G800" s="308">
        <f>G570</f>
        <v/>
      </c>
      <c r="H800" s="325" t="inlineStr">
        <is>
          <t>20101-2103</t>
        </is>
      </c>
      <c r="I800" s="325" t="inlineStr">
        <is>
          <t>ปวช.2/8 ชย. (ปกติ)</t>
        </is>
      </c>
      <c r="J800" s="252" t="inlineStr">
        <is>
          <t>13.10-17.10</t>
        </is>
      </c>
      <c r="K800" s="331" t="n"/>
      <c r="L800" s="252" t="n"/>
      <c r="M800" s="252" t="n"/>
      <c r="N800" s="252" t="n"/>
      <c r="O800" s="244">
        <f>M800*N800</f>
        <v/>
      </c>
      <c r="P800" s="252" t="n"/>
      <c r="Q800" s="252" t="n"/>
      <c r="R800" s="252" t="n"/>
      <c r="S800" s="244">
        <f>Q800*R800</f>
        <v/>
      </c>
    </row>
    <row r="801" ht="22.2" customHeight="1" s="330">
      <c r="A801" s="4" t="n"/>
      <c r="B801" s="5" t="n"/>
      <c r="D801" s="3" t="n"/>
      <c r="E801" s="3" t="n"/>
      <c r="G801" s="252" t="n"/>
      <c r="H801" s="325" t="n"/>
      <c r="I801" s="325" t="n"/>
      <c r="J801" s="252" t="n"/>
      <c r="K801" s="331" t="n"/>
      <c r="L801" s="252" t="n"/>
      <c r="M801" s="252" t="n"/>
      <c r="N801" s="252" t="n"/>
      <c r="O801" s="244">
        <f>M801*N801</f>
        <v/>
      </c>
      <c r="P801" s="252" t="n"/>
      <c r="Q801" s="252" t="n"/>
      <c r="R801" s="252" t="n"/>
      <c r="S801" s="244">
        <f>Q801*R801</f>
        <v/>
      </c>
    </row>
    <row r="802" ht="22.2" customHeight="1" s="330">
      <c r="A802" s="4" t="n"/>
      <c r="E802" s="4" t="n"/>
      <c r="G802" s="248" t="n"/>
      <c r="H802" s="248" t="n"/>
      <c r="I802" s="252" t="n"/>
      <c r="J802" s="252" t="n"/>
      <c r="K802" s="331" t="n"/>
      <c r="L802" s="252" t="n"/>
      <c r="M802" s="252" t="n"/>
      <c r="N802" s="252" t="n"/>
      <c r="O802" s="244">
        <f>M802*N802</f>
        <v/>
      </c>
      <c r="P802" s="252" t="n"/>
      <c r="Q802" s="252" t="n"/>
      <c r="R802" s="252" t="n"/>
      <c r="S802" s="244">
        <f>Q802*R802</f>
        <v/>
      </c>
    </row>
    <row r="803" ht="22.2" customHeight="1" s="330">
      <c r="A803" s="4" t="n"/>
      <c r="E803" s="4" t="n"/>
      <c r="G803" s="277" t="n"/>
      <c r="H803" s="277" t="n"/>
      <c r="I803" s="276" t="n"/>
      <c r="J803" s="276" t="n"/>
      <c r="K803" s="476" t="n"/>
      <c r="L803" s="276" t="n"/>
      <c r="M803" s="276" t="n"/>
      <c r="N803" s="276" t="n"/>
      <c r="O803" s="244">
        <f>M803*N803</f>
        <v/>
      </c>
      <c r="P803" s="276" t="n"/>
      <c r="Q803" s="276" t="n"/>
      <c r="R803" s="276" t="n"/>
      <c r="S803" s="244">
        <f>Q803*R803</f>
        <v/>
      </c>
    </row>
    <row r="804" ht="22.2" customHeight="1" s="330">
      <c r="A804" s="4" t="n"/>
      <c r="E804" s="4" t="n"/>
      <c r="G804" s="62" t="inlineStr">
        <is>
          <t>พฤหัส</t>
        </is>
      </c>
      <c r="H804" s="325" t="inlineStr">
        <is>
          <t>20101-2005</t>
        </is>
      </c>
      <c r="I804" s="325" t="inlineStr">
        <is>
          <t>ปวช.2/2 ชย. (ปกติ)</t>
        </is>
      </c>
      <c r="J804" s="332" t="inlineStr">
        <is>
          <t>08.10-12.10</t>
        </is>
      </c>
      <c r="K804" s="335" t="n"/>
      <c r="L804" s="275" t="n"/>
      <c r="M804" s="252" t="n"/>
      <c r="N804" s="252" t="n"/>
      <c r="O804" s="244">
        <f>M804*N804</f>
        <v/>
      </c>
      <c r="P804" s="252" t="n"/>
      <c r="Q804" s="275" t="n"/>
      <c r="R804" s="275" t="n"/>
      <c r="S804" s="244">
        <f>Q804*R804</f>
        <v/>
      </c>
      <c r="T804" s="25" t="n"/>
      <c r="U804" s="26" t="inlineStr">
        <is>
          <t xml:space="preserve">     PLC</t>
        </is>
      </c>
      <c r="V804" s="64" t="n"/>
      <c r="W804" s="27" t="n"/>
      <c r="X804" s="27" t="n"/>
    </row>
    <row r="805" ht="22.2" customHeight="1" s="330">
      <c r="A805" s="4" t="n"/>
      <c r="E805" s="4" t="n"/>
      <c r="G805" s="308">
        <f>G575</f>
        <v/>
      </c>
      <c r="H805" s="325" t="inlineStr">
        <is>
          <t>20000-2002</t>
        </is>
      </c>
      <c r="I805" s="325" t="inlineStr">
        <is>
          <t>ปวช.1/7,8 ชย. (ปกติ)</t>
        </is>
      </c>
      <c r="J805" s="252" t="inlineStr">
        <is>
          <t>13.10-15.10</t>
        </is>
      </c>
      <c r="K805" s="331" t="n"/>
      <c r="L805" s="285" t="n"/>
      <c r="M805" s="252" t="n"/>
      <c r="N805" s="252" t="n"/>
      <c r="O805" s="244">
        <f>M805*N805</f>
        <v/>
      </c>
      <c r="P805" s="252" t="n"/>
      <c r="Q805" s="252" t="n"/>
      <c r="R805" s="252" t="n"/>
      <c r="S805" s="244">
        <f>Q805*R805</f>
        <v/>
      </c>
      <c r="T805" s="27" t="inlineStr">
        <is>
          <t> </t>
        </is>
      </c>
      <c r="U805" s="26" t="inlineStr">
        <is>
          <t>17.10-19.10</t>
        </is>
      </c>
      <c r="V805" s="64" t="n"/>
      <c r="W805" s="27" t="n"/>
      <c r="X805" s="27" t="n"/>
    </row>
    <row r="806" ht="22.2" customHeight="1" s="330">
      <c r="A806" s="4" t="n"/>
      <c r="B806" s="5" t="n"/>
      <c r="E806" s="4" t="n"/>
      <c r="G806" s="252" t="n"/>
      <c r="H806" s="325" t="inlineStr">
        <is>
          <t>20101-2005</t>
        </is>
      </c>
      <c r="I806" s="325" t="inlineStr">
        <is>
          <t>ปวช.2/2 ชย. (ปกติ)</t>
        </is>
      </c>
      <c r="J806" s="252" t="inlineStr">
        <is>
          <t>15.10-18.10</t>
        </is>
      </c>
      <c r="K806" s="331" t="n"/>
      <c r="L806" s="252" t="n"/>
      <c r="M806" s="325" t="n"/>
      <c r="N806" s="325" t="n"/>
      <c r="O806" s="244">
        <f>M806*N806</f>
        <v/>
      </c>
      <c r="P806" s="325" t="n"/>
      <c r="Q806" s="325" t="n"/>
      <c r="R806" s="325" t="n"/>
      <c r="S806" s="244">
        <f>Q806*R806</f>
        <v/>
      </c>
    </row>
    <row r="807" ht="22.2" customHeight="1" s="330">
      <c r="A807" s="4" t="n"/>
      <c r="E807" s="4" t="n"/>
      <c r="G807" s="252" t="n"/>
      <c r="H807" s="252" t="n"/>
      <c r="I807" s="252" t="n"/>
      <c r="J807" s="252" t="n"/>
      <c r="K807" s="331" t="n"/>
      <c r="L807" s="252" t="n"/>
      <c r="M807" s="252" t="n"/>
      <c r="N807" s="252" t="n"/>
      <c r="O807" s="244">
        <f>M807*N807</f>
        <v/>
      </c>
      <c r="P807" s="252" t="n"/>
      <c r="Q807" s="252" t="n"/>
      <c r="R807" s="252" t="n"/>
      <c r="S807" s="244">
        <f>Q807*R807</f>
        <v/>
      </c>
    </row>
    <row r="808" ht="22.2" customHeight="1" s="330">
      <c r="A808" s="4" t="n"/>
      <c r="E808" s="4" t="n"/>
      <c r="G808" s="276" t="n"/>
      <c r="H808" s="301" t="n"/>
      <c r="I808" s="276" t="n"/>
      <c r="J808" s="276" t="n"/>
      <c r="K808" s="476" t="n"/>
      <c r="L808" s="276" t="n"/>
      <c r="M808" s="276" t="n"/>
      <c r="N808" s="276" t="n"/>
      <c r="O808" s="244">
        <f>M808*N808</f>
        <v/>
      </c>
      <c r="P808" s="276" t="n"/>
      <c r="Q808" s="276" t="n"/>
      <c r="R808" s="276" t="n"/>
      <c r="S808" s="244">
        <f>Q808*R808</f>
        <v/>
      </c>
    </row>
    <row r="809" ht="22.2" customHeight="1" s="330">
      <c r="A809" s="4" t="n"/>
      <c r="E809" s="4" t="n"/>
      <c r="G809" s="62" t="inlineStr">
        <is>
          <t>ศุกร์</t>
        </is>
      </c>
      <c r="H809" s="325" t="inlineStr">
        <is>
          <t>20101-2110</t>
        </is>
      </c>
      <c r="I809" s="325" t="inlineStr">
        <is>
          <t>ปวช.3/2 ชย. (ปกติ)</t>
        </is>
      </c>
      <c r="J809" s="332" t="inlineStr">
        <is>
          <t>08.10-12.10</t>
        </is>
      </c>
      <c r="K809" s="335" t="n"/>
      <c r="L809" s="265" t="n"/>
      <c r="M809" s="252" t="n"/>
      <c r="N809" s="252" t="n"/>
      <c r="O809" s="244">
        <f>M809*N809</f>
        <v/>
      </c>
      <c r="P809" s="332" t="n"/>
      <c r="Q809" s="265" t="n"/>
      <c r="R809" s="332" t="n"/>
      <c r="S809" s="244">
        <f>Q809*R809</f>
        <v/>
      </c>
    </row>
    <row r="810" ht="22.2" customHeight="1" s="330">
      <c r="A810" s="4" t="n"/>
      <c r="E810" s="4" t="n"/>
      <c r="G810" s="308">
        <f>G580</f>
        <v/>
      </c>
      <c r="H810" s="325" t="n"/>
      <c r="I810" s="325" t="n"/>
      <c r="J810" s="252" t="n"/>
      <c r="K810" s="331" t="n"/>
      <c r="L810" s="252" t="n"/>
      <c r="M810" s="252" t="n"/>
      <c r="N810" s="252" t="n"/>
      <c r="O810" s="244">
        <f>M810*N810</f>
        <v/>
      </c>
      <c r="P810" s="252" t="n"/>
      <c r="Q810" s="252" t="n"/>
      <c r="R810" s="252" t="n"/>
      <c r="S810" s="244">
        <f>Q810*R810</f>
        <v/>
      </c>
    </row>
    <row r="811" ht="22.2" customHeight="1" s="330">
      <c r="A811" s="4" t="n"/>
      <c r="E811" s="4" t="n"/>
      <c r="G811" s="252" t="n"/>
      <c r="H811" s="325" t="n"/>
      <c r="I811" s="325" t="n"/>
      <c r="J811" s="252" t="n"/>
      <c r="K811" s="331" t="n"/>
      <c r="L811" s="252" t="n"/>
      <c r="M811" s="325" t="n"/>
      <c r="N811" s="325" t="n"/>
      <c r="O811" s="244">
        <f>M811*N811</f>
        <v/>
      </c>
      <c r="P811" s="252" t="n"/>
      <c r="Q811" s="252" t="n"/>
      <c r="R811" s="252" t="n"/>
      <c r="S811" s="244">
        <f>Q811*R811</f>
        <v/>
      </c>
    </row>
    <row r="812" ht="22.2" customHeight="1" s="330">
      <c r="A812" s="4" t="n"/>
      <c r="E812" s="4" t="n"/>
      <c r="G812" s="252" t="n"/>
      <c r="H812" s="249" t="inlineStr">
        <is>
          <t> </t>
        </is>
      </c>
      <c r="I812" s="252" t="n"/>
      <c r="J812" s="252" t="n"/>
      <c r="K812" s="331" t="n"/>
      <c r="L812" s="252" t="n"/>
      <c r="M812" s="252" t="n"/>
      <c r="N812" s="252" t="n"/>
      <c r="O812" s="244">
        <f>M812*N812</f>
        <v/>
      </c>
      <c r="P812" s="252" t="n"/>
      <c r="Q812" s="252" t="n"/>
      <c r="R812" s="252" t="n"/>
      <c r="S812" s="244">
        <f>Q812*R812</f>
        <v/>
      </c>
    </row>
    <row r="813" ht="22.2" customHeight="1" s="330">
      <c r="A813" s="4" t="n"/>
      <c r="E813" s="4" t="n"/>
      <c r="F813" s="4" t="n"/>
      <c r="G813" s="278" t="n"/>
      <c r="H813" s="301" t="n"/>
      <c r="I813" s="276" t="n"/>
      <c r="J813" s="276" t="n"/>
      <c r="K813" s="476" t="n"/>
      <c r="L813" s="276" t="n"/>
      <c r="M813" s="276" t="n"/>
      <c r="N813" s="276" t="n"/>
      <c r="O813" s="244">
        <f>M813*N813</f>
        <v/>
      </c>
      <c r="P813" s="276" t="n"/>
      <c r="Q813" s="276" t="n"/>
      <c r="R813" s="276" t="n"/>
      <c r="S813" s="244">
        <f>Q813*R813</f>
        <v/>
      </c>
    </row>
    <row r="814" ht="22.2" customHeight="1" s="330">
      <c r="A814" s="4" t="n"/>
      <c r="E814" s="4" t="n"/>
      <c r="F814" s="4" t="n"/>
      <c r="G814" s="17" t="inlineStr">
        <is>
          <t>รวมขั่วโมงที่สอนแยก ภาระงาน/ เกินภาระงาน</t>
        </is>
      </c>
      <c r="H814" s="467" t="n"/>
      <c r="I814" s="467" t="n"/>
      <c r="J814" s="467" t="n"/>
      <c r="K814" s="362" t="n"/>
      <c r="L814" s="17">
        <f>SUM(L789:L813)</f>
        <v/>
      </c>
      <c r="M814" s="17">
        <f>SUM(M789:M813)</f>
        <v/>
      </c>
      <c r="N814" s="17" t="n"/>
      <c r="O814" s="17" t="n"/>
      <c r="P814" s="17">
        <f>SUM(P789:P813)</f>
        <v/>
      </c>
      <c r="Q814" s="17">
        <f>SUM(Q789:Q813)</f>
        <v/>
      </c>
      <c r="R814" s="279" t="n"/>
      <c r="S814" s="17" t="n"/>
    </row>
    <row r="815" ht="22.2" customHeight="1" s="330">
      <c r="A815" s="4" t="n"/>
      <c r="E815" s="4" t="n"/>
      <c r="F815" s="4" t="n"/>
      <c r="G815" s="17" t="inlineStr">
        <is>
          <t>รวมจำนวนชั่วโมงสอนคาบต่อสับดาห์</t>
        </is>
      </c>
      <c r="H815" s="467" t="n"/>
      <c r="I815" s="467" t="n"/>
      <c r="J815" s="467" t="n"/>
      <c r="K815" s="362" t="n"/>
      <c r="L815" s="17">
        <f>L814+M814</f>
        <v/>
      </c>
      <c r="M815" s="362" t="n"/>
      <c r="N815" s="298" t="n"/>
      <c r="O815" s="17" t="n"/>
      <c r="P815" s="17">
        <f>P814+Q814</f>
        <v/>
      </c>
      <c r="Q815" s="362" t="n"/>
      <c r="R815" s="278" t="n"/>
      <c r="S815" s="276" t="n"/>
    </row>
    <row r="816" ht="22.2" customHeight="1" s="330">
      <c r="A816" s="4" t="n"/>
      <c r="E816" s="4" t="n"/>
      <c r="F816" s="4" t="n"/>
      <c r="G816" s="17" t="inlineStr">
        <is>
          <t>จำนวนชั่วโมงสอนตามภาระงานสอน</t>
        </is>
      </c>
      <c r="H816" s="467" t="n"/>
      <c r="I816" s="467" t="n"/>
      <c r="J816" s="467" t="n"/>
      <c r="K816" s="362" t="n"/>
      <c r="L816" s="17" t="n">
        <v>18</v>
      </c>
      <c r="M816" s="362" t="n"/>
      <c r="N816" s="298" t="n"/>
      <c r="O816" s="17" t="n"/>
      <c r="P816" s="17" t="n">
        <v>0</v>
      </c>
      <c r="Q816" s="362" t="n"/>
      <c r="R816" s="249" t="n"/>
      <c r="S816" s="252" t="n"/>
    </row>
    <row r="817" ht="22.2" customHeight="1" s="330" thickBot="1">
      <c r="A817" s="4" t="n"/>
      <c r="E817" s="4" t="n"/>
      <c r="F817" s="15" t="n"/>
      <c r="G817" s="17" t="inlineStr">
        <is>
          <t>จำนวนชั่วโมงบิกเกินภาระงานสอน/ค่าสอน</t>
        </is>
      </c>
      <c r="H817" s="467" t="n"/>
      <c r="I817" s="467" t="n"/>
      <c r="J817" s="467" t="n"/>
      <c r="K817" s="362" t="n"/>
      <c r="L817" s="18" t="n">
        <v>0</v>
      </c>
      <c r="M817" s="18">
        <f>SUM(M789:M813)</f>
        <v/>
      </c>
      <c r="N817" s="18" t="n"/>
      <c r="O817" s="18">
        <f>SUM(O789:O813)</f>
        <v/>
      </c>
      <c r="P817" s="18" t="n">
        <v>0</v>
      </c>
      <c r="Q817" s="18">
        <f>SUM(Q789:Q813)</f>
        <v/>
      </c>
      <c r="R817" s="19" t="n"/>
      <c r="S817" s="18">
        <f>SUM(S789:S813)</f>
        <v/>
      </c>
    </row>
    <row r="818" ht="22.2" customHeight="1" s="330" thickTop="1">
      <c r="A818" s="299" t="inlineStr">
        <is>
          <t>รวมจำนวนหน่วยชั่วโมงที่ขอเบิกค่าสอน ….</t>
        </is>
      </c>
      <c r="B818" s="467" t="n"/>
      <c r="C818" s="467" t="n"/>
      <c r="D818" s="467" t="n"/>
      <c r="E818" s="467" t="n"/>
      <c r="F818" s="467" t="n"/>
      <c r="G818" s="467" t="n"/>
      <c r="H818" s="298">
        <f>M817+Q817</f>
        <v/>
      </c>
      <c r="I818" s="298" t="inlineStr">
        <is>
          <t>….ชั่วโมง</t>
        </is>
      </c>
      <c r="J818" s="298" t="n"/>
      <c r="K818" s="301" t="inlineStr">
        <is>
          <t>ยอดเงินรวม</t>
        </is>
      </c>
      <c r="L818" s="471" t="n"/>
      <c r="M818" s="471" t="n"/>
      <c r="N818" s="301" t="n"/>
      <c r="O818" s="301" t="n"/>
      <c r="P818" s="302">
        <f>S817+O817</f>
        <v/>
      </c>
      <c r="Q818" s="482" t="n"/>
      <c r="R818" s="21" t="n"/>
      <c r="S818" s="20" t="inlineStr">
        <is>
          <t>..บาท</t>
        </is>
      </c>
    </row>
    <row r="819" ht="22.2" customHeight="1" s="330">
      <c r="A819" s="207" t="inlineStr">
        <is>
          <t>ผู้ขอเบิก</t>
        </is>
      </c>
      <c r="B819" s="334" t="n"/>
      <c r="C819" s="334" t="n"/>
      <c r="D819" s="334" t="n"/>
      <c r="E819" s="334" t="n"/>
      <c r="F819" s="334" t="n"/>
      <c r="G819" s="335" t="n"/>
      <c r="H819" s="207" t="inlineStr">
        <is>
          <t>ผู้รับรอง</t>
        </is>
      </c>
      <c r="I819" s="334" t="n"/>
      <c r="J819" s="334" t="n"/>
      <c r="K819" s="334" t="n"/>
      <c r="L819" s="335" t="n"/>
      <c r="M819" s="207" t="inlineStr">
        <is>
          <t>ผู้ตรวจ</t>
        </is>
      </c>
      <c r="N819" s="334" t="n"/>
      <c r="O819" s="334" t="n"/>
      <c r="P819" s="334" t="n"/>
      <c r="Q819" s="334" t="n"/>
      <c r="R819" s="334" t="n"/>
      <c r="S819" s="335" t="n"/>
    </row>
    <row r="820" ht="22.2" customHeight="1" s="330">
      <c r="A820" s="252" t="inlineStr">
        <is>
          <t>ลงชื่อ……………………………………………</t>
        </is>
      </c>
      <c r="G820" s="331" t="n"/>
      <c r="H820" s="252" t="inlineStr">
        <is>
          <t>ลงชื่อ……………………………………………</t>
        </is>
      </c>
      <c r="L820" s="331" t="n"/>
      <c r="M820" s="252" t="inlineStr">
        <is>
          <t>ลงชื่อ……………………………………………</t>
        </is>
      </c>
      <c r="S820" s="331" t="n"/>
    </row>
    <row r="821" ht="22.2" customHeight="1" s="330">
      <c r="A821" s="12" t="inlineStr">
        <is>
          <t>(</t>
        </is>
      </c>
      <c r="B821" s="309">
        <f>B789</f>
        <v/>
      </c>
      <c r="G821" s="310" t="inlineStr">
        <is>
          <t>)</t>
        </is>
      </c>
      <c r="H821" s="309" t="inlineStr">
        <is>
          <t>(</t>
        </is>
      </c>
      <c r="I821" s="314">
        <f>I591</f>
        <v/>
      </c>
      <c r="L821" s="13" t="inlineStr">
        <is>
          <t>)</t>
        </is>
      </c>
      <c r="M821" s="61" t="inlineStr">
        <is>
          <t>(</t>
        </is>
      </c>
      <c r="N821" s="61" t="n"/>
      <c r="O821" s="309" t="inlineStr">
        <is>
          <t>นายพิสุทธิศักดิ์  กล่อมนาค</t>
        </is>
      </c>
      <c r="R821" s="29" t="n"/>
      <c r="S821" s="310" t="inlineStr">
        <is>
          <t>)</t>
        </is>
      </c>
    </row>
    <row r="822" ht="22.2" customHeight="1" s="330">
      <c r="A822" s="483" t="inlineStr">
        <is>
          <t xml:space="preserve">                        ตำแหน่ง ครู</t>
        </is>
      </c>
      <c r="G822" s="331" t="n"/>
      <c r="H822" s="62" t="inlineStr">
        <is>
          <t>ตำแหน่ง หัวหน้าแผนก</t>
        </is>
      </c>
      <c r="L822" s="331" t="n"/>
      <c r="M822" s="62" t="inlineStr">
        <is>
          <t>ตำแหน่ง   ผู้ตรวจสอบ</t>
        </is>
      </c>
      <c r="S822" s="331" t="n"/>
    </row>
    <row r="823" ht="22.2" customHeight="1" s="330">
      <c r="A823" s="63">
        <f>A41</f>
        <v/>
      </c>
      <c r="B823" s="471" t="n"/>
      <c r="C823" s="471" t="n"/>
      <c r="D823" s="471" t="n"/>
      <c r="E823" s="471" t="n"/>
      <c r="F823" s="471" t="n"/>
      <c r="G823" s="476" t="n"/>
      <c r="H823" s="62">
        <f>A41</f>
        <v/>
      </c>
      <c r="L823" s="331" t="n"/>
      <c r="M823" s="63">
        <f>A41</f>
        <v/>
      </c>
      <c r="N823" s="471" t="n"/>
      <c r="O823" s="471" t="n"/>
      <c r="P823" s="471" t="n"/>
      <c r="Q823" s="471" t="n"/>
      <c r="R823" s="471" t="n"/>
      <c r="S823" s="476" t="n"/>
    </row>
    <row r="824" ht="22.2" customHeight="1" s="330">
      <c r="A824" s="207" t="inlineStr">
        <is>
          <t>ผู้ตรวจ</t>
        </is>
      </c>
      <c r="B824" s="334" t="n"/>
      <c r="C824" s="334" t="n"/>
      <c r="D824" s="334" t="n"/>
      <c r="E824" s="334" t="n"/>
      <c r="F824" s="334" t="n"/>
      <c r="G824" s="334" t="n"/>
      <c r="H824" s="334" t="n"/>
      <c r="I824" s="335" t="n"/>
      <c r="J824" s="207" t="inlineStr">
        <is>
          <t>ผู้เห็นชอบ</t>
        </is>
      </c>
      <c r="K824" s="334" t="n"/>
      <c r="L824" s="334" t="n"/>
      <c r="M824" s="334" t="n"/>
      <c r="N824" s="334" t="n"/>
      <c r="O824" s="334" t="n"/>
      <c r="P824" s="334" t="n"/>
      <c r="Q824" s="334" t="n"/>
      <c r="R824" s="334" t="n"/>
      <c r="S824" s="335" t="n"/>
    </row>
    <row r="825" ht="22.2" customHeight="1" s="330">
      <c r="A825" s="252" t="inlineStr">
        <is>
          <t>ลงชื่อ……………………………………………</t>
        </is>
      </c>
      <c r="I825" s="331" t="n"/>
      <c r="J825" s="252" t="inlineStr">
        <is>
          <t>ลงชื่อ……………………………………………</t>
        </is>
      </c>
      <c r="S825" s="331" t="n"/>
    </row>
    <row r="826" ht="22.2" customHeight="1" s="330">
      <c r="A826" s="12" t="n"/>
      <c r="B826" s="309" t="inlineStr">
        <is>
          <t xml:space="preserve">          (นางศิวรักษ์   บุญประเสริฐ)</t>
        </is>
      </c>
      <c r="I826" s="310" t="n"/>
      <c r="J826" s="29" t="n"/>
      <c r="K826" s="29" t="n"/>
      <c r="L826" s="309" t="inlineStr">
        <is>
          <t>(นายปรีชา  โพธิ์เกิด)</t>
        </is>
      </c>
      <c r="R826" s="29" t="n"/>
      <c r="S826" s="13" t="n"/>
    </row>
    <row r="827" ht="22.2" customHeight="1" s="330">
      <c r="A827" s="62" t="inlineStr">
        <is>
          <t>ตำแหน่งครู  หัวหน้างานพัฒนาหลักสูตร ฯ</t>
        </is>
      </c>
      <c r="I827" s="331" t="n"/>
      <c r="J827" s="62" t="inlineStr">
        <is>
          <t>ตำแหน่ง  รองผู้อำนวยการฝ่ายวิชาการ</t>
        </is>
      </c>
      <c r="S827" s="331" t="n"/>
    </row>
    <row r="828" ht="22.2" customHeight="1" s="330">
      <c r="A828" s="63">
        <f>A41</f>
        <v/>
      </c>
      <c r="B828" s="471" t="n"/>
      <c r="C828" s="471" t="n"/>
      <c r="D828" s="471" t="n"/>
      <c r="E828" s="471" t="n"/>
      <c r="F828" s="471" t="n"/>
      <c r="G828" s="471" t="n"/>
      <c r="H828" s="471" t="n"/>
      <c r="I828" s="476" t="n"/>
      <c r="J828" s="63">
        <f>A41</f>
        <v/>
      </c>
      <c r="K828" s="471" t="n"/>
      <c r="L828" s="471" t="n"/>
      <c r="M828" s="471" t="n"/>
      <c r="N828" s="471" t="n"/>
      <c r="O828" s="471" t="n"/>
      <c r="P828" s="471" t="n"/>
      <c r="Q828" s="471" t="n"/>
      <c r="R828" s="471" t="n"/>
      <c r="S828" s="476" t="n"/>
    </row>
    <row r="829" ht="22.2" customHeight="1" s="330">
      <c r="A82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830" ht="22.2" customHeight="1" s="330">
      <c r="A830" s="254">
        <f>A2</f>
        <v/>
      </c>
    </row>
    <row r="831" ht="22.2" customHeight="1" s="330">
      <c r="A831" s="253" t="inlineStr">
        <is>
          <t xml:space="preserve">    ระหว่างวันที่</t>
        </is>
      </c>
      <c r="D831" s="254">
        <f>D3</f>
        <v/>
      </c>
      <c r="E831" s="254" t="inlineStr">
        <is>
          <t xml:space="preserve">   เดือน  </t>
        </is>
      </c>
      <c r="F831" s="254">
        <f>F3</f>
        <v/>
      </c>
      <c r="H831" s="254">
        <f>H3</f>
        <v/>
      </c>
      <c r="I831" s="254" t="inlineStr">
        <is>
          <t xml:space="preserve">     ถึง วันที่</t>
        </is>
      </c>
      <c r="J831" s="254">
        <f>J3</f>
        <v/>
      </c>
      <c r="K831" s="254" t="inlineStr">
        <is>
          <t xml:space="preserve">   เดือน </t>
        </is>
      </c>
      <c r="L831" s="254">
        <f>L3</f>
        <v/>
      </c>
      <c r="N831" s="254">
        <f>N3</f>
        <v/>
      </c>
      <c r="P831" s="254" t="n"/>
      <c r="R831" s="254" t="n"/>
    </row>
    <row r="832" ht="22.2" customHeight="1" s="330">
      <c r="G832" s="58" t="inlineStr">
        <is>
          <t>ü</t>
        </is>
      </c>
      <c r="H832" s="301" t="inlineStr">
        <is>
          <t>พนง.ราชการ</t>
        </is>
      </c>
      <c r="I832" s="249" t="inlineStr">
        <is>
          <t>หน้าที่พิเศษ</t>
        </is>
      </c>
      <c r="J832" s="290" t="inlineStr">
        <is>
          <t>หัวหน้างานสวัสดิการ นักเรียนนักศึกษา</t>
        </is>
      </c>
      <c r="K832" s="290" t="n"/>
    </row>
    <row r="833" ht="22.2" customHeight="1" s="330">
      <c r="A833" s="28" t="inlineStr">
        <is>
          <t>ที่</t>
        </is>
      </c>
      <c r="B833" s="28" t="inlineStr">
        <is>
          <t>ชื่อ-สกุล</t>
        </is>
      </c>
      <c r="C833" s="334" t="n"/>
      <c r="D833" s="335" t="n"/>
      <c r="E833" s="16" t="inlineStr">
        <is>
          <t>ตำแหน่ง</t>
        </is>
      </c>
      <c r="F833" s="17" t="inlineStr">
        <is>
          <t>ระยะเวลาที่สอน</t>
        </is>
      </c>
      <c r="G833" s="362" t="n"/>
      <c r="H833" s="17" t="inlineStr">
        <is>
          <t>รหัสวิชา</t>
        </is>
      </c>
      <c r="I833" s="275" t="inlineStr">
        <is>
          <t>ชั้น,แผนก,ห้อง</t>
        </is>
      </c>
      <c r="J833" s="17" t="inlineStr">
        <is>
          <t>เวลาสอน</t>
        </is>
      </c>
      <c r="K833" s="335" t="n"/>
      <c r="L833" s="17" t="inlineStr">
        <is>
          <t>ปวช.(คาบ)</t>
        </is>
      </c>
      <c r="M833" s="362" t="n"/>
      <c r="N833" s="244" t="inlineStr">
        <is>
          <t>เงิน</t>
        </is>
      </c>
      <c r="O833" s="275" t="inlineStr">
        <is>
          <t>ยอดเงิน</t>
        </is>
      </c>
      <c r="P833" s="473" t="inlineStr">
        <is>
          <t>ปวส.(คาบ)</t>
        </is>
      </c>
      <c r="Q833" s="362" t="n"/>
      <c r="R833" s="244" t="inlineStr">
        <is>
          <t>เงิน</t>
        </is>
      </c>
      <c r="S833" s="275" t="inlineStr">
        <is>
          <t>ยอดเงิน</t>
        </is>
      </c>
    </row>
    <row r="834" ht="22.2" customHeight="1" s="330">
      <c r="A834" s="60" t="n"/>
      <c r="B834" s="9" t="n"/>
      <c r="C834" s="10" t="n"/>
      <c r="D834" s="14" t="n"/>
      <c r="E834" s="11" t="n"/>
      <c r="F834" s="276" t="inlineStr">
        <is>
          <t>ส.</t>
        </is>
      </c>
      <c r="G834" s="276" t="inlineStr">
        <is>
          <t>วดป.</t>
        </is>
      </c>
      <c r="H834" s="474" t="n"/>
      <c r="I834" s="276" t="n"/>
      <c r="J834" s="475" t="n"/>
      <c r="K834" s="476" t="n"/>
      <c r="L834" s="276" t="inlineStr">
        <is>
          <t>ใน</t>
        </is>
      </c>
      <c r="M834" s="276" t="inlineStr">
        <is>
          <t>นอก</t>
        </is>
      </c>
      <c r="N834" s="276" t="inlineStr">
        <is>
          <t>ต่อ ชม.</t>
        </is>
      </c>
      <c r="O834" s="276" t="inlineStr">
        <is>
          <t>(บาท)</t>
        </is>
      </c>
      <c r="P834" s="60" t="inlineStr">
        <is>
          <t>ใน</t>
        </is>
      </c>
      <c r="Q834" s="60" t="inlineStr">
        <is>
          <t>นอก</t>
        </is>
      </c>
      <c r="R834" s="276" t="inlineStr">
        <is>
          <t>ต่อ ชม.</t>
        </is>
      </c>
      <c r="S834" s="276" t="inlineStr">
        <is>
          <t>(บาท)</t>
        </is>
      </c>
    </row>
    <row r="835" ht="22.2" customHeight="1" s="330">
      <c r="A835" s="275" t="n">
        <v>19</v>
      </c>
      <c r="B835" s="477">
        <f>AB21</f>
        <v/>
      </c>
      <c r="C835" s="334" t="n"/>
      <c r="D835" s="335" t="n"/>
      <c r="E835" s="275" t="inlineStr">
        <is>
          <t>พนักงาน</t>
        </is>
      </c>
      <c r="F835" s="6">
        <f>F7</f>
        <v/>
      </c>
      <c r="G835" s="303" t="inlineStr">
        <is>
          <t>จันทร์</t>
        </is>
      </c>
      <c r="H835" s="332" t="n"/>
      <c r="I835" s="325" t="n"/>
      <c r="J835" s="332" t="n"/>
      <c r="K835" s="335" t="n"/>
      <c r="L835" s="265" t="n"/>
      <c r="M835" s="332" t="n"/>
      <c r="N835" s="332" t="n"/>
      <c r="O835" s="244">
        <f>M835*N835</f>
        <v/>
      </c>
      <c r="P835" s="332" t="n"/>
      <c r="Q835" s="265" t="n"/>
      <c r="R835" s="332" t="n"/>
      <c r="S835" s="244">
        <f>Q835*R835</f>
        <v/>
      </c>
    </row>
    <row r="836" ht="22.2" customHeight="1" s="330">
      <c r="A836" s="4" t="n"/>
      <c r="B836" s="478" t="n"/>
      <c r="D836" s="331" t="n"/>
      <c r="E836" s="252" t="inlineStr">
        <is>
          <t>ราชการ</t>
        </is>
      </c>
      <c r="F836" s="249" t="n"/>
      <c r="G836" s="308">
        <f>G790</f>
        <v/>
      </c>
      <c r="H836" s="325" t="n"/>
      <c r="I836" s="325" t="n"/>
      <c r="J836" s="252" t="n"/>
      <c r="K836" s="331" t="n"/>
      <c r="L836" s="252" t="n"/>
      <c r="M836" s="252" t="n"/>
      <c r="N836" s="252" t="n"/>
      <c r="O836" s="244">
        <f>M836*N836</f>
        <v/>
      </c>
      <c r="P836" s="252" t="n"/>
      <c r="Q836" s="252" t="n"/>
      <c r="R836" s="252" t="n"/>
      <c r="S836" s="244">
        <f>Q836*R836</f>
        <v/>
      </c>
    </row>
    <row r="837" ht="22.2" customHeight="1" s="330">
      <c r="A837" s="4" t="n"/>
      <c r="B837" s="5" t="n"/>
      <c r="D837" s="3" t="n"/>
      <c r="E837" s="3" t="n"/>
      <c r="F837" s="249" t="n"/>
      <c r="G837" s="248" t="n"/>
      <c r="H837" s="252" t="n"/>
      <c r="I837" s="252" t="n"/>
      <c r="J837" s="252" t="n"/>
      <c r="K837" s="331" t="n"/>
      <c r="L837" s="252" t="n"/>
      <c r="M837" s="252" t="n"/>
      <c r="N837" s="252" t="n"/>
      <c r="O837" s="244">
        <f>M837*N837</f>
        <v/>
      </c>
      <c r="P837" s="252" t="n"/>
      <c r="Q837" s="252" t="n"/>
      <c r="R837" s="252" t="n"/>
      <c r="S837" s="244">
        <f>Q837*R837</f>
        <v/>
      </c>
    </row>
    <row r="838" ht="22.2" customHeight="1" s="330">
      <c r="A838" s="4" t="n"/>
      <c r="B838" s="5" t="n"/>
      <c r="E838" s="4" t="n"/>
      <c r="F838" s="249" t="n"/>
      <c r="G838" s="248" t="n"/>
      <c r="H838" s="252" t="n"/>
      <c r="I838" s="252" t="n"/>
      <c r="J838" s="252" t="n"/>
      <c r="K838" s="331" t="n"/>
      <c r="L838" s="252" t="n"/>
      <c r="M838" s="252" t="n"/>
      <c r="N838" s="252" t="n"/>
      <c r="O838" s="244">
        <f>M838*N838</f>
        <v/>
      </c>
      <c r="P838" s="252" t="n"/>
      <c r="Q838" s="252" t="n"/>
      <c r="R838" s="252" t="n"/>
      <c r="S838" s="244">
        <f>Q838*R838</f>
        <v/>
      </c>
    </row>
    <row r="839" ht="22.2" customHeight="1" s="330">
      <c r="A839" s="4" t="n"/>
      <c r="E839" s="4" t="n"/>
      <c r="G839" s="311" t="n"/>
      <c r="H839" s="276" t="n"/>
      <c r="I839" s="276" t="n"/>
      <c r="J839" s="276" t="n"/>
      <c r="K839" s="476" t="n"/>
      <c r="L839" s="252" t="n"/>
      <c r="M839" s="252" t="n"/>
      <c r="N839" s="252" t="n"/>
      <c r="O839" s="244">
        <f>M839*N839</f>
        <v/>
      </c>
      <c r="P839" s="252" t="n"/>
      <c r="Q839" s="252" t="n"/>
      <c r="R839" s="252" t="n"/>
      <c r="S839" s="244">
        <f>Q839*R839</f>
        <v/>
      </c>
    </row>
    <row r="840" ht="22.2" customHeight="1" s="330">
      <c r="A840" s="4" t="n"/>
      <c r="E840" s="4" t="n"/>
      <c r="G840" s="62" t="inlineStr">
        <is>
          <t>อังคาร</t>
        </is>
      </c>
      <c r="H840" s="332" t="inlineStr">
        <is>
          <t>20101-5104</t>
        </is>
      </c>
      <c r="I840" s="325" t="inlineStr">
        <is>
          <t>ปวช.2/10 ชย. (ทวิ)</t>
        </is>
      </c>
      <c r="J840" s="332" t="inlineStr">
        <is>
          <t>08.10-12.10</t>
        </is>
      </c>
      <c r="K840" s="335" t="n"/>
      <c r="L840" s="265" t="n"/>
      <c r="M840" s="332" t="n"/>
      <c r="N840" s="332" t="n"/>
      <c r="O840" s="244">
        <f>M840*N840</f>
        <v/>
      </c>
      <c r="P840" s="332" t="n"/>
      <c r="Q840" s="265" t="n"/>
      <c r="R840" s="332" t="n"/>
      <c r="S840" s="244">
        <f>Q840*R840</f>
        <v/>
      </c>
    </row>
    <row r="841" ht="22.2" customHeight="1" s="330">
      <c r="A841" s="4" t="n"/>
      <c r="E841" s="4" t="n"/>
      <c r="G841" s="308">
        <f>G795</f>
        <v/>
      </c>
      <c r="H841" s="325" t="inlineStr">
        <is>
          <t>20101-5104</t>
        </is>
      </c>
      <c r="I841" s="325" t="inlineStr">
        <is>
          <t>ปวช.2/10 ชย. (ทวิ)</t>
        </is>
      </c>
      <c r="J841" s="252" t="inlineStr">
        <is>
          <t>13.10-16.10</t>
        </is>
      </c>
      <c r="K841" s="331" t="n"/>
      <c r="L841" s="252" t="n"/>
      <c r="M841" s="252" t="n"/>
      <c r="N841" s="252" t="n"/>
      <c r="O841" s="244">
        <f>M841*N841</f>
        <v/>
      </c>
      <c r="P841" s="252" t="n"/>
      <c r="Q841" s="252" t="n"/>
      <c r="R841" s="252" t="n"/>
      <c r="S841" s="244">
        <f>Q841*R841</f>
        <v/>
      </c>
    </row>
    <row r="842" ht="22.2" customHeight="1" s="330">
      <c r="A842" s="4" t="n"/>
      <c r="B842" s="5" t="n"/>
      <c r="D842" s="3" t="n"/>
      <c r="E842" s="3" t="n"/>
      <c r="G842" s="252" t="n"/>
      <c r="H842" s="248" t="n"/>
      <c r="I842" s="252" t="n"/>
      <c r="J842" s="252" t="n"/>
      <c r="K842" s="331" t="n"/>
      <c r="L842" s="252" t="n"/>
      <c r="M842" s="252" t="n"/>
      <c r="N842" s="252" t="n"/>
      <c r="O842" s="244">
        <f>M842*N842</f>
        <v/>
      </c>
      <c r="P842" s="252" t="n"/>
      <c r="Q842" s="252" t="n"/>
      <c r="R842" s="252" t="n"/>
      <c r="S842" s="244">
        <f>Q842*R842</f>
        <v/>
      </c>
    </row>
    <row r="843" ht="22.2" customHeight="1" s="330">
      <c r="A843" s="4" t="n"/>
      <c r="E843" s="4" t="n"/>
      <c r="G843" s="62" t="n"/>
      <c r="H843" s="249" t="n"/>
      <c r="I843" s="252" t="n"/>
      <c r="J843" s="252" t="n"/>
      <c r="K843" s="331" t="n"/>
      <c r="L843" s="252" t="n"/>
      <c r="M843" s="252" t="n"/>
      <c r="N843" s="252" t="n"/>
      <c r="O843" s="244">
        <f>M843*N843</f>
        <v/>
      </c>
      <c r="P843" s="252" t="n"/>
      <c r="Q843" s="252" t="n"/>
      <c r="R843" s="252" t="n"/>
      <c r="S843" s="244">
        <f>Q843*R843</f>
        <v/>
      </c>
    </row>
    <row r="844" ht="22.2" customHeight="1" s="330">
      <c r="A844" s="4" t="n"/>
      <c r="D844" s="8" t="inlineStr">
        <is>
          <t> </t>
        </is>
      </c>
      <c r="E844" s="4" t="n"/>
      <c r="G844" s="63" t="n"/>
      <c r="H844" s="249" t="n"/>
      <c r="I844" s="276" t="n"/>
      <c r="J844" s="276" t="n"/>
      <c r="K844" s="476" t="n"/>
      <c r="L844" s="252" t="n"/>
      <c r="M844" s="252" t="n"/>
      <c r="N844" s="252" t="n"/>
      <c r="O844" s="244">
        <f>M844*N844</f>
        <v/>
      </c>
      <c r="P844" s="252" t="n"/>
      <c r="Q844" s="252" t="n"/>
      <c r="R844" s="252" t="n"/>
      <c r="S844" s="244">
        <f>Q844*R844</f>
        <v/>
      </c>
    </row>
    <row r="845" ht="22.2" customHeight="1" s="330">
      <c r="A845" s="4" t="n"/>
      <c r="E845" s="4" t="n"/>
      <c r="G845" s="308" t="inlineStr">
        <is>
          <t>พุธ</t>
        </is>
      </c>
      <c r="H845" s="332" t="inlineStr">
        <is>
          <t>20101-2005</t>
        </is>
      </c>
      <c r="I845" s="325" t="inlineStr">
        <is>
          <t>ปวช.2/3 ชย. (ปกติ)</t>
        </is>
      </c>
      <c r="J845" s="332" t="inlineStr">
        <is>
          <t>08.10-12.10</t>
        </is>
      </c>
      <c r="K845" s="335" t="n"/>
      <c r="L845" s="265" t="n"/>
      <c r="M845" s="332" t="n"/>
      <c r="N845" s="332" t="n"/>
      <c r="O845" s="244">
        <f>M845*N845</f>
        <v/>
      </c>
      <c r="P845" s="332" t="n"/>
      <c r="Q845" s="265" t="n"/>
      <c r="R845" s="332" t="n"/>
      <c r="S845" s="244">
        <f>Q845*R845</f>
        <v/>
      </c>
    </row>
    <row r="846" ht="22.2" customHeight="1" s="330">
      <c r="A846" s="4" t="n"/>
      <c r="B846" s="248" t="n"/>
      <c r="C846" s="249" t="n"/>
      <c r="D846" s="249" t="n"/>
      <c r="E846" s="252" t="n"/>
      <c r="G846" s="308">
        <f>G800</f>
        <v/>
      </c>
      <c r="H846" s="325" t="inlineStr">
        <is>
          <t>20101-2005</t>
        </is>
      </c>
      <c r="I846" s="325" t="inlineStr">
        <is>
          <t>ปวช.2/3 ชย. (ปกติ)</t>
        </is>
      </c>
      <c r="J846" s="252" t="inlineStr">
        <is>
          <t>13.10-16.10</t>
        </is>
      </c>
      <c r="K846" s="331" t="n"/>
      <c r="L846" s="252" t="n"/>
      <c r="M846" s="252" t="n"/>
      <c r="N846" s="252" t="n"/>
      <c r="O846" s="244">
        <f>M846*N846</f>
        <v/>
      </c>
      <c r="P846" s="252" t="n"/>
      <c r="Q846" s="252" t="n"/>
      <c r="R846" s="252" t="n"/>
      <c r="S846" s="244">
        <f>Q846*R846</f>
        <v/>
      </c>
    </row>
    <row r="847" ht="22.2" customHeight="1" s="330">
      <c r="A847" s="4" t="n"/>
      <c r="B847" s="5" t="n"/>
      <c r="D847" s="3" t="n"/>
      <c r="E847" s="3" t="n"/>
      <c r="G847" s="252" t="n"/>
      <c r="H847" s="248" t="n"/>
      <c r="I847" s="325" t="n"/>
      <c r="J847" s="252" t="n"/>
      <c r="K847" s="331" t="n"/>
      <c r="L847" s="252" t="n"/>
      <c r="M847" s="252" t="n"/>
      <c r="N847" s="252" t="n"/>
      <c r="O847" s="244">
        <f>M847*N847</f>
        <v/>
      </c>
      <c r="P847" s="252" t="n"/>
      <c r="Q847" s="252" t="n"/>
      <c r="R847" s="252" t="n"/>
      <c r="S847" s="244">
        <f>Q847*R847</f>
        <v/>
      </c>
    </row>
    <row r="848" ht="22.2" customHeight="1" s="330">
      <c r="A848" s="4" t="n"/>
      <c r="E848" s="4" t="n"/>
      <c r="G848" s="248" t="n"/>
      <c r="H848" s="248" t="n"/>
      <c r="I848" s="252" t="n"/>
      <c r="J848" s="252" t="n"/>
      <c r="K848" s="331" t="n"/>
      <c r="L848" s="252" t="n"/>
      <c r="M848" s="252" t="n"/>
      <c r="N848" s="252" t="n"/>
      <c r="O848" s="244">
        <f>M848*N848</f>
        <v/>
      </c>
      <c r="P848" s="252" t="n"/>
      <c r="Q848" s="252" t="n"/>
      <c r="R848" s="252" t="n"/>
      <c r="S848" s="244">
        <f>Q848*R848</f>
        <v/>
      </c>
    </row>
    <row r="849" ht="22.2" customHeight="1" s="330">
      <c r="A849" s="4" t="n"/>
      <c r="E849" s="4" t="n"/>
      <c r="G849" s="277" t="n"/>
      <c r="H849" s="277" t="n"/>
      <c r="I849" s="276" t="n"/>
      <c r="J849" s="276" t="n"/>
      <c r="K849" s="476" t="n"/>
      <c r="L849" s="276" t="n"/>
      <c r="M849" s="276" t="n"/>
      <c r="N849" s="276" t="n"/>
      <c r="O849" s="244">
        <f>M849*N849</f>
        <v/>
      </c>
      <c r="P849" s="276" t="n"/>
      <c r="Q849" s="276" t="n"/>
      <c r="R849" s="276" t="n"/>
      <c r="S849" s="244">
        <f>Q849*R849</f>
        <v/>
      </c>
    </row>
    <row r="850" ht="22.2" customHeight="1" s="330">
      <c r="A850" s="4" t="n"/>
      <c r="E850" s="4" t="n"/>
      <c r="G850" s="62" t="inlineStr">
        <is>
          <t>พฤหัส</t>
        </is>
      </c>
      <c r="H850" s="332" t="inlineStr">
        <is>
          <t>20101-2110</t>
        </is>
      </c>
      <c r="I850" s="325" t="inlineStr">
        <is>
          <t>ปวช.3/1 ชย. (ปกติ)</t>
        </is>
      </c>
      <c r="J850" s="332" t="inlineStr">
        <is>
          <t>08.10-12.10</t>
        </is>
      </c>
      <c r="K850" s="335" t="n"/>
      <c r="L850" s="265" t="n"/>
      <c r="M850" s="252" t="n"/>
      <c r="N850" s="252" t="n"/>
      <c r="O850" s="244">
        <f>M850*N850</f>
        <v/>
      </c>
      <c r="P850" s="252" t="n"/>
      <c r="Q850" s="275" t="n"/>
      <c r="R850" s="275" t="n"/>
      <c r="S850" s="244">
        <f>Q850*R850</f>
        <v/>
      </c>
      <c r="T850" s="25" t="n"/>
      <c r="U850" s="26" t="inlineStr">
        <is>
          <t xml:space="preserve">     PLC</t>
        </is>
      </c>
      <c r="V850" s="64" t="n"/>
      <c r="W850" s="27" t="n"/>
      <c r="X850" s="27" t="n"/>
    </row>
    <row r="851" ht="22.2" customHeight="1" s="330">
      <c r="A851" s="4" t="n"/>
      <c r="E851" s="4" t="n"/>
      <c r="G851" s="308">
        <f>G805</f>
        <v/>
      </c>
      <c r="H851" s="325" t="inlineStr">
        <is>
          <t>20101-2005</t>
        </is>
      </c>
      <c r="I851" s="325" t="inlineStr">
        <is>
          <t>ปวช.3/3,4 ชย. (ปกติ)</t>
        </is>
      </c>
      <c r="J851" s="252" t="inlineStr">
        <is>
          <t>13.10-15.10</t>
        </is>
      </c>
      <c r="K851" s="331" t="n"/>
      <c r="L851" s="252" t="n"/>
      <c r="M851" s="252" t="n"/>
      <c r="N851" s="252" t="n"/>
      <c r="O851" s="244">
        <f>M851*N851</f>
        <v/>
      </c>
      <c r="P851" s="252" t="n"/>
      <c r="Q851" s="252" t="n"/>
      <c r="R851" s="252" t="n"/>
      <c r="S851" s="244">
        <f>Q851*R851</f>
        <v/>
      </c>
      <c r="T851" s="27" t="inlineStr">
        <is>
          <t> </t>
        </is>
      </c>
      <c r="U851" s="26" t="inlineStr">
        <is>
          <t>17.10-19.10</t>
        </is>
      </c>
      <c r="V851" s="64" t="n"/>
      <c r="W851" s="27" t="n"/>
      <c r="X851" s="27" t="n"/>
    </row>
    <row r="852" ht="22.2" customHeight="1" s="330">
      <c r="A852" s="4" t="n"/>
      <c r="B852" s="5" t="n"/>
      <c r="E852" s="4" t="n"/>
      <c r="G852" s="252" t="n"/>
      <c r="H852" s="325" t="n"/>
      <c r="I852" s="325" t="n"/>
      <c r="J852" s="252" t="n"/>
      <c r="K852" s="331" t="n"/>
      <c r="L852" s="252" t="n"/>
      <c r="M852" s="325" t="n"/>
      <c r="N852" s="325" t="n"/>
      <c r="O852" s="244">
        <f>M852*N852</f>
        <v/>
      </c>
      <c r="P852" s="325" t="n"/>
      <c r="Q852" s="325" t="n"/>
      <c r="R852" s="325" t="n"/>
      <c r="S852" s="244">
        <f>Q852*R852</f>
        <v/>
      </c>
    </row>
    <row r="853" ht="22.2" customHeight="1" s="330">
      <c r="A853" s="4" t="n"/>
      <c r="E853" s="4" t="n"/>
      <c r="G853" s="252" t="n"/>
      <c r="H853" s="252" t="n"/>
      <c r="I853" s="252" t="n"/>
      <c r="J853" s="252" t="n"/>
      <c r="K853" s="331" t="n"/>
      <c r="L853" s="252" t="n"/>
      <c r="M853" s="252" t="n"/>
      <c r="N853" s="252" t="n"/>
      <c r="O853" s="244">
        <f>M853*N853</f>
        <v/>
      </c>
      <c r="P853" s="252" t="n"/>
      <c r="Q853" s="252" t="n"/>
      <c r="R853" s="252" t="n"/>
      <c r="S853" s="244">
        <f>Q853*R853</f>
        <v/>
      </c>
    </row>
    <row r="854" ht="22.2" customHeight="1" s="330">
      <c r="A854" s="4" t="n"/>
      <c r="E854" s="4" t="n"/>
      <c r="G854" s="276" t="n"/>
      <c r="H854" s="301" t="n"/>
      <c r="I854" s="276" t="n"/>
      <c r="J854" s="276" t="n"/>
      <c r="K854" s="476" t="n"/>
      <c r="L854" s="276" t="n"/>
      <c r="M854" s="276" t="n"/>
      <c r="N854" s="276" t="n"/>
      <c r="O854" s="244">
        <f>M854*N854</f>
        <v/>
      </c>
      <c r="P854" s="276" t="n"/>
      <c r="Q854" s="276" t="n"/>
      <c r="R854" s="276" t="n"/>
      <c r="S854" s="244">
        <f>Q854*R854</f>
        <v/>
      </c>
    </row>
    <row r="855" ht="22.2" customHeight="1" s="330">
      <c r="A855" s="4" t="n"/>
      <c r="E855" s="4" t="n"/>
      <c r="G855" s="62" t="inlineStr">
        <is>
          <t>ศุกร์</t>
        </is>
      </c>
      <c r="H855" s="332" t="inlineStr">
        <is>
          <t>20101-2005</t>
        </is>
      </c>
      <c r="I855" s="325" t="inlineStr">
        <is>
          <t>ปวช.2/1 ชย. (ปกติ)</t>
        </is>
      </c>
      <c r="J855" s="332" t="inlineStr">
        <is>
          <t>08.10-12.10</t>
        </is>
      </c>
      <c r="K855" s="335" t="n"/>
      <c r="L855" s="252" t="n"/>
      <c r="M855" s="332" t="n"/>
      <c r="N855" s="332" t="n"/>
      <c r="O855" s="244">
        <f>M855*N855</f>
        <v/>
      </c>
      <c r="P855" s="332" t="n"/>
      <c r="Q855" s="265" t="n"/>
      <c r="R855" s="332" t="n"/>
      <c r="S855" s="244">
        <f>Q855*R855</f>
        <v/>
      </c>
    </row>
    <row r="856" ht="22.2" customHeight="1" s="330">
      <c r="A856" s="4" t="n"/>
      <c r="E856" s="4" t="n"/>
      <c r="G856" s="308">
        <f>G810</f>
        <v/>
      </c>
      <c r="H856" s="325" t="inlineStr">
        <is>
          <t>20101-2005</t>
        </is>
      </c>
      <c r="I856" s="325" t="inlineStr">
        <is>
          <t>ปวช.2/1 ชย. (ปกติ)</t>
        </is>
      </c>
      <c r="J856" s="252" t="inlineStr">
        <is>
          <t>13.10-16.10</t>
        </is>
      </c>
      <c r="K856" s="331" t="n"/>
      <c r="L856" s="252" t="n"/>
      <c r="M856" s="252" t="n"/>
      <c r="N856" s="252" t="n"/>
      <c r="O856" s="244">
        <f>M856*N856</f>
        <v/>
      </c>
      <c r="P856" s="252" t="n"/>
      <c r="Q856" s="252" t="n"/>
      <c r="R856" s="252" t="n"/>
      <c r="S856" s="244">
        <f>Q856*R856</f>
        <v/>
      </c>
    </row>
    <row r="857" ht="22.2" customHeight="1" s="330">
      <c r="A857" s="4" t="n"/>
      <c r="E857" s="4" t="n"/>
      <c r="G857" s="252" t="n"/>
      <c r="H857" s="248" t="n"/>
      <c r="I857" s="252" t="n"/>
      <c r="J857" s="252" t="n"/>
      <c r="K857" s="331" t="n"/>
      <c r="L857" s="252" t="n"/>
      <c r="M857" s="252" t="n"/>
      <c r="N857" s="252" t="n"/>
      <c r="O857" s="244">
        <f>M857*N857</f>
        <v/>
      </c>
      <c r="P857" s="252" t="n"/>
      <c r="Q857" s="252" t="n"/>
      <c r="R857" s="252" t="n"/>
      <c r="S857" s="244">
        <f>Q857*R857</f>
        <v/>
      </c>
    </row>
    <row r="858" ht="22.2" customHeight="1" s="330">
      <c r="A858" s="4" t="n"/>
      <c r="E858" s="4" t="n"/>
      <c r="G858" s="252" t="n"/>
      <c r="H858" s="249" t="inlineStr">
        <is>
          <t> </t>
        </is>
      </c>
      <c r="I858" s="252" t="n"/>
      <c r="J858" s="252" t="n"/>
      <c r="K858" s="331" t="n"/>
      <c r="L858" s="252" t="n"/>
      <c r="M858" s="252" t="n"/>
      <c r="N858" s="252" t="n"/>
      <c r="O858" s="244">
        <f>M858*N858</f>
        <v/>
      </c>
      <c r="P858" s="252" t="n"/>
      <c r="Q858" s="252" t="n"/>
      <c r="R858" s="252" t="n"/>
      <c r="S858" s="244">
        <f>Q858*R858</f>
        <v/>
      </c>
    </row>
    <row r="859" ht="22.2" customHeight="1" s="330">
      <c r="A859" s="4" t="n"/>
      <c r="E859" s="4" t="n"/>
      <c r="F859" s="4" t="n"/>
      <c r="G859" s="278" t="n"/>
      <c r="H859" s="301" t="n"/>
      <c r="I859" s="276" t="n"/>
      <c r="J859" s="276" t="n"/>
      <c r="K859" s="476" t="n"/>
      <c r="L859" s="276" t="n"/>
      <c r="M859" s="276" t="n"/>
      <c r="N859" s="276" t="n"/>
      <c r="O859" s="244">
        <f>M859*N859</f>
        <v/>
      </c>
      <c r="P859" s="276" t="n"/>
      <c r="Q859" s="276" t="n"/>
      <c r="R859" s="276" t="n"/>
      <c r="S859" s="244">
        <f>Q859*R859</f>
        <v/>
      </c>
    </row>
    <row r="860" ht="22.2" customHeight="1" s="330">
      <c r="A860" s="4" t="n"/>
      <c r="E860" s="4" t="n"/>
      <c r="F860" s="4" t="n"/>
      <c r="G860" s="17" t="inlineStr">
        <is>
          <t>รวมขั่วโมงที่สอนแยก ภาระงาน/ เกินภาระงาน</t>
        </is>
      </c>
      <c r="H860" s="467" t="n"/>
      <c r="I860" s="467" t="n"/>
      <c r="J860" s="467" t="n"/>
      <c r="K860" s="362" t="n"/>
      <c r="L860" s="17">
        <f>SUM(L835:L859)</f>
        <v/>
      </c>
      <c r="M860" s="17">
        <f>SUM(M835:M859)</f>
        <v/>
      </c>
      <c r="N860" s="17" t="n"/>
      <c r="O860" s="17" t="n"/>
      <c r="P860" s="17">
        <f>SUM(P835:P859)</f>
        <v/>
      </c>
      <c r="Q860" s="17">
        <f>SUM(Q835:Q859)</f>
        <v/>
      </c>
      <c r="R860" s="279" t="n"/>
      <c r="S860" s="17" t="n"/>
    </row>
    <row r="861" ht="22.2" customHeight="1" s="330">
      <c r="A861" s="4" t="n"/>
      <c r="E861" s="4" t="n"/>
      <c r="F861" s="4" t="n"/>
      <c r="G861" s="17" t="inlineStr">
        <is>
          <t>รวมจำนวนชั่วโมงสอนคาบต่อสับดาห์</t>
        </is>
      </c>
      <c r="H861" s="467" t="n"/>
      <c r="I861" s="467" t="n"/>
      <c r="J861" s="467" t="n"/>
      <c r="K861" s="362" t="n"/>
      <c r="L861" s="17">
        <f>L860+M860</f>
        <v/>
      </c>
      <c r="M861" s="362" t="n"/>
      <c r="N861" s="298" t="n"/>
      <c r="O861" s="17" t="n"/>
      <c r="P861" s="17">
        <f>P860+Q860</f>
        <v/>
      </c>
      <c r="Q861" s="362" t="n"/>
      <c r="R861" s="278" t="n"/>
      <c r="S861" s="276" t="n"/>
    </row>
    <row r="862" ht="22.2" customHeight="1" s="330">
      <c r="A862" s="4" t="n"/>
      <c r="E862" s="4" t="n"/>
      <c r="F862" s="4" t="n"/>
      <c r="G862" s="17" t="inlineStr">
        <is>
          <t>จำนวนชั่วโมงสอนตามภาระงานสอน</t>
        </is>
      </c>
      <c r="H862" s="467" t="n"/>
      <c r="I862" s="467" t="n"/>
      <c r="J862" s="467" t="n"/>
      <c r="K862" s="362" t="n"/>
      <c r="L862" s="17" t="n">
        <v>12</v>
      </c>
      <c r="M862" s="362" t="n"/>
      <c r="N862" s="298" t="n"/>
      <c r="O862" s="17" t="n"/>
      <c r="P862" s="17" t="n">
        <v>0</v>
      </c>
      <c r="Q862" s="362" t="n"/>
      <c r="R862" s="249" t="n"/>
      <c r="S862" s="252" t="n"/>
    </row>
    <row r="863" ht="22.2" customHeight="1" s="330" thickBot="1">
      <c r="A863" s="4" t="n"/>
      <c r="E863" s="4" t="n"/>
      <c r="F863" s="15" t="n"/>
      <c r="G863" s="17" t="inlineStr">
        <is>
          <t>จำนวนชั่วโมงบิกเกินภาระงานสอน/ค่าสอน</t>
        </is>
      </c>
      <c r="H863" s="467" t="n"/>
      <c r="I863" s="467" t="n"/>
      <c r="J863" s="467" t="n"/>
      <c r="K863" s="362" t="n"/>
      <c r="L863" s="18" t="n">
        <v>0</v>
      </c>
      <c r="M863" s="18">
        <f>SUM(M835:M859)</f>
        <v/>
      </c>
      <c r="N863" s="18" t="n"/>
      <c r="O863" s="18">
        <f>SUM(O835:O859)</f>
        <v/>
      </c>
      <c r="P863" s="18" t="n">
        <v>0</v>
      </c>
      <c r="Q863" s="18">
        <f>SUM(Q835:Q859)</f>
        <v/>
      </c>
      <c r="R863" s="19" t="n"/>
      <c r="S863" s="18">
        <f>SUM(S835:S859)</f>
        <v/>
      </c>
    </row>
    <row r="864" ht="22.2" customHeight="1" s="330" thickTop="1">
      <c r="A864" s="299" t="inlineStr">
        <is>
          <t>รวมจำนวนหน่วยชั่วโมงที่ขอเบิกค่าสอน ….</t>
        </is>
      </c>
      <c r="B864" s="467" t="n"/>
      <c r="C864" s="467" t="n"/>
      <c r="D864" s="467" t="n"/>
      <c r="E864" s="467" t="n"/>
      <c r="F864" s="467" t="n"/>
      <c r="G864" s="467" t="n"/>
      <c r="H864" s="298">
        <f>M863+Q863</f>
        <v/>
      </c>
      <c r="I864" s="298" t="inlineStr">
        <is>
          <t>….ชั่วโมง</t>
        </is>
      </c>
      <c r="J864" s="298" t="n"/>
      <c r="K864" s="301" t="inlineStr">
        <is>
          <t>ยอดเงินรวม</t>
        </is>
      </c>
      <c r="L864" s="471" t="n"/>
      <c r="M864" s="471" t="n"/>
      <c r="N864" s="301" t="n"/>
      <c r="O864" s="301" t="n"/>
      <c r="P864" s="302">
        <f>S863+O863</f>
        <v/>
      </c>
      <c r="Q864" s="482" t="n"/>
      <c r="R864" s="21" t="n"/>
      <c r="S864" s="20" t="inlineStr">
        <is>
          <t>..บาท</t>
        </is>
      </c>
    </row>
    <row r="865" ht="22.2" customHeight="1" s="330">
      <c r="A865" s="207" t="inlineStr">
        <is>
          <t>ผู้ขอเบิก</t>
        </is>
      </c>
      <c r="B865" s="334" t="n"/>
      <c r="C865" s="334" t="n"/>
      <c r="D865" s="334" t="n"/>
      <c r="E865" s="334" t="n"/>
      <c r="F865" s="334" t="n"/>
      <c r="G865" s="335" t="n"/>
      <c r="H865" s="207" t="inlineStr">
        <is>
          <t>ผู้รับรอง</t>
        </is>
      </c>
      <c r="I865" s="334" t="n"/>
      <c r="J865" s="334" t="n"/>
      <c r="K865" s="334" t="n"/>
      <c r="L865" s="335" t="n"/>
      <c r="M865" s="207" t="inlineStr">
        <is>
          <t>ผู้ตรวจ</t>
        </is>
      </c>
      <c r="N865" s="334" t="n"/>
      <c r="O865" s="334" t="n"/>
      <c r="P865" s="334" t="n"/>
      <c r="Q865" s="334" t="n"/>
      <c r="R865" s="334" t="n"/>
      <c r="S865" s="335" t="n"/>
    </row>
    <row r="866" ht="22.2" customHeight="1" s="330">
      <c r="A866" s="252" t="inlineStr">
        <is>
          <t>ลงชื่อ……………………………………………</t>
        </is>
      </c>
      <c r="G866" s="331" t="n"/>
      <c r="H866" s="252" t="inlineStr">
        <is>
          <t>ลงชื่อ……………………………………………</t>
        </is>
      </c>
      <c r="L866" s="331" t="n"/>
      <c r="M866" s="252" t="inlineStr">
        <is>
          <t>ลงชื่อ……………………………………………</t>
        </is>
      </c>
      <c r="S866" s="331" t="n"/>
    </row>
    <row r="867" ht="22.2" customHeight="1" s="330">
      <c r="A867" s="12" t="inlineStr">
        <is>
          <t>(</t>
        </is>
      </c>
      <c r="B867" s="309">
        <f>B835</f>
        <v/>
      </c>
      <c r="G867" s="310" t="inlineStr">
        <is>
          <t>)</t>
        </is>
      </c>
      <c r="H867" s="309" t="inlineStr">
        <is>
          <t>(</t>
        </is>
      </c>
      <c r="I867" s="314">
        <f>I821</f>
        <v/>
      </c>
      <c r="L867" s="13" t="inlineStr">
        <is>
          <t>)</t>
        </is>
      </c>
      <c r="M867" s="61" t="inlineStr">
        <is>
          <t>(</t>
        </is>
      </c>
      <c r="N867" s="61" t="n"/>
      <c r="O867" s="309" t="inlineStr">
        <is>
          <t>นายพิสุทธิศักดิ์  กล่อมนาค</t>
        </is>
      </c>
      <c r="R867" s="29" t="n"/>
      <c r="S867" s="310" t="inlineStr">
        <is>
          <t>)</t>
        </is>
      </c>
    </row>
    <row r="868" ht="22.2" customHeight="1" s="330">
      <c r="A868" s="483" t="inlineStr">
        <is>
          <t xml:space="preserve">               ตำแหน่ง  พนักงานราชการ</t>
        </is>
      </c>
      <c r="G868" s="331" t="n"/>
      <c r="H868" s="62" t="inlineStr">
        <is>
          <t>ตำแหน่ง หัวหน้าแผนก</t>
        </is>
      </c>
      <c r="L868" s="331" t="n"/>
      <c r="M868" s="62" t="inlineStr">
        <is>
          <t>ตำแหน่ง   ผู้ตรวจสอบ</t>
        </is>
      </c>
      <c r="S868" s="331" t="n"/>
    </row>
    <row r="869" ht="22.2" customHeight="1" s="330">
      <c r="A869" s="63">
        <f>A41</f>
        <v/>
      </c>
      <c r="B869" s="471" t="n"/>
      <c r="C869" s="471" t="n"/>
      <c r="D869" s="471" t="n"/>
      <c r="E869" s="471" t="n"/>
      <c r="F869" s="471" t="n"/>
      <c r="G869" s="476" t="n"/>
      <c r="H869" s="62">
        <f>A41</f>
        <v/>
      </c>
      <c r="L869" s="331" t="n"/>
      <c r="M869" s="63">
        <f>A41</f>
        <v/>
      </c>
      <c r="N869" s="471" t="n"/>
      <c r="O869" s="471" t="n"/>
      <c r="P869" s="471" t="n"/>
      <c r="Q869" s="471" t="n"/>
      <c r="R869" s="471" t="n"/>
      <c r="S869" s="476" t="n"/>
    </row>
    <row r="870" ht="22.2" customHeight="1" s="330">
      <c r="A870" s="207" t="inlineStr">
        <is>
          <t>ผู้ตรวจ</t>
        </is>
      </c>
      <c r="B870" s="334" t="n"/>
      <c r="C870" s="334" t="n"/>
      <c r="D870" s="334" t="n"/>
      <c r="E870" s="334" t="n"/>
      <c r="F870" s="334" t="n"/>
      <c r="G870" s="334" t="n"/>
      <c r="H870" s="334" t="n"/>
      <c r="I870" s="335" t="n"/>
      <c r="J870" s="207" t="inlineStr">
        <is>
          <t>ผู้เห็นชอบ</t>
        </is>
      </c>
      <c r="K870" s="334" t="n"/>
      <c r="L870" s="334" t="n"/>
      <c r="M870" s="334" t="n"/>
      <c r="N870" s="334" t="n"/>
      <c r="O870" s="334" t="n"/>
      <c r="P870" s="334" t="n"/>
      <c r="Q870" s="334" t="n"/>
      <c r="R870" s="334" t="n"/>
      <c r="S870" s="335" t="n"/>
    </row>
    <row r="871" ht="22.2" customHeight="1" s="330">
      <c r="A871" s="252" t="inlineStr">
        <is>
          <t>ลงชื่อ……………………………………………</t>
        </is>
      </c>
      <c r="I871" s="331" t="n"/>
      <c r="J871" s="252" t="inlineStr">
        <is>
          <t>ลงชื่อ……………………………………………</t>
        </is>
      </c>
      <c r="S871" s="331" t="n"/>
    </row>
    <row r="872" ht="22.2" customHeight="1" s="330">
      <c r="A872" s="12" t="n"/>
      <c r="B872" s="309" t="inlineStr">
        <is>
          <t xml:space="preserve">          (นางศิวรักษ์   บุญประเสริฐ)</t>
        </is>
      </c>
      <c r="I872" s="310" t="n"/>
      <c r="J872" s="29" t="n"/>
      <c r="K872" s="29" t="n"/>
      <c r="L872" s="309" t="inlineStr">
        <is>
          <t>(นายปรีชา  โพธิ์เกิด)</t>
        </is>
      </c>
      <c r="R872" s="29" t="n"/>
      <c r="S872" s="13" t="n"/>
    </row>
    <row r="873" ht="22.2" customHeight="1" s="330">
      <c r="A873" s="62" t="inlineStr">
        <is>
          <t>ตำแหน่งครู  หัวหน้างานพัฒนาหลักสูตร ฯ</t>
        </is>
      </c>
      <c r="I873" s="331" t="n"/>
      <c r="J873" s="62" t="inlineStr">
        <is>
          <t>ตำแหน่ง  รองผู้อำนวยการฝ่ายวิชาการ</t>
        </is>
      </c>
      <c r="S873" s="331" t="n"/>
    </row>
    <row r="874" ht="22.2" customHeight="1" s="330">
      <c r="A874" s="63">
        <f>A41</f>
        <v/>
      </c>
      <c r="B874" s="471" t="n"/>
      <c r="C874" s="471" t="n"/>
      <c r="D874" s="471" t="n"/>
      <c r="E874" s="471" t="n"/>
      <c r="F874" s="471" t="n"/>
      <c r="G874" s="471" t="n"/>
      <c r="H874" s="471" t="n"/>
      <c r="I874" s="476" t="n"/>
      <c r="J874" s="63">
        <f>A41</f>
        <v/>
      </c>
      <c r="K874" s="471" t="n"/>
      <c r="L874" s="471" t="n"/>
      <c r="M874" s="471" t="n"/>
      <c r="N874" s="471" t="n"/>
      <c r="O874" s="471" t="n"/>
      <c r="P874" s="471" t="n"/>
      <c r="Q874" s="471" t="n"/>
      <c r="R874" s="471" t="n"/>
      <c r="S874" s="476" t="n"/>
    </row>
    <row r="875" ht="22.2" customHeight="1" s="330">
      <c r="A87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876" ht="22.2" customHeight="1" s="330">
      <c r="A876" s="254">
        <f>A2</f>
        <v/>
      </c>
    </row>
    <row r="877" ht="22.2" customHeight="1" s="330">
      <c r="A877" s="253" t="inlineStr">
        <is>
          <t xml:space="preserve">    ระหว่างวันที่</t>
        </is>
      </c>
      <c r="D877" s="254">
        <f>D3</f>
        <v/>
      </c>
      <c r="E877" s="254" t="inlineStr">
        <is>
          <t xml:space="preserve">   เดือน  </t>
        </is>
      </c>
      <c r="F877" s="254">
        <f>F3</f>
        <v/>
      </c>
      <c r="H877" s="254">
        <f>H3</f>
        <v/>
      </c>
      <c r="I877" s="254" t="inlineStr">
        <is>
          <t xml:space="preserve">     ถึง วันที่</t>
        </is>
      </c>
      <c r="J877" s="254">
        <f>J3</f>
        <v/>
      </c>
      <c r="K877" s="254" t="inlineStr">
        <is>
          <t xml:space="preserve">   เดือน </t>
        </is>
      </c>
      <c r="L877" s="254">
        <f>L3</f>
        <v/>
      </c>
      <c r="N877" s="254">
        <f>N3</f>
        <v/>
      </c>
      <c r="P877" s="254" t="n"/>
      <c r="R877" s="254" t="n"/>
    </row>
    <row r="878" ht="22.2" customHeight="1" s="330">
      <c r="G878" s="58" t="inlineStr">
        <is>
          <t>ü</t>
        </is>
      </c>
      <c r="H878" s="8" t="inlineStr">
        <is>
          <t>ครูพิเศษ</t>
        </is>
      </c>
      <c r="I878" s="249" t="inlineStr">
        <is>
          <t>หน้าที่พิเศษ</t>
        </is>
      </c>
      <c r="K878" s="290" t="n"/>
    </row>
    <row r="879" ht="22.2" customHeight="1" s="330">
      <c r="A879" s="28" t="inlineStr">
        <is>
          <t>ที่</t>
        </is>
      </c>
      <c r="B879" s="28" t="inlineStr">
        <is>
          <t>ชื่อ-สกุล</t>
        </is>
      </c>
      <c r="C879" s="334" t="n"/>
      <c r="D879" s="335" t="n"/>
      <c r="E879" s="16" t="inlineStr">
        <is>
          <t>ตำแหน่ง</t>
        </is>
      </c>
      <c r="F879" s="17" t="inlineStr">
        <is>
          <t>ระยะเวลาที่สอน</t>
        </is>
      </c>
      <c r="G879" s="362" t="n"/>
      <c r="H879" s="17" t="inlineStr">
        <is>
          <t>รหัสวิชา</t>
        </is>
      </c>
      <c r="I879" s="275" t="inlineStr">
        <is>
          <t>ชั้น,แผนก,ห้อง</t>
        </is>
      </c>
      <c r="J879" s="17" t="inlineStr">
        <is>
          <t>เวลาสอน</t>
        </is>
      </c>
      <c r="K879" s="335" t="n"/>
      <c r="L879" s="17" t="inlineStr">
        <is>
          <t>ปวช.(คาบ)</t>
        </is>
      </c>
      <c r="M879" s="362" t="n"/>
      <c r="N879" s="244" t="inlineStr">
        <is>
          <t>เงิน</t>
        </is>
      </c>
      <c r="O879" s="275" t="inlineStr">
        <is>
          <t>ยอดเงิน</t>
        </is>
      </c>
      <c r="P879" s="473" t="inlineStr">
        <is>
          <t>ปวส.(คาบ)</t>
        </is>
      </c>
      <c r="Q879" s="362" t="n"/>
      <c r="R879" s="244" t="inlineStr">
        <is>
          <t>เงิน</t>
        </is>
      </c>
      <c r="S879" s="275" t="inlineStr">
        <is>
          <t>ยอดเงิน</t>
        </is>
      </c>
    </row>
    <row r="880" ht="22.2" customHeight="1" s="330">
      <c r="A880" s="60" t="n"/>
      <c r="B880" s="9" t="n"/>
      <c r="C880" s="10" t="n"/>
      <c r="D880" s="14" t="n"/>
      <c r="E880" s="11" t="n"/>
      <c r="F880" s="276" t="inlineStr">
        <is>
          <t>ส.</t>
        </is>
      </c>
      <c r="G880" s="276" t="inlineStr">
        <is>
          <t>วดป.</t>
        </is>
      </c>
      <c r="H880" s="474" t="n"/>
      <c r="I880" s="276" t="n"/>
      <c r="J880" s="475" t="n"/>
      <c r="K880" s="476" t="n"/>
      <c r="L880" s="276" t="inlineStr">
        <is>
          <t>ใน</t>
        </is>
      </c>
      <c r="M880" s="276" t="inlineStr">
        <is>
          <t>นอก</t>
        </is>
      </c>
      <c r="N880" s="276" t="inlineStr">
        <is>
          <t>ต่อ ชม.</t>
        </is>
      </c>
      <c r="O880" s="276" t="inlineStr">
        <is>
          <t>(บาท)</t>
        </is>
      </c>
      <c r="P880" s="60" t="inlineStr">
        <is>
          <t>ใน</t>
        </is>
      </c>
      <c r="Q880" s="60" t="inlineStr">
        <is>
          <t>นอก</t>
        </is>
      </c>
      <c r="R880" s="276" t="inlineStr">
        <is>
          <t>ต่อ ชม.</t>
        </is>
      </c>
      <c r="S880" s="276" t="inlineStr">
        <is>
          <t>(บาท)</t>
        </is>
      </c>
    </row>
    <row r="881" ht="22.2" customHeight="1" s="330">
      <c r="A881" s="275" t="n">
        <v>20</v>
      </c>
      <c r="B881" s="477">
        <f>AB22</f>
        <v/>
      </c>
      <c r="C881" s="334" t="n"/>
      <c r="D881" s="335" t="n"/>
      <c r="E881" s="275" t="inlineStr">
        <is>
          <t>ครู</t>
        </is>
      </c>
      <c r="F881" s="6">
        <f>F7</f>
        <v/>
      </c>
      <c r="G881" s="303" t="inlineStr">
        <is>
          <t>จันทร์</t>
        </is>
      </c>
      <c r="H881" s="332" t="inlineStr">
        <is>
          <t>20101-2404</t>
        </is>
      </c>
      <c r="I881" s="325" t="inlineStr">
        <is>
          <t>ปวช.3/3 ชย. (ปกติ)</t>
        </is>
      </c>
      <c r="J881" s="332" t="inlineStr">
        <is>
          <t>08.10-12.10</t>
        </is>
      </c>
      <c r="K881" s="335" t="n"/>
      <c r="L881" s="265" t="n"/>
      <c r="M881" s="332" t="n"/>
      <c r="N881" s="332" t="n"/>
      <c r="O881" s="244">
        <f>M881*N881</f>
        <v/>
      </c>
      <c r="P881" s="332" t="n"/>
      <c r="Q881" s="265" t="n"/>
      <c r="R881" s="332" t="n"/>
      <c r="S881" s="244">
        <f>Q881*R881</f>
        <v/>
      </c>
    </row>
    <row r="882" ht="22.2" customHeight="1" s="330">
      <c r="A882" s="4" t="n"/>
      <c r="B882" s="478" t="n"/>
      <c r="D882" s="331" t="n"/>
      <c r="E882" s="252" t="inlineStr">
        <is>
          <t>พิเศษ</t>
        </is>
      </c>
      <c r="F882" s="249" t="n"/>
      <c r="G882" s="74">
        <f>G8</f>
        <v/>
      </c>
      <c r="H882" s="325" t="inlineStr">
        <is>
          <t>20101-2404</t>
        </is>
      </c>
      <c r="I882" s="325" t="inlineStr">
        <is>
          <t>ปวช.3/3 ชย. (ปกติ)</t>
        </is>
      </c>
      <c r="J882" s="252" t="inlineStr">
        <is>
          <t>13.10-16.10</t>
        </is>
      </c>
      <c r="K882" s="331" t="n"/>
      <c r="L882" s="252" t="n"/>
      <c r="M882" s="252" t="n"/>
      <c r="N882" s="252" t="n"/>
      <c r="O882" s="244">
        <f>M882*N882</f>
        <v/>
      </c>
      <c r="P882" s="252" t="n"/>
      <c r="Q882" s="252" t="n"/>
      <c r="R882" s="252" t="n"/>
      <c r="S882" s="244">
        <f>Q882*R882</f>
        <v/>
      </c>
    </row>
    <row r="883" ht="22.2" customHeight="1" s="330">
      <c r="A883" s="4" t="n"/>
      <c r="B883" s="5" t="n"/>
      <c r="D883" s="3" t="n"/>
      <c r="E883" s="3" t="n"/>
      <c r="F883" s="249" t="n"/>
      <c r="G883" s="248" t="n"/>
      <c r="H883" s="325" t="n"/>
      <c r="I883" s="325" t="n"/>
      <c r="J883" s="252" t="n"/>
      <c r="K883" s="331" t="n"/>
      <c r="L883" s="252" t="n"/>
      <c r="M883" s="252" t="n"/>
      <c r="N883" s="252" t="n"/>
      <c r="O883" s="244">
        <f>M883*N883</f>
        <v/>
      </c>
      <c r="P883" s="252" t="n"/>
      <c r="Q883" s="252" t="n"/>
      <c r="R883" s="252" t="n"/>
      <c r="S883" s="244">
        <f>Q883*R883</f>
        <v/>
      </c>
    </row>
    <row r="884" ht="22.2" customHeight="1" s="330">
      <c r="A884" s="4" t="n"/>
      <c r="B884" s="5" t="n"/>
      <c r="E884" s="4" t="n"/>
      <c r="F884" s="249" t="n"/>
      <c r="G884" s="248" t="n"/>
      <c r="H884" s="252" t="n"/>
      <c r="I884" s="252" t="n"/>
      <c r="J884" s="252" t="n"/>
      <c r="K884" s="331" t="n"/>
      <c r="L884" s="252" t="n"/>
      <c r="M884" s="252" t="n"/>
      <c r="N884" s="252" t="n"/>
      <c r="O884" s="244">
        <f>M884*N884</f>
        <v/>
      </c>
      <c r="P884" s="252" t="n"/>
      <c r="Q884" s="252" t="n"/>
      <c r="R884" s="252" t="n"/>
      <c r="S884" s="244">
        <f>Q884*R884</f>
        <v/>
      </c>
    </row>
    <row r="885" ht="22.2" customHeight="1" s="330">
      <c r="A885" s="4" t="n"/>
      <c r="E885" s="4" t="n"/>
      <c r="G885" s="311" t="n"/>
      <c r="H885" s="276" t="n"/>
      <c r="I885" s="276" t="n"/>
      <c r="J885" s="276" t="n"/>
      <c r="K885" s="476" t="n"/>
      <c r="L885" s="252" t="n"/>
      <c r="M885" s="252" t="n"/>
      <c r="N885" s="252" t="n"/>
      <c r="O885" s="244">
        <f>M885*N885</f>
        <v/>
      </c>
      <c r="P885" s="252" t="n"/>
      <c r="Q885" s="252" t="n"/>
      <c r="R885" s="252" t="n"/>
      <c r="S885" s="244">
        <f>Q885*R885</f>
        <v/>
      </c>
    </row>
    <row r="886" ht="22.2" customHeight="1" s="330">
      <c r="A886" s="4" t="n"/>
      <c r="E886" s="4" t="n"/>
      <c r="G886" s="62" t="inlineStr">
        <is>
          <t>อังคาร</t>
        </is>
      </c>
      <c r="H886" s="325" t="inlineStr">
        <is>
          <t>20101-2404</t>
        </is>
      </c>
      <c r="I886" s="325" t="inlineStr">
        <is>
          <t>ปวช.3/4 ชย. (ปกติ)</t>
        </is>
      </c>
      <c r="J886" s="332" t="inlineStr">
        <is>
          <t>08.10-12.10</t>
        </is>
      </c>
      <c r="K886" s="335" t="n"/>
      <c r="L886" s="265" t="n"/>
      <c r="M886" s="332" t="n"/>
      <c r="N886" s="332" t="n"/>
      <c r="O886" s="244">
        <f>M886*N886</f>
        <v/>
      </c>
      <c r="P886" s="332" t="n"/>
      <c r="Q886" s="265" t="n"/>
      <c r="R886" s="332" t="n"/>
      <c r="S886" s="244">
        <f>Q886*R886</f>
        <v/>
      </c>
    </row>
    <row r="887" ht="22.2" customHeight="1" s="330">
      <c r="A887" s="4" t="n"/>
      <c r="E887" s="4" t="n"/>
      <c r="G887" s="74">
        <f>G13</f>
        <v/>
      </c>
      <c r="H887" s="325" t="inlineStr">
        <is>
          <t>20101-2404</t>
        </is>
      </c>
      <c r="I887" s="325" t="inlineStr">
        <is>
          <t>ปวช.3/4 ชย. (ปกติ)</t>
        </is>
      </c>
      <c r="J887" s="252" t="inlineStr">
        <is>
          <t>13.10-16.10</t>
        </is>
      </c>
      <c r="K887" s="331" t="n"/>
      <c r="L887" s="252" t="n"/>
      <c r="M887" s="252" t="n"/>
      <c r="N887" s="252" t="n"/>
      <c r="O887" s="244">
        <f>M887*N887</f>
        <v/>
      </c>
      <c r="P887" s="252" t="n"/>
      <c r="Q887" s="252" t="n"/>
      <c r="R887" s="252" t="n"/>
      <c r="S887" s="244">
        <f>Q887*R887</f>
        <v/>
      </c>
    </row>
    <row r="888" ht="22.2" customHeight="1" s="330">
      <c r="A888" s="4" t="n"/>
      <c r="B888" s="5" t="n"/>
      <c r="D888" s="3" t="n"/>
      <c r="E888" s="3" t="n"/>
      <c r="G888" s="252" t="n"/>
      <c r="H888" s="325" t="n"/>
      <c r="I888" s="325" t="n"/>
      <c r="J888" s="252" t="n"/>
      <c r="K888" s="331" t="n"/>
      <c r="L888" s="252" t="n"/>
      <c r="M888" s="252" t="n"/>
      <c r="N888" s="252" t="n"/>
      <c r="O888" s="244">
        <f>M888*N888</f>
        <v/>
      </c>
      <c r="P888" s="252" t="n"/>
      <c r="Q888" s="252" t="n"/>
      <c r="R888" s="252" t="n"/>
      <c r="S888" s="244">
        <f>Q888*R888</f>
        <v/>
      </c>
    </row>
    <row r="889" ht="22.2" customHeight="1" s="330">
      <c r="A889" s="4" t="n"/>
      <c r="E889" s="4" t="n"/>
      <c r="G889" s="62" t="n"/>
      <c r="H889" s="249" t="n"/>
      <c r="I889" s="252" t="n"/>
      <c r="J889" s="252" t="n"/>
      <c r="K889" s="331" t="n"/>
      <c r="L889" s="252" t="n"/>
      <c r="M889" s="252" t="n"/>
      <c r="N889" s="252" t="n"/>
      <c r="O889" s="244">
        <f>M889*N889</f>
        <v/>
      </c>
      <c r="P889" s="252" t="n"/>
      <c r="Q889" s="252" t="n"/>
      <c r="R889" s="252" t="n"/>
      <c r="S889" s="244">
        <f>Q889*R889</f>
        <v/>
      </c>
    </row>
    <row r="890" ht="22.2" customHeight="1" s="330">
      <c r="A890" s="4" t="n"/>
      <c r="D890" s="8" t="inlineStr">
        <is>
          <t> </t>
        </is>
      </c>
      <c r="E890" s="4" t="n"/>
      <c r="G890" s="63" t="n"/>
      <c r="H890" s="276" t="n"/>
      <c r="I890" s="276" t="n"/>
      <c r="J890" s="276" t="n"/>
      <c r="K890" s="476" t="n"/>
      <c r="L890" s="276" t="n"/>
      <c r="M890" s="252" t="n"/>
      <c r="N890" s="252" t="n"/>
      <c r="O890" s="244">
        <f>M890*N890</f>
        <v/>
      </c>
      <c r="P890" s="252" t="n"/>
      <c r="Q890" s="252" t="n"/>
      <c r="R890" s="252" t="n"/>
      <c r="S890" s="244">
        <f>Q890*R890</f>
        <v/>
      </c>
    </row>
    <row r="891" ht="22.2" customHeight="1" s="330">
      <c r="A891" s="4" t="n"/>
      <c r="E891" s="4" t="n"/>
      <c r="G891" s="308" t="inlineStr">
        <is>
          <t>พุธ</t>
        </is>
      </c>
      <c r="H891" s="325" t="inlineStr">
        <is>
          <t>20101-8001</t>
        </is>
      </c>
      <c r="I891" s="325" t="inlineStr">
        <is>
          <t>ปวช.3/7 ชย. (ปกติ)</t>
        </is>
      </c>
      <c r="J891" s="332" t="inlineStr">
        <is>
          <t>08.10-12.10</t>
        </is>
      </c>
      <c r="K891" s="335" t="n"/>
      <c r="L891" s="252" t="n"/>
      <c r="M891" s="332" t="n"/>
      <c r="N891" s="332" t="n"/>
      <c r="O891" s="244">
        <f>M891*N891</f>
        <v/>
      </c>
      <c r="P891" s="209" t="n"/>
      <c r="Q891" s="209" t="n"/>
      <c r="R891" s="209" t="n"/>
      <c r="S891" s="244">
        <f>Q891*R891</f>
        <v/>
      </c>
    </row>
    <row r="892" ht="22.2" customHeight="1" s="330">
      <c r="A892" s="4" t="n"/>
      <c r="B892" s="248" t="n"/>
      <c r="C892" s="249" t="n"/>
      <c r="D892" s="249" t="n"/>
      <c r="E892" s="252" t="n"/>
      <c r="G892" s="74">
        <f>G18</f>
        <v/>
      </c>
      <c r="H892" s="325" t="n"/>
      <c r="I892" s="325" t="n"/>
      <c r="J892" s="252" t="n"/>
      <c r="K892" s="331" t="n"/>
      <c r="L892" s="252" t="n"/>
      <c r="M892" s="252" t="n"/>
      <c r="N892" s="252" t="n"/>
      <c r="O892" s="244">
        <f>M892*N892</f>
        <v/>
      </c>
      <c r="P892" s="4" t="n"/>
      <c r="Q892" s="4" t="n"/>
      <c r="R892" s="4" t="n"/>
      <c r="S892" s="244">
        <f>Q892*R892</f>
        <v/>
      </c>
    </row>
    <row r="893" ht="22.2" customHeight="1" s="330">
      <c r="A893" s="4" t="n"/>
      <c r="B893" s="5" t="n"/>
      <c r="D893" s="3" t="n"/>
      <c r="E893" s="3" t="n"/>
      <c r="G893" s="252" t="n"/>
      <c r="H893" s="325" t="n"/>
      <c r="I893" s="325" t="n"/>
      <c r="J893" s="252" t="n"/>
      <c r="K893" s="331" t="n"/>
      <c r="L893" s="252" t="n"/>
      <c r="M893" s="252" t="n"/>
      <c r="N893" s="252" t="n"/>
      <c r="O893" s="244">
        <f>M893*N893</f>
        <v/>
      </c>
      <c r="P893" s="252" t="n"/>
      <c r="Q893" s="250" t="n"/>
      <c r="R893" s="252" t="n"/>
      <c r="S893" s="244">
        <f>Q893*R893</f>
        <v/>
      </c>
    </row>
    <row r="894" ht="22.2" customHeight="1" s="330">
      <c r="A894" s="4" t="n"/>
      <c r="E894" s="4" t="n"/>
      <c r="G894" s="248" t="n"/>
      <c r="H894" s="248" t="n"/>
      <c r="I894" s="252" t="n"/>
      <c r="J894" s="252" t="n"/>
      <c r="K894" s="331" t="n"/>
      <c r="L894" s="252" t="n"/>
      <c r="M894" s="252" t="n"/>
      <c r="N894" s="252" t="n"/>
      <c r="O894" s="244">
        <f>M894*N894</f>
        <v/>
      </c>
      <c r="P894" s="252" t="n"/>
      <c r="Q894" s="252" t="n"/>
      <c r="R894" s="252" t="n"/>
      <c r="S894" s="244">
        <f>Q894*R894</f>
        <v/>
      </c>
    </row>
    <row r="895" ht="22.2" customHeight="1" s="330">
      <c r="A895" s="4" t="n"/>
      <c r="E895" s="4" t="n"/>
      <c r="G895" s="277" t="n"/>
      <c r="H895" s="277" t="n"/>
      <c r="I895" s="276" t="n"/>
      <c r="J895" s="276" t="n"/>
      <c r="K895" s="476" t="n"/>
      <c r="L895" s="276" t="n"/>
      <c r="M895" s="276" t="n"/>
      <c r="N895" s="276" t="n"/>
      <c r="O895" s="244">
        <f>M895*N895</f>
        <v/>
      </c>
      <c r="P895" s="276" t="n"/>
      <c r="Q895" s="276" t="n"/>
      <c r="R895" s="276" t="n"/>
      <c r="S895" s="244">
        <f>Q895*R895</f>
        <v/>
      </c>
    </row>
    <row r="896" ht="22.2" customHeight="1" s="330">
      <c r="A896" s="4" t="n"/>
      <c r="E896" s="4" t="n"/>
      <c r="G896" s="62" t="inlineStr">
        <is>
          <t>พฤหัส</t>
        </is>
      </c>
      <c r="H896" s="325" t="inlineStr">
        <is>
          <t>20101-2404</t>
        </is>
      </c>
      <c r="I896" s="325" t="inlineStr">
        <is>
          <t>ปวช.3/2 ชย. (ปกติ)</t>
        </is>
      </c>
      <c r="J896" s="332" t="inlineStr">
        <is>
          <t>08.10-12.10</t>
        </is>
      </c>
      <c r="K896" s="335" t="n"/>
      <c r="L896" s="265" t="n"/>
      <c r="M896" s="332" t="n"/>
      <c r="N896" s="325" t="n"/>
      <c r="O896" s="244">
        <f>M896*N896</f>
        <v/>
      </c>
      <c r="P896" s="252" t="n"/>
      <c r="Q896" s="275" t="n"/>
      <c r="R896" s="275" t="n"/>
      <c r="S896" s="244">
        <f>Q896*R896</f>
        <v/>
      </c>
    </row>
    <row r="897" ht="22.2" customHeight="1" s="330">
      <c r="A897" s="4" t="n"/>
      <c r="E897" s="4" t="n"/>
      <c r="G897" s="74">
        <f>G23</f>
        <v/>
      </c>
      <c r="H897" s="325" t="inlineStr">
        <is>
          <t>20101-2404</t>
        </is>
      </c>
      <c r="I897" s="325" t="inlineStr">
        <is>
          <t>ปวช.3/2 ชย. (ปกติ)</t>
        </is>
      </c>
      <c r="J897" s="252" t="inlineStr">
        <is>
          <t>15.10-18.10</t>
        </is>
      </c>
      <c r="K897" s="331" t="n"/>
      <c r="L897" s="252" t="n"/>
      <c r="M897" s="252" t="n"/>
      <c r="N897" s="252" t="n"/>
      <c r="O897" s="244">
        <f>M897*N897</f>
        <v/>
      </c>
      <c r="P897" s="252" t="n"/>
      <c r="Q897" s="252" t="n"/>
      <c r="R897" s="252" t="n"/>
      <c r="S897" s="244">
        <f>Q897*R897</f>
        <v/>
      </c>
    </row>
    <row r="898" ht="22.2" customHeight="1" s="330">
      <c r="A898" s="4" t="n"/>
      <c r="B898" s="5" t="n"/>
      <c r="E898" s="4" t="n"/>
      <c r="G898" s="252" t="n"/>
      <c r="H898" s="325" t="n"/>
      <c r="I898" s="325" t="n"/>
      <c r="J898" s="252" t="n"/>
      <c r="K898" s="331" t="n"/>
      <c r="L898" s="252" t="n"/>
      <c r="M898" s="252" t="n"/>
      <c r="N898" s="252" t="n"/>
      <c r="O898" s="244">
        <f>M898*N898</f>
        <v/>
      </c>
      <c r="P898" s="325" t="n"/>
      <c r="Q898" s="325" t="n"/>
      <c r="R898" s="325" t="n"/>
      <c r="S898" s="244">
        <f>Q898*R898</f>
        <v/>
      </c>
    </row>
    <row r="899" ht="22.2" customHeight="1" s="330">
      <c r="A899" s="4" t="n"/>
      <c r="E899" s="4" t="n"/>
      <c r="G899" s="252" t="n"/>
      <c r="H899" s="252" t="n"/>
      <c r="I899" s="252" t="n"/>
      <c r="J899" s="252" t="n"/>
      <c r="K899" s="331" t="n"/>
      <c r="L899" s="252" t="n"/>
      <c r="M899" s="252" t="n"/>
      <c r="N899" s="252" t="n"/>
      <c r="O899" s="244">
        <f>M899*N899</f>
        <v/>
      </c>
      <c r="P899" s="252" t="n"/>
      <c r="Q899" s="252" t="n"/>
      <c r="R899" s="252" t="n"/>
      <c r="S899" s="244">
        <f>Q899*R899</f>
        <v/>
      </c>
    </row>
    <row r="900" ht="22.2" customHeight="1" s="330">
      <c r="A900" s="4" t="n"/>
      <c r="E900" s="4" t="n"/>
      <c r="G900" s="276" t="n"/>
      <c r="H900" s="301" t="n"/>
      <c r="I900" s="276" t="n"/>
      <c r="J900" s="276" t="n"/>
      <c r="K900" s="476" t="n"/>
      <c r="L900" s="276" t="n"/>
      <c r="M900" s="276" t="n"/>
      <c r="N900" s="276" t="n"/>
      <c r="O900" s="244">
        <f>M900*N900</f>
        <v/>
      </c>
      <c r="P900" s="276" t="n"/>
      <c r="Q900" s="276" t="n"/>
      <c r="R900" s="276" t="n"/>
      <c r="S900" s="244">
        <f>Q900*R900</f>
        <v/>
      </c>
    </row>
    <row r="901" ht="22.2" customHeight="1" s="330">
      <c r="A901" s="4" t="n"/>
      <c r="E901" s="4" t="n"/>
      <c r="G901" s="62" t="inlineStr">
        <is>
          <t>ศุกร์</t>
        </is>
      </c>
      <c r="H901" s="325" t="inlineStr">
        <is>
          <t>20101-2404</t>
        </is>
      </c>
      <c r="I901" s="325" t="inlineStr">
        <is>
          <t>ปวช.3/1 ชย. (ปกติ)</t>
        </is>
      </c>
      <c r="J901" s="332" t="inlineStr">
        <is>
          <t>08.10-12.10</t>
        </is>
      </c>
      <c r="K901" s="335" t="n"/>
      <c r="L901" s="265" t="n"/>
      <c r="M901" s="252" t="n"/>
      <c r="N901" s="252" t="n"/>
      <c r="O901" s="244">
        <f>M901*N901</f>
        <v/>
      </c>
      <c r="P901" s="332" t="n"/>
      <c r="Q901" s="265" t="n"/>
      <c r="R901" s="332" t="n"/>
      <c r="S901" s="244">
        <f>Q901*R901</f>
        <v/>
      </c>
    </row>
    <row r="902" ht="22.2" customHeight="1" s="330">
      <c r="A902" s="4" t="n"/>
      <c r="E902" s="4" t="n"/>
      <c r="G902" s="204">
        <f>G28</f>
        <v/>
      </c>
      <c r="H902" s="325" t="inlineStr">
        <is>
          <t>20101-2404</t>
        </is>
      </c>
      <c r="I902" s="325" t="inlineStr">
        <is>
          <t>ปวช.3/1 ชย. (ปกติ)</t>
        </is>
      </c>
      <c r="J902" s="252" t="inlineStr">
        <is>
          <t>13.10-16.10</t>
        </is>
      </c>
      <c r="K902" s="331" t="n"/>
      <c r="L902" s="252" t="n"/>
      <c r="M902" s="252" t="n"/>
      <c r="N902" s="252" t="n"/>
      <c r="O902" s="244">
        <f>M902*N902</f>
        <v/>
      </c>
      <c r="P902" s="252" t="n"/>
      <c r="Q902" s="252" t="n"/>
      <c r="R902" s="252" t="n"/>
      <c r="S902" s="244">
        <f>Q902*R902</f>
        <v/>
      </c>
    </row>
    <row r="903" ht="22.2" customHeight="1" s="330">
      <c r="A903" s="4" t="n"/>
      <c r="E903" s="4" t="n"/>
      <c r="G903" s="252" t="n"/>
      <c r="H903" s="56" t="n"/>
      <c r="I903" s="56" t="n"/>
      <c r="J903" s="331" t="n"/>
      <c r="K903" s="331" t="n"/>
      <c r="L903" s="252" t="n"/>
      <c r="M903" s="252" t="n"/>
      <c r="N903" s="252" t="n"/>
      <c r="O903" s="244">
        <f>M903*N903</f>
        <v/>
      </c>
      <c r="P903" s="252" t="n"/>
      <c r="Q903" s="252" t="n"/>
      <c r="R903" s="252" t="n"/>
      <c r="S903" s="244">
        <f>Q903*R903</f>
        <v/>
      </c>
    </row>
    <row r="904" ht="22.2" customHeight="1" s="330">
      <c r="A904" s="4" t="n"/>
      <c r="E904" s="4" t="n"/>
      <c r="G904" s="252" t="n"/>
      <c r="H904" s="56" t="n"/>
      <c r="I904" s="56" t="n"/>
      <c r="J904" s="331" t="n"/>
      <c r="K904" s="331" t="n"/>
      <c r="L904" s="252" t="n"/>
      <c r="M904" s="252" t="n"/>
      <c r="N904" s="252" t="n"/>
      <c r="O904" s="244">
        <f>M904*N904</f>
        <v/>
      </c>
      <c r="P904" s="252" t="n"/>
      <c r="Q904" s="252" t="n"/>
      <c r="R904" s="252" t="n"/>
      <c r="S904" s="244">
        <f>Q904*R904</f>
        <v/>
      </c>
    </row>
    <row r="905" ht="22.2" customHeight="1" s="330">
      <c r="A905" s="4" t="n"/>
      <c r="E905" s="4" t="n"/>
      <c r="F905" s="4" t="n"/>
      <c r="G905" s="278" t="n"/>
      <c r="H905" s="301" t="n"/>
      <c r="I905" s="276" t="n"/>
      <c r="J905" s="276" t="n"/>
      <c r="K905" s="476" t="n"/>
      <c r="L905" s="276" t="n"/>
      <c r="M905" s="276" t="n"/>
      <c r="N905" s="276" t="n"/>
      <c r="O905" s="244">
        <f>M905*N905</f>
        <v/>
      </c>
      <c r="P905" s="276" t="n"/>
      <c r="Q905" s="276" t="n"/>
      <c r="R905" s="276" t="n"/>
      <c r="S905" s="244">
        <f>Q905*R905</f>
        <v/>
      </c>
    </row>
    <row r="906" ht="22.2" customHeight="1" s="330">
      <c r="A906" s="4" t="n"/>
      <c r="E906" s="4" t="n"/>
      <c r="F906" s="4" t="n"/>
      <c r="G906" s="17" t="inlineStr">
        <is>
          <t>รวมขั่วโมงที่สอนแยก ภาระงาน/ เกินภาระงาน</t>
        </is>
      </c>
      <c r="H906" s="467" t="n"/>
      <c r="I906" s="467" t="n"/>
      <c r="J906" s="467" t="n"/>
      <c r="K906" s="362" t="n"/>
      <c r="L906" s="17">
        <f>SUM(L881:L905)</f>
        <v/>
      </c>
      <c r="M906" s="17">
        <f>SUM(M881:M905)</f>
        <v/>
      </c>
      <c r="N906" s="17" t="n"/>
      <c r="O906" s="17" t="n"/>
      <c r="P906" s="17">
        <f>SUM(P881:P905)</f>
        <v/>
      </c>
      <c r="Q906" s="17">
        <f>SUM(Q881:Q905)</f>
        <v/>
      </c>
      <c r="R906" s="279" t="n"/>
      <c r="S906" s="17" t="n"/>
      <c r="T906" s="25" t="n"/>
      <c r="U906" s="26" t="inlineStr">
        <is>
          <t xml:space="preserve">     PLC</t>
        </is>
      </c>
      <c r="V906" s="64" t="n"/>
      <c r="W906" s="27" t="n"/>
      <c r="X906" s="27" t="n"/>
    </row>
    <row r="907" ht="22.2" customHeight="1" s="330">
      <c r="A907" s="4" t="n"/>
      <c r="E907" s="4" t="n"/>
      <c r="F907" s="4" t="n"/>
      <c r="G907" s="17" t="inlineStr">
        <is>
          <t>รวมจำนวนชั่วโมงสอนคาบต่อสับดาห์</t>
        </is>
      </c>
      <c r="H907" s="467" t="n"/>
      <c r="I907" s="467" t="n"/>
      <c r="J907" s="467" t="n"/>
      <c r="K907" s="362" t="n"/>
      <c r="L907" s="17">
        <f>L906+M906</f>
        <v/>
      </c>
      <c r="M907" s="362" t="n"/>
      <c r="N907" s="17" t="n"/>
      <c r="O907" s="298" t="n"/>
      <c r="P907" s="17">
        <f>P906+Q906</f>
        <v/>
      </c>
      <c r="Q907" s="362" t="n"/>
      <c r="R907" s="278" t="n"/>
      <c r="S907" s="276" t="n"/>
      <c r="T907" s="27" t="inlineStr">
        <is>
          <t> </t>
        </is>
      </c>
      <c r="U907" s="26" t="inlineStr">
        <is>
          <t>17.10-19.10</t>
        </is>
      </c>
      <c r="V907" s="64" t="n"/>
      <c r="W907" s="27" t="n"/>
      <c r="X907" s="27" t="n"/>
    </row>
    <row r="908" ht="22.2" customHeight="1" s="330">
      <c r="A908" s="4" t="n"/>
      <c r="E908" s="4" t="n"/>
      <c r="F908" s="4" t="n"/>
      <c r="G908" s="17" t="inlineStr">
        <is>
          <t>จำนวนชั่วโมงสอนตามภาระงานสอน</t>
        </is>
      </c>
      <c r="H908" s="467" t="n"/>
      <c r="I908" s="467" t="n"/>
      <c r="J908" s="467" t="n"/>
      <c r="K908" s="362" t="n"/>
      <c r="L908" s="17" t="n">
        <v>18</v>
      </c>
      <c r="M908" s="362" t="n"/>
      <c r="N908" s="298" t="n"/>
      <c r="O908" s="17" t="n"/>
      <c r="P908" s="153" t="inlineStr">
        <is>
          <t>0</t>
        </is>
      </c>
      <c r="Q908" s="362" t="n"/>
      <c r="R908" s="249" t="n"/>
      <c r="S908" s="252" t="n"/>
    </row>
    <row r="909" ht="22.2" customHeight="1" s="330" thickBot="1">
      <c r="A909" s="4" t="n"/>
      <c r="E909" s="4" t="n"/>
      <c r="F909" s="15" t="n"/>
      <c r="G909" s="17" t="inlineStr">
        <is>
          <t>จำนวนชั่วโมงบิกเกินภาระงานสอน/ค่าสอน</t>
        </is>
      </c>
      <c r="H909" s="467" t="n"/>
      <c r="I909" s="467" t="n"/>
      <c r="J909" s="467" t="n"/>
      <c r="K909" s="362" t="n"/>
      <c r="L909" s="18" t="n">
        <v>0</v>
      </c>
      <c r="M909" s="18">
        <f>SUM(M881:M905)</f>
        <v/>
      </c>
      <c r="N909" s="18" t="n"/>
      <c r="O909" s="18">
        <f>SUM(O881:O905)</f>
        <v/>
      </c>
      <c r="P909" s="18" t="n">
        <v>0</v>
      </c>
      <c r="Q909" s="18">
        <f>SUM(Q881:Q905)</f>
        <v/>
      </c>
      <c r="R909" s="19" t="n"/>
      <c r="S909" s="18">
        <f>SUM(S881:S905)</f>
        <v/>
      </c>
    </row>
    <row r="910" ht="22.2" customHeight="1" s="330" thickTop="1">
      <c r="A910" s="299" t="inlineStr">
        <is>
          <t>รวมจำนวนหน่วยชั่วโมงที่ขอเบิกค่าสอน ….</t>
        </is>
      </c>
      <c r="B910" s="467" t="n"/>
      <c r="C910" s="467" t="n"/>
      <c r="D910" s="467" t="n"/>
      <c r="E910" s="467" t="n"/>
      <c r="F910" s="467" t="n"/>
      <c r="G910" s="467" t="n"/>
      <c r="H910" s="298">
        <f>M909+Q909</f>
        <v/>
      </c>
      <c r="I910" s="298" t="inlineStr">
        <is>
          <t>….ชั่วโมง</t>
        </is>
      </c>
      <c r="J910" s="298" t="n"/>
      <c r="K910" s="301" t="inlineStr">
        <is>
          <t>ยอดเงินรวม</t>
        </is>
      </c>
      <c r="L910" s="471" t="n"/>
      <c r="M910" s="471" t="n"/>
      <c r="N910" s="301" t="n"/>
      <c r="O910" s="301" t="n"/>
      <c r="P910" s="302">
        <f>S909+O909</f>
        <v/>
      </c>
      <c r="Q910" s="482" t="n"/>
      <c r="R910" s="21" t="n"/>
      <c r="S910" s="20" t="inlineStr">
        <is>
          <t>..บาท</t>
        </is>
      </c>
    </row>
    <row r="911" ht="22.2" customHeight="1" s="330">
      <c r="A911" s="207" t="inlineStr">
        <is>
          <t>ผู้ขอเบิก</t>
        </is>
      </c>
      <c r="B911" s="334" t="n"/>
      <c r="C911" s="334" t="n"/>
      <c r="D911" s="334" t="n"/>
      <c r="E911" s="334" t="n"/>
      <c r="F911" s="334" t="n"/>
      <c r="G911" s="335" t="n"/>
      <c r="H911" s="207" t="inlineStr">
        <is>
          <t>ผู้รับรอง</t>
        </is>
      </c>
      <c r="I911" s="334" t="n"/>
      <c r="J911" s="334" t="n"/>
      <c r="K911" s="334" t="n"/>
      <c r="L911" s="335" t="n"/>
      <c r="M911" s="207" t="inlineStr">
        <is>
          <t>ผู้ตรวจ</t>
        </is>
      </c>
      <c r="N911" s="334" t="n"/>
      <c r="O911" s="334" t="n"/>
      <c r="P911" s="334" t="n"/>
      <c r="Q911" s="334" t="n"/>
      <c r="R911" s="334" t="n"/>
      <c r="S911" s="335" t="n"/>
    </row>
    <row r="912" ht="22.2" customHeight="1" s="330">
      <c r="A912" s="252" t="inlineStr">
        <is>
          <t>ลงชื่อ……………………………………………</t>
        </is>
      </c>
      <c r="G912" s="331" t="n"/>
      <c r="H912" s="252" t="inlineStr">
        <is>
          <t>ลงชื่อ……………………………………………</t>
        </is>
      </c>
      <c r="L912" s="331" t="n"/>
      <c r="M912" s="252" t="inlineStr">
        <is>
          <t>ลงชื่อ……………………………………………</t>
        </is>
      </c>
      <c r="S912" s="331" t="n"/>
    </row>
    <row r="913" ht="22.2" customHeight="1" s="330">
      <c r="A913" s="12" t="inlineStr">
        <is>
          <t>(</t>
        </is>
      </c>
      <c r="B913" s="309">
        <f>B881</f>
        <v/>
      </c>
      <c r="G913" s="310" t="inlineStr">
        <is>
          <t>)</t>
        </is>
      </c>
      <c r="H913" s="309" t="inlineStr">
        <is>
          <t>(</t>
        </is>
      </c>
      <c r="I913" s="314">
        <f>I867</f>
        <v/>
      </c>
      <c r="L913" s="13" t="inlineStr">
        <is>
          <t>)</t>
        </is>
      </c>
      <c r="M913" s="61" t="inlineStr">
        <is>
          <t>(</t>
        </is>
      </c>
      <c r="N913" s="61" t="n"/>
      <c r="O913" s="309" t="inlineStr">
        <is>
          <t>นายพิสุทธิศักดิ์  กล่อมนาค</t>
        </is>
      </c>
      <c r="R913" s="29" t="n"/>
      <c r="S913" s="310" t="inlineStr">
        <is>
          <t>)</t>
        </is>
      </c>
    </row>
    <row r="914" ht="22.2" customHeight="1" s="330">
      <c r="A914" s="483" t="inlineStr">
        <is>
          <t xml:space="preserve">                 ตำแหน่ง  ครูพิเศษ</t>
        </is>
      </c>
      <c r="G914" s="331" t="n"/>
      <c r="H914" s="62" t="inlineStr">
        <is>
          <t>ตำแหน่ง หัวหน้าแผนก</t>
        </is>
      </c>
      <c r="L914" s="331" t="n"/>
      <c r="M914" s="62" t="inlineStr">
        <is>
          <t>ตำแหน่ง   ผู้ตรวจสอบ</t>
        </is>
      </c>
      <c r="S914" s="331" t="n"/>
    </row>
    <row r="915" ht="22.2" customHeight="1" s="330">
      <c r="A915" s="63">
        <f>A41</f>
        <v/>
      </c>
      <c r="B915" s="471" t="n"/>
      <c r="C915" s="471" t="n"/>
      <c r="D915" s="471" t="n"/>
      <c r="E915" s="471" t="n"/>
      <c r="F915" s="471" t="n"/>
      <c r="G915" s="476" t="n"/>
      <c r="H915" s="62">
        <f>A41</f>
        <v/>
      </c>
      <c r="L915" s="331" t="n"/>
      <c r="M915" s="63">
        <f>A41</f>
        <v/>
      </c>
      <c r="N915" s="471" t="n"/>
      <c r="O915" s="471" t="n"/>
      <c r="P915" s="471" t="n"/>
      <c r="Q915" s="471" t="n"/>
      <c r="R915" s="471" t="n"/>
      <c r="S915" s="476" t="n"/>
    </row>
    <row r="916" ht="22.2" customHeight="1" s="330">
      <c r="A916" s="207" t="inlineStr">
        <is>
          <t>ผู้ตรวจ</t>
        </is>
      </c>
      <c r="B916" s="334" t="n"/>
      <c r="C916" s="334" t="n"/>
      <c r="D916" s="334" t="n"/>
      <c r="E916" s="334" t="n"/>
      <c r="F916" s="334" t="n"/>
      <c r="G916" s="334" t="n"/>
      <c r="H916" s="334" t="n"/>
      <c r="I916" s="335" t="n"/>
      <c r="J916" s="207" t="inlineStr">
        <is>
          <t>ผู้เห็นชอบ</t>
        </is>
      </c>
      <c r="K916" s="334" t="n"/>
      <c r="L916" s="334" t="n"/>
      <c r="M916" s="334" t="n"/>
      <c r="N916" s="334" t="n"/>
      <c r="O916" s="334" t="n"/>
      <c r="P916" s="334" t="n"/>
      <c r="Q916" s="334" t="n"/>
      <c r="R916" s="334" t="n"/>
      <c r="S916" s="335" t="n"/>
    </row>
    <row r="917" ht="22.2" customHeight="1" s="330">
      <c r="A917" s="252" t="inlineStr">
        <is>
          <t>ลงชื่อ……………………………………………</t>
        </is>
      </c>
      <c r="I917" s="331" t="n"/>
      <c r="J917" s="252" t="inlineStr">
        <is>
          <t>ลงชื่อ……………………………………………</t>
        </is>
      </c>
      <c r="S917" s="331" t="n"/>
    </row>
    <row r="918" ht="22.2" customHeight="1" s="330">
      <c r="A918" s="12" t="n"/>
      <c r="B918" s="309" t="inlineStr">
        <is>
          <t xml:space="preserve">          (นางศิวรักษ์   บุญประเสริฐ)</t>
        </is>
      </c>
      <c r="I918" s="310" t="n"/>
      <c r="J918" s="29" t="n"/>
      <c r="K918" s="29" t="n"/>
      <c r="L918" s="309" t="inlineStr">
        <is>
          <t>(นายปรีชา  โพธิ์เกิด)</t>
        </is>
      </c>
      <c r="R918" s="29" t="n"/>
      <c r="S918" s="13" t="n"/>
    </row>
    <row r="919" ht="22.2" customHeight="1" s="330">
      <c r="A919" s="62" t="inlineStr">
        <is>
          <t>ตำแหน่งครู  หัวหน้างานพัฒนาหลักสูตร ฯ</t>
        </is>
      </c>
      <c r="I919" s="331" t="n"/>
      <c r="J919" s="62" t="inlineStr">
        <is>
          <t>ตำแหน่ง  รองผู้อำนวยการฝ่ายวิชาการ</t>
        </is>
      </c>
      <c r="S919" s="331" t="n"/>
    </row>
    <row r="920" ht="22.2" customHeight="1" s="330">
      <c r="A920" s="63">
        <f>A41</f>
        <v/>
      </c>
      <c r="B920" s="471" t="n"/>
      <c r="C920" s="471" t="n"/>
      <c r="D920" s="471" t="n"/>
      <c r="E920" s="471" t="n"/>
      <c r="F920" s="471" t="n"/>
      <c r="G920" s="471" t="n"/>
      <c r="H920" s="471" t="n"/>
      <c r="I920" s="476" t="n"/>
      <c r="J920" s="63">
        <f>A41</f>
        <v/>
      </c>
      <c r="K920" s="471" t="n"/>
      <c r="L920" s="471" t="n"/>
      <c r="M920" s="471" t="n"/>
      <c r="N920" s="471" t="n"/>
      <c r="O920" s="471" t="n"/>
      <c r="P920" s="471" t="n"/>
      <c r="Q920" s="471" t="n"/>
      <c r="R920" s="471" t="n"/>
      <c r="S920" s="476" t="n"/>
    </row>
    <row r="921" ht="22.2" customHeight="1" s="330">
      <c r="A92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22" ht="22.2" customHeight="1" s="330">
      <c r="A922" s="254">
        <f>A2</f>
        <v/>
      </c>
    </row>
    <row r="923" ht="22.2" customHeight="1" s="330">
      <c r="A923" s="253" t="inlineStr">
        <is>
          <t xml:space="preserve">    ระหว่างวันที่</t>
        </is>
      </c>
      <c r="D923" s="254">
        <f>D3</f>
        <v/>
      </c>
      <c r="E923" s="254" t="inlineStr">
        <is>
          <t xml:space="preserve">   เดือน  </t>
        </is>
      </c>
      <c r="F923" s="254">
        <f>F3</f>
        <v/>
      </c>
      <c r="H923" s="254">
        <f>H3</f>
        <v/>
      </c>
      <c r="I923" s="254" t="inlineStr">
        <is>
          <t xml:space="preserve">     ถึง วันที่</t>
        </is>
      </c>
      <c r="J923" s="254">
        <f>J3</f>
        <v/>
      </c>
      <c r="K923" s="254" t="inlineStr">
        <is>
          <t xml:space="preserve">   เดือน </t>
        </is>
      </c>
      <c r="L923" s="254">
        <f>L3</f>
        <v/>
      </c>
      <c r="N923" s="254">
        <f>N3</f>
        <v/>
      </c>
      <c r="P923" s="254" t="n"/>
      <c r="R923" s="254" t="n"/>
    </row>
    <row r="924" ht="22.2" customHeight="1" s="330">
      <c r="G924" s="58" t="inlineStr">
        <is>
          <t>ü</t>
        </is>
      </c>
      <c r="H924" s="8" t="inlineStr">
        <is>
          <t>ครูพิเศษ</t>
        </is>
      </c>
      <c r="I924" s="249" t="inlineStr">
        <is>
          <t>หน้าที่พิเศษ</t>
        </is>
      </c>
      <c r="K924" s="290" t="n"/>
    </row>
    <row r="925" ht="22.2" customHeight="1" s="330">
      <c r="A925" s="28" t="inlineStr">
        <is>
          <t>ที่</t>
        </is>
      </c>
      <c r="B925" s="28" t="inlineStr">
        <is>
          <t>ชื่อ-สกุล</t>
        </is>
      </c>
      <c r="C925" s="334" t="n"/>
      <c r="D925" s="335" t="n"/>
      <c r="E925" s="16" t="inlineStr">
        <is>
          <t>ตำแหน่ง</t>
        </is>
      </c>
      <c r="F925" s="17" t="inlineStr">
        <is>
          <t>ระยะเวลาที่สอน</t>
        </is>
      </c>
      <c r="G925" s="362" t="n"/>
      <c r="H925" s="17" t="inlineStr">
        <is>
          <t>รหัสวิชา</t>
        </is>
      </c>
      <c r="I925" s="275" t="inlineStr">
        <is>
          <t>ชั้น,แผนก,ห้อง</t>
        </is>
      </c>
      <c r="J925" s="17" t="inlineStr">
        <is>
          <t>เวลาสอน</t>
        </is>
      </c>
      <c r="K925" s="335" t="n"/>
      <c r="L925" s="17" t="inlineStr">
        <is>
          <t>ปวช.(คาบ)</t>
        </is>
      </c>
      <c r="M925" s="362" t="n"/>
      <c r="N925" s="244" t="inlineStr">
        <is>
          <t>เงิน</t>
        </is>
      </c>
      <c r="O925" s="275" t="inlineStr">
        <is>
          <t>ยอดเงิน</t>
        </is>
      </c>
      <c r="P925" s="473" t="inlineStr">
        <is>
          <t>ปวส.(คาบ)</t>
        </is>
      </c>
      <c r="Q925" s="362" t="n"/>
      <c r="R925" s="244" t="inlineStr">
        <is>
          <t>เงิน</t>
        </is>
      </c>
      <c r="S925" s="275" t="inlineStr">
        <is>
          <t>ยอดเงิน</t>
        </is>
      </c>
    </row>
    <row r="926" ht="22.2" customHeight="1" s="330">
      <c r="A926" s="60" t="n"/>
      <c r="B926" s="9" t="n"/>
      <c r="C926" s="10" t="n"/>
      <c r="D926" s="14" t="n"/>
      <c r="E926" s="11" t="n"/>
      <c r="F926" s="276" t="inlineStr">
        <is>
          <t>ส.</t>
        </is>
      </c>
      <c r="G926" s="276" t="inlineStr">
        <is>
          <t>วดป.</t>
        </is>
      </c>
      <c r="H926" s="474" t="n"/>
      <c r="I926" s="276" t="n"/>
      <c r="J926" s="475" t="n"/>
      <c r="K926" s="476" t="n"/>
      <c r="L926" s="276" t="inlineStr">
        <is>
          <t>ใน</t>
        </is>
      </c>
      <c r="M926" s="276" t="inlineStr">
        <is>
          <t>นอก</t>
        </is>
      </c>
      <c r="N926" s="276" t="inlineStr">
        <is>
          <t>ต่อ ชม.</t>
        </is>
      </c>
      <c r="O926" s="276" t="inlineStr">
        <is>
          <t>(บาท)</t>
        </is>
      </c>
      <c r="P926" s="60" t="inlineStr">
        <is>
          <t>ใน</t>
        </is>
      </c>
      <c r="Q926" s="60" t="inlineStr">
        <is>
          <t>นอก</t>
        </is>
      </c>
      <c r="R926" s="276" t="inlineStr">
        <is>
          <t>ต่อ ชม.</t>
        </is>
      </c>
      <c r="S926" s="276" t="inlineStr">
        <is>
          <t>(บาท)</t>
        </is>
      </c>
    </row>
    <row r="927" ht="22.2" customHeight="1" s="330">
      <c r="A927" s="275" t="n">
        <v>21</v>
      </c>
      <c r="B927" s="477">
        <f>AB23</f>
        <v/>
      </c>
      <c r="C927" s="334" t="n"/>
      <c r="D927" s="335" t="n"/>
      <c r="E927" s="275" t="inlineStr">
        <is>
          <t>ครู</t>
        </is>
      </c>
      <c r="F927" s="6">
        <f>F7</f>
        <v/>
      </c>
      <c r="G927" s="303" t="inlineStr">
        <is>
          <t>จันทร์</t>
        </is>
      </c>
      <c r="H927" s="332" t="inlineStr">
        <is>
          <t>20101-2009</t>
        </is>
      </c>
      <c r="I927" s="325" t="inlineStr">
        <is>
          <t>ปวช.2/7 ชย. (ปกติ)</t>
        </is>
      </c>
      <c r="J927" s="332" t="inlineStr">
        <is>
          <t>08.10-12.10</t>
        </is>
      </c>
      <c r="K927" s="335" t="n"/>
      <c r="L927" s="265" t="n"/>
      <c r="M927" s="332" t="n"/>
      <c r="N927" s="332" t="n"/>
      <c r="O927" s="244">
        <f>M927*N927</f>
        <v/>
      </c>
      <c r="P927" s="332" t="n"/>
      <c r="Q927" s="265" t="n"/>
      <c r="R927" s="332" t="n"/>
      <c r="S927" s="244">
        <f>Q927*R927</f>
        <v/>
      </c>
    </row>
    <row r="928" ht="22.2" customHeight="1" s="330">
      <c r="A928" s="4" t="n"/>
      <c r="B928" s="478" t="n"/>
      <c r="D928" s="331" t="n"/>
      <c r="E928" s="252" t="inlineStr">
        <is>
          <t>พิเศษ</t>
        </is>
      </c>
      <c r="F928" s="249" t="n"/>
      <c r="G928" s="308">
        <f>G882</f>
        <v/>
      </c>
      <c r="H928" s="325" t="n"/>
      <c r="I928" s="325" t="n"/>
      <c r="J928" s="252" t="n"/>
      <c r="K928" s="331" t="n"/>
      <c r="L928" s="252" t="n"/>
      <c r="M928" s="252" t="n"/>
      <c r="N928" s="252" t="n"/>
      <c r="O928" s="244">
        <f>M928*N928</f>
        <v/>
      </c>
      <c r="P928" s="252" t="n"/>
      <c r="Q928" s="252" t="n"/>
      <c r="R928" s="252" t="n"/>
      <c r="S928" s="244">
        <f>Q928*R928</f>
        <v/>
      </c>
    </row>
    <row r="929" ht="22.2" customHeight="1" s="330">
      <c r="A929" s="4" t="n"/>
      <c r="B929" s="5" t="n"/>
      <c r="D929" s="3" t="n"/>
      <c r="E929" s="3" t="n"/>
      <c r="F929" s="249" t="n"/>
      <c r="G929" s="248" t="n"/>
      <c r="H929" s="252" t="n"/>
      <c r="I929" s="252" t="n"/>
      <c r="J929" s="252" t="n"/>
      <c r="K929" s="331" t="n"/>
      <c r="L929" s="252" t="n"/>
      <c r="M929" s="252" t="n"/>
      <c r="N929" s="252" t="n"/>
      <c r="O929" s="244">
        <f>M929*N929</f>
        <v/>
      </c>
      <c r="P929" s="252" t="n"/>
      <c r="Q929" s="252" t="n"/>
      <c r="R929" s="252" t="n"/>
      <c r="S929" s="244">
        <f>Q929*R929</f>
        <v/>
      </c>
    </row>
    <row r="930" ht="22.2" customHeight="1" s="330">
      <c r="A930" s="4" t="n"/>
      <c r="B930" s="5" t="n"/>
      <c r="E930" s="4" t="n"/>
      <c r="F930" s="249" t="n"/>
      <c r="G930" s="248" t="n"/>
      <c r="H930" s="252" t="n"/>
      <c r="I930" s="252" t="n"/>
      <c r="J930" s="252" t="n"/>
      <c r="K930" s="331" t="n"/>
      <c r="L930" s="252" t="n"/>
      <c r="M930" s="252" t="n"/>
      <c r="N930" s="252" t="n"/>
      <c r="O930" s="244">
        <f>M930*N930</f>
        <v/>
      </c>
      <c r="P930" s="252" t="n"/>
      <c r="Q930" s="252" t="n"/>
      <c r="R930" s="252" t="n"/>
      <c r="S930" s="244">
        <f>Q930*R930</f>
        <v/>
      </c>
    </row>
    <row r="931" ht="22.2" customHeight="1" s="330">
      <c r="A931" s="4" t="n"/>
      <c r="E931" s="4" t="n"/>
      <c r="G931" s="311" t="n"/>
      <c r="H931" s="276" t="n"/>
      <c r="I931" s="276" t="n"/>
      <c r="J931" s="276" t="n"/>
      <c r="K931" s="476" t="n"/>
      <c r="L931" s="252" t="n"/>
      <c r="M931" s="252" t="n"/>
      <c r="N931" s="252" t="n"/>
      <c r="O931" s="244">
        <f>M931*N931</f>
        <v/>
      </c>
      <c r="P931" s="252" t="n"/>
      <c r="Q931" s="252" t="n"/>
      <c r="R931" s="252" t="n"/>
      <c r="S931" s="244">
        <f>Q931*R931</f>
        <v/>
      </c>
    </row>
    <row r="932" ht="22.2" customHeight="1" s="330">
      <c r="A932" s="4" t="n"/>
      <c r="E932" s="4" t="n"/>
      <c r="G932" s="62" t="inlineStr">
        <is>
          <t>อังคาร</t>
        </is>
      </c>
      <c r="H932" s="332" t="inlineStr">
        <is>
          <t>20101-2009</t>
        </is>
      </c>
      <c r="I932" s="325" t="inlineStr">
        <is>
          <t>ปวช.2/8 ชย. (ปกติ)</t>
        </is>
      </c>
      <c r="J932" s="332" t="inlineStr">
        <is>
          <t>08.10-12.10</t>
        </is>
      </c>
      <c r="K932" s="335" t="n"/>
      <c r="L932" s="265" t="n"/>
      <c r="M932" s="332" t="n"/>
      <c r="N932" s="332" t="n"/>
      <c r="O932" s="244">
        <f>M932*N932</f>
        <v/>
      </c>
      <c r="P932" s="332" t="n"/>
      <c r="Q932" s="265" t="n"/>
      <c r="R932" s="332" t="n"/>
      <c r="S932" s="244">
        <f>Q932*R932</f>
        <v/>
      </c>
    </row>
    <row r="933" ht="22.2" customHeight="1" s="330">
      <c r="A933" s="4" t="n"/>
      <c r="E933" s="4" t="n"/>
      <c r="G933" s="308">
        <f>G887</f>
        <v/>
      </c>
      <c r="H933" s="325" t="inlineStr">
        <is>
          <t>20101-2110</t>
        </is>
      </c>
      <c r="I933" s="325" t="inlineStr">
        <is>
          <t>ปวช.3/3 ชย. (ปกติ)</t>
        </is>
      </c>
      <c r="J933" s="252" t="inlineStr">
        <is>
          <t>13.10-17.10</t>
        </is>
      </c>
      <c r="K933" s="331" t="n"/>
      <c r="L933" s="252" t="n"/>
      <c r="M933" s="252" t="n"/>
      <c r="N933" s="252" t="n"/>
      <c r="O933" s="244">
        <f>M933*N933</f>
        <v/>
      </c>
      <c r="P933" s="252" t="n"/>
      <c r="Q933" s="252" t="n"/>
      <c r="R933" s="252" t="n"/>
      <c r="S933" s="244">
        <f>Q933*R933</f>
        <v/>
      </c>
    </row>
    <row r="934" ht="22.2" customHeight="1" s="330">
      <c r="A934" s="4" t="n"/>
      <c r="B934" s="5" t="n"/>
      <c r="D934" s="3" t="n"/>
      <c r="E934" s="3" t="n"/>
      <c r="G934" s="252" t="n"/>
      <c r="H934" s="248" t="n"/>
      <c r="I934" s="252" t="n"/>
      <c r="J934" s="252" t="n"/>
      <c r="K934" s="331" t="n"/>
      <c r="L934" s="252" t="n"/>
      <c r="M934" s="252" t="n"/>
      <c r="N934" s="252" t="n"/>
      <c r="O934" s="244">
        <f>M934*N934</f>
        <v/>
      </c>
      <c r="P934" s="252" t="n"/>
      <c r="Q934" s="252" t="n"/>
      <c r="R934" s="252" t="n"/>
      <c r="S934" s="244">
        <f>Q934*R934</f>
        <v/>
      </c>
    </row>
    <row r="935" ht="22.2" customHeight="1" s="330">
      <c r="A935" s="4" t="n"/>
      <c r="E935" s="4" t="n"/>
      <c r="G935" s="62" t="n"/>
      <c r="H935" s="249" t="n"/>
      <c r="I935" s="252" t="n"/>
      <c r="J935" s="252" t="n"/>
      <c r="K935" s="331" t="n"/>
      <c r="L935" s="252" t="n"/>
      <c r="M935" s="252" t="n"/>
      <c r="N935" s="252" t="n"/>
      <c r="O935" s="244">
        <f>M935*N935</f>
        <v/>
      </c>
      <c r="P935" s="252" t="n"/>
      <c r="Q935" s="252" t="n"/>
      <c r="R935" s="252" t="n"/>
      <c r="S935" s="244">
        <f>Q935*R935</f>
        <v/>
      </c>
    </row>
    <row r="936" ht="22.2" customHeight="1" s="330">
      <c r="A936" s="4" t="n"/>
      <c r="D936" s="8" t="inlineStr">
        <is>
          <t> </t>
        </is>
      </c>
      <c r="E936" s="4" t="n"/>
      <c r="G936" s="63" t="n"/>
      <c r="H936" s="276" t="n"/>
      <c r="I936" s="276" t="n"/>
      <c r="J936" s="276" t="n"/>
      <c r="K936" s="476" t="n"/>
      <c r="L936" s="252" t="n"/>
      <c r="M936" s="252" t="n"/>
      <c r="N936" s="252" t="n"/>
      <c r="O936" s="244">
        <f>M936*N936</f>
        <v/>
      </c>
      <c r="P936" s="252" t="n"/>
      <c r="Q936" s="252" t="n"/>
      <c r="R936" s="252" t="n"/>
      <c r="S936" s="244">
        <f>Q936*R936</f>
        <v/>
      </c>
    </row>
    <row r="937" ht="22.2" customHeight="1" s="330">
      <c r="A937" s="4" t="n"/>
      <c r="E937" s="4" t="n"/>
      <c r="G937" s="308" t="inlineStr">
        <is>
          <t>พุธ</t>
        </is>
      </c>
      <c r="H937" s="325" t="inlineStr">
        <is>
          <t>20101-5101</t>
        </is>
      </c>
      <c r="I937" s="325" t="inlineStr">
        <is>
          <t>ปวช.2/9 ชย. (ทวิ)</t>
        </is>
      </c>
      <c r="J937" s="332" t="inlineStr">
        <is>
          <t>08.10-12.10</t>
        </is>
      </c>
      <c r="K937" s="335" t="n"/>
      <c r="L937" s="265" t="n"/>
      <c r="M937" s="332" t="n"/>
      <c r="N937" s="332" t="n"/>
      <c r="O937" s="244">
        <f>M937*N937</f>
        <v/>
      </c>
      <c r="P937" s="332" t="n"/>
      <c r="Q937" s="265" t="n"/>
      <c r="R937" s="332" t="n"/>
      <c r="S937" s="244">
        <f>Q937*R937</f>
        <v/>
      </c>
    </row>
    <row r="938" ht="22.2" customHeight="1" s="330">
      <c r="A938" s="4" t="n"/>
      <c r="B938" s="248" t="n"/>
      <c r="C938" s="249" t="n"/>
      <c r="D938" s="249" t="n"/>
      <c r="E938" s="252" t="n"/>
      <c r="G938" s="308">
        <f>G892</f>
        <v/>
      </c>
      <c r="H938" s="325" t="inlineStr">
        <is>
          <t>20101-5101</t>
        </is>
      </c>
      <c r="I938" s="325" t="inlineStr">
        <is>
          <t>ปวช.2/9 ชย. (ทวิ)</t>
        </is>
      </c>
      <c r="J938" s="325" t="inlineStr">
        <is>
          <t>13.10-16.10</t>
        </is>
      </c>
      <c r="K938" s="331" t="n"/>
      <c r="L938" s="252" t="n"/>
      <c r="M938" s="252" t="n"/>
      <c r="N938" s="252" t="n"/>
      <c r="O938" s="244">
        <f>M938*N938</f>
        <v/>
      </c>
      <c r="P938" s="252" t="n"/>
      <c r="Q938" s="252" t="n"/>
      <c r="R938" s="252" t="n"/>
      <c r="S938" s="244">
        <f>Q938*R938</f>
        <v/>
      </c>
    </row>
    <row r="939" ht="22.2" customHeight="1" s="330">
      <c r="A939" s="4" t="n"/>
      <c r="B939" s="5" t="n"/>
      <c r="D939" s="3" t="n"/>
      <c r="E939" s="3" t="n"/>
      <c r="G939" s="252" t="n"/>
      <c r="H939" s="325" t="n"/>
      <c r="I939" s="325" t="n"/>
      <c r="J939" s="252" t="n"/>
      <c r="K939" s="331" t="n"/>
      <c r="L939" s="252" t="n"/>
      <c r="M939" s="252" t="n"/>
      <c r="N939" s="252" t="n"/>
      <c r="O939" s="244">
        <f>M939*N939</f>
        <v/>
      </c>
      <c r="P939" s="252" t="n"/>
      <c r="Q939" s="252" t="n"/>
      <c r="R939" s="252" t="n"/>
      <c r="S939" s="244">
        <f>Q939*R939</f>
        <v/>
      </c>
    </row>
    <row r="940" ht="22.2" customHeight="1" s="330">
      <c r="A940" s="4" t="n"/>
      <c r="E940" s="4" t="n"/>
      <c r="G940" s="248" t="n"/>
      <c r="H940" s="325" t="n"/>
      <c r="I940" s="325" t="n"/>
      <c r="J940" s="252" t="n"/>
      <c r="K940" s="331" t="n"/>
      <c r="L940" s="252" t="n"/>
      <c r="M940" s="252" t="n"/>
      <c r="N940" s="252" t="n"/>
      <c r="O940" s="244">
        <f>M940*N940</f>
        <v/>
      </c>
      <c r="P940" s="252" t="n"/>
      <c r="Q940" s="252" t="n"/>
      <c r="R940" s="252" t="n"/>
      <c r="S940" s="244">
        <f>Q940*R940</f>
        <v/>
      </c>
    </row>
    <row r="941" ht="22.2" customHeight="1" s="330">
      <c r="A941" s="4" t="n"/>
      <c r="E941" s="4" t="n"/>
      <c r="G941" s="277" t="n"/>
      <c r="H941" s="277" t="n"/>
      <c r="I941" s="276" t="n"/>
      <c r="J941" s="276" t="n"/>
      <c r="K941" s="476" t="n"/>
      <c r="L941" s="276" t="n"/>
      <c r="M941" s="276" t="n"/>
      <c r="N941" s="276" t="n"/>
      <c r="O941" s="244">
        <f>M941*N941</f>
        <v/>
      </c>
      <c r="P941" s="276" t="n"/>
      <c r="Q941" s="276" t="n"/>
      <c r="R941" s="276" t="n"/>
      <c r="S941" s="244">
        <f>Q941*R941</f>
        <v/>
      </c>
    </row>
    <row r="942" ht="22.2" customHeight="1" s="330">
      <c r="A942" s="4" t="n"/>
      <c r="E942" s="4" t="n"/>
      <c r="G942" s="62" t="inlineStr">
        <is>
          <t>พฤหัส</t>
        </is>
      </c>
      <c r="H942" s="332" t="inlineStr">
        <is>
          <t>20101-2009</t>
        </is>
      </c>
      <c r="I942" s="325" t="inlineStr">
        <is>
          <t>ปวช.2/5 ชย. (ปกติ)</t>
        </is>
      </c>
      <c r="J942" s="252" t="inlineStr">
        <is>
          <t>08.10-12.10</t>
        </is>
      </c>
      <c r="K942" s="331" t="n"/>
      <c r="L942" s="265" t="n"/>
      <c r="M942" s="252" t="n"/>
      <c r="N942" s="252" t="n"/>
      <c r="O942" s="244">
        <f>M942*N942</f>
        <v/>
      </c>
      <c r="P942" s="252" t="n"/>
      <c r="Q942" s="275" t="n"/>
      <c r="R942" s="275" t="n"/>
      <c r="S942" s="244">
        <f>Q942*R942</f>
        <v/>
      </c>
    </row>
    <row r="943" ht="22.2" customHeight="1" s="330">
      <c r="A943" s="4" t="n"/>
      <c r="E943" s="4" t="n"/>
      <c r="G943" s="308">
        <f>G897</f>
        <v/>
      </c>
      <c r="H943" s="252" t="inlineStr">
        <is>
          <t>20000-2002</t>
        </is>
      </c>
      <c r="I943" s="325" t="inlineStr">
        <is>
          <t>ปวช.1/5,6 ชย. (ปกติ)</t>
        </is>
      </c>
      <c r="J943" s="325" t="inlineStr">
        <is>
          <t>13.10-15.10</t>
        </is>
      </c>
      <c r="K943" s="331" t="n"/>
      <c r="L943" s="252" t="n"/>
      <c r="M943" s="252" t="n"/>
      <c r="N943" s="252" t="n"/>
      <c r="O943" s="244">
        <f>M943*N943</f>
        <v/>
      </c>
      <c r="P943" s="252" t="n"/>
      <c r="Q943" s="252" t="n"/>
      <c r="R943" s="252" t="n"/>
      <c r="S943" s="244">
        <f>Q943*R943</f>
        <v/>
      </c>
    </row>
    <row r="944" ht="22.2" customHeight="1" s="330">
      <c r="A944" s="4" t="n"/>
      <c r="B944" s="5" t="n"/>
      <c r="E944" s="4" t="n"/>
      <c r="G944" s="252" t="n"/>
      <c r="H944" s="325" t="inlineStr">
        <is>
          <t>20101-2009</t>
        </is>
      </c>
      <c r="I944" s="325" t="inlineStr">
        <is>
          <t>ปวช.1/9 ชย. (ทวิ)</t>
        </is>
      </c>
      <c r="J944" s="252" t="inlineStr">
        <is>
          <t>15.10-19.10</t>
        </is>
      </c>
      <c r="K944" s="331" t="n"/>
      <c r="L944" s="252" t="n"/>
      <c r="M944" s="325" t="n"/>
      <c r="N944" s="325" t="n"/>
      <c r="O944" s="244">
        <f>M944*N944</f>
        <v/>
      </c>
      <c r="P944" s="325" t="n"/>
      <c r="Q944" s="325" t="n"/>
      <c r="R944" s="325" t="n"/>
      <c r="S944" s="244">
        <f>Q944*R944</f>
        <v/>
      </c>
    </row>
    <row r="945" ht="22.2" customHeight="1" s="330">
      <c r="A945" s="4" t="n"/>
      <c r="E945" s="4" t="n"/>
      <c r="G945" s="252" t="n"/>
      <c r="H945" s="252" t="n"/>
      <c r="I945" s="325" t="n"/>
      <c r="J945" s="252" t="n"/>
      <c r="K945" s="331" t="n"/>
      <c r="L945" s="252" t="n"/>
      <c r="M945" s="252" t="n"/>
      <c r="N945" s="252" t="n"/>
      <c r="O945" s="244">
        <f>M945*N945</f>
        <v/>
      </c>
      <c r="P945" s="252" t="n"/>
      <c r="Q945" s="252" t="n"/>
      <c r="R945" s="252" t="n"/>
      <c r="S945" s="244">
        <f>Q945*R945</f>
        <v/>
      </c>
    </row>
    <row r="946" ht="22.2" customHeight="1" s="330">
      <c r="A946" s="4" t="n"/>
      <c r="E946" s="4" t="n"/>
      <c r="G946" s="276" t="n"/>
      <c r="H946" s="301" t="n"/>
      <c r="I946" s="276" t="n"/>
      <c r="J946" s="276" t="n"/>
      <c r="K946" s="476" t="n"/>
      <c r="L946" s="276" t="n"/>
      <c r="M946" s="276" t="n"/>
      <c r="N946" s="276" t="n"/>
      <c r="O946" s="244">
        <f>M946*N946</f>
        <v/>
      </c>
      <c r="P946" s="276" t="n"/>
      <c r="Q946" s="276" t="n"/>
      <c r="R946" s="276" t="n"/>
      <c r="S946" s="244">
        <f>Q946*R946</f>
        <v/>
      </c>
    </row>
    <row r="947" ht="22.2" customHeight="1" s="330">
      <c r="A947" s="4" t="n"/>
      <c r="E947" s="4" t="n"/>
      <c r="G947" s="62" t="inlineStr">
        <is>
          <t>ศุกร์</t>
        </is>
      </c>
      <c r="H947" s="332" t="inlineStr">
        <is>
          <t>20101-2009</t>
        </is>
      </c>
      <c r="I947" s="325" t="inlineStr">
        <is>
          <t>ปวช.2/6 ชย. (ปกติ)</t>
        </is>
      </c>
      <c r="J947" s="332" t="inlineStr">
        <is>
          <t>08.10-12.10</t>
        </is>
      </c>
      <c r="K947" s="335" t="n"/>
      <c r="L947" s="265" t="n"/>
      <c r="M947" s="332" t="n"/>
      <c r="N947" s="332" t="n"/>
      <c r="O947" s="244">
        <f>M947*N947</f>
        <v/>
      </c>
      <c r="P947" s="332" t="n"/>
      <c r="Q947" s="265" t="n"/>
      <c r="R947" s="332" t="n"/>
      <c r="S947" s="244">
        <f>Q947*R947</f>
        <v/>
      </c>
      <c r="T947" s="25" t="n"/>
      <c r="U947" s="26" t="inlineStr">
        <is>
          <t xml:space="preserve">     PLC</t>
        </is>
      </c>
      <c r="V947" s="64" t="n"/>
      <c r="W947" s="27" t="n"/>
      <c r="X947" s="27" t="n"/>
    </row>
    <row r="948" ht="22.2" customHeight="1" s="330">
      <c r="A948" s="4" t="n"/>
      <c r="E948" s="4" t="n"/>
      <c r="G948" s="308">
        <f>G902</f>
        <v/>
      </c>
      <c r="H948" s="325" t="n"/>
      <c r="I948" s="325" t="n"/>
      <c r="J948" s="252" t="n"/>
      <c r="K948" s="331" t="n"/>
      <c r="L948" s="252" t="n"/>
      <c r="M948" s="252" t="n"/>
      <c r="N948" s="252" t="n"/>
      <c r="O948" s="244">
        <f>M948*N948</f>
        <v/>
      </c>
      <c r="P948" s="252" t="n"/>
      <c r="Q948" s="252" t="n"/>
      <c r="R948" s="252" t="n"/>
      <c r="S948" s="244">
        <f>Q948*R948</f>
        <v/>
      </c>
      <c r="T948" s="27" t="inlineStr">
        <is>
          <t> </t>
        </is>
      </c>
      <c r="U948" s="26" t="inlineStr">
        <is>
          <t>17.10-19.10</t>
        </is>
      </c>
      <c r="V948" s="64" t="n"/>
      <c r="W948" s="27" t="n"/>
      <c r="X948" s="27" t="n"/>
    </row>
    <row r="949" ht="22.2" customHeight="1" s="330">
      <c r="A949" s="4" t="n"/>
      <c r="E949" s="4" t="n"/>
      <c r="G949" s="252" t="n"/>
      <c r="H949" s="248" t="n"/>
      <c r="I949" s="252" t="n"/>
      <c r="J949" s="252" t="n"/>
      <c r="K949" s="331" t="n"/>
      <c r="L949" s="252" t="n"/>
      <c r="M949" s="252" t="n"/>
      <c r="N949" s="252" t="n"/>
      <c r="O949" s="244">
        <f>M949*N949</f>
        <v/>
      </c>
      <c r="P949" s="252" t="n"/>
      <c r="Q949" s="252" t="n"/>
      <c r="R949" s="252" t="n"/>
      <c r="S949" s="244">
        <f>Q949*R949</f>
        <v/>
      </c>
    </row>
    <row r="950" ht="22.2" customHeight="1" s="330">
      <c r="A950" s="4" t="n"/>
      <c r="E950" s="4" t="n"/>
      <c r="G950" s="252" t="n"/>
      <c r="H950" s="249" t="inlineStr">
        <is>
          <t> </t>
        </is>
      </c>
      <c r="I950" s="252" t="n"/>
      <c r="J950" s="252" t="n"/>
      <c r="K950" s="331" t="n"/>
      <c r="L950" s="252" t="n"/>
      <c r="M950" s="252" t="n"/>
      <c r="N950" s="252" t="n"/>
      <c r="O950" s="244">
        <f>M950*N950</f>
        <v/>
      </c>
      <c r="P950" s="252" t="n"/>
      <c r="Q950" s="252" t="n"/>
      <c r="R950" s="252" t="n"/>
      <c r="S950" s="244">
        <f>Q950*R950</f>
        <v/>
      </c>
    </row>
    <row r="951" ht="22.2" customHeight="1" s="330">
      <c r="A951" s="4" t="n"/>
      <c r="E951" s="4" t="n"/>
      <c r="F951" s="4" t="n"/>
      <c r="G951" s="278" t="n"/>
      <c r="H951" s="301" t="n"/>
      <c r="I951" s="276" t="n"/>
      <c r="J951" s="276" t="n"/>
      <c r="K951" s="476" t="n"/>
      <c r="L951" s="276" t="n"/>
      <c r="M951" s="276" t="n"/>
      <c r="N951" s="276" t="n"/>
      <c r="O951" s="244">
        <f>M951*N951</f>
        <v/>
      </c>
      <c r="P951" s="276" t="n"/>
      <c r="Q951" s="276" t="n"/>
      <c r="R951" s="276" t="n"/>
      <c r="S951" s="244">
        <f>Q951*R951</f>
        <v/>
      </c>
    </row>
    <row r="952" ht="22.2" customHeight="1" s="330">
      <c r="A952" s="4" t="n"/>
      <c r="E952" s="4" t="n"/>
      <c r="F952" s="4" t="n"/>
      <c r="G952" s="17" t="inlineStr">
        <is>
          <t>รวมขั่วโมงที่สอนแยก ภาระงาน/ เกินภาระงาน</t>
        </is>
      </c>
      <c r="H952" s="467" t="n"/>
      <c r="I952" s="467" t="n"/>
      <c r="J952" s="467" t="n"/>
      <c r="K952" s="362" t="n"/>
      <c r="L952" s="17">
        <f>SUM(L927:L951)</f>
        <v/>
      </c>
      <c r="M952" s="17">
        <f>SUM(M927:M951)</f>
        <v/>
      </c>
      <c r="N952" s="17" t="n"/>
      <c r="O952" s="17" t="n"/>
      <c r="P952" s="17">
        <f>SUM(P927:P951)</f>
        <v/>
      </c>
      <c r="Q952" s="17">
        <f>SUM(Q927:Q951)</f>
        <v/>
      </c>
      <c r="R952" s="279" t="n"/>
      <c r="S952" s="17" t="n"/>
    </row>
    <row r="953" ht="22.2" customHeight="1" s="330">
      <c r="A953" s="4" t="n"/>
      <c r="E953" s="4" t="n"/>
      <c r="F953" s="4" t="n"/>
      <c r="G953" s="17" t="inlineStr">
        <is>
          <t>รวมจำนวนชั่วโมงสอนคาบต่อสับดาห์</t>
        </is>
      </c>
      <c r="H953" s="467" t="n"/>
      <c r="I953" s="467" t="n"/>
      <c r="J953" s="467" t="n"/>
      <c r="K953" s="362" t="n"/>
      <c r="L953" s="17">
        <f>L952+M952</f>
        <v/>
      </c>
      <c r="M953" s="362" t="n"/>
      <c r="N953" s="17" t="n"/>
      <c r="O953" s="298" t="n"/>
      <c r="P953" s="17">
        <f>P952+Q952</f>
        <v/>
      </c>
      <c r="Q953" s="362" t="n"/>
      <c r="R953" s="278" t="n"/>
      <c r="S953" s="276" t="n"/>
    </row>
    <row r="954" ht="22.2" customHeight="1" s="330">
      <c r="A954" s="4" t="n"/>
      <c r="E954" s="4" t="n"/>
      <c r="F954" s="4" t="n"/>
      <c r="G954" s="17" t="inlineStr">
        <is>
          <t>จำนวนชั่วโมงสอนตามภาระงานสอน</t>
        </is>
      </c>
      <c r="H954" s="467" t="n"/>
      <c r="I954" s="467" t="n"/>
      <c r="J954" s="467" t="n"/>
      <c r="K954" s="362" t="n"/>
      <c r="L954" s="17" t="n">
        <v>18</v>
      </c>
      <c r="M954" s="362" t="n"/>
      <c r="N954" s="17" t="n"/>
      <c r="O954" s="298" t="n"/>
      <c r="P954" s="17" t="n">
        <v>0</v>
      </c>
      <c r="Q954" s="362" t="n"/>
      <c r="R954" s="249" t="n"/>
      <c r="S954" s="252" t="n"/>
    </row>
    <row r="955" ht="22.2" customHeight="1" s="330" thickBot="1">
      <c r="A955" s="4" t="n"/>
      <c r="E955" s="4" t="n"/>
      <c r="F955" s="15" t="n"/>
      <c r="G955" s="17" t="inlineStr">
        <is>
          <t>จำนวนชั่วโมงบิกเกินภาระงานสอน/ค่าสอน</t>
        </is>
      </c>
      <c r="H955" s="467" t="n"/>
      <c r="I955" s="467" t="n"/>
      <c r="J955" s="467" t="n"/>
      <c r="K955" s="362" t="n"/>
      <c r="L955" s="18" t="n">
        <v>0</v>
      </c>
      <c r="M955" s="18">
        <f>SUM(M927:M951)</f>
        <v/>
      </c>
      <c r="N955" s="18" t="n"/>
      <c r="O955" s="18">
        <f>SUM(O927:O951)</f>
        <v/>
      </c>
      <c r="P955" s="18" t="n">
        <v>0</v>
      </c>
      <c r="Q955" s="18">
        <f>SUM(Q927:Q951)</f>
        <v/>
      </c>
      <c r="R955" s="19" t="n"/>
      <c r="S955" s="18">
        <f>SUM(S927:S951)</f>
        <v/>
      </c>
    </row>
    <row r="956" ht="22.2" customHeight="1" s="330" thickTop="1">
      <c r="A956" s="299" t="inlineStr">
        <is>
          <t>รวมจำนวนหน่วยชั่วโมงที่ขอเบิกค่าสอน ….</t>
        </is>
      </c>
      <c r="B956" s="467" t="n"/>
      <c r="C956" s="467" t="n"/>
      <c r="D956" s="467" t="n"/>
      <c r="E956" s="467" t="n"/>
      <c r="F956" s="467" t="n"/>
      <c r="G956" s="467" t="n"/>
      <c r="H956" s="298">
        <f>M955+Q955</f>
        <v/>
      </c>
      <c r="I956" s="298" t="inlineStr">
        <is>
          <t>….ชั่วโมง</t>
        </is>
      </c>
      <c r="J956" s="298" t="n"/>
      <c r="K956" s="301" t="inlineStr">
        <is>
          <t>ยอดเงินรวม</t>
        </is>
      </c>
      <c r="L956" s="471" t="n"/>
      <c r="M956" s="471" t="n"/>
      <c r="N956" s="301" t="n"/>
      <c r="O956" s="301" t="n"/>
      <c r="P956" s="302">
        <f>S955+O955</f>
        <v/>
      </c>
      <c r="Q956" s="482" t="n"/>
      <c r="R956" s="21" t="n"/>
      <c r="S956" s="20" t="inlineStr">
        <is>
          <t>..บาท</t>
        </is>
      </c>
    </row>
    <row r="957" ht="22.2" customHeight="1" s="330">
      <c r="A957" s="207" t="inlineStr">
        <is>
          <t>ผู้ขอเบิก</t>
        </is>
      </c>
      <c r="B957" s="334" t="n"/>
      <c r="C957" s="334" t="n"/>
      <c r="D957" s="334" t="n"/>
      <c r="E957" s="334" t="n"/>
      <c r="F957" s="334" t="n"/>
      <c r="G957" s="335" t="n"/>
      <c r="H957" s="207" t="inlineStr">
        <is>
          <t>ผู้รับรอง</t>
        </is>
      </c>
      <c r="I957" s="334" t="n"/>
      <c r="J957" s="334" t="n"/>
      <c r="K957" s="334" t="n"/>
      <c r="L957" s="335" t="n"/>
      <c r="M957" s="207" t="inlineStr">
        <is>
          <t>ผู้ตรวจ</t>
        </is>
      </c>
      <c r="N957" s="334" t="n"/>
      <c r="O957" s="334" t="n"/>
      <c r="P957" s="334" t="n"/>
      <c r="Q957" s="334" t="n"/>
      <c r="R957" s="334" t="n"/>
      <c r="S957" s="335" t="n"/>
    </row>
    <row r="958" ht="22.2" customHeight="1" s="330">
      <c r="A958" s="252" t="inlineStr">
        <is>
          <t>ลงชื่อ……………………………………………</t>
        </is>
      </c>
      <c r="G958" s="331" t="n"/>
      <c r="H958" s="252" t="inlineStr">
        <is>
          <t>ลงชื่อ……………………………………………</t>
        </is>
      </c>
      <c r="L958" s="331" t="n"/>
      <c r="M958" s="252" t="inlineStr">
        <is>
          <t>ลงชื่อ……………………………………………</t>
        </is>
      </c>
      <c r="S958" s="331" t="n"/>
    </row>
    <row r="959" ht="22.2" customHeight="1" s="330">
      <c r="A959" s="12" t="inlineStr">
        <is>
          <t>(</t>
        </is>
      </c>
      <c r="B959" s="309">
        <f>B927</f>
        <v/>
      </c>
      <c r="G959" s="310" t="inlineStr">
        <is>
          <t>)</t>
        </is>
      </c>
      <c r="H959" s="309" t="inlineStr">
        <is>
          <t>(</t>
        </is>
      </c>
      <c r="I959" s="314">
        <f>I913</f>
        <v/>
      </c>
      <c r="L959" s="13" t="inlineStr">
        <is>
          <t>)</t>
        </is>
      </c>
      <c r="M959" s="61" t="inlineStr">
        <is>
          <t>(</t>
        </is>
      </c>
      <c r="N959" s="61" t="n"/>
      <c r="O959" s="309" t="inlineStr">
        <is>
          <t>นายพิสุทธิศักดิ์  กล่อมนาค</t>
        </is>
      </c>
      <c r="R959" s="29" t="n"/>
      <c r="S959" s="310" t="inlineStr">
        <is>
          <t>)</t>
        </is>
      </c>
    </row>
    <row r="960" ht="22.2" customHeight="1" s="330">
      <c r="A960" s="483" t="inlineStr">
        <is>
          <t xml:space="preserve">                 ตำแหน่ง  ครูพิเศษ</t>
        </is>
      </c>
      <c r="G960" s="331" t="n"/>
      <c r="H960" s="62" t="inlineStr">
        <is>
          <t>ตำแหน่ง หัวหน้าแผนก</t>
        </is>
      </c>
      <c r="L960" s="331" t="n"/>
      <c r="M960" s="62" t="inlineStr">
        <is>
          <t>ตำแหน่ง   ผู้ตรวจสอบ</t>
        </is>
      </c>
      <c r="S960" s="331" t="n"/>
    </row>
    <row r="961" ht="22.2" customHeight="1" s="330">
      <c r="A961" s="63">
        <f>A41</f>
        <v/>
      </c>
      <c r="B961" s="471" t="n"/>
      <c r="C961" s="471" t="n"/>
      <c r="D961" s="471" t="n"/>
      <c r="E961" s="471" t="n"/>
      <c r="F961" s="471" t="n"/>
      <c r="G961" s="476" t="n"/>
      <c r="H961" s="62">
        <f>A41</f>
        <v/>
      </c>
      <c r="L961" s="331" t="n"/>
      <c r="M961" s="63">
        <f>A41</f>
        <v/>
      </c>
      <c r="N961" s="471" t="n"/>
      <c r="O961" s="471" t="n"/>
      <c r="P961" s="471" t="n"/>
      <c r="Q961" s="471" t="n"/>
      <c r="R961" s="471" t="n"/>
      <c r="S961" s="476" t="n"/>
    </row>
    <row r="962" ht="22.2" customHeight="1" s="330">
      <c r="A962" s="207" t="inlineStr">
        <is>
          <t>ผู้ตรวจ</t>
        </is>
      </c>
      <c r="B962" s="334" t="n"/>
      <c r="C962" s="334" t="n"/>
      <c r="D962" s="334" t="n"/>
      <c r="E962" s="334" t="n"/>
      <c r="F962" s="334" t="n"/>
      <c r="G962" s="334" t="n"/>
      <c r="H962" s="334" t="n"/>
      <c r="I962" s="335" t="n"/>
      <c r="J962" s="207" t="inlineStr">
        <is>
          <t>ผู้เห็นชอบ</t>
        </is>
      </c>
      <c r="K962" s="334" t="n"/>
      <c r="L962" s="334" t="n"/>
      <c r="M962" s="334" t="n"/>
      <c r="N962" s="334" t="n"/>
      <c r="O962" s="334" t="n"/>
      <c r="P962" s="334" t="n"/>
      <c r="Q962" s="334" t="n"/>
      <c r="R962" s="334" t="n"/>
      <c r="S962" s="335" t="n"/>
    </row>
    <row r="963" ht="22.2" customHeight="1" s="330">
      <c r="A963" s="252" t="inlineStr">
        <is>
          <t>ลงชื่อ……………………………………………</t>
        </is>
      </c>
      <c r="I963" s="331" t="n"/>
      <c r="J963" s="252" t="inlineStr">
        <is>
          <t>ลงชื่อ……………………………………………</t>
        </is>
      </c>
      <c r="S963" s="331" t="n"/>
    </row>
    <row r="964" ht="22.2" customHeight="1" s="330">
      <c r="A964" s="12" t="n"/>
      <c r="B964" s="309" t="inlineStr">
        <is>
          <t xml:space="preserve">          (นางศิวรักษ์   บุญประเสริฐ)</t>
        </is>
      </c>
      <c r="I964" s="310" t="n"/>
      <c r="J964" s="29" t="n"/>
      <c r="K964" s="29" t="n"/>
      <c r="L964" s="309" t="inlineStr">
        <is>
          <t>(นายปรีชา  โพธิ์เกิด)</t>
        </is>
      </c>
      <c r="R964" s="29" t="n"/>
      <c r="S964" s="13" t="n"/>
    </row>
    <row r="965" ht="22.2" customHeight="1" s="330">
      <c r="A965" s="62" t="inlineStr">
        <is>
          <t>ตำแหน่งครู  หัวหน้างานพัฒนาหลักสูตร ฯ</t>
        </is>
      </c>
      <c r="I965" s="331" t="n"/>
      <c r="J965" s="62" t="inlineStr">
        <is>
          <t>ตำแหน่ง  รองผู้อำนวยการฝ่ายวิชาการ</t>
        </is>
      </c>
      <c r="S965" s="331" t="n"/>
    </row>
    <row r="966" ht="22.2" customHeight="1" s="330">
      <c r="A966" s="63">
        <f>A41</f>
        <v/>
      </c>
      <c r="B966" s="471" t="n"/>
      <c r="C966" s="471" t="n"/>
      <c r="D966" s="471" t="n"/>
      <c r="E966" s="471" t="n"/>
      <c r="F966" s="471" t="n"/>
      <c r="G966" s="471" t="n"/>
      <c r="H966" s="471" t="n"/>
      <c r="I966" s="476" t="n"/>
      <c r="J966" s="63">
        <f>A41</f>
        <v/>
      </c>
      <c r="K966" s="471" t="n"/>
      <c r="L966" s="471" t="n"/>
      <c r="M966" s="471" t="n"/>
      <c r="N966" s="471" t="n"/>
      <c r="O966" s="471" t="n"/>
      <c r="P966" s="471" t="n"/>
      <c r="Q966" s="471" t="n"/>
      <c r="R966" s="471" t="n"/>
      <c r="S966" s="476" t="n"/>
    </row>
    <row r="967" ht="22.2" customHeight="1" s="330">
      <c r="A96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68" ht="22.2" customHeight="1" s="330">
      <c r="A968" s="254">
        <f>A2</f>
        <v/>
      </c>
    </row>
    <row r="969" ht="22.2" customHeight="1" s="330">
      <c r="A969" s="253" t="inlineStr">
        <is>
          <t xml:space="preserve">    ระหว่างวันที่</t>
        </is>
      </c>
      <c r="D969" s="254">
        <f>D3</f>
        <v/>
      </c>
      <c r="E969" s="254" t="inlineStr">
        <is>
          <t xml:space="preserve">   เดือน  </t>
        </is>
      </c>
      <c r="F969" s="254">
        <f>F3</f>
        <v/>
      </c>
      <c r="H969" s="254">
        <f>H3</f>
        <v/>
      </c>
      <c r="I969" s="254" t="inlineStr">
        <is>
          <t xml:space="preserve">     ถึง วันที่</t>
        </is>
      </c>
      <c r="J969" s="254">
        <f>J3</f>
        <v/>
      </c>
      <c r="K969" s="254" t="inlineStr">
        <is>
          <t xml:space="preserve">   เดือน </t>
        </is>
      </c>
      <c r="L969" s="254">
        <f>L3</f>
        <v/>
      </c>
      <c r="N969" s="254">
        <f>N3</f>
        <v/>
      </c>
      <c r="P969" s="254" t="n"/>
      <c r="R969" s="254" t="n"/>
    </row>
    <row r="970" ht="22.2" customHeight="1" s="330">
      <c r="G970" s="58" t="inlineStr">
        <is>
          <t>ü</t>
        </is>
      </c>
      <c r="H970" s="8" t="inlineStr">
        <is>
          <t>ครูพิเศษ</t>
        </is>
      </c>
      <c r="I970" s="249" t="inlineStr">
        <is>
          <t>หน้าที่พิเศษ</t>
        </is>
      </c>
      <c r="K970" s="290" t="n"/>
    </row>
    <row r="971" ht="22.2" customHeight="1" s="330">
      <c r="A971" s="28" t="inlineStr">
        <is>
          <t>ที่</t>
        </is>
      </c>
      <c r="B971" s="28" t="inlineStr">
        <is>
          <t>ชื่อ-สกุล</t>
        </is>
      </c>
      <c r="C971" s="334" t="n"/>
      <c r="D971" s="335" t="n"/>
      <c r="E971" s="16" t="inlineStr">
        <is>
          <t>ตำแหน่ง</t>
        </is>
      </c>
      <c r="F971" s="17" t="inlineStr">
        <is>
          <t>ระยะเวลาที่สอน</t>
        </is>
      </c>
      <c r="G971" s="362" t="n"/>
      <c r="H971" s="17" t="inlineStr">
        <is>
          <t>รหัสวิชา</t>
        </is>
      </c>
      <c r="I971" s="275" t="inlineStr">
        <is>
          <t>ชั้น,แผนก,ห้อง</t>
        </is>
      </c>
      <c r="J971" s="17" t="inlineStr">
        <is>
          <t>เวลาสอน</t>
        </is>
      </c>
      <c r="K971" s="335" t="n"/>
      <c r="L971" s="17" t="inlineStr">
        <is>
          <t>ปวช.(คาบ)</t>
        </is>
      </c>
      <c r="M971" s="362" t="n"/>
      <c r="N971" s="244" t="inlineStr">
        <is>
          <t>เงิน</t>
        </is>
      </c>
      <c r="O971" s="275" t="inlineStr">
        <is>
          <t>ยอดเงิน</t>
        </is>
      </c>
      <c r="P971" s="473" t="inlineStr">
        <is>
          <t>ปวส.(คาบ)</t>
        </is>
      </c>
      <c r="Q971" s="362" t="n"/>
      <c r="R971" s="244" t="inlineStr">
        <is>
          <t>เงิน</t>
        </is>
      </c>
      <c r="S971" s="275" t="inlineStr">
        <is>
          <t>ยอดเงิน</t>
        </is>
      </c>
    </row>
    <row r="972" ht="22.2" customHeight="1" s="330">
      <c r="A972" s="60" t="n"/>
      <c r="B972" s="9" t="n"/>
      <c r="C972" s="10" t="n"/>
      <c r="D972" s="14" t="n"/>
      <c r="E972" s="11" t="n"/>
      <c r="F972" s="276" t="inlineStr">
        <is>
          <t>ส.</t>
        </is>
      </c>
      <c r="G972" s="276" t="inlineStr">
        <is>
          <t>วดป.</t>
        </is>
      </c>
      <c r="H972" s="474" t="n"/>
      <c r="I972" s="276" t="n"/>
      <c r="J972" s="475" t="n"/>
      <c r="K972" s="476" t="n"/>
      <c r="L972" s="276" t="inlineStr">
        <is>
          <t>ใน</t>
        </is>
      </c>
      <c r="M972" s="276" t="inlineStr">
        <is>
          <t>นอก</t>
        </is>
      </c>
      <c r="N972" s="276" t="inlineStr">
        <is>
          <t>ต่อ ชม.</t>
        </is>
      </c>
      <c r="O972" s="276" t="inlineStr">
        <is>
          <t>(บาท)</t>
        </is>
      </c>
      <c r="P972" s="60" t="inlineStr">
        <is>
          <t>ใน</t>
        </is>
      </c>
      <c r="Q972" s="60" t="inlineStr">
        <is>
          <t>นอก</t>
        </is>
      </c>
      <c r="R972" s="276" t="inlineStr">
        <is>
          <t>ต่อ ชม.</t>
        </is>
      </c>
      <c r="S972" s="276" t="inlineStr">
        <is>
          <t>(บาท)</t>
        </is>
      </c>
    </row>
    <row r="973" ht="22.2" customHeight="1" s="330">
      <c r="A973" s="275" t="n">
        <v>22</v>
      </c>
      <c r="B973" s="477">
        <f>AB24</f>
        <v/>
      </c>
      <c r="C973" s="334" t="n"/>
      <c r="D973" s="335" t="n"/>
      <c r="E973" s="275" t="inlineStr">
        <is>
          <t>ครู</t>
        </is>
      </c>
      <c r="F973" s="6">
        <f>F7</f>
        <v/>
      </c>
      <c r="G973" s="303" t="inlineStr">
        <is>
          <t>จันทร์</t>
        </is>
      </c>
      <c r="H973" s="332" t="inlineStr">
        <is>
          <t>20101-2104</t>
        </is>
      </c>
      <c r="I973" s="325" t="inlineStr">
        <is>
          <t>ปวช.3/1 ชย. (ปกติ)</t>
        </is>
      </c>
      <c r="J973" s="332" t="inlineStr">
        <is>
          <t>08.10-12.10</t>
        </is>
      </c>
      <c r="K973" s="335" t="n"/>
      <c r="L973" s="265" t="n"/>
      <c r="M973" s="332" t="n"/>
      <c r="N973" s="332" t="n"/>
      <c r="O973" s="244">
        <f>M973*N973</f>
        <v/>
      </c>
      <c r="P973" s="332" t="n"/>
      <c r="Q973" s="265" t="n"/>
      <c r="R973" s="332" t="n"/>
      <c r="S973" s="244">
        <f>Q973*R973</f>
        <v/>
      </c>
    </row>
    <row r="974" ht="22.2" customHeight="1" s="330">
      <c r="A974" s="4" t="n"/>
      <c r="E974" s="252" t="inlineStr">
        <is>
          <t>พิเศษ</t>
        </is>
      </c>
      <c r="F974" s="249" t="n"/>
      <c r="G974" s="308">
        <f>G928</f>
        <v/>
      </c>
      <c r="H974" s="325" t="inlineStr">
        <is>
          <t>20101-2104</t>
        </is>
      </c>
      <c r="I974" s="325" t="inlineStr">
        <is>
          <t>ปวช.3/1 ชย. (ปกติ)</t>
        </is>
      </c>
      <c r="J974" s="252" t="inlineStr">
        <is>
          <t>13.10-16.10</t>
        </is>
      </c>
      <c r="K974" s="331" t="n"/>
      <c r="L974" s="252" t="n"/>
      <c r="M974" s="252" t="n"/>
      <c r="N974" s="252" t="n"/>
      <c r="O974" s="244">
        <f>M974*N974</f>
        <v/>
      </c>
      <c r="P974" s="252" t="n"/>
      <c r="Q974" s="252" t="n"/>
      <c r="R974" s="252" t="n"/>
      <c r="S974" s="244">
        <f>Q974*R974</f>
        <v/>
      </c>
    </row>
    <row r="975" ht="22.2" customHeight="1" s="330">
      <c r="A975" s="4" t="n"/>
      <c r="E975" s="4" t="n"/>
      <c r="F975" s="249" t="n"/>
      <c r="G975" s="248" t="n"/>
      <c r="H975" s="252" t="n"/>
      <c r="I975" s="252" t="n"/>
      <c r="J975" s="252" t="n"/>
      <c r="K975" s="331" t="n"/>
      <c r="L975" s="252" t="n"/>
      <c r="M975" s="252" t="n"/>
      <c r="N975" s="252" t="n"/>
      <c r="O975" s="244">
        <f>M975*N975</f>
        <v/>
      </c>
      <c r="P975" s="252" t="n"/>
      <c r="Q975" s="252" t="n"/>
      <c r="R975" s="252" t="n"/>
      <c r="S975" s="244">
        <f>Q975*R975</f>
        <v/>
      </c>
    </row>
    <row r="976" ht="22.2" customHeight="1" s="330">
      <c r="A976" s="4" t="n"/>
      <c r="B976" s="5" t="n"/>
      <c r="E976" s="4" t="n"/>
      <c r="F976" s="249" t="n"/>
      <c r="G976" s="248" t="n"/>
      <c r="H976" s="252" t="n"/>
      <c r="I976" s="252" t="n"/>
      <c r="J976" s="252" t="n"/>
      <c r="K976" s="331" t="n"/>
      <c r="L976" s="252" t="n"/>
      <c r="M976" s="252" t="n"/>
      <c r="N976" s="252" t="n"/>
      <c r="O976" s="244">
        <f>M976*N976</f>
        <v/>
      </c>
      <c r="P976" s="252" t="n"/>
      <c r="Q976" s="252" t="n"/>
      <c r="R976" s="252" t="n"/>
      <c r="S976" s="244">
        <f>Q976*R976</f>
        <v/>
      </c>
    </row>
    <row r="977" ht="22.2" customHeight="1" s="330">
      <c r="A977" s="4" t="n"/>
      <c r="E977" s="4" t="n"/>
      <c r="G977" s="311" t="n"/>
      <c r="H977" s="276" t="n"/>
      <c r="I977" s="276" t="n"/>
      <c r="J977" s="276" t="n"/>
      <c r="K977" s="476" t="n"/>
      <c r="L977" s="252" t="n"/>
      <c r="M977" s="252" t="n"/>
      <c r="N977" s="252" t="n"/>
      <c r="O977" s="244">
        <f>M977*N977</f>
        <v/>
      </c>
      <c r="P977" s="252" t="n"/>
      <c r="Q977" s="252" t="n"/>
      <c r="R977" s="252" t="n"/>
      <c r="S977" s="244">
        <f>Q977*R977</f>
        <v/>
      </c>
    </row>
    <row r="978" ht="22.2" customHeight="1" s="330">
      <c r="A978" s="4" t="n"/>
      <c r="E978" s="4" t="n"/>
      <c r="G978" s="62" t="inlineStr">
        <is>
          <t>อังคาร</t>
        </is>
      </c>
      <c r="H978" s="332" t="inlineStr">
        <is>
          <t>20101-2104</t>
        </is>
      </c>
      <c r="I978" s="325" t="inlineStr">
        <is>
          <t>ปวช.3/2 ชย. (ปกติ)</t>
        </is>
      </c>
      <c r="J978" s="332" t="inlineStr">
        <is>
          <t>08.10-12.10</t>
        </is>
      </c>
      <c r="K978" s="335" t="n"/>
      <c r="L978" s="265" t="n"/>
      <c r="M978" s="332" t="n"/>
      <c r="N978" s="332" t="n"/>
      <c r="O978" s="244">
        <f>M978*N978</f>
        <v/>
      </c>
      <c r="P978" s="332" t="n"/>
      <c r="Q978" s="265" t="n"/>
      <c r="R978" s="332" t="n"/>
      <c r="S978" s="244">
        <f>Q978*R978</f>
        <v/>
      </c>
    </row>
    <row r="979" ht="22.2" customHeight="1" s="330">
      <c r="A979" s="4" t="n"/>
      <c r="E979" s="4" t="n"/>
      <c r="G979" s="308">
        <f>G933</f>
        <v/>
      </c>
      <c r="H979" s="325" t="inlineStr">
        <is>
          <t>20101-2104</t>
        </is>
      </c>
      <c r="I979" s="325" t="inlineStr">
        <is>
          <t>ปวช.3/2 ชย. (ปกติ)</t>
        </is>
      </c>
      <c r="J979" s="252" t="inlineStr">
        <is>
          <t>13.10-16.10</t>
        </is>
      </c>
      <c r="K979" s="331" t="n"/>
      <c r="L979" s="252" t="n"/>
      <c r="M979" s="252" t="n"/>
      <c r="N979" s="252" t="n"/>
      <c r="O979" s="244">
        <f>M979*N979</f>
        <v/>
      </c>
      <c r="P979" s="252" t="n"/>
      <c r="Q979" s="252" t="n"/>
      <c r="R979" s="252" t="n"/>
      <c r="S979" s="244">
        <f>Q979*R979</f>
        <v/>
      </c>
    </row>
    <row r="980" ht="22.2" customHeight="1" s="330">
      <c r="A980" s="4" t="n"/>
      <c r="B980" s="5" t="n"/>
      <c r="D980" s="3" t="n"/>
      <c r="E980" s="3" t="n"/>
      <c r="G980" s="252" t="n"/>
      <c r="H980" s="248" t="n"/>
      <c r="I980" s="252" t="n"/>
      <c r="J980" s="252" t="n"/>
      <c r="K980" s="331" t="n"/>
      <c r="L980" s="252" t="n"/>
      <c r="M980" s="252" t="n"/>
      <c r="N980" s="252" t="n"/>
      <c r="O980" s="244">
        <f>M980*N980</f>
        <v/>
      </c>
      <c r="P980" s="252" t="n"/>
      <c r="Q980" s="252" t="n"/>
      <c r="R980" s="252" t="n"/>
      <c r="S980" s="244">
        <f>Q980*R980</f>
        <v/>
      </c>
    </row>
    <row r="981" ht="22.2" customHeight="1" s="330">
      <c r="A981" s="4" t="n"/>
      <c r="E981" s="4" t="n"/>
      <c r="G981" s="62" t="n"/>
      <c r="H981" s="248" t="n"/>
      <c r="I981" s="252" t="n"/>
      <c r="J981" s="252" t="n"/>
      <c r="K981" s="331" t="n"/>
      <c r="L981" s="252" t="n"/>
      <c r="M981" s="252" t="n"/>
      <c r="N981" s="252" t="n"/>
      <c r="O981" s="244">
        <f>M981*N981</f>
        <v/>
      </c>
      <c r="P981" s="252" t="n"/>
      <c r="Q981" s="252" t="n"/>
      <c r="R981" s="252" t="n"/>
      <c r="S981" s="244">
        <f>Q981*R981</f>
        <v/>
      </c>
    </row>
    <row r="982" ht="22.2" customHeight="1" s="330">
      <c r="A982" s="4" t="n"/>
      <c r="D982" s="8" t="inlineStr">
        <is>
          <t> </t>
        </is>
      </c>
      <c r="E982" s="4" t="n"/>
      <c r="G982" s="63" t="n"/>
      <c r="H982" s="276" t="n"/>
      <c r="I982" s="276" t="n"/>
      <c r="J982" s="276" t="n"/>
      <c r="K982" s="476" t="n"/>
      <c r="L982" s="252" t="n"/>
      <c r="M982" s="252" t="n"/>
      <c r="N982" s="252" t="n"/>
      <c r="O982" s="244">
        <f>M982*N982</f>
        <v/>
      </c>
      <c r="P982" s="252" t="n"/>
      <c r="Q982" s="252" t="n"/>
      <c r="R982" s="252" t="n"/>
      <c r="S982" s="244">
        <f>Q982*R982</f>
        <v/>
      </c>
    </row>
    <row r="983" ht="22.2" customHeight="1" s="330">
      <c r="A983" s="4" t="n"/>
      <c r="E983" s="4" t="n"/>
      <c r="G983" s="308" t="inlineStr">
        <is>
          <t>พุธ</t>
        </is>
      </c>
      <c r="H983" s="332" t="inlineStr">
        <is>
          <t>20101-2104</t>
        </is>
      </c>
      <c r="I983" s="325" t="inlineStr">
        <is>
          <t>ปวช.3/3 ชย. (ปกติ)</t>
        </is>
      </c>
      <c r="J983" s="332" t="inlineStr">
        <is>
          <t>08.10-12.10</t>
        </is>
      </c>
      <c r="K983" s="335" t="n"/>
      <c r="L983" s="265" t="n"/>
      <c r="M983" s="332" t="n"/>
      <c r="N983" s="332" t="n"/>
      <c r="O983" s="244">
        <f>M983*N983</f>
        <v/>
      </c>
      <c r="P983" s="332" t="n"/>
      <c r="Q983" s="265" t="n"/>
      <c r="R983" s="332" t="n"/>
      <c r="S983" s="244">
        <f>Q983*R983</f>
        <v/>
      </c>
    </row>
    <row r="984" ht="22.2" customHeight="1" s="330">
      <c r="A984" s="4" t="n"/>
      <c r="B984" s="248" t="n"/>
      <c r="C984" s="249" t="n"/>
      <c r="D984" s="249" t="n"/>
      <c r="E984" s="252" t="n"/>
      <c r="G984" s="308">
        <f>G938</f>
        <v/>
      </c>
      <c r="H984" s="325" t="inlineStr">
        <is>
          <t>20101-2104</t>
        </is>
      </c>
      <c r="I984" s="325" t="inlineStr">
        <is>
          <t>ปวช.3/3 ชย. (ปกติ)</t>
        </is>
      </c>
      <c r="J984" s="252" t="inlineStr">
        <is>
          <t>13.10-16.10</t>
        </is>
      </c>
      <c r="K984" s="331" t="n"/>
      <c r="L984" s="252" t="n"/>
      <c r="M984" s="252" t="n"/>
      <c r="N984" s="252" t="n"/>
      <c r="O984" s="244">
        <f>M984*N984</f>
        <v/>
      </c>
      <c r="P984" s="252" t="n"/>
      <c r="Q984" s="252" t="n"/>
      <c r="R984" s="252" t="n"/>
      <c r="S984" s="244">
        <f>Q984*R984</f>
        <v/>
      </c>
    </row>
    <row r="985" ht="22.2" customHeight="1" s="330">
      <c r="A985" s="4" t="n"/>
      <c r="B985" s="5" t="n"/>
      <c r="D985" s="3" t="n"/>
      <c r="E985" s="3" t="n"/>
      <c r="G985" s="252" t="n"/>
      <c r="H985" s="252" t="n"/>
      <c r="I985" s="325" t="n"/>
      <c r="J985" s="252" t="n"/>
      <c r="K985" s="331" t="n"/>
      <c r="L985" s="252" t="n"/>
      <c r="M985" s="252" t="n"/>
      <c r="N985" s="252" t="n"/>
      <c r="O985" s="244">
        <f>M985*N985</f>
        <v/>
      </c>
      <c r="P985" s="252" t="n"/>
      <c r="Q985" s="252" t="n"/>
      <c r="R985" s="252" t="n"/>
      <c r="S985" s="244">
        <f>Q985*R985</f>
        <v/>
      </c>
    </row>
    <row r="986" ht="22.2" customHeight="1" s="330">
      <c r="A986" s="4" t="n"/>
      <c r="E986" s="4" t="n"/>
      <c r="G986" s="248" t="n"/>
      <c r="H986" s="248" t="n"/>
      <c r="I986" s="252" t="n"/>
      <c r="J986" s="252" t="n"/>
      <c r="K986" s="331" t="n"/>
      <c r="L986" s="252" t="n"/>
      <c r="M986" s="252" t="n"/>
      <c r="N986" s="252" t="n"/>
      <c r="O986" s="244">
        <f>M986*N986</f>
        <v/>
      </c>
      <c r="P986" s="252" t="n"/>
      <c r="Q986" s="252" t="n"/>
      <c r="R986" s="252" t="n"/>
      <c r="S986" s="244">
        <f>Q986*R986</f>
        <v/>
      </c>
    </row>
    <row r="987" ht="22.2" customHeight="1" s="330">
      <c r="A987" s="4" t="n"/>
      <c r="E987" s="4" t="n"/>
      <c r="G987" s="277" t="n"/>
      <c r="H987" s="277" t="n"/>
      <c r="I987" s="276" t="n"/>
      <c r="J987" s="276" t="n"/>
      <c r="K987" s="476" t="n"/>
      <c r="L987" s="276" t="n"/>
      <c r="M987" s="276" t="n"/>
      <c r="N987" s="276" t="n"/>
      <c r="O987" s="244">
        <f>M987*N987</f>
        <v/>
      </c>
      <c r="P987" s="276" t="n"/>
      <c r="Q987" s="276" t="n"/>
      <c r="R987" s="276" t="n"/>
      <c r="S987" s="244">
        <f>Q987*R987</f>
        <v/>
      </c>
    </row>
    <row r="988" ht="22.2" customHeight="1" s="330">
      <c r="A988" s="4" t="n"/>
      <c r="E988" s="4" t="n"/>
      <c r="G988" s="62" t="inlineStr">
        <is>
          <t>พฤหัส</t>
        </is>
      </c>
      <c r="H988" s="325" t="inlineStr">
        <is>
          <t>20101-2106</t>
        </is>
      </c>
      <c r="I988" s="325" t="inlineStr">
        <is>
          <t>ปวช.3/5 ชย. (ปกติ)</t>
        </is>
      </c>
      <c r="J988" s="332" t="inlineStr">
        <is>
          <t>08.10-12.10</t>
        </is>
      </c>
      <c r="K988" s="335" t="n"/>
      <c r="L988" s="265" t="n"/>
      <c r="M988" s="332" t="n"/>
      <c r="N988" s="332" t="n"/>
      <c r="O988" s="244">
        <f>M988*N988</f>
        <v/>
      </c>
      <c r="P988" s="332" t="n"/>
      <c r="Q988" s="265" t="n"/>
      <c r="R988" s="332" t="n"/>
      <c r="S988" s="244">
        <f>Q988*R988</f>
        <v/>
      </c>
    </row>
    <row r="989" ht="22.2" customHeight="1" s="330">
      <c r="A989" s="4" t="n"/>
      <c r="E989" s="4" t="n"/>
      <c r="G989" s="308">
        <f>G943</f>
        <v/>
      </c>
      <c r="H989" s="325" t="n"/>
      <c r="I989" s="325" t="n"/>
      <c r="J989" s="252" t="n"/>
      <c r="K989" s="331" t="n"/>
      <c r="L989" s="252" t="n"/>
      <c r="M989" s="252" t="n"/>
      <c r="N989" s="252" t="n"/>
      <c r="O989" s="244">
        <f>M989*N989</f>
        <v/>
      </c>
      <c r="P989" s="252" t="n"/>
      <c r="Q989" s="252" t="n"/>
      <c r="R989" s="252" t="n"/>
      <c r="S989" s="244">
        <f>Q989*R989</f>
        <v/>
      </c>
    </row>
    <row r="990" ht="22.2" customHeight="1" s="330">
      <c r="A990" s="4" t="n"/>
      <c r="B990" s="5" t="n"/>
      <c r="E990" s="4" t="n"/>
      <c r="G990" s="252" t="n"/>
      <c r="H990" s="325" t="n"/>
      <c r="I990" s="325" t="n"/>
      <c r="J990" s="252" t="n"/>
      <c r="K990" s="331" t="n"/>
      <c r="L990" s="252" t="n"/>
      <c r="M990" s="252" t="n"/>
      <c r="N990" s="252" t="n"/>
      <c r="O990" s="244">
        <f>M990*N990</f>
        <v/>
      </c>
      <c r="P990" s="252" t="n"/>
      <c r="Q990" s="252" t="n"/>
      <c r="R990" s="252" t="n"/>
      <c r="S990" s="244">
        <f>Q990*R990</f>
        <v/>
      </c>
    </row>
    <row r="991" ht="22.2" customHeight="1" s="330">
      <c r="A991" s="4" t="n"/>
      <c r="E991" s="4" t="n"/>
      <c r="G991" s="252" t="n"/>
      <c r="H991" s="252" t="n"/>
      <c r="I991" s="252" t="n"/>
      <c r="J991" s="252" t="n"/>
      <c r="K991" s="331" t="n"/>
      <c r="L991" s="252" t="n"/>
      <c r="M991" s="252" t="n"/>
      <c r="N991" s="252" t="n"/>
      <c r="O991" s="244">
        <f>M991*N991</f>
        <v/>
      </c>
      <c r="P991" s="252" t="n"/>
      <c r="Q991" s="252" t="n"/>
      <c r="R991" s="252" t="n"/>
      <c r="S991" s="244">
        <f>Q991*R991</f>
        <v/>
      </c>
    </row>
    <row r="992" ht="22.2" customHeight="1" s="330">
      <c r="A992" s="4" t="n"/>
      <c r="E992" s="4" t="n"/>
      <c r="G992" s="276" t="n"/>
      <c r="H992" s="301" t="n"/>
      <c r="I992" s="276" t="n"/>
      <c r="J992" s="276" t="n"/>
      <c r="K992" s="476" t="n"/>
      <c r="L992" s="276" t="n"/>
      <c r="M992" s="276" t="n"/>
      <c r="N992" s="276" t="n"/>
      <c r="O992" s="244">
        <f>M992*N992</f>
        <v/>
      </c>
      <c r="P992" s="276" t="n"/>
      <c r="Q992" s="276" t="n"/>
      <c r="R992" s="276" t="n"/>
      <c r="S992" s="244">
        <f>Q992*R992</f>
        <v/>
      </c>
    </row>
    <row r="993" ht="22.2" customHeight="1" s="330">
      <c r="A993" s="4" t="n"/>
      <c r="E993" s="4" t="n"/>
      <c r="G993" s="62" t="inlineStr">
        <is>
          <t>ศุกร์</t>
        </is>
      </c>
      <c r="H993" s="325" t="inlineStr">
        <is>
          <t>20101-2104</t>
        </is>
      </c>
      <c r="I993" s="325" t="inlineStr">
        <is>
          <t>ปวช.3/4 ชย. (ปกติ)</t>
        </is>
      </c>
      <c r="J993" s="332" t="inlineStr">
        <is>
          <t>09.10-12.10</t>
        </is>
      </c>
      <c r="K993" s="335" t="n"/>
      <c r="L993" s="265" t="n"/>
      <c r="M993" s="332" t="n"/>
      <c r="N993" s="332" t="n"/>
      <c r="O993" s="244">
        <f>M993*N993</f>
        <v/>
      </c>
      <c r="P993" s="332" t="n"/>
      <c r="Q993" s="265" t="n"/>
      <c r="R993" s="332" t="n"/>
      <c r="S993" s="244">
        <f>Q993*R993</f>
        <v/>
      </c>
    </row>
    <row r="994" ht="22.2" customHeight="1" s="330">
      <c r="A994" s="4" t="n"/>
      <c r="E994" s="4" t="n"/>
      <c r="G994" s="308">
        <f>G948</f>
        <v/>
      </c>
      <c r="H994" s="325" t="inlineStr">
        <is>
          <t>20101-2104</t>
        </is>
      </c>
      <c r="I994" s="325" t="inlineStr">
        <is>
          <t>ปวช.3/4 ชย. (ปกติ)</t>
        </is>
      </c>
      <c r="J994" s="252" t="inlineStr">
        <is>
          <t>13.10-17.10</t>
        </is>
      </c>
      <c r="K994" s="331" t="n"/>
      <c r="L994" s="252" t="n"/>
      <c r="M994" s="252" t="n"/>
      <c r="N994" s="252" t="n"/>
      <c r="O994" s="244">
        <f>M994*N994</f>
        <v/>
      </c>
      <c r="P994" s="252" t="n"/>
      <c r="Q994" s="252" t="n"/>
      <c r="R994" s="252" t="n"/>
      <c r="S994" s="244">
        <f>Q994*R994</f>
        <v/>
      </c>
    </row>
    <row r="995" ht="22.2" customHeight="1" s="330">
      <c r="A995" s="4" t="n"/>
      <c r="E995" s="4" t="n"/>
      <c r="G995" s="252" t="n"/>
      <c r="H995" s="252" t="n"/>
      <c r="I995" s="252" t="n"/>
      <c r="J995" s="325" t="n"/>
      <c r="K995" s="331" t="n"/>
      <c r="L995" s="285" t="n"/>
      <c r="M995" s="325" t="n"/>
      <c r="N995" s="325" t="n"/>
      <c r="O995" s="244">
        <f>M995*N995</f>
        <v/>
      </c>
      <c r="P995" s="325" t="n"/>
      <c r="Q995" s="285" t="n"/>
      <c r="R995" s="325" t="n"/>
      <c r="S995" s="244">
        <f>Q995*R995</f>
        <v/>
      </c>
    </row>
    <row r="996" ht="22.2" customHeight="1" s="330">
      <c r="A996" s="4" t="n"/>
      <c r="E996" s="4" t="n"/>
      <c r="G996" s="252" t="n"/>
      <c r="H996" s="252" t="n"/>
      <c r="I996" s="252" t="n"/>
      <c r="J996" s="252" t="n"/>
      <c r="K996" s="331" t="n"/>
      <c r="L996" s="252" t="n"/>
      <c r="M996" s="252" t="n"/>
      <c r="N996" s="252" t="n"/>
      <c r="O996" s="244">
        <f>M996*N996</f>
        <v/>
      </c>
      <c r="P996" s="252" t="n"/>
      <c r="Q996" s="252" t="n"/>
      <c r="R996" s="252" t="n"/>
      <c r="S996" s="244">
        <f>Q996*R996</f>
        <v/>
      </c>
    </row>
    <row r="997" ht="22.2" customHeight="1" s="330">
      <c r="A997" s="4" t="n"/>
      <c r="E997" s="4" t="n"/>
      <c r="F997" s="4" t="n"/>
      <c r="G997" s="278" t="n"/>
      <c r="H997" s="277" t="n"/>
      <c r="I997" s="276" t="n"/>
      <c r="J997" s="276" t="n"/>
      <c r="K997" s="476" t="n"/>
      <c r="L997" s="276" t="n"/>
      <c r="M997" s="276" t="n"/>
      <c r="N997" s="276" t="n"/>
      <c r="O997" s="244">
        <f>M997*N997</f>
        <v/>
      </c>
      <c r="P997" s="276" t="n"/>
      <c r="Q997" s="276" t="n"/>
      <c r="R997" s="276" t="n"/>
      <c r="S997" s="244">
        <f>Q997*R997</f>
        <v/>
      </c>
    </row>
    <row r="998" ht="22.2" customHeight="1" s="330">
      <c r="A998" s="4" t="n"/>
      <c r="E998" s="4" t="n"/>
      <c r="F998" s="4" t="n"/>
      <c r="G998" s="17" t="inlineStr">
        <is>
          <t>รวมขั่วโมงที่สอนแยก ภาระงาน/ เกินภาระงาน</t>
        </is>
      </c>
      <c r="H998" s="467" t="n"/>
      <c r="I998" s="467" t="n"/>
      <c r="J998" s="467" t="n"/>
      <c r="K998" s="362" t="n"/>
      <c r="L998" s="17">
        <f>SUM(L973:L997)</f>
        <v/>
      </c>
      <c r="M998" s="17">
        <f>SUM(M973:M997)</f>
        <v/>
      </c>
      <c r="N998" s="17" t="n"/>
      <c r="O998" s="17" t="n"/>
      <c r="P998" s="17">
        <f>SUM(P973:P997)</f>
        <v/>
      </c>
      <c r="Q998" s="17">
        <f>SUM(Q973:Q997)</f>
        <v/>
      </c>
      <c r="R998" s="279" t="n"/>
      <c r="S998" s="17" t="n"/>
      <c r="T998" s="25" t="n"/>
      <c r="U998" s="26" t="inlineStr">
        <is>
          <t xml:space="preserve">     PLC</t>
        </is>
      </c>
      <c r="V998" s="64" t="n"/>
      <c r="W998" s="27" t="n"/>
      <c r="X998" s="27" t="n"/>
    </row>
    <row r="999" ht="22.2" customHeight="1" s="330">
      <c r="A999" s="4" t="n"/>
      <c r="E999" s="4" t="n"/>
      <c r="F999" s="4" t="n"/>
      <c r="G999" s="17" t="inlineStr">
        <is>
          <t>รวมจำนวนชั่วโมงสอนคาบต่อสับดาห์</t>
        </is>
      </c>
      <c r="H999" s="467" t="n"/>
      <c r="I999" s="467" t="n"/>
      <c r="J999" s="467" t="n"/>
      <c r="K999" s="362" t="n"/>
      <c r="L999" s="17">
        <f>L998+M998</f>
        <v/>
      </c>
      <c r="M999" s="362" t="n"/>
      <c r="N999" s="298" t="n"/>
      <c r="O999" s="17" t="n"/>
      <c r="P999" s="17">
        <f>P998+Q998</f>
        <v/>
      </c>
      <c r="Q999" s="362" t="n"/>
      <c r="R999" s="278" t="n"/>
      <c r="S999" s="276" t="n"/>
      <c r="T999" s="27" t="inlineStr">
        <is>
          <t> </t>
        </is>
      </c>
      <c r="U999" s="26" t="inlineStr">
        <is>
          <t>17.10-19.10</t>
        </is>
      </c>
      <c r="V999" s="64" t="n"/>
      <c r="W999" s="27" t="n"/>
      <c r="X999" s="27" t="n"/>
    </row>
    <row r="1000" ht="22.2" customHeight="1" s="330">
      <c r="A1000" s="4" t="n"/>
      <c r="E1000" s="4" t="n"/>
      <c r="F1000" s="4" t="n"/>
      <c r="G1000" s="17" t="inlineStr">
        <is>
          <t>จำนวนชั่วโมงสอนตามภาระงานสอน</t>
        </is>
      </c>
      <c r="H1000" s="467" t="n"/>
      <c r="I1000" s="467" t="n"/>
      <c r="J1000" s="467" t="n"/>
      <c r="K1000" s="362" t="n"/>
      <c r="L1000" s="17" t="n">
        <v>18</v>
      </c>
      <c r="M1000" s="362" t="n"/>
      <c r="N1000" s="298" t="n"/>
      <c r="O1000" s="17" t="n"/>
      <c r="P1000" s="17" t="n">
        <v>0</v>
      </c>
      <c r="Q1000" s="362" t="n"/>
      <c r="R1000" s="249" t="n"/>
      <c r="S1000" s="252" t="n"/>
    </row>
    <row r="1001" ht="22.2" customHeight="1" s="330" thickBot="1">
      <c r="A1001" s="4" t="n"/>
      <c r="E1001" s="4" t="n"/>
      <c r="F1001" s="15" t="n"/>
      <c r="G1001" s="17" t="inlineStr">
        <is>
          <t>จำนวนชั่วโมงบิกเกินภาระงานสอน/ค่าสอน</t>
        </is>
      </c>
      <c r="H1001" s="467" t="n"/>
      <c r="I1001" s="467" t="n"/>
      <c r="J1001" s="467" t="n"/>
      <c r="K1001" s="362" t="n"/>
      <c r="L1001" s="18" t="n">
        <v>0</v>
      </c>
      <c r="M1001" s="18">
        <f>SUM(M973:M997)</f>
        <v/>
      </c>
      <c r="N1001" s="18" t="n"/>
      <c r="O1001" s="18">
        <f>SUM(O973:O997)</f>
        <v/>
      </c>
      <c r="P1001" s="18" t="n">
        <v>0</v>
      </c>
      <c r="Q1001" s="18">
        <f>SUM(Q973:Q997)</f>
        <v/>
      </c>
      <c r="R1001" s="19" t="n"/>
      <c r="S1001" s="18">
        <f>SUM(S973:S997)</f>
        <v/>
      </c>
    </row>
    <row r="1002" ht="22.2" customHeight="1" s="330" thickTop="1">
      <c r="A1002" s="299" t="inlineStr">
        <is>
          <t>รวมจำนวนหน่วยชั่วโมงที่ขอเบิกค่าสอน ….</t>
        </is>
      </c>
      <c r="B1002" s="467" t="n"/>
      <c r="C1002" s="467" t="n"/>
      <c r="D1002" s="467" t="n"/>
      <c r="E1002" s="467" t="n"/>
      <c r="F1002" s="467" t="n"/>
      <c r="G1002" s="467" t="n"/>
      <c r="H1002" s="298">
        <f>M1001+Q1001</f>
        <v/>
      </c>
      <c r="I1002" s="298" t="inlineStr">
        <is>
          <t>….ชั่วโมง</t>
        </is>
      </c>
      <c r="J1002" s="298" t="n"/>
      <c r="K1002" s="301" t="inlineStr">
        <is>
          <t>ยอดเงินรวม</t>
        </is>
      </c>
      <c r="L1002" s="471" t="n"/>
      <c r="M1002" s="471" t="n"/>
      <c r="N1002" s="301" t="n"/>
      <c r="O1002" s="301" t="n"/>
      <c r="P1002" s="302">
        <f>S1001+O1001</f>
        <v/>
      </c>
      <c r="Q1002" s="482" t="n"/>
      <c r="R1002" s="21" t="n"/>
      <c r="S1002" s="20" t="inlineStr">
        <is>
          <t>..บาท</t>
        </is>
      </c>
    </row>
    <row r="1003" ht="22.2" customHeight="1" s="330">
      <c r="A1003" s="207" t="inlineStr">
        <is>
          <t>ผู้ขอเบิก</t>
        </is>
      </c>
      <c r="B1003" s="334" t="n"/>
      <c r="C1003" s="334" t="n"/>
      <c r="D1003" s="334" t="n"/>
      <c r="E1003" s="334" t="n"/>
      <c r="F1003" s="334" t="n"/>
      <c r="G1003" s="335" t="n"/>
      <c r="H1003" s="207" t="inlineStr">
        <is>
          <t>ผู้รับรอง</t>
        </is>
      </c>
      <c r="I1003" s="334" t="n"/>
      <c r="J1003" s="334" t="n"/>
      <c r="K1003" s="334" t="n"/>
      <c r="L1003" s="335" t="n"/>
      <c r="M1003" s="207" t="inlineStr">
        <is>
          <t>ผู้ตรวจ</t>
        </is>
      </c>
      <c r="N1003" s="334" t="n"/>
      <c r="O1003" s="334" t="n"/>
      <c r="P1003" s="334" t="n"/>
      <c r="Q1003" s="334" t="n"/>
      <c r="R1003" s="334" t="n"/>
      <c r="S1003" s="335" t="n"/>
    </row>
    <row r="1004" ht="22.2" customHeight="1" s="330">
      <c r="A1004" s="252" t="inlineStr">
        <is>
          <t>ลงชื่อ……………………………………………</t>
        </is>
      </c>
      <c r="G1004" s="331" t="n"/>
      <c r="H1004" s="252" t="inlineStr">
        <is>
          <t>ลงชื่อ……………………………………………</t>
        </is>
      </c>
      <c r="L1004" s="331" t="n"/>
      <c r="M1004" s="252" t="inlineStr">
        <is>
          <t>ลงชื่อ……………………………………………</t>
        </is>
      </c>
      <c r="S1004" s="331" t="n"/>
    </row>
    <row r="1005" ht="22.2" customHeight="1" s="330">
      <c r="A1005" s="12" t="inlineStr">
        <is>
          <t>(</t>
        </is>
      </c>
      <c r="B1005" s="309">
        <f>B973</f>
        <v/>
      </c>
      <c r="G1005" s="310" t="inlineStr">
        <is>
          <t>)</t>
        </is>
      </c>
      <c r="H1005" s="309" t="inlineStr">
        <is>
          <t>(</t>
        </is>
      </c>
      <c r="I1005" s="314">
        <f>I959</f>
        <v/>
      </c>
      <c r="L1005" s="13" t="inlineStr">
        <is>
          <t>)</t>
        </is>
      </c>
      <c r="M1005" s="61" t="inlineStr">
        <is>
          <t>(</t>
        </is>
      </c>
      <c r="N1005" s="61" t="n"/>
      <c r="O1005" s="309" t="inlineStr">
        <is>
          <t>นายพิสุทธิศักดิ์  กล่อมนาค</t>
        </is>
      </c>
      <c r="R1005" s="29" t="n"/>
      <c r="S1005" s="310" t="inlineStr">
        <is>
          <t>)</t>
        </is>
      </c>
    </row>
    <row r="1006" ht="22.2" customHeight="1" s="330">
      <c r="A1006" s="483" t="inlineStr">
        <is>
          <t xml:space="preserve">                 ตำแหน่ง  ครูพิเศษ</t>
        </is>
      </c>
      <c r="G1006" s="331" t="n"/>
      <c r="H1006" s="62" t="inlineStr">
        <is>
          <t>ตำแหน่ง หัวหน้าแผนก</t>
        </is>
      </c>
      <c r="L1006" s="331" t="n"/>
      <c r="M1006" s="62" t="inlineStr">
        <is>
          <t>ตำแหน่ง   ผู้ตรวจสอบ</t>
        </is>
      </c>
      <c r="S1006" s="331" t="n"/>
    </row>
    <row r="1007" ht="22.2" customHeight="1" s="330">
      <c r="A1007" s="63">
        <f>A41</f>
        <v/>
      </c>
      <c r="B1007" s="471" t="n"/>
      <c r="C1007" s="471" t="n"/>
      <c r="D1007" s="471" t="n"/>
      <c r="E1007" s="471" t="n"/>
      <c r="F1007" s="471" t="n"/>
      <c r="G1007" s="476" t="n"/>
      <c r="H1007" s="62">
        <f>A41</f>
        <v/>
      </c>
      <c r="L1007" s="331" t="n"/>
      <c r="M1007" s="63">
        <f>A41</f>
        <v/>
      </c>
      <c r="N1007" s="471" t="n"/>
      <c r="O1007" s="471" t="n"/>
      <c r="P1007" s="471" t="n"/>
      <c r="Q1007" s="471" t="n"/>
      <c r="R1007" s="471" t="n"/>
      <c r="S1007" s="476" t="n"/>
    </row>
    <row r="1008" ht="22.2" customHeight="1" s="330">
      <c r="A1008" s="207" t="inlineStr">
        <is>
          <t>ผู้ตรวจ</t>
        </is>
      </c>
      <c r="B1008" s="334" t="n"/>
      <c r="C1008" s="334" t="n"/>
      <c r="D1008" s="334" t="n"/>
      <c r="E1008" s="334" t="n"/>
      <c r="F1008" s="334" t="n"/>
      <c r="G1008" s="334" t="n"/>
      <c r="H1008" s="334" t="n"/>
      <c r="I1008" s="335" t="n"/>
      <c r="J1008" s="207" t="inlineStr">
        <is>
          <t>ผู้เห็นชอบ</t>
        </is>
      </c>
      <c r="K1008" s="334" t="n"/>
      <c r="L1008" s="334" t="n"/>
      <c r="M1008" s="334" t="n"/>
      <c r="N1008" s="334" t="n"/>
      <c r="O1008" s="334" t="n"/>
      <c r="P1008" s="334" t="n"/>
      <c r="Q1008" s="334" t="n"/>
      <c r="R1008" s="334" t="n"/>
      <c r="S1008" s="335" t="n"/>
    </row>
    <row r="1009" ht="22.2" customHeight="1" s="330">
      <c r="A1009" s="252" t="inlineStr">
        <is>
          <t>ลงชื่อ……………………………………………</t>
        </is>
      </c>
      <c r="I1009" s="331" t="n"/>
      <c r="J1009" s="252" t="inlineStr">
        <is>
          <t>ลงชื่อ……………………………………………</t>
        </is>
      </c>
      <c r="S1009" s="331" t="n"/>
    </row>
    <row r="1010" ht="22.2" customHeight="1" s="330">
      <c r="A1010" s="12" t="n"/>
      <c r="B1010" s="309" t="inlineStr">
        <is>
          <t xml:space="preserve">          (นางศิวรักษ์   บุญประเสริฐ)</t>
        </is>
      </c>
      <c r="I1010" s="310" t="n"/>
      <c r="J1010" s="29" t="n"/>
      <c r="K1010" s="29" t="n"/>
      <c r="L1010" s="309" t="inlineStr">
        <is>
          <t>(นายปรีชา  โพธิ์เกิด)</t>
        </is>
      </c>
      <c r="R1010" s="29" t="n"/>
      <c r="S1010" s="13" t="n"/>
    </row>
    <row r="1011" ht="22.2" customHeight="1" s="330">
      <c r="A1011" s="62" t="inlineStr">
        <is>
          <t>ตำแหน่งครู  หัวหน้างานพัฒนาหลักสูตร ฯ</t>
        </is>
      </c>
      <c r="I1011" s="331" t="n"/>
      <c r="J1011" s="62" t="inlineStr">
        <is>
          <t>ตำแหน่ง  รองผู้อำนวยการฝ่ายวิชาการ</t>
        </is>
      </c>
      <c r="S1011" s="331" t="n"/>
    </row>
    <row r="1012" ht="22.2" customHeight="1" s="330">
      <c r="A1012" s="63">
        <f>A41</f>
        <v/>
      </c>
      <c r="B1012" s="471" t="n"/>
      <c r="C1012" s="471" t="n"/>
      <c r="D1012" s="471" t="n"/>
      <c r="E1012" s="471" t="n"/>
      <c r="F1012" s="471" t="n"/>
      <c r="G1012" s="471" t="n"/>
      <c r="H1012" s="471" t="n"/>
      <c r="I1012" s="476" t="n"/>
      <c r="J1012" s="63">
        <f>A41</f>
        <v/>
      </c>
      <c r="K1012" s="471" t="n"/>
      <c r="L1012" s="471" t="n"/>
      <c r="M1012" s="471" t="n"/>
      <c r="N1012" s="471" t="n"/>
      <c r="O1012" s="471" t="n"/>
      <c r="P1012" s="471" t="n"/>
      <c r="Q1012" s="471" t="n"/>
      <c r="R1012" s="471" t="n"/>
      <c r="S1012" s="476" t="n"/>
    </row>
    <row r="1013" ht="22.2" customHeight="1" s="330">
      <c r="A101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014" ht="22.2" customHeight="1" s="330">
      <c r="A1014" s="254">
        <f>A2</f>
        <v/>
      </c>
    </row>
    <row r="1015" ht="22.2" customHeight="1" s="330">
      <c r="A1015" s="253" t="inlineStr">
        <is>
          <t xml:space="preserve">    ระหว่างวันที่</t>
        </is>
      </c>
      <c r="D1015" s="254">
        <f>D3</f>
        <v/>
      </c>
      <c r="E1015" s="254" t="inlineStr">
        <is>
          <t xml:space="preserve">   เดือน  </t>
        </is>
      </c>
      <c r="F1015" s="254">
        <f>F3</f>
        <v/>
      </c>
      <c r="H1015" s="254">
        <f>H3</f>
        <v/>
      </c>
      <c r="I1015" s="254" t="inlineStr">
        <is>
          <t xml:space="preserve">     ถึง วันที่</t>
        </is>
      </c>
      <c r="J1015" s="254">
        <f>J3</f>
        <v/>
      </c>
      <c r="K1015" s="254" t="inlineStr">
        <is>
          <t xml:space="preserve">   เดือน </t>
        </is>
      </c>
      <c r="L1015" s="254">
        <f>L3</f>
        <v/>
      </c>
      <c r="N1015" s="254">
        <f>N3</f>
        <v/>
      </c>
      <c r="P1015" s="254" t="n"/>
      <c r="R1015" s="254" t="n"/>
    </row>
    <row r="1016" ht="22.2" customHeight="1" s="330">
      <c r="G1016" s="58" t="inlineStr">
        <is>
          <t>ü</t>
        </is>
      </c>
      <c r="H1016" s="8" t="inlineStr">
        <is>
          <t>ครูพิเศษ</t>
        </is>
      </c>
      <c r="I1016" s="249" t="inlineStr">
        <is>
          <t>หน้าที่พิเศษ</t>
        </is>
      </c>
      <c r="K1016" s="290" t="n"/>
    </row>
    <row r="1017" ht="22.2" customHeight="1" s="330">
      <c r="A1017" s="28" t="inlineStr">
        <is>
          <t>ที่</t>
        </is>
      </c>
      <c r="B1017" s="28" t="inlineStr">
        <is>
          <t>ชื่อ-สกุล</t>
        </is>
      </c>
      <c r="C1017" s="334" t="n"/>
      <c r="D1017" s="335" t="n"/>
      <c r="E1017" s="16" t="inlineStr">
        <is>
          <t>ตำแหน่ง</t>
        </is>
      </c>
      <c r="F1017" s="17" t="inlineStr">
        <is>
          <t>ระยะเวลาที่สอน</t>
        </is>
      </c>
      <c r="G1017" s="362" t="n"/>
      <c r="H1017" s="17" t="inlineStr">
        <is>
          <t>รหัสวิชา</t>
        </is>
      </c>
      <c r="I1017" s="275" t="inlineStr">
        <is>
          <t>ชั้น,แผนก,ห้อง</t>
        </is>
      </c>
      <c r="J1017" s="17" t="inlineStr">
        <is>
          <t>เวลาสอน</t>
        </is>
      </c>
      <c r="K1017" s="335" t="n"/>
      <c r="L1017" s="17" t="inlineStr">
        <is>
          <t>ปวช.(คาบ)</t>
        </is>
      </c>
      <c r="M1017" s="362" t="n"/>
      <c r="N1017" s="244" t="inlineStr">
        <is>
          <t>เงิน</t>
        </is>
      </c>
      <c r="O1017" s="275" t="inlineStr">
        <is>
          <t>ยอดเงิน</t>
        </is>
      </c>
      <c r="P1017" s="473" t="inlineStr">
        <is>
          <t>ปวส.(คาบ)</t>
        </is>
      </c>
      <c r="Q1017" s="362" t="n"/>
      <c r="R1017" s="244" t="inlineStr">
        <is>
          <t>เงิน</t>
        </is>
      </c>
      <c r="S1017" s="275" t="inlineStr">
        <is>
          <t>ยอดเงิน</t>
        </is>
      </c>
    </row>
    <row r="1018" ht="22.2" customHeight="1" s="330">
      <c r="A1018" s="60" t="n"/>
      <c r="B1018" s="9" t="n"/>
      <c r="C1018" s="10" t="n"/>
      <c r="D1018" s="14" t="n"/>
      <c r="E1018" s="11" t="n"/>
      <c r="F1018" s="276" t="inlineStr">
        <is>
          <t>ส.</t>
        </is>
      </c>
      <c r="G1018" s="276" t="inlineStr">
        <is>
          <t>วดป.</t>
        </is>
      </c>
      <c r="H1018" s="474" t="n"/>
      <c r="I1018" s="276" t="n"/>
      <c r="J1018" s="475" t="n"/>
      <c r="K1018" s="476" t="n"/>
      <c r="L1018" s="276" t="inlineStr">
        <is>
          <t>ใน</t>
        </is>
      </c>
      <c r="M1018" s="276" t="inlineStr">
        <is>
          <t>นอก</t>
        </is>
      </c>
      <c r="N1018" s="276" t="inlineStr">
        <is>
          <t>ต่อ ชม.</t>
        </is>
      </c>
      <c r="O1018" s="276" t="inlineStr">
        <is>
          <t>(บาท)</t>
        </is>
      </c>
      <c r="P1018" s="60" t="inlineStr">
        <is>
          <t>ใน</t>
        </is>
      </c>
      <c r="Q1018" s="60" t="inlineStr">
        <is>
          <t>นอก</t>
        </is>
      </c>
      <c r="R1018" s="276" t="inlineStr">
        <is>
          <t>ต่อ ชม.</t>
        </is>
      </c>
      <c r="S1018" s="276" t="inlineStr">
        <is>
          <t>(บาท)</t>
        </is>
      </c>
    </row>
    <row r="1019" ht="22.2" customHeight="1" s="330">
      <c r="A1019" s="275" t="n">
        <v>23</v>
      </c>
      <c r="B1019" s="477">
        <f>AB25</f>
        <v/>
      </c>
      <c r="C1019" s="334" t="n"/>
      <c r="D1019" s="335" t="n"/>
      <c r="E1019" s="275" t="inlineStr">
        <is>
          <t>ครู</t>
        </is>
      </c>
      <c r="F1019" s="6">
        <f>F7</f>
        <v/>
      </c>
      <c r="G1019" s="303" t="inlineStr">
        <is>
          <t>จันทร์</t>
        </is>
      </c>
      <c r="H1019" s="252" t="inlineStr">
        <is>
          <t>20101-8501</t>
        </is>
      </c>
      <c r="I1019" s="325" t="inlineStr">
        <is>
          <t>ปวช.3/9,10 ชย. (ทวิ)</t>
        </is>
      </c>
      <c r="J1019" s="332" t="inlineStr">
        <is>
          <t>08.10-12.10</t>
        </is>
      </c>
      <c r="K1019" s="335" t="n"/>
      <c r="L1019" s="265" t="n"/>
      <c r="M1019" s="332" t="n"/>
      <c r="N1019" s="332" t="n"/>
      <c r="O1019" s="244">
        <f>M1019*N1019</f>
        <v/>
      </c>
      <c r="P1019" s="332" t="n"/>
      <c r="Q1019" s="265" t="n"/>
      <c r="R1019" s="332" t="n"/>
      <c r="S1019" s="244">
        <f>Q1019*R1019</f>
        <v/>
      </c>
    </row>
    <row r="1020" ht="22.2" customHeight="1" s="330">
      <c r="A1020" s="4" t="n"/>
      <c r="B1020" s="478" t="n"/>
      <c r="D1020" s="331" t="n"/>
      <c r="E1020" s="252" t="inlineStr">
        <is>
          <t>พิเศษ</t>
        </is>
      </c>
      <c r="F1020" s="249" t="n"/>
      <c r="G1020" s="308">
        <f>G974</f>
        <v/>
      </c>
      <c r="H1020" s="252" t="n"/>
      <c r="I1020" s="325" t="n"/>
      <c r="J1020" s="325" t="n"/>
      <c r="K1020" s="331" t="n"/>
      <c r="L1020" s="252" t="n"/>
      <c r="M1020" s="252" t="n"/>
      <c r="N1020" s="252" t="n"/>
      <c r="O1020" s="244">
        <f>M1020*N1020</f>
        <v/>
      </c>
      <c r="P1020" s="252" t="n"/>
      <c r="Q1020" s="252" t="n"/>
      <c r="R1020" s="252" t="n"/>
      <c r="S1020" s="244">
        <f>Q1020*R1020</f>
        <v/>
      </c>
    </row>
    <row r="1021" ht="22.2" customHeight="1" s="330">
      <c r="A1021" s="4" t="n"/>
      <c r="B1021" s="5" t="n"/>
      <c r="D1021" s="3" t="n"/>
      <c r="E1021" s="3" t="n"/>
      <c r="F1021" s="249" t="n"/>
      <c r="G1021" s="248" t="n"/>
      <c r="H1021" s="252" t="n"/>
      <c r="I1021" s="252" t="n"/>
      <c r="J1021" s="252" t="n"/>
      <c r="K1021" s="331" t="n"/>
      <c r="L1021" s="252" t="n"/>
      <c r="M1021" s="252" t="n"/>
      <c r="N1021" s="252" t="n"/>
      <c r="O1021" s="244">
        <f>M1021*N1021</f>
        <v/>
      </c>
      <c r="P1021" s="252" t="n"/>
      <c r="Q1021" s="252" t="n"/>
      <c r="R1021" s="252" t="n"/>
      <c r="S1021" s="244">
        <f>Q1021*R1021</f>
        <v/>
      </c>
    </row>
    <row r="1022" ht="22.2" customHeight="1" s="330">
      <c r="A1022" s="4" t="n"/>
      <c r="B1022" s="5" t="n"/>
      <c r="E1022" s="4" t="n"/>
      <c r="F1022" s="249" t="n"/>
      <c r="G1022" s="248" t="n"/>
      <c r="H1022" s="252" t="n"/>
      <c r="I1022" s="252" t="n"/>
      <c r="J1022" s="252" t="n"/>
      <c r="K1022" s="331" t="n"/>
      <c r="L1022" s="252" t="n"/>
      <c r="M1022" s="252" t="n"/>
      <c r="N1022" s="252" t="n"/>
      <c r="O1022" s="244">
        <f>M1022*N1022</f>
        <v/>
      </c>
      <c r="P1022" s="252" t="n"/>
      <c r="Q1022" s="252" t="n"/>
      <c r="R1022" s="252" t="n"/>
      <c r="S1022" s="244">
        <f>Q1022*R1022</f>
        <v/>
      </c>
    </row>
    <row r="1023" ht="22.2" customHeight="1" s="330">
      <c r="A1023" s="4" t="n"/>
      <c r="E1023" s="4" t="n"/>
      <c r="G1023" s="311" t="n"/>
      <c r="H1023" s="276" t="n"/>
      <c r="I1023" s="276" t="n"/>
      <c r="J1023" s="276" t="n"/>
      <c r="K1023" s="476" t="n"/>
      <c r="L1023" s="252" t="n"/>
      <c r="M1023" s="252" t="n"/>
      <c r="N1023" s="252" t="n"/>
      <c r="O1023" s="244">
        <f>M1023*N1023</f>
        <v/>
      </c>
      <c r="P1023" s="252" t="n"/>
      <c r="Q1023" s="252" t="n"/>
      <c r="R1023" s="252" t="n"/>
      <c r="S1023" s="244">
        <f>Q1023*R1023</f>
        <v/>
      </c>
    </row>
    <row r="1024" ht="22.2" customHeight="1" s="330">
      <c r="A1024" s="4" t="n"/>
      <c r="E1024" s="4" t="n"/>
      <c r="G1024" s="62" t="inlineStr">
        <is>
          <t>อังคาร</t>
        </is>
      </c>
      <c r="H1024" s="252" t="inlineStr">
        <is>
          <t>20101-2001</t>
        </is>
      </c>
      <c r="I1024" s="325" t="inlineStr">
        <is>
          <t>ปวช.1/10 ชย. (ทวิ)</t>
        </is>
      </c>
      <c r="J1024" s="332" t="inlineStr">
        <is>
          <t>08.10-12.10</t>
        </is>
      </c>
      <c r="K1024" s="335" t="n"/>
      <c r="L1024" s="265" t="n"/>
      <c r="M1024" s="332" t="n"/>
      <c r="N1024" s="332" t="n"/>
      <c r="O1024" s="244">
        <f>M1024*N1024</f>
        <v/>
      </c>
      <c r="P1024" s="332" t="n"/>
      <c r="Q1024" s="265" t="n"/>
      <c r="R1024" s="332" t="n"/>
      <c r="S1024" s="244">
        <f>Q1024*R1024</f>
        <v/>
      </c>
    </row>
    <row r="1025" ht="22.2" customHeight="1" s="330">
      <c r="A1025" s="4" t="n"/>
      <c r="E1025" s="4" t="n"/>
      <c r="G1025" s="308">
        <f>G979</f>
        <v/>
      </c>
      <c r="H1025" s="252" t="inlineStr">
        <is>
          <t>20101-2001</t>
        </is>
      </c>
      <c r="I1025" s="325" t="inlineStr">
        <is>
          <t>ปวช.1/10 ชย. (ทวิ)</t>
        </is>
      </c>
      <c r="J1025" s="252" t="inlineStr">
        <is>
          <t>13.10-16.10</t>
        </is>
      </c>
      <c r="K1025" s="331" t="n"/>
      <c r="L1025" s="252" t="n"/>
      <c r="M1025" s="252" t="n"/>
      <c r="N1025" s="252" t="n"/>
      <c r="O1025" s="244">
        <f>M1025*N1025</f>
        <v/>
      </c>
      <c r="P1025" s="252" t="n"/>
      <c r="Q1025" s="252" t="n"/>
      <c r="R1025" s="252" t="n"/>
      <c r="S1025" s="244">
        <f>Q1025*R1025</f>
        <v/>
      </c>
    </row>
    <row r="1026" ht="22.2" customHeight="1" s="330">
      <c r="A1026" s="4" t="n"/>
      <c r="B1026" s="5" t="n"/>
      <c r="D1026" s="3" t="n"/>
      <c r="E1026" s="3" t="n"/>
      <c r="G1026" s="252" t="n"/>
      <c r="H1026" s="252" t="n"/>
      <c r="I1026" s="252" t="n"/>
      <c r="J1026" s="252" t="n"/>
      <c r="K1026" s="331" t="n"/>
      <c r="L1026" s="252" t="n"/>
      <c r="M1026" s="252" t="n"/>
      <c r="N1026" s="252" t="n"/>
      <c r="O1026" s="244">
        <f>M1026*N1026</f>
        <v/>
      </c>
      <c r="P1026" s="252" t="n"/>
      <c r="Q1026" s="252" t="n"/>
      <c r="R1026" s="252" t="n"/>
      <c r="S1026" s="244">
        <f>Q1026*R1026</f>
        <v/>
      </c>
    </row>
    <row r="1027" ht="22.2" customHeight="1" s="330">
      <c r="A1027" s="4" t="n"/>
      <c r="E1027" s="4" t="n"/>
      <c r="G1027" s="62" t="n"/>
      <c r="H1027" s="252" t="n"/>
      <c r="I1027" s="252" t="n"/>
      <c r="J1027" s="252" t="n"/>
      <c r="K1027" s="331" t="n"/>
      <c r="L1027" s="252" t="n"/>
      <c r="M1027" s="252" t="n"/>
      <c r="N1027" s="252" t="n"/>
      <c r="O1027" s="244">
        <f>M1027*N1027</f>
        <v/>
      </c>
      <c r="P1027" s="252" t="n"/>
      <c r="Q1027" s="252" t="n"/>
      <c r="R1027" s="252" t="n"/>
      <c r="S1027" s="244">
        <f>Q1027*R1027</f>
        <v/>
      </c>
    </row>
    <row r="1028" ht="22.2" customHeight="1" s="330">
      <c r="A1028" s="4" t="n"/>
      <c r="D1028" s="8" t="inlineStr">
        <is>
          <t> </t>
        </is>
      </c>
      <c r="E1028" s="4" t="n"/>
      <c r="G1028" s="63" t="n"/>
      <c r="H1028" s="276" t="n"/>
      <c r="I1028" s="276" t="n"/>
      <c r="J1028" s="276" t="n"/>
      <c r="K1028" s="476" t="n"/>
      <c r="L1028" s="252" t="n"/>
      <c r="M1028" s="252" t="n"/>
      <c r="N1028" s="252" t="n"/>
      <c r="O1028" s="244">
        <f>M1028*N1028</f>
        <v/>
      </c>
      <c r="P1028" s="252" t="n"/>
      <c r="Q1028" s="252" t="n"/>
      <c r="R1028" s="252" t="n"/>
      <c r="S1028" s="244">
        <f>Q1028*R1028</f>
        <v/>
      </c>
    </row>
    <row r="1029" ht="22.2" customHeight="1" s="330">
      <c r="A1029" s="4" t="n"/>
      <c r="E1029" s="4" t="n"/>
      <c r="G1029" s="308" t="inlineStr">
        <is>
          <t>พุธ</t>
        </is>
      </c>
      <c r="H1029" s="252" t="inlineStr">
        <is>
          <t>20101-2101</t>
        </is>
      </c>
      <c r="I1029" s="325" t="inlineStr">
        <is>
          <t>ปวช.1/4 ชย. (ปกติ)</t>
        </is>
      </c>
      <c r="J1029" s="332" t="inlineStr">
        <is>
          <t>08.10-12.10</t>
        </is>
      </c>
      <c r="K1029" s="335" t="n"/>
      <c r="L1029" s="265" t="n"/>
      <c r="M1029" s="332" t="n"/>
      <c r="N1029" s="332" t="n"/>
      <c r="O1029" s="244">
        <f>M1029*N1029</f>
        <v/>
      </c>
      <c r="P1029" s="332" t="n"/>
      <c r="Q1029" s="265" t="n"/>
      <c r="R1029" s="332" t="n"/>
      <c r="S1029" s="244">
        <f>Q1029*R1029</f>
        <v/>
      </c>
    </row>
    <row r="1030" ht="22.2" customHeight="1" s="330">
      <c r="A1030" s="4" t="n"/>
      <c r="B1030" s="248" t="n"/>
      <c r="C1030" s="249" t="n"/>
      <c r="D1030" s="249" t="n"/>
      <c r="E1030" s="252" t="n"/>
      <c r="G1030" s="308">
        <f>G984</f>
        <v/>
      </c>
      <c r="H1030" s="252" t="inlineStr">
        <is>
          <t>20101-2101</t>
        </is>
      </c>
      <c r="I1030" s="325" t="inlineStr">
        <is>
          <t>ปวช.1/4 ชย. (ปกติ)</t>
        </is>
      </c>
      <c r="J1030" s="252" t="inlineStr">
        <is>
          <t>13.10-16.10</t>
        </is>
      </c>
      <c r="K1030" s="331" t="n"/>
      <c r="L1030" s="252" t="n"/>
      <c r="M1030" s="252" t="n"/>
      <c r="N1030" s="252" t="n"/>
      <c r="O1030" s="244">
        <f>M1030*N1030</f>
        <v/>
      </c>
      <c r="P1030" s="252" t="n"/>
      <c r="Q1030" s="252" t="n"/>
      <c r="R1030" s="252" t="n"/>
      <c r="S1030" s="244">
        <f>Q1030*R1030</f>
        <v/>
      </c>
    </row>
    <row r="1031" ht="22.2" customHeight="1" s="330">
      <c r="A1031" s="4" t="n"/>
      <c r="B1031" s="5" t="n"/>
      <c r="D1031" s="3" t="n"/>
      <c r="E1031" s="3" t="n"/>
      <c r="G1031" s="252" t="n"/>
      <c r="H1031" s="252" t="n"/>
      <c r="I1031" s="325" t="n"/>
      <c r="J1031" s="252" t="n"/>
      <c r="K1031" s="331" t="n"/>
      <c r="L1031" s="252" t="n"/>
      <c r="M1031" s="252" t="n"/>
      <c r="N1031" s="252" t="n"/>
      <c r="O1031" s="244">
        <f>M1031*N1031</f>
        <v/>
      </c>
      <c r="P1031" s="252" t="n"/>
      <c r="Q1031" s="252" t="n"/>
      <c r="R1031" s="252" t="n"/>
      <c r="S1031" s="244">
        <f>Q1031*R1031</f>
        <v/>
      </c>
    </row>
    <row r="1032" ht="22.2" customHeight="1" s="330">
      <c r="A1032" s="4" t="n"/>
      <c r="E1032" s="4" t="n"/>
      <c r="G1032" s="248" t="n"/>
      <c r="H1032" s="248" t="n"/>
      <c r="I1032" s="252" t="n"/>
      <c r="J1032" s="252" t="n"/>
      <c r="K1032" s="331" t="n"/>
      <c r="L1032" s="252" t="n"/>
      <c r="M1032" s="252" t="n"/>
      <c r="N1032" s="252" t="n"/>
      <c r="O1032" s="244">
        <f>M1032*N1032</f>
        <v/>
      </c>
      <c r="P1032" s="252" t="n"/>
      <c r="Q1032" s="252" t="n"/>
      <c r="R1032" s="252" t="n"/>
      <c r="S1032" s="244">
        <f>Q1032*R1032</f>
        <v/>
      </c>
    </row>
    <row r="1033" ht="22.2" customHeight="1" s="330">
      <c r="A1033" s="4" t="n"/>
      <c r="E1033" s="4" t="n"/>
      <c r="G1033" s="277" t="n"/>
      <c r="H1033" s="277" t="n"/>
      <c r="I1033" s="276" t="n"/>
      <c r="J1033" s="276" t="n"/>
      <c r="K1033" s="476" t="n"/>
      <c r="L1033" s="276" t="n"/>
      <c r="M1033" s="276" t="n"/>
      <c r="N1033" s="276" t="n"/>
      <c r="O1033" s="244">
        <f>M1033*N1033</f>
        <v/>
      </c>
      <c r="P1033" s="276" t="n"/>
      <c r="Q1033" s="276" t="n"/>
      <c r="R1033" s="276" t="n"/>
      <c r="S1033" s="244">
        <f>Q1033*R1033</f>
        <v/>
      </c>
    </row>
    <row r="1034" ht="22.2" customHeight="1" s="330">
      <c r="A1034" s="4" t="n"/>
      <c r="E1034" s="4" t="n"/>
      <c r="G1034" s="62" t="inlineStr">
        <is>
          <t>พฤหัส</t>
        </is>
      </c>
      <c r="H1034" s="252" t="inlineStr">
        <is>
          <t>20101-2101</t>
        </is>
      </c>
      <c r="I1034" s="325" t="inlineStr">
        <is>
          <t>ปวช.1/1 ชย. (ปกติ)</t>
        </is>
      </c>
      <c r="J1034" s="332" t="inlineStr">
        <is>
          <t>08.10-12.10</t>
        </is>
      </c>
      <c r="K1034" s="335" t="n"/>
      <c r="L1034" s="325" t="n"/>
      <c r="M1034" s="275" t="n"/>
      <c r="N1034" s="275" t="n"/>
      <c r="O1034" s="244">
        <f>M1034*N1034</f>
        <v/>
      </c>
      <c r="P1034" s="275" t="n"/>
      <c r="Q1034" s="275" t="n"/>
      <c r="R1034" s="275" t="n"/>
      <c r="S1034" s="244">
        <f>Q1034*R1034</f>
        <v/>
      </c>
      <c r="T1034" s="25" t="n"/>
      <c r="U1034" s="26" t="inlineStr">
        <is>
          <t xml:space="preserve">     PLC</t>
        </is>
      </c>
      <c r="V1034" s="64" t="n"/>
      <c r="W1034" s="27" t="n"/>
      <c r="X1034" s="27" t="n"/>
    </row>
    <row r="1035" ht="22.2" customHeight="1" s="330">
      <c r="A1035" s="4" t="n"/>
      <c r="E1035" s="4" t="n"/>
      <c r="G1035" s="308">
        <f>G989</f>
        <v/>
      </c>
      <c r="H1035" s="252" t="inlineStr">
        <is>
          <t>20101-2101</t>
        </is>
      </c>
      <c r="I1035" s="325" t="inlineStr">
        <is>
          <t>ปวช.1/1 ชย. (ปกติ)</t>
        </is>
      </c>
      <c r="J1035" s="252" t="inlineStr">
        <is>
          <t>15.10-18.10</t>
        </is>
      </c>
      <c r="K1035" s="331" t="n"/>
      <c r="L1035" s="252" t="n"/>
      <c r="M1035" s="252" t="n"/>
      <c r="N1035" s="252" t="n"/>
      <c r="O1035" s="244">
        <f>M1035*N1035</f>
        <v/>
      </c>
      <c r="P1035" s="252" t="n"/>
      <c r="Q1035" s="252" t="n"/>
      <c r="R1035" s="252" t="n"/>
      <c r="S1035" s="244">
        <f>Q1035*R1035</f>
        <v/>
      </c>
      <c r="T1035" s="27" t="inlineStr">
        <is>
          <t> </t>
        </is>
      </c>
      <c r="U1035" s="26" t="inlineStr">
        <is>
          <t>17.10-19.10</t>
        </is>
      </c>
      <c r="V1035" s="64" t="n"/>
      <c r="W1035" s="27" t="n"/>
      <c r="X1035" s="27" t="n"/>
    </row>
    <row r="1036" ht="22.2" customHeight="1" s="330">
      <c r="A1036" s="4" t="n"/>
      <c r="B1036" s="5" t="n"/>
      <c r="E1036" s="4" t="n"/>
      <c r="G1036" s="252" t="n"/>
      <c r="H1036" s="252" t="n"/>
      <c r="I1036" s="325" t="n"/>
      <c r="J1036" s="252" t="n"/>
      <c r="K1036" s="331" t="n"/>
      <c r="L1036" s="252" t="n"/>
      <c r="M1036" s="325" t="n"/>
      <c r="N1036" s="325" t="n"/>
      <c r="O1036" s="244">
        <f>M1036*N1036</f>
        <v/>
      </c>
      <c r="P1036" s="325" t="n"/>
      <c r="Q1036" s="325" t="n"/>
      <c r="R1036" s="325" t="n"/>
      <c r="S1036" s="244">
        <f>Q1036*R1036</f>
        <v/>
      </c>
    </row>
    <row r="1037" ht="22.2" customHeight="1" s="330">
      <c r="A1037" s="4" t="n"/>
      <c r="E1037" s="4" t="n"/>
      <c r="G1037" s="252" t="n"/>
      <c r="H1037" s="252" t="n"/>
      <c r="I1037" s="252" t="n"/>
      <c r="J1037" s="252" t="n"/>
      <c r="K1037" s="331" t="n"/>
      <c r="L1037" s="252" t="n"/>
      <c r="M1037" s="252" t="n"/>
      <c r="N1037" s="252" t="n"/>
      <c r="O1037" s="244">
        <f>M1037*N1037</f>
        <v/>
      </c>
      <c r="P1037" s="252" t="n"/>
      <c r="Q1037" s="252" t="n"/>
      <c r="R1037" s="252" t="n"/>
      <c r="S1037" s="244">
        <f>Q1037*R1037</f>
        <v/>
      </c>
    </row>
    <row r="1038" ht="22.2" customHeight="1" s="330">
      <c r="A1038" s="4" t="n"/>
      <c r="E1038" s="4" t="n"/>
      <c r="G1038" s="276" t="n"/>
      <c r="H1038" s="277" t="n"/>
      <c r="I1038" s="276" t="n"/>
      <c r="J1038" s="276" t="n"/>
      <c r="K1038" s="476" t="n"/>
      <c r="L1038" s="276" t="n"/>
      <c r="M1038" s="276" t="n"/>
      <c r="N1038" s="276" t="n"/>
      <c r="O1038" s="244">
        <f>M1038*N1038</f>
        <v/>
      </c>
      <c r="P1038" s="276" t="n"/>
      <c r="Q1038" s="276" t="n"/>
      <c r="R1038" s="276" t="n"/>
      <c r="S1038" s="244">
        <f>Q1038*R1038</f>
        <v/>
      </c>
    </row>
    <row r="1039" ht="22.2" customHeight="1" s="330">
      <c r="A1039" s="4" t="n"/>
      <c r="E1039" s="4" t="n"/>
      <c r="G1039" s="62" t="inlineStr">
        <is>
          <t>ศุกร์</t>
        </is>
      </c>
      <c r="H1039" s="252" t="inlineStr">
        <is>
          <t>20101-2101</t>
        </is>
      </c>
      <c r="I1039" s="325" t="inlineStr">
        <is>
          <t>ปวช.1/3 ชย. (ปกติ)</t>
        </is>
      </c>
      <c r="J1039" s="332" t="inlineStr">
        <is>
          <t>08.10-12.10</t>
        </is>
      </c>
      <c r="K1039" s="335" t="n"/>
      <c r="L1039" s="252" t="n"/>
      <c r="M1039" s="252" t="n"/>
      <c r="N1039" s="252" t="n"/>
      <c r="O1039" s="244">
        <f>M1039*N1039</f>
        <v/>
      </c>
      <c r="P1039" s="332" t="n"/>
      <c r="Q1039" s="265" t="n"/>
      <c r="R1039" s="332" t="n"/>
      <c r="S1039" s="244">
        <f>Q1039*R1039</f>
        <v/>
      </c>
    </row>
    <row r="1040" ht="22.2" customHeight="1" s="330">
      <c r="A1040" s="4" t="n"/>
      <c r="E1040" s="4" t="n"/>
      <c r="G1040" s="308">
        <f>G994</f>
        <v/>
      </c>
      <c r="H1040" s="252" t="inlineStr">
        <is>
          <t>20101-2101</t>
        </is>
      </c>
      <c r="I1040" s="325" t="inlineStr">
        <is>
          <t>ปวช.1/3 ชย. (ปกติ)</t>
        </is>
      </c>
      <c r="J1040" s="252" t="inlineStr">
        <is>
          <t>13.10-16.10</t>
        </is>
      </c>
      <c r="K1040" s="331" t="n"/>
      <c r="L1040" s="252" t="n"/>
      <c r="M1040" s="252" t="n"/>
      <c r="N1040" s="252" t="n"/>
      <c r="O1040" s="244">
        <f>M1040*N1040</f>
        <v/>
      </c>
      <c r="P1040" s="252" t="n"/>
      <c r="Q1040" s="252" t="n"/>
      <c r="R1040" s="252" t="n"/>
      <c r="S1040" s="244">
        <f>Q1040*R1040</f>
        <v/>
      </c>
    </row>
    <row r="1041" ht="22.2" customHeight="1" s="330">
      <c r="A1041" s="4" t="n"/>
      <c r="E1041" s="4" t="n"/>
      <c r="G1041" s="252" t="n"/>
      <c r="H1041" s="252" t="n"/>
      <c r="I1041" s="252" t="n"/>
      <c r="J1041" s="252" t="n"/>
      <c r="K1041" s="331" t="n"/>
      <c r="L1041" s="252" t="n"/>
      <c r="M1041" s="252" t="n"/>
      <c r="N1041" s="252" t="n"/>
      <c r="O1041" s="244">
        <f>M1041*N1041</f>
        <v/>
      </c>
      <c r="P1041" s="252" t="n"/>
      <c r="Q1041" s="252" t="n"/>
      <c r="R1041" s="252" t="n"/>
      <c r="S1041" s="244">
        <f>Q1041*R1041</f>
        <v/>
      </c>
    </row>
    <row r="1042" ht="22.2" customHeight="1" s="330">
      <c r="A1042" s="4" t="n"/>
      <c r="E1042" s="4" t="n"/>
      <c r="G1042" s="252" t="n"/>
      <c r="H1042" s="252" t="n"/>
      <c r="I1042" s="252" t="n"/>
      <c r="J1042" s="252" t="n"/>
      <c r="K1042" s="331" t="n"/>
      <c r="L1042" s="252" t="n"/>
      <c r="M1042" s="252" t="n"/>
      <c r="N1042" s="252" t="n"/>
      <c r="O1042" s="244">
        <f>M1042*N1042</f>
        <v/>
      </c>
      <c r="P1042" s="252" t="n"/>
      <c r="Q1042" s="252" t="n"/>
      <c r="R1042" s="252" t="n"/>
      <c r="S1042" s="244">
        <f>Q1042*R1042</f>
        <v/>
      </c>
    </row>
    <row r="1043" ht="22.2" customHeight="1" s="330">
      <c r="A1043" s="4" t="n"/>
      <c r="E1043" s="4" t="n"/>
      <c r="F1043" s="4" t="n"/>
      <c r="G1043" s="278" t="n"/>
      <c r="H1043" s="301" t="n"/>
      <c r="I1043" s="276" t="n"/>
      <c r="J1043" s="276" t="n"/>
      <c r="K1043" s="476" t="n"/>
      <c r="L1043" s="276" t="n"/>
      <c r="M1043" s="276" t="n"/>
      <c r="N1043" s="276" t="n"/>
      <c r="O1043" s="244">
        <f>M1043*N1043</f>
        <v/>
      </c>
      <c r="P1043" s="276" t="n"/>
      <c r="Q1043" s="276" t="n"/>
      <c r="R1043" s="276" t="n"/>
      <c r="S1043" s="244">
        <f>Q1043*R1043</f>
        <v/>
      </c>
    </row>
    <row r="1044" ht="22.2" customHeight="1" s="330">
      <c r="A1044" s="4" t="n"/>
      <c r="E1044" s="4" t="n"/>
      <c r="F1044" s="4" t="n"/>
      <c r="G1044" s="17" t="inlineStr">
        <is>
          <t>รวมขั่วโมงที่สอนแยก ภาระงาน/ เกินภาระงาน</t>
        </is>
      </c>
      <c r="H1044" s="467" t="n"/>
      <c r="I1044" s="467" t="n"/>
      <c r="J1044" s="467" t="n"/>
      <c r="K1044" s="362" t="n"/>
      <c r="L1044" s="17">
        <f>SUM(L1019:L1043)</f>
        <v/>
      </c>
      <c r="M1044" s="17">
        <f>SUM(M1019:M1043)</f>
        <v/>
      </c>
      <c r="N1044" s="17" t="n"/>
      <c r="O1044" s="17" t="n"/>
      <c r="P1044" s="17">
        <f>SUM(P1019:P1043)</f>
        <v/>
      </c>
      <c r="Q1044" s="17">
        <f>SUM(Q1019:Q1043)</f>
        <v/>
      </c>
      <c r="R1044" s="279" t="n"/>
      <c r="S1044" s="17" t="n"/>
    </row>
    <row r="1045" ht="22.2" customHeight="1" s="330">
      <c r="A1045" s="4" t="n"/>
      <c r="E1045" s="4" t="n"/>
      <c r="F1045" s="4" t="n"/>
      <c r="G1045" s="17" t="inlineStr">
        <is>
          <t>รวมจำนวนชั่วโมงสอนคาบต่อสับดาห์</t>
        </is>
      </c>
      <c r="H1045" s="467" t="n"/>
      <c r="I1045" s="467" t="n"/>
      <c r="J1045" s="467" t="n"/>
      <c r="K1045" s="362" t="n"/>
      <c r="L1045" s="17">
        <f>L1044+M1044</f>
        <v/>
      </c>
      <c r="M1045" s="362" t="n"/>
      <c r="N1045" s="298" t="n"/>
      <c r="O1045" s="17" t="n"/>
      <c r="P1045" s="17">
        <f>P1044+Q1044</f>
        <v/>
      </c>
      <c r="Q1045" s="362" t="n"/>
      <c r="R1045" s="278" t="n"/>
      <c r="S1045" s="276" t="n"/>
    </row>
    <row r="1046" ht="22.2" customHeight="1" s="330">
      <c r="A1046" s="4" t="n"/>
      <c r="E1046" s="4" t="n"/>
      <c r="F1046" s="4" t="n"/>
      <c r="G1046" s="17" t="inlineStr">
        <is>
          <t>จำนวนชั่วโมงสอนตามภาระงานสอน</t>
        </is>
      </c>
      <c r="H1046" s="467" t="n"/>
      <c r="I1046" s="467" t="n"/>
      <c r="J1046" s="467" t="n"/>
      <c r="K1046" s="362" t="n"/>
      <c r="L1046" s="17" t="n">
        <v>18</v>
      </c>
      <c r="M1046" s="362" t="n"/>
      <c r="N1046" s="298" t="n"/>
      <c r="O1046" s="17" t="n"/>
      <c r="P1046" s="17" t="n">
        <v>0</v>
      </c>
      <c r="Q1046" s="362" t="n"/>
      <c r="R1046" s="249" t="n"/>
      <c r="S1046" s="252" t="n"/>
    </row>
    <row r="1047" ht="22.2" customHeight="1" s="330" thickBot="1">
      <c r="A1047" s="4" t="n"/>
      <c r="E1047" s="4" t="n"/>
      <c r="F1047" s="15" t="n"/>
      <c r="G1047" s="17" t="inlineStr">
        <is>
          <t>จำนวนชั่วโมงบิกเกินภาระงานสอน/ค่าสอน</t>
        </is>
      </c>
      <c r="H1047" s="467" t="n"/>
      <c r="I1047" s="467" t="n"/>
      <c r="J1047" s="467" t="n"/>
      <c r="K1047" s="362" t="n"/>
      <c r="L1047" s="18" t="n">
        <v>0</v>
      </c>
      <c r="M1047" s="18">
        <f>SUM(M1019:M1043)</f>
        <v/>
      </c>
      <c r="N1047" s="18" t="n"/>
      <c r="O1047" s="18">
        <f>SUM(O1019:O1043)</f>
        <v/>
      </c>
      <c r="P1047" s="18" t="n">
        <v>0</v>
      </c>
      <c r="Q1047" s="18">
        <f>SUM(Q1019:Q1043)</f>
        <v/>
      </c>
      <c r="R1047" s="19" t="n"/>
      <c r="S1047" s="18">
        <f>SUM(S1019:S1043)</f>
        <v/>
      </c>
    </row>
    <row r="1048" ht="22.2" customHeight="1" s="330" thickTop="1">
      <c r="A1048" s="299" t="inlineStr">
        <is>
          <t>รวมจำนวนหน่วยชั่วโมงที่ขอเบิกค่าสอน ….</t>
        </is>
      </c>
      <c r="B1048" s="467" t="n"/>
      <c r="C1048" s="467" t="n"/>
      <c r="D1048" s="467" t="n"/>
      <c r="E1048" s="467" t="n"/>
      <c r="F1048" s="467" t="n"/>
      <c r="G1048" s="467" t="n"/>
      <c r="H1048" s="298">
        <f>M1047+Q1047</f>
        <v/>
      </c>
      <c r="I1048" s="298" t="inlineStr">
        <is>
          <t>….ชั่วโมง</t>
        </is>
      </c>
      <c r="J1048" s="298" t="n"/>
      <c r="K1048" s="301" t="inlineStr">
        <is>
          <t>ยอดเงินรวม</t>
        </is>
      </c>
      <c r="L1048" s="471" t="n"/>
      <c r="M1048" s="471" t="n"/>
      <c r="N1048" s="301" t="n"/>
      <c r="O1048" s="301" t="n"/>
      <c r="P1048" s="302">
        <f>S1047+O1047</f>
        <v/>
      </c>
      <c r="Q1048" s="482" t="n"/>
      <c r="R1048" s="21" t="n"/>
      <c r="S1048" s="20" t="inlineStr">
        <is>
          <t>..บาท</t>
        </is>
      </c>
    </row>
    <row r="1049" ht="22.2" customHeight="1" s="330">
      <c r="A1049" s="207" t="inlineStr">
        <is>
          <t>ผู้ขอเบิก</t>
        </is>
      </c>
      <c r="B1049" s="334" t="n"/>
      <c r="C1049" s="334" t="n"/>
      <c r="D1049" s="334" t="n"/>
      <c r="E1049" s="334" t="n"/>
      <c r="F1049" s="334" t="n"/>
      <c r="G1049" s="335" t="n"/>
      <c r="H1049" s="207" t="inlineStr">
        <is>
          <t>ผู้รับรอง</t>
        </is>
      </c>
      <c r="I1049" s="334" t="n"/>
      <c r="J1049" s="334" t="n"/>
      <c r="K1049" s="334" t="n"/>
      <c r="L1049" s="335" t="n"/>
      <c r="M1049" s="207" t="inlineStr">
        <is>
          <t>ผู้ตรวจ</t>
        </is>
      </c>
      <c r="N1049" s="334" t="n"/>
      <c r="O1049" s="334" t="n"/>
      <c r="P1049" s="334" t="n"/>
      <c r="Q1049" s="334" t="n"/>
      <c r="R1049" s="334" t="n"/>
      <c r="S1049" s="335" t="n"/>
    </row>
    <row r="1050" ht="22.2" customHeight="1" s="330">
      <c r="A1050" s="252" t="inlineStr">
        <is>
          <t>ลงชื่อ……………………………………………</t>
        </is>
      </c>
      <c r="G1050" s="331" t="n"/>
      <c r="H1050" s="252" t="inlineStr">
        <is>
          <t>ลงชื่อ……………………………………………</t>
        </is>
      </c>
      <c r="L1050" s="331" t="n"/>
      <c r="M1050" s="252" t="inlineStr">
        <is>
          <t>ลงชื่อ……………………………………………</t>
        </is>
      </c>
      <c r="S1050" s="331" t="n"/>
    </row>
    <row r="1051" ht="22.2" customHeight="1" s="330">
      <c r="A1051" s="12" t="inlineStr">
        <is>
          <t>(</t>
        </is>
      </c>
      <c r="B1051" s="309">
        <f>B1019</f>
        <v/>
      </c>
      <c r="G1051" s="310" t="inlineStr">
        <is>
          <t>)</t>
        </is>
      </c>
      <c r="H1051" s="309" t="inlineStr">
        <is>
          <t>(</t>
        </is>
      </c>
      <c r="I1051" s="314">
        <f>I1005</f>
        <v/>
      </c>
      <c r="L1051" s="13" t="inlineStr">
        <is>
          <t>)</t>
        </is>
      </c>
      <c r="M1051" s="61" t="inlineStr">
        <is>
          <t>(</t>
        </is>
      </c>
      <c r="N1051" s="61" t="n"/>
      <c r="O1051" s="309" t="inlineStr">
        <is>
          <t>นายพิสุทธิศักดิ์  กล่อมนาค</t>
        </is>
      </c>
      <c r="R1051" s="29" t="n"/>
      <c r="S1051" s="310" t="inlineStr">
        <is>
          <t>)</t>
        </is>
      </c>
    </row>
    <row r="1052" ht="22.2" customHeight="1" s="330">
      <c r="A1052" s="483" t="inlineStr">
        <is>
          <t xml:space="preserve">                 ตำแหน่ง  ครูพิเศษ</t>
        </is>
      </c>
      <c r="G1052" s="331" t="n"/>
      <c r="H1052" s="62" t="inlineStr">
        <is>
          <t>ตำแหน่ง หัวหน้าแผนก</t>
        </is>
      </c>
      <c r="L1052" s="331" t="n"/>
      <c r="M1052" s="62" t="inlineStr">
        <is>
          <t>ตำแหน่ง   ผู้ตรวจสอบ</t>
        </is>
      </c>
      <c r="S1052" s="331" t="n"/>
    </row>
    <row r="1053" ht="22.2" customHeight="1" s="330">
      <c r="A1053" s="63">
        <f>A41</f>
        <v/>
      </c>
      <c r="B1053" s="471" t="n"/>
      <c r="C1053" s="471" t="n"/>
      <c r="D1053" s="471" t="n"/>
      <c r="E1053" s="471" t="n"/>
      <c r="F1053" s="471" t="n"/>
      <c r="G1053" s="476" t="n"/>
      <c r="H1053" s="62">
        <f>A41</f>
        <v/>
      </c>
      <c r="L1053" s="331" t="n"/>
      <c r="M1053" s="63">
        <f>A41</f>
        <v/>
      </c>
      <c r="N1053" s="471" t="n"/>
      <c r="O1053" s="471" t="n"/>
      <c r="P1053" s="471" t="n"/>
      <c r="Q1053" s="471" t="n"/>
      <c r="R1053" s="471" t="n"/>
      <c r="S1053" s="476" t="n"/>
    </row>
    <row r="1054" ht="22.2" customHeight="1" s="330">
      <c r="A1054" s="207" t="inlineStr">
        <is>
          <t>ผู้ตรวจ</t>
        </is>
      </c>
      <c r="B1054" s="334" t="n"/>
      <c r="C1054" s="334" t="n"/>
      <c r="D1054" s="334" t="n"/>
      <c r="E1054" s="334" t="n"/>
      <c r="F1054" s="334" t="n"/>
      <c r="G1054" s="334" t="n"/>
      <c r="H1054" s="334" t="n"/>
      <c r="I1054" s="335" t="n"/>
      <c r="J1054" s="207" t="inlineStr">
        <is>
          <t>ผู้เห็นชอบ</t>
        </is>
      </c>
      <c r="K1054" s="334" t="n"/>
      <c r="L1054" s="334" t="n"/>
      <c r="M1054" s="334" t="n"/>
      <c r="N1054" s="334" t="n"/>
      <c r="O1054" s="334" t="n"/>
      <c r="P1054" s="334" t="n"/>
      <c r="Q1054" s="334" t="n"/>
      <c r="R1054" s="334" t="n"/>
      <c r="S1054" s="335" t="n"/>
    </row>
    <row r="1055" ht="22.2" customHeight="1" s="330">
      <c r="A1055" s="252" t="inlineStr">
        <is>
          <t>ลงชื่อ……………………………………………</t>
        </is>
      </c>
      <c r="I1055" s="331" t="n"/>
      <c r="J1055" s="252" t="inlineStr">
        <is>
          <t>ลงชื่อ……………………………………………</t>
        </is>
      </c>
      <c r="S1055" s="331" t="n"/>
    </row>
    <row r="1056" ht="22.2" customHeight="1" s="330">
      <c r="A1056" s="12" t="n"/>
      <c r="B1056" s="309" t="inlineStr">
        <is>
          <t xml:space="preserve">          (นางศิวรักษ์   บุญประเสริฐ)</t>
        </is>
      </c>
      <c r="I1056" s="310" t="n"/>
      <c r="J1056" s="29" t="n"/>
      <c r="K1056" s="29" t="n"/>
      <c r="L1056" s="309" t="inlineStr">
        <is>
          <t>(นายปรีชา  โพธิ์เกิด)</t>
        </is>
      </c>
      <c r="R1056" s="29" t="n"/>
      <c r="S1056" s="13" t="n"/>
    </row>
    <row r="1057" ht="22.2" customHeight="1" s="330">
      <c r="A1057" s="62" t="inlineStr">
        <is>
          <t>ตำแหน่งครู  หัวหน้างานพัฒนาหลักสูตร ฯ</t>
        </is>
      </c>
      <c r="I1057" s="331" t="n"/>
      <c r="J1057" s="62" t="inlineStr">
        <is>
          <t>ตำแหน่ง  รองผู้อำนวยการฝ่ายวิชาการ</t>
        </is>
      </c>
      <c r="S1057" s="331" t="n"/>
    </row>
    <row r="1058" ht="22.2" customHeight="1" s="330">
      <c r="A1058" s="63">
        <f>A41</f>
        <v/>
      </c>
      <c r="B1058" s="471" t="n"/>
      <c r="C1058" s="471" t="n"/>
      <c r="D1058" s="471" t="n"/>
      <c r="E1058" s="471" t="n"/>
      <c r="F1058" s="471" t="n"/>
      <c r="G1058" s="471" t="n"/>
      <c r="H1058" s="471" t="n"/>
      <c r="I1058" s="476" t="n"/>
      <c r="J1058" s="63">
        <f>A41</f>
        <v/>
      </c>
      <c r="K1058" s="471" t="n"/>
      <c r="L1058" s="471" t="n"/>
      <c r="M1058" s="471" t="n"/>
      <c r="N1058" s="471" t="n"/>
      <c r="O1058" s="471" t="n"/>
      <c r="P1058" s="471" t="n"/>
      <c r="Q1058" s="471" t="n"/>
      <c r="R1058" s="471" t="n"/>
      <c r="S1058" s="476" t="n"/>
    </row>
    <row r="1059" ht="22.2" customHeight="1" s="330">
      <c r="A105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060" ht="22.2" customHeight="1" s="330">
      <c r="A1060" s="254">
        <f>A2</f>
        <v/>
      </c>
    </row>
    <row r="1061" ht="22.2" customHeight="1" s="330">
      <c r="A1061" s="253" t="inlineStr">
        <is>
          <t xml:space="preserve">    ระหว่างวันที่</t>
        </is>
      </c>
      <c r="D1061" s="254">
        <f>D3</f>
        <v/>
      </c>
      <c r="E1061" s="254" t="inlineStr">
        <is>
          <t xml:space="preserve">   เดือน  </t>
        </is>
      </c>
      <c r="F1061" s="254">
        <f>F3</f>
        <v/>
      </c>
      <c r="H1061" s="254">
        <f>H3</f>
        <v/>
      </c>
      <c r="I1061" s="254" t="inlineStr">
        <is>
          <t xml:space="preserve">     ถึง วันที่</t>
        </is>
      </c>
      <c r="J1061" s="254">
        <f>J3</f>
        <v/>
      </c>
      <c r="K1061" s="254" t="inlineStr">
        <is>
          <t xml:space="preserve">   เดือน </t>
        </is>
      </c>
      <c r="L1061" s="254">
        <f>L3</f>
        <v/>
      </c>
      <c r="N1061" s="254">
        <f>N3</f>
        <v/>
      </c>
      <c r="P1061" s="254" t="n"/>
      <c r="R1061" s="254" t="n"/>
    </row>
    <row r="1062" ht="22.2" customHeight="1" s="330">
      <c r="G1062" s="58" t="inlineStr">
        <is>
          <t>ü</t>
        </is>
      </c>
      <c r="H1062" s="8" t="inlineStr">
        <is>
          <t>ครูพิเศษ</t>
        </is>
      </c>
      <c r="I1062" s="249" t="inlineStr">
        <is>
          <t>หน้าที่พิเศษ</t>
        </is>
      </c>
      <c r="K1062" s="290" t="n"/>
    </row>
    <row r="1063" ht="22.2" customHeight="1" s="330">
      <c r="A1063" s="28" t="inlineStr">
        <is>
          <t>ที่</t>
        </is>
      </c>
      <c r="B1063" s="28" t="inlineStr">
        <is>
          <t>ชื่อ-สกุล</t>
        </is>
      </c>
      <c r="C1063" s="334" t="n"/>
      <c r="D1063" s="335" t="n"/>
      <c r="E1063" s="16" t="inlineStr">
        <is>
          <t>ตำแหน่ง</t>
        </is>
      </c>
      <c r="F1063" s="17" t="inlineStr">
        <is>
          <t>ระยะเวลาที่สอน</t>
        </is>
      </c>
      <c r="G1063" s="362" t="n"/>
      <c r="H1063" s="17" t="inlineStr">
        <is>
          <t>รหัสวิชา</t>
        </is>
      </c>
      <c r="I1063" s="275" t="inlineStr">
        <is>
          <t>ชั้น,แผนก,ห้อง</t>
        </is>
      </c>
      <c r="J1063" s="17" t="inlineStr">
        <is>
          <t>เวลาสอน</t>
        </is>
      </c>
      <c r="K1063" s="335" t="n"/>
      <c r="L1063" s="17" t="inlineStr">
        <is>
          <t>ปวช.(คาบ)</t>
        </is>
      </c>
      <c r="M1063" s="362" t="n"/>
      <c r="N1063" s="244" t="inlineStr">
        <is>
          <t>เงิน</t>
        </is>
      </c>
      <c r="O1063" s="275" t="inlineStr">
        <is>
          <t>ยอดเงิน</t>
        </is>
      </c>
      <c r="P1063" s="473" t="inlineStr">
        <is>
          <t>ปวส.(คาบ)</t>
        </is>
      </c>
      <c r="Q1063" s="362" t="n"/>
      <c r="R1063" s="244" t="inlineStr">
        <is>
          <t>เงิน</t>
        </is>
      </c>
      <c r="S1063" s="275" t="inlineStr">
        <is>
          <t>ยอดเงิน</t>
        </is>
      </c>
    </row>
    <row r="1064" ht="22.2" customHeight="1" s="330">
      <c r="A1064" s="60" t="n"/>
      <c r="B1064" s="9" t="n"/>
      <c r="C1064" s="10" t="n"/>
      <c r="D1064" s="14" t="n"/>
      <c r="E1064" s="11" t="n"/>
      <c r="F1064" s="276" t="inlineStr">
        <is>
          <t>ส.</t>
        </is>
      </c>
      <c r="G1064" s="276" t="inlineStr">
        <is>
          <t>วดป.</t>
        </is>
      </c>
      <c r="H1064" s="474" t="n"/>
      <c r="I1064" s="276" t="n"/>
      <c r="J1064" s="475" t="n"/>
      <c r="K1064" s="476" t="n"/>
      <c r="L1064" s="276" t="inlineStr">
        <is>
          <t>ใน</t>
        </is>
      </c>
      <c r="M1064" s="276" t="inlineStr">
        <is>
          <t>นอก</t>
        </is>
      </c>
      <c r="N1064" s="276" t="inlineStr">
        <is>
          <t>ต่อ ชม.</t>
        </is>
      </c>
      <c r="O1064" s="276" t="inlineStr">
        <is>
          <t>(บาท)</t>
        </is>
      </c>
      <c r="P1064" s="60" t="inlineStr">
        <is>
          <t>ใน</t>
        </is>
      </c>
      <c r="Q1064" s="60" t="inlineStr">
        <is>
          <t>นอก</t>
        </is>
      </c>
      <c r="R1064" s="276" t="inlineStr">
        <is>
          <t>ต่อ ชม.</t>
        </is>
      </c>
      <c r="S1064" s="276" t="inlineStr">
        <is>
          <t>(บาท)</t>
        </is>
      </c>
    </row>
    <row r="1065" ht="22.2" customHeight="1" s="330">
      <c r="A1065" s="275" t="n">
        <v>24</v>
      </c>
      <c r="B1065" s="477">
        <f>AB26</f>
        <v/>
      </c>
      <c r="C1065" s="334" t="n"/>
      <c r="D1065" s="335" t="n"/>
      <c r="E1065" s="275" t="inlineStr">
        <is>
          <t>ครู</t>
        </is>
      </c>
      <c r="F1065" s="6">
        <f>F7</f>
        <v/>
      </c>
      <c r="G1065" s="303" t="inlineStr">
        <is>
          <t>จันทร์</t>
        </is>
      </c>
      <c r="H1065" s="252" t="inlineStr">
        <is>
          <t>20101-5102</t>
        </is>
      </c>
      <c r="I1065" s="325" t="inlineStr">
        <is>
          <t>ปวช.2/9 ชย. (ทวิ)</t>
        </is>
      </c>
      <c r="J1065" s="332" t="inlineStr">
        <is>
          <t>08.10-12.10</t>
        </is>
      </c>
      <c r="K1065" s="335" t="n"/>
      <c r="L1065" s="265" t="n"/>
      <c r="M1065" s="332" t="n"/>
      <c r="N1065" s="332" t="n"/>
      <c r="O1065" s="244">
        <f>M1065*N1065</f>
        <v/>
      </c>
      <c r="P1065" s="332" t="n"/>
      <c r="Q1065" s="265" t="n"/>
      <c r="R1065" s="332" t="n"/>
      <c r="S1065" s="244">
        <f>Q1065*R1065</f>
        <v/>
      </c>
    </row>
    <row r="1066" ht="22.2" customHeight="1" s="330">
      <c r="A1066" s="4" t="n"/>
      <c r="B1066" s="478" t="n"/>
      <c r="D1066" s="331" t="n"/>
      <c r="E1066" s="252" t="inlineStr">
        <is>
          <t>พิเศษ</t>
        </is>
      </c>
      <c r="F1066" s="249" t="n"/>
      <c r="G1066" s="308">
        <f>G1020</f>
        <v/>
      </c>
      <c r="H1066" s="252" t="inlineStr">
        <is>
          <t>20101-5102</t>
        </is>
      </c>
      <c r="I1066" s="325" t="inlineStr">
        <is>
          <t>ปวช.2/9 ชย. (ทวิ)</t>
        </is>
      </c>
      <c r="J1066" s="325" t="inlineStr">
        <is>
          <t>13.10-16.10</t>
        </is>
      </c>
      <c r="K1066" s="331" t="n"/>
      <c r="L1066" s="252" t="n"/>
      <c r="M1066" s="252" t="n"/>
      <c r="N1066" s="252" t="n"/>
      <c r="O1066" s="244">
        <f>M1066*N1066</f>
        <v/>
      </c>
      <c r="P1066" s="252" t="n"/>
      <c r="Q1066" s="252" t="n"/>
      <c r="R1066" s="252" t="n"/>
      <c r="S1066" s="244">
        <f>Q1066*R1066</f>
        <v/>
      </c>
    </row>
    <row r="1067" ht="22.2" customHeight="1" s="330">
      <c r="A1067" s="4" t="n"/>
      <c r="B1067" s="5" t="n"/>
      <c r="D1067" s="3" t="n"/>
      <c r="E1067" s="3" t="n"/>
      <c r="F1067" s="249" t="n"/>
      <c r="G1067" s="248" t="n"/>
      <c r="H1067" s="252" t="inlineStr">
        <is>
          <t>20101-8501</t>
        </is>
      </c>
      <c r="I1067" s="325" t="inlineStr">
        <is>
          <t>ปวช.3/3,4 ชย. (ปกติ)</t>
        </is>
      </c>
      <c r="J1067" s="325" t="inlineStr">
        <is>
          <t>16.10-18.10</t>
        </is>
      </c>
      <c r="K1067" s="331" t="n"/>
      <c r="L1067" s="252" t="n"/>
      <c r="M1067" s="252" t="n"/>
      <c r="N1067" s="252" t="n"/>
      <c r="O1067" s="244">
        <f>M1067*N1067</f>
        <v/>
      </c>
      <c r="P1067" s="252" t="n"/>
      <c r="Q1067" s="252" t="n"/>
      <c r="R1067" s="252" t="n"/>
      <c r="S1067" s="244">
        <f>Q1067*R1067</f>
        <v/>
      </c>
    </row>
    <row r="1068" ht="22.2" customHeight="1" s="330">
      <c r="A1068" s="4" t="n"/>
      <c r="B1068" s="5" t="n"/>
      <c r="E1068" s="4" t="n"/>
      <c r="F1068" s="249" t="n"/>
      <c r="G1068" s="248" t="n"/>
      <c r="H1068" s="252" t="n"/>
      <c r="I1068" s="252" t="n"/>
      <c r="J1068" s="252" t="n"/>
      <c r="K1068" s="331" t="n"/>
      <c r="L1068" s="252" t="n"/>
      <c r="M1068" s="252" t="n"/>
      <c r="N1068" s="252" t="n"/>
      <c r="O1068" s="244">
        <f>M1068*N1068</f>
        <v/>
      </c>
      <c r="P1068" s="252" t="n"/>
      <c r="Q1068" s="252" t="n"/>
      <c r="R1068" s="252" t="n"/>
      <c r="S1068" s="244">
        <f>Q1068*R1068</f>
        <v/>
      </c>
    </row>
    <row r="1069" ht="22.2" customHeight="1" s="330">
      <c r="A1069" s="4" t="n"/>
      <c r="D1069" s="8" t="inlineStr">
        <is>
          <t> </t>
        </is>
      </c>
      <c r="E1069" s="4" t="n"/>
      <c r="G1069" s="311" t="n"/>
      <c r="H1069" s="276" t="n"/>
      <c r="I1069" s="57" t="n"/>
      <c r="J1069" s="276" t="n"/>
      <c r="K1069" s="476" t="n"/>
      <c r="L1069" s="252" t="n"/>
      <c r="M1069" s="252" t="n"/>
      <c r="N1069" s="252" t="n"/>
      <c r="O1069" s="244">
        <f>M1069*N1069</f>
        <v/>
      </c>
      <c r="P1069" s="252" t="n"/>
      <c r="Q1069" s="252" t="n"/>
      <c r="R1069" s="252" t="n"/>
      <c r="S1069" s="244">
        <f>Q1069*R1069</f>
        <v/>
      </c>
    </row>
    <row r="1070" ht="22.2" customHeight="1" s="330">
      <c r="A1070" s="4" t="n"/>
      <c r="E1070" s="4" t="n"/>
      <c r="G1070" s="62" t="inlineStr">
        <is>
          <t>อังคาร</t>
        </is>
      </c>
      <c r="H1070" s="252" t="inlineStr">
        <is>
          <t>20101-2001</t>
        </is>
      </c>
      <c r="I1070" s="325" t="inlineStr">
        <is>
          <t>ปวช.1/9 ชย. (ทวิ)</t>
        </is>
      </c>
      <c r="J1070" s="332" t="inlineStr">
        <is>
          <t>08.10-12.10</t>
        </is>
      </c>
      <c r="K1070" s="335" t="n"/>
      <c r="L1070" s="265" t="n"/>
      <c r="M1070" s="332" t="n"/>
      <c r="N1070" s="332" t="n"/>
      <c r="O1070" s="244">
        <f>M1070*N1070</f>
        <v/>
      </c>
      <c r="P1070" s="332" t="n"/>
      <c r="Q1070" s="265" t="n"/>
      <c r="R1070" s="332" t="n"/>
      <c r="S1070" s="244">
        <f>Q1070*R1070</f>
        <v/>
      </c>
    </row>
    <row r="1071" ht="22.2" customHeight="1" s="330">
      <c r="A1071" s="4" t="n"/>
      <c r="B1071" s="248" t="n"/>
      <c r="C1071" s="249" t="n"/>
      <c r="D1071" s="249" t="n"/>
      <c r="E1071" s="252" t="n"/>
      <c r="G1071" s="62">
        <f>G1025</f>
        <v/>
      </c>
      <c r="H1071" s="252" t="inlineStr">
        <is>
          <t>20101-2001</t>
        </is>
      </c>
      <c r="I1071" s="325" t="inlineStr">
        <is>
          <t>ปวช.1/9 ชย. (ทวิ)</t>
        </is>
      </c>
      <c r="J1071" s="325" t="inlineStr">
        <is>
          <t>13.10-16.10</t>
        </is>
      </c>
      <c r="K1071" s="331" t="n"/>
      <c r="L1071" s="252" t="n"/>
      <c r="M1071" s="252" t="n"/>
      <c r="N1071" s="252" t="n"/>
      <c r="O1071" s="244">
        <f>M1071*N1071</f>
        <v/>
      </c>
      <c r="P1071" s="252" t="n"/>
      <c r="Q1071" s="252" t="n"/>
      <c r="R1071" s="252" t="n"/>
      <c r="S1071" s="244">
        <f>Q1071*R1071</f>
        <v/>
      </c>
    </row>
    <row r="1072" ht="22.2" customHeight="1" s="330">
      <c r="A1072" s="4" t="n"/>
      <c r="B1072" s="5" t="n"/>
      <c r="D1072" s="3" t="n"/>
      <c r="E1072" s="3" t="n"/>
      <c r="G1072" s="252" t="n"/>
      <c r="H1072" s="325" t="n"/>
      <c r="I1072" s="286" t="n"/>
      <c r="J1072" s="325" t="n"/>
      <c r="K1072" s="331" t="n"/>
      <c r="L1072" s="252" t="n"/>
      <c r="M1072" s="252" t="n"/>
      <c r="N1072" s="252" t="n"/>
      <c r="O1072" s="244">
        <f>M1072*N1072</f>
        <v/>
      </c>
      <c r="P1072" s="252" t="n"/>
      <c r="Q1072" s="252" t="n"/>
      <c r="R1072" s="252" t="n"/>
      <c r="S1072" s="244">
        <f>Q1072*R1072</f>
        <v/>
      </c>
    </row>
    <row r="1073" ht="22.2" customHeight="1" s="330">
      <c r="A1073" s="4" t="n"/>
      <c r="E1073" s="4" t="n"/>
      <c r="G1073" s="62" t="n"/>
      <c r="H1073" s="249" t="n"/>
      <c r="I1073" s="252" t="n"/>
      <c r="J1073" s="252" t="n"/>
      <c r="K1073" s="331" t="n"/>
      <c r="L1073" s="252" t="n"/>
      <c r="M1073" s="252" t="n"/>
      <c r="N1073" s="252" t="n"/>
      <c r="O1073" s="244">
        <f>M1073*N1073</f>
        <v/>
      </c>
      <c r="P1073" s="252" t="n"/>
      <c r="Q1073" s="252" t="n"/>
      <c r="R1073" s="252" t="n"/>
      <c r="S1073" s="244">
        <f>Q1073*R1073</f>
        <v/>
      </c>
    </row>
    <row r="1074" ht="22.2" customHeight="1" s="330">
      <c r="A1074" s="4" t="n"/>
      <c r="D1074" s="8" t="inlineStr">
        <is>
          <t> </t>
        </is>
      </c>
      <c r="E1074" s="4" t="n"/>
      <c r="G1074" s="63" t="n"/>
      <c r="H1074" s="276" t="n"/>
      <c r="I1074" s="276" t="n"/>
      <c r="J1074" s="276" t="n"/>
      <c r="K1074" s="476" t="n"/>
      <c r="L1074" s="252" t="n"/>
      <c r="M1074" s="252" t="n"/>
      <c r="N1074" s="252" t="n"/>
      <c r="O1074" s="244">
        <f>M1074*N1074</f>
        <v/>
      </c>
      <c r="P1074" s="252" t="n"/>
      <c r="Q1074" s="252" t="n"/>
      <c r="R1074" s="252" t="n"/>
      <c r="S1074" s="244">
        <f>Q1074*R1074</f>
        <v/>
      </c>
    </row>
    <row r="1075" ht="22.2" customHeight="1" s="330">
      <c r="A1075" s="4" t="n"/>
      <c r="E1075" s="4" t="n"/>
      <c r="G1075" s="308" t="inlineStr">
        <is>
          <t>พุธ</t>
        </is>
      </c>
      <c r="H1075" s="252" t="inlineStr">
        <is>
          <t>20101-8501</t>
        </is>
      </c>
      <c r="I1075" s="325" t="inlineStr">
        <is>
          <t>ปวช.3/3,4 ชย. (ปกติ)</t>
        </is>
      </c>
      <c r="J1075" s="332" t="inlineStr">
        <is>
          <t>16.10-18.10</t>
        </is>
      </c>
      <c r="K1075" s="335" t="n"/>
      <c r="L1075" s="265" t="n"/>
      <c r="M1075" s="332" t="n"/>
      <c r="N1075" s="332" t="n"/>
      <c r="O1075" s="244">
        <f>M1075*N1075</f>
        <v/>
      </c>
      <c r="P1075" s="332" t="n"/>
      <c r="Q1075" s="265" t="n"/>
      <c r="R1075" s="332" t="n"/>
      <c r="S1075" s="244">
        <f>Q1075*R1075</f>
        <v/>
      </c>
    </row>
    <row r="1076" ht="22.2" customHeight="1" s="330">
      <c r="A1076" s="4" t="n"/>
      <c r="B1076" s="248" t="n"/>
      <c r="C1076" s="249" t="n"/>
      <c r="D1076" s="249" t="n"/>
      <c r="E1076" s="252" t="n"/>
      <c r="G1076" s="308">
        <f>G1030</f>
        <v/>
      </c>
      <c r="H1076" s="325" t="n"/>
      <c r="I1076" s="325" t="n"/>
      <c r="J1076" s="325" t="n"/>
      <c r="K1076" s="331" t="n"/>
      <c r="L1076" s="252" t="n"/>
      <c r="M1076" s="252" t="n"/>
      <c r="N1076" s="252" t="n"/>
      <c r="O1076" s="244">
        <f>M1076*N1076</f>
        <v/>
      </c>
      <c r="P1076" s="252" t="n"/>
      <c r="Q1076" s="252" t="n"/>
      <c r="R1076" s="252" t="n"/>
      <c r="S1076" s="244">
        <f>Q1076*R1076</f>
        <v/>
      </c>
    </row>
    <row r="1077" ht="22.2" customHeight="1" s="330">
      <c r="A1077" s="4" t="n"/>
      <c r="B1077" s="5" t="n"/>
      <c r="D1077" s="3" t="n"/>
      <c r="E1077" s="3" t="n"/>
      <c r="G1077" s="252" t="n"/>
      <c r="H1077" s="286" t="n"/>
      <c r="I1077" s="325" t="n"/>
      <c r="J1077" s="325" t="n"/>
      <c r="K1077" s="331" t="n"/>
      <c r="L1077" s="252" t="n"/>
      <c r="M1077" s="252" t="n"/>
      <c r="N1077" s="252" t="n"/>
      <c r="O1077" s="244">
        <f>M1077*N1077</f>
        <v/>
      </c>
      <c r="P1077" s="252" t="n"/>
      <c r="Q1077" s="252" t="n"/>
      <c r="R1077" s="252" t="n"/>
      <c r="S1077" s="244">
        <f>Q1077*R1077</f>
        <v/>
      </c>
    </row>
    <row r="1078" ht="22.2" customHeight="1" s="330">
      <c r="A1078" s="4" t="n"/>
      <c r="E1078" s="4" t="n"/>
      <c r="G1078" s="252" t="n"/>
      <c r="H1078" s="249" t="n"/>
      <c r="I1078" s="252" t="n"/>
      <c r="J1078" s="252" t="n"/>
      <c r="K1078" s="331" t="n"/>
      <c r="L1078" s="252" t="n"/>
      <c r="M1078" s="252" t="n"/>
      <c r="N1078" s="252" t="n"/>
      <c r="O1078" s="244">
        <f>M1078*N1078</f>
        <v/>
      </c>
      <c r="P1078" s="252" t="n"/>
      <c r="Q1078" s="252" t="n"/>
      <c r="R1078" s="252" t="n"/>
      <c r="S1078" s="244">
        <f>Q1078*R1078</f>
        <v/>
      </c>
    </row>
    <row r="1079" ht="22.2" customHeight="1" s="330">
      <c r="A1079" s="4" t="n"/>
      <c r="E1079" s="4" t="n"/>
      <c r="G1079" s="277" t="n"/>
      <c r="H1079" s="277" t="n"/>
      <c r="I1079" s="276" t="n"/>
      <c r="J1079" s="276" t="n"/>
      <c r="K1079" s="476" t="n"/>
      <c r="L1079" s="276" t="n"/>
      <c r="M1079" s="276" t="n"/>
      <c r="N1079" s="276" t="n"/>
      <c r="O1079" s="244">
        <f>M1079*N1079</f>
        <v/>
      </c>
      <c r="P1079" s="276" t="n"/>
      <c r="Q1079" s="276" t="n"/>
      <c r="R1079" s="276" t="n"/>
      <c r="S1079" s="244">
        <f>Q1079*R1079</f>
        <v/>
      </c>
    </row>
    <row r="1080" ht="22.2" customHeight="1" s="330">
      <c r="A1080" s="4" t="n"/>
      <c r="E1080" s="4" t="n"/>
      <c r="G1080" s="62" t="inlineStr">
        <is>
          <t>พฤหัส</t>
        </is>
      </c>
      <c r="H1080" s="252" t="inlineStr">
        <is>
          <t>20101-2001</t>
        </is>
      </c>
      <c r="I1080" s="325" t="inlineStr">
        <is>
          <t>ปวช.1/7 ชย. (ปกติ)</t>
        </is>
      </c>
      <c r="J1080" s="332" t="inlineStr">
        <is>
          <t>08.10-12.10</t>
        </is>
      </c>
      <c r="K1080" s="335" t="n"/>
      <c r="L1080" s="265" t="n"/>
      <c r="M1080" s="252" t="n"/>
      <c r="N1080" s="252" t="n"/>
      <c r="O1080" s="244">
        <f>M1080*N1080</f>
        <v/>
      </c>
      <c r="P1080" s="252" t="n"/>
      <c r="Q1080" s="275" t="n"/>
      <c r="R1080" s="275" t="n"/>
      <c r="S1080" s="244">
        <f>Q1080*R1080</f>
        <v/>
      </c>
    </row>
    <row r="1081" ht="22.2" customHeight="1" s="330">
      <c r="A1081" s="4" t="n"/>
      <c r="E1081" s="4" t="n"/>
      <c r="G1081" s="308">
        <f>G1035</f>
        <v/>
      </c>
      <c r="H1081" s="252" t="inlineStr">
        <is>
          <t>20101-2001</t>
        </is>
      </c>
      <c r="I1081" s="325" t="inlineStr">
        <is>
          <t>ปวช.1/7 ชย. (ปกติ)</t>
        </is>
      </c>
      <c r="J1081" s="325" t="inlineStr">
        <is>
          <t>15.10-18.10</t>
        </is>
      </c>
      <c r="K1081" s="331" t="n"/>
      <c r="L1081" s="252" t="n"/>
      <c r="M1081" s="252" t="n"/>
      <c r="N1081" s="252" t="n"/>
      <c r="O1081" s="244">
        <f>M1081*N1081</f>
        <v/>
      </c>
      <c r="P1081" s="252" t="n"/>
      <c r="Q1081" s="252" t="n"/>
      <c r="R1081" s="252" t="n"/>
      <c r="S1081" s="244">
        <f>Q1081*R1081</f>
        <v/>
      </c>
    </row>
    <row r="1082" ht="22.2" customHeight="1" s="330">
      <c r="A1082" s="4" t="n"/>
      <c r="B1082" s="5" t="n"/>
      <c r="E1082" s="4" t="n"/>
      <c r="G1082" s="252" t="n"/>
      <c r="H1082" s="325" t="n"/>
      <c r="I1082" s="325" t="n"/>
      <c r="J1082" s="325" t="n"/>
      <c r="K1082" s="331" t="n"/>
      <c r="L1082" s="252" t="n"/>
      <c r="M1082" s="325" t="n"/>
      <c r="N1082" s="325" t="n"/>
      <c r="O1082" s="244">
        <f>M1082*N1082</f>
        <v/>
      </c>
      <c r="P1082" s="325" t="n"/>
      <c r="Q1082" s="325" t="n"/>
      <c r="R1082" s="325" t="n"/>
      <c r="S1082" s="244">
        <f>Q1082*R1082</f>
        <v/>
      </c>
    </row>
    <row r="1083" ht="22.2" customHeight="1" s="330">
      <c r="A1083" s="4" t="n"/>
      <c r="E1083" s="4" t="n"/>
      <c r="G1083" s="252" t="n"/>
      <c r="H1083" s="252" t="n"/>
      <c r="I1083" s="252" t="n"/>
      <c r="J1083" s="252" t="n"/>
      <c r="K1083" s="331" t="n"/>
      <c r="L1083" s="252" t="n"/>
      <c r="M1083" s="252" t="n"/>
      <c r="N1083" s="252" t="n"/>
      <c r="O1083" s="244">
        <f>M1083*N1083</f>
        <v/>
      </c>
      <c r="P1083" s="252" t="n"/>
      <c r="Q1083" s="252" t="n"/>
      <c r="R1083" s="252" t="n"/>
      <c r="S1083" s="244">
        <f>Q1083*R1083</f>
        <v/>
      </c>
    </row>
    <row r="1084" ht="22.2" customHeight="1" s="330">
      <c r="A1084" s="4" t="n"/>
      <c r="E1084" s="4" t="n"/>
      <c r="G1084" s="276" t="n"/>
      <c r="H1084" s="301" t="n"/>
      <c r="I1084" s="276" t="n"/>
      <c r="J1084" s="276" t="n"/>
      <c r="K1084" s="476" t="n"/>
      <c r="L1084" s="276" t="n"/>
      <c r="M1084" s="276" t="n"/>
      <c r="N1084" s="276" t="n"/>
      <c r="O1084" s="244">
        <f>M1084*N1084</f>
        <v/>
      </c>
      <c r="P1084" s="276" t="n"/>
      <c r="Q1084" s="276" t="n"/>
      <c r="R1084" s="276" t="n"/>
      <c r="S1084" s="244">
        <f>Q1084*R1084</f>
        <v/>
      </c>
    </row>
    <row r="1085" ht="22.2" customHeight="1" s="330">
      <c r="A1085" s="4" t="n"/>
      <c r="E1085" s="4" t="n"/>
      <c r="G1085" s="62" t="inlineStr">
        <is>
          <t>ศุกร์</t>
        </is>
      </c>
      <c r="H1085" s="252" t="inlineStr">
        <is>
          <t>20101-2001</t>
        </is>
      </c>
      <c r="I1085" s="325" t="inlineStr">
        <is>
          <t>ปวช.1/8 ชย. (ปกติ)</t>
        </is>
      </c>
      <c r="J1085" s="332" t="inlineStr">
        <is>
          <t>08.10-12.10</t>
        </is>
      </c>
      <c r="K1085" s="335" t="n"/>
      <c r="L1085" s="265" t="n"/>
      <c r="M1085" s="252" t="n"/>
      <c r="N1085" s="252" t="n"/>
      <c r="O1085" s="244">
        <f>M1085*N1085</f>
        <v/>
      </c>
      <c r="P1085" s="332" t="n"/>
      <c r="Q1085" s="265" t="n"/>
      <c r="R1085" s="332" t="n"/>
      <c r="S1085" s="244">
        <f>Q1085*R1085</f>
        <v/>
      </c>
      <c r="T1085" s="25" t="n"/>
      <c r="U1085" s="26" t="inlineStr">
        <is>
          <t xml:space="preserve">     PLC</t>
        </is>
      </c>
      <c r="V1085" s="64" t="n"/>
      <c r="W1085" s="27" t="n"/>
      <c r="X1085" s="27" t="n"/>
    </row>
    <row r="1086" ht="22.2" customHeight="1" s="330">
      <c r="A1086" s="4" t="n"/>
      <c r="E1086" s="4" t="n"/>
      <c r="G1086" s="308">
        <f>G1040</f>
        <v/>
      </c>
      <c r="H1086" s="252" t="inlineStr">
        <is>
          <t>20101-2001</t>
        </is>
      </c>
      <c r="I1086" s="325" t="inlineStr">
        <is>
          <t>ปวช.1/8 ชย. (ปกติ)</t>
        </is>
      </c>
      <c r="J1086" s="325" t="inlineStr">
        <is>
          <t>13.10-16.10</t>
        </is>
      </c>
      <c r="K1086" s="331" t="n"/>
      <c r="L1086" s="252" t="n"/>
      <c r="M1086" s="252" t="n"/>
      <c r="N1086" s="252" t="n"/>
      <c r="O1086" s="244">
        <f>M1086*N1086</f>
        <v/>
      </c>
      <c r="P1086" s="252" t="n"/>
      <c r="Q1086" s="252" t="n"/>
      <c r="R1086" s="252" t="n"/>
      <c r="S1086" s="244">
        <f>Q1086*R1086</f>
        <v/>
      </c>
      <c r="T1086" s="27" t="inlineStr">
        <is>
          <t> </t>
        </is>
      </c>
      <c r="U1086" s="26" t="inlineStr">
        <is>
          <t>17.10-19.10</t>
        </is>
      </c>
      <c r="V1086" s="64" t="n"/>
      <c r="W1086" s="27" t="n"/>
      <c r="X1086" s="27" t="n"/>
    </row>
    <row r="1087" ht="22.2" customHeight="1" s="330">
      <c r="A1087" s="4" t="n"/>
      <c r="D1087" s="331" t="n"/>
      <c r="E1087" s="56" t="n"/>
      <c r="G1087" s="252" t="n"/>
      <c r="H1087" s="325" t="n"/>
      <c r="I1087" s="325" t="n"/>
      <c r="J1087" s="325" t="n"/>
      <c r="K1087" s="331" t="n"/>
      <c r="L1087" s="252" t="n"/>
      <c r="M1087" s="252" t="n"/>
      <c r="N1087" s="252" t="n"/>
      <c r="O1087" s="244">
        <f>M1087*N1087</f>
        <v/>
      </c>
      <c r="P1087" s="252" t="n"/>
      <c r="Q1087" s="252" t="n"/>
      <c r="R1087" s="252" t="n"/>
      <c r="S1087" s="244">
        <f>Q1087*R1087</f>
        <v/>
      </c>
    </row>
    <row r="1088" ht="22.2" customHeight="1" s="330">
      <c r="A1088" s="4" t="n"/>
      <c r="E1088" s="4" t="n"/>
      <c r="G1088" s="252" t="n"/>
      <c r="H1088" s="249" t="inlineStr">
        <is>
          <t> </t>
        </is>
      </c>
      <c r="I1088" s="252" t="n"/>
      <c r="J1088" s="252" t="n"/>
      <c r="K1088" s="331" t="n"/>
      <c r="L1088" s="252" t="n"/>
      <c r="M1088" s="252" t="n"/>
      <c r="N1088" s="252" t="n"/>
      <c r="O1088" s="244">
        <f>M1088*N1088</f>
        <v/>
      </c>
      <c r="P1088" s="252" t="n"/>
      <c r="Q1088" s="252" t="n"/>
      <c r="R1088" s="252" t="n"/>
      <c r="S1088" s="244">
        <f>Q1088*R1088</f>
        <v/>
      </c>
    </row>
    <row r="1089" ht="22.2" customHeight="1" s="330">
      <c r="A1089" s="4" t="n"/>
      <c r="E1089" s="4" t="n"/>
      <c r="F1089" s="4" t="n"/>
      <c r="G1089" s="278" t="n"/>
      <c r="H1089" s="301" t="n"/>
      <c r="I1089" s="276" t="n"/>
      <c r="J1089" s="276" t="n"/>
      <c r="K1089" s="476" t="n"/>
      <c r="L1089" s="276" t="n"/>
      <c r="M1089" s="276" t="n"/>
      <c r="N1089" s="276" t="n"/>
      <c r="O1089" s="244">
        <f>M1089*N1089</f>
        <v/>
      </c>
      <c r="P1089" s="276" t="n"/>
      <c r="Q1089" s="276" t="n"/>
      <c r="R1089" s="276" t="n"/>
      <c r="S1089" s="244">
        <f>Q1089*R1089</f>
        <v/>
      </c>
    </row>
    <row r="1090" ht="22.2" customHeight="1" s="330">
      <c r="A1090" s="4" t="n"/>
      <c r="E1090" s="4" t="n"/>
      <c r="F1090" s="4" t="n"/>
      <c r="G1090" s="17" t="inlineStr">
        <is>
          <t>รวมขั่วโมงที่สอนแยก ภาระงาน/ เกินภาระงาน</t>
        </is>
      </c>
      <c r="H1090" s="467" t="n"/>
      <c r="I1090" s="467" t="n"/>
      <c r="J1090" s="467" t="n"/>
      <c r="K1090" s="362" t="n"/>
      <c r="L1090" s="17">
        <f>SUM(L1065:L1089)</f>
        <v/>
      </c>
      <c r="M1090" s="17">
        <f>SUM(M1065:M1089)</f>
        <v/>
      </c>
      <c r="N1090" s="17" t="n"/>
      <c r="O1090" s="17" t="n"/>
      <c r="P1090" s="17">
        <f>SUM(P1065:P1089)</f>
        <v/>
      </c>
      <c r="Q1090" s="17">
        <f>SUM(Q1065:Q1089)</f>
        <v/>
      </c>
      <c r="R1090" s="279" t="n"/>
      <c r="S1090" s="17" t="n"/>
    </row>
    <row r="1091" ht="22.2" customHeight="1" s="330">
      <c r="A1091" s="4" t="n"/>
      <c r="E1091" s="4" t="n"/>
      <c r="F1091" s="4" t="n"/>
      <c r="G1091" s="17" t="inlineStr">
        <is>
          <t>รวมจำนวนชั่วโมงสอนคาบต่อสับดาห์</t>
        </is>
      </c>
      <c r="H1091" s="467" t="n"/>
      <c r="I1091" s="467" t="n"/>
      <c r="J1091" s="467" t="n"/>
      <c r="K1091" s="362" t="n"/>
      <c r="L1091" s="17">
        <f>L1090+M1090</f>
        <v/>
      </c>
      <c r="M1091" s="362" t="n"/>
      <c r="N1091" s="298" t="n"/>
      <c r="O1091" s="17" t="n"/>
      <c r="P1091" s="17">
        <f>P1090+Q1090</f>
        <v/>
      </c>
      <c r="Q1091" s="362" t="n"/>
      <c r="R1091" s="278" t="n"/>
      <c r="S1091" s="276" t="n"/>
    </row>
    <row r="1092" ht="22.2" customHeight="1" s="330">
      <c r="A1092" s="4" t="n"/>
      <c r="E1092" s="4" t="n"/>
      <c r="F1092" s="4" t="n"/>
      <c r="G1092" s="17" t="inlineStr">
        <is>
          <t>จำนวนชั่วโมงสอนตามภาระงานสอน</t>
        </is>
      </c>
      <c r="H1092" s="467" t="n"/>
      <c r="I1092" s="467" t="n"/>
      <c r="J1092" s="467" t="n"/>
      <c r="K1092" s="362" t="n"/>
      <c r="L1092" s="17" t="n">
        <v>18</v>
      </c>
      <c r="M1092" s="362" t="n"/>
      <c r="N1092" s="298" t="n"/>
      <c r="O1092" s="17" t="n"/>
      <c r="P1092" s="17" t="n">
        <v>0</v>
      </c>
      <c r="Q1092" s="362" t="n"/>
      <c r="R1092" s="249" t="n"/>
      <c r="S1092" s="252" t="n"/>
    </row>
    <row r="1093" ht="22.2" customHeight="1" s="330" thickBot="1">
      <c r="A1093" s="4" t="n"/>
      <c r="E1093" s="4" t="n"/>
      <c r="F1093" s="15" t="n"/>
      <c r="G1093" s="17" t="inlineStr">
        <is>
          <t>จำนวนชั่วโมงบิกเกินภาระงานสอน/ค่าสอน</t>
        </is>
      </c>
      <c r="H1093" s="467" t="n"/>
      <c r="I1093" s="467" t="n"/>
      <c r="J1093" s="467" t="n"/>
      <c r="K1093" s="362" t="n"/>
      <c r="L1093" s="18" t="n">
        <v>0</v>
      </c>
      <c r="M1093" s="18">
        <f>SUM(M1065:M1089)</f>
        <v/>
      </c>
      <c r="N1093" s="18" t="n"/>
      <c r="O1093" s="18">
        <f>SUM(O1065:O1089)</f>
        <v/>
      </c>
      <c r="P1093" s="18" t="n">
        <v>0</v>
      </c>
      <c r="Q1093" s="18">
        <f>SUM(Q1065:Q1089)</f>
        <v/>
      </c>
      <c r="R1093" s="19" t="n"/>
      <c r="S1093" s="18">
        <f>SUM(S1065:S1089)</f>
        <v/>
      </c>
    </row>
    <row r="1094" ht="22.2" customHeight="1" s="330" thickTop="1">
      <c r="A1094" s="299" t="inlineStr">
        <is>
          <t>รวมจำนวนหน่วยชั่วโมงที่ขอเบิกค่าสอน ….</t>
        </is>
      </c>
      <c r="B1094" s="467" t="n"/>
      <c r="C1094" s="467" t="n"/>
      <c r="D1094" s="467" t="n"/>
      <c r="E1094" s="467" t="n"/>
      <c r="F1094" s="467" t="n"/>
      <c r="G1094" s="467" t="n"/>
      <c r="H1094" s="298">
        <f>M1093+Q1093</f>
        <v/>
      </c>
      <c r="I1094" s="298" t="inlineStr">
        <is>
          <t>….ชั่วโมง</t>
        </is>
      </c>
      <c r="J1094" s="298" t="n"/>
      <c r="K1094" s="301" t="inlineStr">
        <is>
          <t>ยอดเงินรวม</t>
        </is>
      </c>
      <c r="L1094" s="471" t="n"/>
      <c r="M1094" s="471" t="n"/>
      <c r="N1094" s="301" t="n"/>
      <c r="O1094" s="301" t="n"/>
      <c r="P1094" s="302">
        <f>S1093+O1093</f>
        <v/>
      </c>
      <c r="Q1094" s="482" t="n"/>
      <c r="R1094" s="21" t="n"/>
      <c r="S1094" s="20" t="inlineStr">
        <is>
          <t>..บาท</t>
        </is>
      </c>
    </row>
    <row r="1095" ht="22.2" customHeight="1" s="330">
      <c r="A1095" s="207" t="inlineStr">
        <is>
          <t>ผู้ขอเบิก</t>
        </is>
      </c>
      <c r="B1095" s="334" t="n"/>
      <c r="C1095" s="334" t="n"/>
      <c r="D1095" s="334" t="n"/>
      <c r="E1095" s="334" t="n"/>
      <c r="F1095" s="334" t="n"/>
      <c r="G1095" s="335" t="n"/>
      <c r="H1095" s="207" t="inlineStr">
        <is>
          <t>ผู้รับรอง</t>
        </is>
      </c>
      <c r="I1095" s="334" t="n"/>
      <c r="J1095" s="334" t="n"/>
      <c r="K1095" s="334" t="n"/>
      <c r="L1095" s="335" t="n"/>
      <c r="M1095" s="207" t="inlineStr">
        <is>
          <t>ผู้ตรวจ</t>
        </is>
      </c>
      <c r="N1095" s="334" t="n"/>
      <c r="O1095" s="334" t="n"/>
      <c r="P1095" s="334" t="n"/>
      <c r="Q1095" s="334" t="n"/>
      <c r="R1095" s="334" t="n"/>
      <c r="S1095" s="335" t="n"/>
    </row>
    <row r="1096" ht="22.2" customHeight="1" s="330">
      <c r="A1096" s="252" t="inlineStr">
        <is>
          <t>ลงชื่อ……………………………………………</t>
        </is>
      </c>
      <c r="G1096" s="331" t="n"/>
      <c r="H1096" s="252" t="inlineStr">
        <is>
          <t>ลงชื่อ……………………………………………</t>
        </is>
      </c>
      <c r="L1096" s="331" t="n"/>
      <c r="M1096" s="252" t="inlineStr">
        <is>
          <t>ลงชื่อ……………………………………………</t>
        </is>
      </c>
      <c r="S1096" s="331" t="n"/>
    </row>
    <row r="1097" ht="22.2" customHeight="1" s="330">
      <c r="A1097" s="12" t="inlineStr">
        <is>
          <t>(</t>
        </is>
      </c>
      <c r="B1097" s="309">
        <f>B1065</f>
        <v/>
      </c>
      <c r="G1097" s="310" t="inlineStr">
        <is>
          <t>)</t>
        </is>
      </c>
      <c r="H1097" s="309" t="inlineStr">
        <is>
          <t>(</t>
        </is>
      </c>
      <c r="I1097" s="314">
        <f>I1051</f>
        <v/>
      </c>
      <c r="L1097" s="13" t="inlineStr">
        <is>
          <t>)</t>
        </is>
      </c>
      <c r="M1097" s="61" t="inlineStr">
        <is>
          <t>(</t>
        </is>
      </c>
      <c r="N1097" s="61" t="n"/>
      <c r="O1097" s="309" t="inlineStr">
        <is>
          <t>นายพิสุทธิศักดิ์  กล่อมนาค</t>
        </is>
      </c>
      <c r="R1097" s="29" t="n"/>
      <c r="S1097" s="310" t="inlineStr">
        <is>
          <t>)</t>
        </is>
      </c>
    </row>
    <row r="1098" ht="22.2" customHeight="1" s="330">
      <c r="A1098" s="483" t="inlineStr">
        <is>
          <t xml:space="preserve">                 ตำแหน่ง  ครูพิเศษ</t>
        </is>
      </c>
      <c r="G1098" s="331" t="n"/>
      <c r="H1098" s="62" t="inlineStr">
        <is>
          <t>ตำแหน่ง หัวหน้าแผนก</t>
        </is>
      </c>
      <c r="L1098" s="331" t="n"/>
      <c r="M1098" s="62" t="inlineStr">
        <is>
          <t>ตำแหน่ง   ผู้ตรวจสอบ</t>
        </is>
      </c>
      <c r="S1098" s="331" t="n"/>
    </row>
    <row r="1099" ht="22.2" customHeight="1" s="330">
      <c r="A1099" s="63">
        <f>A41</f>
        <v/>
      </c>
      <c r="B1099" s="471" t="n"/>
      <c r="C1099" s="471" t="n"/>
      <c r="D1099" s="471" t="n"/>
      <c r="E1099" s="471" t="n"/>
      <c r="F1099" s="471" t="n"/>
      <c r="G1099" s="476" t="n"/>
      <c r="H1099" s="62">
        <f>A41</f>
        <v/>
      </c>
      <c r="L1099" s="331" t="n"/>
      <c r="M1099" s="63">
        <f>A41</f>
        <v/>
      </c>
      <c r="N1099" s="471" t="n"/>
      <c r="O1099" s="471" t="n"/>
      <c r="P1099" s="471" t="n"/>
      <c r="Q1099" s="471" t="n"/>
      <c r="R1099" s="471" t="n"/>
      <c r="S1099" s="476" t="n"/>
    </row>
    <row r="1100" ht="22.2" customHeight="1" s="330">
      <c r="A1100" s="207" t="inlineStr">
        <is>
          <t>ผู้ตรวจ</t>
        </is>
      </c>
      <c r="B1100" s="334" t="n"/>
      <c r="C1100" s="334" t="n"/>
      <c r="D1100" s="334" t="n"/>
      <c r="E1100" s="334" t="n"/>
      <c r="F1100" s="334" t="n"/>
      <c r="G1100" s="334" t="n"/>
      <c r="H1100" s="334" t="n"/>
      <c r="I1100" s="335" t="n"/>
      <c r="J1100" s="207" t="inlineStr">
        <is>
          <t>ผู้เห็นชอบ</t>
        </is>
      </c>
      <c r="K1100" s="334" t="n"/>
      <c r="L1100" s="334" t="n"/>
      <c r="M1100" s="334" t="n"/>
      <c r="N1100" s="334" t="n"/>
      <c r="O1100" s="334" t="n"/>
      <c r="P1100" s="334" t="n"/>
      <c r="Q1100" s="334" t="n"/>
      <c r="R1100" s="334" t="n"/>
      <c r="S1100" s="335" t="n"/>
    </row>
    <row r="1101" ht="22.2" customHeight="1" s="330">
      <c r="A1101" s="252" t="inlineStr">
        <is>
          <t>ลงชื่อ……………………………………………</t>
        </is>
      </c>
      <c r="I1101" s="331" t="n"/>
      <c r="J1101" s="252" t="inlineStr">
        <is>
          <t>ลงชื่อ……………………………………………</t>
        </is>
      </c>
      <c r="S1101" s="331" t="n"/>
    </row>
    <row r="1102" ht="22.2" customHeight="1" s="330">
      <c r="A1102" s="12" t="n"/>
      <c r="B1102" s="309" t="inlineStr">
        <is>
          <t xml:space="preserve">          (นางศิวรักษ์   บุญประเสริฐ)</t>
        </is>
      </c>
      <c r="I1102" s="310" t="n"/>
      <c r="J1102" s="29" t="n"/>
      <c r="K1102" s="29" t="n"/>
      <c r="L1102" s="309" t="inlineStr">
        <is>
          <t>(นายปรีชา  โพธิ์เกิด)</t>
        </is>
      </c>
      <c r="R1102" s="29" t="n"/>
      <c r="S1102" s="13" t="n"/>
    </row>
    <row r="1103" ht="22.2" customHeight="1" s="330">
      <c r="A1103" s="62" t="inlineStr">
        <is>
          <t>ตำแหน่งครู  หัวหน้างานพัฒนาหลักสูตร ฯ</t>
        </is>
      </c>
      <c r="I1103" s="331" t="n"/>
      <c r="J1103" s="62" t="inlineStr">
        <is>
          <t>ตำแหน่ง  รองผู้อำนวยการฝ่ายวิชาการ</t>
        </is>
      </c>
      <c r="S1103" s="331" t="n"/>
    </row>
    <row r="1104" ht="22.2" customHeight="1" s="330">
      <c r="A1104" s="63">
        <f>A41</f>
        <v/>
      </c>
      <c r="B1104" s="471" t="n"/>
      <c r="C1104" s="471" t="n"/>
      <c r="D1104" s="471" t="n"/>
      <c r="E1104" s="471" t="n"/>
      <c r="F1104" s="471" t="n"/>
      <c r="G1104" s="471" t="n"/>
      <c r="H1104" s="471" t="n"/>
      <c r="I1104" s="476" t="n"/>
      <c r="J1104" s="63">
        <f>A41</f>
        <v/>
      </c>
      <c r="K1104" s="471" t="n"/>
      <c r="L1104" s="471" t="n"/>
      <c r="M1104" s="471" t="n"/>
      <c r="N1104" s="471" t="n"/>
      <c r="O1104" s="471" t="n"/>
      <c r="P1104" s="471" t="n"/>
      <c r="Q1104" s="471" t="n"/>
      <c r="R1104" s="471" t="n"/>
      <c r="S1104" s="476" t="n"/>
    </row>
    <row r="1105" ht="22.2" customHeight="1" s="330">
      <c r="A110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06" ht="22.2" customHeight="1" s="330">
      <c r="A1106" s="254">
        <f>A2</f>
        <v/>
      </c>
    </row>
    <row r="1107" ht="22.2" customHeight="1" s="330">
      <c r="A1107" s="253" t="inlineStr">
        <is>
          <t xml:space="preserve">    ระหว่างวันที่</t>
        </is>
      </c>
      <c r="D1107" s="254">
        <f>D3</f>
        <v/>
      </c>
      <c r="E1107" s="254" t="inlineStr">
        <is>
          <t xml:space="preserve">   เดือน  </t>
        </is>
      </c>
      <c r="F1107" s="254">
        <f>F3</f>
        <v/>
      </c>
      <c r="H1107" s="254">
        <f>H3</f>
        <v/>
      </c>
      <c r="I1107" s="254" t="inlineStr">
        <is>
          <t xml:space="preserve">     ถึง วันที่</t>
        </is>
      </c>
      <c r="J1107" s="254">
        <f>J3</f>
        <v/>
      </c>
      <c r="K1107" s="254" t="inlineStr">
        <is>
          <t xml:space="preserve">   เดือน </t>
        </is>
      </c>
      <c r="L1107" s="254">
        <f>L3</f>
        <v/>
      </c>
      <c r="N1107" s="254">
        <f>N3</f>
        <v/>
      </c>
      <c r="P1107" s="254" t="n"/>
      <c r="R1107" s="254" t="n"/>
    </row>
    <row r="1108" ht="22.2" customHeight="1" s="330">
      <c r="G1108" s="58" t="inlineStr">
        <is>
          <t>ü</t>
        </is>
      </c>
      <c r="H1108" s="8" t="inlineStr">
        <is>
          <t>ครูพิเศษ</t>
        </is>
      </c>
      <c r="I1108" s="249" t="inlineStr">
        <is>
          <t>หน้าที่พิเศษ</t>
        </is>
      </c>
      <c r="K1108" s="290" t="n"/>
    </row>
    <row r="1109" ht="22.2" customHeight="1" s="330">
      <c r="A1109" s="28" t="inlineStr">
        <is>
          <t>ที่</t>
        </is>
      </c>
      <c r="B1109" s="28" t="inlineStr">
        <is>
          <t>ชื่อ-สกุล</t>
        </is>
      </c>
      <c r="C1109" s="334" t="n"/>
      <c r="D1109" s="335" t="n"/>
      <c r="E1109" s="16" t="inlineStr">
        <is>
          <t>ตำแหน่ง</t>
        </is>
      </c>
      <c r="F1109" s="17" t="inlineStr">
        <is>
          <t>ระยะเวลาที่สอน</t>
        </is>
      </c>
      <c r="G1109" s="362" t="n"/>
      <c r="H1109" s="17" t="inlineStr">
        <is>
          <t>รหัสวิชา</t>
        </is>
      </c>
      <c r="I1109" s="275" t="inlineStr">
        <is>
          <t>ชั้น,แผนก,ห้อง</t>
        </is>
      </c>
      <c r="J1109" s="17" t="inlineStr">
        <is>
          <t>เวลาสอน</t>
        </is>
      </c>
      <c r="K1109" s="335" t="n"/>
      <c r="L1109" s="17" t="inlineStr">
        <is>
          <t>ปวช.(คาบ)</t>
        </is>
      </c>
      <c r="M1109" s="362" t="n"/>
      <c r="N1109" s="244" t="inlineStr">
        <is>
          <t>เงิน</t>
        </is>
      </c>
      <c r="O1109" s="275" t="inlineStr">
        <is>
          <t>ยอดเงิน</t>
        </is>
      </c>
      <c r="P1109" s="473" t="inlineStr">
        <is>
          <t>ปวส.(คาบ)</t>
        </is>
      </c>
      <c r="Q1109" s="362" t="n"/>
      <c r="R1109" s="244" t="inlineStr">
        <is>
          <t>เงิน</t>
        </is>
      </c>
      <c r="S1109" s="275" t="inlineStr">
        <is>
          <t>ยอดเงิน</t>
        </is>
      </c>
    </row>
    <row r="1110" ht="22.2" customHeight="1" s="330">
      <c r="A1110" s="60" t="n"/>
      <c r="B1110" s="9" t="n"/>
      <c r="C1110" s="10" t="n"/>
      <c r="D1110" s="14" t="n"/>
      <c r="E1110" s="11" t="n"/>
      <c r="F1110" s="276" t="inlineStr">
        <is>
          <t>ส.</t>
        </is>
      </c>
      <c r="G1110" s="276" t="inlineStr">
        <is>
          <t>วดป.</t>
        </is>
      </c>
      <c r="H1110" s="474" t="n"/>
      <c r="I1110" s="276" t="n"/>
      <c r="J1110" s="475" t="n"/>
      <c r="K1110" s="476" t="n"/>
      <c r="L1110" s="276" t="inlineStr">
        <is>
          <t>ใน</t>
        </is>
      </c>
      <c r="M1110" s="276" t="inlineStr">
        <is>
          <t>นอก</t>
        </is>
      </c>
      <c r="N1110" s="276" t="inlineStr">
        <is>
          <t>ต่อ ชม.</t>
        </is>
      </c>
      <c r="O1110" s="276" t="inlineStr">
        <is>
          <t>(บาท)</t>
        </is>
      </c>
      <c r="P1110" s="60" t="inlineStr">
        <is>
          <t>ใน</t>
        </is>
      </c>
      <c r="Q1110" s="60" t="inlineStr">
        <is>
          <t>นอก</t>
        </is>
      </c>
      <c r="R1110" s="276" t="inlineStr">
        <is>
          <t>ต่อ ชม.</t>
        </is>
      </c>
      <c r="S1110" s="276" t="inlineStr">
        <is>
          <t>(บาท)</t>
        </is>
      </c>
    </row>
    <row r="1111" ht="22.2" customHeight="1" s="330">
      <c r="A1111" s="275" t="n">
        <v>25</v>
      </c>
      <c r="B1111" s="477">
        <f>AB27</f>
        <v/>
      </c>
      <c r="C1111" s="334" t="n"/>
      <c r="D1111" s="335" t="n"/>
      <c r="E1111" s="275" t="inlineStr">
        <is>
          <t>ครู</t>
        </is>
      </c>
      <c r="F1111" s="6">
        <f>F7</f>
        <v/>
      </c>
      <c r="G1111" s="303" t="inlineStr">
        <is>
          <t>จันทร์</t>
        </is>
      </c>
      <c r="H1111" s="332" t="n"/>
      <c r="I1111" s="325" t="n"/>
      <c r="J1111" s="275" t="n"/>
      <c r="K1111" s="335" t="n"/>
      <c r="L1111" s="332" t="n"/>
      <c r="M1111" s="156" t="n"/>
      <c r="N1111" s="156" t="n"/>
      <c r="O1111" s="244">
        <f>M1111*N1111</f>
        <v/>
      </c>
      <c r="P1111" s="332" t="n"/>
      <c r="Q1111" s="265" t="n"/>
      <c r="R1111" s="332" t="n"/>
      <c r="S1111" s="244">
        <f>Q1111*R1111</f>
        <v/>
      </c>
    </row>
    <row r="1112" ht="22.2" customHeight="1" s="330">
      <c r="A1112" s="4" t="n"/>
      <c r="B1112" s="478" t="n"/>
      <c r="D1112" s="331" t="n"/>
      <c r="E1112" s="252" t="inlineStr">
        <is>
          <t>พิเศษ</t>
        </is>
      </c>
      <c r="F1112" s="249" t="n"/>
      <c r="G1112" s="308">
        <f>G1066</f>
        <v/>
      </c>
      <c r="H1112" s="325" t="n"/>
      <c r="I1112" s="325" t="n"/>
      <c r="J1112" s="252" t="n"/>
      <c r="K1112" s="331" t="n"/>
      <c r="L1112" s="252" t="n"/>
      <c r="M1112" s="56" t="n"/>
      <c r="N1112" s="56" t="n"/>
      <c r="O1112" s="244">
        <f>M1112*N1112</f>
        <v/>
      </c>
      <c r="P1112" s="252" t="n"/>
      <c r="Q1112" s="252" t="n"/>
      <c r="R1112" s="252" t="n"/>
      <c r="S1112" s="244">
        <f>Q1112*R1112</f>
        <v/>
      </c>
    </row>
    <row r="1113" ht="22.2" customHeight="1" s="330">
      <c r="A1113" s="4" t="n"/>
      <c r="B1113" s="5" t="n"/>
      <c r="D1113" s="3" t="n"/>
      <c r="E1113" s="3" t="n"/>
      <c r="F1113" s="249" t="n"/>
      <c r="G1113" s="248" t="n"/>
      <c r="H1113" s="325" t="n"/>
      <c r="I1113" s="325" t="n"/>
      <c r="J1113" s="252" t="n"/>
      <c r="K1113" s="331" t="n"/>
      <c r="L1113" s="252" t="n"/>
      <c r="M1113" s="252" t="n"/>
      <c r="N1113" s="252" t="n"/>
      <c r="O1113" s="244">
        <f>M1113*N1113</f>
        <v/>
      </c>
      <c r="P1113" s="252" t="n"/>
      <c r="Q1113" s="252" t="n"/>
      <c r="R1113" s="252" t="n"/>
      <c r="S1113" s="244">
        <f>Q1113*R1113</f>
        <v/>
      </c>
    </row>
    <row r="1114" ht="22.2" customHeight="1" s="330">
      <c r="A1114" s="4" t="n"/>
      <c r="B1114" s="5" t="n"/>
      <c r="E1114" s="4" t="n"/>
      <c r="F1114" s="249" t="n"/>
      <c r="G1114" s="248" t="n"/>
      <c r="H1114" s="252" t="n"/>
      <c r="I1114" s="252" t="n"/>
      <c r="J1114" s="252" t="n"/>
      <c r="K1114" s="331" t="n"/>
      <c r="L1114" s="252" t="n"/>
      <c r="M1114" s="252" t="n"/>
      <c r="N1114" s="252" t="n"/>
      <c r="O1114" s="244">
        <f>M1114*N1114</f>
        <v/>
      </c>
      <c r="P1114" s="252" t="n"/>
      <c r="Q1114" s="252" t="n"/>
      <c r="R1114" s="252" t="n"/>
      <c r="S1114" s="244">
        <f>Q1114*R1114</f>
        <v/>
      </c>
    </row>
    <row r="1115" ht="22.2" customHeight="1" s="330">
      <c r="A1115" s="4" t="n"/>
      <c r="E1115" s="4" t="n"/>
      <c r="G1115" s="311" t="n"/>
      <c r="H1115" s="276" t="n"/>
      <c r="I1115" s="276" t="n"/>
      <c r="J1115" s="276" t="n"/>
      <c r="K1115" s="476" t="n"/>
      <c r="L1115" s="252" t="n"/>
      <c r="M1115" s="276" t="n"/>
      <c r="N1115" s="276" t="n"/>
      <c r="O1115" s="244">
        <f>M1115*N1115</f>
        <v/>
      </c>
      <c r="P1115" s="252" t="n"/>
      <c r="Q1115" s="252" t="n"/>
      <c r="R1115" s="252" t="n"/>
      <c r="S1115" s="244">
        <f>Q1115*R1115</f>
        <v/>
      </c>
    </row>
    <row r="1116" ht="22.2" customHeight="1" s="330">
      <c r="A1116" s="4" t="n"/>
      <c r="E1116" s="4" t="n"/>
      <c r="G1116" s="62" t="inlineStr">
        <is>
          <t>อังคาร</t>
        </is>
      </c>
      <c r="H1116" s="332" t="inlineStr">
        <is>
          <t>30101-2605</t>
        </is>
      </c>
      <c r="I1116" s="325" t="inlineStr">
        <is>
          <t>ปวส.1/6 สย. (ม.6)</t>
        </is>
      </c>
      <c r="J1116" s="275" t="inlineStr">
        <is>
          <t>08.10-12.10</t>
        </is>
      </c>
      <c r="K1116" s="335" t="n"/>
      <c r="L1116" s="332" t="n"/>
      <c r="M1116" s="182" t="n"/>
      <c r="N1116" s="179" t="n"/>
      <c r="O1116" s="244">
        <f>M1116*N1116</f>
        <v/>
      </c>
      <c r="P1116" s="332" t="n"/>
      <c r="Q1116" s="265" t="n"/>
      <c r="R1116" s="332" t="n"/>
      <c r="S1116" s="244">
        <f>Q1116*R1116</f>
        <v/>
      </c>
    </row>
    <row r="1117" ht="22.2" customHeight="1" s="330">
      <c r="A1117" s="4" t="n"/>
      <c r="E1117" s="4" t="n"/>
      <c r="G1117" s="308">
        <f>G1071</f>
        <v/>
      </c>
      <c r="H1117" s="325" t="inlineStr">
        <is>
          <t>30101-2605</t>
        </is>
      </c>
      <c r="I1117" s="325" t="inlineStr">
        <is>
          <t>ปวส.1/6 สย. (ม.6)</t>
        </is>
      </c>
      <c r="J1117" s="252" t="inlineStr">
        <is>
          <t>13.10-14.10</t>
        </is>
      </c>
      <c r="K1117" s="331" t="n"/>
      <c r="L1117" s="252" t="n"/>
      <c r="M1117" s="250" t="n"/>
      <c r="N1117" s="252" t="n"/>
      <c r="O1117" s="244">
        <f>M1117*N1117</f>
        <v/>
      </c>
      <c r="P1117" s="252" t="n"/>
      <c r="Q1117" s="252" t="n"/>
      <c r="R1117" s="252" t="n"/>
      <c r="S1117" s="244">
        <f>Q1117*R1117</f>
        <v/>
      </c>
    </row>
    <row r="1118" ht="22.2" customHeight="1" s="330">
      <c r="A1118" s="4" t="n"/>
      <c r="B1118" s="5" t="n"/>
      <c r="D1118" s="3" t="n"/>
      <c r="E1118" s="3" t="n"/>
      <c r="G1118" s="252" t="n"/>
      <c r="H1118" s="325" t="inlineStr">
        <is>
          <t>30101-2605</t>
        </is>
      </c>
      <c r="I1118" s="325" t="inlineStr">
        <is>
          <t>ปวส.1/5 สย. (ม.6)</t>
        </is>
      </c>
      <c r="J1118" s="252" t="inlineStr">
        <is>
          <t>14.10-19.10</t>
        </is>
      </c>
      <c r="K1118" s="331" t="n"/>
      <c r="L1118" s="252" t="n"/>
      <c r="M1118" s="252" t="n"/>
      <c r="N1118" s="252" t="n"/>
      <c r="O1118" s="244">
        <f>M1118*N1118</f>
        <v/>
      </c>
      <c r="P1118" s="252" t="n"/>
      <c r="Q1118" s="252" t="n"/>
      <c r="R1118" s="252" t="n"/>
      <c r="S1118" s="244">
        <f>Q1118*R1118</f>
        <v/>
      </c>
    </row>
    <row r="1119" ht="22.2" customHeight="1" s="330">
      <c r="A1119" s="4" t="n"/>
      <c r="E1119" s="4" t="n"/>
      <c r="G1119" s="62" t="n"/>
      <c r="H1119" s="249" t="n"/>
      <c r="I1119" s="252" t="n"/>
      <c r="J1119" s="252" t="n"/>
      <c r="K1119" s="331" t="n"/>
      <c r="L1119" s="252" t="n"/>
      <c r="M1119" s="252" t="n"/>
      <c r="N1119" s="252" t="n"/>
      <c r="O1119" s="244">
        <f>M1119*N1119</f>
        <v/>
      </c>
      <c r="P1119" s="252" t="n"/>
      <c r="Q1119" s="252" t="n"/>
      <c r="R1119" s="252" t="n"/>
      <c r="S1119" s="244">
        <f>Q1119*R1119</f>
        <v/>
      </c>
    </row>
    <row r="1120" ht="22.2" customHeight="1" s="330">
      <c r="A1120" s="4" t="n"/>
      <c r="D1120" s="8" t="inlineStr">
        <is>
          <t> </t>
        </is>
      </c>
      <c r="E1120" s="4" t="n"/>
      <c r="G1120" s="63" t="n"/>
      <c r="H1120" s="276" t="n"/>
      <c r="I1120" s="276" t="n"/>
      <c r="J1120" s="276" t="n"/>
      <c r="K1120" s="476" t="n"/>
      <c r="L1120" s="252" t="n"/>
      <c r="M1120" s="276" t="n"/>
      <c r="N1120" s="276" t="n"/>
      <c r="O1120" s="244">
        <f>M1120*N1120</f>
        <v/>
      </c>
      <c r="P1120" s="252" t="n"/>
      <c r="Q1120" s="252" t="n"/>
      <c r="R1120" s="252" t="n"/>
      <c r="S1120" s="244">
        <f>Q1120*R1120</f>
        <v/>
      </c>
    </row>
    <row r="1121" ht="22.2" customHeight="1" s="330">
      <c r="A1121" s="4" t="n"/>
      <c r="E1121" s="4" t="n"/>
      <c r="G1121" s="308" t="inlineStr">
        <is>
          <t>พุธ</t>
        </is>
      </c>
      <c r="H1121" s="325" t="inlineStr">
        <is>
          <t>30101-2105</t>
        </is>
      </c>
      <c r="I1121" s="325" t="inlineStr">
        <is>
          <t>ปวส.1/2 สย. (ปกติ)</t>
        </is>
      </c>
      <c r="J1121" s="275" t="inlineStr">
        <is>
          <t>08.10-12.10</t>
        </is>
      </c>
      <c r="K1121" s="335" t="n"/>
      <c r="L1121" s="332" t="n"/>
      <c r="M1121" s="179" t="n"/>
      <c r="N1121" s="179" t="n"/>
      <c r="O1121" s="244">
        <f>M1121*N1121</f>
        <v/>
      </c>
      <c r="P1121" s="332" t="n"/>
      <c r="Q1121" s="265" t="n"/>
      <c r="R1121" s="332" t="n"/>
      <c r="S1121" s="244">
        <f>Q1121*R1121</f>
        <v/>
      </c>
    </row>
    <row r="1122" ht="22.2" customHeight="1" s="330">
      <c r="A1122" s="4" t="n"/>
      <c r="B1122" s="248" t="n"/>
      <c r="C1122" s="249" t="n"/>
      <c r="D1122" s="249" t="n"/>
      <c r="E1122" s="252" t="n"/>
      <c r="G1122" s="308">
        <f>G1076</f>
        <v/>
      </c>
      <c r="H1122" s="325" t="inlineStr">
        <is>
          <t>30101-2105</t>
        </is>
      </c>
      <c r="I1122" s="325" t="inlineStr">
        <is>
          <t>ปวส.1/2 สย. (ปกติ)</t>
        </is>
      </c>
      <c r="J1122" s="252" t="inlineStr">
        <is>
          <t>13.10-14.10</t>
        </is>
      </c>
      <c r="K1122" s="331" t="n"/>
      <c r="L1122" s="252" t="n"/>
      <c r="M1122" s="180" t="n"/>
      <c r="N1122" s="180" t="n"/>
      <c r="O1122" s="244">
        <f>M1122*N1122</f>
        <v/>
      </c>
      <c r="P1122" s="252" t="n"/>
      <c r="Q1122" s="252" t="n"/>
      <c r="R1122" s="252" t="n"/>
      <c r="S1122" s="244">
        <f>Q1122*R1122</f>
        <v/>
      </c>
    </row>
    <row r="1123" ht="22.2" customHeight="1" s="330">
      <c r="A1123" s="4" t="n"/>
      <c r="B1123" s="5" t="n"/>
      <c r="D1123" s="3" t="n"/>
      <c r="E1123" s="3" t="n"/>
      <c r="G1123" s="252" t="n"/>
      <c r="H1123" s="325" t="inlineStr">
        <is>
          <t>30101-2105</t>
        </is>
      </c>
      <c r="I1123" s="325" t="inlineStr">
        <is>
          <t>ปวส.1/1 สย. (ปกติ)</t>
        </is>
      </c>
      <c r="J1123" s="252" t="inlineStr">
        <is>
          <t>14.10-19.10</t>
        </is>
      </c>
      <c r="K1123" s="331" t="n"/>
      <c r="L1123" s="252" t="n"/>
      <c r="M1123" s="180" t="n"/>
      <c r="N1123" s="180" t="n"/>
      <c r="O1123" s="244">
        <f>M1123*N1123</f>
        <v/>
      </c>
      <c r="P1123" s="252" t="n"/>
      <c r="Q1123" s="252" t="n"/>
      <c r="R1123" s="252" t="n"/>
      <c r="S1123" s="244">
        <f>Q1123*R1123</f>
        <v/>
      </c>
    </row>
    <row r="1124" ht="22.2" customHeight="1" s="330">
      <c r="A1124" s="4" t="n"/>
      <c r="E1124" s="4" t="n"/>
      <c r="G1124" s="252" t="n"/>
      <c r="H1124" s="248" t="n"/>
      <c r="I1124" s="252" t="n"/>
      <c r="J1124" s="252" t="n"/>
      <c r="K1124" s="331" t="n"/>
      <c r="L1124" s="252" t="n"/>
      <c r="M1124" s="252" t="n"/>
      <c r="N1124" s="252" t="n"/>
      <c r="O1124" s="244">
        <f>M1124*N1124</f>
        <v/>
      </c>
      <c r="P1124" s="252" t="n"/>
      <c r="Q1124" s="252" t="n"/>
      <c r="R1124" s="252" t="n"/>
      <c r="S1124" s="244">
        <f>Q1124*R1124</f>
        <v/>
      </c>
    </row>
    <row r="1125" ht="22.2" customHeight="1" s="330">
      <c r="A1125" s="4" t="n"/>
      <c r="E1125" s="4" t="n"/>
      <c r="G1125" s="277" t="n"/>
      <c r="H1125" s="277" t="n"/>
      <c r="I1125" s="276" t="n"/>
      <c r="J1125" s="276" t="n"/>
      <c r="K1125" s="476" t="n"/>
      <c r="L1125" s="276" t="n"/>
      <c r="M1125" s="276" t="n"/>
      <c r="N1125" s="276" t="n"/>
      <c r="O1125" s="244">
        <f>M1125*N1125</f>
        <v/>
      </c>
      <c r="P1125" s="276" t="n"/>
      <c r="Q1125" s="276" t="n"/>
      <c r="R1125" s="276" t="n"/>
      <c r="S1125" s="244">
        <f>Q1125*R1125</f>
        <v/>
      </c>
    </row>
    <row r="1126" ht="22.2" customHeight="1" s="330">
      <c r="A1126" s="4" t="n"/>
      <c r="E1126" s="4" t="n"/>
      <c r="G1126" s="62" t="inlineStr">
        <is>
          <t>พฤหัส</t>
        </is>
      </c>
      <c r="H1126" s="325" t="inlineStr">
        <is>
          <t>30101-0001</t>
        </is>
      </c>
      <c r="I1126" s="325" t="inlineStr">
        <is>
          <t>ปวส.2/6 สย. (ม.6)</t>
        </is>
      </c>
      <c r="J1126" s="275" t="inlineStr">
        <is>
          <t>08.10-11.10</t>
        </is>
      </c>
      <c r="K1126" s="335" t="n"/>
      <c r="L1126" s="252" t="n"/>
      <c r="M1126" s="252" t="n"/>
      <c r="N1126" s="252" t="n"/>
      <c r="O1126" s="244">
        <f>M1126*N1126</f>
        <v/>
      </c>
      <c r="P1126" s="252" t="n"/>
      <c r="Q1126" s="275" t="n"/>
      <c r="R1126" s="275" t="n"/>
      <c r="S1126" s="244">
        <f>Q1126*R1126</f>
        <v/>
      </c>
      <c r="T1126" s="25" t="n"/>
      <c r="U1126" s="26" t="inlineStr">
        <is>
          <t xml:space="preserve">     PLC</t>
        </is>
      </c>
      <c r="V1126" s="64" t="n"/>
      <c r="W1126" s="27" t="n"/>
      <c r="X1126" s="27" t="n"/>
    </row>
    <row r="1127" ht="22.2" customHeight="1" s="330">
      <c r="A1127" s="4" t="n"/>
      <c r="E1127" s="4" t="n"/>
      <c r="G1127" s="308">
        <f>G1081</f>
        <v/>
      </c>
      <c r="H1127" s="325" t="inlineStr">
        <is>
          <t>30000-2002</t>
        </is>
      </c>
      <c r="I1127" s="325" t="inlineStr">
        <is>
          <t xml:space="preserve">ปวส.2/7 1/7 สย. </t>
        </is>
      </c>
      <c r="J1127" s="252" t="inlineStr">
        <is>
          <t>13.10-15.10</t>
        </is>
      </c>
      <c r="K1127" s="331" t="n"/>
      <c r="L1127" s="252" t="n"/>
      <c r="M1127" s="252" t="n"/>
      <c r="N1127" s="252" t="n"/>
      <c r="O1127" s="244">
        <f>M1127*N1127</f>
        <v/>
      </c>
      <c r="P1127" s="252" t="n"/>
      <c r="Q1127" s="252" t="n"/>
      <c r="R1127" s="252" t="n"/>
      <c r="S1127" s="244">
        <f>Q1127*R1127</f>
        <v/>
      </c>
      <c r="T1127" s="27" t="inlineStr">
        <is>
          <t> </t>
        </is>
      </c>
      <c r="U1127" s="26" t="inlineStr">
        <is>
          <t>17.10-19.10</t>
        </is>
      </c>
      <c r="V1127" s="64" t="n"/>
      <c r="W1127" s="27" t="n"/>
      <c r="X1127" s="27" t="n"/>
    </row>
    <row r="1128" ht="22.2" customHeight="1" s="330">
      <c r="A1128" s="4" t="n"/>
      <c r="B1128" s="5" t="n"/>
      <c r="E1128" s="4" t="n"/>
      <c r="G1128" s="252" t="n"/>
      <c r="H1128" s="325" t="n"/>
      <c r="I1128" s="325" t="n"/>
      <c r="J1128" s="252" t="n"/>
      <c r="K1128" s="331" t="n"/>
      <c r="L1128" s="325" t="n"/>
      <c r="M1128" s="325" t="n"/>
      <c r="N1128" s="325" t="n"/>
      <c r="O1128" s="244">
        <f>M1128*N1128</f>
        <v/>
      </c>
      <c r="P1128" s="325" t="n"/>
      <c r="Q1128" s="325" t="n"/>
      <c r="R1128" s="325" t="n"/>
      <c r="S1128" s="244">
        <f>Q1128*R1128</f>
        <v/>
      </c>
    </row>
    <row r="1129" ht="22.2" customHeight="1" s="330">
      <c r="A1129" s="4" t="n"/>
      <c r="E1129" s="4" t="n"/>
      <c r="G1129" s="252" t="n"/>
      <c r="H1129" s="252" t="n"/>
      <c r="I1129" s="252" t="n"/>
      <c r="J1129" s="252" t="n"/>
      <c r="K1129" s="331" t="n"/>
      <c r="L1129" s="252" t="n"/>
      <c r="M1129" s="252" t="n"/>
      <c r="N1129" s="252" t="n"/>
      <c r="O1129" s="244">
        <f>M1129*N1129</f>
        <v/>
      </c>
      <c r="P1129" s="252" t="n"/>
      <c r="Q1129" s="252" t="n"/>
      <c r="R1129" s="252" t="n"/>
      <c r="S1129" s="244">
        <f>Q1129*R1129</f>
        <v/>
      </c>
    </row>
    <row r="1130" ht="22.2" customHeight="1" s="330">
      <c r="A1130" s="4" t="n"/>
      <c r="E1130" s="4" t="n"/>
      <c r="G1130" s="276" t="n"/>
      <c r="H1130" s="301" t="n"/>
      <c r="I1130" s="276" t="n"/>
      <c r="J1130" s="276" t="n"/>
      <c r="K1130" s="476" t="n"/>
      <c r="L1130" s="276" t="n"/>
      <c r="M1130" s="276" t="n"/>
      <c r="N1130" s="276" t="n"/>
      <c r="O1130" s="244">
        <f>M1130*N1130</f>
        <v/>
      </c>
      <c r="P1130" s="276" t="n"/>
      <c r="Q1130" s="276" t="n"/>
      <c r="R1130" s="276" t="n"/>
      <c r="S1130" s="244">
        <f>Q1130*R1130</f>
        <v/>
      </c>
    </row>
    <row r="1131" ht="22.2" customHeight="1" s="330">
      <c r="A1131" s="4" t="n"/>
      <c r="E1131" s="4" t="n"/>
      <c r="G1131" s="62" t="inlineStr">
        <is>
          <t>ศุกร์</t>
        </is>
      </c>
      <c r="H1131" s="325" t="inlineStr">
        <is>
          <t>30101-2109</t>
        </is>
      </c>
      <c r="I1131" s="325" t="inlineStr">
        <is>
          <t>ปวส.2/6 สย. (ม.6)</t>
        </is>
      </c>
      <c r="J1131" s="275" t="inlineStr">
        <is>
          <t>08.10-12.10</t>
        </is>
      </c>
      <c r="K1131" s="335" t="n"/>
      <c r="L1131" s="252" t="n"/>
      <c r="M1131" s="252" t="n"/>
      <c r="N1131" s="252" t="n"/>
      <c r="O1131" s="244">
        <f>M1131*N1131</f>
        <v/>
      </c>
      <c r="P1131" s="332" t="n"/>
      <c r="Q1131" s="265" t="n"/>
      <c r="R1131" s="332" t="n"/>
      <c r="S1131" s="244">
        <f>Q1131*R1131</f>
        <v/>
      </c>
    </row>
    <row r="1132" ht="22.2" customHeight="1" s="330">
      <c r="A1132" s="4" t="n"/>
      <c r="E1132" s="4" t="n"/>
      <c r="G1132" s="308">
        <f>G1086</f>
        <v/>
      </c>
      <c r="H1132" s="325" t="inlineStr">
        <is>
          <t>30101-2109</t>
        </is>
      </c>
      <c r="I1132" s="325" t="inlineStr">
        <is>
          <t>ปวส.2/6 สย. (ม.6)</t>
        </is>
      </c>
      <c r="J1132" s="252" t="inlineStr">
        <is>
          <t>13.10-14.10</t>
        </is>
      </c>
      <c r="K1132" s="331" t="n"/>
      <c r="L1132" s="252" t="n"/>
      <c r="M1132" s="252" t="n"/>
      <c r="N1132" s="252" t="n"/>
      <c r="O1132" s="244">
        <f>M1132*N1132</f>
        <v/>
      </c>
      <c r="P1132" s="252" t="n"/>
      <c r="Q1132" s="252" t="n"/>
      <c r="R1132" s="252" t="n"/>
      <c r="S1132" s="244">
        <f>Q1132*R1132</f>
        <v/>
      </c>
    </row>
    <row r="1133" ht="22.2" customHeight="1" s="330">
      <c r="A1133" s="4" t="n"/>
      <c r="E1133" s="4" t="n"/>
      <c r="G1133" s="252" t="n"/>
      <c r="H1133" s="252" t="n"/>
      <c r="I1133" s="252" t="n"/>
      <c r="J1133" s="252" t="n"/>
      <c r="K1133" s="331" t="n"/>
      <c r="L1133" s="252" t="n"/>
      <c r="M1133" s="252" t="n"/>
      <c r="N1133" s="252" t="n"/>
      <c r="O1133" s="244">
        <f>M1133*N1133</f>
        <v/>
      </c>
      <c r="P1133" s="252" t="n"/>
      <c r="Q1133" s="252" t="n"/>
      <c r="R1133" s="252" t="n"/>
      <c r="S1133" s="244">
        <f>Q1133*R1133</f>
        <v/>
      </c>
    </row>
    <row r="1134" ht="22.2" customHeight="1" s="330">
      <c r="A1134" s="4" t="n"/>
      <c r="E1134" s="4" t="n"/>
      <c r="G1134" s="252" t="n"/>
      <c r="H1134" s="249" t="inlineStr">
        <is>
          <t> </t>
        </is>
      </c>
      <c r="I1134" s="252" t="n"/>
      <c r="J1134" s="252" t="n"/>
      <c r="K1134" s="331" t="n"/>
      <c r="L1134" s="252" t="n"/>
      <c r="M1134" s="252" t="n"/>
      <c r="N1134" s="252" t="n"/>
      <c r="O1134" s="244">
        <f>M1134*N1134</f>
        <v/>
      </c>
      <c r="P1134" s="252" t="n"/>
      <c r="Q1134" s="252" t="n"/>
      <c r="R1134" s="252" t="n"/>
      <c r="S1134" s="244">
        <f>Q1134*R1134</f>
        <v/>
      </c>
    </row>
    <row r="1135" ht="22.2" customHeight="1" s="330">
      <c r="A1135" s="4" t="n"/>
      <c r="E1135" s="4" t="n"/>
      <c r="F1135" s="4" t="n"/>
      <c r="G1135" s="278" t="n"/>
      <c r="H1135" s="301" t="n"/>
      <c r="I1135" s="276" t="n"/>
      <c r="J1135" s="276" t="n"/>
      <c r="K1135" s="476" t="n"/>
      <c r="L1135" s="276" t="n"/>
      <c r="M1135" s="276" t="n"/>
      <c r="N1135" s="276" t="n"/>
      <c r="O1135" s="244">
        <f>M1135*N1135</f>
        <v/>
      </c>
      <c r="P1135" s="276" t="n"/>
      <c r="Q1135" s="276" t="n"/>
      <c r="R1135" s="276" t="n"/>
      <c r="S1135" s="244">
        <f>Q1135*R1135</f>
        <v/>
      </c>
    </row>
    <row r="1136" ht="22.2" customHeight="1" s="330">
      <c r="A1136" s="4" t="n"/>
      <c r="E1136" s="4" t="n"/>
      <c r="F1136" s="4" t="n"/>
      <c r="G1136" s="17" t="inlineStr">
        <is>
          <t>รวมขั่วโมงที่สอนแยก ภาระงาน/ เกินภาระงาน</t>
        </is>
      </c>
      <c r="H1136" s="467" t="n"/>
      <c r="I1136" s="467" t="n"/>
      <c r="J1136" s="467" t="n"/>
      <c r="K1136" s="362" t="n"/>
      <c r="L1136" s="17">
        <f>SUM(L1111:L1135)</f>
        <v/>
      </c>
      <c r="M1136" s="17">
        <f>SUM(M1111:M1135)</f>
        <v/>
      </c>
      <c r="N1136" s="17" t="n"/>
      <c r="O1136" s="17" t="n"/>
      <c r="P1136" s="17">
        <f>SUM(P1111:P1135)</f>
        <v/>
      </c>
      <c r="Q1136" s="17">
        <f>SUM(Q1111:Q1135)</f>
        <v/>
      </c>
      <c r="R1136" s="279" t="n"/>
      <c r="S1136" s="17" t="n"/>
    </row>
    <row r="1137" ht="22.2" customHeight="1" s="330">
      <c r="A1137" s="4" t="n"/>
      <c r="E1137" s="4" t="n"/>
      <c r="F1137" s="4" t="n"/>
      <c r="G1137" s="17" t="inlineStr">
        <is>
          <t>รวมจำนวนชั่วโมงสอนคาบต่อสับดาห์</t>
        </is>
      </c>
      <c r="H1137" s="467" t="n"/>
      <c r="I1137" s="467" t="n"/>
      <c r="J1137" s="467" t="n"/>
      <c r="K1137" s="362" t="n"/>
      <c r="L1137" s="17">
        <f>L1136+M1136</f>
        <v/>
      </c>
      <c r="M1137" s="362" t="n"/>
      <c r="N1137" s="298" t="n"/>
      <c r="O1137" s="17" t="n"/>
      <c r="P1137" s="17">
        <f>P1136+Q1136</f>
        <v/>
      </c>
      <c r="Q1137" s="362" t="n"/>
      <c r="R1137" s="278" t="n"/>
      <c r="S1137" s="276" t="n"/>
    </row>
    <row r="1138" ht="22.2" customHeight="1" s="330">
      <c r="A1138" s="4" t="n"/>
      <c r="E1138" s="4" t="n"/>
      <c r="F1138" s="4" t="n"/>
      <c r="G1138" s="17" t="inlineStr">
        <is>
          <t>จำนวนชั่วโมงสอนตามภาระงานสอน</t>
        </is>
      </c>
      <c r="H1138" s="467" t="n"/>
      <c r="I1138" s="467" t="n"/>
      <c r="J1138" s="467" t="n"/>
      <c r="K1138" s="362" t="n"/>
      <c r="L1138" s="153" t="inlineStr">
        <is>
          <t>0</t>
        </is>
      </c>
      <c r="M1138" s="362" t="n"/>
      <c r="N1138" s="151" t="n"/>
      <c r="O1138" s="154" t="n"/>
      <c r="P1138" s="485" t="inlineStr">
        <is>
          <t>15</t>
        </is>
      </c>
      <c r="Q1138" s="362" t="n"/>
      <c r="R1138" s="249" t="n"/>
      <c r="S1138" s="252" t="n"/>
    </row>
    <row r="1139" ht="22.2" customHeight="1" s="330" thickBot="1">
      <c r="A1139" s="4" t="n"/>
      <c r="E1139" s="4" t="n"/>
      <c r="F1139" s="15" t="n"/>
      <c r="G1139" s="17" t="inlineStr">
        <is>
          <t>จำนวนชั่วโมงบิกเกินภาระงานสอน/ค่าสอน</t>
        </is>
      </c>
      <c r="H1139" s="467" t="n"/>
      <c r="I1139" s="467" t="n"/>
      <c r="J1139" s="467" t="n"/>
      <c r="K1139" s="362" t="n"/>
      <c r="L1139" s="18" t="n">
        <v>0</v>
      </c>
      <c r="M1139" s="18">
        <f>SUM(M1111:M1135)</f>
        <v/>
      </c>
      <c r="N1139" s="18" t="n"/>
      <c r="O1139" s="18">
        <f>SUM(O1111:O1135)</f>
        <v/>
      </c>
      <c r="P1139" s="18" t="n">
        <v>0</v>
      </c>
      <c r="Q1139" s="18">
        <f>SUM(Q1111:Q1135)</f>
        <v/>
      </c>
      <c r="R1139" s="19" t="n"/>
      <c r="S1139" s="18">
        <f>SUM(S1111:S1135)</f>
        <v/>
      </c>
    </row>
    <row r="1140" ht="22.2" customHeight="1" s="330" thickTop="1">
      <c r="A1140" s="299" t="inlineStr">
        <is>
          <t>รวมจำนวนหน่วยชั่วโมงที่ขอเบิกค่าสอน ….</t>
        </is>
      </c>
      <c r="B1140" s="467" t="n"/>
      <c r="C1140" s="467" t="n"/>
      <c r="D1140" s="467" t="n"/>
      <c r="E1140" s="467" t="n"/>
      <c r="F1140" s="467" t="n"/>
      <c r="G1140" s="467" t="n"/>
      <c r="H1140" s="298">
        <f>M1139+Q1139</f>
        <v/>
      </c>
      <c r="I1140" s="298" t="inlineStr">
        <is>
          <t>….ชั่วโมง</t>
        </is>
      </c>
      <c r="J1140" s="298" t="n"/>
      <c r="K1140" s="301" t="inlineStr">
        <is>
          <t>ยอดเงินรวม</t>
        </is>
      </c>
      <c r="L1140" s="471" t="n"/>
      <c r="M1140" s="471" t="n"/>
      <c r="N1140" s="301" t="n"/>
      <c r="O1140" s="301" t="n"/>
      <c r="P1140" s="302">
        <f>S1139+O1139</f>
        <v/>
      </c>
      <c r="Q1140" s="482" t="n"/>
      <c r="R1140" s="21" t="n"/>
      <c r="S1140" s="20" t="inlineStr">
        <is>
          <t>..บาท</t>
        </is>
      </c>
    </row>
    <row r="1141" ht="22.2" customHeight="1" s="330">
      <c r="A1141" s="207" t="inlineStr">
        <is>
          <t>ผู้ขอเบิก</t>
        </is>
      </c>
      <c r="B1141" s="334" t="n"/>
      <c r="C1141" s="334" t="n"/>
      <c r="D1141" s="334" t="n"/>
      <c r="E1141" s="334" t="n"/>
      <c r="F1141" s="334" t="n"/>
      <c r="G1141" s="335" t="n"/>
      <c r="H1141" s="207" t="inlineStr">
        <is>
          <t>ผู้รับรอง</t>
        </is>
      </c>
      <c r="I1141" s="334" t="n"/>
      <c r="J1141" s="334" t="n"/>
      <c r="K1141" s="334" t="n"/>
      <c r="L1141" s="335" t="n"/>
      <c r="M1141" s="207" t="inlineStr">
        <is>
          <t>ผู้ตรวจ</t>
        </is>
      </c>
      <c r="N1141" s="334" t="n"/>
      <c r="O1141" s="334" t="n"/>
      <c r="P1141" s="334" t="n"/>
      <c r="Q1141" s="334" t="n"/>
      <c r="R1141" s="334" t="n"/>
      <c r="S1141" s="335" t="n"/>
    </row>
    <row r="1142" ht="22.2" customHeight="1" s="330">
      <c r="A1142" s="252" t="inlineStr">
        <is>
          <t>ลงชื่อ……………………………………………</t>
        </is>
      </c>
      <c r="G1142" s="331" t="n"/>
      <c r="H1142" s="252" t="inlineStr">
        <is>
          <t>ลงชื่อ……………………………………………</t>
        </is>
      </c>
      <c r="L1142" s="331" t="n"/>
      <c r="M1142" s="252" t="inlineStr">
        <is>
          <t>ลงชื่อ……………………………………………</t>
        </is>
      </c>
      <c r="S1142" s="331" t="n"/>
    </row>
    <row r="1143" ht="22.2" customHeight="1" s="330">
      <c r="A1143" s="12" t="inlineStr">
        <is>
          <t>(</t>
        </is>
      </c>
      <c r="B1143" s="309">
        <f>B1111</f>
        <v/>
      </c>
      <c r="G1143" s="310" t="inlineStr">
        <is>
          <t>)</t>
        </is>
      </c>
      <c r="H1143" s="309" t="inlineStr">
        <is>
          <t>(</t>
        </is>
      </c>
      <c r="I1143" s="314">
        <f>I1097</f>
        <v/>
      </c>
      <c r="L1143" s="13" t="inlineStr">
        <is>
          <t>)</t>
        </is>
      </c>
      <c r="M1143" s="61" t="inlineStr">
        <is>
          <t>(</t>
        </is>
      </c>
      <c r="N1143" s="61" t="n"/>
      <c r="O1143" s="309" t="inlineStr">
        <is>
          <t>นายพิสุทธิศักดิ์  กล่อมนาค</t>
        </is>
      </c>
      <c r="R1143" s="29" t="n"/>
      <c r="S1143" s="310" t="inlineStr">
        <is>
          <t>)</t>
        </is>
      </c>
    </row>
    <row r="1144" ht="22.2" customHeight="1" s="330">
      <c r="A1144" s="483" t="inlineStr">
        <is>
          <t xml:space="preserve">                 ตำแหน่ง  ครูพิเศษ</t>
        </is>
      </c>
      <c r="G1144" s="331" t="n"/>
      <c r="H1144" s="62" t="inlineStr">
        <is>
          <t>ตำแหน่ง หัวหน้าแผนก</t>
        </is>
      </c>
      <c r="L1144" s="331" t="n"/>
      <c r="M1144" s="62" t="inlineStr">
        <is>
          <t>ตำแหน่ง   ผู้ตรวจสอบ</t>
        </is>
      </c>
      <c r="S1144" s="331" t="n"/>
    </row>
    <row r="1145" ht="22.2" customHeight="1" s="330">
      <c r="A1145" s="63">
        <f>A41</f>
        <v/>
      </c>
      <c r="B1145" s="471" t="n"/>
      <c r="C1145" s="471" t="n"/>
      <c r="D1145" s="471" t="n"/>
      <c r="E1145" s="471" t="n"/>
      <c r="F1145" s="471" t="n"/>
      <c r="G1145" s="476" t="n"/>
      <c r="H1145" s="62">
        <f>A41</f>
        <v/>
      </c>
      <c r="L1145" s="331" t="n"/>
      <c r="M1145" s="63">
        <f>A41</f>
        <v/>
      </c>
      <c r="N1145" s="471" t="n"/>
      <c r="O1145" s="471" t="n"/>
      <c r="P1145" s="471" t="n"/>
      <c r="Q1145" s="471" t="n"/>
      <c r="R1145" s="471" t="n"/>
      <c r="S1145" s="476" t="n"/>
    </row>
    <row r="1146" ht="22.2" customHeight="1" s="330">
      <c r="A1146" s="207" t="inlineStr">
        <is>
          <t>ผู้ตรวจ</t>
        </is>
      </c>
      <c r="B1146" s="334" t="n"/>
      <c r="C1146" s="334" t="n"/>
      <c r="D1146" s="334" t="n"/>
      <c r="E1146" s="334" t="n"/>
      <c r="F1146" s="334" t="n"/>
      <c r="G1146" s="334" t="n"/>
      <c r="H1146" s="334" t="n"/>
      <c r="I1146" s="335" t="n"/>
      <c r="J1146" s="207" t="inlineStr">
        <is>
          <t>ผู้เห็นชอบ</t>
        </is>
      </c>
      <c r="K1146" s="334" t="n"/>
      <c r="L1146" s="334" t="n"/>
      <c r="M1146" s="334" t="n"/>
      <c r="N1146" s="334" t="n"/>
      <c r="O1146" s="334" t="n"/>
      <c r="P1146" s="334" t="n"/>
      <c r="Q1146" s="334" t="n"/>
      <c r="R1146" s="334" t="n"/>
      <c r="S1146" s="335" t="n"/>
    </row>
    <row r="1147" ht="22.2" customHeight="1" s="330">
      <c r="A1147" s="252" t="inlineStr">
        <is>
          <t>ลงชื่อ……………………………………………</t>
        </is>
      </c>
      <c r="I1147" s="331" t="n"/>
      <c r="J1147" s="252" t="inlineStr">
        <is>
          <t>ลงชื่อ……………………………………………</t>
        </is>
      </c>
      <c r="S1147" s="331" t="n"/>
    </row>
    <row r="1148" ht="22.2" customHeight="1" s="330">
      <c r="A1148" s="12" t="n"/>
      <c r="B1148" s="309" t="inlineStr">
        <is>
          <t xml:space="preserve">          (นางศิวรักษ์   บุญประเสริฐ)</t>
        </is>
      </c>
      <c r="I1148" s="310" t="n"/>
      <c r="J1148" s="29" t="n"/>
      <c r="K1148" s="29" t="n"/>
      <c r="L1148" s="309" t="inlineStr">
        <is>
          <t>(นายปรีชา  โพธิ์เกิด)</t>
        </is>
      </c>
      <c r="R1148" s="29" t="n"/>
      <c r="S1148" s="13" t="n"/>
    </row>
    <row r="1149" ht="22.2" customHeight="1" s="330">
      <c r="A1149" s="62" t="inlineStr">
        <is>
          <t>ตำแหน่งครู  หัวหน้างานพัฒนาหลักสูตร ฯ</t>
        </is>
      </c>
      <c r="I1149" s="331" t="n"/>
      <c r="J1149" s="62" t="inlineStr">
        <is>
          <t>ตำแหน่ง  รองผู้อำนวยการฝ่ายวิชาการ</t>
        </is>
      </c>
      <c r="S1149" s="331" t="n"/>
    </row>
    <row r="1150" ht="22.2" customHeight="1" s="330">
      <c r="A1150" s="63">
        <f>A41</f>
        <v/>
      </c>
      <c r="B1150" s="471" t="n"/>
      <c r="C1150" s="471" t="n"/>
      <c r="D1150" s="471" t="n"/>
      <c r="E1150" s="471" t="n"/>
      <c r="F1150" s="471" t="n"/>
      <c r="G1150" s="471" t="n"/>
      <c r="H1150" s="471" t="n"/>
      <c r="I1150" s="476" t="n"/>
      <c r="J1150" s="63">
        <f>A41</f>
        <v/>
      </c>
      <c r="K1150" s="471" t="n"/>
      <c r="L1150" s="471" t="n"/>
      <c r="M1150" s="471" t="n"/>
      <c r="N1150" s="471" t="n"/>
      <c r="O1150" s="471" t="n"/>
      <c r="P1150" s="471" t="n"/>
      <c r="Q1150" s="471" t="n"/>
      <c r="R1150" s="471" t="n"/>
      <c r="S1150" s="476" t="n"/>
    </row>
    <row r="1151" ht="22.2" customHeight="1" s="330">
      <c r="A115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52" ht="22.2" customHeight="1" s="330">
      <c r="A1152" s="254">
        <f>A2</f>
        <v/>
      </c>
    </row>
    <row r="1153" ht="22.2" customHeight="1" s="330">
      <c r="A1153" s="253" t="inlineStr">
        <is>
          <t xml:space="preserve">    ระหว่างวันที่</t>
        </is>
      </c>
      <c r="D1153" s="254">
        <f>D3</f>
        <v/>
      </c>
      <c r="E1153" s="254" t="inlineStr">
        <is>
          <t xml:space="preserve">   เดือน  </t>
        </is>
      </c>
      <c r="F1153" s="254">
        <f>F3</f>
        <v/>
      </c>
      <c r="H1153" s="254">
        <f>H3</f>
        <v/>
      </c>
      <c r="I1153" s="254" t="inlineStr">
        <is>
          <t xml:space="preserve">     ถึง วันที่</t>
        </is>
      </c>
      <c r="J1153" s="254">
        <f>J3</f>
        <v/>
      </c>
      <c r="K1153" s="254" t="inlineStr">
        <is>
          <t xml:space="preserve">   เดือน </t>
        </is>
      </c>
      <c r="L1153" s="254">
        <f>L3</f>
        <v/>
      </c>
      <c r="N1153" s="254">
        <f>N3</f>
        <v/>
      </c>
      <c r="P1153" s="254" t="n"/>
      <c r="R1153" s="254" t="n"/>
    </row>
    <row r="1154" ht="22.2" customHeight="1" s="330">
      <c r="G1154" s="58" t="inlineStr">
        <is>
          <t>ü</t>
        </is>
      </c>
      <c r="H1154" s="8" t="inlineStr">
        <is>
          <t>ครูพิเศษ</t>
        </is>
      </c>
      <c r="I1154" s="249" t="inlineStr">
        <is>
          <t>หน้าที่พิเศษ</t>
        </is>
      </c>
      <c r="K1154" s="290" t="n"/>
    </row>
    <row r="1155" ht="22.2" customHeight="1" s="330">
      <c r="A1155" s="28" t="inlineStr">
        <is>
          <t>ที่</t>
        </is>
      </c>
      <c r="B1155" s="28" t="inlineStr">
        <is>
          <t>ชื่อ-สกุล</t>
        </is>
      </c>
      <c r="C1155" s="334" t="n"/>
      <c r="D1155" s="335" t="n"/>
      <c r="E1155" s="16" t="inlineStr">
        <is>
          <t>ตำแหน่ง</t>
        </is>
      </c>
      <c r="F1155" s="17" t="inlineStr">
        <is>
          <t>ระยะเวลาที่สอน</t>
        </is>
      </c>
      <c r="G1155" s="362" t="n"/>
      <c r="H1155" s="17" t="inlineStr">
        <is>
          <t>รหัสวิชา</t>
        </is>
      </c>
      <c r="I1155" s="275" t="inlineStr">
        <is>
          <t>ชั้น,แผนก,ห้อง</t>
        </is>
      </c>
      <c r="J1155" s="17" t="inlineStr">
        <is>
          <t>เวลาสอน</t>
        </is>
      </c>
      <c r="K1155" s="335" t="n"/>
      <c r="L1155" s="17" t="inlineStr">
        <is>
          <t>ปวช.(คาบ)</t>
        </is>
      </c>
      <c r="M1155" s="362" t="n"/>
      <c r="N1155" s="244" t="inlineStr">
        <is>
          <t>เงิน</t>
        </is>
      </c>
      <c r="O1155" s="275" t="inlineStr">
        <is>
          <t>ยอดเงิน</t>
        </is>
      </c>
      <c r="P1155" s="473" t="inlineStr">
        <is>
          <t>ปวส.(คาบ)</t>
        </is>
      </c>
      <c r="Q1155" s="362" t="n"/>
      <c r="R1155" s="244" t="inlineStr">
        <is>
          <t>เงิน</t>
        </is>
      </c>
      <c r="S1155" s="275" t="inlineStr">
        <is>
          <t>ยอดเงิน</t>
        </is>
      </c>
    </row>
    <row r="1156" ht="22.2" customHeight="1" s="330">
      <c r="A1156" s="60" t="n"/>
      <c r="B1156" s="9" t="n"/>
      <c r="C1156" s="10" t="n"/>
      <c r="D1156" s="14" t="n"/>
      <c r="E1156" s="11" t="n"/>
      <c r="F1156" s="276" t="inlineStr">
        <is>
          <t>ส.</t>
        </is>
      </c>
      <c r="G1156" s="276" t="inlineStr">
        <is>
          <t>วดป.</t>
        </is>
      </c>
      <c r="H1156" s="474" t="n"/>
      <c r="I1156" s="276" t="n"/>
      <c r="J1156" s="475" t="n"/>
      <c r="K1156" s="476" t="n"/>
      <c r="L1156" s="276" t="inlineStr">
        <is>
          <t>ใน</t>
        </is>
      </c>
      <c r="M1156" s="276" t="inlineStr">
        <is>
          <t>นอก</t>
        </is>
      </c>
      <c r="N1156" s="276" t="inlineStr">
        <is>
          <t>ต่อ ชม.</t>
        </is>
      </c>
      <c r="O1156" s="276" t="inlineStr">
        <is>
          <t>(บาท)</t>
        </is>
      </c>
      <c r="P1156" s="60" t="inlineStr">
        <is>
          <t>ใน</t>
        </is>
      </c>
      <c r="Q1156" s="60" t="inlineStr">
        <is>
          <t>นอก</t>
        </is>
      </c>
      <c r="R1156" s="276" t="inlineStr">
        <is>
          <t>ต่อ ชม.</t>
        </is>
      </c>
      <c r="S1156" s="276" t="inlineStr">
        <is>
          <t>(บาท)</t>
        </is>
      </c>
    </row>
    <row r="1157" ht="22.2" customHeight="1" s="330">
      <c r="A1157" s="275" t="n">
        <v>26</v>
      </c>
      <c r="B1157" s="477">
        <f>AB28</f>
        <v/>
      </c>
      <c r="C1157" s="334" t="n"/>
      <c r="D1157" s="335" t="n"/>
      <c r="E1157" s="275" t="inlineStr">
        <is>
          <t>ครู</t>
        </is>
      </c>
      <c r="F1157" s="6">
        <f>F7</f>
        <v/>
      </c>
      <c r="G1157" s="303" t="inlineStr">
        <is>
          <t>จันทร์</t>
        </is>
      </c>
      <c r="H1157" s="332" t="n"/>
      <c r="I1157" s="325" t="n"/>
      <c r="J1157" s="275" t="n"/>
      <c r="K1157" s="335" t="n"/>
      <c r="L1157" s="332" t="n"/>
      <c r="M1157" s="156" t="n"/>
      <c r="N1157" s="156" t="n"/>
      <c r="O1157" s="244">
        <f>M1157*N1157</f>
        <v/>
      </c>
      <c r="P1157" s="332" t="n"/>
      <c r="Q1157" s="265" t="n"/>
      <c r="R1157" s="332" t="n"/>
      <c r="S1157" s="244">
        <f>Q1157*R1157</f>
        <v/>
      </c>
    </row>
    <row r="1158" ht="22.2" customHeight="1" s="330">
      <c r="A1158" s="4" t="n"/>
      <c r="B1158" s="478" t="n"/>
      <c r="D1158" s="331" t="n"/>
      <c r="E1158" s="252" t="inlineStr">
        <is>
          <t>พิเศษ</t>
        </is>
      </c>
      <c r="F1158" s="249" t="n"/>
      <c r="G1158" s="308">
        <f>G1112</f>
        <v/>
      </c>
      <c r="H1158" s="325" t="n"/>
      <c r="I1158" s="325" t="n"/>
      <c r="J1158" s="252" t="n"/>
      <c r="K1158" s="331" t="n"/>
      <c r="L1158" s="252" t="n"/>
      <c r="M1158" s="56" t="n"/>
      <c r="N1158" s="56" t="n"/>
      <c r="O1158" s="244">
        <f>M1158*N1158</f>
        <v/>
      </c>
      <c r="P1158" s="252" t="n"/>
      <c r="Q1158" s="252" t="n"/>
      <c r="R1158" s="252" t="n"/>
      <c r="S1158" s="244">
        <f>Q1158*R1158</f>
        <v/>
      </c>
    </row>
    <row r="1159" ht="22.2" customHeight="1" s="330">
      <c r="A1159" s="4" t="n"/>
      <c r="B1159" s="5" t="n"/>
      <c r="D1159" s="3" t="n"/>
      <c r="E1159" s="3" t="n"/>
      <c r="F1159" s="249" t="n"/>
      <c r="G1159" s="248" t="n"/>
      <c r="H1159" s="252" t="n"/>
      <c r="I1159" s="252" t="n"/>
      <c r="J1159" s="252" t="n"/>
      <c r="K1159" s="331" t="n"/>
      <c r="L1159" s="252" t="n"/>
      <c r="M1159" s="252" t="n"/>
      <c r="N1159" s="252" t="n"/>
      <c r="O1159" s="244">
        <f>M1159*N1159</f>
        <v/>
      </c>
      <c r="P1159" s="252" t="n"/>
      <c r="Q1159" s="252" t="n"/>
      <c r="R1159" s="252" t="n"/>
      <c r="S1159" s="244">
        <f>Q1159*R1159</f>
        <v/>
      </c>
    </row>
    <row r="1160" ht="22.2" customHeight="1" s="330">
      <c r="A1160" s="4" t="n"/>
      <c r="B1160" s="5" t="n"/>
      <c r="E1160" s="4" t="n"/>
      <c r="F1160" s="249" t="n"/>
      <c r="G1160" s="248" t="n"/>
      <c r="H1160" s="252" t="n"/>
      <c r="I1160" s="252" t="n"/>
      <c r="J1160" s="252" t="n"/>
      <c r="K1160" s="331" t="n"/>
      <c r="L1160" s="252" t="n"/>
      <c r="M1160" s="252" t="n"/>
      <c r="N1160" s="252" t="n"/>
      <c r="O1160" s="244">
        <f>M1160*N1160</f>
        <v/>
      </c>
      <c r="P1160" s="252" t="n"/>
      <c r="Q1160" s="252" t="n"/>
      <c r="R1160" s="252" t="n"/>
      <c r="S1160" s="244">
        <f>Q1160*R1160</f>
        <v/>
      </c>
    </row>
    <row r="1161" ht="22.2" customHeight="1" s="330">
      <c r="A1161" s="4" t="n"/>
      <c r="E1161" s="4" t="n"/>
      <c r="G1161" s="311" t="n"/>
      <c r="H1161" s="276" t="n"/>
      <c r="I1161" s="276" t="n"/>
      <c r="J1161" s="276" t="n"/>
      <c r="K1161" s="476" t="n"/>
      <c r="L1161" s="252" t="n"/>
      <c r="M1161" s="276" t="n"/>
      <c r="N1161" s="276" t="n"/>
      <c r="O1161" s="244">
        <f>M1161*N1161</f>
        <v/>
      </c>
      <c r="P1161" s="252" t="n"/>
      <c r="Q1161" s="252" t="n"/>
      <c r="R1161" s="252" t="n"/>
      <c r="S1161" s="244">
        <f>Q1161*R1161</f>
        <v/>
      </c>
    </row>
    <row r="1162" ht="22.2" customHeight="1" s="330">
      <c r="A1162" s="4" t="n"/>
      <c r="E1162" s="4" t="n"/>
      <c r="G1162" s="62" t="inlineStr">
        <is>
          <t>อังคาร</t>
        </is>
      </c>
      <c r="H1162" s="325" t="inlineStr">
        <is>
          <t>20101-2004</t>
        </is>
      </c>
      <c r="I1162" s="325" t="inlineStr">
        <is>
          <t>ปวช.1/3 ชย. (ปกติ)</t>
        </is>
      </c>
      <c r="J1162" s="275" t="inlineStr">
        <is>
          <t>08.10-12.10</t>
        </is>
      </c>
      <c r="K1162" s="335" t="n"/>
      <c r="L1162" s="332" t="n"/>
      <c r="M1162" s="182" t="n"/>
      <c r="N1162" s="179" t="n"/>
      <c r="O1162" s="244">
        <f>M1162*N1162</f>
        <v/>
      </c>
      <c r="P1162" s="332" t="n"/>
      <c r="Q1162" s="265" t="n"/>
      <c r="R1162" s="332" t="n"/>
      <c r="S1162" s="244">
        <f>Q1162*R1162</f>
        <v/>
      </c>
      <c r="T1162" s="25" t="n"/>
      <c r="U1162" s="26" t="inlineStr">
        <is>
          <t xml:space="preserve">     PLC</t>
        </is>
      </c>
      <c r="V1162" s="64" t="n"/>
      <c r="W1162" s="27" t="n"/>
      <c r="X1162" s="27" t="n"/>
    </row>
    <row r="1163" ht="22.2" customHeight="1" s="330">
      <c r="A1163" s="4" t="n"/>
      <c r="E1163" s="4" t="n"/>
      <c r="G1163" s="308">
        <f>G1117</f>
        <v/>
      </c>
      <c r="H1163" s="325" t="inlineStr">
        <is>
          <t>20101-2004</t>
        </is>
      </c>
      <c r="I1163" s="325" t="inlineStr">
        <is>
          <t>ปวช.1/4 ชย. (ปกติ)</t>
        </is>
      </c>
      <c r="J1163" s="252" t="inlineStr">
        <is>
          <t>13.10-17.10</t>
        </is>
      </c>
      <c r="K1163" s="331" t="n"/>
      <c r="L1163" s="252" t="n"/>
      <c r="M1163" s="250" t="n"/>
      <c r="N1163" s="252" t="n"/>
      <c r="O1163" s="244">
        <f>M1163*N1163</f>
        <v/>
      </c>
      <c r="P1163" s="252" t="n"/>
      <c r="Q1163" s="252" t="n"/>
      <c r="R1163" s="252" t="n"/>
      <c r="S1163" s="244">
        <f>Q1163*R1163</f>
        <v/>
      </c>
      <c r="T1163" s="27" t="inlineStr">
        <is>
          <t> </t>
        </is>
      </c>
      <c r="U1163" s="26" t="inlineStr">
        <is>
          <t>17.10-19.10</t>
        </is>
      </c>
      <c r="V1163" s="64" t="n"/>
      <c r="W1163" s="27" t="n"/>
      <c r="X1163" s="27" t="n"/>
    </row>
    <row r="1164" ht="22.2" customHeight="1" s="330">
      <c r="A1164" s="4" t="n"/>
      <c r="B1164" s="5" t="n"/>
      <c r="D1164" s="3" t="n"/>
      <c r="E1164" s="3" t="n"/>
      <c r="G1164" s="252" t="n"/>
      <c r="H1164" s="252" t="n"/>
      <c r="I1164" s="252" t="n"/>
      <c r="J1164" s="252" t="n"/>
      <c r="K1164" s="331" t="n"/>
      <c r="L1164" s="252" t="n"/>
      <c r="M1164" s="252" t="n"/>
      <c r="N1164" s="252" t="n"/>
      <c r="O1164" s="244">
        <f>M1164*N1164</f>
        <v/>
      </c>
      <c r="P1164" s="252" t="n"/>
      <c r="Q1164" s="252" t="n"/>
      <c r="R1164" s="252" t="n"/>
      <c r="S1164" s="244">
        <f>Q1164*R1164</f>
        <v/>
      </c>
    </row>
    <row r="1165" ht="22.2" customHeight="1" s="330">
      <c r="A1165" s="4" t="n"/>
      <c r="E1165" s="4" t="n"/>
      <c r="G1165" s="62" t="n"/>
      <c r="H1165" s="249" t="n"/>
      <c r="I1165" s="252" t="n"/>
      <c r="J1165" s="252" t="n"/>
      <c r="K1165" s="331" t="n"/>
      <c r="L1165" s="252" t="n"/>
      <c r="M1165" s="252" t="n"/>
      <c r="N1165" s="252" t="n"/>
      <c r="O1165" s="244">
        <f>M1165*N1165</f>
        <v/>
      </c>
      <c r="P1165" s="252" t="n"/>
      <c r="Q1165" s="252" t="n"/>
      <c r="R1165" s="252" t="n"/>
      <c r="S1165" s="244">
        <f>Q1165*R1165</f>
        <v/>
      </c>
    </row>
    <row r="1166" ht="22.2" customHeight="1" s="330">
      <c r="A1166" s="4" t="n"/>
      <c r="D1166" s="8" t="inlineStr">
        <is>
          <t> </t>
        </is>
      </c>
      <c r="E1166" s="4" t="n"/>
      <c r="G1166" s="63" t="n"/>
      <c r="H1166" s="276" t="n"/>
      <c r="I1166" s="276" t="n"/>
      <c r="J1166" s="276" t="n"/>
      <c r="K1166" s="476" t="n"/>
      <c r="L1166" s="252" t="n"/>
      <c r="M1166" s="276" t="n"/>
      <c r="N1166" s="276" t="n"/>
      <c r="O1166" s="244">
        <f>M1166*N1166</f>
        <v/>
      </c>
      <c r="P1166" s="252" t="n"/>
      <c r="Q1166" s="252" t="n"/>
      <c r="R1166" s="252" t="n"/>
      <c r="S1166" s="244">
        <f>Q1166*R1166</f>
        <v/>
      </c>
    </row>
    <row r="1167" ht="22.2" customHeight="1" s="330">
      <c r="A1167" s="4" t="n"/>
      <c r="E1167" s="4" t="n"/>
      <c r="G1167" s="308" t="inlineStr">
        <is>
          <t>พุธ</t>
        </is>
      </c>
      <c r="H1167" s="325" t="inlineStr">
        <is>
          <t>20101-2001</t>
        </is>
      </c>
      <c r="I1167" s="325" t="inlineStr">
        <is>
          <t>ปวช.1/5 ชย. (ปกติ)</t>
        </is>
      </c>
      <c r="J1167" s="275" t="inlineStr">
        <is>
          <t>08.10-12.10</t>
        </is>
      </c>
      <c r="K1167" s="335" t="n"/>
      <c r="L1167" s="332" t="n"/>
      <c r="M1167" s="179" t="n"/>
      <c r="N1167" s="179" t="n"/>
      <c r="O1167" s="244">
        <f>M1167*N1167</f>
        <v/>
      </c>
      <c r="P1167" s="332" t="n"/>
      <c r="Q1167" s="265" t="n"/>
      <c r="R1167" s="332" t="n"/>
      <c r="S1167" s="244">
        <f>Q1167*R1167</f>
        <v/>
      </c>
    </row>
    <row r="1168" ht="22.2" customHeight="1" s="330">
      <c r="A1168" s="4" t="n"/>
      <c r="B1168" s="248" t="n"/>
      <c r="C1168" s="249" t="n"/>
      <c r="D1168" s="249" t="n"/>
      <c r="E1168" s="252" t="n"/>
      <c r="G1168" s="308">
        <f>G1122</f>
        <v/>
      </c>
      <c r="H1168" s="325" t="inlineStr">
        <is>
          <t>20101-2001</t>
        </is>
      </c>
      <c r="I1168" s="325" t="inlineStr">
        <is>
          <t>ปวช.1/5 ชย. (ปกติ)</t>
        </is>
      </c>
      <c r="J1168" s="252" t="inlineStr">
        <is>
          <t>13.10-16.10</t>
        </is>
      </c>
      <c r="K1168" s="331" t="n"/>
      <c r="L1168" s="252" t="n"/>
      <c r="M1168" s="180" t="n"/>
      <c r="N1168" s="180" t="n"/>
      <c r="O1168" s="244">
        <f>M1168*N1168</f>
        <v/>
      </c>
      <c r="P1168" s="252" t="n"/>
      <c r="Q1168" s="252" t="n"/>
      <c r="R1168" s="252" t="n"/>
      <c r="S1168" s="244">
        <f>Q1168*R1168</f>
        <v/>
      </c>
    </row>
    <row r="1169" ht="22.2" customHeight="1" s="330">
      <c r="A1169" s="4" t="n"/>
      <c r="B1169" s="5" t="n"/>
      <c r="D1169" s="3" t="n"/>
      <c r="E1169" s="3" t="n"/>
      <c r="G1169" s="252" t="n"/>
      <c r="H1169" s="325" t="n"/>
      <c r="I1169" s="325" t="n"/>
      <c r="J1169" s="252" t="n"/>
      <c r="K1169" s="331" t="n"/>
      <c r="L1169" s="252" t="n"/>
      <c r="M1169" s="180" t="n"/>
      <c r="N1169" s="180" t="n"/>
      <c r="O1169" s="244">
        <f>M1169*N1169</f>
        <v/>
      </c>
      <c r="P1169" s="252" t="n"/>
      <c r="Q1169" s="252" t="n"/>
      <c r="R1169" s="252" t="n"/>
      <c r="S1169" s="244">
        <f>Q1169*R1169</f>
        <v/>
      </c>
    </row>
    <row r="1170" ht="22.2" customHeight="1" s="330">
      <c r="A1170" s="4" t="n"/>
      <c r="E1170" s="4" t="n"/>
      <c r="G1170" s="248" t="n"/>
      <c r="H1170" s="248" t="n"/>
      <c r="I1170" s="252" t="n"/>
      <c r="J1170" s="252" t="n"/>
      <c r="K1170" s="331" t="n"/>
      <c r="L1170" s="252" t="n"/>
      <c r="M1170" s="252" t="n"/>
      <c r="N1170" s="252" t="n"/>
      <c r="O1170" s="244">
        <f>M1170*N1170</f>
        <v/>
      </c>
      <c r="P1170" s="252" t="n"/>
      <c r="Q1170" s="252" t="n"/>
      <c r="R1170" s="252" t="n"/>
      <c r="S1170" s="244">
        <f>Q1170*R1170</f>
        <v/>
      </c>
    </row>
    <row r="1171" ht="22.2" customHeight="1" s="330">
      <c r="A1171" s="4" t="n"/>
      <c r="E1171" s="4" t="n"/>
      <c r="G1171" s="277" t="n"/>
      <c r="H1171" s="277" t="n"/>
      <c r="I1171" s="276" t="n"/>
      <c r="J1171" s="276" t="n"/>
      <c r="K1171" s="476" t="n"/>
      <c r="L1171" s="276" t="n"/>
      <c r="M1171" s="276" t="n"/>
      <c r="N1171" s="276" t="n"/>
      <c r="O1171" s="244">
        <f>M1171*N1171</f>
        <v/>
      </c>
      <c r="P1171" s="276" t="n"/>
      <c r="Q1171" s="276" t="n"/>
      <c r="R1171" s="276" t="n"/>
      <c r="S1171" s="244">
        <f>Q1171*R1171</f>
        <v/>
      </c>
    </row>
    <row r="1172" ht="22.2" customHeight="1" s="330">
      <c r="A1172" s="4" t="n"/>
      <c r="E1172" s="4" t="n"/>
      <c r="G1172" s="62" t="inlineStr">
        <is>
          <t>พฤหัส</t>
        </is>
      </c>
      <c r="H1172" s="325" t="inlineStr">
        <is>
          <t>20101-2008</t>
        </is>
      </c>
      <c r="I1172" s="325" t="inlineStr">
        <is>
          <t>ปวช.3/9 ชย. (ทวิ)</t>
        </is>
      </c>
      <c r="J1172" s="275" t="inlineStr">
        <is>
          <t>08.10-12.10</t>
        </is>
      </c>
      <c r="K1172" s="335" t="n"/>
      <c r="L1172" s="252" t="n"/>
      <c r="M1172" s="252" t="n"/>
      <c r="N1172" s="252" t="n"/>
      <c r="O1172" s="244">
        <f>M1172*N1172</f>
        <v/>
      </c>
      <c r="P1172" s="252" t="n"/>
      <c r="Q1172" s="275" t="n"/>
      <c r="R1172" s="275" t="n"/>
      <c r="S1172" s="244">
        <f>Q1172*R1172</f>
        <v/>
      </c>
    </row>
    <row r="1173" ht="22.2" customHeight="1" s="330">
      <c r="A1173" s="4" t="n"/>
      <c r="E1173" s="4" t="n"/>
      <c r="G1173" s="308">
        <f>G1127</f>
        <v/>
      </c>
      <c r="H1173" s="325" t="inlineStr">
        <is>
          <t>20000-2002</t>
        </is>
      </c>
      <c r="I1173" s="325" t="inlineStr">
        <is>
          <t>ปวช.1/9,10 ชย. (ทวิ)</t>
        </is>
      </c>
      <c r="J1173" s="252" t="inlineStr">
        <is>
          <t>13.10-15.10</t>
        </is>
      </c>
      <c r="K1173" s="331" t="n"/>
      <c r="L1173" s="252" t="n"/>
      <c r="M1173" s="252" t="n"/>
      <c r="N1173" s="252" t="n"/>
      <c r="O1173" s="244">
        <f>M1173*N1173</f>
        <v/>
      </c>
      <c r="P1173" s="252" t="n"/>
      <c r="Q1173" s="252" t="n"/>
      <c r="R1173" s="252" t="n"/>
      <c r="S1173" s="244">
        <f>Q1173*R1173</f>
        <v/>
      </c>
    </row>
    <row r="1174" ht="22.2" customHeight="1" s="330">
      <c r="A1174" s="4" t="n"/>
      <c r="B1174" s="5" t="n"/>
      <c r="E1174" s="4" t="n"/>
      <c r="G1174" s="252" t="n"/>
      <c r="H1174" s="325" t="inlineStr">
        <is>
          <t>20101-2009</t>
        </is>
      </c>
      <c r="I1174" s="325" t="inlineStr">
        <is>
          <t>ปวช.1/10 ชย. (ทวิ)</t>
        </is>
      </c>
      <c r="J1174" s="252" t="inlineStr">
        <is>
          <t>15.10-19.10</t>
        </is>
      </c>
      <c r="K1174" s="331" t="n"/>
      <c r="L1174" s="325" t="n"/>
      <c r="M1174" s="325" t="n"/>
      <c r="N1174" s="325" t="n"/>
      <c r="O1174" s="244">
        <f>M1174*N1174</f>
        <v/>
      </c>
      <c r="P1174" s="325" t="n"/>
      <c r="Q1174" s="325" t="n"/>
      <c r="R1174" s="325" t="n"/>
      <c r="S1174" s="244">
        <f>Q1174*R1174</f>
        <v/>
      </c>
    </row>
    <row r="1175" ht="22.2" customHeight="1" s="330">
      <c r="A1175" s="4" t="n"/>
      <c r="E1175" s="4" t="n"/>
      <c r="G1175" s="252" t="n"/>
      <c r="H1175" s="252" t="n"/>
      <c r="I1175" s="252" t="n"/>
      <c r="J1175" s="252" t="n"/>
      <c r="K1175" s="331" t="n"/>
      <c r="L1175" s="252" t="n"/>
      <c r="M1175" s="252" t="n"/>
      <c r="N1175" s="252" t="n"/>
      <c r="O1175" s="244">
        <f>M1175*N1175</f>
        <v/>
      </c>
      <c r="P1175" s="252" t="n"/>
      <c r="Q1175" s="252" t="n"/>
      <c r="R1175" s="252" t="n"/>
      <c r="S1175" s="244">
        <f>Q1175*R1175</f>
        <v/>
      </c>
    </row>
    <row r="1176" ht="22.2" customHeight="1" s="330">
      <c r="A1176" s="4" t="n"/>
      <c r="E1176" s="4" t="n"/>
      <c r="G1176" s="276" t="n"/>
      <c r="H1176" s="301" t="n"/>
      <c r="I1176" s="276" t="n"/>
      <c r="J1176" s="276" t="n"/>
      <c r="K1176" s="476" t="n"/>
      <c r="L1176" s="276" t="n"/>
      <c r="M1176" s="276" t="n"/>
      <c r="N1176" s="276" t="n"/>
      <c r="O1176" s="244">
        <f>M1176*N1176</f>
        <v/>
      </c>
      <c r="P1176" s="276" t="n"/>
      <c r="Q1176" s="276" t="n"/>
      <c r="R1176" s="276" t="n"/>
      <c r="S1176" s="244">
        <f>Q1176*R1176</f>
        <v/>
      </c>
    </row>
    <row r="1177" ht="22.2" customHeight="1" s="330">
      <c r="A1177" s="4" t="n"/>
      <c r="E1177" s="4" t="n"/>
      <c r="G1177" s="62" t="inlineStr">
        <is>
          <t>ศุกร์</t>
        </is>
      </c>
      <c r="H1177" s="325" t="inlineStr">
        <is>
          <t>20101-2004</t>
        </is>
      </c>
      <c r="I1177" s="325" t="inlineStr">
        <is>
          <t>ปวช.1/2 ชย. (ปกติ)</t>
        </is>
      </c>
      <c r="J1177" s="275" t="inlineStr">
        <is>
          <t>08.10-12.10</t>
        </is>
      </c>
      <c r="K1177" s="335" t="n"/>
      <c r="L1177" s="252" t="n"/>
      <c r="M1177" s="252" t="n"/>
      <c r="N1177" s="252" t="n"/>
      <c r="O1177" s="244">
        <f>M1177*N1177</f>
        <v/>
      </c>
      <c r="P1177" s="332" t="n"/>
      <c r="Q1177" s="265" t="n"/>
      <c r="R1177" s="332" t="n"/>
      <c r="S1177" s="244">
        <f>Q1177*R1177</f>
        <v/>
      </c>
    </row>
    <row r="1178" ht="22.2" customHeight="1" s="330">
      <c r="A1178" s="4" t="n"/>
      <c r="E1178" s="4" t="n"/>
      <c r="G1178" s="308">
        <f>G1132</f>
        <v/>
      </c>
      <c r="H1178" s="325" t="inlineStr">
        <is>
          <t>20101-2004</t>
        </is>
      </c>
      <c r="I1178" s="325" t="inlineStr">
        <is>
          <t>ปวช.1/1 ชย. (ปกติ)</t>
        </is>
      </c>
      <c r="J1178" s="252" t="inlineStr">
        <is>
          <t>13.10-17.10</t>
        </is>
      </c>
      <c r="K1178" s="331" t="n"/>
      <c r="L1178" s="252" t="n"/>
      <c r="M1178" s="252" t="n"/>
      <c r="N1178" s="252" t="n"/>
      <c r="O1178" s="244">
        <f>M1178*N1178</f>
        <v/>
      </c>
      <c r="P1178" s="252" t="n"/>
      <c r="Q1178" s="252" t="n"/>
      <c r="R1178" s="252" t="n"/>
      <c r="S1178" s="244">
        <f>Q1178*R1178</f>
        <v/>
      </c>
    </row>
    <row r="1179" ht="22.2" customHeight="1" s="330">
      <c r="A1179" s="4" t="n"/>
      <c r="E1179" s="4" t="n"/>
      <c r="G1179" s="252" t="n"/>
      <c r="H1179" s="252" t="n"/>
      <c r="I1179" s="252" t="n"/>
      <c r="J1179" s="252" t="n"/>
      <c r="K1179" s="331" t="n"/>
      <c r="L1179" s="252" t="n"/>
      <c r="M1179" s="252" t="n"/>
      <c r="N1179" s="252" t="n"/>
      <c r="O1179" s="244">
        <f>M1179*N1179</f>
        <v/>
      </c>
      <c r="P1179" s="252" t="n"/>
      <c r="Q1179" s="252" t="n"/>
      <c r="R1179" s="252" t="n"/>
      <c r="S1179" s="244">
        <f>Q1179*R1179</f>
        <v/>
      </c>
    </row>
    <row r="1180" ht="22.2" customHeight="1" s="330">
      <c r="A1180" s="4" t="n"/>
      <c r="E1180" s="4" t="n"/>
      <c r="G1180" s="252" t="n"/>
      <c r="H1180" s="249" t="inlineStr">
        <is>
          <t> </t>
        </is>
      </c>
      <c r="I1180" s="252" t="n"/>
      <c r="J1180" s="252" t="n"/>
      <c r="K1180" s="331" t="n"/>
      <c r="L1180" s="252" t="n"/>
      <c r="M1180" s="252" t="n"/>
      <c r="N1180" s="252" t="n"/>
      <c r="O1180" s="244">
        <f>M1180*N1180</f>
        <v/>
      </c>
      <c r="P1180" s="252" t="n"/>
      <c r="Q1180" s="252" t="n"/>
      <c r="R1180" s="252" t="n"/>
      <c r="S1180" s="244">
        <f>Q1180*R1180</f>
        <v/>
      </c>
    </row>
    <row r="1181" ht="22.2" customHeight="1" s="330">
      <c r="A1181" s="4" t="n"/>
      <c r="E1181" s="4" t="n"/>
      <c r="F1181" s="4" t="n"/>
      <c r="G1181" s="278" t="n"/>
      <c r="H1181" s="301" t="n"/>
      <c r="I1181" s="276" t="n"/>
      <c r="J1181" s="276" t="n"/>
      <c r="K1181" s="476" t="n"/>
      <c r="L1181" s="276" t="n"/>
      <c r="M1181" s="276" t="n"/>
      <c r="N1181" s="276" t="n"/>
      <c r="O1181" s="244">
        <f>M1181*N1181</f>
        <v/>
      </c>
      <c r="P1181" s="276" t="n"/>
      <c r="Q1181" s="276" t="n"/>
      <c r="R1181" s="276" t="n"/>
      <c r="S1181" s="244">
        <f>Q1181*R1181</f>
        <v/>
      </c>
    </row>
    <row r="1182" ht="22.2" customHeight="1" s="330">
      <c r="A1182" s="4" t="n"/>
      <c r="E1182" s="4" t="n"/>
      <c r="F1182" s="4" t="n"/>
      <c r="G1182" s="17" t="inlineStr">
        <is>
          <t>รวมขั่วโมงที่สอนแยก ภาระงาน/ เกินภาระงาน</t>
        </is>
      </c>
      <c r="H1182" s="467" t="n"/>
      <c r="I1182" s="467" t="n"/>
      <c r="J1182" s="467" t="n"/>
      <c r="K1182" s="362" t="n"/>
      <c r="L1182" s="17">
        <f>SUM(L1157:L1181)</f>
        <v/>
      </c>
      <c r="M1182" s="17">
        <f>SUM(M1157:M1181)</f>
        <v/>
      </c>
      <c r="N1182" s="17" t="n"/>
      <c r="O1182" s="17" t="n"/>
      <c r="P1182" s="17">
        <f>SUM(P1157:P1181)</f>
        <v/>
      </c>
      <c r="Q1182" s="17">
        <f>SUM(Q1157:Q1181)</f>
        <v/>
      </c>
      <c r="R1182" s="279" t="n"/>
      <c r="S1182" s="17" t="n"/>
    </row>
    <row r="1183" ht="22.2" customHeight="1" s="330">
      <c r="A1183" s="4" t="n"/>
      <c r="E1183" s="4" t="n"/>
      <c r="F1183" s="4" t="n"/>
      <c r="G1183" s="17" t="inlineStr">
        <is>
          <t>รวมจำนวนชั่วโมงสอนคาบต่อสับดาห์</t>
        </is>
      </c>
      <c r="H1183" s="467" t="n"/>
      <c r="I1183" s="467" t="n"/>
      <c r="J1183" s="467" t="n"/>
      <c r="K1183" s="362" t="n"/>
      <c r="L1183" s="17">
        <f>L1182+M1182</f>
        <v/>
      </c>
      <c r="M1183" s="362" t="n"/>
      <c r="N1183" s="298" t="n"/>
      <c r="O1183" s="17" t="n"/>
      <c r="P1183" s="17">
        <f>P1182+Q1182</f>
        <v/>
      </c>
      <c r="Q1183" s="362" t="n"/>
      <c r="R1183" s="278" t="n"/>
      <c r="S1183" s="276" t="n"/>
    </row>
    <row r="1184" ht="22.2" customHeight="1" s="330">
      <c r="A1184" s="4" t="n"/>
      <c r="E1184" s="4" t="n"/>
      <c r="F1184" s="4" t="n"/>
      <c r="G1184" s="17" t="inlineStr">
        <is>
          <t>จำนวนชั่วโมงสอนตามภาระงานสอน</t>
        </is>
      </c>
      <c r="H1184" s="467" t="n"/>
      <c r="I1184" s="467" t="n"/>
      <c r="J1184" s="467" t="n"/>
      <c r="K1184" s="362" t="n"/>
      <c r="L1184" s="17" t="n">
        <v>18</v>
      </c>
      <c r="M1184" s="362" t="n"/>
      <c r="N1184" s="252" t="n"/>
      <c r="O1184" s="252" t="n"/>
      <c r="P1184" s="17" t="n">
        <v>0</v>
      </c>
      <c r="Q1184" s="362" t="n"/>
      <c r="R1184" s="249" t="n"/>
      <c r="S1184" s="252" t="n"/>
    </row>
    <row r="1185" ht="22.2" customHeight="1" s="330" thickBot="1">
      <c r="A1185" s="4" t="n"/>
      <c r="E1185" s="4" t="n"/>
      <c r="F1185" s="15" t="n"/>
      <c r="G1185" s="17" t="inlineStr">
        <is>
          <t>จำนวนชั่วโมงบิกเกินภาระงานสอน/ค่าสอน</t>
        </is>
      </c>
      <c r="H1185" s="467" t="n"/>
      <c r="I1185" s="467" t="n"/>
      <c r="J1185" s="467" t="n"/>
      <c r="K1185" s="362" t="n"/>
      <c r="L1185" s="18" t="n">
        <v>0</v>
      </c>
      <c r="M1185" s="18">
        <f>SUM(M1157:M1181)</f>
        <v/>
      </c>
      <c r="N1185" s="18" t="n"/>
      <c r="O1185" s="18">
        <f>SUM(O1157:O1181)</f>
        <v/>
      </c>
      <c r="P1185" s="18" t="n">
        <v>0</v>
      </c>
      <c r="Q1185" s="18">
        <f>SUM(Q1157:Q1181)</f>
        <v/>
      </c>
      <c r="R1185" s="19" t="n"/>
      <c r="S1185" s="18">
        <f>SUM(S1157:S1181)</f>
        <v/>
      </c>
    </row>
    <row r="1186" ht="22.2" customHeight="1" s="330" thickTop="1">
      <c r="A1186" s="299" t="inlineStr">
        <is>
          <t>รวมจำนวนหน่วยชั่วโมงที่ขอเบิกค่าสอน ….</t>
        </is>
      </c>
      <c r="B1186" s="467" t="n"/>
      <c r="C1186" s="467" t="n"/>
      <c r="D1186" s="467" t="n"/>
      <c r="E1186" s="467" t="n"/>
      <c r="F1186" s="467" t="n"/>
      <c r="G1186" s="467" t="n"/>
      <c r="H1186" s="298">
        <f>M1185+Q1185</f>
        <v/>
      </c>
      <c r="I1186" s="298" t="inlineStr">
        <is>
          <t>….ชั่วโมง</t>
        </is>
      </c>
      <c r="J1186" s="298" t="n"/>
      <c r="K1186" s="301" t="inlineStr">
        <is>
          <t>ยอดเงินรวม</t>
        </is>
      </c>
      <c r="L1186" s="471" t="n"/>
      <c r="M1186" s="471" t="n"/>
      <c r="N1186" s="301" t="n"/>
      <c r="O1186" s="301" t="n"/>
      <c r="P1186" s="302">
        <f>S1185+O1185</f>
        <v/>
      </c>
      <c r="Q1186" s="482" t="n"/>
      <c r="R1186" s="21" t="n"/>
      <c r="S1186" s="53" t="inlineStr">
        <is>
          <t>..บาท</t>
        </is>
      </c>
    </row>
    <row r="1187" ht="22.2" customHeight="1" s="330">
      <c r="A1187" s="207" t="inlineStr">
        <is>
          <t>ผู้ขอเบิก</t>
        </is>
      </c>
      <c r="B1187" s="334" t="n"/>
      <c r="C1187" s="334" t="n"/>
      <c r="D1187" s="334" t="n"/>
      <c r="E1187" s="334" t="n"/>
      <c r="F1187" s="334" t="n"/>
      <c r="G1187" s="335" t="n"/>
      <c r="H1187" s="207" t="inlineStr">
        <is>
          <t>ผู้รับรอง</t>
        </is>
      </c>
      <c r="I1187" s="334" t="n"/>
      <c r="J1187" s="334" t="n"/>
      <c r="K1187" s="334" t="n"/>
      <c r="L1187" s="335" t="n"/>
      <c r="M1187" s="207" t="inlineStr">
        <is>
          <t>ผู้ตรวจ</t>
        </is>
      </c>
      <c r="N1187" s="334" t="n"/>
      <c r="O1187" s="334" t="n"/>
      <c r="P1187" s="334" t="n"/>
      <c r="Q1187" s="334" t="n"/>
      <c r="R1187" s="334" t="n"/>
      <c r="S1187" s="335" t="n"/>
    </row>
    <row r="1188" ht="22.2" customHeight="1" s="330">
      <c r="A1188" s="252" t="inlineStr">
        <is>
          <t>ลงชื่อ……………………………………………</t>
        </is>
      </c>
      <c r="G1188" s="331" t="n"/>
      <c r="H1188" s="252" t="inlineStr">
        <is>
          <t>ลงชื่อ……………………………………………</t>
        </is>
      </c>
      <c r="L1188" s="331" t="n"/>
      <c r="M1188" s="252" t="inlineStr">
        <is>
          <t>ลงชื่อ……………………………………………</t>
        </is>
      </c>
      <c r="S1188" s="331" t="n"/>
    </row>
    <row r="1189" ht="22.2" customHeight="1" s="330">
      <c r="A1189" s="12" t="inlineStr">
        <is>
          <t>(</t>
        </is>
      </c>
      <c r="B1189" s="309">
        <f>B1157</f>
        <v/>
      </c>
      <c r="G1189" s="310" t="inlineStr">
        <is>
          <t>)</t>
        </is>
      </c>
      <c r="H1189" s="309" t="inlineStr">
        <is>
          <t>(</t>
        </is>
      </c>
      <c r="I1189" s="314">
        <f>I1143</f>
        <v/>
      </c>
      <c r="L1189" s="13" t="inlineStr">
        <is>
          <t>)</t>
        </is>
      </c>
      <c r="M1189" s="61" t="inlineStr">
        <is>
          <t>(</t>
        </is>
      </c>
      <c r="N1189" s="61" t="n"/>
      <c r="O1189" s="309" t="inlineStr">
        <is>
          <t>นายพิสุทธิศักดิ์  กล่อมนาค</t>
        </is>
      </c>
      <c r="R1189" s="29" t="n"/>
      <c r="S1189" s="310" t="inlineStr">
        <is>
          <t>)</t>
        </is>
      </c>
    </row>
    <row r="1190" ht="22.2" customHeight="1" s="330">
      <c r="A1190" s="483" t="inlineStr">
        <is>
          <t xml:space="preserve">                 ตำแหน่ง  ครูพิเศษ</t>
        </is>
      </c>
      <c r="G1190" s="331" t="n"/>
      <c r="H1190" s="62" t="inlineStr">
        <is>
          <t>ตำแหน่ง หัวหน้าแผนก</t>
        </is>
      </c>
      <c r="L1190" s="331" t="n"/>
      <c r="M1190" s="62" t="inlineStr">
        <is>
          <t>ตำแหน่ง   ผู้ตรวจสอบ</t>
        </is>
      </c>
      <c r="S1190" s="331" t="n"/>
    </row>
    <row r="1191" ht="22.2" customHeight="1" s="330">
      <c r="A1191" s="63">
        <f>A41</f>
        <v/>
      </c>
      <c r="B1191" s="471" t="n"/>
      <c r="C1191" s="471" t="n"/>
      <c r="D1191" s="471" t="n"/>
      <c r="E1191" s="471" t="n"/>
      <c r="F1191" s="471" t="n"/>
      <c r="G1191" s="476" t="n"/>
      <c r="H1191" s="62">
        <f>A41</f>
        <v/>
      </c>
      <c r="L1191" s="331" t="n"/>
      <c r="M1191" s="63">
        <f>A41</f>
        <v/>
      </c>
      <c r="N1191" s="471" t="n"/>
      <c r="O1191" s="471" t="n"/>
      <c r="P1191" s="471" t="n"/>
      <c r="Q1191" s="471" t="n"/>
      <c r="R1191" s="471" t="n"/>
      <c r="S1191" s="476" t="n"/>
    </row>
    <row r="1192" ht="22.2" customHeight="1" s="330">
      <c r="A1192" s="207" t="inlineStr">
        <is>
          <t>ผู้ตรวจ</t>
        </is>
      </c>
      <c r="B1192" s="334" t="n"/>
      <c r="C1192" s="334" t="n"/>
      <c r="D1192" s="334" t="n"/>
      <c r="E1192" s="334" t="n"/>
      <c r="F1192" s="334" t="n"/>
      <c r="G1192" s="334" t="n"/>
      <c r="H1192" s="334" t="n"/>
      <c r="I1192" s="335" t="n"/>
      <c r="J1192" s="207" t="inlineStr">
        <is>
          <t>ผู้เห็นชอบ</t>
        </is>
      </c>
      <c r="K1192" s="334" t="n"/>
      <c r="L1192" s="334" t="n"/>
      <c r="M1192" s="334" t="n"/>
      <c r="N1192" s="334" t="n"/>
      <c r="O1192" s="334" t="n"/>
      <c r="P1192" s="334" t="n"/>
      <c r="Q1192" s="334" t="n"/>
      <c r="R1192" s="334" t="n"/>
      <c r="S1192" s="335" t="n"/>
    </row>
    <row r="1193" ht="22.2" customHeight="1" s="330">
      <c r="A1193" s="252" t="inlineStr">
        <is>
          <t>ลงชื่อ……………………………………………</t>
        </is>
      </c>
      <c r="I1193" s="331" t="n"/>
      <c r="J1193" s="252" t="inlineStr">
        <is>
          <t>ลงชื่อ……………………………………………</t>
        </is>
      </c>
      <c r="S1193" s="331" t="n"/>
    </row>
    <row r="1194" ht="22.2" customHeight="1" s="330">
      <c r="A1194" s="12" t="n"/>
      <c r="B1194" s="309" t="inlineStr">
        <is>
          <t xml:space="preserve">          (นางศิวรักษ์   บุญประเสริฐ)</t>
        </is>
      </c>
      <c r="I1194" s="310" t="n"/>
      <c r="J1194" s="29" t="n"/>
      <c r="K1194" s="29" t="n"/>
      <c r="L1194" s="309" t="inlineStr">
        <is>
          <t>(นายปรีชา  โพธิ์เกิด)</t>
        </is>
      </c>
      <c r="R1194" s="29" t="n"/>
      <c r="S1194" s="13" t="n"/>
    </row>
    <row r="1195" ht="22.2" customHeight="1" s="330">
      <c r="A1195" s="62" t="inlineStr">
        <is>
          <t>ตำแหน่งครู  หัวหน้างานพัฒนาหลักสูตร ฯ</t>
        </is>
      </c>
      <c r="I1195" s="331" t="n"/>
      <c r="J1195" s="62" t="inlineStr">
        <is>
          <t>ตำแหน่ง  รองผู้อำนวยการฝ่ายวิชาการ</t>
        </is>
      </c>
      <c r="S1195" s="331" t="n"/>
    </row>
    <row r="1196" ht="22.2" customHeight="1" s="330">
      <c r="A1196" s="63">
        <f>A41</f>
        <v/>
      </c>
      <c r="B1196" s="471" t="n"/>
      <c r="C1196" s="471" t="n"/>
      <c r="D1196" s="471" t="n"/>
      <c r="E1196" s="471" t="n"/>
      <c r="F1196" s="471" t="n"/>
      <c r="G1196" s="471" t="n"/>
      <c r="H1196" s="471" t="n"/>
      <c r="I1196" s="476" t="n"/>
      <c r="J1196" s="63">
        <f>A41</f>
        <v/>
      </c>
      <c r="K1196" s="471" t="n"/>
      <c r="L1196" s="471" t="n"/>
      <c r="M1196" s="471" t="n"/>
      <c r="N1196" s="471" t="n"/>
      <c r="O1196" s="471" t="n"/>
      <c r="P1196" s="471" t="n"/>
      <c r="Q1196" s="471" t="n"/>
      <c r="R1196" s="471" t="n"/>
      <c r="S1196" s="476" t="n"/>
    </row>
    <row r="1197" ht="22.2" customHeight="1" s="330">
      <c r="A119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98" ht="22.2" customHeight="1" s="330">
      <c r="A1198" s="254">
        <f>A2</f>
        <v/>
      </c>
    </row>
    <row r="1199" ht="22.2" customHeight="1" s="330">
      <c r="A1199" s="253" t="inlineStr">
        <is>
          <t xml:space="preserve">    ระหว่างวันที่</t>
        </is>
      </c>
      <c r="D1199" s="254">
        <f>D3</f>
        <v/>
      </c>
      <c r="E1199" s="254" t="inlineStr">
        <is>
          <t xml:space="preserve">   เดือน  </t>
        </is>
      </c>
      <c r="F1199" s="254">
        <f>F3</f>
        <v/>
      </c>
      <c r="H1199" s="254">
        <f>H3</f>
        <v/>
      </c>
      <c r="I1199" s="254" t="inlineStr">
        <is>
          <t xml:space="preserve">     ถึง วันที่</t>
        </is>
      </c>
      <c r="J1199" s="254">
        <f>J3</f>
        <v/>
      </c>
      <c r="K1199" s="254" t="inlineStr">
        <is>
          <t xml:space="preserve">   เดือน </t>
        </is>
      </c>
      <c r="L1199" s="254">
        <f>L3</f>
        <v/>
      </c>
      <c r="N1199" s="254">
        <f>N3</f>
        <v/>
      </c>
      <c r="P1199" s="254" t="n"/>
      <c r="R1199" s="254" t="n"/>
    </row>
    <row r="1200" ht="22.2" customHeight="1" s="330">
      <c r="H1200" s="290" t="inlineStr">
        <is>
          <t>ครู</t>
        </is>
      </c>
      <c r="I1200" s="249" t="inlineStr">
        <is>
          <t>หน้าที่พิเศษ</t>
        </is>
      </c>
      <c r="J1200" s="290" t="n"/>
    </row>
    <row r="1201" ht="22.2" customHeight="1" s="330">
      <c r="G1201" s="58" t="inlineStr">
        <is>
          <t>ü</t>
        </is>
      </c>
      <c r="H1201" s="8" t="inlineStr">
        <is>
          <t>ครูพิเศษ</t>
        </is>
      </c>
      <c r="I1201" s="249" t="inlineStr">
        <is>
          <t>หน้าที่พิเศษ</t>
        </is>
      </c>
      <c r="K1201" s="290" t="n"/>
    </row>
    <row r="1202" ht="22.2" customHeight="1" s="330">
      <c r="A1202" s="28" t="inlineStr">
        <is>
          <t>ที่</t>
        </is>
      </c>
      <c r="B1202" s="28" t="inlineStr">
        <is>
          <t>ชื่อ-สกุล</t>
        </is>
      </c>
      <c r="C1202" s="334" t="n"/>
      <c r="D1202" s="335" t="n"/>
      <c r="E1202" s="16" t="inlineStr">
        <is>
          <t>ตำแหน่ง</t>
        </is>
      </c>
      <c r="F1202" s="17" t="inlineStr">
        <is>
          <t>ระยะเวลาที่สอน</t>
        </is>
      </c>
      <c r="G1202" s="362" t="n"/>
      <c r="H1202" s="17" t="inlineStr">
        <is>
          <t>รหัสวิชา</t>
        </is>
      </c>
      <c r="I1202" s="275" t="inlineStr">
        <is>
          <t>ชั้น,แผนก,ห้อง</t>
        </is>
      </c>
      <c r="J1202" s="17" t="inlineStr">
        <is>
          <t>เวลาสอน</t>
        </is>
      </c>
      <c r="K1202" s="335" t="n"/>
      <c r="L1202" s="17" t="inlineStr">
        <is>
          <t>ปวช.(คาบ)</t>
        </is>
      </c>
      <c r="M1202" s="362" t="n"/>
      <c r="N1202" s="244" t="inlineStr">
        <is>
          <t>เงิน</t>
        </is>
      </c>
      <c r="O1202" s="275" t="inlineStr">
        <is>
          <t>ยอดเงิน</t>
        </is>
      </c>
      <c r="P1202" s="473" t="inlineStr">
        <is>
          <t>ปวส.(คาบ)</t>
        </is>
      </c>
      <c r="Q1202" s="362" t="n"/>
      <c r="R1202" s="244" t="inlineStr">
        <is>
          <t>เงิน</t>
        </is>
      </c>
      <c r="S1202" s="275" t="inlineStr">
        <is>
          <t>ยอดเงิน</t>
        </is>
      </c>
    </row>
    <row r="1203" ht="22.2" customHeight="1" s="330">
      <c r="A1203" s="60" t="n"/>
      <c r="B1203" s="9" t="n"/>
      <c r="C1203" s="10" t="n"/>
      <c r="D1203" s="14" t="n"/>
      <c r="E1203" s="11" t="n"/>
      <c r="F1203" s="276" t="inlineStr">
        <is>
          <t>ส.</t>
        </is>
      </c>
      <c r="G1203" s="276" t="inlineStr">
        <is>
          <t>วดป.</t>
        </is>
      </c>
      <c r="H1203" s="474" t="n"/>
      <c r="I1203" s="276" t="n"/>
      <c r="J1203" s="475" t="n"/>
      <c r="K1203" s="476" t="n"/>
      <c r="L1203" s="276" t="inlineStr">
        <is>
          <t>ใน</t>
        </is>
      </c>
      <c r="M1203" s="276" t="inlineStr">
        <is>
          <t>นอก</t>
        </is>
      </c>
      <c r="N1203" s="276" t="inlineStr">
        <is>
          <t>ต่อ ชม.</t>
        </is>
      </c>
      <c r="O1203" s="276" t="inlineStr">
        <is>
          <t>(บาท)</t>
        </is>
      </c>
      <c r="P1203" s="60" t="inlineStr">
        <is>
          <t>ใน</t>
        </is>
      </c>
      <c r="Q1203" s="60" t="inlineStr">
        <is>
          <t>นอก</t>
        </is>
      </c>
      <c r="R1203" s="276" t="inlineStr">
        <is>
          <t>ต่อ ชม.</t>
        </is>
      </c>
      <c r="S1203" s="276" t="inlineStr">
        <is>
          <t>(บาท)</t>
        </is>
      </c>
    </row>
    <row r="1204" ht="22.2" customHeight="1" s="330">
      <c r="A1204" s="275" t="n">
        <v>27</v>
      </c>
      <c r="B1204" s="477">
        <f>AB29</f>
        <v/>
      </c>
      <c r="C1204" s="334" t="n"/>
      <c r="D1204" s="335" t="n"/>
      <c r="E1204" s="275" t="inlineStr">
        <is>
          <t>ครู</t>
        </is>
      </c>
      <c r="F1204" s="6">
        <f>F7</f>
        <v/>
      </c>
      <c r="G1204" s="303" t="inlineStr">
        <is>
          <t>จันทร์</t>
        </is>
      </c>
      <c r="H1204" s="332" t="n"/>
      <c r="I1204" s="332" t="n"/>
      <c r="J1204" s="332" t="n"/>
      <c r="K1204" s="335" t="n"/>
      <c r="L1204" s="265" t="n"/>
      <c r="M1204" s="332" t="n"/>
      <c r="N1204" s="332" t="n"/>
      <c r="O1204" s="244">
        <f>M1204*N1204</f>
        <v/>
      </c>
      <c r="P1204" s="332" t="n"/>
      <c r="Q1204" s="265" t="n"/>
      <c r="R1204" s="332" t="n"/>
      <c r="S1204" s="244">
        <f>Q1204*R1204</f>
        <v/>
      </c>
    </row>
    <row r="1205" ht="22.2" customHeight="1" s="330">
      <c r="A1205" s="4" t="n"/>
      <c r="B1205" s="478" t="n"/>
      <c r="D1205" s="331" t="n"/>
      <c r="E1205" s="252" t="inlineStr">
        <is>
          <t>พิเศษ</t>
        </is>
      </c>
      <c r="F1205" s="249" t="n"/>
      <c r="G1205" s="308">
        <f>G1158</f>
        <v/>
      </c>
      <c r="H1205" s="252" t="n"/>
      <c r="I1205" s="252" t="n"/>
      <c r="J1205" s="252" t="n"/>
      <c r="K1205" s="331" t="n"/>
      <c r="L1205" s="252" t="n"/>
      <c r="M1205" s="252" t="n"/>
      <c r="N1205" s="252" t="n"/>
      <c r="O1205" s="244">
        <f>M1205*N1205</f>
        <v/>
      </c>
      <c r="P1205" s="252" t="n"/>
      <c r="Q1205" s="252" t="n"/>
      <c r="R1205" s="252" t="n"/>
      <c r="S1205" s="244">
        <f>Q1205*R1205</f>
        <v/>
      </c>
    </row>
    <row r="1206" ht="22.2" customHeight="1" s="330">
      <c r="A1206" s="4" t="n"/>
      <c r="B1206" s="5" t="n"/>
      <c r="D1206" s="3" t="n"/>
      <c r="E1206" s="3" t="n"/>
      <c r="F1206" s="249" t="n"/>
      <c r="G1206" s="248" t="n"/>
      <c r="H1206" s="252" t="n"/>
      <c r="I1206" s="252" t="n"/>
      <c r="J1206" s="252" t="n"/>
      <c r="K1206" s="331" t="n"/>
      <c r="L1206" s="252" t="n"/>
      <c r="M1206" s="252" t="n"/>
      <c r="N1206" s="252" t="n"/>
      <c r="O1206" s="244">
        <f>M1206*N1206</f>
        <v/>
      </c>
      <c r="P1206" s="252" t="n"/>
      <c r="Q1206" s="252" t="n"/>
      <c r="R1206" s="252" t="n"/>
      <c r="S1206" s="244">
        <f>Q1206*R1206</f>
        <v/>
      </c>
    </row>
    <row r="1207" ht="22.2" customHeight="1" s="330">
      <c r="A1207" s="4" t="n"/>
      <c r="B1207" s="5" t="n"/>
      <c r="E1207" s="4" t="n"/>
      <c r="F1207" s="249" t="n"/>
      <c r="G1207" s="248" t="n"/>
      <c r="H1207" s="252" t="n"/>
      <c r="I1207" s="252" t="n"/>
      <c r="J1207" s="252" t="n"/>
      <c r="K1207" s="331" t="n"/>
      <c r="L1207" s="252" t="n"/>
      <c r="M1207" s="252" t="n"/>
      <c r="N1207" s="252" t="n"/>
      <c r="O1207" s="244">
        <f>M1207*N1207</f>
        <v/>
      </c>
      <c r="P1207" s="252" t="n"/>
      <c r="Q1207" s="252" t="n"/>
      <c r="R1207" s="252" t="n"/>
      <c r="S1207" s="244">
        <f>Q1207*R1207</f>
        <v/>
      </c>
    </row>
    <row r="1208" ht="22.2" customHeight="1" s="330">
      <c r="A1208" s="4" t="n"/>
      <c r="E1208" s="4" t="n"/>
      <c r="G1208" s="311" t="n"/>
      <c r="H1208" s="276" t="n"/>
      <c r="I1208" s="252" t="n"/>
      <c r="J1208" s="276" t="n"/>
      <c r="K1208" s="476" t="n"/>
      <c r="L1208" s="252" t="n"/>
      <c r="M1208" s="252" t="n"/>
      <c r="N1208" s="252" t="n"/>
      <c r="O1208" s="244">
        <f>M1208*N1208</f>
        <v/>
      </c>
      <c r="P1208" s="252" t="n"/>
      <c r="Q1208" s="252" t="n"/>
      <c r="R1208" s="252" t="n"/>
      <c r="S1208" s="244">
        <f>Q1208*R1208</f>
        <v/>
      </c>
    </row>
    <row r="1209" ht="22.2" customHeight="1" s="330">
      <c r="A1209" s="4" t="n"/>
      <c r="E1209" s="4" t="n"/>
      <c r="G1209" s="62" t="inlineStr">
        <is>
          <t>อังคาร</t>
        </is>
      </c>
      <c r="H1209" s="332" t="n"/>
      <c r="I1209" s="332" t="n"/>
      <c r="J1209" s="332" t="n"/>
      <c r="K1209" s="335" t="n"/>
      <c r="L1209" s="265" t="n"/>
      <c r="M1209" s="332" t="n"/>
      <c r="N1209" s="332" t="n"/>
      <c r="O1209" s="244">
        <f>M1209*N1209</f>
        <v/>
      </c>
      <c r="P1209" s="332" t="n"/>
      <c r="Q1209" s="265" t="n"/>
      <c r="R1209" s="332" t="n"/>
      <c r="S1209" s="244">
        <f>Q1209*R1209</f>
        <v/>
      </c>
    </row>
    <row r="1210" ht="22.2" customHeight="1" s="330">
      <c r="A1210" s="4" t="n"/>
      <c r="E1210" s="4" t="n"/>
      <c r="G1210" s="308">
        <f>G1163</f>
        <v/>
      </c>
      <c r="H1210" s="252" t="n"/>
      <c r="I1210" s="252" t="n"/>
      <c r="J1210" s="252" t="n"/>
      <c r="K1210" s="331" t="n"/>
      <c r="L1210" s="252" t="n"/>
      <c r="M1210" s="252" t="n"/>
      <c r="N1210" s="252" t="n"/>
      <c r="O1210" s="244">
        <f>M1210*N1210</f>
        <v/>
      </c>
      <c r="P1210" s="252" t="n"/>
      <c r="Q1210" s="252" t="n"/>
      <c r="R1210" s="252" t="n"/>
      <c r="S1210" s="244">
        <f>Q1210*R1210</f>
        <v/>
      </c>
    </row>
    <row r="1211" ht="22.2" customHeight="1" s="330">
      <c r="A1211" s="4" t="n"/>
      <c r="B1211" s="5" t="n"/>
      <c r="D1211" s="3" t="n"/>
      <c r="E1211" s="3" t="n"/>
      <c r="G1211" s="252" t="n"/>
      <c r="H1211" s="252" t="n"/>
      <c r="I1211" s="252" t="n"/>
      <c r="J1211" s="252" t="n"/>
      <c r="K1211" s="331" t="n"/>
      <c r="L1211" s="252" t="n"/>
      <c r="M1211" s="252" t="n"/>
      <c r="N1211" s="252" t="n"/>
      <c r="O1211" s="244">
        <f>M1211*N1211</f>
        <v/>
      </c>
      <c r="P1211" s="252" t="n"/>
      <c r="Q1211" s="252" t="n"/>
      <c r="R1211" s="252" t="n"/>
      <c r="S1211" s="244">
        <f>Q1211*R1211</f>
        <v/>
      </c>
    </row>
    <row r="1212" ht="22.2" customHeight="1" s="330">
      <c r="A1212" s="4" t="n"/>
      <c r="E1212" s="4" t="n"/>
      <c r="G1212" s="62" t="n"/>
      <c r="H1212" s="249" t="n"/>
      <c r="I1212" s="252" t="n"/>
      <c r="J1212" s="252" t="n"/>
      <c r="K1212" s="331" t="n"/>
      <c r="L1212" s="252" t="n"/>
      <c r="M1212" s="252" t="n"/>
      <c r="N1212" s="252" t="n"/>
      <c r="O1212" s="244">
        <f>M1212*N1212</f>
        <v/>
      </c>
      <c r="P1212" s="252" t="n"/>
      <c r="Q1212" s="252" t="n"/>
      <c r="R1212" s="252" t="n"/>
      <c r="S1212" s="244">
        <f>Q1212*R1212</f>
        <v/>
      </c>
    </row>
    <row r="1213" ht="22.2" customHeight="1" s="330">
      <c r="A1213" s="4" t="n"/>
      <c r="D1213" s="8" t="inlineStr">
        <is>
          <t> </t>
        </is>
      </c>
      <c r="E1213" s="4" t="n"/>
      <c r="G1213" s="63" t="n"/>
      <c r="H1213" s="249" t="n"/>
      <c r="I1213" s="252" t="n"/>
      <c r="J1213" s="276" t="n"/>
      <c r="K1213" s="476" t="n"/>
      <c r="L1213" s="252" t="n"/>
      <c r="M1213" s="252" t="n"/>
      <c r="N1213" s="252" t="n"/>
      <c r="O1213" s="244">
        <f>M1213*N1213</f>
        <v/>
      </c>
      <c r="P1213" s="252" t="n"/>
      <c r="Q1213" s="252" t="n"/>
      <c r="R1213" s="252" t="n"/>
      <c r="S1213" s="244">
        <f>Q1213*R1213</f>
        <v/>
      </c>
    </row>
    <row r="1214" ht="22.2" customHeight="1" s="330">
      <c r="A1214" s="4" t="n"/>
      <c r="E1214" s="4" t="n"/>
      <c r="G1214" s="308" t="inlineStr">
        <is>
          <t>พุธ</t>
        </is>
      </c>
      <c r="H1214" s="332" t="n"/>
      <c r="I1214" s="332" t="n"/>
      <c r="J1214" s="332" t="n"/>
      <c r="K1214" s="335" t="n"/>
      <c r="L1214" s="265" t="n"/>
      <c r="M1214" s="332" t="n"/>
      <c r="N1214" s="332" t="n"/>
      <c r="O1214" s="244">
        <f>M1214*N1214</f>
        <v/>
      </c>
      <c r="P1214" s="332" t="n"/>
      <c r="Q1214" s="265" t="n"/>
      <c r="R1214" s="332" t="n"/>
      <c r="S1214" s="244">
        <f>Q1214*R1214</f>
        <v/>
      </c>
      <c r="T1214" s="25" t="n"/>
      <c r="U1214" s="26" t="inlineStr">
        <is>
          <t xml:space="preserve">     PLC</t>
        </is>
      </c>
      <c r="V1214" s="64" t="n"/>
      <c r="W1214" s="27" t="n"/>
      <c r="X1214" s="27" t="n"/>
    </row>
    <row r="1215" ht="22.2" customHeight="1" s="330">
      <c r="A1215" s="4" t="n"/>
      <c r="B1215" s="248" t="n"/>
      <c r="C1215" s="249" t="n"/>
      <c r="D1215" s="249" t="n"/>
      <c r="E1215" s="252" t="n"/>
      <c r="G1215" s="308">
        <f>G1168</f>
        <v/>
      </c>
      <c r="H1215" s="252" t="n"/>
      <c r="I1215" s="325" t="n"/>
      <c r="J1215" s="252" t="n"/>
      <c r="K1215" s="331" t="n"/>
      <c r="L1215" s="252" t="n"/>
      <c r="M1215" s="252" t="n"/>
      <c r="N1215" s="252" t="n"/>
      <c r="O1215" s="244">
        <f>M1215*N1215</f>
        <v/>
      </c>
      <c r="P1215" s="252" t="n"/>
      <c r="Q1215" s="252" t="n"/>
      <c r="R1215" s="252" t="n"/>
      <c r="S1215" s="244">
        <f>Q1215*R1215</f>
        <v/>
      </c>
      <c r="T1215" s="27" t="inlineStr">
        <is>
          <t> </t>
        </is>
      </c>
      <c r="U1215" s="26" t="inlineStr">
        <is>
          <t>17.10-19.10</t>
        </is>
      </c>
      <c r="V1215" s="64" t="n"/>
      <c r="W1215" s="27" t="n"/>
      <c r="X1215" s="27" t="n"/>
    </row>
    <row r="1216" ht="22.2" customHeight="1" s="330">
      <c r="A1216" s="4" t="n"/>
      <c r="B1216" s="5" t="n"/>
      <c r="D1216" s="3" t="n"/>
      <c r="E1216" s="3" t="n"/>
      <c r="G1216" s="252" t="n"/>
      <c r="H1216" s="252" t="n"/>
      <c r="I1216" s="325" t="n"/>
      <c r="J1216" s="252" t="n"/>
      <c r="K1216" s="331" t="n"/>
      <c r="L1216" s="252" t="n"/>
      <c r="M1216" s="252" t="n"/>
      <c r="N1216" s="252" t="n"/>
      <c r="O1216" s="244">
        <f>M1216*N1216</f>
        <v/>
      </c>
      <c r="P1216" s="252" t="n"/>
      <c r="Q1216" s="252" t="n"/>
      <c r="R1216" s="252" t="n"/>
      <c r="S1216" s="244">
        <f>Q1216*R1216</f>
        <v/>
      </c>
    </row>
    <row r="1217" ht="22.2" customHeight="1" s="330">
      <c r="A1217" s="4" t="n"/>
      <c r="E1217" s="4" t="n"/>
      <c r="G1217" s="248" t="n"/>
      <c r="H1217" s="248" t="n"/>
      <c r="I1217" s="252" t="n"/>
      <c r="J1217" s="252" t="n"/>
      <c r="K1217" s="331" t="n"/>
      <c r="L1217" s="252" t="n"/>
      <c r="M1217" s="252" t="n"/>
      <c r="N1217" s="252" t="n"/>
      <c r="O1217" s="244">
        <f>M1217*N1217</f>
        <v/>
      </c>
      <c r="P1217" s="252" t="n"/>
      <c r="Q1217" s="252" t="n"/>
      <c r="R1217" s="252" t="n"/>
      <c r="S1217" s="244">
        <f>Q1217*R1217</f>
        <v/>
      </c>
    </row>
    <row r="1218" ht="22.2" customHeight="1" s="330">
      <c r="A1218" s="4" t="n"/>
      <c r="E1218" s="4" t="n"/>
      <c r="G1218" s="277" t="n"/>
      <c r="H1218" s="277" t="n"/>
      <c r="I1218" s="276" t="n"/>
      <c r="J1218" s="276" t="n"/>
      <c r="K1218" s="476" t="n"/>
      <c r="L1218" s="276" t="n"/>
      <c r="M1218" s="276" t="n"/>
      <c r="N1218" s="276" t="n"/>
      <c r="O1218" s="244">
        <f>M1218*N1218</f>
        <v/>
      </c>
      <c r="P1218" s="276" t="n"/>
      <c r="Q1218" s="276" t="n"/>
      <c r="R1218" s="276" t="n"/>
      <c r="S1218" s="244">
        <f>Q1218*R1218</f>
        <v/>
      </c>
    </row>
    <row r="1219" ht="22.2" customHeight="1" s="330">
      <c r="A1219" s="4" t="n"/>
      <c r="E1219" s="4" t="n"/>
      <c r="G1219" s="62" t="inlineStr">
        <is>
          <t>พฤหัส</t>
        </is>
      </c>
      <c r="H1219" s="332" t="n"/>
      <c r="I1219" s="332" t="n"/>
      <c r="J1219" s="275" t="n"/>
      <c r="K1219" s="335" t="n"/>
      <c r="L1219" s="252" t="n"/>
      <c r="M1219" s="252" t="n"/>
      <c r="N1219" s="252" t="n"/>
      <c r="O1219" s="244">
        <f>M1219*N1219</f>
        <v/>
      </c>
      <c r="P1219" s="252" t="n"/>
      <c r="Q1219" s="275" t="n"/>
      <c r="R1219" s="275" t="n"/>
      <c r="S1219" s="244">
        <f>Q1219*R1219</f>
        <v/>
      </c>
    </row>
    <row r="1220" ht="22.2" customHeight="1" s="330">
      <c r="A1220" s="4" t="n"/>
      <c r="E1220" s="4" t="n"/>
      <c r="G1220" s="308">
        <f>G1173</f>
        <v/>
      </c>
      <c r="H1220" s="252" t="n"/>
      <c r="I1220" s="325" t="n"/>
      <c r="J1220" s="252" t="n"/>
      <c r="K1220" s="331" t="n"/>
      <c r="L1220" s="252" t="n"/>
      <c r="M1220" s="252" t="n"/>
      <c r="N1220" s="252" t="n"/>
      <c r="O1220" s="244">
        <f>M1220*N1220</f>
        <v/>
      </c>
      <c r="P1220" s="252" t="n"/>
      <c r="Q1220" s="252" t="n"/>
      <c r="R1220" s="252" t="n"/>
      <c r="S1220" s="244">
        <f>Q1220*R1220</f>
        <v/>
      </c>
    </row>
    <row r="1221" ht="22.2" customHeight="1" s="330">
      <c r="A1221" s="4" t="n"/>
      <c r="B1221" s="5" t="n"/>
      <c r="E1221" s="4" t="n"/>
      <c r="G1221" s="252" t="n"/>
      <c r="H1221" s="252" t="n"/>
      <c r="I1221" s="325" t="n"/>
      <c r="J1221" s="252" t="n"/>
      <c r="K1221" s="331" t="n"/>
      <c r="L1221" s="325" t="n"/>
      <c r="M1221" s="325" t="n"/>
      <c r="N1221" s="325" t="n"/>
      <c r="O1221" s="244">
        <f>M1221*N1221</f>
        <v/>
      </c>
      <c r="P1221" s="325" t="n"/>
      <c r="Q1221" s="325" t="n"/>
      <c r="R1221" s="325" t="n"/>
      <c r="S1221" s="244">
        <f>Q1221*R1221</f>
        <v/>
      </c>
    </row>
    <row r="1222" ht="22.2" customHeight="1" s="330">
      <c r="A1222" s="4" t="n"/>
      <c r="E1222" s="4" t="n"/>
      <c r="G1222" s="252" t="n"/>
      <c r="H1222" s="252" t="n"/>
      <c r="I1222" s="252" t="n"/>
      <c r="J1222" s="252" t="n"/>
      <c r="K1222" s="331" t="n"/>
      <c r="L1222" s="252" t="n"/>
      <c r="M1222" s="252" t="n"/>
      <c r="N1222" s="252" t="n"/>
      <c r="O1222" s="244">
        <f>M1222*N1222</f>
        <v/>
      </c>
      <c r="P1222" s="252" t="n"/>
      <c r="Q1222" s="252" t="n"/>
      <c r="R1222" s="252" t="n"/>
      <c r="S1222" s="244">
        <f>Q1222*R1222</f>
        <v/>
      </c>
    </row>
    <row r="1223" ht="22.2" customHeight="1" s="330">
      <c r="A1223" s="4" t="n"/>
      <c r="E1223" s="4" t="n"/>
      <c r="G1223" s="276" t="n"/>
      <c r="H1223" s="301" t="n"/>
      <c r="I1223" s="276" t="n"/>
      <c r="J1223" s="276" t="n"/>
      <c r="K1223" s="476" t="n"/>
      <c r="L1223" s="276" t="n"/>
      <c r="M1223" s="276" t="n"/>
      <c r="N1223" s="276" t="n"/>
      <c r="O1223" s="244">
        <f>M1223*N1223</f>
        <v/>
      </c>
      <c r="P1223" s="276" t="n"/>
      <c r="Q1223" s="276" t="n"/>
      <c r="R1223" s="276" t="n"/>
      <c r="S1223" s="244">
        <f>Q1223*R1223</f>
        <v/>
      </c>
    </row>
    <row r="1224" ht="22.2" customHeight="1" s="330">
      <c r="A1224" s="4" t="n"/>
      <c r="E1224" s="4" t="n"/>
      <c r="G1224" s="62" t="inlineStr">
        <is>
          <t>ศุกร์</t>
        </is>
      </c>
      <c r="H1224" s="332" t="n"/>
      <c r="I1224" s="252" t="n"/>
      <c r="J1224" s="332" t="n"/>
      <c r="K1224" s="335" t="n"/>
      <c r="L1224" s="252" t="n"/>
      <c r="M1224" s="252" t="n"/>
      <c r="N1224" s="252" t="n"/>
      <c r="O1224" s="244">
        <f>M1224*N1224</f>
        <v/>
      </c>
      <c r="P1224" s="332" t="n"/>
      <c r="Q1224" s="265" t="n"/>
      <c r="R1224" s="332" t="n"/>
      <c r="S1224" s="244">
        <f>Q1224*R1224</f>
        <v/>
      </c>
    </row>
    <row r="1225" ht="22.2" customHeight="1" s="330">
      <c r="A1225" s="4" t="n"/>
      <c r="E1225" s="4" t="n"/>
      <c r="G1225" s="308">
        <f>G1178</f>
        <v/>
      </c>
      <c r="H1225" s="252" t="n"/>
      <c r="I1225" s="252" t="n"/>
      <c r="J1225" s="252" t="n"/>
      <c r="K1225" s="331" t="n"/>
      <c r="L1225" s="252" t="n"/>
      <c r="M1225" s="252" t="n"/>
      <c r="N1225" s="252" t="n"/>
      <c r="O1225" s="244">
        <f>M1225*N1225</f>
        <v/>
      </c>
      <c r="P1225" s="252" t="n"/>
      <c r="Q1225" s="252" t="n"/>
      <c r="R1225" s="252" t="n"/>
      <c r="S1225" s="244">
        <f>Q1225*R1225</f>
        <v/>
      </c>
    </row>
    <row r="1226" ht="22.2" customHeight="1" s="330">
      <c r="A1226" s="4" t="n"/>
      <c r="E1226" s="4" t="n"/>
      <c r="G1226" s="252" t="n"/>
      <c r="H1226" s="252" t="n"/>
      <c r="I1226" s="252" t="n"/>
      <c r="J1226" s="252" t="n"/>
      <c r="K1226" s="331" t="n"/>
      <c r="L1226" s="252" t="n"/>
      <c r="M1226" s="252" t="n"/>
      <c r="N1226" s="252" t="n"/>
      <c r="O1226" s="244">
        <f>M1226*N1226</f>
        <v/>
      </c>
      <c r="P1226" s="252" t="n"/>
      <c r="Q1226" s="252" t="n"/>
      <c r="R1226" s="252" t="n"/>
      <c r="S1226" s="244">
        <f>Q1226*R1226</f>
        <v/>
      </c>
    </row>
    <row r="1227" ht="22.2" customHeight="1" s="330">
      <c r="A1227" s="4" t="n"/>
      <c r="E1227" s="4" t="n"/>
      <c r="G1227" s="252" t="n"/>
      <c r="H1227" s="249" t="inlineStr">
        <is>
          <t> </t>
        </is>
      </c>
      <c r="I1227" s="252" t="n"/>
      <c r="J1227" s="252" t="n"/>
      <c r="K1227" s="331" t="n"/>
      <c r="L1227" s="252" t="n"/>
      <c r="M1227" s="252" t="n"/>
      <c r="N1227" s="252" t="n"/>
      <c r="O1227" s="244">
        <f>M1227*N1227</f>
        <v/>
      </c>
      <c r="P1227" s="252" t="n"/>
      <c r="Q1227" s="252" t="n"/>
      <c r="R1227" s="252" t="n"/>
      <c r="S1227" s="244">
        <f>Q1227*R1227</f>
        <v/>
      </c>
    </row>
    <row r="1228" ht="22.2" customHeight="1" s="330">
      <c r="A1228" s="4" t="n"/>
      <c r="E1228" s="4" t="n"/>
      <c r="F1228" s="4" t="n"/>
      <c r="G1228" s="278" t="n"/>
      <c r="H1228" s="301" t="n"/>
      <c r="I1228" s="276" t="n"/>
      <c r="J1228" s="276" t="n"/>
      <c r="K1228" s="476" t="n"/>
      <c r="L1228" s="276" t="n"/>
      <c r="M1228" s="276" t="n"/>
      <c r="N1228" s="276" t="n"/>
      <c r="O1228" s="244">
        <f>M1228*N1228</f>
        <v/>
      </c>
      <c r="P1228" s="276" t="n"/>
      <c r="Q1228" s="276" t="n"/>
      <c r="R1228" s="276" t="n"/>
      <c r="S1228" s="244">
        <f>Q1228*R1228</f>
        <v/>
      </c>
    </row>
    <row r="1229" ht="22.2" customHeight="1" s="330">
      <c r="A1229" s="4" t="n"/>
      <c r="E1229" s="4" t="n"/>
      <c r="F1229" s="4" t="n"/>
      <c r="G1229" s="17" t="inlineStr">
        <is>
          <t>รวมขั่วโมงที่สอนแยก ภาระงาน/ เกินภาระงาน</t>
        </is>
      </c>
      <c r="H1229" s="467" t="n"/>
      <c r="I1229" s="467" t="n"/>
      <c r="J1229" s="467" t="n"/>
      <c r="K1229" s="362" t="n"/>
      <c r="L1229" s="17">
        <f>SUM(L1204:L1228)</f>
        <v/>
      </c>
      <c r="M1229" s="17">
        <f>SUM(M1204:M1228)</f>
        <v/>
      </c>
      <c r="N1229" s="17" t="n"/>
      <c r="O1229" s="17" t="n"/>
      <c r="P1229" s="17">
        <f>SUM(P1204:P1228)</f>
        <v/>
      </c>
      <c r="Q1229" s="17">
        <f>SUM(Q1204:Q1228)</f>
        <v/>
      </c>
      <c r="R1229" s="279" t="n"/>
      <c r="S1229" s="17" t="n"/>
    </row>
    <row r="1230" ht="22.2" customHeight="1" s="330">
      <c r="A1230" s="4" t="n"/>
      <c r="E1230" s="4" t="n"/>
      <c r="F1230" s="4" t="n"/>
      <c r="G1230" s="17" t="inlineStr">
        <is>
          <t>รวมจำนวนชั่วโมงสอนคาบต่อสับดาห์</t>
        </is>
      </c>
      <c r="H1230" s="467" t="n"/>
      <c r="I1230" s="467" t="n"/>
      <c r="J1230" s="467" t="n"/>
      <c r="K1230" s="362" t="n"/>
      <c r="L1230" s="17">
        <f>L1229+M1229</f>
        <v/>
      </c>
      <c r="M1230" s="362" t="n"/>
      <c r="N1230" s="298" t="n"/>
      <c r="O1230" s="17" t="n"/>
      <c r="P1230" s="17">
        <f>P1229+Q1229</f>
        <v/>
      </c>
      <c r="Q1230" s="362" t="n"/>
      <c r="R1230" s="278" t="n"/>
      <c r="S1230" s="276" t="n"/>
    </row>
    <row r="1231" ht="22.2" customHeight="1" s="330">
      <c r="A1231" s="4" t="n"/>
      <c r="E1231" s="4" t="n"/>
      <c r="F1231" s="4" t="n"/>
      <c r="G1231" s="17" t="inlineStr">
        <is>
          <t>จำนวนชั่วโมงสอนตามภาระงานสอน</t>
        </is>
      </c>
      <c r="H1231" s="467" t="n"/>
      <c r="I1231" s="467" t="n"/>
      <c r="J1231" s="467" t="n"/>
      <c r="K1231" s="362" t="n"/>
      <c r="L1231" s="252" t="n">
        <v>18</v>
      </c>
      <c r="M1231" s="252" t="inlineStr">
        <is>
          <t>ปวช.</t>
        </is>
      </c>
      <c r="N1231" s="252" t="n"/>
      <c r="O1231" s="252" t="n"/>
      <c r="P1231" s="252" t="n"/>
      <c r="Q1231" s="252" t="inlineStr">
        <is>
          <t>ปวส.</t>
        </is>
      </c>
      <c r="R1231" s="249" t="n"/>
      <c r="S1231" s="252" t="n"/>
    </row>
    <row r="1232" ht="22.2" customHeight="1" s="330" thickBot="1">
      <c r="A1232" s="4" t="n"/>
      <c r="E1232" s="4" t="n"/>
      <c r="F1232" s="15" t="n"/>
      <c r="G1232" s="17" t="inlineStr">
        <is>
          <t>จำนวนชั่วโมงบิกเกินภาระงานสอน/ค่าสอน</t>
        </is>
      </c>
      <c r="H1232" s="467" t="n"/>
      <c r="I1232" s="467" t="n"/>
      <c r="J1232" s="467" t="n"/>
      <c r="K1232" s="362" t="n"/>
      <c r="L1232" s="18" t="n">
        <v>0</v>
      </c>
      <c r="M1232" s="18">
        <f>SUM(M1204:M1228)</f>
        <v/>
      </c>
      <c r="N1232" s="18" t="n"/>
      <c r="O1232" s="18">
        <f>SUM(O1204:O1228)</f>
        <v/>
      </c>
      <c r="P1232" s="18" t="n">
        <v>0</v>
      </c>
      <c r="Q1232" s="18">
        <f>SUM(Q1204:Q1228)</f>
        <v/>
      </c>
      <c r="R1232" s="19" t="n"/>
      <c r="S1232" s="18">
        <f>SUM(S1204:S1228)</f>
        <v/>
      </c>
    </row>
    <row r="1233" ht="22.2" customHeight="1" s="330" thickTop="1">
      <c r="A1233" s="299" t="inlineStr">
        <is>
          <t>รวมจำนวนหน่วยชั่วโมงที่ขอเบิกค่าสอน ….</t>
        </is>
      </c>
      <c r="B1233" s="467" t="n"/>
      <c r="C1233" s="467" t="n"/>
      <c r="D1233" s="467" t="n"/>
      <c r="E1233" s="467" t="n"/>
      <c r="F1233" s="467" t="n"/>
      <c r="G1233" s="467" t="n"/>
      <c r="H1233" s="298">
        <f>M1232+Q1232</f>
        <v/>
      </c>
      <c r="I1233" s="298" t="inlineStr">
        <is>
          <t>….ชั่วโมง</t>
        </is>
      </c>
      <c r="J1233" s="298" t="n"/>
      <c r="K1233" s="301" t="inlineStr">
        <is>
          <t>ยอดเงินรวม</t>
        </is>
      </c>
      <c r="L1233" s="471" t="n"/>
      <c r="M1233" s="471" t="n"/>
      <c r="N1233" s="301" t="n"/>
      <c r="O1233" s="301" t="n"/>
      <c r="P1233" s="302">
        <f>S1232+O1232</f>
        <v/>
      </c>
      <c r="Q1233" s="482" t="n"/>
      <c r="R1233" s="21" t="n"/>
      <c r="S1233" s="20" t="inlineStr">
        <is>
          <t>..บาท</t>
        </is>
      </c>
    </row>
    <row r="1234" ht="22.2" customHeight="1" s="330">
      <c r="A1234" s="207" t="inlineStr">
        <is>
          <t>ผู้ขอเบิก</t>
        </is>
      </c>
      <c r="B1234" s="334" t="n"/>
      <c r="C1234" s="334" t="n"/>
      <c r="D1234" s="334" t="n"/>
      <c r="E1234" s="334" t="n"/>
      <c r="F1234" s="334" t="n"/>
      <c r="G1234" s="335" t="n"/>
      <c r="H1234" s="207" t="inlineStr">
        <is>
          <t>ผู้รับรอง</t>
        </is>
      </c>
      <c r="I1234" s="334" t="n"/>
      <c r="J1234" s="334" t="n"/>
      <c r="K1234" s="334" t="n"/>
      <c r="L1234" s="335" t="n"/>
      <c r="M1234" s="207" t="inlineStr">
        <is>
          <t>ผู้ตรวจ</t>
        </is>
      </c>
      <c r="N1234" s="334" t="n"/>
      <c r="O1234" s="334" t="n"/>
      <c r="P1234" s="334" t="n"/>
      <c r="Q1234" s="334" t="n"/>
      <c r="R1234" s="334" t="n"/>
      <c r="S1234" s="335" t="n"/>
    </row>
    <row r="1235" ht="22.2" customHeight="1" s="330">
      <c r="A1235" s="252" t="inlineStr">
        <is>
          <t>ลงชื่อ……………………………………………</t>
        </is>
      </c>
      <c r="G1235" s="331" t="n"/>
      <c r="H1235" s="252" t="inlineStr">
        <is>
          <t>ลงชื่อ……………………………………………</t>
        </is>
      </c>
      <c r="L1235" s="331" t="n"/>
      <c r="M1235" s="252" t="inlineStr">
        <is>
          <t>ลงชื่อ……………………………………………</t>
        </is>
      </c>
      <c r="S1235" s="331" t="n"/>
    </row>
    <row r="1236" ht="22.2" customHeight="1" s="330">
      <c r="A1236" s="12" t="inlineStr">
        <is>
          <t>(</t>
        </is>
      </c>
      <c r="B1236" s="309">
        <f>AB27</f>
        <v/>
      </c>
      <c r="G1236" s="310" t="inlineStr">
        <is>
          <t>)</t>
        </is>
      </c>
      <c r="H1236" s="309" t="inlineStr">
        <is>
          <t>(</t>
        </is>
      </c>
      <c r="I1236" s="314" t="inlineStr">
        <is>
          <t>นายไพรัช  อินทุรัตน์</t>
        </is>
      </c>
      <c r="L1236" s="13" t="inlineStr">
        <is>
          <t>)</t>
        </is>
      </c>
      <c r="M1236" s="61" t="inlineStr">
        <is>
          <t>(</t>
        </is>
      </c>
      <c r="N1236" s="61" t="n"/>
      <c r="O1236" s="309" t="inlineStr">
        <is>
          <t>นายพิสุทธิศักดิ์  กล่อมนาค</t>
        </is>
      </c>
      <c r="R1236" s="29" t="n"/>
      <c r="S1236" s="310" t="inlineStr">
        <is>
          <t>)</t>
        </is>
      </c>
    </row>
    <row r="1237" ht="22.2" customHeight="1" s="330">
      <c r="A1237" s="483" t="inlineStr">
        <is>
          <t xml:space="preserve">                 ตำแหน่ง  ครูพิเศษ</t>
        </is>
      </c>
      <c r="G1237" s="331" t="n"/>
      <c r="H1237" s="62" t="inlineStr">
        <is>
          <t>ตำแหน่ง หัวหน้าแผนก</t>
        </is>
      </c>
      <c r="L1237" s="331" t="n"/>
      <c r="M1237" s="62" t="inlineStr">
        <is>
          <t>ตำแหน่ง   ผู้ตรวจสอบ</t>
        </is>
      </c>
      <c r="S1237" s="331" t="n"/>
    </row>
    <row r="1238" ht="22.2" customHeight="1" s="330">
      <c r="A1238" s="63">
        <f>A41</f>
        <v/>
      </c>
      <c r="B1238" s="471" t="n"/>
      <c r="C1238" s="471" t="n"/>
      <c r="D1238" s="471" t="n"/>
      <c r="E1238" s="471" t="n"/>
      <c r="F1238" s="471" t="n"/>
      <c r="G1238" s="476" t="n"/>
      <c r="H1238" s="62">
        <f>A41</f>
        <v/>
      </c>
      <c r="L1238" s="331" t="n"/>
      <c r="M1238" s="63">
        <f>A41</f>
        <v/>
      </c>
      <c r="N1238" s="471" t="n"/>
      <c r="O1238" s="471" t="n"/>
      <c r="P1238" s="471" t="n"/>
      <c r="Q1238" s="471" t="n"/>
      <c r="R1238" s="471" t="n"/>
      <c r="S1238" s="476" t="n"/>
    </row>
    <row r="1239" ht="22.2" customHeight="1" s="330">
      <c r="A1239" s="207" t="inlineStr">
        <is>
          <t>ผู้ตรวจ</t>
        </is>
      </c>
      <c r="B1239" s="334" t="n"/>
      <c r="C1239" s="334" t="n"/>
      <c r="D1239" s="334" t="n"/>
      <c r="E1239" s="334" t="n"/>
      <c r="F1239" s="334" t="n"/>
      <c r="G1239" s="334" t="n"/>
      <c r="H1239" s="334" t="n"/>
      <c r="I1239" s="335" t="n"/>
      <c r="J1239" s="207" t="inlineStr">
        <is>
          <t>ผู้เห็นชอบ</t>
        </is>
      </c>
      <c r="K1239" s="334" t="n"/>
      <c r="L1239" s="334" t="n"/>
      <c r="M1239" s="334" t="n"/>
      <c r="N1239" s="334" t="n"/>
      <c r="O1239" s="334" t="n"/>
      <c r="P1239" s="334" t="n"/>
      <c r="Q1239" s="334" t="n"/>
      <c r="R1239" s="334" t="n"/>
      <c r="S1239" s="335" t="n"/>
    </row>
    <row r="1240" ht="22.2" customHeight="1" s="330">
      <c r="A1240" s="252" t="inlineStr">
        <is>
          <t>ลงชื่อ……………………………………………</t>
        </is>
      </c>
      <c r="I1240" s="331" t="n"/>
      <c r="J1240" s="252" t="inlineStr">
        <is>
          <t>ลงชื่อ……………………………………………</t>
        </is>
      </c>
      <c r="S1240" s="331" t="n"/>
    </row>
    <row r="1241" ht="22.2" customHeight="1" s="330">
      <c r="A1241" s="12" t="n"/>
      <c r="B1241" s="309" t="inlineStr">
        <is>
          <t xml:space="preserve">          (นางศิวรักษ์   บุญประเสริฐ)</t>
        </is>
      </c>
      <c r="I1241" s="310" t="n"/>
      <c r="J1241" s="29" t="n"/>
      <c r="K1241" s="29" t="n"/>
      <c r="L1241" s="309" t="inlineStr">
        <is>
          <t>(นายปรีชา  โพธิ์เกิด)</t>
        </is>
      </c>
      <c r="R1241" s="29" t="n"/>
      <c r="S1241" s="13" t="n"/>
    </row>
    <row r="1242" ht="22.2" customHeight="1" s="330">
      <c r="A1242" s="62" t="inlineStr">
        <is>
          <t>ตำแหน่งครู  หัวหน้างานพัฒนาหลักสูตร ฯ</t>
        </is>
      </c>
      <c r="I1242" s="331" t="n"/>
      <c r="J1242" s="62" t="inlineStr">
        <is>
          <t>ตำแหน่ง  รองผู้อำนวยการฝ่ายวิชาการ</t>
        </is>
      </c>
      <c r="S1242" s="331" t="n"/>
    </row>
    <row r="1243" ht="22.2" customHeight="1" s="330">
      <c r="A1243" s="63">
        <f>A41</f>
        <v/>
      </c>
      <c r="B1243" s="471" t="n"/>
      <c r="C1243" s="471" t="n"/>
      <c r="D1243" s="471" t="n"/>
      <c r="E1243" s="471" t="n"/>
      <c r="F1243" s="471" t="n"/>
      <c r="G1243" s="471" t="n"/>
      <c r="H1243" s="471" t="n"/>
      <c r="I1243" s="476" t="n"/>
      <c r="J1243" s="63">
        <f>A41</f>
        <v/>
      </c>
      <c r="K1243" s="471" t="n"/>
      <c r="L1243" s="471" t="n"/>
      <c r="M1243" s="471" t="n"/>
      <c r="N1243" s="471" t="n"/>
      <c r="O1243" s="471" t="n"/>
      <c r="P1243" s="471" t="n"/>
      <c r="Q1243" s="471" t="n"/>
      <c r="R1243" s="471" t="n"/>
      <c r="S1243" s="476" t="n"/>
    </row>
  </sheetData>
  <mergeCells count="2172">
    <mergeCell ref="H451:L451"/>
    <mergeCell ref="H961:L961"/>
    <mergeCell ref="P496:Q496"/>
    <mergeCell ref="J933:K933"/>
    <mergeCell ref="M221:S221"/>
    <mergeCell ref="AH27:AJ27"/>
    <mergeCell ref="J288:K288"/>
    <mergeCell ref="J207:K207"/>
    <mergeCell ref="L263:M263"/>
    <mergeCell ref="B1005:F1005"/>
    <mergeCell ref="J5:K6"/>
    <mergeCell ref="J824:S824"/>
    <mergeCell ref="B734:H734"/>
    <mergeCell ref="J1147:S1147"/>
    <mergeCell ref="J934:K934"/>
    <mergeCell ref="J928:K928"/>
    <mergeCell ref="J805:K805"/>
    <mergeCell ref="AH22:AJ22"/>
    <mergeCell ref="J963:S963"/>
    <mergeCell ref="H593:L593"/>
    <mergeCell ref="N785:O785"/>
    <mergeCell ref="O269:Q269"/>
    <mergeCell ref="A776:G776"/>
    <mergeCell ref="K1233:M1233"/>
    <mergeCell ref="B882:D882"/>
    <mergeCell ref="G492:K492"/>
    <mergeCell ref="J347:K347"/>
    <mergeCell ref="P1183:Q1183"/>
    <mergeCell ref="K1048:M1048"/>
    <mergeCell ref="A963:I963"/>
    <mergeCell ref="A1199:C1199"/>
    <mergeCell ref="J349:K349"/>
    <mergeCell ref="P511:Q511"/>
    <mergeCell ref="J981:K981"/>
    <mergeCell ref="L412:Q412"/>
    <mergeCell ref="J518:K518"/>
    <mergeCell ref="H911:L911"/>
    <mergeCell ref="P542:Q542"/>
    <mergeCell ref="J947:K947"/>
    <mergeCell ref="L741:M741"/>
    <mergeCell ref="A83:G83"/>
    <mergeCell ref="J344:K344"/>
    <mergeCell ref="J520:K520"/>
    <mergeCell ref="A186:S186"/>
    <mergeCell ref="J976:K976"/>
    <mergeCell ref="J375:K375"/>
    <mergeCell ref="G539:K539"/>
    <mergeCell ref="B1051:F1051"/>
    <mergeCell ref="P141:Q141"/>
    <mergeCell ref="J1193:S1193"/>
    <mergeCell ref="J246:K246"/>
    <mergeCell ref="J459:S459"/>
    <mergeCell ref="J675:K675"/>
    <mergeCell ref="I453:K453"/>
    <mergeCell ref="J973:K973"/>
    <mergeCell ref="P1202:Q1202"/>
    <mergeCell ref="P143:Q143"/>
    <mergeCell ref="J248:K248"/>
    <mergeCell ref="A45:I45"/>
    <mergeCell ref="J975:K975"/>
    <mergeCell ref="L1092:M1092"/>
    <mergeCell ref="J1029:K1029"/>
    <mergeCell ref="L642:Q642"/>
    <mergeCell ref="M914:S914"/>
    <mergeCell ref="B606:D606"/>
    <mergeCell ref="M313:S313"/>
    <mergeCell ref="O683:Q683"/>
    <mergeCell ref="A1190:G1190"/>
    <mergeCell ref="F925:G925"/>
    <mergeCell ref="H1003:L1003"/>
    <mergeCell ref="M911:S911"/>
    <mergeCell ref="J747:K747"/>
    <mergeCell ref="H787:H788"/>
    <mergeCell ref="J180:S180"/>
    <mergeCell ref="J1176:K1176"/>
    <mergeCell ref="J292:K292"/>
    <mergeCell ref="J286:K286"/>
    <mergeCell ref="J302:K302"/>
    <mergeCell ref="N877:O877"/>
    <mergeCell ref="A732:I732"/>
    <mergeCell ref="A275:I275"/>
    <mergeCell ref="B550:H550"/>
    <mergeCell ref="J287:K287"/>
    <mergeCell ref="I499:K499"/>
    <mergeCell ref="J1073:K1073"/>
    <mergeCell ref="J14:K14"/>
    <mergeCell ref="J610:K610"/>
    <mergeCell ref="AH9:AJ9"/>
    <mergeCell ref="AE8:AG8"/>
    <mergeCell ref="I223:K223"/>
    <mergeCell ref="A450:G450"/>
    <mergeCell ref="J1075:K1075"/>
    <mergeCell ref="J618:K618"/>
    <mergeCell ref="J1202:K1203"/>
    <mergeCell ref="AE10:AG10"/>
    <mergeCell ref="AH11:AJ11"/>
    <mergeCell ref="J15:K15"/>
    <mergeCell ref="J1068:K1068"/>
    <mergeCell ref="G494:K494"/>
    <mergeCell ref="H129:L129"/>
    <mergeCell ref="M1003:S1003"/>
    <mergeCell ref="A589:G589"/>
    <mergeCell ref="J51:K52"/>
    <mergeCell ref="B695:D695"/>
    <mergeCell ref="G34:K34"/>
    <mergeCell ref="L1045:M1045"/>
    <mergeCell ref="H727:L727"/>
    <mergeCell ref="A962:I962"/>
    <mergeCell ref="A501:G501"/>
    <mergeCell ref="A279:C279"/>
    <mergeCell ref="F509:G509"/>
    <mergeCell ref="J974:K974"/>
    <mergeCell ref="J1215:K1215"/>
    <mergeCell ref="P264:Q264"/>
    <mergeCell ref="A592:G592"/>
    <mergeCell ref="B315:F315"/>
    <mergeCell ref="AE21:AG21"/>
    <mergeCell ref="L1061:M1061"/>
    <mergeCell ref="J244:K244"/>
    <mergeCell ref="J1119:K1119"/>
    <mergeCell ref="J700:K700"/>
    <mergeCell ref="A690:I690"/>
    <mergeCell ref="AE23:AG23"/>
    <mergeCell ref="L1063:M1063"/>
    <mergeCell ref="J28:K28"/>
    <mergeCell ref="O591:Q591"/>
    <mergeCell ref="L3:M3"/>
    <mergeCell ref="A1060:S1060"/>
    <mergeCell ref="J272:S272"/>
    <mergeCell ref="A819:G819"/>
    <mergeCell ref="L5:M5"/>
    <mergeCell ref="P1015:Q1015"/>
    <mergeCell ref="B281:D281"/>
    <mergeCell ref="A599:S599"/>
    <mergeCell ref="K358:M358"/>
    <mergeCell ref="J384:K384"/>
    <mergeCell ref="M129:S129"/>
    <mergeCell ref="A87:G87"/>
    <mergeCell ref="P125:Q125"/>
    <mergeCell ref="J989:K989"/>
    <mergeCell ref="J255:K255"/>
    <mergeCell ref="M638:S638"/>
    <mergeCell ref="K956:M956"/>
    <mergeCell ref="B913:F913"/>
    <mergeCell ref="H684:L684"/>
    <mergeCell ref="B642:H642"/>
    <mergeCell ref="J982:K982"/>
    <mergeCell ref="J842:K842"/>
    <mergeCell ref="M727:S727"/>
    <mergeCell ref="J713:K713"/>
    <mergeCell ref="G217:K217"/>
    <mergeCell ref="J511:K512"/>
    <mergeCell ref="J110:K110"/>
    <mergeCell ref="H1098:L1098"/>
    <mergeCell ref="H501:L501"/>
    <mergeCell ref="J715:K715"/>
    <mergeCell ref="M1238:S1238"/>
    <mergeCell ref="L356:M356"/>
    <mergeCell ref="H38:L38"/>
    <mergeCell ref="A961:G961"/>
    <mergeCell ref="A542:G542"/>
    <mergeCell ref="Z27:AA27"/>
    <mergeCell ref="B790:D790"/>
    <mergeCell ref="G400:K400"/>
    <mergeCell ref="H40:L40"/>
    <mergeCell ref="J1069:K1069"/>
    <mergeCell ref="A544:G544"/>
    <mergeCell ref="J99:K99"/>
    <mergeCell ref="G402:K402"/>
    <mergeCell ref="J397:K397"/>
    <mergeCell ref="A1107:C1107"/>
    <mergeCell ref="A414:I414"/>
    <mergeCell ref="J1071:K1071"/>
    <mergeCell ref="P1233:Q1233"/>
    <mergeCell ref="Z22:AA22"/>
    <mergeCell ref="AE6:AG6"/>
    <mergeCell ref="J101:K101"/>
    <mergeCell ref="J1160:K1160"/>
    <mergeCell ref="A1054:I1054"/>
    <mergeCell ref="J100:K100"/>
    <mergeCell ref="B872:H872"/>
    <mergeCell ref="F601:G601"/>
    <mergeCell ref="J1066:K1066"/>
    <mergeCell ref="A1055:I1055"/>
    <mergeCell ref="G32:K32"/>
    <mergeCell ref="J1101:S1101"/>
    <mergeCell ref="M37:S37"/>
    <mergeCell ref="H97:H98"/>
    <mergeCell ref="O407:Q407"/>
    <mergeCell ref="J29:K29"/>
    <mergeCell ref="J1082:K1082"/>
    <mergeCell ref="P51:Q51"/>
    <mergeCell ref="A588:G588"/>
    <mergeCell ref="G630:K630"/>
    <mergeCell ref="J1213:K1213"/>
    <mergeCell ref="M1098:S1098"/>
    <mergeCell ref="AE17:AG17"/>
    <mergeCell ref="P954:Q954"/>
    <mergeCell ref="M38:S38"/>
    <mergeCell ref="J1084:K1084"/>
    <mergeCell ref="J329:K329"/>
    <mergeCell ref="G632:K632"/>
    <mergeCell ref="J627:K627"/>
    <mergeCell ref="P649:Q649"/>
    <mergeCell ref="AE19:AG19"/>
    <mergeCell ref="J481:K481"/>
    <mergeCell ref="J552:S552"/>
    <mergeCell ref="M1004:S1004"/>
    <mergeCell ref="J24:K24"/>
    <mergeCell ref="J1208:K1208"/>
    <mergeCell ref="P680:Q680"/>
    <mergeCell ref="L1183:M1183"/>
    <mergeCell ref="J1085:K1085"/>
    <mergeCell ref="J26:K26"/>
    <mergeCell ref="L126:M126"/>
    <mergeCell ref="N601:O601"/>
    <mergeCell ref="A43:I43"/>
    <mergeCell ref="J482:K482"/>
    <mergeCell ref="P1094:Q1094"/>
    <mergeCell ref="A914:G914"/>
    <mergeCell ref="B1189:F1189"/>
    <mergeCell ref="J813:K813"/>
    <mergeCell ref="I591:K591"/>
    <mergeCell ref="J807:K807"/>
    <mergeCell ref="J1111:K1111"/>
    <mergeCell ref="J350:K350"/>
    <mergeCell ref="J386:K386"/>
    <mergeCell ref="A738:S738"/>
    <mergeCell ref="J352:K352"/>
    <mergeCell ref="J711:K711"/>
    <mergeCell ref="I407:K407"/>
    <mergeCell ref="L1202:M1202"/>
    <mergeCell ref="L780:Q780"/>
    <mergeCell ref="P693:Q693"/>
    <mergeCell ref="B419:D419"/>
    <mergeCell ref="K680:M680"/>
    <mergeCell ref="M451:S451"/>
    <mergeCell ref="A1003:G1003"/>
    <mergeCell ref="P726:Q726"/>
    <mergeCell ref="P263:Q263"/>
    <mergeCell ref="J70:K70"/>
    <mergeCell ref="J235:K236"/>
    <mergeCell ref="K1094:M1094"/>
    <mergeCell ref="J63:K63"/>
    <mergeCell ref="H925:H926"/>
    <mergeCell ref="AB49:AD49"/>
    <mergeCell ref="J422:K422"/>
    <mergeCell ref="J1166:K1166"/>
    <mergeCell ref="J851:K851"/>
    <mergeCell ref="J833:K834"/>
    <mergeCell ref="B743:D743"/>
    <mergeCell ref="J424:K424"/>
    <mergeCell ref="H823:L823"/>
    <mergeCell ref="J1037:K1037"/>
    <mergeCell ref="L1230:M1230"/>
    <mergeCell ref="J853:K853"/>
    <mergeCell ref="AB50:AD50"/>
    <mergeCell ref="O499:Q499"/>
    <mergeCell ref="A870:I870"/>
    <mergeCell ref="G1185:K1185"/>
    <mergeCell ref="Z9:AA9"/>
    <mergeCell ref="A784:S784"/>
    <mergeCell ref="H362:L362"/>
    <mergeCell ref="P1046:Q1046"/>
    <mergeCell ref="I637:K637"/>
    <mergeCell ref="Z11:AA11"/>
    <mergeCell ref="J421:K421"/>
    <mergeCell ref="G724:K724"/>
    <mergeCell ref="J579:K579"/>
    <mergeCell ref="P923:Q923"/>
    <mergeCell ref="J755:K755"/>
    <mergeCell ref="B223:F223"/>
    <mergeCell ref="J152:K152"/>
    <mergeCell ref="J748:K748"/>
    <mergeCell ref="J1177:K1177"/>
    <mergeCell ref="A135:I135"/>
    <mergeCell ref="J750:K750"/>
    <mergeCell ref="J1100:S1100"/>
    <mergeCell ref="J1204:K1204"/>
    <mergeCell ref="J1179:K1179"/>
    <mergeCell ref="J147:K147"/>
    <mergeCell ref="O131:Q131"/>
    <mergeCell ref="A727:G727"/>
    <mergeCell ref="H409:L409"/>
    <mergeCell ref="P678:Q678"/>
    <mergeCell ref="H235:H236"/>
    <mergeCell ref="O729:Q729"/>
    <mergeCell ref="J468:K468"/>
    <mergeCell ref="P373:Q373"/>
    <mergeCell ref="A417:C417"/>
    <mergeCell ref="P33:Q33"/>
    <mergeCell ref="L511:M511"/>
    <mergeCell ref="H1049:L1049"/>
    <mergeCell ref="J163:K163"/>
    <mergeCell ref="M823:S823"/>
    <mergeCell ref="J294:K294"/>
    <mergeCell ref="A1238:G1238"/>
    <mergeCell ref="J365:S365"/>
    <mergeCell ref="J890:K890"/>
    <mergeCell ref="A364:I364"/>
    <mergeCell ref="J165:K165"/>
    <mergeCell ref="A1239:I1239"/>
    <mergeCell ref="J382:K382"/>
    <mergeCell ref="L872:Q872"/>
    <mergeCell ref="J892:K892"/>
    <mergeCell ref="J811:K811"/>
    <mergeCell ref="AB2:AD2"/>
    <mergeCell ref="J77:K77"/>
    <mergeCell ref="J348:K348"/>
    <mergeCell ref="J1223:K1223"/>
    <mergeCell ref="L264:M264"/>
    <mergeCell ref="A1240:I1240"/>
    <mergeCell ref="A181:I181"/>
    <mergeCell ref="M820:S820"/>
    <mergeCell ref="L141:M141"/>
    <mergeCell ref="J522:K522"/>
    <mergeCell ref="J735:S735"/>
    <mergeCell ref="A505:I505"/>
    <mergeCell ref="J524:K524"/>
    <mergeCell ref="M409:S409"/>
    <mergeCell ref="B780:H780"/>
    <mergeCell ref="J61:K61"/>
    <mergeCell ref="A876:S876"/>
    <mergeCell ref="H175:L175"/>
    <mergeCell ref="A1098:G1098"/>
    <mergeCell ref="M1049:S1049"/>
    <mergeCell ref="J1122:K1122"/>
    <mergeCell ref="L125:M125"/>
    <mergeCell ref="B741:D741"/>
    <mergeCell ref="P831:Q831"/>
    <mergeCell ref="A38:G38"/>
    <mergeCell ref="J519:K519"/>
    <mergeCell ref="AB48:AD48"/>
    <mergeCell ref="P404:Q404"/>
    <mergeCell ref="H176:L176"/>
    <mergeCell ref="Z7:AA7"/>
    <mergeCell ref="A40:G40"/>
    <mergeCell ref="A680:G680"/>
    <mergeCell ref="G538:K538"/>
    <mergeCell ref="J1192:S1192"/>
    <mergeCell ref="J664:K664"/>
    <mergeCell ref="H178:L178"/>
    <mergeCell ref="L310:M310"/>
    <mergeCell ref="G540:K540"/>
    <mergeCell ref="J237:K237"/>
    <mergeCell ref="Z8:AA8"/>
    <mergeCell ref="J535:K535"/>
    <mergeCell ref="J1173:K1173"/>
    <mergeCell ref="Z2:AA2"/>
    <mergeCell ref="G1136:K1136"/>
    <mergeCell ref="F141:G141"/>
    <mergeCell ref="P1045:Q1045"/>
    <mergeCell ref="A736:I736"/>
    <mergeCell ref="J239:K239"/>
    <mergeCell ref="J537:K537"/>
    <mergeCell ref="J1175:K1175"/>
    <mergeCell ref="J118:K118"/>
    <mergeCell ref="A1192:I1192"/>
    <mergeCell ref="O637:Q637"/>
    <mergeCell ref="F739:G739"/>
    <mergeCell ref="A1106:S1106"/>
    <mergeCell ref="I775:K775"/>
    <mergeCell ref="F741:G741"/>
    <mergeCell ref="P1061:Q1061"/>
    <mergeCell ref="F1153:G1153"/>
    <mergeCell ref="M175:S175"/>
    <mergeCell ref="J563:K563"/>
    <mergeCell ref="J167:K167"/>
    <mergeCell ref="G768:K768"/>
    <mergeCell ref="A726:G726"/>
    <mergeCell ref="J894:K894"/>
    <mergeCell ref="J932:K932"/>
    <mergeCell ref="J888:K888"/>
    <mergeCell ref="H133:L133"/>
    <mergeCell ref="M176:S176"/>
    <mergeCell ref="G770:K770"/>
    <mergeCell ref="P787:Q787"/>
    <mergeCell ref="J690:S690"/>
    <mergeCell ref="J162:K162"/>
    <mergeCell ref="L51:M51"/>
    <mergeCell ref="H547:L547"/>
    <mergeCell ref="AH13:AJ13"/>
    <mergeCell ref="P818:Q818"/>
    <mergeCell ref="L954:M954"/>
    <mergeCell ref="J164:K164"/>
    <mergeCell ref="H1109:H1110"/>
    <mergeCell ref="A739:C739"/>
    <mergeCell ref="G909:K909"/>
    <mergeCell ref="B836:D836"/>
    <mergeCell ref="P171:Q171"/>
    <mergeCell ref="L649:M649"/>
    <mergeCell ref="J616:K616"/>
    <mergeCell ref="F785:G785"/>
    <mergeCell ref="K1186:M1186"/>
    <mergeCell ref="J372:S372"/>
    <mergeCell ref="J487:K487"/>
    <mergeCell ref="A1052:G1052"/>
    <mergeCell ref="AH8:AJ8"/>
    <mergeCell ref="H1191:L1191"/>
    <mergeCell ref="AB16:AD16"/>
    <mergeCell ref="J1214:K1214"/>
    <mergeCell ref="J410:S410"/>
    <mergeCell ref="AH10:AJ10"/>
    <mergeCell ref="AB9:AD9"/>
    <mergeCell ref="J609:K609"/>
    <mergeCell ref="J945:K945"/>
    <mergeCell ref="J146:K146"/>
    <mergeCell ref="G449:K449"/>
    <mergeCell ref="J488:K488"/>
    <mergeCell ref="A503:I503"/>
    <mergeCell ref="J1008:S1008"/>
    <mergeCell ref="AB11:AD11"/>
    <mergeCell ref="J515:K515"/>
    <mergeCell ref="J92:S92"/>
    <mergeCell ref="I545:K545"/>
    <mergeCell ref="B557:D557"/>
    <mergeCell ref="J331:K331"/>
    <mergeCell ref="I1143:K1143"/>
    <mergeCell ref="J629:K629"/>
    <mergeCell ref="AH28:AJ28"/>
    <mergeCell ref="P97:Q97"/>
    <mergeCell ref="P401:Q401"/>
    <mergeCell ref="J736:S736"/>
    <mergeCell ref="J208:K208"/>
    <mergeCell ref="G79:K79"/>
    <mergeCell ref="J373:K374"/>
    <mergeCell ref="M547:S547"/>
    <mergeCell ref="AH21:AJ21"/>
    <mergeCell ref="J89:S89"/>
    <mergeCell ref="L693:M693"/>
    <mergeCell ref="J201:K201"/>
    <mergeCell ref="A823:G823"/>
    <mergeCell ref="AH23:AJ23"/>
    <mergeCell ref="O39:Q39"/>
    <mergeCell ref="A179:G179"/>
    <mergeCell ref="J971:K972"/>
    <mergeCell ref="L596:Q596"/>
    <mergeCell ref="J203:K203"/>
    <mergeCell ref="B881:D881"/>
    <mergeCell ref="K174:M174"/>
    <mergeCell ref="A89:I89"/>
    <mergeCell ref="H1202:H1203"/>
    <mergeCell ref="J259:K259"/>
    <mergeCell ref="A818:G818"/>
    <mergeCell ref="H957:L957"/>
    <mergeCell ref="H500:L500"/>
    <mergeCell ref="B458:H458"/>
    <mergeCell ref="P1184:Q1184"/>
    <mergeCell ref="J261:K261"/>
    <mergeCell ref="H741:H742"/>
    <mergeCell ref="J559:K559"/>
    <mergeCell ref="A820:G820"/>
    <mergeCell ref="G862:K862"/>
    <mergeCell ref="F5:G5"/>
    <mergeCell ref="J254:K254"/>
    <mergeCell ref="M270:S270"/>
    <mergeCell ref="J561:K561"/>
    <mergeCell ref="J859:K859"/>
    <mergeCell ref="P126:Q126"/>
    <mergeCell ref="J256:K256"/>
    <mergeCell ref="A229:I229"/>
    <mergeCell ref="F877:G877"/>
    <mergeCell ref="A409:G409"/>
    <mergeCell ref="J502:S502"/>
    <mergeCell ref="M497:S497"/>
    <mergeCell ref="P816:Q816"/>
    <mergeCell ref="H373:H374"/>
    <mergeCell ref="A404:G404"/>
    <mergeCell ref="H1187:L1187"/>
    <mergeCell ref="G906:K906"/>
    <mergeCell ref="J281:K282"/>
    <mergeCell ref="J432:K432"/>
    <mergeCell ref="B191:D191"/>
    <mergeCell ref="J503:S503"/>
    <mergeCell ref="H271:L271"/>
    <mergeCell ref="P1230:Q1230"/>
    <mergeCell ref="AH6:AJ6"/>
    <mergeCell ref="L678:M678"/>
    <mergeCell ref="G908:K908"/>
    <mergeCell ref="J941:K941"/>
    <mergeCell ref="J1212:K1212"/>
    <mergeCell ref="M957:S957"/>
    <mergeCell ref="L373:M373"/>
    <mergeCell ref="L1010:Q1010"/>
    <mergeCell ref="J1030:K1030"/>
    <mergeCell ref="L33:M33"/>
    <mergeCell ref="A130:G130"/>
    <mergeCell ref="B649:D649"/>
    <mergeCell ref="H869:L869"/>
    <mergeCell ref="B192:D192"/>
    <mergeCell ref="J486:K486"/>
    <mergeCell ref="A916:I916"/>
    <mergeCell ref="A132:G132"/>
    <mergeCell ref="P493:Q493"/>
    <mergeCell ref="J300:K300"/>
    <mergeCell ref="J644:S644"/>
    <mergeCell ref="M639:S639"/>
    <mergeCell ref="H268:L268"/>
    <mergeCell ref="F1109:G1109"/>
    <mergeCell ref="G1232:K1232"/>
    <mergeCell ref="AH24:AJ24"/>
    <mergeCell ref="J879:K880"/>
    <mergeCell ref="AH17:AJ17"/>
    <mergeCell ref="J931:K931"/>
    <mergeCell ref="P953:Q953"/>
    <mergeCell ref="A644:I644"/>
    <mergeCell ref="J1083:K1083"/>
    <mergeCell ref="J626:K626"/>
    <mergeCell ref="M1099:S1099"/>
    <mergeCell ref="A643:I643"/>
    <mergeCell ref="AH19:AJ19"/>
    <mergeCell ref="J662:K662"/>
    <mergeCell ref="J199:K199"/>
    <mergeCell ref="A1014:S1014"/>
    <mergeCell ref="J628:K628"/>
    <mergeCell ref="I867:K867"/>
    <mergeCell ref="F95:G95"/>
    <mergeCell ref="B879:D879"/>
    <mergeCell ref="P969:Q969"/>
    <mergeCell ref="A176:G176"/>
    <mergeCell ref="J657:K657"/>
    <mergeCell ref="F97:G97"/>
    <mergeCell ref="P971:Q971"/>
    <mergeCell ref="A178:G178"/>
    <mergeCell ref="F693:G693"/>
    <mergeCell ref="J874:S874"/>
    <mergeCell ref="J346:K346"/>
    <mergeCell ref="M869:S869"/>
    <mergeCell ref="J340:K340"/>
    <mergeCell ref="J252:K252"/>
    <mergeCell ref="J944:K944"/>
    <mergeCell ref="J804:K804"/>
    <mergeCell ref="M268:S268"/>
    <mergeCell ref="J1109:K1110"/>
    <mergeCell ref="J341:K341"/>
    <mergeCell ref="A1145:G1145"/>
    <mergeCell ref="B1019:D1019"/>
    <mergeCell ref="J377:K377"/>
    <mergeCell ref="G861:K861"/>
    <mergeCell ref="L1046:M1046"/>
    <mergeCell ref="N49:O49"/>
    <mergeCell ref="O775:Q775"/>
    <mergeCell ref="M866:S866"/>
    <mergeCell ref="A185:S185"/>
    <mergeCell ref="H1095:L1095"/>
    <mergeCell ref="I913:K913"/>
    <mergeCell ref="G1000:K1000"/>
    <mergeCell ref="J672:K672"/>
    <mergeCell ref="F1202:G1202"/>
    <mergeCell ref="F143:G143"/>
    <mergeCell ref="P1199:Q1199"/>
    <mergeCell ref="A42:I42"/>
    <mergeCell ref="A411:I411"/>
    <mergeCell ref="A1103:I1103"/>
    <mergeCell ref="J97:K98"/>
    <mergeCell ref="J1026:K1026"/>
    <mergeCell ref="J184:S184"/>
    <mergeCell ref="J1028:K1028"/>
    <mergeCell ref="A128:G128"/>
    <mergeCell ref="G1047:K1047"/>
    <mergeCell ref="P309:Q309"/>
    <mergeCell ref="G584:K584"/>
    <mergeCell ref="A129:G129"/>
    <mergeCell ref="L787:M787"/>
    <mergeCell ref="J754:K754"/>
    <mergeCell ref="J439:K439"/>
    <mergeCell ref="K542:M542"/>
    <mergeCell ref="J510:S510"/>
    <mergeCell ref="H224:L224"/>
    <mergeCell ref="J710:K710"/>
    <mergeCell ref="J291:K291"/>
    <mergeCell ref="A1191:G1191"/>
    <mergeCell ref="J293:K293"/>
    <mergeCell ref="M1095:S1095"/>
    <mergeCell ref="A272:I272"/>
    <mergeCell ref="G587:K587"/>
    <mergeCell ref="F189:G189"/>
    <mergeCell ref="A270:G270"/>
    <mergeCell ref="J230:S230"/>
    <mergeCell ref="J11:K11"/>
    <mergeCell ref="J467:K467"/>
    <mergeCell ref="T76:X76"/>
    <mergeCell ref="B1143:F1143"/>
    <mergeCell ref="P233:Q233"/>
    <mergeCell ref="AE7:AG7"/>
    <mergeCell ref="J469:K469"/>
    <mergeCell ref="J767:K767"/>
    <mergeCell ref="J1065:K1065"/>
    <mergeCell ref="P235:Q235"/>
    <mergeCell ref="J978:K978"/>
    <mergeCell ref="B85:F85"/>
    <mergeCell ref="M685:S685"/>
    <mergeCell ref="J227:S227"/>
    <mergeCell ref="L831:M831"/>
    <mergeCell ref="A1152:S1152"/>
    <mergeCell ref="O1051:Q1051"/>
    <mergeCell ref="AE2:AG2"/>
    <mergeCell ref="L833:M833"/>
    <mergeCell ref="J339:K339"/>
    <mergeCell ref="L401:M401"/>
    <mergeCell ref="B283:D283"/>
    <mergeCell ref="P864:Q864"/>
    <mergeCell ref="H1155:H1156"/>
    <mergeCell ref="A957:G957"/>
    <mergeCell ref="A500:G500"/>
    <mergeCell ref="L1194:Q1194"/>
    <mergeCell ref="J65:K65"/>
    <mergeCell ref="H638:L638"/>
    <mergeCell ref="J480:K480"/>
    <mergeCell ref="J551:S551"/>
    <mergeCell ref="J399:K399"/>
    <mergeCell ref="J670:K670"/>
    <mergeCell ref="J697:K697"/>
    <mergeCell ref="A958:G958"/>
    <mergeCell ref="J1126:K1126"/>
    <mergeCell ref="J1120:K1120"/>
    <mergeCell ref="J392:K392"/>
    <mergeCell ref="J25:K25"/>
    <mergeCell ref="J663:K663"/>
    <mergeCell ref="J699:K699"/>
    <mergeCell ref="J997:K997"/>
    <mergeCell ref="H777:L777"/>
    <mergeCell ref="L1184:M1184"/>
    <mergeCell ref="N187:O187"/>
    <mergeCell ref="J394:K394"/>
    <mergeCell ref="J665:K665"/>
    <mergeCell ref="A1101:I1101"/>
    <mergeCell ref="P279:Q279"/>
    <mergeCell ref="L879:M879"/>
    <mergeCell ref="J1121:K1121"/>
    <mergeCell ref="F1015:G1015"/>
    <mergeCell ref="A1099:G1099"/>
    <mergeCell ref="F1017:G1017"/>
    <mergeCell ref="Z6:AA6"/>
    <mergeCell ref="G81:K81"/>
    <mergeCell ref="J640:S640"/>
    <mergeCell ref="J112:K112"/>
    <mergeCell ref="J383:K383"/>
    <mergeCell ref="M635:S635"/>
    <mergeCell ref="J839:K839"/>
    <mergeCell ref="J376:K376"/>
    <mergeCell ref="G679:K679"/>
    <mergeCell ref="J419:K420"/>
    <mergeCell ref="J534:K534"/>
    <mergeCell ref="J841:K841"/>
    <mergeCell ref="B329:D329"/>
    <mergeCell ref="J597:S597"/>
    <mergeCell ref="J107:K107"/>
    <mergeCell ref="J378:K378"/>
    <mergeCell ref="L816:M816"/>
    <mergeCell ref="L172:M172"/>
    <mergeCell ref="J712:K712"/>
    <mergeCell ref="L171:M171"/>
    <mergeCell ref="B787:D787"/>
    <mergeCell ref="H1007:L1007"/>
    <mergeCell ref="B330:D330"/>
    <mergeCell ref="A461:S461"/>
    <mergeCell ref="H37:L37"/>
    <mergeCell ref="A268:G268"/>
    <mergeCell ref="P631:Q631"/>
    <mergeCell ref="A864:G864"/>
    <mergeCell ref="B1112:D1112"/>
    <mergeCell ref="J438:K438"/>
    <mergeCell ref="J782:S782"/>
    <mergeCell ref="B177:F177"/>
    <mergeCell ref="M777:S777"/>
    <mergeCell ref="H406:L406"/>
    <mergeCell ref="J319:S319"/>
    <mergeCell ref="Z19:AA19"/>
    <mergeCell ref="A866:G866"/>
    <mergeCell ref="AE3:AG3"/>
    <mergeCell ref="J763:K763"/>
    <mergeCell ref="J8:K8"/>
    <mergeCell ref="G311:K311"/>
    <mergeCell ref="F603:G603"/>
    <mergeCell ref="J852:K852"/>
    <mergeCell ref="M1235:S1235"/>
    <mergeCell ref="J1017:K1018"/>
    <mergeCell ref="J765:K765"/>
    <mergeCell ref="J10:K10"/>
    <mergeCell ref="J606:K606"/>
    <mergeCell ref="J1221:K1221"/>
    <mergeCell ref="A456:I456"/>
    <mergeCell ref="M774:S774"/>
    <mergeCell ref="A93:S93"/>
    <mergeCell ref="J766:K766"/>
    <mergeCell ref="H546:L546"/>
    <mergeCell ref="L953:M953"/>
    <mergeCell ref="N1015:O1015"/>
    <mergeCell ref="A1050:G1050"/>
    <mergeCell ref="A371:C371"/>
    <mergeCell ref="P1107:Q1107"/>
    <mergeCell ref="A691:S691"/>
    <mergeCell ref="J607:K607"/>
    <mergeCell ref="J905:K905"/>
    <mergeCell ref="P1109:Q1109"/>
    <mergeCell ref="A316:G316"/>
    <mergeCell ref="A1193:I1193"/>
    <mergeCell ref="J1012:S1012"/>
    <mergeCell ref="M1007:S1007"/>
    <mergeCell ref="H636:L636"/>
    <mergeCell ref="AE16:AG16"/>
    <mergeCell ref="AB15:AD15"/>
    <mergeCell ref="J478:K478"/>
    <mergeCell ref="J549:S549"/>
    <mergeCell ref="J21:K21"/>
    <mergeCell ref="J1211:K1211"/>
    <mergeCell ref="L969:M969"/>
    <mergeCell ref="J1205:K1205"/>
    <mergeCell ref="AE18:AG18"/>
    <mergeCell ref="I361:K361"/>
    <mergeCell ref="J23:K23"/>
    <mergeCell ref="M406:S406"/>
    <mergeCell ref="A313:G313"/>
    <mergeCell ref="L971:M971"/>
    <mergeCell ref="J479:K479"/>
    <mergeCell ref="B1157:D1157"/>
    <mergeCell ref="J1206:K1206"/>
    <mergeCell ref="J91:S91"/>
    <mergeCell ref="L448:M448"/>
    <mergeCell ref="O913:Q913"/>
    <mergeCell ref="A3:C3"/>
    <mergeCell ref="A911:G911"/>
    <mergeCell ref="G769:K769"/>
    <mergeCell ref="A323:S323"/>
    <mergeCell ref="K450:M450"/>
    <mergeCell ref="J689:S689"/>
    <mergeCell ref="H1017:H1018"/>
    <mergeCell ref="A601:C601"/>
    <mergeCell ref="J810:K810"/>
    <mergeCell ref="J835:K835"/>
    <mergeCell ref="G1138:K1138"/>
    <mergeCell ref="M1187:S1187"/>
    <mergeCell ref="A91:I91"/>
    <mergeCell ref="M546:S546"/>
    <mergeCell ref="A180:I180"/>
    <mergeCell ref="J837:K837"/>
    <mergeCell ref="P999:Q999"/>
    <mergeCell ref="J1135:K1135"/>
    <mergeCell ref="AB28:AD28"/>
    <mergeCell ref="J103:K103"/>
    <mergeCell ref="P417:Q417"/>
    <mergeCell ref="M1144:S1144"/>
    <mergeCell ref="AB29:AD29"/>
    <mergeCell ref="J778:S778"/>
    <mergeCell ref="A2:S2"/>
    <mergeCell ref="J321:S321"/>
    <mergeCell ref="J436:K436"/>
    <mergeCell ref="J848:K848"/>
    <mergeCell ref="J919:S919"/>
    <mergeCell ref="J429:K429"/>
    <mergeCell ref="J858:K858"/>
    <mergeCell ref="L494:M494"/>
    <mergeCell ref="J850:K850"/>
    <mergeCell ref="J431:K431"/>
    <mergeCell ref="L44:Q44"/>
    <mergeCell ref="L493:M493"/>
    <mergeCell ref="F325:G325"/>
    <mergeCell ref="L309:M309"/>
    <mergeCell ref="A783:S783"/>
    <mergeCell ref="H822:L822"/>
    <mergeCell ref="B925:D925"/>
    <mergeCell ref="J1158:K1158"/>
    <mergeCell ref="H359:L359"/>
    <mergeCell ref="H1063:H1064"/>
    <mergeCell ref="F327:G327"/>
    <mergeCell ref="A408:G408"/>
    <mergeCell ref="J576:K576"/>
    <mergeCell ref="G124:K124"/>
    <mergeCell ref="J113:K113"/>
    <mergeCell ref="J149:K149"/>
    <mergeCell ref="P448:Q448"/>
    <mergeCell ref="H5:H6"/>
    <mergeCell ref="A1006:G1006"/>
    <mergeCell ref="J121:K121"/>
    <mergeCell ref="J1174:K1174"/>
    <mergeCell ref="J115:K115"/>
    <mergeCell ref="Z28:AA28"/>
    <mergeCell ref="A138:I138"/>
    <mergeCell ref="M498:S498"/>
    <mergeCell ref="J571:K571"/>
    <mergeCell ref="J150:K150"/>
    <mergeCell ref="A920:I920"/>
    <mergeCell ref="N95:O95"/>
    <mergeCell ref="J573:K573"/>
    <mergeCell ref="J116:K116"/>
    <mergeCell ref="A231:S231"/>
    <mergeCell ref="H868:L868"/>
    <mergeCell ref="N693:O693"/>
    <mergeCell ref="J477:K477"/>
    <mergeCell ref="L235:M235"/>
    <mergeCell ref="M87:S87"/>
    <mergeCell ref="A829:S829"/>
    <mergeCell ref="A638:G638"/>
    <mergeCell ref="J284:K284"/>
    <mergeCell ref="J800:K800"/>
    <mergeCell ref="J1150:S1150"/>
    <mergeCell ref="J364:S364"/>
    <mergeCell ref="M359:S359"/>
    <mergeCell ref="B237:D237"/>
    <mergeCell ref="J808:K808"/>
    <mergeCell ref="J1228:K1228"/>
    <mergeCell ref="J1220:K1220"/>
    <mergeCell ref="J801:K801"/>
    <mergeCell ref="AB26:AD26"/>
    <mergeCell ref="J76:K76"/>
    <mergeCell ref="N325:O325"/>
    <mergeCell ref="J803:K803"/>
    <mergeCell ref="M1142:S1142"/>
    <mergeCell ref="L1017:M1017"/>
    <mergeCell ref="H1188:L1188"/>
    <mergeCell ref="H454:L454"/>
    <mergeCell ref="AB27:AD27"/>
    <mergeCell ref="A1237:G1237"/>
    <mergeCell ref="N923:O923"/>
    <mergeCell ref="A774:G774"/>
    <mergeCell ref="J948:K948"/>
    <mergeCell ref="G219:K219"/>
    <mergeCell ref="J942:K942"/>
    <mergeCell ref="M868:S868"/>
    <mergeCell ref="J521:K521"/>
    <mergeCell ref="M224:S224"/>
    <mergeCell ref="L279:M279"/>
    <mergeCell ref="J673:K673"/>
    <mergeCell ref="P80:Q80"/>
    <mergeCell ref="J977:K977"/>
    <mergeCell ref="J514:K514"/>
    <mergeCell ref="G817:K817"/>
    <mergeCell ref="J943:K943"/>
    <mergeCell ref="J979:K979"/>
    <mergeCell ref="J516:K516"/>
    <mergeCell ref="A1:S1"/>
    <mergeCell ref="J460:S460"/>
    <mergeCell ref="A506:I506"/>
    <mergeCell ref="A37:G37"/>
    <mergeCell ref="I729:K729"/>
    <mergeCell ref="G448:K448"/>
    <mergeCell ref="A406:G406"/>
    <mergeCell ref="J574:K574"/>
    <mergeCell ref="A1002:G1002"/>
    <mergeCell ref="J920:S920"/>
    <mergeCell ref="M915:S915"/>
    <mergeCell ref="K818:M818"/>
    <mergeCell ref="J457:S457"/>
    <mergeCell ref="J567:K567"/>
    <mergeCell ref="A1004:G1004"/>
    <mergeCell ref="J656:K656"/>
    <mergeCell ref="M1188:S1188"/>
    <mergeCell ref="J569:K569"/>
    <mergeCell ref="M454:S454"/>
    <mergeCell ref="L631:M631"/>
    <mergeCell ref="H58:K59"/>
    <mergeCell ref="J658:K658"/>
    <mergeCell ref="J440:K440"/>
    <mergeCell ref="F465:G465"/>
    <mergeCell ref="A546:G546"/>
    <mergeCell ref="M912:S912"/>
    <mergeCell ref="F1061:G1061"/>
    <mergeCell ref="F1063:G1063"/>
    <mergeCell ref="A1144:G1144"/>
    <mergeCell ref="A509:C509"/>
    <mergeCell ref="A873:I873"/>
    <mergeCell ref="A276:I276"/>
    <mergeCell ref="J885:K885"/>
    <mergeCell ref="A1242:I1242"/>
    <mergeCell ref="J745:K745"/>
    <mergeCell ref="P907:Q907"/>
    <mergeCell ref="J1043:K1043"/>
    <mergeCell ref="J687:S687"/>
    <mergeCell ref="B361:F361"/>
    <mergeCell ref="J159:K159"/>
    <mergeCell ref="B235:D235"/>
    <mergeCell ref="A553:S553"/>
    <mergeCell ref="J153:K153"/>
    <mergeCell ref="J290:K290"/>
    <mergeCell ref="L1107:M1107"/>
    <mergeCell ref="J582:K582"/>
    <mergeCell ref="A273:I273"/>
    <mergeCell ref="L217:M217"/>
    <mergeCell ref="A451:G451"/>
    <mergeCell ref="L1109:M1109"/>
    <mergeCell ref="B833:D833"/>
    <mergeCell ref="B376:D376"/>
    <mergeCell ref="J613:K613"/>
    <mergeCell ref="P1140:Q1140"/>
    <mergeCell ref="J285:K285"/>
    <mergeCell ref="A141:C141"/>
    <mergeCell ref="J828:S828"/>
    <mergeCell ref="P49:Q49"/>
    <mergeCell ref="K588:M588"/>
    <mergeCell ref="J614:K614"/>
    <mergeCell ref="J827:S827"/>
    <mergeCell ref="J608:K608"/>
    <mergeCell ref="AH7:AJ7"/>
    <mergeCell ref="M222:S222"/>
    <mergeCell ref="J1063:K1064"/>
    <mergeCell ref="J301:K301"/>
    <mergeCell ref="J939:K939"/>
    <mergeCell ref="P1137:Q1137"/>
    <mergeCell ref="B136:H136"/>
    <mergeCell ref="B973:D973"/>
    <mergeCell ref="G815:K815"/>
    <mergeCell ref="H267:L267"/>
    <mergeCell ref="A502:I502"/>
    <mergeCell ref="N463:O463"/>
    <mergeCell ref="F49:G49"/>
    <mergeCell ref="H592:L592"/>
    <mergeCell ref="N1061:O1061"/>
    <mergeCell ref="P1153:Q1153"/>
    <mergeCell ref="A140:S140"/>
    <mergeCell ref="P1155:Q1155"/>
    <mergeCell ref="J652:K652"/>
    <mergeCell ref="G955:K955"/>
    <mergeCell ref="P95:Q95"/>
    <mergeCell ref="J986:K986"/>
    <mergeCell ref="J1057:S1057"/>
    <mergeCell ref="J654:K654"/>
    <mergeCell ref="J996:K996"/>
    <mergeCell ref="J988:K988"/>
    <mergeCell ref="A359:G359"/>
    <mergeCell ref="A1100:I1100"/>
    <mergeCell ref="L182:Q182"/>
    <mergeCell ref="J525:K525"/>
    <mergeCell ref="T104:X104"/>
    <mergeCell ref="J456:S456"/>
    <mergeCell ref="A921:S921"/>
    <mergeCell ref="J873:S873"/>
    <mergeCell ref="H497:L497"/>
    <mergeCell ref="J380:K380"/>
    <mergeCell ref="B1205:D1205"/>
    <mergeCell ref="J714:K714"/>
    <mergeCell ref="J985:K985"/>
    <mergeCell ref="B453:F453"/>
    <mergeCell ref="J251:K251"/>
    <mergeCell ref="B182:H182"/>
    <mergeCell ref="J595:S595"/>
    <mergeCell ref="M267:S267"/>
    <mergeCell ref="L1199:M1199"/>
    <mergeCell ref="H143:H144"/>
    <mergeCell ref="J253:K253"/>
    <mergeCell ref="M636:S636"/>
    <mergeCell ref="G676:K676"/>
    <mergeCell ref="M592:S592"/>
    <mergeCell ref="J709:K709"/>
    <mergeCell ref="J980:K980"/>
    <mergeCell ref="H41:L41"/>
    <mergeCell ref="G126:K126"/>
    <mergeCell ref="N233:O233"/>
    <mergeCell ref="J598:S598"/>
    <mergeCell ref="H1096:L1096"/>
    <mergeCell ref="H639:L639"/>
    <mergeCell ref="N831:O831"/>
    <mergeCell ref="J698:K698"/>
    <mergeCell ref="G1001:K1001"/>
    <mergeCell ref="B928:D928"/>
    <mergeCell ref="A225:G225"/>
    <mergeCell ref="J393:K393"/>
    <mergeCell ref="A967:S967"/>
    <mergeCell ref="J1067:K1067"/>
    <mergeCell ref="AH3:AJ3"/>
    <mergeCell ref="J395:K395"/>
    <mergeCell ref="B683:F683"/>
    <mergeCell ref="J1027:K1027"/>
    <mergeCell ref="AH5:AJ5"/>
    <mergeCell ref="G173:K173"/>
    <mergeCell ref="A1188:G1188"/>
    <mergeCell ref="A454:G454"/>
    <mergeCell ref="G170:K170"/>
    <mergeCell ref="P187:Q187"/>
    <mergeCell ref="J1209:K1209"/>
    <mergeCell ref="P494:Q494"/>
    <mergeCell ref="K726:M726"/>
    <mergeCell ref="J965:S965"/>
    <mergeCell ref="L999:M999"/>
    <mergeCell ref="AE13:AG13"/>
    <mergeCell ref="G1231:K1231"/>
    <mergeCell ref="G172:K172"/>
    <mergeCell ref="A912:G912"/>
    <mergeCell ref="A641:I641"/>
    <mergeCell ref="J1086:K1086"/>
    <mergeCell ref="A877:C877"/>
    <mergeCell ref="A455:G455"/>
    <mergeCell ref="J27:K27"/>
    <mergeCell ref="P189:Q189"/>
    <mergeCell ref="A184:I184"/>
    <mergeCell ref="J1080:K1080"/>
    <mergeCell ref="M1096:S1096"/>
    <mergeCell ref="AH16:AJ16"/>
    <mergeCell ref="AE15:AG15"/>
    <mergeCell ref="L90:Q90"/>
    <mergeCell ref="J20:K20"/>
    <mergeCell ref="B1010:H1010"/>
    <mergeCell ref="J196:K196"/>
    <mergeCell ref="P218:Q218"/>
    <mergeCell ref="J625:K625"/>
    <mergeCell ref="B269:F269"/>
    <mergeCell ref="J1081:K1081"/>
    <mergeCell ref="J22:K22"/>
    <mergeCell ref="A1013:S1013"/>
    <mergeCell ref="P1091:Q1091"/>
    <mergeCell ref="L80:M80"/>
    <mergeCell ref="F971:G971"/>
    <mergeCell ref="A175:G175"/>
    <mergeCell ref="A781:I781"/>
    <mergeCell ref="J137:S137"/>
    <mergeCell ref="J793:K793"/>
    <mergeCell ref="J1222:K1222"/>
    <mergeCell ref="J338:K338"/>
    <mergeCell ref="J138:S138"/>
    <mergeCell ref="L770:M770"/>
    <mergeCell ref="AE28:AG28"/>
    <mergeCell ref="J794:K794"/>
    <mergeCell ref="A956:G956"/>
    <mergeCell ref="J707:K707"/>
    <mergeCell ref="L320:Q320"/>
    <mergeCell ref="B596:H596"/>
    <mergeCell ref="A1059:S1059"/>
    <mergeCell ref="B284:D284"/>
    <mergeCell ref="H635:L635"/>
    <mergeCell ref="A923:C923"/>
    <mergeCell ref="F1199:G1199"/>
    <mergeCell ref="A221:G221"/>
    <mergeCell ref="J66:K66"/>
    <mergeCell ref="H360:L360"/>
    <mergeCell ref="J389:K389"/>
    <mergeCell ref="H465:H466"/>
    <mergeCell ref="G999:K999"/>
    <mergeCell ref="G265:K265"/>
    <mergeCell ref="A647:C647"/>
    <mergeCell ref="A1011:I1011"/>
    <mergeCell ref="G998:K998"/>
    <mergeCell ref="J1023:K1023"/>
    <mergeCell ref="J122:K122"/>
    <mergeCell ref="H879:H880"/>
    <mergeCell ref="A410:I410"/>
    <mergeCell ref="J718:K718"/>
    <mergeCell ref="J849:K849"/>
    <mergeCell ref="J1025:K1025"/>
    <mergeCell ref="A324:S324"/>
    <mergeCell ref="J720:K720"/>
    <mergeCell ref="I1236:K1236"/>
    <mergeCell ref="I177:K177"/>
    <mergeCell ref="L1091:M1091"/>
    <mergeCell ref="A1008:I1008"/>
    <mergeCell ref="N969:O969"/>
    <mergeCell ref="J1178:K1178"/>
    <mergeCell ref="J751:K751"/>
    <mergeCell ref="A48:S48"/>
    <mergeCell ref="J148:K148"/>
    <mergeCell ref="J104:K104"/>
    <mergeCell ref="J966:S966"/>
    <mergeCell ref="J1165:K1165"/>
    <mergeCell ref="J752:K752"/>
    <mergeCell ref="J746:K746"/>
    <mergeCell ref="J105:K105"/>
    <mergeCell ref="M360:S360"/>
    <mergeCell ref="A267:G267"/>
    <mergeCell ref="L49:M49"/>
    <mergeCell ref="B1111:D1111"/>
    <mergeCell ref="H405:L405"/>
    <mergeCell ref="F187:G187"/>
    <mergeCell ref="J143:K144"/>
    <mergeCell ref="K404:M404"/>
    <mergeCell ref="H730:L730"/>
    <mergeCell ref="B53:D53"/>
    <mergeCell ref="J430:K430"/>
    <mergeCell ref="P634:Q634"/>
    <mergeCell ref="L1137:M1137"/>
    <mergeCell ref="N1199:O1199"/>
    <mergeCell ref="A1234:G1234"/>
    <mergeCell ref="J46:S46"/>
    <mergeCell ref="J764:K764"/>
    <mergeCell ref="J9:K9"/>
    <mergeCell ref="A779:I779"/>
    <mergeCell ref="A593:G593"/>
    <mergeCell ref="J1218:K1218"/>
    <mergeCell ref="J161:K161"/>
    <mergeCell ref="M684:S684"/>
    <mergeCell ref="H1190:L1190"/>
    <mergeCell ref="P356:Q356"/>
    <mergeCell ref="AE24:AG24"/>
    <mergeCell ref="G1093:K1093"/>
    <mergeCell ref="A1151:S1151"/>
    <mergeCell ref="A94:S94"/>
    <mergeCell ref="AE26:AG26"/>
    <mergeCell ref="J792:K792"/>
    <mergeCell ref="A782:I782"/>
    <mergeCell ref="J31:K31"/>
    <mergeCell ref="A319:I319"/>
    <mergeCell ref="O867:Q867"/>
    <mergeCell ref="A497:G497"/>
    <mergeCell ref="K36:M36"/>
    <mergeCell ref="J1011:S1011"/>
    <mergeCell ref="J62:K62"/>
    <mergeCell ref="I1005:K1005"/>
    <mergeCell ref="J1123:K1123"/>
    <mergeCell ref="J64:K64"/>
    <mergeCell ref="M316:S316"/>
    <mergeCell ref="J1117:K1117"/>
    <mergeCell ref="K634:M634"/>
    <mergeCell ref="B591:F591"/>
    <mergeCell ref="J660:K660"/>
    <mergeCell ref="J733:S733"/>
    <mergeCell ref="B8:D8"/>
    <mergeCell ref="M405:S405"/>
    <mergeCell ref="J276:S276"/>
    <mergeCell ref="J57:K57"/>
    <mergeCell ref="J391:K391"/>
    <mergeCell ref="J189:K190"/>
    <mergeCell ref="M730:S730"/>
    <mergeCell ref="B918:H918"/>
    <mergeCell ref="J1118:K1118"/>
    <mergeCell ref="T114:X114"/>
    <mergeCell ref="H776:L776"/>
    <mergeCell ref="B99:D99"/>
    <mergeCell ref="P586:Q586"/>
    <mergeCell ref="G264:K264"/>
    <mergeCell ref="A639:G639"/>
    <mergeCell ref="Z3:AA3"/>
    <mergeCell ref="G78:K78"/>
    <mergeCell ref="A36:G36"/>
    <mergeCell ref="B5:D5"/>
    <mergeCell ref="H1234:L1234"/>
    <mergeCell ref="P402:Q402"/>
    <mergeCell ref="Z5:AA5"/>
    <mergeCell ref="G80:K80"/>
    <mergeCell ref="G1139:K1139"/>
    <mergeCell ref="J75:K75"/>
    <mergeCell ref="A785:C785"/>
    <mergeCell ref="B1066:D1066"/>
    <mergeCell ref="A363:G363"/>
    <mergeCell ref="A634:G634"/>
    <mergeCell ref="A92:I92"/>
    <mergeCell ref="J531:K531"/>
    <mergeCell ref="J444:K444"/>
    <mergeCell ref="G1045:K1045"/>
    <mergeCell ref="L1241:Q1241"/>
    <mergeCell ref="J533:K533"/>
    <mergeCell ref="J1171:K1171"/>
    <mergeCell ref="A548:I548"/>
    <mergeCell ref="J856:K856"/>
    <mergeCell ref="O1236:Q1236"/>
    <mergeCell ref="J744:K744"/>
    <mergeCell ref="B145:D145"/>
    <mergeCell ref="A1146:I1146"/>
    <mergeCell ref="J889:K889"/>
    <mergeCell ref="J322:S322"/>
    <mergeCell ref="Z16:AA16"/>
    <mergeCell ref="I39:K39"/>
    <mergeCell ref="J760:K760"/>
    <mergeCell ref="G308:K308"/>
    <mergeCell ref="A266:G266"/>
    <mergeCell ref="B499:F499"/>
    <mergeCell ref="P325:Q325"/>
    <mergeCell ref="Z18:AA18"/>
    <mergeCell ref="B51:D51"/>
    <mergeCell ref="J4:N4"/>
    <mergeCell ref="P632:Q632"/>
    <mergeCell ref="H189:H190"/>
    <mergeCell ref="G310:K310"/>
    <mergeCell ref="J762:K762"/>
    <mergeCell ref="Z17:AA17"/>
    <mergeCell ref="A874:I874"/>
    <mergeCell ref="M1145:S1145"/>
    <mergeCell ref="J884:K884"/>
    <mergeCell ref="P327:Q327"/>
    <mergeCell ref="M682:S682"/>
    <mergeCell ref="G722:K722"/>
    <mergeCell ref="M1234:S1234"/>
    <mergeCell ref="L228:Q228"/>
    <mergeCell ref="J886:K886"/>
    <mergeCell ref="H87:L87"/>
    <mergeCell ref="L861:M861"/>
    <mergeCell ref="N279:O279"/>
    <mergeCell ref="H543:L543"/>
    <mergeCell ref="J757:K757"/>
    <mergeCell ref="L826:Q826"/>
    <mergeCell ref="J887:K887"/>
    <mergeCell ref="A1049:G1049"/>
    <mergeCell ref="P772:Q772"/>
    <mergeCell ref="L218:M218"/>
    <mergeCell ref="J902:K902"/>
    <mergeCell ref="AB12:AD12"/>
    <mergeCell ref="J475:K475"/>
    <mergeCell ref="J904:K904"/>
    <mergeCell ref="J605:K605"/>
    <mergeCell ref="F51:G51"/>
    <mergeCell ref="J897:K897"/>
    <mergeCell ref="AB13:AD13"/>
    <mergeCell ref="J55:K55"/>
    <mergeCell ref="A232:S232"/>
    <mergeCell ref="AB7:AD7"/>
    <mergeCell ref="J476:K476"/>
    <mergeCell ref="A1104:I1104"/>
    <mergeCell ref="J1114:K1114"/>
    <mergeCell ref="J899:K899"/>
    <mergeCell ref="J88:S88"/>
    <mergeCell ref="A459:I459"/>
    <mergeCell ref="L458:Q458"/>
    <mergeCell ref="P371:Q371"/>
    <mergeCell ref="J1116:K1116"/>
    <mergeCell ref="L417:M417"/>
    <mergeCell ref="B97:D97"/>
    <mergeCell ref="A1197:S1197"/>
    <mergeCell ref="J1149:S1149"/>
    <mergeCell ref="J930:K930"/>
    <mergeCell ref="H773:L773"/>
    <mergeCell ref="AH18:AJ18"/>
    <mergeCell ref="A88:I88"/>
    <mergeCell ref="J204:K204"/>
    <mergeCell ref="J1055:S1055"/>
    <mergeCell ref="J198:K198"/>
    <mergeCell ref="J548:S548"/>
    <mergeCell ref="M543:S543"/>
    <mergeCell ref="G1137:K1137"/>
    <mergeCell ref="A1095:G1095"/>
    <mergeCell ref="AB25:AD25"/>
    <mergeCell ref="J529:K529"/>
    <mergeCell ref="J802:K802"/>
    <mergeCell ref="J327:K328"/>
    <mergeCell ref="B1056:H1056"/>
    <mergeCell ref="J1146:S1146"/>
    <mergeCell ref="H914:L914"/>
    <mergeCell ref="O177:Q177"/>
    <mergeCell ref="J1127:K1127"/>
    <mergeCell ref="J68:K68"/>
    <mergeCell ref="B1202:D1202"/>
    <mergeCell ref="B143:D143"/>
    <mergeCell ref="P724:Q724"/>
    <mergeCell ref="H915:L915"/>
    <mergeCell ref="J1129:K1129"/>
    <mergeCell ref="I315:K315"/>
    <mergeCell ref="H281:H282"/>
    <mergeCell ref="N1107:O1107"/>
    <mergeCell ref="J257:K257"/>
    <mergeCell ref="P419:Q419"/>
    <mergeCell ref="B1204:D1204"/>
    <mergeCell ref="A230:I230"/>
    <mergeCell ref="H498:L498"/>
    <mergeCell ref="J242:K242"/>
    <mergeCell ref="J855:K855"/>
    <mergeCell ref="Z13:AA13"/>
    <mergeCell ref="J428:K428"/>
    <mergeCell ref="B44:H44"/>
    <mergeCell ref="J857:K857"/>
    <mergeCell ref="Z15:AA15"/>
    <mergeCell ref="J840:K840"/>
    <mergeCell ref="A227:I227"/>
    <mergeCell ref="A405:G405"/>
    <mergeCell ref="M41:S41"/>
    <mergeCell ref="L187:M187"/>
    <mergeCell ref="A508:S508"/>
    <mergeCell ref="A95:C95"/>
    <mergeCell ref="L189:M189"/>
    <mergeCell ref="P34:Q34"/>
    <mergeCell ref="Z25:AA25"/>
    <mergeCell ref="P463:Q463"/>
    <mergeCell ref="H511:H512"/>
    <mergeCell ref="J568:K568"/>
    <mergeCell ref="P770:Q770"/>
    <mergeCell ref="J781:S781"/>
    <mergeCell ref="P36:Q36"/>
    <mergeCell ref="A693:C693"/>
    <mergeCell ref="P465:Q465"/>
    <mergeCell ref="L550:Q550"/>
    <mergeCell ref="J570:K570"/>
    <mergeCell ref="J893:K893"/>
    <mergeCell ref="B189:D189"/>
    <mergeCell ref="L366:Q366"/>
    <mergeCell ref="B826:H826"/>
    <mergeCell ref="G1046:K1046"/>
    <mergeCell ref="AB3:AD3"/>
    <mergeCell ref="H865:L865"/>
    <mergeCell ref="J901:K901"/>
    <mergeCell ref="J895:K895"/>
    <mergeCell ref="A547:G547"/>
    <mergeCell ref="L964:Q964"/>
    <mergeCell ref="AB5:AD5"/>
    <mergeCell ref="J169:K169"/>
    <mergeCell ref="T19:X19"/>
    <mergeCell ref="J1224:K1224"/>
    <mergeCell ref="A457:I457"/>
    <mergeCell ref="O1005:Q1005"/>
    <mergeCell ref="A1057:I1057"/>
    <mergeCell ref="AH20:AJ20"/>
    <mergeCell ref="J200:K200"/>
    <mergeCell ref="J1226:K1226"/>
    <mergeCell ref="A1243:I1243"/>
    <mergeCell ref="J623:K623"/>
    <mergeCell ref="J927:K927"/>
    <mergeCell ref="G1230:K1230"/>
    <mergeCell ref="A640:I640"/>
    <mergeCell ref="J202:K202"/>
    <mergeCell ref="J798:K798"/>
    <mergeCell ref="A554:S554"/>
    <mergeCell ref="AH15:AJ15"/>
    <mergeCell ref="J929:K929"/>
    <mergeCell ref="J1227:K1227"/>
    <mergeCell ref="J950:K950"/>
    <mergeCell ref="J195:K195"/>
    <mergeCell ref="J624:K624"/>
    <mergeCell ref="A597:I597"/>
    <mergeCell ref="P509:Q509"/>
    <mergeCell ref="J197:K197"/>
    <mergeCell ref="B560:D560"/>
    <mergeCell ref="P82:Q82"/>
    <mergeCell ref="I821:K821"/>
    <mergeCell ref="AB18:AD18"/>
    <mergeCell ref="A777:G777"/>
    <mergeCell ref="G216:K216"/>
    <mergeCell ref="A174:G174"/>
    <mergeCell ref="J870:S870"/>
    <mergeCell ref="J342:K342"/>
    <mergeCell ref="M865:S865"/>
    <mergeCell ref="P540:Q540"/>
    <mergeCell ref="G218:K218"/>
    <mergeCell ref="A1235:G1235"/>
    <mergeCell ref="G541:K541"/>
    <mergeCell ref="J213:K213"/>
    <mergeCell ref="G814:K814"/>
    <mergeCell ref="A772:G772"/>
    <mergeCell ref="J649:K650"/>
    <mergeCell ref="J940:K940"/>
    <mergeCell ref="M133:S133"/>
    <mergeCell ref="H179:L179"/>
    <mergeCell ref="J215:K215"/>
    <mergeCell ref="L95:M95"/>
    <mergeCell ref="J337:K337"/>
    <mergeCell ref="J513:K513"/>
    <mergeCell ref="L402:M402"/>
    <mergeCell ref="J671:K671"/>
    <mergeCell ref="O315:Q315"/>
    <mergeCell ref="L97:M97"/>
    <mergeCell ref="F233:G233"/>
    <mergeCell ref="B1017:D1017"/>
    <mergeCell ref="J210:K210"/>
    <mergeCell ref="P739:Q739"/>
    <mergeCell ref="F235:G235"/>
    <mergeCell ref="P217:Q217"/>
    <mergeCell ref="F831:G831"/>
    <mergeCell ref="J564:K564"/>
    <mergeCell ref="F833:G833"/>
    <mergeCell ref="B637:F637"/>
    <mergeCell ref="J566:K566"/>
    <mergeCell ref="J109:K109"/>
    <mergeCell ref="H327:H328"/>
    <mergeCell ref="J1022:K1022"/>
    <mergeCell ref="A1012:I1012"/>
    <mergeCell ref="A549:I549"/>
    <mergeCell ref="A543:G543"/>
    <mergeCell ref="J1024:K1024"/>
    <mergeCell ref="L325:M325"/>
    <mergeCell ref="H225:L225"/>
    <mergeCell ref="H681:L681"/>
    <mergeCell ref="A233:C233"/>
    <mergeCell ref="L327:M327"/>
    <mergeCell ref="F463:G463"/>
    <mergeCell ref="M179:S179"/>
    <mergeCell ref="B603:D603"/>
    <mergeCell ref="A1187:G1187"/>
    <mergeCell ref="P910:Q910"/>
    <mergeCell ref="A831:C831"/>
    <mergeCell ref="J1040:K1040"/>
    <mergeCell ref="P447:Q447"/>
    <mergeCell ref="G125:K125"/>
    <mergeCell ref="J437:K437"/>
    <mergeCell ref="L688:Q688"/>
    <mergeCell ref="M960:S960"/>
    <mergeCell ref="H222:L222"/>
    <mergeCell ref="B964:H964"/>
    <mergeCell ref="J1042:K1042"/>
    <mergeCell ref="J1164:K1164"/>
    <mergeCell ref="G127:K127"/>
    <mergeCell ref="A869:G869"/>
    <mergeCell ref="O85:Q85"/>
    <mergeCell ref="J1035:K1035"/>
    <mergeCell ref="J193:K193"/>
    <mergeCell ref="A370:S370"/>
    <mergeCell ref="J226:S226"/>
    <mergeCell ref="J305:K305"/>
    <mergeCell ref="A1015:C1015"/>
    <mergeCell ref="A968:S968"/>
    <mergeCell ref="J307:K307"/>
    <mergeCell ref="AH4:AJ4"/>
    <mergeCell ref="P79:Q79"/>
    <mergeCell ref="M225:S225"/>
    <mergeCell ref="K910:M910"/>
    <mergeCell ref="L371:M371"/>
    <mergeCell ref="J936:K936"/>
    <mergeCell ref="M681:S681"/>
    <mergeCell ref="J1195:S1195"/>
    <mergeCell ref="J938:K938"/>
    <mergeCell ref="L274:Q274"/>
    <mergeCell ref="J465:K466"/>
    <mergeCell ref="B1194:H1194"/>
    <mergeCell ref="F923:G923"/>
    <mergeCell ref="J335:K335"/>
    <mergeCell ref="H1052:L1052"/>
    <mergeCell ref="B375:D375"/>
    <mergeCell ref="AH26:AJ26"/>
    <mergeCell ref="P220:Q220"/>
    <mergeCell ref="J368:S368"/>
    <mergeCell ref="J669:K669"/>
    <mergeCell ref="H1238:L1238"/>
    <mergeCell ref="J206:K206"/>
    <mergeCell ref="A915:G915"/>
    <mergeCell ref="A496:G496"/>
    <mergeCell ref="M1006:S1006"/>
    <mergeCell ref="G354:K354"/>
    <mergeCell ref="P555:Q555"/>
    <mergeCell ref="P862:Q862"/>
    <mergeCell ref="H419:H420"/>
    <mergeCell ref="J992:K992"/>
    <mergeCell ref="A498:G498"/>
    <mergeCell ref="G356:K356"/>
    <mergeCell ref="P557:Q557"/>
    <mergeCell ref="J351:K351"/>
    <mergeCell ref="J326:K326"/>
    <mergeCell ref="G952:K952"/>
    <mergeCell ref="A910:G910"/>
    <mergeCell ref="A368:I368"/>
    <mergeCell ref="M271:S271"/>
    <mergeCell ref="A1096:G1096"/>
    <mergeCell ref="J353:K353"/>
    <mergeCell ref="L724:M724"/>
    <mergeCell ref="J651:K651"/>
    <mergeCell ref="G954:K954"/>
    <mergeCell ref="J993:K993"/>
    <mergeCell ref="J987:K987"/>
    <mergeCell ref="O1189:Q1189"/>
    <mergeCell ref="L419:M419"/>
    <mergeCell ref="F555:G555"/>
    <mergeCell ref="J653:K653"/>
    <mergeCell ref="J995:K995"/>
    <mergeCell ref="P1002:Q1002"/>
    <mergeCell ref="F557:G557"/>
    <mergeCell ref="A365:I365"/>
    <mergeCell ref="H314:L314"/>
    <mergeCell ref="H51:H52"/>
    <mergeCell ref="J379:K379"/>
    <mergeCell ref="F1155:G1155"/>
    <mergeCell ref="A82:G82"/>
    <mergeCell ref="J74:K74"/>
    <mergeCell ref="J250:K250"/>
    <mergeCell ref="J594:S594"/>
    <mergeCell ref="H649:H650"/>
    <mergeCell ref="J706:K706"/>
    <mergeCell ref="A462:S462"/>
    <mergeCell ref="P908:Q908"/>
    <mergeCell ref="G586:K586"/>
    <mergeCell ref="A865:G865"/>
    <mergeCell ref="J708:K708"/>
    <mergeCell ref="J1031:K1031"/>
    <mergeCell ref="B327:D327"/>
    <mergeCell ref="Z20:AA20"/>
    <mergeCell ref="J674:K674"/>
    <mergeCell ref="N555:O555"/>
    <mergeCell ref="J1033:K1033"/>
    <mergeCell ref="A685:G685"/>
    <mergeCell ref="L1102:Q1102"/>
    <mergeCell ref="M317:S317"/>
    <mergeCell ref="M773:S773"/>
    <mergeCell ref="N1153:O1153"/>
    <mergeCell ref="P1048:Q1048"/>
    <mergeCell ref="J303:K303"/>
    <mergeCell ref="A868:G868"/>
    <mergeCell ref="A224:G224"/>
    <mergeCell ref="H544:L544"/>
    <mergeCell ref="J557:K558"/>
    <mergeCell ref="B467:D467"/>
    <mergeCell ref="J123:K123"/>
    <mergeCell ref="J761:K761"/>
    <mergeCell ref="J304:K304"/>
    <mergeCell ref="A321:I321"/>
    <mergeCell ref="M314:S314"/>
    <mergeCell ref="J1155:K1156"/>
    <mergeCell ref="A692:S692"/>
    <mergeCell ref="B1065:D1065"/>
    <mergeCell ref="J423:K423"/>
    <mergeCell ref="J306:K306"/>
    <mergeCell ref="G907:K907"/>
    <mergeCell ref="O821:Q821"/>
    <mergeCell ref="A735:I735"/>
    <mergeCell ref="P647:Q647"/>
    <mergeCell ref="I959:K959"/>
    <mergeCell ref="J1077:K1077"/>
    <mergeCell ref="J18:K18"/>
    <mergeCell ref="AE12:AG12"/>
    <mergeCell ref="J474:K474"/>
    <mergeCell ref="J17:K17"/>
    <mergeCell ref="J903:K903"/>
    <mergeCell ref="J1079:K1079"/>
    <mergeCell ref="AE14:AG14"/>
    <mergeCell ref="J787:K788"/>
    <mergeCell ref="L1148:Q1148"/>
    <mergeCell ref="J1078:K1078"/>
    <mergeCell ref="J19:K19"/>
    <mergeCell ref="J1072:K1072"/>
    <mergeCell ref="B697:D697"/>
    <mergeCell ref="J991:K991"/>
    <mergeCell ref="L233:M233"/>
    <mergeCell ref="L540:M540"/>
    <mergeCell ref="O453:Q453"/>
    <mergeCell ref="M544:S544"/>
    <mergeCell ref="H316:L316"/>
    <mergeCell ref="H731:L731"/>
    <mergeCell ref="P1000:Q1000"/>
    <mergeCell ref="H557:H558"/>
    <mergeCell ref="G678:K678"/>
    <mergeCell ref="P695:Q695"/>
    <mergeCell ref="F373:G373"/>
    <mergeCell ref="P355:Q355"/>
    <mergeCell ref="J1219:K1219"/>
    <mergeCell ref="F969:G969"/>
    <mergeCell ref="G33:K33"/>
    <mergeCell ref="J702:K702"/>
    <mergeCell ref="J1131:K1131"/>
    <mergeCell ref="AE25:AG25"/>
    <mergeCell ref="AB24:AD24"/>
    <mergeCell ref="G35:K35"/>
    <mergeCell ref="B775:F775"/>
    <mergeCell ref="M1141:S1141"/>
    <mergeCell ref="L739:M739"/>
    <mergeCell ref="J704:K704"/>
    <mergeCell ref="J1133:K1133"/>
    <mergeCell ref="A1150:I1150"/>
    <mergeCell ref="A687:I687"/>
    <mergeCell ref="H1099:L1099"/>
    <mergeCell ref="J243:K243"/>
    <mergeCell ref="A681:G681"/>
    <mergeCell ref="A46:I46"/>
    <mergeCell ref="L463:M463"/>
    <mergeCell ref="H363:L363"/>
    <mergeCell ref="G262:K262"/>
    <mergeCell ref="A220:G220"/>
    <mergeCell ref="L465:M465"/>
    <mergeCell ref="J916:S916"/>
    <mergeCell ref="J117:K117"/>
    <mergeCell ref="J388:K388"/>
    <mergeCell ref="J844:K844"/>
    <mergeCell ref="A222:G222"/>
    <mergeCell ref="P925:Q925"/>
    <mergeCell ref="A969:C969"/>
    <mergeCell ref="P585:Q585"/>
    <mergeCell ref="J119:K119"/>
    <mergeCell ref="P281:Q281"/>
    <mergeCell ref="J390:K390"/>
    <mergeCell ref="G263:K263"/>
    <mergeCell ref="A827:I827"/>
    <mergeCell ref="J846:K846"/>
    <mergeCell ref="M731:S731"/>
    <mergeCell ref="J917:S917"/>
    <mergeCell ref="J427:K427"/>
    <mergeCell ref="B1102:H1102"/>
    <mergeCell ref="A1198:S1198"/>
    <mergeCell ref="P312:Q312"/>
    <mergeCell ref="H603:H604"/>
    <mergeCell ref="J717:K717"/>
    <mergeCell ref="H84:L84"/>
    <mergeCell ref="P741:Q741"/>
    <mergeCell ref="A1007:G1007"/>
    <mergeCell ref="J114:K114"/>
    <mergeCell ref="J385:K385"/>
    <mergeCell ref="L447:M447"/>
    <mergeCell ref="Z4:AA4"/>
    <mergeCell ref="F279:G279"/>
    <mergeCell ref="B1063:D1063"/>
    <mergeCell ref="J719:K719"/>
    <mergeCell ref="J572:K572"/>
    <mergeCell ref="H86:L86"/>
    <mergeCell ref="J145:K145"/>
    <mergeCell ref="F281:G281"/>
    <mergeCell ref="A733:I733"/>
    <mergeCell ref="J443:K443"/>
    <mergeCell ref="B821:F821"/>
    <mergeCell ref="H1145:L1145"/>
    <mergeCell ref="G860:K860"/>
    <mergeCell ref="A47:S47"/>
    <mergeCell ref="J111:K111"/>
    <mergeCell ref="J445:K445"/>
    <mergeCell ref="J743:K743"/>
    <mergeCell ref="L632:M632"/>
    <mergeCell ref="J1172:K1172"/>
    <mergeCell ref="Z26:AA26"/>
    <mergeCell ref="L509:M509"/>
    <mergeCell ref="A830:S830"/>
    <mergeCell ref="A1058:I1058"/>
    <mergeCell ref="I683:K683"/>
    <mergeCell ref="J1070:K1070"/>
    <mergeCell ref="P785:Q785"/>
    <mergeCell ref="AE5:AG5"/>
    <mergeCell ref="H833:H834"/>
    <mergeCell ref="J1103:S1103"/>
    <mergeCell ref="P358:Q358"/>
    <mergeCell ref="J686:S686"/>
    <mergeCell ref="J158:K158"/>
    <mergeCell ref="A1233:G1233"/>
    <mergeCell ref="P956:Q956"/>
    <mergeCell ref="J45:S45"/>
    <mergeCell ref="M84:S84"/>
    <mergeCell ref="G1091:K1091"/>
    <mergeCell ref="A636:G636"/>
    <mergeCell ref="J1217:K1217"/>
    <mergeCell ref="J489:K489"/>
    <mergeCell ref="J160:K160"/>
    <mergeCell ref="G1090:K1090"/>
    <mergeCell ref="A1048:G1048"/>
    <mergeCell ref="M86:S86"/>
    <mergeCell ref="J1210:K1210"/>
    <mergeCell ref="L555:M555"/>
    <mergeCell ref="H455:L455"/>
    <mergeCell ref="J491:K491"/>
    <mergeCell ref="L862:M862"/>
    <mergeCell ref="AB22:AD22"/>
    <mergeCell ref="J72:K72"/>
    <mergeCell ref="J789:K789"/>
    <mergeCell ref="G1092:K1092"/>
    <mergeCell ref="J799:K799"/>
    <mergeCell ref="L557:M557"/>
    <mergeCell ref="J484:K484"/>
    <mergeCell ref="A416:S416"/>
    <mergeCell ref="H1053:L1053"/>
    <mergeCell ref="J30:K30"/>
    <mergeCell ref="I269:K269"/>
    <mergeCell ref="A314:G314"/>
    <mergeCell ref="F695:G695"/>
    <mergeCell ref="P677:Q677"/>
    <mergeCell ref="B1158:D1158"/>
    <mergeCell ref="F1107:G1107"/>
    <mergeCell ref="H452:L452"/>
    <mergeCell ref="G171:K171"/>
    <mergeCell ref="J517:K517"/>
    <mergeCell ref="J809:K809"/>
    <mergeCell ref="J54:K54"/>
    <mergeCell ref="G357:K357"/>
    <mergeCell ref="J212:K212"/>
    <mergeCell ref="A919:I919"/>
    <mergeCell ref="J732:S732"/>
    <mergeCell ref="B7:D7"/>
    <mergeCell ref="J1115:K1115"/>
    <mergeCell ref="J56:K56"/>
    <mergeCell ref="J214:K214"/>
    <mergeCell ref="A825:I825"/>
    <mergeCell ref="B465:D465"/>
    <mergeCell ref="H685:L685"/>
    <mergeCell ref="B421:D421"/>
    <mergeCell ref="A139:S139"/>
    <mergeCell ref="P310:Q310"/>
    <mergeCell ref="J812:K812"/>
    <mergeCell ref="J414:S414"/>
    <mergeCell ref="A1094:G1094"/>
    <mergeCell ref="M455:S455"/>
    <mergeCell ref="K1140:M1140"/>
    <mergeCell ref="J441:K441"/>
    <mergeCell ref="A362:G362"/>
    <mergeCell ref="P723:Q723"/>
    <mergeCell ref="J1058:S1058"/>
    <mergeCell ref="J530:K530"/>
    <mergeCell ref="M1053:S1053"/>
    <mergeCell ref="H682:L682"/>
    <mergeCell ref="G401:K401"/>
    <mergeCell ref="J1168:K1168"/>
    <mergeCell ref="J695:K696"/>
    <mergeCell ref="B605:D605"/>
    <mergeCell ref="J1039:K1039"/>
    <mergeCell ref="J532:K532"/>
    <mergeCell ref="J1170:K1170"/>
    <mergeCell ref="G403:K403"/>
    <mergeCell ref="O361:Q361"/>
    <mergeCell ref="P539:Q539"/>
    <mergeCell ref="M452:S452"/>
    <mergeCell ref="H12:K13"/>
    <mergeCell ref="O959:Q959"/>
    <mergeCell ref="A49:C49"/>
    <mergeCell ref="B959:F959"/>
    <mergeCell ref="A1140:G1140"/>
    <mergeCell ref="A369:S369"/>
    <mergeCell ref="J154:K154"/>
    <mergeCell ref="I1097:K1097"/>
    <mergeCell ref="J583:K583"/>
    <mergeCell ref="J881:K881"/>
    <mergeCell ref="A1142:G1142"/>
    <mergeCell ref="G1184:K1184"/>
    <mergeCell ref="A871:I871"/>
    <mergeCell ref="J120:K120"/>
    <mergeCell ref="A137:I137"/>
    <mergeCell ref="L136:Q136"/>
    <mergeCell ref="J156:K156"/>
    <mergeCell ref="J43:S43"/>
    <mergeCell ref="L647:M647"/>
    <mergeCell ref="J883:K883"/>
    <mergeCell ref="J155:K155"/>
    <mergeCell ref="J426:K426"/>
    <mergeCell ref="J1181:K1181"/>
    <mergeCell ref="J1041:K1041"/>
    <mergeCell ref="J578:K578"/>
    <mergeCell ref="J925:K926"/>
    <mergeCell ref="J157:K157"/>
    <mergeCell ref="J641:S641"/>
    <mergeCell ref="J151:K151"/>
    <mergeCell ref="B835:D835"/>
    <mergeCell ref="A1153:C1153"/>
    <mergeCell ref="AH2:AJ2"/>
    <mergeCell ref="A731:G731"/>
    <mergeCell ref="P769:Q769"/>
    <mergeCell ref="G447:K447"/>
    <mergeCell ref="J611:K611"/>
    <mergeCell ref="K128:M128"/>
    <mergeCell ref="J296:K296"/>
    <mergeCell ref="M819:S819"/>
    <mergeCell ref="J367:S367"/>
    <mergeCell ref="P1138:Q1138"/>
    <mergeCell ref="H695:H696"/>
    <mergeCell ref="G816:K816"/>
    <mergeCell ref="J298:K298"/>
    <mergeCell ref="J603:K604"/>
    <mergeCell ref="T83:Z83"/>
    <mergeCell ref="B513:D513"/>
    <mergeCell ref="J825:S825"/>
    <mergeCell ref="J297:K297"/>
    <mergeCell ref="AB4:AD4"/>
    <mergeCell ref="A367:I367"/>
    <mergeCell ref="A183:I183"/>
    <mergeCell ref="A1186:G1186"/>
    <mergeCell ref="J299:K299"/>
    <mergeCell ref="F371:G371"/>
    <mergeCell ref="M822:S822"/>
    <mergeCell ref="J1113:K1113"/>
    <mergeCell ref="L355:M355"/>
    <mergeCell ref="B971:D971"/>
    <mergeCell ref="B514:D514"/>
    <mergeCell ref="H1237:L1237"/>
    <mergeCell ref="J381:K381"/>
    <mergeCell ref="J622:K622"/>
    <mergeCell ref="H590:L590"/>
    <mergeCell ref="J655:K655"/>
    <mergeCell ref="A358:G358"/>
    <mergeCell ref="J983:K983"/>
    <mergeCell ref="J1054:S1054"/>
    <mergeCell ref="J526:K526"/>
    <mergeCell ref="J949:K949"/>
    <mergeCell ref="A360:G360"/>
    <mergeCell ref="A966:I966"/>
    <mergeCell ref="J528:K528"/>
    <mergeCell ref="G953:K953"/>
    <mergeCell ref="J1124:K1124"/>
    <mergeCell ref="A965:I965"/>
    <mergeCell ref="J984:K984"/>
    <mergeCell ref="P877:Q877"/>
    <mergeCell ref="A84:G84"/>
    <mergeCell ref="A277:S277"/>
    <mergeCell ref="I1189:K1189"/>
    <mergeCell ref="P879:Q879"/>
    <mergeCell ref="A86:G86"/>
    <mergeCell ref="L925:M925"/>
    <mergeCell ref="J523:K523"/>
    <mergeCell ref="L281:M281"/>
    <mergeCell ref="L585:M585"/>
    <mergeCell ref="F417:G417"/>
    <mergeCell ref="M593:S593"/>
    <mergeCell ref="A278:S278"/>
    <mergeCell ref="J247:K247"/>
    <mergeCell ref="A684:G684"/>
    <mergeCell ref="I131:K131"/>
    <mergeCell ref="F419:G419"/>
    <mergeCell ref="J1196:S1196"/>
    <mergeCell ref="J668:K668"/>
    <mergeCell ref="H820:L820"/>
    <mergeCell ref="J249:K249"/>
    <mergeCell ref="J241:K241"/>
    <mergeCell ref="J854:K854"/>
    <mergeCell ref="A598:I598"/>
    <mergeCell ref="G725:K725"/>
    <mergeCell ref="M1237:S1237"/>
    <mergeCell ref="A1196:I1196"/>
    <mergeCell ref="G1183:K1183"/>
    <mergeCell ref="N371:O371"/>
    <mergeCell ref="O1097:Q1097"/>
    <mergeCell ref="A507:S507"/>
    <mergeCell ref="H971:H972"/>
    <mergeCell ref="J994:K994"/>
    <mergeCell ref="J183:S183"/>
    <mergeCell ref="B1148:H1148"/>
    <mergeCell ref="J289:K289"/>
    <mergeCell ref="L1000:M1000"/>
    <mergeCell ref="H130:L130"/>
    <mergeCell ref="N3:O3"/>
    <mergeCell ref="A1053:G1053"/>
    <mergeCell ref="J166:K166"/>
    <mergeCell ref="L695:M695"/>
    <mergeCell ref="H866:L866"/>
    <mergeCell ref="H132:L132"/>
    <mergeCell ref="B90:H90"/>
    <mergeCell ref="M363:S363"/>
    <mergeCell ref="T9:X9"/>
    <mergeCell ref="A1105:S1105"/>
    <mergeCell ref="J191:K191"/>
    <mergeCell ref="A452:G452"/>
    <mergeCell ref="N417:O417"/>
    <mergeCell ref="J620:K620"/>
    <mergeCell ref="G493:K493"/>
    <mergeCell ref="J1076:K1076"/>
    <mergeCell ref="M961:S961"/>
    <mergeCell ref="L79:M79"/>
    <mergeCell ref="G309:K309"/>
    <mergeCell ref="K864:M864"/>
    <mergeCell ref="AH12:AJ12"/>
    <mergeCell ref="G1229:K1229"/>
    <mergeCell ref="J192:K192"/>
    <mergeCell ref="G495:K495"/>
    <mergeCell ref="O1143:Q1143"/>
    <mergeCell ref="J621:K621"/>
    <mergeCell ref="J615:K615"/>
    <mergeCell ref="L677:M677"/>
    <mergeCell ref="AH14:AJ14"/>
    <mergeCell ref="J194:K194"/>
    <mergeCell ref="F511:G511"/>
    <mergeCell ref="B559:D559"/>
    <mergeCell ref="J333:K333"/>
    <mergeCell ref="AE29:AG29"/>
    <mergeCell ref="L918:Q918"/>
    <mergeCell ref="A322:I322"/>
    <mergeCell ref="J135:S135"/>
    <mergeCell ref="J245:K245"/>
    <mergeCell ref="M130:S130"/>
    <mergeCell ref="A682:G682"/>
    <mergeCell ref="J791:K791"/>
    <mergeCell ref="J1089:K1089"/>
    <mergeCell ref="J334:K334"/>
    <mergeCell ref="AH25:AJ25"/>
    <mergeCell ref="M132:S132"/>
    <mergeCell ref="B407:F407"/>
    <mergeCell ref="J205:K205"/>
    <mergeCell ref="J336:K336"/>
    <mergeCell ref="L1153:M1153"/>
    <mergeCell ref="J659:K659"/>
    <mergeCell ref="P588:Q588"/>
    <mergeCell ref="P1017:Q1017"/>
    <mergeCell ref="M590:S590"/>
    <mergeCell ref="L1155:M1155"/>
    <mergeCell ref="L723:M723"/>
    <mergeCell ref="V5:X5"/>
    <mergeCell ref="P1186:Q1186"/>
    <mergeCell ref="J275:S275"/>
    <mergeCell ref="A822:G822"/>
    <mergeCell ref="A187:C187"/>
    <mergeCell ref="A551:I551"/>
    <mergeCell ref="J990:K990"/>
    <mergeCell ref="B1097:F1097"/>
    <mergeCell ref="J1020:K1020"/>
    <mergeCell ref="H960:L960"/>
    <mergeCell ref="J721:K721"/>
    <mergeCell ref="P128:Q128"/>
    <mergeCell ref="J1019:K1019"/>
    <mergeCell ref="A1009:I1009"/>
    <mergeCell ref="J258:K258"/>
    <mergeCell ref="L908:M908"/>
    <mergeCell ref="J565:K565"/>
    <mergeCell ref="B39:F39"/>
    <mergeCell ref="J181:S181"/>
    <mergeCell ref="A646:S646"/>
    <mergeCell ref="L785:M785"/>
    <mergeCell ref="J1021:K1021"/>
    <mergeCell ref="J260:K260"/>
    <mergeCell ref="J716:K716"/>
    <mergeCell ref="B511:D511"/>
    <mergeCell ref="P601:Q601"/>
    <mergeCell ref="P603:Q603"/>
    <mergeCell ref="J506:S506"/>
    <mergeCell ref="G585:K585"/>
    <mergeCell ref="A1149:I1149"/>
    <mergeCell ref="J1239:S1239"/>
    <mergeCell ref="J962:S962"/>
    <mergeCell ref="K266:M266"/>
    <mergeCell ref="J434:K434"/>
    <mergeCell ref="J705:K705"/>
    <mergeCell ref="J505:S505"/>
    <mergeCell ref="J1161:K1161"/>
    <mergeCell ref="J1074:K1074"/>
    <mergeCell ref="L769:M769"/>
    <mergeCell ref="J741:K742"/>
    <mergeCell ref="J617:K617"/>
    <mergeCell ref="J1032:K1032"/>
    <mergeCell ref="P815:Q815"/>
    <mergeCell ref="B651:D651"/>
    <mergeCell ref="J1163:K1163"/>
    <mergeCell ref="J951:K951"/>
    <mergeCell ref="L1138:M1138"/>
    <mergeCell ref="N141:O141"/>
    <mergeCell ref="J619:K619"/>
    <mergeCell ref="J1034:K1034"/>
    <mergeCell ref="H1006:L1006"/>
    <mergeCell ref="B1109:D1109"/>
    <mergeCell ref="H270:L270"/>
    <mergeCell ref="B652:D652"/>
    <mergeCell ref="N739:O739"/>
    <mergeCell ref="J946:K946"/>
    <mergeCell ref="A590:G590"/>
    <mergeCell ref="G631:K631"/>
    <mergeCell ref="J1104:S1104"/>
    <mergeCell ref="A318:I318"/>
    <mergeCell ref="H728:L728"/>
    <mergeCell ref="AE27:AG27"/>
    <mergeCell ref="P833:Q833"/>
    <mergeCell ref="J7:K7"/>
    <mergeCell ref="J330:K330"/>
    <mergeCell ref="G633:K633"/>
    <mergeCell ref="AE20:AG20"/>
    <mergeCell ref="J1087:K1087"/>
    <mergeCell ref="J332:K332"/>
    <mergeCell ref="AE22:AG22"/>
    <mergeCell ref="A778:I778"/>
    <mergeCell ref="A415:S415"/>
    <mergeCell ref="J790:K790"/>
    <mergeCell ref="J1088:K1088"/>
    <mergeCell ref="J661:K661"/>
    <mergeCell ref="B131:F131"/>
    <mergeCell ref="J60:K60"/>
    <mergeCell ref="J273:S273"/>
    <mergeCell ref="L877:M877"/>
    <mergeCell ref="J53:K53"/>
    <mergeCell ref="B729:F729"/>
    <mergeCell ref="J806:K806"/>
    <mergeCell ref="H958:L958"/>
    <mergeCell ref="J387:K387"/>
    <mergeCell ref="J871:S871"/>
    <mergeCell ref="J343:K343"/>
    <mergeCell ref="G863:K863"/>
    <mergeCell ref="J345:K345"/>
    <mergeCell ref="G677:K677"/>
    <mergeCell ref="A635:G635"/>
    <mergeCell ref="M728:S728"/>
    <mergeCell ref="H774:L774"/>
    <mergeCell ref="H317:L317"/>
    <mergeCell ref="N509:O509"/>
    <mergeCell ref="B1241:H1241"/>
    <mergeCell ref="A325:C325"/>
    <mergeCell ref="J71:K71"/>
    <mergeCell ref="A645:S645"/>
    <mergeCell ref="K772:M772"/>
    <mergeCell ref="J1157:K1157"/>
    <mergeCell ref="J1132:K1132"/>
    <mergeCell ref="J73:K73"/>
    <mergeCell ref="A1147:I1147"/>
    <mergeCell ref="B1020:D1020"/>
    <mergeCell ref="A413:I413"/>
    <mergeCell ref="M1052:S1052"/>
    <mergeCell ref="J1159:K1159"/>
    <mergeCell ref="J1134:K1134"/>
    <mergeCell ref="J102:K102"/>
    <mergeCell ref="J425:K425"/>
    <mergeCell ref="J318:S318"/>
    <mergeCell ref="Z12:AA12"/>
    <mergeCell ref="H1004:L1004"/>
    <mergeCell ref="G723:K723"/>
    <mergeCell ref="J756:K756"/>
    <mergeCell ref="B228:H228"/>
    <mergeCell ref="P172:Q172"/>
    <mergeCell ref="J643:S643"/>
    <mergeCell ref="Z14:AA14"/>
    <mergeCell ref="A555:C555"/>
    <mergeCell ref="A133:G133"/>
    <mergeCell ref="J758:K758"/>
    <mergeCell ref="J295:K295"/>
    <mergeCell ref="J847:K847"/>
    <mergeCell ref="M40:S40"/>
    <mergeCell ref="K1002:M1002"/>
    <mergeCell ref="B688:H688"/>
    <mergeCell ref="B789:D789"/>
    <mergeCell ref="J882:K882"/>
    <mergeCell ref="J1180:K1180"/>
    <mergeCell ref="J1216:K1216"/>
    <mergeCell ref="J759:K759"/>
    <mergeCell ref="J1243:S1243"/>
    <mergeCell ref="J753:K753"/>
    <mergeCell ref="F647:G647"/>
    <mergeCell ref="H1144:L1144"/>
    <mergeCell ref="F649:G649"/>
    <mergeCell ref="O223:Q223"/>
    <mergeCell ref="A730:G730"/>
    <mergeCell ref="J898:K898"/>
    <mergeCell ref="G446:K446"/>
    <mergeCell ref="H1050:L1050"/>
    <mergeCell ref="B373:D373"/>
    <mergeCell ref="AE9:AG9"/>
    <mergeCell ref="AB8:AD8"/>
    <mergeCell ref="J471:K471"/>
    <mergeCell ref="J900:K900"/>
    <mergeCell ref="L1056:Q1056"/>
    <mergeCell ref="G1044:K1044"/>
    <mergeCell ref="A460:I460"/>
    <mergeCell ref="H1141:L1141"/>
    <mergeCell ref="AB10:AD10"/>
    <mergeCell ref="AE11:AG11"/>
    <mergeCell ref="J473:K473"/>
    <mergeCell ref="J16:K16"/>
    <mergeCell ref="J229:S229"/>
    <mergeCell ref="J1200:K1200"/>
    <mergeCell ref="J168:K168"/>
    <mergeCell ref="J472:K472"/>
    <mergeCell ref="AE4:AG4"/>
    <mergeCell ref="L143:M143"/>
    <mergeCell ref="B545:F545"/>
    <mergeCell ref="B274:H274"/>
    <mergeCell ref="A737:S737"/>
    <mergeCell ref="J1112:K1112"/>
    <mergeCell ref="J797:K797"/>
    <mergeCell ref="H313:L313"/>
    <mergeCell ref="J67:K67"/>
    <mergeCell ref="J413:S413"/>
    <mergeCell ref="F879:G879"/>
    <mergeCell ref="A960:G960"/>
    <mergeCell ref="A689:I689"/>
    <mergeCell ref="J1128:K1128"/>
    <mergeCell ref="J69:K69"/>
    <mergeCell ref="AB21:AD21"/>
    <mergeCell ref="G355:K355"/>
    <mergeCell ref="J701:K701"/>
    <mergeCell ref="P266:Q266"/>
    <mergeCell ref="J1130:K1130"/>
    <mergeCell ref="AB23:AD23"/>
    <mergeCell ref="J396:K396"/>
    <mergeCell ref="J667:K667"/>
    <mergeCell ref="J527:K527"/>
    <mergeCell ref="M1050:S1050"/>
    <mergeCell ref="J703:K703"/>
    <mergeCell ref="J485:K485"/>
    <mergeCell ref="B320:H320"/>
    <mergeCell ref="K496:M496"/>
    <mergeCell ref="J398:K398"/>
    <mergeCell ref="A686:I686"/>
    <mergeCell ref="N647:O647"/>
    <mergeCell ref="J1125:K1125"/>
    <mergeCell ref="B744:D744"/>
    <mergeCell ref="A41:G41"/>
    <mergeCell ref="AB51:AD51"/>
    <mergeCell ref="A226:I226"/>
    <mergeCell ref="Z10:AA10"/>
    <mergeCell ref="L586:M586"/>
    <mergeCell ref="J238:K238"/>
    <mergeCell ref="J843:K843"/>
    <mergeCell ref="L601:M601"/>
    <mergeCell ref="J240:K240"/>
    <mergeCell ref="J845:K845"/>
    <mergeCell ref="L603:M603"/>
    <mergeCell ref="J749:K749"/>
    <mergeCell ref="A600:S600"/>
    <mergeCell ref="J838:K838"/>
    <mergeCell ref="A1195:I1195"/>
    <mergeCell ref="H83:L83"/>
    <mergeCell ref="A828:I828"/>
    <mergeCell ref="P1063:Q1063"/>
    <mergeCell ref="H1142:L1142"/>
    <mergeCell ref="K82:M82"/>
    <mergeCell ref="B366:H366"/>
    <mergeCell ref="H408:L408"/>
    <mergeCell ref="J108:K108"/>
    <mergeCell ref="Z21:AA21"/>
    <mergeCell ref="P1092:Q1092"/>
    <mergeCell ref="L815:M815"/>
    <mergeCell ref="J1240:S1240"/>
    <mergeCell ref="I1051:K1051"/>
    <mergeCell ref="J442:K442"/>
    <mergeCell ref="A728:G728"/>
    <mergeCell ref="A271:G271"/>
    <mergeCell ref="J896:K896"/>
    <mergeCell ref="Z29:AA29"/>
    <mergeCell ref="J1169:K1169"/>
    <mergeCell ref="M362:S362"/>
    <mergeCell ref="Z23:AA23"/>
    <mergeCell ref="J1242:S1242"/>
    <mergeCell ref="M178:S178"/>
    <mergeCell ref="AB6:AD6"/>
    <mergeCell ref="J779:S779"/>
    <mergeCell ref="B54:D54"/>
    <mergeCell ref="G771:K771"/>
    <mergeCell ref="J891:K891"/>
    <mergeCell ref="M776:S776"/>
    <mergeCell ref="Z24:AA24"/>
    <mergeCell ref="J1225:K1225"/>
    <mergeCell ref="J470:K470"/>
    <mergeCell ref="B468:D468"/>
    <mergeCell ref="O545:Q545"/>
    <mergeCell ref="F787:G787"/>
    <mergeCell ref="J42:S42"/>
    <mergeCell ref="P174:Q174"/>
    <mergeCell ref="J795:K795"/>
    <mergeCell ref="K312:M312"/>
    <mergeCell ref="AB17:AD17"/>
    <mergeCell ref="J411:S411"/>
    <mergeCell ref="M83:S83"/>
    <mergeCell ref="L1015:M1015"/>
    <mergeCell ref="J1207:K1207"/>
    <mergeCell ref="J490:K490"/>
    <mergeCell ref="AB19:AD19"/>
    <mergeCell ref="A594:I594"/>
    <mergeCell ref="B867:F867"/>
    <mergeCell ref="M408:S408"/>
    <mergeCell ref="J796:K796"/>
    <mergeCell ref="J1009:S1009"/>
    <mergeCell ref="B412:H412"/>
    <mergeCell ref="J612:K612"/>
    <mergeCell ref="B100:D100"/>
    <mergeCell ref="A317:G317"/>
    <mergeCell ref="AB20:AD20"/>
    <mergeCell ref="J483:K483"/>
    <mergeCell ref="L734:Q734"/>
    <mergeCell ref="AB14:AD14"/>
    <mergeCell ref="L539:M539"/>
    <mergeCell ref="A595:I595"/>
    <mergeCell ref="A773:G773"/>
    <mergeCell ref="B1155:D1155"/>
    <mergeCell ref="H912:L912"/>
    <mergeCell ref="B698:D698"/>
    <mergeCell ref="H1235:L1235"/>
    <mergeCell ref="J935:K935"/>
    <mergeCell ref="I85:K85"/>
    <mergeCell ref="A463:C463"/>
    <mergeCell ref="AH29:AJ29"/>
    <mergeCell ref="A312:G312"/>
    <mergeCell ref="J666:K666"/>
    <mergeCell ref="J937:K937"/>
    <mergeCell ref="J209:K209"/>
    <mergeCell ref="P861:Q861"/>
    <mergeCell ref="M1191:S1191"/>
    <mergeCell ref="A1061:C1061"/>
    <mergeCell ref="J211:K211"/>
    <mergeCell ref="M1190:S1190"/>
    <mergeCell ref="A922:S922"/>
    <mergeCell ref="J536:K536"/>
    <mergeCell ref="L907:M907"/>
    <mergeCell ref="H589:L589"/>
    <mergeCell ref="A824:I824"/>
    <mergeCell ref="J836:K836"/>
    <mergeCell ref="J560:K560"/>
    <mergeCell ref="B1236:F1236"/>
    <mergeCell ref="P3:Q3"/>
    <mergeCell ref="J106:K106"/>
    <mergeCell ref="L923:M923"/>
    <mergeCell ref="J562:K562"/>
    <mergeCell ref="A552:I552"/>
    <mergeCell ref="P5:Q5"/>
    <mergeCell ref="J1167:K1167"/>
    <mergeCell ref="J433:K433"/>
    <mergeCell ref="B927:D927"/>
    <mergeCell ref="H221:L221"/>
    <mergeCell ref="J435:K435"/>
    <mergeCell ref="J134:S134"/>
    <mergeCell ref="L504:Q504"/>
    <mergeCell ref="J1162:K1162"/>
    <mergeCell ref="F3:G3"/>
    <mergeCell ref="K220:M220"/>
    <mergeCell ref="H819:L819"/>
    <mergeCell ref="P450:Q450"/>
    <mergeCell ref="J580:K580"/>
    <mergeCell ref="J1036:K1036"/>
    <mergeCell ref="M500:S500"/>
    <mergeCell ref="A134:I134"/>
    <mergeCell ref="B504:H504"/>
    <mergeCell ref="M589:S589"/>
    <mergeCell ref="A1141:G1141"/>
    <mergeCell ref="J1038:K1038"/>
    <mergeCell ref="J283:K283"/>
    <mergeCell ref="J581:K581"/>
    <mergeCell ref="J575:K575"/>
    <mergeCell ref="G1182:K1182"/>
    <mergeCell ref="M958:S958"/>
    <mergeCell ref="M501:S501"/>
    <mergeCell ref="L34:M34"/>
    <mergeCell ref="J577:K577"/>
    <mergeCell ref="A917:I917"/>
    <mergeCell ref="A875:S875"/>
  </mergeCells>
  <printOptions horizontalCentered="1"/>
  <pageMargins left="0.1574803149606299" right="0.1574803149606299" top="0.1968503937007874" bottom="0.1968503937007874" header="0.3149606299212598" footer="0.3149606299212598"/>
  <pageSetup orientation="portrait" paperSize="9" scale="73" horizontalDpi="4294967293" verticalDpi="360"/>
  <rowBreaks count="26" manualBreakCount="26">
    <brk id="46" min="0" max="34" man="1"/>
    <brk id="92" min="0" max="34" man="1"/>
    <brk id="138" min="0" max="34" man="1"/>
    <brk id="184" min="0" max="34" man="1"/>
    <brk id="230" min="0" max="34" man="1"/>
    <brk id="276" min="0" max="34" man="1"/>
    <brk id="322" min="0" max="36" man="1"/>
    <brk id="368" min="0" max="36" man="1"/>
    <brk id="414" min="0" max="34" man="1"/>
    <brk id="460" min="0" max="34" man="1"/>
    <brk id="506" min="0" max="36" man="1"/>
    <brk id="552" min="0" max="34" man="1"/>
    <brk id="598" min="0" max="36" man="1"/>
    <brk id="644" min="0" max="36" man="1"/>
    <brk id="690" min="0" max="36" man="1"/>
    <brk id="736" min="0" max="36" man="1"/>
    <brk id="782" min="0" max="36" man="1"/>
    <brk id="828" min="0" max="34" man="1"/>
    <brk id="874" min="0" max="34" man="1"/>
    <brk id="920" min="0" max="34" man="1"/>
    <brk id="966" min="0" max="34" man="1"/>
    <brk id="1012" min="0" max="34" man="1"/>
    <brk id="1058" min="0" max="34" man="1"/>
    <brk id="1104" min="0" max="34" man="1"/>
    <brk id="1150" min="0" max="34" man="1"/>
    <brk id="1196" min="0" max="34" man="1"/>
  </rowBreaks>
  <colBreaks count="1" manualBreakCount="1">
    <brk id="19" min="0" max="1199" man="1"/>
  </col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243"/>
  <sheetViews>
    <sheetView view="pageBreakPreview" topLeftCell="A65" zoomScaleNormal="115" zoomScaleSheetLayoutView="100" workbookViewId="0">
      <selection activeCell="H74" sqref="H74"/>
    </sheetView>
  </sheetViews>
  <sheetFormatPr baseColWidth="8" defaultColWidth="9.109375" defaultRowHeight="18"/>
  <cols>
    <col width="3.33203125" customWidth="1" style="8" min="1" max="1"/>
    <col width="5" customWidth="1" style="8" min="2" max="2"/>
    <col width="3.6640625" customWidth="1" style="8" min="3" max="3"/>
    <col width="11.5546875" customWidth="1" style="8" min="4" max="4"/>
    <col width="6.5546875" customWidth="1" style="8" min="5" max="5"/>
    <col width="3.44140625" customWidth="1" style="8" min="6" max="6"/>
    <col width="11.88671875" customWidth="1" style="8" min="7" max="7"/>
    <col width="10.44140625" customWidth="1" style="8" min="8" max="8"/>
    <col width="16.109375" customWidth="1" style="249" min="9" max="9"/>
    <col width="4.44140625" customWidth="1" style="8" min="10" max="10"/>
    <col width="6.5546875" customWidth="1" style="8" min="11" max="11"/>
    <col width="6.6640625" customWidth="1" style="8" min="12" max="13"/>
    <col width="8.6640625" customWidth="1" style="8" min="14" max="14"/>
    <col width="9.5546875" customWidth="1" style="8" min="15" max="15"/>
    <col width="6.6640625" customWidth="1" style="8" min="16" max="17"/>
    <col width="8.6640625" customWidth="1" style="8" min="18" max="18"/>
    <col width="9.6640625" customWidth="1" style="8" min="19" max="19"/>
    <col width="8.6640625" customWidth="1" style="8" min="20" max="20"/>
    <col width="3" customWidth="1" style="8" min="21" max="21"/>
    <col width="8.6640625" customWidth="1" style="8" min="22" max="22"/>
    <col width="3" customWidth="1" style="8" min="23" max="23"/>
    <col width="8.6640625" customWidth="1" style="8" min="24" max="24"/>
    <col width="3" customWidth="1" style="8" min="25" max="25"/>
    <col width="8.6640625" customWidth="1" style="8" min="26" max="26"/>
    <col width="3" customWidth="1" style="8" min="27" max="27"/>
    <col width="9.109375" customWidth="1" style="8" min="28" max="16384"/>
  </cols>
  <sheetData>
    <row r="1" ht="22.2" customHeight="1" s="330">
      <c r="A1" s="254" t="inlineStr">
        <is>
          <t>ใบเบิกจ่ายเงินค่าสอนพิเศษและค่าสอนเกินภาระงานสอนในสถานศึกษา</t>
        </is>
      </c>
      <c r="Z1" s="261" t="n"/>
      <c r="AA1" s="261" t="n"/>
    </row>
    <row r="2" ht="22.2" customHeight="1" s="330">
      <c r="A2" s="254" t="inlineStr">
        <is>
          <t>แผนกวิชายานยนต์ไฟฟ้า</t>
        </is>
      </c>
      <c r="Y2" s="331" t="n"/>
      <c r="Z2" s="260" t="inlineStr">
        <is>
          <t>ลำดับ</t>
        </is>
      </c>
      <c r="AA2" s="362" t="n"/>
      <c r="AB2" s="257" t="inlineStr">
        <is>
          <t>รายชื่อ</t>
        </is>
      </c>
      <c r="AC2" s="467" t="n"/>
      <c r="AD2" s="467" t="n"/>
      <c r="AE2" s="260" t="inlineStr">
        <is>
          <t>รวม ชม./ ส.</t>
        </is>
      </c>
      <c r="AF2" s="467" t="n"/>
      <c r="AG2" s="362" t="n"/>
      <c r="AH2" s="260" t="inlineStr">
        <is>
          <t>รวม ค่าสอน / สัปดาห์</t>
        </is>
      </c>
      <c r="AI2" s="467" t="n"/>
      <c r="AJ2" s="362" t="n"/>
    </row>
    <row r="3" ht="22.2" customHeight="1" s="330">
      <c r="A3" s="253" t="inlineStr">
        <is>
          <t xml:space="preserve">    ระหว่างวันที่</t>
        </is>
      </c>
      <c r="D3" s="254" t="n">
        <v>18</v>
      </c>
      <c r="E3" s="254" t="inlineStr">
        <is>
          <t xml:space="preserve">   เดือน  </t>
        </is>
      </c>
      <c r="F3" s="254" t="inlineStr">
        <is>
          <t>ธันวาคม</t>
        </is>
      </c>
      <c r="H3" s="254" t="inlineStr">
        <is>
          <t>พ.ศ. 2566</t>
        </is>
      </c>
      <c r="I3" s="254" t="inlineStr">
        <is>
          <t xml:space="preserve">     ถึง วันที่</t>
        </is>
      </c>
      <c r="J3" s="254" t="n">
        <v>22</v>
      </c>
      <c r="K3" s="254" t="inlineStr">
        <is>
          <t xml:space="preserve">   เดือน </t>
        </is>
      </c>
      <c r="L3" s="254" t="inlineStr">
        <is>
          <t>ธันวาคม</t>
        </is>
      </c>
      <c r="N3" s="254" t="inlineStr">
        <is>
          <t>พ.ศ. 2566</t>
        </is>
      </c>
      <c r="P3" s="254" t="n"/>
      <c r="R3" s="254" t="n"/>
      <c r="Y3" s="331" t="n"/>
      <c r="Z3" s="468" t="n">
        <v>1</v>
      </c>
      <c r="AA3" s="335" t="n"/>
      <c r="AB3" s="469" t="inlineStr">
        <is>
          <t>นายอาทิตย์  แก้วแดง</t>
        </is>
      </c>
      <c r="AD3" s="331" t="n"/>
      <c r="AE3" s="275">
        <f>H36</f>
        <v/>
      </c>
      <c r="AF3" s="334" t="n"/>
      <c r="AG3" s="335" t="n"/>
      <c r="AH3" s="470">
        <f>P36</f>
        <v/>
      </c>
      <c r="AI3" s="334" t="n"/>
      <c r="AJ3" s="335" t="n"/>
    </row>
    <row r="4" ht="22.2" customHeight="1" s="330">
      <c r="G4" s="58" t="inlineStr">
        <is>
          <t>ü</t>
        </is>
      </c>
      <c r="H4" s="290" t="inlineStr">
        <is>
          <t>ครู</t>
        </is>
      </c>
      <c r="I4" s="249" t="inlineStr">
        <is>
          <t>หน้าที่พิเศษ</t>
        </is>
      </c>
      <c r="J4" s="261" t="inlineStr">
        <is>
          <t>หัวหน้าแผนกยานยนต์ไฟฟ้า</t>
        </is>
      </c>
      <c r="K4" s="471" t="n"/>
      <c r="L4" s="471" t="n"/>
      <c r="M4" s="471" t="n"/>
      <c r="N4" s="471" t="n"/>
      <c r="Y4" s="331" t="n"/>
      <c r="Z4" s="472" t="n">
        <v>2</v>
      </c>
      <c r="AA4" s="331" t="n"/>
      <c r="AB4" s="240" t="inlineStr">
        <is>
          <t>นางสาวปาจารีย์  กฐินทอง</t>
        </is>
      </c>
      <c r="AE4" s="252">
        <f>H82</f>
        <v/>
      </c>
      <c r="AG4" s="331" t="n"/>
      <c r="AH4" s="251">
        <f>P82</f>
        <v/>
      </c>
      <c r="AJ4" s="331" t="n"/>
    </row>
    <row r="5" ht="22.2" customHeight="1" s="330">
      <c r="A5" s="28" t="inlineStr">
        <is>
          <t>ที่</t>
        </is>
      </c>
      <c r="B5" s="28" t="inlineStr">
        <is>
          <t>ชื่อ-สกุล</t>
        </is>
      </c>
      <c r="C5" s="334" t="n"/>
      <c r="D5" s="335" t="n"/>
      <c r="E5" s="16" t="inlineStr">
        <is>
          <t>ตำแหน่ง</t>
        </is>
      </c>
      <c r="F5" s="17" t="inlineStr">
        <is>
          <t>ระยะเวลาที่สอน</t>
        </is>
      </c>
      <c r="G5" s="362" t="n"/>
      <c r="H5" s="17" t="inlineStr">
        <is>
          <t>รหัสวิชา</t>
        </is>
      </c>
      <c r="I5" s="275" t="inlineStr">
        <is>
          <t>ชั้น,แผนก,ห้อง</t>
        </is>
      </c>
      <c r="J5" s="17" t="inlineStr">
        <is>
          <t>เวลาสอน</t>
        </is>
      </c>
      <c r="K5" s="335" t="n"/>
      <c r="L5" s="17" t="inlineStr">
        <is>
          <t>ปวช.(คาบ)</t>
        </is>
      </c>
      <c r="M5" s="362" t="n"/>
      <c r="N5" s="244" t="inlineStr">
        <is>
          <t>เงิน</t>
        </is>
      </c>
      <c r="O5" s="275" t="inlineStr">
        <is>
          <t>ยอดเงิน</t>
        </is>
      </c>
      <c r="P5" s="473" t="inlineStr">
        <is>
          <t>ปวส.(คาบ)</t>
        </is>
      </c>
      <c r="Q5" s="362" t="n"/>
      <c r="R5" s="244" t="inlineStr">
        <is>
          <t>เงิน</t>
        </is>
      </c>
      <c r="S5" s="275" t="inlineStr">
        <is>
          <t>ยอดเงิน</t>
        </is>
      </c>
      <c r="V5" s="240" t="n"/>
      <c r="Y5" s="331" t="n"/>
      <c r="Z5" s="472" t="n">
        <v>3</v>
      </c>
      <c r="AA5" s="331" t="n"/>
      <c r="AB5" s="240" t="n"/>
      <c r="AE5" s="252">
        <f>H128</f>
        <v/>
      </c>
      <c r="AG5" s="331" t="n"/>
      <c r="AH5" s="251">
        <f>P128</f>
        <v/>
      </c>
      <c r="AJ5" s="331" t="n"/>
    </row>
    <row r="6" ht="22.2" customHeight="1" s="330">
      <c r="A6" s="60" t="n"/>
      <c r="B6" s="9" t="n"/>
      <c r="C6" s="10" t="n"/>
      <c r="D6" s="14" t="n"/>
      <c r="E6" s="11" t="n"/>
      <c r="F6" s="276" t="inlineStr">
        <is>
          <t>ส.</t>
        </is>
      </c>
      <c r="G6" s="276" t="inlineStr">
        <is>
          <t>วดป.</t>
        </is>
      </c>
      <c r="H6" s="474" t="n"/>
      <c r="I6" s="276" t="n"/>
      <c r="J6" s="475" t="n"/>
      <c r="K6" s="476" t="n"/>
      <c r="L6" s="276" t="inlineStr">
        <is>
          <t>ใน</t>
        </is>
      </c>
      <c r="M6" s="276" t="inlineStr">
        <is>
          <t>นอก</t>
        </is>
      </c>
      <c r="N6" s="276" t="inlineStr">
        <is>
          <t>ต่อ ชม.</t>
        </is>
      </c>
      <c r="O6" s="276" t="inlineStr">
        <is>
          <t>(บาท)</t>
        </is>
      </c>
      <c r="P6" s="60" t="inlineStr">
        <is>
          <t>ใน</t>
        </is>
      </c>
      <c r="Q6" s="60" t="inlineStr">
        <is>
          <t>นอก</t>
        </is>
      </c>
      <c r="R6" s="276" t="inlineStr">
        <is>
          <t>ต่อ ชม.</t>
        </is>
      </c>
      <c r="S6" s="276" t="inlineStr">
        <is>
          <t>(บาท)</t>
        </is>
      </c>
      <c r="Y6" s="331" t="n"/>
      <c r="Z6" s="472" t="n">
        <v>4</v>
      </c>
      <c r="AA6" s="331" t="n"/>
      <c r="AB6" s="241" t="n"/>
      <c r="AD6" s="331" t="n"/>
      <c r="AE6" s="252">
        <f>H174</f>
        <v/>
      </c>
      <c r="AG6" s="331" t="n"/>
      <c r="AH6" s="251">
        <f>P174</f>
        <v/>
      </c>
      <c r="AJ6" s="331" t="n"/>
    </row>
    <row r="7" ht="22.2" customHeight="1" s="330">
      <c r="A7" s="275" t="n">
        <v>1</v>
      </c>
      <c r="B7" s="477">
        <f>AB3</f>
        <v/>
      </c>
      <c r="C7" s="334" t="n"/>
      <c r="D7" s="335" t="n"/>
      <c r="E7" s="275" t="inlineStr">
        <is>
          <t>ครู</t>
        </is>
      </c>
      <c r="F7" s="6" t="n">
        <v>10</v>
      </c>
      <c r="G7" s="303" t="inlineStr">
        <is>
          <t>จันทร์</t>
        </is>
      </c>
      <c r="H7" s="332" t="inlineStr">
        <is>
          <t>30101-2607</t>
        </is>
      </c>
      <c r="I7" s="325" t="inlineStr">
        <is>
          <t>ปวส.2/5 สยฟ. (ม.6)</t>
        </is>
      </c>
      <c r="J7" s="332" t="inlineStr">
        <is>
          <t>08.10-12.10</t>
        </is>
      </c>
      <c r="K7" s="335" t="n"/>
      <c r="L7" s="265" t="n"/>
      <c r="M7" s="332" t="n"/>
      <c r="N7" s="332" t="n"/>
      <c r="O7" s="244">
        <f>M7*N7</f>
        <v/>
      </c>
      <c r="P7" s="332" t="n"/>
      <c r="Q7" s="265" t="n">
        <v>4</v>
      </c>
      <c r="R7" s="332" t="n">
        <v>270</v>
      </c>
      <c r="S7" s="244">
        <f>Q7*R7</f>
        <v/>
      </c>
      <c r="Y7" s="3" t="n"/>
      <c r="Z7" s="472" t="n">
        <v>5</v>
      </c>
      <c r="AA7" s="331" t="n"/>
      <c r="AB7" s="241" t="n"/>
      <c r="AD7" s="331" t="n"/>
      <c r="AE7" s="252">
        <f>H220</f>
        <v/>
      </c>
      <c r="AG7" s="331" t="n"/>
      <c r="AH7" s="251">
        <f>P220</f>
        <v/>
      </c>
      <c r="AJ7" s="331" t="n"/>
    </row>
    <row r="8" ht="22.2" customHeight="1" s="330">
      <c r="A8" s="4" t="n"/>
      <c r="B8" s="478" t="n"/>
      <c r="D8" s="331" t="n"/>
      <c r="E8" s="252" t="n"/>
      <c r="F8" s="249" t="n"/>
      <c r="G8" s="74" t="inlineStr">
        <is>
          <t>18 ธ.ค.66</t>
        </is>
      </c>
      <c r="H8" s="325" t="inlineStr">
        <is>
          <t>30143-2005</t>
        </is>
      </c>
      <c r="I8" s="325" t="inlineStr">
        <is>
          <t>ปวส.1/2 สยฟ. (ทวิ)</t>
        </is>
      </c>
      <c r="J8" s="325" t="inlineStr">
        <is>
          <t>14.10-19.10</t>
        </is>
      </c>
      <c r="K8" s="331" t="n"/>
      <c r="L8" s="252" t="n"/>
      <c r="M8" s="252" t="n"/>
      <c r="N8" s="252" t="n"/>
      <c r="O8" s="244">
        <f>M8*N8</f>
        <v/>
      </c>
      <c r="P8" s="252" t="n">
        <v>5</v>
      </c>
      <c r="Q8" s="252" t="n"/>
      <c r="R8" s="252" t="n"/>
      <c r="S8" s="244">
        <f>Q8*R8</f>
        <v/>
      </c>
      <c r="Z8" s="472" t="n">
        <v>6</v>
      </c>
      <c r="AA8" s="331" t="n"/>
      <c r="AB8" s="469" t="n"/>
      <c r="AD8" s="331" t="n"/>
      <c r="AE8" s="252">
        <f>H266</f>
        <v/>
      </c>
      <c r="AG8" s="331" t="n"/>
      <c r="AH8" s="251">
        <f>P266</f>
        <v/>
      </c>
      <c r="AJ8" s="331" t="n"/>
    </row>
    <row r="9" ht="22.2" customHeight="1" s="330">
      <c r="A9" s="4" t="n"/>
      <c r="B9" s="5" t="n"/>
      <c r="D9" s="3" t="n"/>
      <c r="E9" s="3" t="n"/>
      <c r="F9" s="249" t="n"/>
      <c r="G9" s="248" t="n"/>
      <c r="H9" s="325" t="n"/>
      <c r="I9" s="325" t="n"/>
      <c r="J9" s="325" t="n"/>
      <c r="K9" s="331" t="n"/>
      <c r="L9" s="252" t="n"/>
      <c r="M9" s="252" t="n"/>
      <c r="N9" s="252" t="n"/>
      <c r="O9" s="244">
        <f>M9*N9</f>
        <v/>
      </c>
      <c r="P9" s="252" t="n"/>
      <c r="Q9" s="252" t="n"/>
      <c r="R9" s="252" t="n"/>
      <c r="S9" s="244">
        <f>Q9*R9</f>
        <v/>
      </c>
      <c r="T9" s="287" t="inlineStr">
        <is>
          <t>สอน ป.ตรี</t>
        </is>
      </c>
      <c r="Y9" s="71" t="n"/>
      <c r="Z9" s="472" t="n">
        <v>7</v>
      </c>
      <c r="AA9" s="331" t="n"/>
      <c r="AB9" s="469" t="n"/>
      <c r="AD9" s="331" t="n"/>
      <c r="AE9" s="252">
        <f>H312</f>
        <v/>
      </c>
      <c r="AG9" s="331" t="n"/>
      <c r="AH9" s="251">
        <f>P312</f>
        <v/>
      </c>
      <c r="AJ9" s="331" t="n"/>
    </row>
    <row r="10" ht="22.2" customHeight="1" s="330">
      <c r="A10" s="4" t="n"/>
      <c r="B10" s="5" t="n"/>
      <c r="E10" s="4" t="n"/>
      <c r="F10" s="249" t="n"/>
      <c r="G10" s="248" t="n"/>
      <c r="H10" s="252" t="n"/>
      <c r="I10" s="252" t="n"/>
      <c r="J10" s="252" t="n"/>
      <c r="K10" s="331" t="n"/>
      <c r="L10" s="252" t="n"/>
      <c r="M10" s="252" t="n"/>
      <c r="N10" s="252" t="n"/>
      <c r="O10" s="244">
        <f>M10*N10</f>
        <v/>
      </c>
      <c r="P10" s="252" t="n"/>
      <c r="Q10" s="252" t="n"/>
      <c r="R10" s="252" t="n"/>
      <c r="S10" s="244">
        <f>Q10*R10</f>
        <v/>
      </c>
      <c r="T10" s="24" t="n"/>
      <c r="U10" s="24" t="inlineStr">
        <is>
          <t>19.10-20.10</t>
        </is>
      </c>
      <c r="V10" s="65" t="n"/>
      <c r="W10" s="24" t="n"/>
      <c r="X10" s="24" t="n"/>
      <c r="Y10" s="72" t="n"/>
      <c r="Z10" s="472" t="n">
        <v>8</v>
      </c>
      <c r="AA10" s="331" t="n"/>
      <c r="AB10" s="469" t="n"/>
      <c r="AD10" s="331" t="n"/>
      <c r="AE10" s="252">
        <f>H358</f>
        <v/>
      </c>
      <c r="AG10" s="331" t="n"/>
      <c r="AH10" s="251">
        <f>P358</f>
        <v/>
      </c>
      <c r="AJ10" s="331" t="n"/>
    </row>
    <row r="11" ht="22.2" customHeight="1" s="330">
      <c r="A11" s="4" t="n"/>
      <c r="D11" s="70" t="n"/>
      <c r="E11" s="4" t="n"/>
      <c r="G11" s="311" t="n"/>
      <c r="H11" s="276" t="n"/>
      <c r="I11" s="276" t="n"/>
      <c r="J11" s="276" t="n"/>
      <c r="K11" s="476" t="n"/>
      <c r="L11" s="252" t="n"/>
      <c r="M11" s="252" t="n"/>
      <c r="N11" s="252" t="n"/>
      <c r="O11" s="244">
        <f>M11*N11</f>
        <v/>
      </c>
      <c r="P11" s="252" t="n"/>
      <c r="Q11" s="252" t="n"/>
      <c r="R11" s="252" t="n"/>
      <c r="S11" s="244">
        <f>Q11*R11</f>
        <v/>
      </c>
      <c r="W11" s="72" t="n"/>
      <c r="X11" s="72" t="n"/>
      <c r="Y11" s="290" t="n"/>
      <c r="Z11" s="472" t="n">
        <v>9</v>
      </c>
      <c r="AA11" s="331" t="n"/>
      <c r="AB11" s="479" t="n"/>
      <c r="AD11" s="331" t="n"/>
      <c r="AE11" s="252">
        <f>H404</f>
        <v/>
      </c>
      <c r="AG11" s="331" t="n"/>
      <c r="AH11" s="251">
        <f>P404</f>
        <v/>
      </c>
      <c r="AJ11" s="331" t="n"/>
    </row>
    <row r="12" ht="22.2" customHeight="1" s="330">
      <c r="A12" s="4" t="n"/>
      <c r="E12" s="4" t="n"/>
      <c r="G12" s="62" t="inlineStr">
        <is>
          <t>อังคาร</t>
        </is>
      </c>
      <c r="H12" s="325" t="n"/>
      <c r="I12" s="325" t="n"/>
      <c r="J12" s="332" t="n"/>
      <c r="K12" s="335" t="n"/>
      <c r="L12" s="265" t="n"/>
      <c r="M12" s="332" t="n"/>
      <c r="N12" s="332" t="n"/>
      <c r="O12" s="244">
        <f>M12*N12</f>
        <v/>
      </c>
      <c r="P12" s="332" t="n"/>
      <c r="Q12" s="265" t="n"/>
      <c r="R12" s="332" t="n"/>
      <c r="S12" s="244">
        <f>Q12*R12</f>
        <v/>
      </c>
      <c r="W12" s="71" t="n"/>
      <c r="X12" s="71" t="n"/>
      <c r="Y12" s="71" t="n"/>
      <c r="Z12" s="472" t="n">
        <v>10</v>
      </c>
      <c r="AA12" s="331" t="n"/>
      <c r="AB12" s="469" t="n"/>
      <c r="AD12" s="331" t="n"/>
      <c r="AE12" s="251">
        <f>H450</f>
        <v/>
      </c>
      <c r="AG12" s="331" t="n"/>
      <c r="AH12" s="251">
        <f>P450</f>
        <v/>
      </c>
      <c r="AJ12" s="331" t="n"/>
    </row>
    <row r="13" ht="22.2" customHeight="1" s="330">
      <c r="A13" s="4" t="n"/>
      <c r="E13" s="4" t="n"/>
      <c r="G13" s="74" t="inlineStr">
        <is>
          <t>19 ธ.ค.66</t>
        </is>
      </c>
      <c r="H13" s="325" t="n"/>
      <c r="I13" s="325" t="n"/>
      <c r="J13" s="252" t="n"/>
      <c r="K13" s="331" t="n"/>
      <c r="L13" s="252" t="n"/>
      <c r="M13" s="252" t="n"/>
      <c r="N13" s="252" t="n"/>
      <c r="O13" s="244">
        <f>M13*N13</f>
        <v/>
      </c>
      <c r="P13" s="252" t="n"/>
      <c r="Q13" s="252" t="n"/>
      <c r="R13" s="252" t="n"/>
      <c r="S13" s="244">
        <f>Q13*R13</f>
        <v/>
      </c>
      <c r="W13" s="71" t="n"/>
      <c r="X13" s="71" t="n"/>
      <c r="Y13" s="71" t="n"/>
      <c r="Z13" s="472" t="n">
        <v>11</v>
      </c>
      <c r="AA13" s="331" t="n"/>
      <c r="AB13" s="240" t="n"/>
      <c r="AE13" s="251">
        <f>H496</f>
        <v/>
      </c>
      <c r="AG13" s="331" t="n"/>
      <c r="AH13" s="251">
        <f>P496</f>
        <v/>
      </c>
      <c r="AJ13" s="331" t="n"/>
    </row>
    <row r="14" ht="22.2" customHeight="1" s="330">
      <c r="A14" s="4" t="n"/>
      <c r="B14" s="5" t="n"/>
      <c r="D14" s="3" t="n"/>
      <c r="E14" s="3" t="n"/>
      <c r="G14" s="252" t="n"/>
      <c r="H14" s="252" t="n"/>
      <c r="I14" s="325" t="n"/>
      <c r="J14" s="252" t="n"/>
      <c r="K14" s="331" t="n"/>
      <c r="L14" s="252" t="n"/>
      <c r="M14" s="252" t="n"/>
      <c r="N14" s="252" t="n"/>
      <c r="O14" s="244">
        <f>M14*N14</f>
        <v/>
      </c>
      <c r="P14" s="252" t="n"/>
      <c r="Q14" s="252" t="n"/>
      <c r="R14" s="252" t="n"/>
      <c r="S14" s="244">
        <f>Q14*R14</f>
        <v/>
      </c>
      <c r="Y14" s="71" t="n"/>
      <c r="Z14" s="472" t="n">
        <v>12</v>
      </c>
      <c r="AA14" s="331" t="n"/>
      <c r="AB14" s="240" t="n"/>
      <c r="AE14" s="251">
        <f>H542</f>
        <v/>
      </c>
      <c r="AG14" s="331" t="n"/>
      <c r="AH14" s="251">
        <f>P542</f>
        <v/>
      </c>
      <c r="AJ14" s="331" t="n"/>
    </row>
    <row r="15" ht="22.2" customHeight="1" s="330">
      <c r="A15" s="4" t="n"/>
      <c r="E15" s="4" t="n"/>
      <c r="G15" s="62" t="n"/>
      <c r="H15" s="249" t="n"/>
      <c r="I15" s="252" t="n"/>
      <c r="J15" s="252" t="n"/>
      <c r="K15" s="331" t="n"/>
      <c r="L15" s="252" t="n"/>
      <c r="M15" s="252" t="n"/>
      <c r="N15" s="252" t="n"/>
      <c r="O15" s="244">
        <f>M15*N15</f>
        <v/>
      </c>
      <c r="P15" s="252" t="n"/>
      <c r="Q15" s="252" t="n"/>
      <c r="R15" s="252" t="n"/>
      <c r="S15" s="244">
        <f>Q15*R15</f>
        <v/>
      </c>
      <c r="W15" s="71" t="n"/>
      <c r="X15" s="71" t="n"/>
      <c r="Y15" s="71" t="n"/>
      <c r="Z15" s="472" t="n">
        <v>13</v>
      </c>
      <c r="AA15" s="331" t="n"/>
      <c r="AB15" s="480" t="n"/>
      <c r="AD15" s="331" t="n"/>
      <c r="AE15" s="251">
        <f>H588</f>
        <v/>
      </c>
      <c r="AG15" s="331" t="n"/>
      <c r="AH15" s="251">
        <f>P588</f>
        <v/>
      </c>
      <c r="AJ15" s="331" t="n"/>
    </row>
    <row r="16" ht="22.2" customHeight="1" s="330">
      <c r="A16" s="4" t="n"/>
      <c r="D16" s="8" t="inlineStr">
        <is>
          <t> </t>
        </is>
      </c>
      <c r="E16" s="4" t="n"/>
      <c r="G16" s="63" t="n"/>
      <c r="H16" s="276" t="n"/>
      <c r="I16" s="276" t="n"/>
      <c r="J16" s="276" t="n"/>
      <c r="K16" s="476" t="n"/>
      <c r="L16" s="252" t="n"/>
      <c r="M16" s="252" t="n"/>
      <c r="N16" s="252" t="n"/>
      <c r="O16" s="244">
        <f>M16*N16</f>
        <v/>
      </c>
      <c r="P16" s="252" t="n"/>
      <c r="Q16" s="252" t="n"/>
      <c r="R16" s="252" t="n"/>
      <c r="S16" s="244">
        <f>Q16*R16</f>
        <v/>
      </c>
      <c r="Y16" s="71" t="n"/>
      <c r="Z16" s="472" t="n">
        <v>14</v>
      </c>
      <c r="AA16" s="331" t="n"/>
      <c r="AB16" s="480" t="n"/>
      <c r="AD16" s="331" t="n"/>
      <c r="AE16" s="251">
        <f>H634</f>
        <v/>
      </c>
      <c r="AG16" s="331" t="n"/>
      <c r="AH16" s="251">
        <f>P634</f>
        <v/>
      </c>
      <c r="AJ16" s="331" t="n"/>
    </row>
    <row r="17" ht="22.2" customHeight="1" s="330">
      <c r="A17" s="4" t="n"/>
      <c r="E17" s="4" t="n"/>
      <c r="G17" s="308" t="inlineStr">
        <is>
          <t>พุธ</t>
        </is>
      </c>
      <c r="H17" s="325" t="inlineStr">
        <is>
          <t>30143-2004</t>
        </is>
      </c>
      <c r="I17" s="325" t="inlineStr">
        <is>
          <t>ปวส.1/1 สยฟ. (ทวิ)</t>
        </is>
      </c>
      <c r="J17" s="332" t="inlineStr">
        <is>
          <t>08.10-12.10</t>
        </is>
      </c>
      <c r="K17" s="335" t="n"/>
      <c r="L17" s="265" t="n"/>
      <c r="M17" s="332" t="n"/>
      <c r="N17" s="332" t="n"/>
      <c r="O17" s="244">
        <f>M17*N17</f>
        <v/>
      </c>
      <c r="P17" s="332" t="n"/>
      <c r="Q17" s="265" t="n">
        <v>4</v>
      </c>
      <c r="R17" s="332" t="n">
        <v>270</v>
      </c>
      <c r="S17" s="244">
        <f>Q17*R17</f>
        <v/>
      </c>
      <c r="Y17" s="71" t="n"/>
      <c r="Z17" s="472" t="n">
        <v>15</v>
      </c>
      <c r="AA17" s="331" t="n"/>
      <c r="AB17" s="469" t="n"/>
      <c r="AD17" s="331" t="n"/>
      <c r="AE17" s="251">
        <f>H680</f>
        <v/>
      </c>
      <c r="AG17" s="331" t="n"/>
      <c r="AH17" s="251">
        <f>P680</f>
        <v/>
      </c>
      <c r="AJ17" s="331" t="n"/>
    </row>
    <row r="18" ht="22.2" customHeight="1" s="330">
      <c r="A18" s="4" t="n"/>
      <c r="B18" s="248" t="n"/>
      <c r="C18" s="249" t="n"/>
      <c r="D18" s="249" t="n"/>
      <c r="E18" s="252" t="n"/>
      <c r="G18" s="74" t="inlineStr">
        <is>
          <t>20 ธ.ค.66</t>
        </is>
      </c>
      <c r="H18" s="325" t="inlineStr">
        <is>
          <t>30143-2004</t>
        </is>
      </c>
      <c r="I18" s="325" t="inlineStr">
        <is>
          <t>ปวส.1/1 สยฟ. (ทวิ)</t>
        </is>
      </c>
      <c r="J18" s="252" t="inlineStr">
        <is>
          <t>13.10-14.10</t>
        </is>
      </c>
      <c r="K18" s="331" t="n"/>
      <c r="L18" s="252" t="n"/>
      <c r="M18" s="252" t="n"/>
      <c r="N18" s="252" t="n"/>
      <c r="O18" s="244">
        <f>M18*N18</f>
        <v/>
      </c>
      <c r="P18" s="252" t="n">
        <v>1</v>
      </c>
      <c r="Q18" s="252" t="n"/>
      <c r="R18" s="252" t="n"/>
      <c r="S18" s="244">
        <f>Q18*R18</f>
        <v/>
      </c>
      <c r="W18" s="71" t="n"/>
      <c r="X18" s="71" t="n"/>
      <c r="Z18" s="472" t="n">
        <v>16</v>
      </c>
      <c r="AA18" s="331" t="n"/>
      <c r="AB18" s="469" t="n"/>
      <c r="AD18" s="331" t="n"/>
      <c r="AE18" s="251">
        <f>H726</f>
        <v/>
      </c>
      <c r="AG18" s="331" t="n"/>
      <c r="AH18" s="251">
        <f>P726</f>
        <v/>
      </c>
      <c r="AJ18" s="331" t="n"/>
    </row>
    <row r="19" ht="22.2" customHeight="1" s="330">
      <c r="A19" s="4" t="n"/>
      <c r="B19" s="5" t="n"/>
      <c r="D19" s="3" t="n"/>
      <c r="E19" s="3" t="n"/>
      <c r="G19" s="252" t="n"/>
      <c r="H19" s="325" t="inlineStr">
        <is>
          <t>30143-2004</t>
        </is>
      </c>
      <c r="I19" s="325" t="inlineStr">
        <is>
          <t>ปวส.1/2 สยฟ. (ทวิ)</t>
        </is>
      </c>
      <c r="J19" s="325" t="inlineStr">
        <is>
          <t>14.10-19.10</t>
        </is>
      </c>
      <c r="K19" s="331" t="n"/>
      <c r="L19" s="252" t="n"/>
      <c r="M19" s="252" t="n"/>
      <c r="N19" s="252" t="n"/>
      <c r="O19" s="244">
        <f>M19*N19</f>
        <v/>
      </c>
      <c r="P19" s="252" t="n">
        <v>5</v>
      </c>
      <c r="Q19" s="252" t="n"/>
      <c r="R19" s="252" t="n"/>
      <c r="S19" s="244">
        <f>Q19*R19</f>
        <v/>
      </c>
      <c r="T19" s="287" t="inlineStr">
        <is>
          <t>สอน ป.ตรี</t>
        </is>
      </c>
      <c r="Z19" s="472" t="n">
        <v>17</v>
      </c>
      <c r="AA19" s="331" t="n"/>
      <c r="AB19" s="479" t="n"/>
      <c r="AD19" s="331" t="n"/>
      <c r="AE19" s="251">
        <f>H772</f>
        <v/>
      </c>
      <c r="AG19" s="331" t="n"/>
      <c r="AH19" s="251">
        <f>P772</f>
        <v/>
      </c>
      <c r="AJ19" s="331" t="n"/>
    </row>
    <row r="20" ht="22.2" customHeight="1" s="330">
      <c r="A20" s="4" t="n"/>
      <c r="E20" s="4" t="n"/>
      <c r="G20" s="248" t="n"/>
      <c r="H20" s="252" t="n"/>
      <c r="I20" s="325" t="n"/>
      <c r="J20" s="252" t="n"/>
      <c r="K20" s="331" t="n"/>
      <c r="L20" s="252" t="n"/>
      <c r="M20" s="252" t="n"/>
      <c r="N20" s="252" t="n"/>
      <c r="O20" s="244">
        <f>M20*N20</f>
        <v/>
      </c>
      <c r="P20" s="252" t="n"/>
      <c r="Q20" s="252" t="n"/>
      <c r="R20" s="252" t="n"/>
      <c r="S20" s="244">
        <f>Q20*R20</f>
        <v/>
      </c>
      <c r="T20" s="24" t="n"/>
      <c r="U20" s="24" t="inlineStr">
        <is>
          <t>19.10-20.10</t>
        </is>
      </c>
      <c r="V20" s="65" t="n"/>
      <c r="W20" s="24" t="n"/>
      <c r="X20" s="24" t="n"/>
      <c r="Y20" s="249" t="n"/>
      <c r="Z20" s="472" t="n">
        <v>18</v>
      </c>
      <c r="AA20" s="331" t="n"/>
      <c r="AB20" s="479" t="n"/>
      <c r="AD20" s="331" t="n"/>
      <c r="AE20" s="251">
        <f>H818</f>
        <v/>
      </c>
      <c r="AG20" s="331" t="n"/>
      <c r="AH20" s="251">
        <f>P818</f>
        <v/>
      </c>
      <c r="AJ20" s="331" t="n"/>
    </row>
    <row r="21" ht="22.2" customHeight="1" s="330">
      <c r="A21" s="4" t="n"/>
      <c r="E21" s="4" t="n"/>
      <c r="G21" s="277" t="n"/>
      <c r="H21" s="277" t="n"/>
      <c r="I21" s="276" t="n"/>
      <c r="J21" s="276" t="n"/>
      <c r="K21" s="476" t="n"/>
      <c r="L21" s="276" t="n"/>
      <c r="M21" s="276" t="n"/>
      <c r="N21" s="276" t="n"/>
      <c r="O21" s="244">
        <f>M21*N21</f>
        <v/>
      </c>
      <c r="P21" s="276" t="n"/>
      <c r="Q21" s="276" t="n"/>
      <c r="R21" s="276" t="n"/>
      <c r="S21" s="244">
        <f>Q21*R21</f>
        <v/>
      </c>
      <c r="Y21" s="249" t="n"/>
      <c r="Z21" s="472" t="n">
        <v>19</v>
      </c>
      <c r="AA21" s="331" t="n"/>
      <c r="AB21" s="469" t="n"/>
      <c r="AD21" s="331" t="n"/>
      <c r="AE21" s="251">
        <f>H864</f>
        <v/>
      </c>
      <c r="AG21" s="331" t="n"/>
      <c r="AH21" s="251">
        <f>P864</f>
        <v/>
      </c>
      <c r="AJ21" s="331" t="n"/>
    </row>
    <row r="22" ht="22.2" customHeight="1" s="330">
      <c r="A22" s="4" t="n"/>
      <c r="E22" s="4" t="n"/>
      <c r="G22" s="62" t="inlineStr">
        <is>
          <t>พฤหัส</t>
        </is>
      </c>
      <c r="H22" s="325" t="inlineStr">
        <is>
          <t>30101-2607</t>
        </is>
      </c>
      <c r="I22" s="325" t="inlineStr">
        <is>
          <t>ปวส. 2/6 สยฟ. (ม.6)</t>
        </is>
      </c>
      <c r="J22" s="332" t="inlineStr">
        <is>
          <t>08.10-12.10</t>
        </is>
      </c>
      <c r="K22" s="335" t="n"/>
      <c r="L22" s="252" t="n"/>
      <c r="M22" s="252" t="n"/>
      <c r="N22" s="252" t="n"/>
      <c r="O22" s="244">
        <f>M22*N22</f>
        <v/>
      </c>
      <c r="P22" s="252" t="n"/>
      <c r="Q22" s="275" t="n">
        <v>4</v>
      </c>
      <c r="R22" s="275" t="n">
        <v>270</v>
      </c>
      <c r="S22" s="244">
        <f>Q22*R22</f>
        <v/>
      </c>
      <c r="Y22" s="249" t="n"/>
      <c r="Z22" s="472" t="n">
        <v>20</v>
      </c>
      <c r="AA22" s="331" t="n"/>
      <c r="AB22" s="469" t="n"/>
      <c r="AD22" s="331" t="n"/>
      <c r="AE22" s="251">
        <f>H910</f>
        <v/>
      </c>
      <c r="AG22" s="331" t="n"/>
      <c r="AH22" s="251">
        <f>P910</f>
        <v/>
      </c>
      <c r="AJ22" s="331" t="n"/>
    </row>
    <row r="23" ht="22.2" customHeight="1" s="330">
      <c r="A23" s="4" t="n"/>
      <c r="E23" s="4" t="n"/>
      <c r="G23" s="74" t="inlineStr">
        <is>
          <t>21 ธ.ค.66</t>
        </is>
      </c>
      <c r="H23" s="325" t="inlineStr">
        <is>
          <t>30000-2002</t>
        </is>
      </c>
      <c r="I23" s="325" t="inlineStr">
        <is>
          <t>ปวส.1/1,2 สยฟ. (ทวิ)</t>
        </is>
      </c>
      <c r="J23" s="252" t="inlineStr">
        <is>
          <t>13.10-15.10</t>
        </is>
      </c>
      <c r="K23" s="331" t="n"/>
      <c r="L23" s="252" t="n"/>
      <c r="M23" s="252" t="n"/>
      <c r="N23" s="252" t="n"/>
      <c r="O23" s="244">
        <f>M23*N23</f>
        <v/>
      </c>
      <c r="P23" s="252" t="n">
        <v>2</v>
      </c>
      <c r="Q23" s="252" t="n"/>
      <c r="R23" s="252" t="n"/>
      <c r="S23" s="244">
        <f>Q23*R23</f>
        <v/>
      </c>
      <c r="U23" s="249" t="n"/>
      <c r="V23" s="249" t="n"/>
      <c r="W23" s="249" t="n"/>
      <c r="X23" s="249" t="n"/>
      <c r="Y23" s="249" t="n"/>
      <c r="Z23" s="472" t="n">
        <v>21</v>
      </c>
      <c r="AA23" s="331" t="n"/>
      <c r="AB23" s="469" t="n"/>
      <c r="AD23" s="331" t="n"/>
      <c r="AE23" s="251">
        <f>H956</f>
        <v/>
      </c>
      <c r="AG23" s="331" t="n"/>
      <c r="AH23" s="251">
        <f>P956</f>
        <v/>
      </c>
      <c r="AJ23" s="331" t="n"/>
    </row>
    <row r="24" ht="22.2" customHeight="1" s="330">
      <c r="A24" s="4" t="n"/>
      <c r="B24" s="5" t="n"/>
      <c r="E24" s="4" t="n"/>
      <c r="G24" s="252" t="n"/>
      <c r="H24" s="325" t="n"/>
      <c r="I24" s="325" t="n"/>
      <c r="J24" s="252" t="n"/>
      <c r="K24" s="331" t="n"/>
      <c r="L24" s="325" t="n"/>
      <c r="M24" s="325" t="n"/>
      <c r="N24" s="325" t="n"/>
      <c r="O24" s="244">
        <f>M24*N24</f>
        <v/>
      </c>
      <c r="P24" s="325" t="n"/>
      <c r="Q24" s="325" t="n"/>
      <c r="R24" s="325" t="n"/>
      <c r="S24" s="244">
        <f>Q24*R24</f>
        <v/>
      </c>
      <c r="T24" s="25" t="n"/>
      <c r="U24" s="26" t="inlineStr">
        <is>
          <t xml:space="preserve">     PLC</t>
        </is>
      </c>
      <c r="V24" s="64" t="n"/>
      <c r="W24" s="27" t="n"/>
      <c r="X24" s="27" t="n"/>
      <c r="Y24" s="249" t="n"/>
      <c r="Z24" s="472" t="n">
        <v>22</v>
      </c>
      <c r="AA24" s="331" t="n"/>
      <c r="AB24" s="469" t="n"/>
      <c r="AD24" s="331" t="n"/>
      <c r="AE24" s="251">
        <f>H1002</f>
        <v/>
      </c>
      <c r="AG24" s="331" t="n"/>
      <c r="AH24" s="251">
        <f>P1002</f>
        <v/>
      </c>
      <c r="AJ24" s="331" t="n"/>
    </row>
    <row r="25" ht="22.2" customHeight="1" s="330">
      <c r="A25" s="4" t="n"/>
      <c r="E25" s="4" t="n"/>
      <c r="G25" s="252" t="n"/>
      <c r="H25" s="252" t="n"/>
      <c r="I25" s="252" t="n"/>
      <c r="J25" s="252" t="n"/>
      <c r="K25" s="331" t="n"/>
      <c r="L25" s="252" t="n"/>
      <c r="M25" s="252" t="n"/>
      <c r="N25" s="252" t="n"/>
      <c r="O25" s="244">
        <f>M25*N25</f>
        <v/>
      </c>
      <c r="P25" s="252" t="n"/>
      <c r="Q25" s="252" t="n"/>
      <c r="R25" s="252" t="n"/>
      <c r="S25" s="244">
        <f>Q25*R25</f>
        <v/>
      </c>
      <c r="T25" s="27" t="inlineStr">
        <is>
          <t> </t>
        </is>
      </c>
      <c r="U25" s="26" t="inlineStr">
        <is>
          <t>17.10-19.10</t>
        </is>
      </c>
      <c r="V25" s="64" t="n"/>
      <c r="W25" s="27" t="n"/>
      <c r="X25" s="27" t="n"/>
      <c r="Y25" s="249" t="n"/>
      <c r="Z25" s="472" t="n">
        <v>23</v>
      </c>
      <c r="AA25" s="331" t="n"/>
      <c r="AB25" s="469" t="n"/>
      <c r="AD25" s="331" t="n"/>
      <c r="AE25" s="251">
        <f>H1048</f>
        <v/>
      </c>
      <c r="AG25" s="331" t="n"/>
      <c r="AH25" s="251">
        <f>P1048</f>
        <v/>
      </c>
      <c r="AJ25" s="331" t="n"/>
    </row>
    <row r="26" ht="22.2" customHeight="1" s="330">
      <c r="A26" s="4" t="n"/>
      <c r="E26" s="4" t="n"/>
      <c r="G26" s="276" t="n"/>
      <c r="H26" s="301" t="n"/>
      <c r="I26" s="276" t="n"/>
      <c r="J26" s="276" t="n"/>
      <c r="K26" s="476" t="n"/>
      <c r="L26" s="276" t="n"/>
      <c r="M26" s="276" t="n"/>
      <c r="N26" s="276" t="n"/>
      <c r="O26" s="244">
        <f>M26*N26</f>
        <v/>
      </c>
      <c r="P26" s="276" t="n"/>
      <c r="Q26" s="276" t="n"/>
      <c r="R26" s="276" t="n"/>
      <c r="S26" s="244">
        <f>Q26*R26</f>
        <v/>
      </c>
      <c r="T26" s="249" t="n"/>
      <c r="U26" s="249" t="n"/>
      <c r="V26" s="249" t="n"/>
      <c r="W26" s="249" t="n"/>
      <c r="X26" s="249" t="n"/>
      <c r="Y26" s="249" t="n"/>
      <c r="Z26" s="472" t="n">
        <v>24</v>
      </c>
      <c r="AA26" s="331" t="n"/>
      <c r="AB26" s="481" t="n"/>
      <c r="AD26" s="331" t="n"/>
      <c r="AE26" s="251">
        <f>H1094</f>
        <v/>
      </c>
      <c r="AG26" s="331" t="n"/>
      <c r="AH26" s="251">
        <f>P1094</f>
        <v/>
      </c>
      <c r="AJ26" s="331" t="n"/>
    </row>
    <row r="27" ht="22.2" customHeight="1" s="330">
      <c r="A27" s="4" t="n"/>
      <c r="E27" s="4" t="n"/>
      <c r="G27" s="62" t="inlineStr">
        <is>
          <t>ศุกร์</t>
        </is>
      </c>
      <c r="H27" s="325" t="inlineStr">
        <is>
          <t>30143-2005</t>
        </is>
      </c>
      <c r="I27" s="325" t="inlineStr">
        <is>
          <t>ปวส.1/1 สยฟ. (ทวิ)</t>
        </is>
      </c>
      <c r="J27" s="332" t="inlineStr">
        <is>
          <t>08.10-12.10</t>
        </is>
      </c>
      <c r="K27" s="335" t="n"/>
      <c r="L27" s="265" t="n"/>
      <c r="M27" s="252" t="n"/>
      <c r="N27" s="252" t="n"/>
      <c r="O27" s="244">
        <f>M27*N27</f>
        <v/>
      </c>
      <c r="P27" s="332" t="n">
        <v>4</v>
      </c>
      <c r="Q27" s="265" t="n"/>
      <c r="R27" s="332" t="n"/>
      <c r="S27" s="244">
        <f>Q27*R27</f>
        <v/>
      </c>
      <c r="W27" s="249" t="n"/>
      <c r="X27" s="249" t="n"/>
      <c r="Y27" s="249" t="n"/>
      <c r="Z27" s="252" t="n">
        <v>25</v>
      </c>
      <c r="AA27" s="331" t="n"/>
      <c r="AB27" s="481" t="n"/>
      <c r="AD27" s="331" t="n"/>
      <c r="AE27" s="251">
        <f>H1140</f>
        <v/>
      </c>
      <c r="AG27" s="331" t="n"/>
      <c r="AH27" s="251">
        <f>P1140</f>
        <v/>
      </c>
      <c r="AJ27" s="331" t="n"/>
    </row>
    <row r="28" ht="22.2" customHeight="1" s="330">
      <c r="A28" s="4" t="n"/>
      <c r="E28" s="4" t="n"/>
      <c r="G28" s="74" t="inlineStr">
        <is>
          <t>22 ธ.ค.66</t>
        </is>
      </c>
      <c r="H28" s="325" t="inlineStr">
        <is>
          <t>30143-2005</t>
        </is>
      </c>
      <c r="I28" s="325" t="inlineStr">
        <is>
          <t>ปวส.1/1 สยฟ. (ทวิ)</t>
        </is>
      </c>
      <c r="J28" s="252" t="inlineStr">
        <is>
          <t>13.10-14.10</t>
        </is>
      </c>
      <c r="K28" s="331" t="n"/>
      <c r="L28" s="252" t="n"/>
      <c r="M28" s="252" t="n"/>
      <c r="N28" s="252" t="n"/>
      <c r="O28" s="244">
        <f>M28*N28</f>
        <v/>
      </c>
      <c r="P28" s="252" t="n">
        <v>1</v>
      </c>
      <c r="Q28" s="252" t="n"/>
      <c r="R28" s="252" t="n"/>
      <c r="S28" s="244">
        <f>Q28*R28</f>
        <v/>
      </c>
      <c r="T28" s="249" t="n"/>
      <c r="U28" s="249" t="n"/>
      <c r="V28" s="249" t="n"/>
      <c r="W28" s="249" t="n"/>
      <c r="X28" s="249" t="n"/>
      <c r="Y28" s="250" t="n"/>
      <c r="Z28" s="252" t="n">
        <v>26</v>
      </c>
      <c r="AA28" s="331" t="n"/>
      <c r="AB28" s="469" t="n"/>
      <c r="AD28" s="331" t="n"/>
      <c r="AE28" s="251">
        <f>H1186</f>
        <v/>
      </c>
      <c r="AG28" s="331" t="n"/>
      <c r="AH28" s="251">
        <f>P1186</f>
        <v/>
      </c>
      <c r="AJ28" s="331" t="n"/>
    </row>
    <row r="29" ht="22.2" customHeight="1" s="330">
      <c r="A29" s="4" t="n"/>
      <c r="E29" s="4" t="n"/>
      <c r="G29" s="252" t="n"/>
      <c r="H29" s="252" t="n"/>
      <c r="I29" s="252" t="n"/>
      <c r="J29" s="252" t="n"/>
      <c r="K29" s="331" t="n"/>
      <c r="L29" s="252" t="n"/>
      <c r="M29" s="252" t="n"/>
      <c r="N29" s="252" t="n"/>
      <c r="O29" s="244">
        <f>M29*N29</f>
        <v/>
      </c>
      <c r="P29" s="252" t="n"/>
      <c r="Q29" s="252" t="n"/>
      <c r="R29" s="252" t="n"/>
      <c r="S29" s="244">
        <f>Q29*R29</f>
        <v/>
      </c>
      <c r="T29" s="7" t="n"/>
      <c r="U29" s="23" t="inlineStr">
        <is>
          <t>เบิก ธุรการ</t>
        </is>
      </c>
      <c r="V29" s="66" t="n"/>
      <c r="W29" s="22" t="n"/>
      <c r="X29" s="22" t="n"/>
      <c r="Y29" s="3" t="n"/>
      <c r="Z29" s="276" t="n">
        <v>27</v>
      </c>
      <c r="AA29" s="476" t="n"/>
      <c r="AB29" s="469" t="n"/>
      <c r="AD29" s="331" t="n"/>
      <c r="AE29" s="251">
        <f>H1232</f>
        <v/>
      </c>
      <c r="AG29" s="331" t="n"/>
      <c r="AH29" s="251">
        <f>P1232</f>
        <v/>
      </c>
      <c r="AJ29" s="331" t="n"/>
    </row>
    <row r="30" ht="22.2" customHeight="1" s="330">
      <c r="A30" s="4" t="n"/>
      <c r="E30" s="4" t="n"/>
      <c r="G30" s="252" t="n"/>
      <c r="H30" s="252" t="n"/>
      <c r="I30" s="252" t="n"/>
      <c r="J30" s="252" t="n"/>
      <c r="K30" s="331" t="n"/>
      <c r="L30" s="252" t="n"/>
      <c r="M30" s="252" t="n"/>
      <c r="N30" s="252" t="n"/>
      <c r="O30" s="244">
        <f>M30*N30</f>
        <v/>
      </c>
      <c r="P30" s="252" t="n"/>
      <c r="Q30" s="252" t="n"/>
      <c r="R30" s="252" t="n"/>
      <c r="S30" s="244">
        <f>Q30*R30</f>
        <v/>
      </c>
      <c r="T30" s="22" t="inlineStr">
        <is>
          <t> </t>
        </is>
      </c>
      <c r="U30" s="23" t="inlineStr">
        <is>
          <t>16.10-19.10</t>
        </is>
      </c>
      <c r="V30" s="66" t="n"/>
      <c r="W30" s="22" t="n"/>
      <c r="X30" s="22" t="n"/>
      <c r="AA30" s="334" t="n"/>
      <c r="AB30" s="334" t="n"/>
      <c r="AC30" s="334" t="n"/>
      <c r="AD30" s="334" t="n"/>
      <c r="AE30" s="334" t="n"/>
      <c r="AF30" s="206" t="n"/>
      <c r="AG30" s="206" t="n"/>
      <c r="AH30" s="206" t="n"/>
      <c r="AI30" s="206" t="n"/>
      <c r="AJ30" s="206" t="n"/>
    </row>
    <row r="31" ht="22.2" customHeight="1" s="330">
      <c r="A31" s="4" t="n"/>
      <c r="E31" s="4" t="n"/>
      <c r="F31" s="4" t="n"/>
      <c r="G31" s="278" t="n"/>
      <c r="H31" s="252" t="n"/>
      <c r="I31" s="252" t="n"/>
      <c r="J31" s="276" t="n"/>
      <c r="K31" s="476" t="n"/>
      <c r="L31" s="276" t="n"/>
      <c r="M31" s="276" t="n"/>
      <c r="N31" s="276" t="n"/>
      <c r="O31" s="244">
        <f>M31*N31</f>
        <v/>
      </c>
      <c r="P31" s="276" t="n"/>
      <c r="Q31" s="276" t="n"/>
      <c r="R31" s="276" t="n"/>
      <c r="S31" s="244">
        <f>Q31*R31</f>
        <v/>
      </c>
    </row>
    <row r="32" ht="22.2" customHeight="1" s="330">
      <c r="A32" s="4" t="n"/>
      <c r="E32" s="4" t="n"/>
      <c r="F32" s="4" t="n"/>
      <c r="G32" s="17" t="inlineStr">
        <is>
          <t>รวมขั่วโมงที่สอนแยก ภาระงาน/ เกินภาระงาน</t>
        </is>
      </c>
      <c r="H32" s="467" t="n"/>
      <c r="I32" s="467" t="n"/>
      <c r="J32" s="467" t="n"/>
      <c r="K32" s="362" t="n"/>
      <c r="L32" s="17">
        <f>SUM(L7:L31)</f>
        <v/>
      </c>
      <c r="M32" s="17">
        <f>SUM(M7:M31)</f>
        <v/>
      </c>
      <c r="N32" s="17" t="n"/>
      <c r="O32" s="17" t="n"/>
      <c r="P32" s="17">
        <f>SUM(P7:P31)</f>
        <v/>
      </c>
      <c r="Q32" s="17">
        <f>SUM(Q7:Q31)</f>
        <v/>
      </c>
      <c r="R32" s="279" t="n"/>
      <c r="S32" s="17" t="n"/>
    </row>
    <row r="33" ht="22.2" customHeight="1" s="330">
      <c r="A33" s="4" t="n"/>
      <c r="E33" s="4" t="n"/>
      <c r="F33" s="4" t="n"/>
      <c r="G33" s="17" t="inlineStr">
        <is>
          <t>รวมจำนวนชั่วโมงสอนคาบต่อสับดาห์</t>
        </is>
      </c>
      <c r="H33" s="467" t="n"/>
      <c r="I33" s="467" t="n"/>
      <c r="J33" s="467" t="n"/>
      <c r="K33" s="362" t="n"/>
      <c r="L33" s="17">
        <f>L32+M32</f>
        <v/>
      </c>
      <c r="M33" s="362" t="n"/>
      <c r="N33" s="17" t="n"/>
      <c r="O33" s="298" t="n"/>
      <c r="P33" s="17">
        <f>P32+Q32</f>
        <v/>
      </c>
      <c r="Q33" s="362" t="n"/>
      <c r="R33" s="278" t="n"/>
      <c r="S33" s="276" t="n"/>
    </row>
    <row r="34" ht="22.2" customHeight="1" s="330">
      <c r="A34" s="4" t="n"/>
      <c r="E34" s="4" t="n"/>
      <c r="F34" s="4" t="n"/>
      <c r="G34" s="17" t="inlineStr">
        <is>
          <t>จำนวนชั่วโมงสอนตามภาระงานสอน</t>
        </is>
      </c>
      <c r="H34" s="467" t="n"/>
      <c r="I34" s="467" t="n"/>
      <c r="J34" s="467" t="n"/>
      <c r="K34" s="362" t="n"/>
      <c r="L34" s="153" t="inlineStr">
        <is>
          <t>0</t>
        </is>
      </c>
      <c r="M34" s="362" t="n"/>
      <c r="N34" s="153" t="n"/>
      <c r="O34" s="152" t="n"/>
      <c r="P34" s="153" t="inlineStr">
        <is>
          <t>10</t>
        </is>
      </c>
      <c r="Q34" s="362" t="n"/>
      <c r="R34" s="249" t="n"/>
      <c r="S34" s="252" t="n"/>
    </row>
    <row r="35" ht="22.2" customHeight="1" s="330" thickBot="1">
      <c r="A35" s="4" t="n"/>
      <c r="E35" s="4" t="n"/>
      <c r="F35" s="15" t="n"/>
      <c r="G35" s="17" t="inlineStr">
        <is>
          <t>จำนวนชั่วโมงบิกเกินภาระงานสอน/ค่าสอน</t>
        </is>
      </c>
      <c r="H35" s="467" t="n"/>
      <c r="I35" s="467" t="n"/>
      <c r="J35" s="467" t="n"/>
      <c r="K35" s="362" t="n"/>
      <c r="L35" s="18" t="n">
        <v>0</v>
      </c>
      <c r="M35" s="18">
        <f>SUM(M7:M31)</f>
        <v/>
      </c>
      <c r="N35" s="18" t="n"/>
      <c r="O35" s="18">
        <f>SUM(O7:O31)</f>
        <v/>
      </c>
      <c r="P35" s="18" t="n">
        <v>0</v>
      </c>
      <c r="Q35" s="18">
        <f>SUM(Q7:Q31)</f>
        <v/>
      </c>
      <c r="R35" s="19" t="n"/>
      <c r="S35" s="18">
        <f>SUM(S7:S31)</f>
        <v/>
      </c>
    </row>
    <row r="36" ht="22.2" customHeight="1" s="330" thickTop="1">
      <c r="A36" s="299" t="inlineStr">
        <is>
          <t>รวมจำนวนหน่วยชั่วโมงที่ขอเบิกค่าสอน ….</t>
        </is>
      </c>
      <c r="B36" s="467" t="n"/>
      <c r="C36" s="467" t="n"/>
      <c r="D36" s="467" t="n"/>
      <c r="E36" s="467" t="n"/>
      <c r="F36" s="467" t="n"/>
      <c r="G36" s="467" t="n"/>
      <c r="H36" s="298">
        <f>M35+Q35</f>
        <v/>
      </c>
      <c r="I36" s="298" t="inlineStr">
        <is>
          <t>….ชั่วโมง</t>
        </is>
      </c>
      <c r="J36" s="298" t="n"/>
      <c r="K36" s="301" t="inlineStr">
        <is>
          <t>ยอดเงินรวม</t>
        </is>
      </c>
      <c r="L36" s="471" t="n"/>
      <c r="M36" s="471" t="n"/>
      <c r="N36" s="301" t="n"/>
      <c r="O36" s="301" t="n"/>
      <c r="P36" s="302">
        <f>S35+O35</f>
        <v/>
      </c>
      <c r="Q36" s="482" t="n"/>
      <c r="R36" s="21" t="n"/>
      <c r="S36" s="20" t="inlineStr">
        <is>
          <t>..บาท</t>
        </is>
      </c>
    </row>
    <row r="37" ht="22.2" customHeight="1" s="330">
      <c r="A37" s="207" t="inlineStr">
        <is>
          <t>ผู้ขอเบิก</t>
        </is>
      </c>
      <c r="B37" s="334" t="n"/>
      <c r="C37" s="334" t="n"/>
      <c r="D37" s="334" t="n"/>
      <c r="E37" s="334" t="n"/>
      <c r="F37" s="334" t="n"/>
      <c r="G37" s="335" t="n"/>
      <c r="H37" s="207" t="inlineStr">
        <is>
          <t>ผู้รับรอง</t>
        </is>
      </c>
      <c r="I37" s="334" t="n"/>
      <c r="J37" s="334" t="n"/>
      <c r="K37" s="334" t="n"/>
      <c r="L37" s="335" t="n"/>
      <c r="M37" s="207" t="inlineStr">
        <is>
          <t>ผู้ตรวจ</t>
        </is>
      </c>
      <c r="N37" s="334" t="n"/>
      <c r="O37" s="334" t="n"/>
      <c r="P37" s="334" t="n"/>
      <c r="Q37" s="334" t="n"/>
      <c r="R37" s="334" t="n"/>
      <c r="S37" s="335" t="n"/>
    </row>
    <row r="38" ht="22.2" customHeight="1" s="330">
      <c r="A38" s="252" t="inlineStr">
        <is>
          <t>ลงชื่อ……………………………………………</t>
        </is>
      </c>
      <c r="G38" s="331" t="n"/>
      <c r="H38" s="252" t="inlineStr">
        <is>
          <t>ลงชื่อ……………………………………………</t>
        </is>
      </c>
      <c r="L38" s="331" t="n"/>
      <c r="M38" s="252" t="inlineStr">
        <is>
          <t>ลงชื่อ……………………………………………</t>
        </is>
      </c>
      <c r="S38" s="331" t="n"/>
    </row>
    <row r="39" ht="22.2" customHeight="1" s="330">
      <c r="A39" s="12" t="inlineStr">
        <is>
          <t>(</t>
        </is>
      </c>
      <c r="B39" s="309">
        <f>B7</f>
        <v/>
      </c>
      <c r="G39" s="310" t="inlineStr">
        <is>
          <t>)</t>
        </is>
      </c>
      <c r="H39" s="309" t="inlineStr">
        <is>
          <t>(</t>
        </is>
      </c>
      <c r="I39" s="314" t="inlineStr">
        <is>
          <t xml:space="preserve">       นายอาทิตย์  แก้วแดง</t>
        </is>
      </c>
      <c r="L39" s="13" t="inlineStr">
        <is>
          <t>)</t>
        </is>
      </c>
      <c r="M39" s="61" t="inlineStr">
        <is>
          <t>(</t>
        </is>
      </c>
      <c r="N39" s="61" t="n"/>
      <c r="O39" s="309" t="inlineStr">
        <is>
          <t>นายทศวรรษ  คำสม</t>
        </is>
      </c>
      <c r="R39" s="29" t="n"/>
      <c r="S39" s="310" t="inlineStr">
        <is>
          <t>)</t>
        </is>
      </c>
    </row>
    <row r="40" ht="22.2" customHeight="1" s="330">
      <c r="A40" s="62" t="inlineStr">
        <is>
          <t>ตำแหน่ง  ครู</t>
        </is>
      </c>
      <c r="G40" s="331" t="n"/>
      <c r="H40" s="62" t="inlineStr">
        <is>
          <t>ตำแหน่ง หัวหน้าแผนก</t>
        </is>
      </c>
      <c r="L40" s="331" t="n"/>
      <c r="M40" s="62" t="inlineStr">
        <is>
          <t>ตำแหน่ง   ผู้ตรวจสอบ</t>
        </is>
      </c>
      <c r="S40" s="331" t="n"/>
    </row>
    <row r="41" ht="22.2" customHeight="1" s="330">
      <c r="A41" s="63" t="inlineStr">
        <is>
          <t>วันที่ 25  เดือน ธันวาคม  พ.ศ.2566</t>
        </is>
      </c>
      <c r="B41" s="471" t="n"/>
      <c r="C41" s="471" t="n"/>
      <c r="D41" s="471" t="n"/>
      <c r="E41" s="471" t="n"/>
      <c r="F41" s="471" t="n"/>
      <c r="G41" s="476" t="n"/>
      <c r="H41" s="62">
        <f>A41</f>
        <v/>
      </c>
      <c r="L41" s="331" t="n"/>
      <c r="M41" s="63">
        <f>A41</f>
        <v/>
      </c>
      <c r="N41" s="471" t="n"/>
      <c r="O41" s="471" t="n"/>
      <c r="P41" s="471" t="n"/>
      <c r="Q41" s="471" t="n"/>
      <c r="R41" s="471" t="n"/>
      <c r="S41" s="476" t="n"/>
    </row>
    <row r="42" ht="22.2" customHeight="1" s="330">
      <c r="A42" s="207" t="inlineStr">
        <is>
          <t>ผู้ตรวจ</t>
        </is>
      </c>
      <c r="B42" s="334" t="n"/>
      <c r="C42" s="334" t="n"/>
      <c r="D42" s="334" t="n"/>
      <c r="E42" s="334" t="n"/>
      <c r="F42" s="334" t="n"/>
      <c r="G42" s="334" t="n"/>
      <c r="H42" s="334" t="n"/>
      <c r="I42" s="335" t="n"/>
      <c r="J42" s="207" t="inlineStr">
        <is>
          <t>ผู้เห็นชอบ</t>
        </is>
      </c>
      <c r="K42" s="334" t="n"/>
      <c r="L42" s="334" t="n"/>
      <c r="M42" s="334" t="n"/>
      <c r="N42" s="334" t="n"/>
      <c r="O42" s="334" t="n"/>
      <c r="P42" s="334" t="n"/>
      <c r="Q42" s="334" t="n"/>
      <c r="R42" s="334" t="n"/>
      <c r="S42" s="335" t="n"/>
    </row>
    <row r="43" ht="22.2" customHeight="1" s="330">
      <c r="A43" s="252" t="inlineStr">
        <is>
          <t>ลงชื่อ……………………………………………</t>
        </is>
      </c>
      <c r="I43" s="331" t="n"/>
      <c r="J43" s="252" t="inlineStr">
        <is>
          <t>ลงชื่อ……………………………………………</t>
        </is>
      </c>
      <c r="S43" s="331" t="n"/>
    </row>
    <row r="44" ht="22.2" customHeight="1" s="330">
      <c r="A44" s="12" t="n"/>
      <c r="B44" s="309" t="inlineStr">
        <is>
          <t xml:space="preserve">                     (นายชัยณรงค์  สุขอิ่ม)</t>
        </is>
      </c>
      <c r="I44" s="310" t="n"/>
      <c r="J44" s="29" t="n"/>
      <c r="K44" s="29" t="n"/>
      <c r="L44" s="309" t="inlineStr">
        <is>
          <t xml:space="preserve">            (นายปรีชา  โพธิ์เกิด)</t>
        </is>
      </c>
      <c r="R44" s="29" t="n"/>
      <c r="S44" s="13" t="n"/>
    </row>
    <row r="45" ht="22.2" customHeight="1" s="330">
      <c r="A45" s="62" t="inlineStr">
        <is>
          <t>ตำแหน่งครู  หัวหน้างานพัฒนาหลักสูตร ฯ</t>
        </is>
      </c>
      <c r="I45" s="331" t="n"/>
      <c r="J45" s="62" t="inlineStr">
        <is>
          <t>ตำแหน่ง  รองผู้อำนวยการฝ่ายวิชาการ</t>
        </is>
      </c>
      <c r="S45" s="331" t="n"/>
    </row>
    <row r="46" ht="22.2" customHeight="1" s="330">
      <c r="A46" s="276" t="inlineStr">
        <is>
          <t>วันที่.......เดือน..........................พ.ศ..............</t>
        </is>
      </c>
      <c r="B46" s="471" t="n"/>
      <c r="C46" s="471" t="n"/>
      <c r="D46" s="471" t="n"/>
      <c r="E46" s="471" t="n"/>
      <c r="F46" s="471" t="n"/>
      <c r="G46" s="471" t="n"/>
      <c r="H46" s="471" t="n"/>
      <c r="I46" s="476" t="n"/>
      <c r="J46" s="276" t="inlineStr">
        <is>
          <t>วันที่.......เดือน..........................พ.ศ..............</t>
        </is>
      </c>
      <c r="K46" s="471" t="n"/>
      <c r="L46" s="471" t="n"/>
      <c r="M46" s="471" t="n"/>
      <c r="N46" s="471" t="n"/>
      <c r="O46" s="471" t="n"/>
      <c r="P46" s="471" t="n"/>
      <c r="Q46" s="471" t="n"/>
      <c r="R46" s="471" t="n"/>
      <c r="S46" s="476" t="n"/>
    </row>
    <row r="47" ht="22.2" customHeight="1" s="330">
      <c r="A47" s="254" t="inlineStr">
        <is>
          <t>ใบเบิกจ่ายเงินค่าสอนพิเศษและค่าสอนเกินภาระงานสอนในสถานศึกษา</t>
        </is>
      </c>
      <c r="AB47" s="240" t="n"/>
      <c r="AC47" s="240" t="n"/>
      <c r="AD47" s="240" t="n"/>
    </row>
    <row r="48" ht="22.2" customHeight="1" s="330">
      <c r="A48" s="254">
        <f>A2</f>
        <v/>
      </c>
      <c r="AB48" s="296" t="n"/>
    </row>
    <row r="49" ht="22.2" customHeight="1" s="330">
      <c r="A49" s="253" t="inlineStr">
        <is>
          <t xml:space="preserve">    ระหว่างวันที่</t>
        </is>
      </c>
      <c r="D49" s="254">
        <f>D3</f>
        <v/>
      </c>
      <c r="E49" s="254" t="inlineStr">
        <is>
          <t xml:space="preserve">   เดือน  </t>
        </is>
      </c>
      <c r="F49" s="254">
        <f>F3</f>
        <v/>
      </c>
      <c r="H49" s="254">
        <f>H3</f>
        <v/>
      </c>
      <c r="I49" s="254" t="inlineStr">
        <is>
          <t xml:space="preserve">     ถึง วันที่</t>
        </is>
      </c>
      <c r="J49" s="254">
        <f>J3</f>
        <v/>
      </c>
      <c r="K49" s="254" t="inlineStr">
        <is>
          <t xml:space="preserve">   เดือน </t>
        </is>
      </c>
      <c r="L49" s="254">
        <f>L3</f>
        <v/>
      </c>
      <c r="N49" s="254">
        <f>N3</f>
        <v/>
      </c>
      <c r="P49" s="254" t="n"/>
      <c r="R49" s="254" t="n"/>
      <c r="AB49" s="296" t="n"/>
    </row>
    <row r="50" ht="22.2" customHeight="1" s="330">
      <c r="G50" s="58" t="inlineStr">
        <is>
          <t>ü</t>
        </is>
      </c>
      <c r="H50" s="301" t="inlineStr">
        <is>
          <t>พนง.ราชการ</t>
        </is>
      </c>
      <c r="I50" s="249" t="inlineStr">
        <is>
          <t>หน้าที่พิเศษ</t>
        </is>
      </c>
      <c r="AB50" s="293" t="n"/>
    </row>
    <row r="51" ht="22.2" customHeight="1" s="330">
      <c r="A51" s="28" t="inlineStr">
        <is>
          <t>ที่</t>
        </is>
      </c>
      <c r="B51" s="28" t="inlineStr">
        <is>
          <t>ชื่อ-สกุล</t>
        </is>
      </c>
      <c r="C51" s="334" t="n"/>
      <c r="D51" s="335" t="n"/>
      <c r="E51" s="16" t="inlineStr">
        <is>
          <t>ตำแหน่ง</t>
        </is>
      </c>
      <c r="F51" s="17" t="inlineStr">
        <is>
          <t>ระยะเวลาที่สอน</t>
        </is>
      </c>
      <c r="G51" s="362" t="n"/>
      <c r="H51" s="17" t="inlineStr">
        <is>
          <t>รหัสวิชา</t>
        </is>
      </c>
      <c r="I51" s="275" t="inlineStr">
        <is>
          <t>ชั้น,แผนก,ห้อง</t>
        </is>
      </c>
      <c r="J51" s="17" t="inlineStr">
        <is>
          <t>เวลาสอน</t>
        </is>
      </c>
      <c r="K51" s="335" t="n"/>
      <c r="L51" s="17" t="inlineStr">
        <is>
          <t>ปวช.(คาบ)</t>
        </is>
      </c>
      <c r="M51" s="362" t="n"/>
      <c r="N51" s="275" t="inlineStr">
        <is>
          <t>เงิน</t>
        </is>
      </c>
      <c r="O51" s="275" t="inlineStr">
        <is>
          <t>ยอดเงิน</t>
        </is>
      </c>
      <c r="P51" s="473" t="inlineStr">
        <is>
          <t>ปวส.(คาบ)</t>
        </is>
      </c>
      <c r="Q51" s="362" t="n"/>
      <c r="R51" s="244" t="inlineStr">
        <is>
          <t>เงิน</t>
        </is>
      </c>
      <c r="S51" s="275" t="inlineStr">
        <is>
          <t>ยอดเงิน</t>
        </is>
      </c>
      <c r="AB51" s="296" t="n"/>
    </row>
    <row r="52" ht="22.2" customHeight="1" s="330">
      <c r="A52" s="60" t="n"/>
      <c r="B52" s="9" t="n"/>
      <c r="C52" s="10" t="n"/>
      <c r="D52" s="14" t="n"/>
      <c r="E52" s="11" t="n"/>
      <c r="F52" s="276" t="inlineStr">
        <is>
          <t>ส.</t>
        </is>
      </c>
      <c r="G52" s="276" t="inlineStr">
        <is>
          <t>วดป.</t>
        </is>
      </c>
      <c r="H52" s="474" t="n"/>
      <c r="I52" s="276" t="n"/>
      <c r="J52" s="475" t="n"/>
      <c r="K52" s="476" t="n"/>
      <c r="L52" s="276" t="inlineStr">
        <is>
          <t>ใน</t>
        </is>
      </c>
      <c r="M52" s="276" t="inlineStr">
        <is>
          <t>นอก</t>
        </is>
      </c>
      <c r="N52" s="276" t="inlineStr">
        <is>
          <t>ต่อ ชม.</t>
        </is>
      </c>
      <c r="O52" s="276" t="inlineStr">
        <is>
          <t>(บาท)</t>
        </is>
      </c>
      <c r="P52" s="60" t="inlineStr">
        <is>
          <t>ใน</t>
        </is>
      </c>
      <c r="Q52" s="60" t="inlineStr">
        <is>
          <t>นอก</t>
        </is>
      </c>
      <c r="R52" s="276" t="inlineStr">
        <is>
          <t>ต่อ ชม.</t>
        </is>
      </c>
      <c r="S52" s="276" t="inlineStr">
        <is>
          <t>(บาท)</t>
        </is>
      </c>
    </row>
    <row r="53" ht="22.2" customHeight="1" s="330">
      <c r="A53" s="275" t="n">
        <v>2</v>
      </c>
      <c r="B53" s="477">
        <f>AB4</f>
        <v/>
      </c>
      <c r="C53" s="334" t="n"/>
      <c r="D53" s="335" t="n"/>
      <c r="E53" s="275" t="inlineStr">
        <is>
          <t>พนักงาน</t>
        </is>
      </c>
      <c r="F53" s="6">
        <f>F7</f>
        <v/>
      </c>
      <c r="G53" s="303" t="inlineStr">
        <is>
          <t>จันทร์</t>
        </is>
      </c>
      <c r="H53" s="332" t="inlineStr">
        <is>
          <t>20101-8501</t>
        </is>
      </c>
      <c r="I53" s="325" t="inlineStr">
        <is>
          <t>ปวช.3/9,10 ชย. (ทวิ)</t>
        </is>
      </c>
      <c r="J53" s="488" t="inlineStr">
        <is>
          <t>15.10-19.10</t>
        </is>
      </c>
      <c r="K53" s="331" t="n"/>
      <c r="L53" s="265" t="n">
        <v>4</v>
      </c>
      <c r="M53" s="332" t="n"/>
      <c r="N53" s="332" t="n"/>
      <c r="O53" s="244">
        <f>M53*N53</f>
        <v/>
      </c>
      <c r="P53" s="332" t="n"/>
      <c r="Q53" s="265" t="n"/>
      <c r="R53" s="332" t="n"/>
      <c r="S53" s="244">
        <f>Q53*R53</f>
        <v/>
      </c>
    </row>
    <row r="54" ht="22.2" customHeight="1" s="330">
      <c r="A54" s="4" t="n"/>
      <c r="B54" s="478" t="n"/>
      <c r="D54" s="331" t="n"/>
      <c r="E54" s="252" t="inlineStr">
        <is>
          <t>ราชการ</t>
        </is>
      </c>
      <c r="F54" s="249" t="n"/>
      <c r="G54" s="308">
        <f>G8</f>
        <v/>
      </c>
      <c r="H54" s="325" t="n"/>
      <c r="I54" s="325" t="n"/>
      <c r="J54" s="252" t="n"/>
      <c r="K54" s="331" t="n"/>
      <c r="L54" s="252" t="n"/>
      <c r="M54" s="252" t="n"/>
      <c r="N54" s="252" t="n"/>
      <c r="O54" s="244">
        <f>M54*N54</f>
        <v/>
      </c>
      <c r="P54" s="252" t="n"/>
      <c r="Q54" s="252" t="n"/>
      <c r="R54" s="325" t="n"/>
      <c r="S54" s="244">
        <f>Q54*R54</f>
        <v/>
      </c>
    </row>
    <row r="55" ht="22.2" customHeight="1" s="330">
      <c r="A55" s="4" t="n"/>
      <c r="B55" s="5" t="n"/>
      <c r="D55" s="3" t="n"/>
      <c r="E55" s="3" t="n"/>
      <c r="F55" s="249" t="n"/>
      <c r="G55" s="248" t="n"/>
      <c r="H55" s="252" t="n"/>
      <c r="I55" s="325" t="n"/>
      <c r="J55" s="325" t="n"/>
      <c r="K55" s="331" t="n"/>
      <c r="L55" s="252" t="n"/>
      <c r="M55" s="252" t="n"/>
      <c r="N55" s="252" t="n"/>
      <c r="O55" s="244">
        <f>M55*N55</f>
        <v/>
      </c>
      <c r="P55" s="252" t="n"/>
      <c r="Q55" s="252" t="n"/>
      <c r="R55" s="252" t="n"/>
      <c r="S55" s="244">
        <f>Q55*R55</f>
        <v/>
      </c>
    </row>
    <row r="56" ht="22.2" customHeight="1" s="330">
      <c r="A56" s="4" t="n"/>
      <c r="B56" s="5" t="n"/>
      <c r="E56" s="4" t="n"/>
      <c r="F56" s="249" t="n"/>
      <c r="G56" s="248" t="n"/>
      <c r="H56" s="1" t="n"/>
      <c r="I56" s="1" t="n"/>
      <c r="J56" s="252" t="n"/>
      <c r="K56" s="331" t="n"/>
      <c r="L56" s="252" t="n"/>
      <c r="M56" s="252" t="n"/>
      <c r="N56" s="252" t="n"/>
      <c r="O56" s="244">
        <f>M56*N56</f>
        <v/>
      </c>
      <c r="P56" s="252" t="n"/>
      <c r="Q56" s="252" t="n"/>
      <c r="R56" s="252" t="n"/>
      <c r="S56" s="244">
        <f>Q56*R56</f>
        <v/>
      </c>
      <c r="Y56" s="71" t="n"/>
      <c r="Z56" s="71" t="n"/>
      <c r="AA56" s="71" t="n"/>
      <c r="AB56" s="71" t="n"/>
    </row>
    <row r="57" ht="22.2" customHeight="1" s="330">
      <c r="A57" s="4" t="n"/>
      <c r="E57" s="4" t="n"/>
      <c r="G57" s="311" t="n"/>
      <c r="H57" s="276" t="n"/>
      <c r="I57" s="276" t="n"/>
      <c r="J57" s="276" t="n"/>
      <c r="K57" s="476" t="n"/>
      <c r="L57" s="252" t="n"/>
      <c r="M57" s="252" t="n"/>
      <c r="N57" s="252" t="n"/>
      <c r="O57" s="244">
        <f>M57*N57</f>
        <v/>
      </c>
      <c r="P57" s="252" t="n"/>
      <c r="Q57" s="252" t="n"/>
      <c r="R57" s="252" t="n"/>
      <c r="S57" s="244">
        <f>Q57*R57</f>
        <v/>
      </c>
      <c r="Y57" s="72" t="n"/>
      <c r="Z57" s="72" t="n"/>
      <c r="AA57" s="72" t="n"/>
      <c r="AB57" s="72" t="n"/>
    </row>
    <row r="58" ht="22.2" customHeight="1" s="330">
      <c r="A58" s="4" t="n"/>
      <c r="E58" s="4" t="n"/>
      <c r="G58" s="62" t="inlineStr">
        <is>
          <t>อังคาร</t>
        </is>
      </c>
      <c r="H58" s="332" t="inlineStr">
        <is>
          <t>20143-2002</t>
        </is>
      </c>
      <c r="I58" s="325" t="inlineStr">
        <is>
          <t>ปวช.1/1 ชยฟ. (ปกติ)</t>
        </is>
      </c>
      <c r="J58" s="332" t="inlineStr">
        <is>
          <t>08.10-12.10</t>
        </is>
      </c>
      <c r="K58" s="335" t="n"/>
      <c r="L58" s="265" t="n"/>
      <c r="M58" s="332" t="n">
        <v>4</v>
      </c>
      <c r="N58" s="332" t="n">
        <v>200</v>
      </c>
      <c r="O58" s="244">
        <f>M58*N58</f>
        <v/>
      </c>
      <c r="P58" s="332" t="n"/>
      <c r="Q58" s="265" t="n"/>
      <c r="R58" s="332" t="n"/>
      <c r="S58" s="244">
        <f>Q58*R58</f>
        <v/>
      </c>
      <c r="W58" s="72" t="n"/>
      <c r="X58" s="72" t="n"/>
      <c r="Y58" s="290" t="n"/>
      <c r="Z58" s="72" t="n"/>
      <c r="AA58" s="290" t="n"/>
      <c r="AB58" s="72" t="n"/>
    </row>
    <row r="59" ht="22.2" customHeight="1" s="330">
      <c r="A59" s="4" t="n"/>
      <c r="E59" s="4" t="n"/>
      <c r="G59" s="308">
        <f>G13</f>
        <v/>
      </c>
      <c r="H59" s="325" t="inlineStr">
        <is>
          <t>20143-2002</t>
        </is>
      </c>
      <c r="I59" s="325" t="inlineStr">
        <is>
          <t>ปวช.1/1 ชยฟ. (ปกติ)</t>
        </is>
      </c>
      <c r="J59" s="488" t="inlineStr">
        <is>
          <t>13.10-16.10</t>
        </is>
      </c>
      <c r="K59" s="331" t="n"/>
      <c r="L59" s="252" t="n">
        <v>3</v>
      </c>
      <c r="M59" s="252" t="n"/>
      <c r="N59" s="252" t="n"/>
      <c r="O59" s="244">
        <f>M59*N59</f>
        <v/>
      </c>
      <c r="P59" s="252" t="n"/>
      <c r="Q59" s="252" t="n"/>
      <c r="R59" s="325" t="n"/>
      <c r="S59" s="244">
        <f>Q59*R59</f>
        <v/>
      </c>
      <c r="W59" s="71" t="n"/>
      <c r="X59" s="71" t="n"/>
      <c r="Y59" s="71" t="n"/>
      <c r="Z59" s="72" t="n"/>
      <c r="AA59" s="73" t="n"/>
      <c r="AB59" s="72" t="n"/>
    </row>
    <row r="60" ht="22.2" customHeight="1" s="330">
      <c r="A60" s="4" t="n"/>
      <c r="B60" s="5" t="n"/>
      <c r="D60" s="3" t="n"/>
      <c r="E60" s="3" t="n"/>
      <c r="G60" s="252" t="n"/>
      <c r="H60" s="325" t="n"/>
      <c r="I60" s="325" t="n"/>
      <c r="J60" s="252" t="n"/>
      <c r="K60" s="331" t="n"/>
      <c r="L60" s="252" t="n"/>
      <c r="M60" s="252" t="n"/>
      <c r="N60" s="252" t="n"/>
      <c r="O60" s="244">
        <f>M60*N60</f>
        <v/>
      </c>
      <c r="P60" s="252" t="n"/>
      <c r="Q60" s="252" t="n"/>
      <c r="R60" s="252" t="n"/>
      <c r="S60" s="244">
        <f>Q60*R60</f>
        <v/>
      </c>
      <c r="W60" s="71" t="n"/>
      <c r="X60" s="71" t="n"/>
      <c r="Y60" s="71" t="n"/>
      <c r="Z60" s="72" t="n"/>
      <c r="AA60" s="73" t="n"/>
      <c r="AB60" s="72" t="n"/>
    </row>
    <row r="61" ht="22.2" customHeight="1" s="330">
      <c r="A61" s="4" t="n"/>
      <c r="E61" s="4" t="n"/>
      <c r="G61" s="62" t="n"/>
      <c r="H61" s="249" t="n"/>
      <c r="I61" s="252" t="n"/>
      <c r="J61" s="252" t="n"/>
      <c r="K61" s="331" t="n"/>
      <c r="L61" s="252" t="n"/>
      <c r="M61" s="252" t="n"/>
      <c r="N61" s="252" t="n"/>
      <c r="O61" s="244">
        <f>M61*N61</f>
        <v/>
      </c>
      <c r="P61" s="252" t="n"/>
      <c r="Q61" s="252" t="n"/>
      <c r="R61" s="252" t="n"/>
      <c r="S61" s="244">
        <f>Q61*R61</f>
        <v/>
      </c>
      <c r="T61" s="7" t="n"/>
      <c r="U61" s="23" t="inlineStr">
        <is>
          <t>เบิก ธุรการ</t>
        </is>
      </c>
      <c r="V61" s="66" t="n"/>
      <c r="W61" s="22" t="n"/>
      <c r="X61" s="22" t="n"/>
      <c r="Y61" s="71" t="n"/>
      <c r="Z61" s="72" t="n"/>
      <c r="AA61" s="73" t="n"/>
      <c r="AB61" s="72" t="n"/>
    </row>
    <row r="62" ht="22.2" customHeight="1" s="330">
      <c r="A62" s="4" t="n"/>
      <c r="D62" s="8" t="inlineStr">
        <is>
          <t> </t>
        </is>
      </c>
      <c r="E62" s="4" t="n"/>
      <c r="G62" s="63" t="n"/>
      <c r="H62" s="277" t="n"/>
      <c r="I62" s="276" t="n"/>
      <c r="J62" s="276" t="n"/>
      <c r="K62" s="476" t="n"/>
      <c r="L62" s="252" t="n"/>
      <c r="M62" s="252" t="n"/>
      <c r="N62" s="252" t="n"/>
      <c r="O62" s="244">
        <f>M62*N62</f>
        <v/>
      </c>
      <c r="P62" s="252" t="n"/>
      <c r="Q62" s="252" t="n"/>
      <c r="R62" s="252" t="n"/>
      <c r="S62" s="244">
        <f>Q62*R62</f>
        <v/>
      </c>
      <c r="T62" s="22" t="inlineStr">
        <is>
          <t> </t>
        </is>
      </c>
      <c r="U62" s="23" t="inlineStr">
        <is>
          <t>16.10-19.10</t>
        </is>
      </c>
      <c r="V62" s="66" t="n"/>
      <c r="W62" s="22" t="n"/>
      <c r="X62" s="22" t="n"/>
      <c r="Y62" s="71" t="n"/>
      <c r="Z62" s="71" t="n"/>
      <c r="AA62" s="71" t="n"/>
      <c r="AB62" s="71" t="n"/>
    </row>
    <row r="63" ht="22.2" customHeight="1" s="330">
      <c r="A63" s="4" t="n"/>
      <c r="D63" s="331" t="n"/>
      <c r="E63" s="56" t="n"/>
      <c r="G63" s="207" t="inlineStr">
        <is>
          <t>พุธ</t>
        </is>
      </c>
      <c r="H63" s="286" t="inlineStr">
        <is>
          <t>20101-2008</t>
        </is>
      </c>
      <c r="I63" s="325" t="inlineStr">
        <is>
          <t>ปวช.3/10 ชย. (ทวิ)</t>
        </is>
      </c>
      <c r="J63" s="332" t="inlineStr">
        <is>
          <t>08.10-12.10</t>
        </is>
      </c>
      <c r="K63" s="335" t="n"/>
      <c r="L63" s="332" t="n"/>
      <c r="M63" s="332" t="n">
        <v>4</v>
      </c>
      <c r="N63" s="332" t="n">
        <v>200</v>
      </c>
      <c r="O63" s="244">
        <f>M63*N63</f>
        <v/>
      </c>
      <c r="P63" s="332" t="n"/>
      <c r="Q63" s="332" t="n"/>
      <c r="R63" s="332" t="n"/>
      <c r="S63" s="244">
        <f>Q63*R63</f>
        <v/>
      </c>
      <c r="Y63" s="71" t="n"/>
      <c r="Z63" s="71" t="n"/>
      <c r="AA63" s="71" t="n"/>
      <c r="AB63" s="71" t="n"/>
    </row>
    <row r="64" ht="22.2" customHeight="1" s="330">
      <c r="A64" s="4" t="n"/>
      <c r="B64" s="248" t="n"/>
      <c r="C64" s="249" t="n"/>
      <c r="D64" s="249" t="n"/>
      <c r="E64" s="252" t="n"/>
      <c r="G64" s="62">
        <f>G18</f>
        <v/>
      </c>
      <c r="H64" s="286" t="n"/>
      <c r="I64" s="325" t="n"/>
      <c r="J64" s="252" t="n"/>
      <c r="K64" s="331" t="n"/>
      <c r="L64" s="252" t="n"/>
      <c r="M64" s="252" t="n"/>
      <c r="N64" s="252" t="n"/>
      <c r="O64" s="244">
        <f>M64*N64</f>
        <v/>
      </c>
      <c r="P64" s="252" t="n"/>
      <c r="Q64" s="252" t="n"/>
      <c r="R64" s="252" t="n"/>
      <c r="S64" s="244">
        <f>Q64*R64</f>
        <v/>
      </c>
      <c r="Y64" s="71" t="n"/>
      <c r="Z64" s="71" t="n"/>
      <c r="AA64" s="71" t="n"/>
      <c r="AB64" s="71" t="n"/>
    </row>
    <row r="65" ht="22.2" customHeight="1" s="330">
      <c r="A65" s="4" t="n"/>
      <c r="B65" s="5" t="n"/>
      <c r="D65" s="3" t="n"/>
      <c r="E65" s="3" t="n"/>
      <c r="G65" s="252" t="n"/>
      <c r="H65" s="325" t="n"/>
      <c r="I65" s="325" t="n"/>
      <c r="J65" s="252" t="n"/>
      <c r="K65" s="331" t="n"/>
      <c r="L65" s="252" t="n"/>
      <c r="M65" s="252" t="n"/>
      <c r="N65" s="252" t="n"/>
      <c r="O65" s="244">
        <f>M65*N65</f>
        <v/>
      </c>
      <c r="P65" s="252" t="n"/>
      <c r="Q65" s="252" t="n"/>
      <c r="R65" s="252" t="n"/>
      <c r="S65" s="244">
        <f>Q65*R65</f>
        <v/>
      </c>
      <c r="W65" s="71" t="n"/>
      <c r="X65" s="71" t="n"/>
    </row>
    <row r="66" ht="22.2" customHeight="1" s="330">
      <c r="A66" s="4" t="n"/>
      <c r="E66" s="4" t="n"/>
      <c r="G66" s="248" t="n"/>
      <c r="H66" s="252" t="n"/>
      <c r="I66" s="325" t="n"/>
      <c r="J66" s="252" t="n"/>
      <c r="K66" s="331" t="n"/>
      <c r="L66" s="252" t="n"/>
      <c r="M66" s="252" t="n"/>
      <c r="N66" s="252" t="n"/>
      <c r="O66" s="244">
        <f>M66*N66</f>
        <v/>
      </c>
      <c r="P66" s="252" t="n"/>
      <c r="Q66" s="252" t="n"/>
      <c r="R66" s="252" t="n"/>
      <c r="S66" s="244">
        <f>Q66*R66</f>
        <v/>
      </c>
      <c r="T66" s="25" t="n"/>
      <c r="U66" s="26" t="inlineStr">
        <is>
          <t xml:space="preserve">     PLC</t>
        </is>
      </c>
      <c r="V66" s="64" t="n"/>
      <c r="W66" s="27" t="n"/>
      <c r="X66" s="27" t="n"/>
      <c r="Z66" s="249" t="n"/>
      <c r="AA66" s="249" t="n"/>
      <c r="AB66" s="249" t="n"/>
    </row>
    <row r="67" ht="22.2" customHeight="1" s="330">
      <c r="A67" s="4" t="n"/>
      <c r="E67" s="4" t="n"/>
      <c r="G67" s="277" t="n"/>
      <c r="H67" s="276" t="n"/>
      <c r="I67" s="276" t="n"/>
      <c r="J67" s="276" t="n"/>
      <c r="K67" s="476" t="n"/>
      <c r="L67" s="276" t="n"/>
      <c r="M67" s="276" t="n"/>
      <c r="N67" s="276" t="n"/>
      <c r="O67" s="244">
        <f>M67*N67</f>
        <v/>
      </c>
      <c r="P67" s="276" t="n"/>
      <c r="Q67" s="276" t="n"/>
      <c r="R67" s="276" t="n"/>
      <c r="S67" s="244">
        <f>Q67*R67</f>
        <v/>
      </c>
      <c r="T67" s="27" t="inlineStr">
        <is>
          <t> </t>
        </is>
      </c>
      <c r="U67" s="26" t="inlineStr">
        <is>
          <t>17.10-19.10</t>
        </is>
      </c>
      <c r="V67" s="64" t="n"/>
      <c r="W67" s="27" t="n"/>
      <c r="X67" s="27" t="n"/>
      <c r="Y67" s="249" t="n"/>
      <c r="Z67" s="249" t="n"/>
      <c r="AA67" s="249" t="n"/>
      <c r="AB67" s="249" t="n"/>
    </row>
    <row r="68" ht="22.2" customHeight="1" s="330">
      <c r="A68" s="4" t="n"/>
      <c r="E68" s="4" t="n"/>
      <c r="G68" s="62" t="inlineStr">
        <is>
          <t>พฤหัส</t>
        </is>
      </c>
      <c r="H68" s="325" t="inlineStr">
        <is>
          <t>20101-2008</t>
        </is>
      </c>
      <c r="I68" s="325" t="inlineStr">
        <is>
          <t>ปวช.1/8 ชย. (ปกติ)</t>
        </is>
      </c>
      <c r="J68" s="332" t="inlineStr">
        <is>
          <t>08.10-12.10</t>
        </is>
      </c>
      <c r="K68" s="335" t="n"/>
      <c r="L68" s="252" t="n"/>
      <c r="M68" s="252" t="n">
        <v>4</v>
      </c>
      <c r="N68" s="252" t="n">
        <v>200</v>
      </c>
      <c r="O68" s="244">
        <f>M68*N68</f>
        <v/>
      </c>
      <c r="P68" s="252" t="n"/>
      <c r="Q68" s="275" t="n"/>
      <c r="R68" s="275" t="n"/>
      <c r="S68" s="244">
        <f>Q68*R68</f>
        <v/>
      </c>
      <c r="U68" s="249" t="n"/>
      <c r="V68" s="249" t="n"/>
      <c r="W68" s="249" t="n"/>
      <c r="X68" s="249" t="n"/>
      <c r="Y68" s="249" t="n"/>
      <c r="Z68" s="249" t="n"/>
      <c r="AA68" s="249" t="n"/>
      <c r="AB68" s="249" t="n"/>
    </row>
    <row r="69" ht="22.2" customHeight="1" s="330">
      <c r="A69" s="4" t="n"/>
      <c r="E69" s="4" t="n"/>
      <c r="G69" s="308">
        <f>G23</f>
        <v/>
      </c>
      <c r="H69" s="325" t="inlineStr">
        <is>
          <t>20000-2002</t>
        </is>
      </c>
      <c r="I69" s="325" t="inlineStr">
        <is>
          <t>ปวช.1/7,8 ชย. (ปกติ)</t>
        </is>
      </c>
      <c r="J69" s="488" t="inlineStr">
        <is>
          <t>13.10-15.10</t>
        </is>
      </c>
      <c r="K69" s="331" t="n"/>
      <c r="L69" s="252" t="n">
        <v>2</v>
      </c>
      <c r="M69" s="252" t="n"/>
      <c r="N69" s="252" t="n"/>
      <c r="O69" s="244">
        <f>M69*N69</f>
        <v/>
      </c>
      <c r="P69" s="252" t="n"/>
      <c r="Q69" s="252" t="n"/>
      <c r="R69" s="252" t="n"/>
      <c r="S69" s="244">
        <f>Q69*R69</f>
        <v/>
      </c>
      <c r="U69" s="249" t="n"/>
      <c r="V69" s="249" t="n"/>
      <c r="X69" s="249" t="n"/>
      <c r="Y69" s="249" t="n"/>
      <c r="Z69" s="249" t="n"/>
    </row>
    <row r="70" ht="22.2" customHeight="1" s="330">
      <c r="A70" s="4" t="n"/>
      <c r="B70" s="5" t="n"/>
      <c r="E70" s="4" t="n"/>
      <c r="G70" s="252" t="n"/>
      <c r="H70" s="325" t="inlineStr">
        <is>
          <t>20143-2004</t>
        </is>
      </c>
      <c r="I70" s="325" t="inlineStr">
        <is>
          <t>ปวช.1/1 ชยฟ. (ปกติ)</t>
        </is>
      </c>
      <c r="J70" s="488" t="inlineStr">
        <is>
          <t>15.10-19.10</t>
        </is>
      </c>
      <c r="K70" s="331" t="n"/>
      <c r="L70" s="325" t="n">
        <v>4</v>
      </c>
      <c r="M70" s="325" t="n"/>
      <c r="N70" s="325" t="n"/>
      <c r="O70" s="244">
        <f>M70*N70</f>
        <v/>
      </c>
      <c r="P70" s="325" t="n"/>
      <c r="Q70" s="325" t="n"/>
      <c r="R70" s="325" t="n"/>
      <c r="S70" s="244">
        <f>Q70*R70</f>
        <v/>
      </c>
      <c r="U70" s="249" t="n"/>
      <c r="V70" s="249" t="n"/>
      <c r="W70" s="249" t="n"/>
      <c r="X70" s="249" t="n"/>
      <c r="Y70" s="249" t="n"/>
      <c r="Z70" s="249" t="n"/>
    </row>
    <row r="71" ht="22.2" customHeight="1" s="330">
      <c r="A71" s="4" t="n"/>
      <c r="E71" s="4" t="n"/>
      <c r="G71" s="252" t="n"/>
      <c r="H71" s="252" t="n"/>
      <c r="I71" s="325" t="n"/>
      <c r="J71" s="325" t="n"/>
      <c r="K71" s="331" t="n"/>
      <c r="L71" s="252" t="n"/>
      <c r="M71" s="252" t="n"/>
      <c r="N71" s="252" t="n"/>
      <c r="O71" s="244">
        <f>M71*N71</f>
        <v/>
      </c>
      <c r="P71" s="325" t="n"/>
      <c r="Q71" s="252" t="n"/>
      <c r="R71" s="252" t="n"/>
      <c r="S71" s="244">
        <f>Q71*R71</f>
        <v/>
      </c>
      <c r="U71" s="249" t="n"/>
      <c r="V71" s="249" t="n"/>
      <c r="W71" s="249" t="n"/>
      <c r="X71" s="249" t="n"/>
      <c r="Y71" s="249" t="n"/>
      <c r="Z71" s="249" t="n"/>
    </row>
    <row r="72" ht="22.2" customHeight="1" s="330">
      <c r="A72" s="4" t="n"/>
      <c r="E72" s="4" t="n"/>
      <c r="G72" s="276" t="n"/>
      <c r="H72" s="276" t="n"/>
      <c r="I72" s="158" t="n"/>
      <c r="J72" s="276" t="n"/>
      <c r="K72" s="476" t="n"/>
      <c r="L72" s="276" t="n"/>
      <c r="M72" s="276" t="n"/>
      <c r="N72" s="276" t="n"/>
      <c r="O72" s="244">
        <f>M72*N72</f>
        <v/>
      </c>
      <c r="P72" s="252" t="n"/>
      <c r="Q72" s="276" t="n"/>
      <c r="R72" s="276" t="n"/>
      <c r="S72" s="244">
        <f>Q72*R72</f>
        <v/>
      </c>
      <c r="T72" s="249" t="n"/>
      <c r="U72" s="249" t="n"/>
      <c r="V72" s="249" t="n"/>
      <c r="W72" s="249" t="n"/>
      <c r="X72" s="249" t="n"/>
      <c r="Y72" s="249" t="n"/>
    </row>
    <row r="73" ht="22.2" customHeight="1" s="330">
      <c r="A73" s="4" t="n"/>
      <c r="B73" s="170" t="n"/>
      <c r="C73" s="171" t="n"/>
      <c r="D73" s="172" t="n"/>
      <c r="E73" s="173" t="n"/>
      <c r="F73" s="172" t="n"/>
      <c r="G73" s="62" t="inlineStr">
        <is>
          <t>ศุกร์</t>
        </is>
      </c>
      <c r="H73" s="332" t="inlineStr">
        <is>
          <t>20143-2102</t>
        </is>
      </c>
      <c r="I73" s="325" t="inlineStr">
        <is>
          <t>ปวช.1/1 ชยฟ. (ปกติ)</t>
        </is>
      </c>
      <c r="J73" s="332" t="inlineStr">
        <is>
          <t>08.10-12.10</t>
        </is>
      </c>
      <c r="K73" s="335" t="n"/>
      <c r="L73" s="252" t="n">
        <v>4</v>
      </c>
      <c r="M73" s="252" t="n"/>
      <c r="N73" s="252" t="n"/>
      <c r="O73" s="244">
        <f>M73*N73</f>
        <v/>
      </c>
      <c r="P73" s="275" t="n"/>
      <c r="Q73" s="265" t="n"/>
      <c r="R73" s="332" t="n"/>
      <c r="S73" s="244">
        <f>Q73*R73</f>
        <v/>
      </c>
      <c r="T73" s="249" t="n"/>
      <c r="U73" s="249" t="n"/>
      <c r="V73" s="249" t="n"/>
      <c r="W73" s="249" t="n"/>
      <c r="X73" s="249" t="n"/>
      <c r="Y73" s="249" t="n"/>
    </row>
    <row r="74" ht="22.2" customHeight="1" s="330">
      <c r="A74" s="4" t="n"/>
      <c r="D74" s="3" t="n"/>
      <c r="E74" s="4" t="n"/>
      <c r="G74" s="308">
        <f>G28</f>
        <v/>
      </c>
      <c r="H74" s="325" t="inlineStr">
        <is>
          <t>20143-2102</t>
        </is>
      </c>
      <c r="I74" s="325" t="inlineStr">
        <is>
          <t>ปวช.1/1 ชยฟ. (ปกติ)</t>
        </is>
      </c>
      <c r="J74" s="488" t="inlineStr">
        <is>
          <t>13.10-16.10</t>
        </is>
      </c>
      <c r="K74" s="331" t="n"/>
      <c r="L74" s="252" t="n">
        <v>3</v>
      </c>
      <c r="M74" s="252" t="n"/>
      <c r="N74" s="252" t="n"/>
      <c r="O74" s="244">
        <f>M74*N74</f>
        <v/>
      </c>
      <c r="P74" s="252" t="n"/>
      <c r="Q74" s="252" t="n"/>
      <c r="R74" s="252" t="n"/>
      <c r="S74" s="244">
        <f>Q74*R74</f>
        <v/>
      </c>
      <c r="W74" s="249" t="n"/>
      <c r="X74" s="249" t="n"/>
      <c r="Y74" s="249" t="n"/>
    </row>
    <row r="75" ht="22.2" customHeight="1" s="330">
      <c r="A75" s="4" t="n"/>
      <c r="B75" s="170" t="n"/>
      <c r="C75" s="171" t="n"/>
      <c r="D75" s="172" t="n"/>
      <c r="E75" s="173" t="n"/>
      <c r="F75" s="172" t="n"/>
      <c r="G75" s="252" t="n"/>
      <c r="H75" s="325" t="n"/>
      <c r="I75" s="325" t="n"/>
      <c r="J75" s="252" t="n"/>
      <c r="K75" s="331" t="n"/>
      <c r="L75" s="252" t="n"/>
      <c r="M75" s="252" t="n"/>
      <c r="N75" s="252" t="n"/>
      <c r="O75" s="244">
        <f>M75*N75</f>
        <v/>
      </c>
      <c r="P75" s="252" t="n"/>
      <c r="Q75" s="252" t="n"/>
      <c r="R75" s="252" t="n"/>
      <c r="S75" s="244">
        <f>Q75*R75</f>
        <v/>
      </c>
      <c r="T75" s="249" t="n"/>
      <c r="U75" s="249" t="n"/>
      <c r="V75" s="249" t="n"/>
      <c r="W75" s="249" t="n"/>
      <c r="X75" s="249" t="n"/>
      <c r="Y75" s="249" t="n"/>
    </row>
    <row r="76" ht="22.2" customHeight="1" s="330">
      <c r="A76" s="4" t="n"/>
      <c r="E76" s="4" t="n"/>
      <c r="G76" s="252" t="n"/>
      <c r="H76" s="252" t="n"/>
      <c r="I76" s="325" t="n"/>
      <c r="J76" s="325" t="n"/>
      <c r="K76" s="331" t="n"/>
      <c r="L76" s="252" t="n"/>
      <c r="M76" s="252" t="n"/>
      <c r="N76" s="252" t="n"/>
      <c r="O76" s="244">
        <f>M76*N76</f>
        <v/>
      </c>
      <c r="P76" s="252" t="n"/>
      <c r="Q76" s="252" t="n"/>
      <c r="R76" s="252" t="n"/>
      <c r="S76" s="244">
        <f>Q76*R76</f>
        <v/>
      </c>
      <c r="T76" s="287" t="inlineStr">
        <is>
          <t>สอน ป.ตรี</t>
        </is>
      </c>
    </row>
    <row r="77" ht="22.2" customHeight="1" s="330">
      <c r="A77" s="4" t="n"/>
      <c r="E77" s="4" t="n"/>
      <c r="F77" s="4" t="n"/>
      <c r="G77" s="278" t="n"/>
      <c r="H77" s="252" t="n"/>
      <c r="I77" s="325" t="n"/>
      <c r="J77" s="252" t="n"/>
      <c r="K77" s="331" t="n"/>
      <c r="L77" s="276" t="n"/>
      <c r="M77" s="276" t="n"/>
      <c r="N77" s="276" t="n"/>
      <c r="O77" s="244">
        <f>M77*N77</f>
        <v/>
      </c>
      <c r="P77" s="252" t="n"/>
      <c r="Q77" s="276" t="n"/>
      <c r="R77" s="276" t="n"/>
      <c r="S77" s="244">
        <f>Q77*R77</f>
        <v/>
      </c>
      <c r="T77" s="24" t="n"/>
      <c r="U77" s="24" t="inlineStr">
        <is>
          <t>17.10-20.10</t>
        </is>
      </c>
      <c r="V77" s="65" t="n"/>
      <c r="W77" s="24" t="n"/>
      <c r="X77" s="24" t="n"/>
    </row>
    <row r="78" ht="22.2" customHeight="1" s="330">
      <c r="A78" s="4" t="n"/>
      <c r="E78" s="4" t="n"/>
      <c r="F78" s="4" t="n"/>
      <c r="G78" s="17" t="inlineStr">
        <is>
          <t>รวมขั่วโมงที่สอนแยก ภาระงาน/ เกินภาระงาน</t>
        </is>
      </c>
      <c r="H78" s="467" t="n"/>
      <c r="I78" s="467" t="n"/>
      <c r="J78" s="467" t="n"/>
      <c r="K78" s="362" t="n"/>
      <c r="L78" s="17">
        <f>SUM(L53:L77)</f>
        <v/>
      </c>
      <c r="M78" s="17">
        <f>SUM(M53:M77)</f>
        <v/>
      </c>
      <c r="N78" s="17" t="n"/>
      <c r="O78" s="17" t="n"/>
      <c r="P78" s="17">
        <f>SUM(P53:P77)</f>
        <v/>
      </c>
      <c r="Q78" s="17">
        <f>SUM(Q53:Q77)</f>
        <v/>
      </c>
      <c r="R78" s="279" t="n"/>
      <c r="S78" s="17" t="n"/>
    </row>
    <row r="79" ht="22.2" customHeight="1" s="330">
      <c r="A79" s="4" t="n"/>
      <c r="E79" s="4" t="n"/>
      <c r="F79" s="4" t="n"/>
      <c r="G79" s="17" t="inlineStr">
        <is>
          <t>รวมจำนวนชั่วโมงสอนคาบต่อสับดาห์</t>
        </is>
      </c>
      <c r="H79" s="467" t="n"/>
      <c r="I79" s="467" t="n"/>
      <c r="J79" s="467" t="n"/>
      <c r="K79" s="362" t="n"/>
      <c r="L79" s="17">
        <f>L78+M78</f>
        <v/>
      </c>
      <c r="M79" s="362" t="n"/>
      <c r="N79" s="17" t="n"/>
      <c r="O79" s="298" t="n"/>
      <c r="P79" s="17">
        <f>P78+Q78</f>
        <v/>
      </c>
      <c r="Q79" s="362" t="n"/>
      <c r="R79" s="278" t="n"/>
      <c r="S79" s="276" t="n"/>
    </row>
    <row r="80" ht="22.2" customHeight="1" s="330">
      <c r="A80" s="4" t="n"/>
      <c r="E80" s="4" t="n"/>
      <c r="F80" s="4" t="n"/>
      <c r="G80" s="17" t="inlineStr">
        <is>
          <t>จำนวนชั่วโมงสอนตามภาระงานสอน</t>
        </is>
      </c>
      <c r="H80" s="467" t="n"/>
      <c r="I80" s="467" t="n"/>
      <c r="J80" s="467" t="n"/>
      <c r="K80" s="362" t="n"/>
      <c r="L80" s="17" t="n">
        <v>18</v>
      </c>
      <c r="M80" s="362" t="n"/>
      <c r="N80" s="298" t="n"/>
      <c r="O80" s="17" t="n"/>
      <c r="P80" s="17" t="n">
        <v>0</v>
      </c>
      <c r="Q80" s="362" t="n"/>
      <c r="R80" s="249" t="n"/>
      <c r="S80" s="252" t="n"/>
    </row>
    <row r="81" ht="22.2" customHeight="1" s="330" thickBot="1">
      <c r="A81" s="4" t="n"/>
      <c r="E81" s="4" t="n"/>
      <c r="F81" s="15" t="n"/>
      <c r="G81" s="17" t="inlineStr">
        <is>
          <t>จำนวนชั่วโมงบิกเกินภาระงานสอน/ค่าสอน</t>
        </is>
      </c>
      <c r="H81" s="467" t="n"/>
      <c r="I81" s="467" t="n"/>
      <c r="J81" s="467" t="n"/>
      <c r="K81" s="362" t="n"/>
      <c r="L81" s="18" t="n">
        <v>0</v>
      </c>
      <c r="M81" s="18">
        <f>SUM(M53:M77)</f>
        <v/>
      </c>
      <c r="N81" s="18" t="n"/>
      <c r="O81" s="18">
        <f>SUM(O53:O77)</f>
        <v/>
      </c>
      <c r="P81" s="18" t="n">
        <v>0</v>
      </c>
      <c r="Q81" s="18">
        <f>SUM(Q53:Q77)</f>
        <v/>
      </c>
      <c r="R81" s="19" t="n"/>
      <c r="S81" s="18">
        <f>SUM(S53:S77)</f>
        <v/>
      </c>
    </row>
    <row r="82" ht="22.2" customHeight="1" s="330" thickTop="1">
      <c r="A82" s="299" t="inlineStr">
        <is>
          <t>รวมจำนวนหน่วยชั่วโมงที่ขอเบิกค่าสอน ….</t>
        </is>
      </c>
      <c r="B82" s="467" t="n"/>
      <c r="C82" s="467" t="n"/>
      <c r="D82" s="467" t="n"/>
      <c r="E82" s="467" t="n"/>
      <c r="F82" s="467" t="n"/>
      <c r="G82" s="467" t="n"/>
      <c r="H82" s="298">
        <f>M81+Q81</f>
        <v/>
      </c>
      <c r="I82" s="298" t="inlineStr">
        <is>
          <t>….ชั่วโมง</t>
        </is>
      </c>
      <c r="J82" s="298" t="n"/>
      <c r="K82" s="301" t="inlineStr">
        <is>
          <t>ยอดเงินรวม</t>
        </is>
      </c>
      <c r="L82" s="471" t="n"/>
      <c r="M82" s="471" t="n"/>
      <c r="N82" s="301" t="n"/>
      <c r="O82" s="301" t="n"/>
      <c r="P82" s="302">
        <f>S81+O81</f>
        <v/>
      </c>
      <c r="Q82" s="482" t="n"/>
      <c r="R82" s="21" t="n"/>
      <c r="S82" s="20" t="inlineStr">
        <is>
          <t>..บาท</t>
        </is>
      </c>
    </row>
    <row r="83" ht="22.2" customHeight="1" s="330">
      <c r="A83" s="207" t="inlineStr">
        <is>
          <t>ผู้ขอเบิก</t>
        </is>
      </c>
      <c r="B83" s="334" t="n"/>
      <c r="C83" s="334" t="n"/>
      <c r="D83" s="334" t="n"/>
      <c r="E83" s="334" t="n"/>
      <c r="F83" s="334" t="n"/>
      <c r="G83" s="335" t="n"/>
      <c r="H83" s="207" t="inlineStr">
        <is>
          <t>ผู้รับรอง</t>
        </is>
      </c>
      <c r="I83" s="334" t="n"/>
      <c r="J83" s="334" t="n"/>
      <c r="K83" s="334" t="n"/>
      <c r="L83" s="335" t="n"/>
      <c r="M83" s="207" t="inlineStr">
        <is>
          <t>ผู้ตรวจ</t>
        </is>
      </c>
      <c r="N83" s="334" t="n"/>
      <c r="O83" s="334" t="n"/>
      <c r="P83" s="334" t="n"/>
      <c r="Q83" s="334" t="n"/>
      <c r="R83" s="334" t="n"/>
      <c r="S83" s="335" t="n"/>
      <c r="T83" s="317" t="n"/>
    </row>
    <row r="84" ht="22.2" customHeight="1" s="330">
      <c r="A84" s="252" t="inlineStr">
        <is>
          <t>ลงชื่อ……………………………………………</t>
        </is>
      </c>
      <c r="G84" s="331" t="n"/>
      <c r="H84" s="252" t="inlineStr">
        <is>
          <t>ลงชื่อ……………………………………………</t>
        </is>
      </c>
      <c r="L84" s="331" t="n"/>
      <c r="M84" s="252" t="inlineStr">
        <is>
          <t>ลงชื่อ……………………………………………</t>
        </is>
      </c>
      <c r="S84" s="331" t="n"/>
    </row>
    <row r="85" ht="22.2" customHeight="1" s="330">
      <c r="A85" s="12" t="inlineStr">
        <is>
          <t>(</t>
        </is>
      </c>
      <c r="B85" s="309">
        <f>B53</f>
        <v/>
      </c>
      <c r="G85" s="310" t="inlineStr">
        <is>
          <t>)</t>
        </is>
      </c>
      <c r="H85" s="309" t="inlineStr">
        <is>
          <t>(</t>
        </is>
      </c>
      <c r="I85" s="314">
        <f>I39</f>
        <v/>
      </c>
      <c r="L85" s="13" t="inlineStr">
        <is>
          <t>)</t>
        </is>
      </c>
      <c r="M85" s="61" t="inlineStr">
        <is>
          <t>(</t>
        </is>
      </c>
      <c r="N85" s="61" t="n"/>
      <c r="O85" s="309" t="inlineStr">
        <is>
          <t>นายทศวรรษ  คำสม</t>
        </is>
      </c>
      <c r="R85" s="29" t="n"/>
      <c r="S85" s="310" t="inlineStr">
        <is>
          <t>)</t>
        </is>
      </c>
    </row>
    <row r="86" ht="22.2" customHeight="1" s="330">
      <c r="A86" s="483" t="inlineStr">
        <is>
          <t xml:space="preserve">                    ตำแหน่ง  พนักงานราชการ</t>
        </is>
      </c>
      <c r="G86" s="331" t="n"/>
      <c r="H86" s="62" t="inlineStr">
        <is>
          <t>ตำแหน่ง หัวหน้าแผนก</t>
        </is>
      </c>
      <c r="L86" s="331" t="n"/>
      <c r="M86" s="62" t="inlineStr">
        <is>
          <t>ตำแหน่ง   ผู้ตรวจสอบ</t>
        </is>
      </c>
      <c r="S86" s="331" t="n"/>
    </row>
    <row r="87" ht="22.2" customHeight="1" s="330">
      <c r="A87" s="63">
        <f>A41</f>
        <v/>
      </c>
      <c r="B87" s="471" t="n"/>
      <c r="C87" s="471" t="n"/>
      <c r="D87" s="471" t="n"/>
      <c r="E87" s="471" t="n"/>
      <c r="F87" s="471" t="n"/>
      <c r="G87" s="476" t="n"/>
      <c r="H87" s="62">
        <f>A41</f>
        <v/>
      </c>
      <c r="L87" s="331" t="n"/>
      <c r="M87" s="63">
        <f>A41</f>
        <v/>
      </c>
      <c r="N87" s="471" t="n"/>
      <c r="O87" s="471" t="n"/>
      <c r="P87" s="471" t="n"/>
      <c r="Q87" s="471" t="n"/>
      <c r="R87" s="471" t="n"/>
      <c r="S87" s="476" t="n"/>
    </row>
    <row r="88" ht="22.2" customHeight="1" s="330">
      <c r="A88" s="207" t="inlineStr">
        <is>
          <t>ผู้ตรวจ</t>
        </is>
      </c>
      <c r="B88" s="334" t="n"/>
      <c r="C88" s="334" t="n"/>
      <c r="D88" s="334" t="n"/>
      <c r="E88" s="334" t="n"/>
      <c r="F88" s="334" t="n"/>
      <c r="G88" s="334" t="n"/>
      <c r="H88" s="334" t="n"/>
      <c r="I88" s="335" t="n"/>
      <c r="J88" s="207" t="inlineStr">
        <is>
          <t>ผู้เห็นชอบ</t>
        </is>
      </c>
      <c r="K88" s="334" t="n"/>
      <c r="L88" s="334" t="n"/>
      <c r="M88" s="334" t="n"/>
      <c r="N88" s="334" t="n"/>
      <c r="O88" s="334" t="n"/>
      <c r="P88" s="334" t="n"/>
      <c r="Q88" s="334" t="n"/>
      <c r="R88" s="334" t="n"/>
      <c r="S88" s="335" t="n"/>
    </row>
    <row r="89" ht="22.2" customHeight="1" s="330">
      <c r="A89" s="252" t="inlineStr">
        <is>
          <t>ลงชื่อ……………………………………………</t>
        </is>
      </c>
      <c r="I89" s="331" t="n"/>
      <c r="J89" s="252" t="inlineStr">
        <is>
          <t>ลงชื่อ……………………………………………</t>
        </is>
      </c>
      <c r="S89" s="331" t="n"/>
    </row>
    <row r="90" ht="22.2" customHeight="1" s="330">
      <c r="A90" s="12" t="n"/>
      <c r="B90" s="309" t="inlineStr">
        <is>
          <t xml:space="preserve">                     (นายชัยณรงค์  สุขอิ่ม)</t>
        </is>
      </c>
      <c r="I90" s="310" t="n"/>
      <c r="J90" s="29" t="n"/>
      <c r="K90" s="29" t="n"/>
      <c r="L90" s="309" t="inlineStr">
        <is>
          <t xml:space="preserve">           (นายปรีชา  โพธิ์เกิด)</t>
        </is>
      </c>
      <c r="R90" s="29" t="n"/>
      <c r="S90" s="13" t="n"/>
    </row>
    <row r="91" ht="22.2" customHeight="1" s="330">
      <c r="A91" s="62" t="inlineStr">
        <is>
          <t>ตำแหน่งครู  หัวหน้างานพัฒนาหลักสูตร ฯ</t>
        </is>
      </c>
      <c r="I91" s="331" t="n"/>
      <c r="J91" s="62" t="inlineStr">
        <is>
          <t>ตำแหน่ง  รองผู้อำนวยการฝ่ายวิชาการ</t>
        </is>
      </c>
      <c r="S91" s="331" t="n"/>
    </row>
    <row r="92" ht="22.2" customHeight="1" s="330">
      <c r="A92" s="276" t="inlineStr">
        <is>
          <t>วันที่.......เดือน..........................พ.ศ..............</t>
        </is>
      </c>
      <c r="B92" s="471" t="n"/>
      <c r="C92" s="471" t="n"/>
      <c r="D92" s="471" t="n"/>
      <c r="E92" s="471" t="n"/>
      <c r="F92" s="471" t="n"/>
      <c r="G92" s="471" t="n"/>
      <c r="H92" s="471" t="n"/>
      <c r="I92" s="476" t="n"/>
      <c r="J92" s="276" t="inlineStr">
        <is>
          <t>วันที่.......เดือน..........................พ.ศ..............</t>
        </is>
      </c>
      <c r="K92" s="471" t="n"/>
      <c r="L92" s="471" t="n"/>
      <c r="M92" s="471" t="n"/>
      <c r="N92" s="471" t="n"/>
      <c r="O92" s="471" t="n"/>
      <c r="P92" s="471" t="n"/>
      <c r="Q92" s="471" t="n"/>
      <c r="R92" s="471" t="n"/>
      <c r="S92" s="476" t="n"/>
    </row>
    <row r="93" ht="22.2" customHeight="1" s="330">
      <c r="A9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4" ht="22.2" customHeight="1" s="330">
      <c r="A94" s="254">
        <f>A2</f>
        <v/>
      </c>
    </row>
    <row r="95" ht="22.2" customHeight="1" s="330">
      <c r="A95" s="253" t="inlineStr">
        <is>
          <t xml:space="preserve">    ระหว่างวันที่</t>
        </is>
      </c>
      <c r="D95" s="254">
        <f>D3</f>
        <v/>
      </c>
      <c r="E95" s="254" t="inlineStr">
        <is>
          <t xml:space="preserve">   เดือน  </t>
        </is>
      </c>
      <c r="F95" s="254">
        <f>F3</f>
        <v/>
      </c>
      <c r="H95" s="254">
        <f>H3</f>
        <v/>
      </c>
      <c r="I95" s="254" t="inlineStr">
        <is>
          <t xml:space="preserve">     ถึง วันที่</t>
        </is>
      </c>
      <c r="J95" s="254">
        <f>J3</f>
        <v/>
      </c>
      <c r="K95" s="254" t="inlineStr">
        <is>
          <t xml:space="preserve">   เดือน </t>
        </is>
      </c>
      <c r="L95" s="254">
        <f>L3</f>
        <v/>
      </c>
      <c r="N95" s="254">
        <f>N3</f>
        <v/>
      </c>
      <c r="P95" s="254" t="n"/>
      <c r="R95" s="254" t="n"/>
    </row>
    <row r="96" ht="22.2" customHeight="1" s="330">
      <c r="G96" s="58" t="inlineStr">
        <is>
          <t>ü</t>
        </is>
      </c>
      <c r="H96" s="290" t="inlineStr">
        <is>
          <t>ครู</t>
        </is>
      </c>
      <c r="I96" s="249" t="inlineStr">
        <is>
          <t>หน้าที่พิเศษ</t>
        </is>
      </c>
      <c r="J96" s="8" t="inlineStr">
        <is>
          <t>หัวหน้างานบุคลากร</t>
        </is>
      </c>
    </row>
    <row r="97" ht="22.2" customHeight="1" s="330">
      <c r="A97" s="28" t="inlineStr">
        <is>
          <t>ที่</t>
        </is>
      </c>
      <c r="B97" s="28" t="inlineStr">
        <is>
          <t>ชื่อ-สกุล</t>
        </is>
      </c>
      <c r="C97" s="334" t="n"/>
      <c r="D97" s="335" t="n"/>
      <c r="E97" s="16" t="inlineStr">
        <is>
          <t>ตำแหน่ง</t>
        </is>
      </c>
      <c r="F97" s="17" t="inlineStr">
        <is>
          <t>ระยะเวลาที่สอน</t>
        </is>
      </c>
      <c r="G97" s="362" t="n"/>
      <c r="H97" s="17" t="inlineStr">
        <is>
          <t>รหัสวิชา</t>
        </is>
      </c>
      <c r="I97" s="275" t="inlineStr">
        <is>
          <t>ชั้น,แผนก,ห้อง</t>
        </is>
      </c>
      <c r="J97" s="17" t="inlineStr">
        <is>
          <t>เวลาสอน</t>
        </is>
      </c>
      <c r="K97" s="335" t="n"/>
      <c r="L97" s="17" t="inlineStr">
        <is>
          <t>ปวช.(คาบ)</t>
        </is>
      </c>
      <c r="M97" s="362" t="n"/>
      <c r="N97" s="244" t="inlineStr">
        <is>
          <t>เงิน</t>
        </is>
      </c>
      <c r="O97" s="275" t="inlineStr">
        <is>
          <t>ยอดเงิน</t>
        </is>
      </c>
      <c r="P97" s="473" t="inlineStr">
        <is>
          <t>ปวส.(คาบ)</t>
        </is>
      </c>
      <c r="Q97" s="362" t="n"/>
      <c r="R97" s="244" t="inlineStr">
        <is>
          <t>เงิน</t>
        </is>
      </c>
      <c r="S97" s="275" t="inlineStr">
        <is>
          <t>ยอดเงิน</t>
        </is>
      </c>
    </row>
    <row r="98" ht="22.2" customHeight="1" s="330">
      <c r="A98" s="60" t="n"/>
      <c r="B98" s="9" t="n"/>
      <c r="C98" s="10" t="n"/>
      <c r="D98" s="14" t="n"/>
      <c r="E98" s="11" t="n"/>
      <c r="F98" s="276" t="inlineStr">
        <is>
          <t>ส.</t>
        </is>
      </c>
      <c r="G98" s="276" t="inlineStr">
        <is>
          <t>วดป.</t>
        </is>
      </c>
      <c r="H98" s="474" t="n"/>
      <c r="I98" s="276" t="n"/>
      <c r="J98" s="475" t="n"/>
      <c r="K98" s="476" t="n"/>
      <c r="L98" s="276" t="inlineStr">
        <is>
          <t>ใน</t>
        </is>
      </c>
      <c r="M98" s="276" t="inlineStr">
        <is>
          <t>นอก</t>
        </is>
      </c>
      <c r="N98" s="276" t="inlineStr">
        <is>
          <t>ต่อ ชม.</t>
        </is>
      </c>
      <c r="O98" s="276" t="inlineStr">
        <is>
          <t>(บาท)</t>
        </is>
      </c>
      <c r="P98" s="60" t="inlineStr">
        <is>
          <t>ใน</t>
        </is>
      </c>
      <c r="Q98" s="60" t="inlineStr">
        <is>
          <t>นอก</t>
        </is>
      </c>
      <c r="R98" s="276" t="inlineStr">
        <is>
          <t>ต่อ ชม.</t>
        </is>
      </c>
      <c r="S98" s="276" t="inlineStr">
        <is>
          <t>(บาท)</t>
        </is>
      </c>
    </row>
    <row r="99" ht="22.2" customHeight="1" s="330">
      <c r="A99" s="275" t="n">
        <v>3</v>
      </c>
      <c r="B99" s="477">
        <f>AB5</f>
        <v/>
      </c>
      <c r="C99" s="334" t="n"/>
      <c r="D99" s="335" t="n"/>
      <c r="E99" s="275" t="inlineStr">
        <is>
          <t>ครู</t>
        </is>
      </c>
      <c r="F99" s="6">
        <f>F7</f>
        <v/>
      </c>
      <c r="G99" s="303" t="inlineStr">
        <is>
          <t>จันทร์</t>
        </is>
      </c>
      <c r="H99" s="332" t="inlineStr">
        <is>
          <t>20101-2010</t>
        </is>
      </c>
      <c r="I99" s="325" t="inlineStr">
        <is>
          <t>ปวช.2/2 ชย. (ปกติ)</t>
        </is>
      </c>
      <c r="J99" s="252" t="inlineStr">
        <is>
          <t>13.10-17.10</t>
        </is>
      </c>
      <c r="K99" s="331" t="n"/>
      <c r="L99" s="265" t="n"/>
      <c r="M99" s="332" t="n"/>
      <c r="N99" s="332" t="n"/>
      <c r="O99" s="244">
        <f>M99*N99</f>
        <v/>
      </c>
      <c r="P99" s="332" t="n"/>
      <c r="Q99" s="265" t="n"/>
      <c r="R99" s="332" t="n"/>
      <c r="S99" s="244">
        <f>Q99*R99</f>
        <v/>
      </c>
    </row>
    <row r="100" ht="22.2" customHeight="1" s="330">
      <c r="A100" s="4" t="n"/>
      <c r="B100" s="478" t="n"/>
      <c r="D100" s="331" t="n"/>
      <c r="E100" s="252" t="n"/>
      <c r="F100" s="249" t="n"/>
      <c r="G100" s="308">
        <f>G54</f>
        <v/>
      </c>
      <c r="H100" s="210" t="n"/>
      <c r="I100" s="210" t="n"/>
      <c r="J100" s="210" t="n"/>
      <c r="K100" s="331" t="n"/>
      <c r="L100" s="252" t="n"/>
      <c r="M100" s="252" t="n"/>
      <c r="N100" s="252" t="n"/>
      <c r="O100" s="244">
        <f>M100*N100</f>
        <v/>
      </c>
      <c r="P100" s="252" t="n"/>
      <c r="Q100" s="252" t="n"/>
      <c r="R100" s="252" t="n"/>
      <c r="S100" s="244">
        <f>Q100*R100</f>
        <v/>
      </c>
    </row>
    <row r="101" ht="22.2" customHeight="1" s="330">
      <c r="A101" s="4" t="n"/>
      <c r="B101" s="5" t="n"/>
      <c r="D101" s="52" t="n"/>
      <c r="E101" s="3" t="n"/>
      <c r="F101" s="249" t="n"/>
      <c r="G101" s="308" t="n"/>
      <c r="H101" s="1" t="n"/>
      <c r="I101" s="1" t="n"/>
      <c r="J101" s="1" t="n"/>
      <c r="K101" s="331" t="n"/>
      <c r="L101" s="252" t="n"/>
      <c r="M101" s="252" t="n"/>
      <c r="N101" s="252" t="n"/>
      <c r="O101" s="244">
        <f>M101*N101</f>
        <v/>
      </c>
      <c r="P101" s="252" t="n"/>
      <c r="Q101" s="252" t="n"/>
      <c r="R101" s="252" t="n"/>
      <c r="S101" s="244">
        <f>Q101*R101</f>
        <v/>
      </c>
    </row>
    <row r="102" ht="22.2" customHeight="1" s="330">
      <c r="A102" s="4" t="n"/>
      <c r="B102" s="5" t="n"/>
      <c r="D102" s="70" t="n"/>
      <c r="E102" s="4" t="n"/>
      <c r="F102" s="249" t="n"/>
      <c r="G102" s="308" t="n"/>
      <c r="H102" s="252" t="n"/>
      <c r="I102" s="1" t="n"/>
      <c r="J102" s="1" t="n"/>
      <c r="K102" s="331" t="n"/>
      <c r="L102" s="252" t="n"/>
      <c r="M102" s="252" t="n"/>
      <c r="N102" s="252" t="n"/>
      <c r="O102" s="244">
        <f>M102*N102</f>
        <v/>
      </c>
      <c r="P102" s="252" t="n"/>
      <c r="Q102" s="252" t="n"/>
      <c r="R102" s="252" t="n"/>
      <c r="S102" s="244">
        <f>Q102*R102</f>
        <v/>
      </c>
    </row>
    <row r="103" ht="22.2" customHeight="1" s="330">
      <c r="A103" s="4" t="n"/>
      <c r="E103" s="4" t="n"/>
      <c r="G103" s="63" t="n"/>
      <c r="H103" s="276" t="n"/>
      <c r="I103" s="276" t="n"/>
      <c r="J103" s="276" t="n"/>
      <c r="K103" s="476" t="n"/>
      <c r="L103" s="252" t="n"/>
      <c r="M103" s="252" t="n"/>
      <c r="N103" s="252" t="n"/>
      <c r="O103" s="244">
        <f>M103*N103</f>
        <v/>
      </c>
      <c r="P103" s="252" t="n"/>
      <c r="Q103" s="252" t="n"/>
      <c r="R103" s="252" t="n"/>
      <c r="S103" s="244">
        <f>Q103*R103</f>
        <v/>
      </c>
    </row>
    <row r="104" ht="22.2" customHeight="1" s="330">
      <c r="A104" s="4" t="n"/>
      <c r="E104" s="4" t="n"/>
      <c r="G104" s="62" t="inlineStr">
        <is>
          <t>อังคาร</t>
        </is>
      </c>
      <c r="H104" s="332" t="inlineStr">
        <is>
          <t>20101-2010</t>
        </is>
      </c>
      <c r="I104" s="325" t="inlineStr">
        <is>
          <t>ปวช.2/3 ชย. (ปกติ)</t>
        </is>
      </c>
      <c r="J104" s="332" t="inlineStr">
        <is>
          <t>08.10-12.10</t>
        </is>
      </c>
      <c r="K104" s="335" t="n"/>
      <c r="L104" s="265" t="n"/>
      <c r="M104" s="332" t="n"/>
      <c r="N104" s="332" t="n"/>
      <c r="O104" s="244">
        <f>M104*N104</f>
        <v/>
      </c>
      <c r="P104" s="332" t="n"/>
      <c r="Q104" s="265" t="n"/>
      <c r="R104" s="332" t="n"/>
      <c r="S104" s="244">
        <f>Q104*R104</f>
        <v/>
      </c>
      <c r="T104" s="287" t="inlineStr">
        <is>
          <t>สอน ป.ตรี</t>
        </is>
      </c>
    </row>
    <row r="105" ht="22.2" customHeight="1" s="330">
      <c r="A105" s="4" t="n"/>
      <c r="E105" s="4" t="n"/>
      <c r="G105" s="308">
        <f>G59</f>
        <v/>
      </c>
      <c r="H105" s="325" t="n"/>
      <c r="I105" s="325" t="n"/>
      <c r="J105" s="252" t="n"/>
      <c r="K105" s="331" t="n"/>
      <c r="L105" s="252" t="n"/>
      <c r="M105" s="252" t="n"/>
      <c r="N105" s="252" t="n"/>
      <c r="O105" s="244">
        <f>M105*N105</f>
        <v/>
      </c>
      <c r="P105" s="252" t="n"/>
      <c r="Q105" s="252" t="n"/>
      <c r="R105" s="252" t="n"/>
      <c r="S105" s="244">
        <f>Q105*R105</f>
        <v/>
      </c>
      <c r="T105" s="24" t="n"/>
      <c r="U105" s="24" t="inlineStr">
        <is>
          <t>17.10-20.10</t>
        </is>
      </c>
      <c r="V105" s="65" t="n"/>
      <c r="W105" s="24" t="n"/>
      <c r="X105" s="24" t="n"/>
    </row>
    <row r="106" ht="22.2" customHeight="1" s="330">
      <c r="A106" s="4" t="n"/>
      <c r="B106" s="5" t="n"/>
      <c r="D106" s="3" t="n"/>
      <c r="E106" s="3" t="n"/>
      <c r="G106" s="252" t="n"/>
      <c r="H106" s="325" t="n"/>
      <c r="I106" s="325" t="n"/>
      <c r="J106" s="252" t="n"/>
      <c r="K106" s="331" t="n"/>
      <c r="L106" s="252" t="n"/>
      <c r="M106" s="252" t="n"/>
      <c r="N106" s="252" t="n"/>
      <c r="O106" s="244">
        <f>M106*N106</f>
        <v/>
      </c>
      <c r="P106" s="252" t="n"/>
      <c r="Q106" s="252" t="n"/>
      <c r="R106" s="252" t="n"/>
      <c r="S106" s="244">
        <f>Q106*R106</f>
        <v/>
      </c>
    </row>
    <row r="107" ht="22.2" customHeight="1" s="330">
      <c r="A107" s="4" t="n"/>
      <c r="B107" s="5" t="n"/>
      <c r="D107" s="3" t="n"/>
      <c r="E107" s="3" t="n"/>
      <c r="G107" s="62" t="n"/>
      <c r="H107" s="252" t="n"/>
      <c r="I107" s="252" t="n"/>
      <c r="J107" s="252" t="n"/>
      <c r="K107" s="331" t="n"/>
      <c r="L107" s="252" t="n"/>
      <c r="M107" s="252" t="n"/>
      <c r="N107" s="252" t="n"/>
      <c r="O107" s="244">
        <f>M107*N107</f>
        <v/>
      </c>
      <c r="P107" s="252" t="n"/>
      <c r="Q107" s="252" t="n"/>
      <c r="R107" s="252" t="n"/>
      <c r="S107" s="244">
        <f>Q107*R107</f>
        <v/>
      </c>
    </row>
    <row r="108" ht="22.2" customHeight="1" s="330">
      <c r="A108" s="4" t="n"/>
      <c r="B108" s="5" t="n"/>
      <c r="E108" s="4" t="n"/>
      <c r="G108" s="63" t="n"/>
      <c r="H108" s="276" t="n"/>
      <c r="I108" s="276" t="n"/>
      <c r="J108" s="276" t="n"/>
      <c r="K108" s="476" t="n"/>
      <c r="L108" s="252" t="n"/>
      <c r="M108" s="252" t="n"/>
      <c r="N108" s="252" t="n"/>
      <c r="O108" s="244">
        <f>M108*N108</f>
        <v/>
      </c>
      <c r="P108" s="252" t="n"/>
      <c r="Q108" s="252" t="n"/>
      <c r="R108" s="252" t="n"/>
      <c r="S108" s="244">
        <f>Q108*R108</f>
        <v/>
      </c>
    </row>
    <row r="109" ht="22.2" customHeight="1" s="330">
      <c r="A109" s="4" t="n"/>
      <c r="E109" s="4" t="n"/>
      <c r="G109" s="308" t="inlineStr">
        <is>
          <t>พุธ</t>
        </is>
      </c>
      <c r="H109" s="332" t="inlineStr">
        <is>
          <t>20101-2010</t>
        </is>
      </c>
      <c r="I109" s="325" t="inlineStr">
        <is>
          <t>ปวช.3/9 ชย. (ทวิ)</t>
        </is>
      </c>
      <c r="J109" s="332" t="inlineStr">
        <is>
          <t>08.10-12.10</t>
        </is>
      </c>
      <c r="K109" s="335" t="n"/>
      <c r="L109" s="265" t="n"/>
      <c r="M109" s="332" t="n"/>
      <c r="N109" s="332" t="n"/>
      <c r="O109" s="244">
        <f>M109*N109</f>
        <v/>
      </c>
      <c r="P109" s="332" t="n"/>
      <c r="Q109" s="265" t="n"/>
      <c r="R109" s="332" t="n"/>
      <c r="S109" s="244">
        <f>Q109*R109</f>
        <v/>
      </c>
    </row>
    <row r="110" ht="22.2" customHeight="1" s="330">
      <c r="A110" s="4" t="n"/>
      <c r="E110" s="4" t="n"/>
      <c r="G110" s="308">
        <f>G64</f>
        <v/>
      </c>
      <c r="H110" s="325" t="inlineStr">
        <is>
          <t>20101-2010</t>
        </is>
      </c>
      <c r="I110" s="325" t="inlineStr">
        <is>
          <t>ปวช.3/10 ชย. (ทวิ)</t>
        </is>
      </c>
      <c r="J110" s="252" t="inlineStr">
        <is>
          <t>13.10-17.10</t>
        </is>
      </c>
      <c r="K110" s="331" t="n"/>
      <c r="L110" s="252" t="n"/>
      <c r="M110" s="252" t="n"/>
      <c r="N110" s="252" t="n"/>
      <c r="O110" s="244">
        <f>M110*N110</f>
        <v/>
      </c>
      <c r="P110" s="252" t="n"/>
      <c r="Q110" s="252" t="n"/>
      <c r="R110" s="252" t="n"/>
      <c r="S110" s="244">
        <f>Q110*R110</f>
        <v/>
      </c>
    </row>
    <row r="111" ht="22.2" customHeight="1" s="330">
      <c r="A111" s="4" t="n"/>
      <c r="E111" s="4" t="n"/>
      <c r="G111" s="252" t="n"/>
      <c r="H111" s="325" t="n"/>
      <c r="I111" s="325" t="n"/>
      <c r="J111" s="325" t="n"/>
      <c r="K111" s="331" t="n"/>
      <c r="L111" s="252" t="n"/>
      <c r="M111" s="252" t="n"/>
      <c r="N111" s="252" t="n"/>
      <c r="O111" s="244">
        <f>M111*N111</f>
        <v/>
      </c>
      <c r="P111" s="252" t="n"/>
      <c r="Q111" s="252" t="n"/>
      <c r="R111" s="252" t="n"/>
      <c r="S111" s="244">
        <f>Q111*R111</f>
        <v/>
      </c>
    </row>
    <row r="112" ht="22.2" customHeight="1" s="330">
      <c r="A112" s="4" t="n"/>
      <c r="B112" s="5" t="n"/>
      <c r="D112" s="3" t="n"/>
      <c r="E112" s="3" t="n"/>
      <c r="G112" s="248" t="n"/>
      <c r="H112" s="252" t="n"/>
      <c r="I112" s="325" t="n"/>
      <c r="J112" s="252" t="n"/>
      <c r="K112" s="331" t="n"/>
      <c r="L112" s="252" t="n"/>
      <c r="M112" s="252" t="n"/>
      <c r="N112" s="252" t="n"/>
      <c r="O112" s="244">
        <f>M112*N112</f>
        <v/>
      </c>
      <c r="P112" s="252" t="n"/>
      <c r="Q112" s="252" t="n"/>
      <c r="R112" s="252" t="n"/>
      <c r="S112" s="244">
        <f>Q112*R112</f>
        <v/>
      </c>
    </row>
    <row r="113" ht="22.2" customHeight="1" s="330">
      <c r="A113" s="4" t="n"/>
      <c r="E113" s="4" t="n"/>
      <c r="G113" s="277" t="n"/>
      <c r="H113" s="277" t="n"/>
      <c r="I113" s="276" t="n"/>
      <c r="J113" s="276" t="n"/>
      <c r="K113" s="476" t="n"/>
      <c r="L113" s="276" t="n"/>
      <c r="M113" s="276" t="n"/>
      <c r="N113" s="276" t="n"/>
      <c r="O113" s="244">
        <f>M113*N113</f>
        <v/>
      </c>
      <c r="P113" s="276" t="n"/>
      <c r="Q113" s="276" t="n"/>
      <c r="R113" s="276" t="n"/>
      <c r="S113" s="244">
        <f>Q113*R113</f>
        <v/>
      </c>
    </row>
    <row r="114" ht="22.2" customHeight="1" s="330">
      <c r="A114" s="4" t="n"/>
      <c r="D114" s="8" t="inlineStr">
        <is>
          <t> </t>
        </is>
      </c>
      <c r="E114" s="4" t="n"/>
      <c r="G114" s="62" t="inlineStr">
        <is>
          <t>พฤหัส</t>
        </is>
      </c>
      <c r="H114" s="325" t="inlineStr">
        <is>
          <t>20101-5102</t>
        </is>
      </c>
      <c r="I114" s="325" t="inlineStr">
        <is>
          <t>ปวช.2/10 ชย. (ทวิ)</t>
        </is>
      </c>
      <c r="J114" s="275" t="inlineStr">
        <is>
          <t>08.10-12.10</t>
        </is>
      </c>
      <c r="K114" s="335" t="n"/>
      <c r="L114" s="252" t="n"/>
      <c r="M114" s="252" t="n"/>
      <c r="N114" s="252" t="n"/>
      <c r="O114" s="244">
        <f>M114*N114</f>
        <v/>
      </c>
      <c r="P114" s="252" t="n"/>
      <c r="Q114" s="275" t="n"/>
      <c r="R114" s="275" t="n"/>
      <c r="S114" s="244">
        <f>Q114*R114</f>
        <v/>
      </c>
      <c r="T114" s="287" t="inlineStr">
        <is>
          <t>สอน ป.ตรี</t>
        </is>
      </c>
    </row>
    <row r="115" ht="22.2" customHeight="1" s="330">
      <c r="A115" s="4" t="n"/>
      <c r="E115" s="4" t="n"/>
      <c r="G115" s="308">
        <f>G69</f>
        <v/>
      </c>
      <c r="H115" s="325" t="inlineStr">
        <is>
          <t>20000*2005</t>
        </is>
      </c>
      <c r="I115" s="325" t="inlineStr">
        <is>
          <t>ปวช.3/1,2 ชย. (ปกติ)</t>
        </is>
      </c>
      <c r="J115" s="252" t="inlineStr">
        <is>
          <t>13.10-15.10</t>
        </is>
      </c>
      <c r="K115" s="331" t="n"/>
      <c r="L115" s="252" t="n"/>
      <c r="M115" s="252" t="n"/>
      <c r="N115" s="252" t="n"/>
      <c r="O115" s="244">
        <f>M115*N115</f>
        <v/>
      </c>
      <c r="P115" s="252" t="n"/>
      <c r="Q115" s="252" t="n"/>
      <c r="R115" s="252" t="n"/>
      <c r="S115" s="244">
        <f>Q115*R115</f>
        <v/>
      </c>
      <c r="T115" s="24" t="n"/>
      <c r="U115" s="24" t="inlineStr">
        <is>
          <t>17.10-20.10</t>
        </is>
      </c>
      <c r="V115" s="65" t="n"/>
      <c r="W115" s="24" t="n"/>
      <c r="X115" s="24" t="n"/>
    </row>
    <row r="116" ht="22.2" customHeight="1" s="330">
      <c r="A116" s="4" t="n"/>
      <c r="B116" s="5" t="n"/>
      <c r="E116" s="4" t="n"/>
      <c r="G116" s="252" t="n"/>
      <c r="H116" s="325" t="inlineStr">
        <is>
          <t>20101-5102</t>
        </is>
      </c>
      <c r="I116" s="325" t="inlineStr">
        <is>
          <t>ปวช.2/10 ชย. (ทวิ)</t>
        </is>
      </c>
      <c r="J116" s="252" t="inlineStr">
        <is>
          <t>15.10-18.10</t>
        </is>
      </c>
      <c r="K116" s="331" t="n"/>
      <c r="L116" s="325" t="n"/>
      <c r="M116" s="325" t="n"/>
      <c r="N116" s="325" t="n"/>
      <c r="O116" s="244">
        <f>M116*N116</f>
        <v/>
      </c>
      <c r="P116" s="325" t="n"/>
      <c r="Q116" s="325" t="n"/>
      <c r="R116" s="325" t="n"/>
      <c r="S116" s="244">
        <f>Q116*R116</f>
        <v/>
      </c>
    </row>
    <row r="117" ht="22.2" customHeight="1" s="330">
      <c r="A117" s="4" t="n"/>
      <c r="E117" s="4" t="n"/>
      <c r="G117" s="252" t="n"/>
      <c r="H117" s="252" t="n"/>
      <c r="I117" s="252" t="n"/>
      <c r="J117" s="252" t="n"/>
      <c r="K117" s="331" t="n"/>
      <c r="L117" s="252" t="n"/>
      <c r="M117" s="252" t="n"/>
      <c r="N117" s="252" t="n"/>
      <c r="O117" s="244">
        <f>M117*N117</f>
        <v/>
      </c>
      <c r="P117" s="252" t="n"/>
      <c r="Q117" s="252" t="n"/>
      <c r="R117" s="252" t="n"/>
      <c r="S117" s="244">
        <f>Q117*R117</f>
        <v/>
      </c>
    </row>
    <row r="118" ht="22.2" customHeight="1" s="330">
      <c r="A118" s="4" t="n"/>
      <c r="E118" s="4" t="n"/>
      <c r="G118" s="276" t="n"/>
      <c r="H118" s="301" t="n"/>
      <c r="I118" s="276" t="n"/>
      <c r="J118" s="276" t="n"/>
      <c r="K118" s="476" t="n"/>
      <c r="L118" s="276" t="n"/>
      <c r="M118" s="276" t="n"/>
      <c r="N118" s="276" t="n"/>
      <c r="O118" s="244">
        <f>M118*N118</f>
        <v/>
      </c>
      <c r="P118" s="276" t="n"/>
      <c r="Q118" s="276" t="n"/>
      <c r="R118" s="276" t="n"/>
      <c r="S118" s="244">
        <f>Q118*R118</f>
        <v/>
      </c>
    </row>
    <row r="119" ht="22.2" customHeight="1" s="330">
      <c r="A119" s="4" t="n"/>
      <c r="E119" s="4" t="n"/>
      <c r="G119" s="62" t="inlineStr">
        <is>
          <t>ศุกร์</t>
        </is>
      </c>
      <c r="H119" s="325" t="n"/>
      <c r="I119" s="325" t="n"/>
      <c r="J119" s="325" t="n"/>
      <c r="K119" s="331" t="n"/>
      <c r="L119" s="332" t="n"/>
      <c r="M119" s="275" t="n"/>
      <c r="N119" s="275" t="n"/>
      <c r="O119" s="244">
        <f>M119*N119</f>
        <v/>
      </c>
      <c r="P119" s="332" t="n"/>
      <c r="Q119" s="332" t="n"/>
      <c r="R119" s="332" t="n"/>
      <c r="S119" s="244">
        <f>Q119*R119</f>
        <v/>
      </c>
      <c r="T119" s="25" t="n"/>
      <c r="U119" s="26" t="inlineStr">
        <is>
          <t xml:space="preserve">     PLC</t>
        </is>
      </c>
      <c r="V119" s="64" t="n"/>
      <c r="W119" s="27" t="n"/>
      <c r="X119" s="27" t="n"/>
    </row>
    <row r="120" ht="22.2" customHeight="1" s="330">
      <c r="A120" s="4" t="n"/>
      <c r="E120" s="4" t="n"/>
      <c r="G120" s="308">
        <f>G74</f>
        <v/>
      </c>
      <c r="H120" s="325" t="n"/>
      <c r="I120" s="325" t="n"/>
      <c r="J120" s="325" t="n"/>
      <c r="K120" s="331" t="n"/>
      <c r="L120" s="252" t="n"/>
      <c r="M120" s="252" t="n"/>
      <c r="N120" s="252" t="n"/>
      <c r="O120" s="244">
        <f>M120*N120</f>
        <v/>
      </c>
      <c r="P120" s="252" t="n"/>
      <c r="Q120" s="252" t="n"/>
      <c r="R120" s="252" t="n"/>
      <c r="S120" s="244">
        <f>Q120*R120</f>
        <v/>
      </c>
      <c r="T120" s="27" t="inlineStr">
        <is>
          <t> </t>
        </is>
      </c>
      <c r="U120" s="26" t="inlineStr">
        <is>
          <t>17.10-19.10</t>
        </is>
      </c>
      <c r="V120" s="64" t="n"/>
      <c r="W120" s="27" t="n"/>
      <c r="X120" s="27" t="n"/>
    </row>
    <row r="121" ht="22.2" customHeight="1" s="330">
      <c r="A121" s="4" t="n"/>
      <c r="E121" s="4" t="n"/>
      <c r="G121" s="252" t="n"/>
      <c r="H121" s="56" t="n"/>
      <c r="I121" s="331" t="n"/>
      <c r="J121" s="484" t="n"/>
      <c r="K121" s="331" t="n"/>
      <c r="L121" s="252" t="n"/>
      <c r="M121" s="252" t="n"/>
      <c r="N121" s="252" t="n"/>
      <c r="O121" s="244">
        <f>M121*N121</f>
        <v/>
      </c>
      <c r="P121" s="252" t="n"/>
      <c r="Q121" s="252" t="n"/>
      <c r="R121" s="252" t="n"/>
      <c r="S121" s="244">
        <f>Q121*R121</f>
        <v/>
      </c>
    </row>
    <row r="122" ht="22.2" customHeight="1" s="330">
      <c r="A122" s="4" t="n"/>
      <c r="E122" s="4" t="n"/>
      <c r="G122" s="252" t="n"/>
      <c r="H122" s="252" t="inlineStr">
        <is>
          <t> </t>
        </is>
      </c>
      <c r="I122" s="252" t="n"/>
      <c r="J122" s="250" t="n"/>
      <c r="K122" s="331" t="n"/>
      <c r="L122" s="252" t="n"/>
      <c r="M122" s="252" t="n"/>
      <c r="N122" s="252" t="n"/>
      <c r="O122" s="244">
        <f>M122*N122</f>
        <v/>
      </c>
      <c r="P122" s="252" t="n"/>
      <c r="Q122" s="252" t="n"/>
      <c r="R122" s="252" t="n"/>
      <c r="S122" s="244">
        <f>Q122*R122</f>
        <v/>
      </c>
    </row>
    <row r="123" ht="22.2" customHeight="1" s="330">
      <c r="A123" s="4" t="n"/>
      <c r="E123" s="4" t="n"/>
      <c r="F123" s="4" t="n"/>
      <c r="G123" s="278" t="n"/>
      <c r="H123" s="276" t="n"/>
      <c r="I123" s="276" t="n"/>
      <c r="J123" s="276" t="n"/>
      <c r="K123" s="476" t="n"/>
      <c r="L123" s="276" t="n"/>
      <c r="M123" s="276" t="n"/>
      <c r="N123" s="276" t="n"/>
      <c r="O123" s="244">
        <f>M123*N123</f>
        <v/>
      </c>
      <c r="P123" s="276" t="n"/>
      <c r="Q123" s="276" t="n"/>
      <c r="R123" s="276" t="n"/>
      <c r="S123" s="244">
        <f>Q123*R123</f>
        <v/>
      </c>
    </row>
    <row r="124" ht="22.2" customHeight="1" s="330">
      <c r="A124" s="4" t="n"/>
      <c r="E124" s="4" t="n"/>
      <c r="F124" s="4" t="n"/>
      <c r="G124" s="17" t="inlineStr">
        <is>
          <t>รวมขั่วโมงที่สอนแยก ภาระงาน/ เกินภาระงาน</t>
        </is>
      </c>
      <c r="H124" s="467" t="n"/>
      <c r="I124" s="467" t="n"/>
      <c r="J124" s="467" t="n"/>
      <c r="K124" s="362" t="n"/>
      <c r="L124" s="17">
        <f>SUM(L99:L123)</f>
        <v/>
      </c>
      <c r="M124" s="17">
        <f>SUM(M99:M123)</f>
        <v/>
      </c>
      <c r="N124" s="17" t="n"/>
      <c r="O124" s="17" t="n"/>
      <c r="P124" s="17">
        <f>SUM(P99:P123)</f>
        <v/>
      </c>
      <c r="Q124" s="17">
        <f>SUM(Q99:Q123)</f>
        <v/>
      </c>
      <c r="R124" s="279" t="n"/>
      <c r="S124" s="17" t="n"/>
    </row>
    <row r="125" ht="22.2" customHeight="1" s="330">
      <c r="A125" s="4" t="n"/>
      <c r="E125" s="4" t="n"/>
      <c r="F125" s="4" t="n"/>
      <c r="G125" s="17" t="inlineStr">
        <is>
          <t>รวมจำนวนชั่วโมงสอนคาบต่อสับดาห์</t>
        </is>
      </c>
      <c r="H125" s="467" t="n"/>
      <c r="I125" s="467" t="n"/>
      <c r="J125" s="467" t="n"/>
      <c r="K125" s="362" t="n"/>
      <c r="L125" s="17">
        <f>L124+M124</f>
        <v/>
      </c>
      <c r="M125" s="362" t="n"/>
      <c r="N125" s="298" t="n"/>
      <c r="O125" s="17" t="n"/>
      <c r="P125" s="17">
        <f>P124+Q124</f>
        <v/>
      </c>
      <c r="Q125" s="362" t="n"/>
      <c r="R125" s="278" t="n"/>
      <c r="S125" s="276" t="n"/>
    </row>
    <row r="126" ht="22.2" customHeight="1" s="330">
      <c r="A126" s="4" t="n"/>
      <c r="E126" s="4" t="n"/>
      <c r="F126" s="4" t="n"/>
      <c r="G126" s="17" t="inlineStr">
        <is>
          <t>จำนวนชั่วโมงสอนตามภาระงานสอน</t>
        </is>
      </c>
      <c r="H126" s="467" t="n"/>
      <c r="I126" s="467" t="n"/>
      <c r="J126" s="467" t="n"/>
      <c r="K126" s="362" t="n"/>
      <c r="L126" s="17" t="n">
        <v>12</v>
      </c>
      <c r="M126" s="362" t="n"/>
      <c r="N126" s="17" t="n"/>
      <c r="O126" s="298" t="n"/>
      <c r="P126" s="153" t="inlineStr">
        <is>
          <t>0</t>
        </is>
      </c>
      <c r="Q126" s="362" t="n"/>
      <c r="R126" s="249" t="n"/>
      <c r="S126" s="252" t="n"/>
    </row>
    <row r="127" ht="22.2" customHeight="1" s="330" thickBot="1">
      <c r="A127" s="4" t="n"/>
      <c r="E127" s="4" t="n"/>
      <c r="F127" s="15" t="n"/>
      <c r="G127" s="17" t="inlineStr">
        <is>
          <t>จำนวนชั่วโมงบิกเกินภาระงานสอน/ค่าสอน</t>
        </is>
      </c>
      <c r="H127" s="467" t="n"/>
      <c r="I127" s="467" t="n"/>
      <c r="J127" s="467" t="n"/>
      <c r="K127" s="362" t="n"/>
      <c r="L127" s="18" t="n">
        <v>0</v>
      </c>
      <c r="M127" s="18">
        <f>SUM(M99:M123)</f>
        <v/>
      </c>
      <c r="N127" s="18" t="n"/>
      <c r="O127" s="18">
        <f>SUM(O99:O123)</f>
        <v/>
      </c>
      <c r="P127" s="18" t="n">
        <v>0</v>
      </c>
      <c r="Q127" s="18">
        <f>SUM(Q99:Q123)</f>
        <v/>
      </c>
      <c r="R127" s="19" t="n"/>
      <c r="S127" s="18">
        <f>SUM(S99:S123)</f>
        <v/>
      </c>
    </row>
    <row r="128" ht="22.2" customHeight="1" s="330" thickTop="1">
      <c r="A128" s="299" t="inlineStr">
        <is>
          <t>รวมจำนวนหน่วยชั่วโมงที่ขอเบิกค่าสอน ….</t>
        </is>
      </c>
      <c r="B128" s="467" t="n"/>
      <c r="C128" s="467" t="n"/>
      <c r="D128" s="467" t="n"/>
      <c r="E128" s="467" t="n"/>
      <c r="F128" s="467" t="n"/>
      <c r="G128" s="467" t="n"/>
      <c r="H128" s="298">
        <f>M127+Q127</f>
        <v/>
      </c>
      <c r="I128" s="298" t="inlineStr">
        <is>
          <t>….ชั่วโมง</t>
        </is>
      </c>
      <c r="J128" s="298" t="n"/>
      <c r="K128" s="301" t="inlineStr">
        <is>
          <t>ยอดเงินรวม</t>
        </is>
      </c>
      <c r="L128" s="471" t="n"/>
      <c r="M128" s="471" t="n"/>
      <c r="N128" s="301" t="n"/>
      <c r="O128" s="301" t="n"/>
      <c r="P128" s="302">
        <f>S127+O127</f>
        <v/>
      </c>
      <c r="Q128" s="482" t="n"/>
      <c r="R128" s="21" t="n"/>
      <c r="S128" s="20" t="inlineStr">
        <is>
          <t>..บาท</t>
        </is>
      </c>
    </row>
    <row r="129" ht="22.2" customHeight="1" s="330">
      <c r="A129" s="207" t="inlineStr">
        <is>
          <t>ผู้ขอเบิก</t>
        </is>
      </c>
      <c r="B129" s="334" t="n"/>
      <c r="C129" s="334" t="n"/>
      <c r="D129" s="334" t="n"/>
      <c r="E129" s="334" t="n"/>
      <c r="F129" s="334" t="n"/>
      <c r="G129" s="335" t="n"/>
      <c r="H129" s="207" t="inlineStr">
        <is>
          <t>ผู้รับรอง</t>
        </is>
      </c>
      <c r="I129" s="334" t="n"/>
      <c r="J129" s="334" t="n"/>
      <c r="K129" s="334" t="n"/>
      <c r="L129" s="335" t="n"/>
      <c r="M129" s="207" t="inlineStr">
        <is>
          <t>ผู้ตรวจ</t>
        </is>
      </c>
      <c r="N129" s="334" t="n"/>
      <c r="O129" s="334" t="n"/>
      <c r="P129" s="334" t="n"/>
      <c r="Q129" s="334" t="n"/>
      <c r="R129" s="334" t="n"/>
      <c r="S129" s="335" t="n"/>
    </row>
    <row r="130" ht="22.2" customHeight="1" s="330">
      <c r="A130" s="252" t="inlineStr">
        <is>
          <t>ลงชื่อ……………………………………………</t>
        </is>
      </c>
      <c r="G130" s="331" t="n"/>
      <c r="H130" s="252" t="inlineStr">
        <is>
          <t>ลงชื่อ……………………………………………</t>
        </is>
      </c>
      <c r="L130" s="331" t="n"/>
      <c r="M130" s="252" t="inlineStr">
        <is>
          <t>ลงชื่อ……………………………………………</t>
        </is>
      </c>
      <c r="S130" s="331" t="n"/>
    </row>
    <row r="131" ht="22.2" customHeight="1" s="330">
      <c r="A131" s="12" t="inlineStr">
        <is>
          <t>(</t>
        </is>
      </c>
      <c r="B131" s="309">
        <f>B99</f>
        <v/>
      </c>
      <c r="G131" s="310" t="inlineStr">
        <is>
          <t>)</t>
        </is>
      </c>
      <c r="H131" s="309" t="inlineStr">
        <is>
          <t>(</t>
        </is>
      </c>
      <c r="I131" s="314">
        <f>I85</f>
        <v/>
      </c>
      <c r="L131" s="13" t="inlineStr">
        <is>
          <t>)</t>
        </is>
      </c>
      <c r="M131" s="61" t="inlineStr">
        <is>
          <t>(</t>
        </is>
      </c>
      <c r="N131" s="61" t="n"/>
      <c r="O131" s="309" t="inlineStr">
        <is>
          <t>นายพิสุทธิศักดิ์  กล่อมนาค</t>
        </is>
      </c>
      <c r="R131" s="29" t="n"/>
      <c r="S131" s="310" t="inlineStr">
        <is>
          <t>)</t>
        </is>
      </c>
    </row>
    <row r="132" ht="22.2" customHeight="1" s="330">
      <c r="A132" s="483" t="inlineStr">
        <is>
          <t xml:space="preserve">                    ตำแหน่ง  ครู</t>
        </is>
      </c>
      <c r="G132" s="331" t="n"/>
      <c r="H132" s="62" t="inlineStr">
        <is>
          <t>ตำแหน่ง หัวหน้าแผนก</t>
        </is>
      </c>
      <c r="L132" s="331" t="n"/>
      <c r="M132" s="62" t="inlineStr">
        <is>
          <t>ตำแหน่ง   ผู้ตรวจสอบ</t>
        </is>
      </c>
      <c r="S132" s="331" t="n"/>
    </row>
    <row r="133" ht="22.2" customHeight="1" s="330">
      <c r="A133" s="63">
        <f>A41</f>
        <v/>
      </c>
      <c r="B133" s="471" t="n"/>
      <c r="C133" s="471" t="n"/>
      <c r="D133" s="471" t="n"/>
      <c r="E133" s="471" t="n"/>
      <c r="F133" s="471" t="n"/>
      <c r="G133" s="476" t="n"/>
      <c r="H133" s="62">
        <f>A41</f>
        <v/>
      </c>
      <c r="L133" s="331" t="n"/>
      <c r="M133" s="63">
        <f>A41</f>
        <v/>
      </c>
      <c r="N133" s="471" t="n"/>
      <c r="O133" s="471" t="n"/>
      <c r="P133" s="471" t="n"/>
      <c r="Q133" s="471" t="n"/>
      <c r="R133" s="471" t="n"/>
      <c r="S133" s="476" t="n"/>
    </row>
    <row r="134" ht="22.2" customHeight="1" s="330">
      <c r="A134" s="207" t="inlineStr">
        <is>
          <t>ผู้ตรวจ</t>
        </is>
      </c>
      <c r="B134" s="334" t="n"/>
      <c r="C134" s="334" t="n"/>
      <c r="D134" s="334" t="n"/>
      <c r="E134" s="334" t="n"/>
      <c r="F134" s="334" t="n"/>
      <c r="G134" s="334" t="n"/>
      <c r="H134" s="334" t="n"/>
      <c r="I134" s="335" t="n"/>
      <c r="J134" s="207" t="inlineStr">
        <is>
          <t>ผู้เห็นชอบ</t>
        </is>
      </c>
      <c r="K134" s="334" t="n"/>
      <c r="L134" s="334" t="n"/>
      <c r="M134" s="334" t="n"/>
      <c r="N134" s="334" t="n"/>
      <c r="O134" s="334" t="n"/>
      <c r="P134" s="334" t="n"/>
      <c r="Q134" s="334" t="n"/>
      <c r="R134" s="334" t="n"/>
      <c r="S134" s="335" t="n"/>
    </row>
    <row r="135" ht="22.2" customHeight="1" s="330">
      <c r="A135" s="252" t="inlineStr">
        <is>
          <t>ลงชื่อ……………………………………………</t>
        </is>
      </c>
      <c r="I135" s="331" t="n"/>
      <c r="J135" s="252" t="inlineStr">
        <is>
          <t>ลงชื่อ……………………………………………</t>
        </is>
      </c>
      <c r="S135" s="331" t="n"/>
    </row>
    <row r="136" ht="22.2" customHeight="1" s="330">
      <c r="A136" s="12" t="n"/>
      <c r="B136" s="309" t="inlineStr">
        <is>
          <t xml:space="preserve">          (นางศิวรักษ์   บุญประเสริฐ)</t>
        </is>
      </c>
      <c r="I136" s="310" t="n"/>
      <c r="J136" s="29" t="n"/>
      <c r="K136" s="29" t="n"/>
      <c r="L136" s="309" t="inlineStr">
        <is>
          <t>(นายปรีชา  โพธิ์เกิด)</t>
        </is>
      </c>
      <c r="R136" s="29" t="n"/>
      <c r="S136" s="13" t="n"/>
    </row>
    <row r="137" ht="22.2" customHeight="1" s="330">
      <c r="A137" s="62" t="inlineStr">
        <is>
          <t>ตำแหน่งครู  หัวหน้างานพัฒนาหลักสูตร ฯ</t>
        </is>
      </c>
      <c r="I137" s="331" t="n"/>
      <c r="J137" s="62" t="inlineStr">
        <is>
          <t>ตำแหน่ง  รองผู้อำนวยการฝ่ายวิชาการ</t>
        </is>
      </c>
      <c r="S137" s="331" t="n"/>
    </row>
    <row r="138" ht="22.2" customHeight="1" s="330">
      <c r="A138" s="63">
        <f>A41</f>
        <v/>
      </c>
      <c r="B138" s="471" t="n"/>
      <c r="C138" s="471" t="n"/>
      <c r="D138" s="471" t="n"/>
      <c r="E138" s="471" t="n"/>
      <c r="F138" s="471" t="n"/>
      <c r="G138" s="471" t="n"/>
      <c r="H138" s="471" t="n"/>
      <c r="I138" s="476" t="n"/>
      <c r="J138" s="63">
        <f>A41</f>
        <v/>
      </c>
      <c r="K138" s="471" t="n"/>
      <c r="L138" s="471" t="n"/>
      <c r="M138" s="471" t="n"/>
      <c r="N138" s="471" t="n"/>
      <c r="O138" s="471" t="n"/>
      <c r="P138" s="471" t="n"/>
      <c r="Q138" s="471" t="n"/>
      <c r="R138" s="471" t="n"/>
      <c r="S138" s="476" t="n"/>
    </row>
    <row r="139" ht="22.2" customHeight="1" s="330">
      <c r="A13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40" ht="22.2" customHeight="1" s="330">
      <c r="A140" s="254">
        <f>A2</f>
        <v/>
      </c>
    </row>
    <row r="141" ht="22.2" customHeight="1" s="330">
      <c r="A141" s="253" t="inlineStr">
        <is>
          <t xml:space="preserve">    ระหว่างวันที่</t>
        </is>
      </c>
      <c r="D141" s="254">
        <f>D3</f>
        <v/>
      </c>
      <c r="E141" s="254" t="inlineStr">
        <is>
          <t xml:space="preserve">   เดือน  </t>
        </is>
      </c>
      <c r="F141" s="254">
        <f>F3</f>
        <v/>
      </c>
      <c r="H141" s="254">
        <f>H3</f>
        <v/>
      </c>
      <c r="I141" s="254" t="inlineStr">
        <is>
          <t xml:space="preserve">     ถึง วันที่</t>
        </is>
      </c>
      <c r="J141" s="254">
        <f>J3</f>
        <v/>
      </c>
      <c r="K141" s="254" t="inlineStr">
        <is>
          <t xml:space="preserve">   เดือน </t>
        </is>
      </c>
      <c r="L141" s="254">
        <f>L3</f>
        <v/>
      </c>
      <c r="N141" s="254">
        <f>N3</f>
        <v/>
      </c>
      <c r="P141" s="254" t="n"/>
      <c r="R141" s="254" t="n"/>
    </row>
    <row r="142" ht="22.2" customHeight="1" s="330">
      <c r="G142" s="58" t="inlineStr">
        <is>
          <t>ü</t>
        </is>
      </c>
      <c r="H142" s="290" t="inlineStr">
        <is>
          <t>ครู</t>
        </is>
      </c>
      <c r="I142" s="249" t="inlineStr">
        <is>
          <t>หน้าที่พิเศษ</t>
        </is>
      </c>
    </row>
    <row r="143" ht="22.2" customHeight="1" s="330">
      <c r="A143" s="28" t="inlineStr">
        <is>
          <t>ที่</t>
        </is>
      </c>
      <c r="B143" s="28" t="inlineStr">
        <is>
          <t>ชื่อ-สกุล</t>
        </is>
      </c>
      <c r="C143" s="334" t="n"/>
      <c r="D143" s="335" t="n"/>
      <c r="E143" s="16" t="inlineStr">
        <is>
          <t>ตำแหน่ง</t>
        </is>
      </c>
      <c r="F143" s="17" t="inlineStr">
        <is>
          <t>ระยะเวลาที่สอน</t>
        </is>
      </c>
      <c r="G143" s="362" t="n"/>
      <c r="H143" s="17" t="inlineStr">
        <is>
          <t>รหัสวิชา</t>
        </is>
      </c>
      <c r="I143" s="275" t="inlineStr">
        <is>
          <t>ชั้น,แผนก,ห้อง</t>
        </is>
      </c>
      <c r="J143" s="17" t="inlineStr">
        <is>
          <t>เวลาสอน</t>
        </is>
      </c>
      <c r="K143" s="335" t="n"/>
      <c r="L143" s="17" t="inlineStr">
        <is>
          <t>ปวช.(คาบ)</t>
        </is>
      </c>
      <c r="M143" s="362" t="n"/>
      <c r="N143" s="244" t="inlineStr">
        <is>
          <t>เงิน</t>
        </is>
      </c>
      <c r="O143" s="275" t="inlineStr">
        <is>
          <t>ยอดเงิน</t>
        </is>
      </c>
      <c r="P143" s="473" t="inlineStr">
        <is>
          <t>ปวส.(คาบ)</t>
        </is>
      </c>
      <c r="Q143" s="362" t="n"/>
      <c r="R143" s="244" t="inlineStr">
        <is>
          <t>เงิน</t>
        </is>
      </c>
      <c r="S143" s="275" t="inlineStr">
        <is>
          <t>ยอดเงิน</t>
        </is>
      </c>
    </row>
    <row r="144" ht="22.2" customHeight="1" s="330">
      <c r="A144" s="60" t="n"/>
      <c r="B144" s="9" t="n"/>
      <c r="C144" s="10" t="n"/>
      <c r="D144" s="14" t="n"/>
      <c r="E144" s="11" t="n"/>
      <c r="F144" s="276" t="inlineStr">
        <is>
          <t>ส.</t>
        </is>
      </c>
      <c r="G144" s="276" t="inlineStr">
        <is>
          <t>วดป.</t>
        </is>
      </c>
      <c r="H144" s="474" t="n"/>
      <c r="I144" s="276" t="n"/>
      <c r="J144" s="475" t="n"/>
      <c r="K144" s="476" t="n"/>
      <c r="L144" s="276" t="inlineStr">
        <is>
          <t>ใน</t>
        </is>
      </c>
      <c r="M144" s="276" t="inlineStr">
        <is>
          <t>นอก</t>
        </is>
      </c>
      <c r="N144" s="276" t="inlineStr">
        <is>
          <t>ต่อ ชม.</t>
        </is>
      </c>
      <c r="O144" s="276" t="inlineStr">
        <is>
          <t>(บาท)</t>
        </is>
      </c>
      <c r="P144" s="60" t="inlineStr">
        <is>
          <t>ใน</t>
        </is>
      </c>
      <c r="Q144" s="2" t="inlineStr">
        <is>
          <t>นอก</t>
        </is>
      </c>
      <c r="R144" s="276" t="inlineStr">
        <is>
          <t>ต่อ ชม.</t>
        </is>
      </c>
      <c r="S144" s="276" t="inlineStr">
        <is>
          <t>(บาท)</t>
        </is>
      </c>
    </row>
    <row r="145" ht="22.2" customHeight="1" s="330">
      <c r="A145" s="275" t="n">
        <v>4</v>
      </c>
      <c r="B145" s="477">
        <f>AB6</f>
        <v/>
      </c>
      <c r="C145" s="334" t="n"/>
      <c r="D145" s="335" t="n"/>
      <c r="E145" s="275" t="inlineStr">
        <is>
          <t>ครู</t>
        </is>
      </c>
      <c r="F145" s="6">
        <f>F7</f>
        <v/>
      </c>
      <c r="G145" s="303" t="inlineStr">
        <is>
          <t>จันทร์</t>
        </is>
      </c>
      <c r="H145" s="332" t="inlineStr">
        <is>
          <t>30101-2006</t>
        </is>
      </c>
      <c r="I145" s="325" t="inlineStr">
        <is>
          <t>ปวส.2/5 สย. (ม.6)</t>
        </is>
      </c>
      <c r="J145" s="332" t="inlineStr">
        <is>
          <t>08.10-12.10</t>
        </is>
      </c>
      <c r="K145" s="335" t="n"/>
      <c r="L145" s="265" t="n"/>
      <c r="M145" s="332" t="n"/>
      <c r="N145" s="332" t="n"/>
      <c r="O145" s="244">
        <f>M145*N145</f>
        <v/>
      </c>
      <c r="P145" s="332" t="n"/>
      <c r="Q145" s="265" t="n"/>
      <c r="R145" s="332" t="n"/>
      <c r="S145" s="244">
        <f>Q145*R145</f>
        <v/>
      </c>
    </row>
    <row r="146" ht="22.2" customHeight="1" s="330">
      <c r="A146" s="4" t="n"/>
      <c r="E146" s="252" t="n"/>
      <c r="F146" s="249" t="n"/>
      <c r="G146" s="308">
        <f>G100</f>
        <v/>
      </c>
      <c r="H146" s="325" t="inlineStr">
        <is>
          <t>30101-2006</t>
        </is>
      </c>
      <c r="I146" s="325" t="inlineStr">
        <is>
          <t>ปวส.2/5 สย. (ม.6)</t>
        </is>
      </c>
      <c r="J146" s="252" t="inlineStr">
        <is>
          <t>13.10-14.10</t>
        </is>
      </c>
      <c r="K146" s="331" t="n"/>
      <c r="L146" s="252" t="n"/>
      <c r="M146" s="252" t="n"/>
      <c r="N146" s="252" t="n"/>
      <c r="O146" s="244">
        <f>M146*N146</f>
        <v/>
      </c>
      <c r="P146" s="252" t="n"/>
      <c r="Q146" s="252" t="n"/>
      <c r="R146" s="252" t="n"/>
      <c r="S146" s="244">
        <f>Q146*R146</f>
        <v/>
      </c>
    </row>
    <row r="147" ht="22.2" customHeight="1" s="330">
      <c r="A147" s="4" t="n"/>
      <c r="B147" s="5" t="n"/>
      <c r="D147" s="3" t="n"/>
      <c r="E147" s="3" t="n"/>
      <c r="F147" s="249" t="n"/>
      <c r="G147" s="248" t="n"/>
      <c r="H147" s="325" t="inlineStr">
        <is>
          <t>30101-2006</t>
        </is>
      </c>
      <c r="I147" s="325" t="inlineStr">
        <is>
          <t>ปวส.2/6 สย. (ม.6)</t>
        </is>
      </c>
      <c r="J147" s="252" t="inlineStr">
        <is>
          <t>14.10-19.10</t>
        </is>
      </c>
      <c r="K147" s="331" t="n"/>
      <c r="L147" s="252" t="n"/>
      <c r="M147" s="252" t="n"/>
      <c r="N147" s="252" t="n"/>
      <c r="O147" s="244">
        <f>M147*N147</f>
        <v/>
      </c>
      <c r="P147" s="252" t="n"/>
      <c r="Q147" s="252" t="n"/>
      <c r="R147" s="252" t="n"/>
      <c r="S147" s="244">
        <f>Q147*R147</f>
        <v/>
      </c>
    </row>
    <row r="148" ht="22.2" customHeight="1" s="330">
      <c r="A148" s="4" t="n"/>
      <c r="B148" s="5" t="n"/>
      <c r="E148" s="4" t="n"/>
      <c r="F148" s="249" t="n"/>
      <c r="G148" s="248" t="n"/>
      <c r="H148" s="252" t="n"/>
      <c r="I148" s="252" t="n"/>
      <c r="J148" s="252" t="n"/>
      <c r="K148" s="331" t="n"/>
      <c r="L148" s="252" t="n"/>
      <c r="M148" s="252" t="n"/>
      <c r="N148" s="252" t="n"/>
      <c r="O148" s="244">
        <f>M148*N148</f>
        <v/>
      </c>
      <c r="P148" s="252" t="n"/>
      <c r="Q148" s="252" t="n"/>
      <c r="R148" s="252" t="n"/>
      <c r="S148" s="244">
        <f>Q148*R148</f>
        <v/>
      </c>
    </row>
    <row r="149" ht="22.2" customHeight="1" s="330">
      <c r="A149" s="4" t="n"/>
      <c r="E149" s="4" t="n"/>
      <c r="G149" s="311" t="n"/>
      <c r="H149" s="276" t="n"/>
      <c r="I149" s="276" t="n"/>
      <c r="J149" s="276" t="n"/>
      <c r="K149" s="476" t="n"/>
      <c r="L149" s="252" t="n"/>
      <c r="M149" s="252" t="n"/>
      <c r="N149" s="252" t="n"/>
      <c r="O149" s="244">
        <f>M149*N149</f>
        <v/>
      </c>
      <c r="P149" s="252" t="n"/>
      <c r="Q149" s="252" t="n"/>
      <c r="R149" s="252" t="n"/>
      <c r="S149" s="244">
        <f>Q149*R149</f>
        <v/>
      </c>
    </row>
    <row r="150" ht="22.2" customHeight="1" s="330">
      <c r="A150" s="4" t="n"/>
      <c r="E150" s="4" t="n"/>
      <c r="G150" s="62" t="inlineStr">
        <is>
          <t>อังคาร</t>
        </is>
      </c>
      <c r="H150" s="332" t="inlineStr">
        <is>
          <t>30101-2004</t>
        </is>
      </c>
      <c r="I150" s="332" t="inlineStr">
        <is>
          <t>ปวส.1/7 สย. (ทวิ)</t>
        </is>
      </c>
      <c r="J150" s="332" t="inlineStr">
        <is>
          <t>11.10-12.10</t>
        </is>
      </c>
      <c r="K150" s="335" t="n"/>
      <c r="L150" s="265" t="n"/>
      <c r="M150" s="332" t="n"/>
      <c r="N150" s="332" t="n"/>
      <c r="O150" s="244">
        <f>M150*N150</f>
        <v/>
      </c>
      <c r="P150" s="332" t="n"/>
      <c r="Q150" s="265" t="n"/>
      <c r="R150" s="332" t="n"/>
      <c r="S150" s="244">
        <f>Q150*R150</f>
        <v/>
      </c>
      <c r="T150" s="7" t="n"/>
      <c r="U150" s="23" t="inlineStr">
        <is>
          <t>เบิก ธุรการ</t>
        </is>
      </c>
      <c r="V150" s="66" t="n"/>
      <c r="W150" s="22" t="n"/>
      <c r="X150" s="22" t="n"/>
    </row>
    <row r="151" ht="22.2" customHeight="1" s="330">
      <c r="A151" s="4" t="n"/>
      <c r="E151" s="4" t="n"/>
      <c r="G151" s="308">
        <f>G105</f>
        <v/>
      </c>
      <c r="H151" s="325" t="inlineStr">
        <is>
          <t>30101-2004</t>
        </is>
      </c>
      <c r="I151" s="325" t="inlineStr">
        <is>
          <t>ปวส.1/7 สย. (ทวิ)</t>
        </is>
      </c>
      <c r="J151" s="252" t="inlineStr">
        <is>
          <t>13.10-17.10</t>
        </is>
      </c>
      <c r="K151" s="331" t="n"/>
      <c r="L151" s="252" t="n"/>
      <c r="M151" s="252" t="n"/>
      <c r="N151" s="252" t="n"/>
      <c r="O151" s="244">
        <f>M151*N151</f>
        <v/>
      </c>
      <c r="P151" s="252" t="n"/>
      <c r="Q151" s="252" t="n"/>
      <c r="R151" s="252" t="n"/>
      <c r="S151" s="244">
        <f>Q151*R151</f>
        <v/>
      </c>
      <c r="T151" s="22" t="inlineStr">
        <is>
          <t> </t>
        </is>
      </c>
      <c r="U151" s="23" t="inlineStr">
        <is>
          <t>16.10-19.10</t>
        </is>
      </c>
      <c r="V151" s="66" t="n"/>
      <c r="W151" s="22" t="n"/>
      <c r="X151" s="22" t="n"/>
    </row>
    <row r="152" ht="22.2" customHeight="1" s="330">
      <c r="A152" s="4" t="n"/>
      <c r="B152" s="5" t="n"/>
      <c r="D152" s="3" t="n"/>
      <c r="E152" s="3" t="n"/>
      <c r="G152" s="252" t="n"/>
      <c r="H152" s="325" t="n"/>
      <c r="I152" s="325" t="n"/>
      <c r="J152" s="252" t="n"/>
      <c r="K152" s="331" t="n"/>
      <c r="L152" s="252" t="n"/>
      <c r="M152" s="252" t="n"/>
      <c r="N152" s="252" t="n"/>
      <c r="O152" s="244">
        <f>M152*N152</f>
        <v/>
      </c>
      <c r="P152" s="252" t="n"/>
      <c r="Q152" s="252" t="n"/>
      <c r="R152" s="252" t="n"/>
      <c r="S152" s="244">
        <f>Q152*R152</f>
        <v/>
      </c>
    </row>
    <row r="153" ht="22.2" customHeight="1" s="330">
      <c r="A153" s="4" t="n"/>
      <c r="E153" s="4" t="n"/>
      <c r="G153" s="62" t="n"/>
      <c r="H153" s="252" t="n"/>
      <c r="I153" s="252" t="n"/>
      <c r="J153" s="252" t="n"/>
      <c r="K153" s="331" t="n"/>
      <c r="L153" s="252" t="n"/>
      <c r="M153" s="252" t="n"/>
      <c r="N153" s="252" t="n"/>
      <c r="O153" s="244">
        <f>M153*N153</f>
        <v/>
      </c>
      <c r="P153" s="252" t="n"/>
      <c r="Q153" s="252" t="n"/>
      <c r="R153" s="252" t="n"/>
      <c r="S153" s="244">
        <f>Q153*R153</f>
        <v/>
      </c>
    </row>
    <row r="154" ht="22.2" customHeight="1" s="330">
      <c r="A154" s="4" t="n"/>
      <c r="D154" s="8" t="inlineStr">
        <is>
          <t> </t>
        </is>
      </c>
      <c r="E154" s="4" t="n"/>
      <c r="G154" s="63" t="n"/>
      <c r="H154" s="276" t="n"/>
      <c r="I154" s="276" t="n"/>
      <c r="J154" s="276" t="n"/>
      <c r="K154" s="476" t="n"/>
      <c r="L154" s="252" t="n"/>
      <c r="M154" s="252" t="n"/>
      <c r="N154" s="252" t="n"/>
      <c r="O154" s="244">
        <f>M154*N154</f>
        <v/>
      </c>
      <c r="P154" s="252" t="n"/>
      <c r="Q154" s="252" t="n"/>
      <c r="R154" s="252" t="n"/>
      <c r="S154" s="244">
        <f>Q154*R154</f>
        <v/>
      </c>
    </row>
    <row r="155" ht="22.2" customHeight="1" s="330">
      <c r="A155" s="4" t="n"/>
      <c r="E155" s="4" t="n"/>
      <c r="G155" s="308" t="inlineStr">
        <is>
          <t>พุธ</t>
        </is>
      </c>
      <c r="H155" s="325" t="inlineStr">
        <is>
          <t>30101-0003</t>
        </is>
      </c>
      <c r="I155" s="325" t="inlineStr">
        <is>
          <t>ปวส.1/3 สย. (ม.6)</t>
        </is>
      </c>
      <c r="J155" s="252" t="inlineStr">
        <is>
          <t>13.10-18.10</t>
        </is>
      </c>
      <c r="K155" s="331" t="n"/>
      <c r="L155" s="265" t="n"/>
      <c r="M155" s="332" t="n"/>
      <c r="N155" s="332" t="n"/>
      <c r="O155" s="244">
        <f>M155*N155</f>
        <v/>
      </c>
      <c r="P155" s="332" t="n"/>
      <c r="Q155" s="265" t="n"/>
      <c r="R155" s="332" t="n"/>
      <c r="S155" s="244">
        <f>Q155*R155</f>
        <v/>
      </c>
    </row>
    <row r="156" ht="22.2" customHeight="1" s="330">
      <c r="A156" s="4" t="n"/>
      <c r="E156" s="4" t="n"/>
      <c r="G156" s="308">
        <f>G110</f>
        <v/>
      </c>
      <c r="H156" s="252" t="n"/>
      <c r="I156" s="252" t="n"/>
      <c r="J156" s="252" t="n"/>
      <c r="K156" s="331" t="n"/>
      <c r="L156" s="252" t="n"/>
      <c r="M156" s="252" t="n"/>
      <c r="N156" s="252" t="n"/>
      <c r="O156" s="244">
        <f>M156*N156</f>
        <v/>
      </c>
      <c r="P156" s="252" t="n"/>
      <c r="Q156" s="252" t="n"/>
      <c r="R156" s="252" t="n"/>
      <c r="S156" s="244">
        <f>Q156*R156</f>
        <v/>
      </c>
    </row>
    <row r="157" ht="22.2" customHeight="1" s="330">
      <c r="A157" s="4" t="n"/>
      <c r="B157" s="5" t="n"/>
      <c r="D157" s="3" t="n"/>
      <c r="E157" s="3" t="n"/>
      <c r="G157" s="252" t="n"/>
      <c r="H157" s="252" t="n"/>
      <c r="I157" s="252" t="n"/>
      <c r="J157" s="252" t="n"/>
      <c r="K157" s="331" t="n"/>
      <c r="L157" s="252" t="n"/>
      <c r="M157" s="252" t="n"/>
      <c r="N157" s="252" t="n"/>
      <c r="O157" s="244">
        <f>M157*N157</f>
        <v/>
      </c>
      <c r="P157" s="252" t="n"/>
      <c r="Q157" s="252" t="n"/>
      <c r="R157" s="252" t="n"/>
      <c r="S157" s="244">
        <f>Q157*R157</f>
        <v/>
      </c>
    </row>
    <row r="158" ht="22.2" customHeight="1" s="330">
      <c r="A158" s="4" t="n"/>
      <c r="E158" s="4" t="n"/>
      <c r="G158" s="248" t="n"/>
      <c r="H158" s="252" t="n"/>
      <c r="I158" s="252" t="n"/>
      <c r="J158" s="252" t="n"/>
      <c r="K158" s="331" t="n"/>
      <c r="L158" s="252" t="n"/>
      <c r="M158" s="252" t="n"/>
      <c r="N158" s="252" t="n"/>
      <c r="O158" s="244">
        <f>M158*N158</f>
        <v/>
      </c>
      <c r="P158" s="252" t="n"/>
      <c r="Q158" s="252" t="n"/>
      <c r="R158" s="252" t="n"/>
      <c r="S158" s="244">
        <f>Q158*R158</f>
        <v/>
      </c>
    </row>
    <row r="159" ht="22.2" customHeight="1" s="330">
      <c r="A159" s="4" t="n"/>
      <c r="E159" s="4" t="n"/>
      <c r="G159" s="277" t="n"/>
      <c r="H159" s="276" t="n"/>
      <c r="I159" s="276" t="n"/>
      <c r="J159" s="276" t="n"/>
      <c r="K159" s="476" t="n"/>
      <c r="L159" s="276" t="n"/>
      <c r="M159" s="276" t="n"/>
      <c r="N159" s="276" t="n"/>
      <c r="O159" s="244">
        <f>M159*N159</f>
        <v/>
      </c>
      <c r="P159" s="276" t="n"/>
      <c r="Q159" s="276" t="n"/>
      <c r="R159" s="276" t="n"/>
      <c r="S159" s="17">
        <f>Q159*R159</f>
        <v/>
      </c>
    </row>
    <row r="160" ht="22.2" customHeight="1" s="330">
      <c r="A160" s="4" t="n"/>
      <c r="E160" s="4" t="n"/>
      <c r="G160" s="62" t="inlineStr">
        <is>
          <t>พฤหัส</t>
        </is>
      </c>
      <c r="H160" s="325" t="inlineStr">
        <is>
          <t>30101-2006</t>
        </is>
      </c>
      <c r="I160" s="325" t="inlineStr">
        <is>
          <t>ปวส.2/7 สย. (ม.6)</t>
        </is>
      </c>
      <c r="J160" s="275" t="inlineStr">
        <is>
          <t>08.10-12.10</t>
        </is>
      </c>
      <c r="K160" s="335" t="n"/>
      <c r="L160" s="252" t="n"/>
      <c r="M160" s="179" t="n"/>
      <c r="N160" s="179" t="n"/>
      <c r="O160" s="244">
        <f>M160*N160</f>
        <v/>
      </c>
      <c r="P160" s="179" t="n"/>
      <c r="Q160" s="179" t="n"/>
      <c r="R160" s="179" t="n"/>
      <c r="S160" s="17">
        <f>Q160*R160</f>
        <v/>
      </c>
      <c r="T160" s="25" t="n"/>
      <c r="U160" s="26" t="inlineStr">
        <is>
          <t xml:space="preserve">     PLC</t>
        </is>
      </c>
      <c r="V160" s="64" t="n"/>
      <c r="W160" s="27" t="n"/>
      <c r="X160" s="27" t="n"/>
    </row>
    <row r="161" ht="22.2" customHeight="1" s="330">
      <c r="A161" s="4" t="n"/>
      <c r="E161" s="4" t="n"/>
      <c r="G161" s="308">
        <f>G115</f>
        <v/>
      </c>
      <c r="H161" s="325" t="inlineStr">
        <is>
          <t>30101-2006</t>
        </is>
      </c>
      <c r="I161" s="325" t="inlineStr">
        <is>
          <t>ปวส.2/7 สย. (ม.6)</t>
        </is>
      </c>
      <c r="J161" s="252" t="inlineStr">
        <is>
          <t>15.10-16.10</t>
        </is>
      </c>
      <c r="K161" s="331" t="n"/>
      <c r="L161" s="252" t="n"/>
      <c r="M161" s="56" t="n"/>
      <c r="N161" s="56" t="n"/>
      <c r="O161" s="244">
        <f>M161*N161</f>
        <v/>
      </c>
      <c r="P161" s="180" t="n"/>
      <c r="Q161" s="180" t="n"/>
      <c r="R161" s="180" t="n"/>
      <c r="S161" s="17">
        <f>Q161*R161</f>
        <v/>
      </c>
      <c r="T161" s="27" t="inlineStr">
        <is>
          <t> </t>
        </is>
      </c>
      <c r="U161" s="26" t="inlineStr">
        <is>
          <t>17.10-19.10</t>
        </is>
      </c>
      <c r="V161" s="64" t="n"/>
      <c r="W161" s="27" t="n"/>
      <c r="X161" s="27" t="n"/>
    </row>
    <row r="162" ht="22.2" customHeight="1" s="330">
      <c r="A162" s="4" t="n"/>
      <c r="B162" s="5" t="n"/>
      <c r="E162" s="4" t="n"/>
      <c r="G162" s="252" t="n"/>
      <c r="H162" s="325" t="n"/>
      <c r="I162" s="325" t="n"/>
      <c r="J162" s="252" t="n"/>
      <c r="K162" s="331" t="n"/>
      <c r="L162" s="325" t="n"/>
      <c r="M162" s="56" t="n"/>
      <c r="N162" s="56" t="n"/>
      <c r="O162" s="244">
        <f>M162*N162</f>
        <v/>
      </c>
      <c r="P162" s="56" t="n"/>
      <c r="Q162" s="180" t="n"/>
      <c r="R162" s="180" t="n"/>
      <c r="S162" s="17">
        <f>Q162*R162</f>
        <v/>
      </c>
    </row>
    <row r="163" ht="22.2" customHeight="1" s="330">
      <c r="A163" s="4" t="n"/>
      <c r="E163" s="4" t="n"/>
      <c r="G163" s="252" t="n"/>
      <c r="H163" s="252" t="n"/>
      <c r="I163" s="252" t="n"/>
      <c r="J163" s="252" t="n"/>
      <c r="K163" s="331" t="n"/>
      <c r="L163" s="252" t="n"/>
      <c r="M163" s="252" t="n"/>
      <c r="N163" s="252" t="n"/>
      <c r="O163" s="244">
        <f>M163*N163</f>
        <v/>
      </c>
      <c r="P163" s="252" t="n"/>
      <c r="Q163" s="252" t="n"/>
      <c r="R163" s="252" t="n"/>
      <c r="S163" s="244">
        <f>Q163*R163</f>
        <v/>
      </c>
    </row>
    <row r="164" ht="22.2" customHeight="1" s="330">
      <c r="A164" s="4" t="n"/>
      <c r="E164" s="4" t="n"/>
      <c r="G164" s="276" t="n"/>
      <c r="H164" s="301" t="n"/>
      <c r="I164" s="276" t="n"/>
      <c r="J164" s="276" t="n"/>
      <c r="K164" s="476" t="n"/>
      <c r="L164" s="276" t="n"/>
      <c r="M164" s="276" t="n"/>
      <c r="N164" s="276" t="n"/>
      <c r="O164" s="244">
        <f>M164*N164</f>
        <v/>
      </c>
      <c r="P164" s="276" t="n"/>
      <c r="Q164" s="276" t="n"/>
      <c r="R164" s="276" t="n"/>
      <c r="S164" s="244">
        <f>Q164*R164</f>
        <v/>
      </c>
    </row>
    <row r="165" ht="22.2" customHeight="1" s="330">
      <c r="A165" s="4" t="n"/>
      <c r="D165" s="331" t="n"/>
      <c r="E165" s="56" t="n"/>
      <c r="G165" s="62" t="inlineStr">
        <is>
          <t>ศุกร์</t>
        </is>
      </c>
      <c r="H165" s="325" t="inlineStr">
        <is>
          <t>30100-0104</t>
        </is>
      </c>
      <c r="I165" s="325" t="inlineStr">
        <is>
          <t>ปวส.1/1 สย. (ปกติ)</t>
        </is>
      </c>
      <c r="J165" s="332" t="inlineStr">
        <is>
          <t>08.10-12.10</t>
        </is>
      </c>
      <c r="K165" s="335" t="n"/>
      <c r="L165" s="252" t="n"/>
      <c r="M165" s="28" t="n"/>
      <c r="N165" s="272" t="n"/>
      <c r="O165" s="244">
        <f>M165*N165</f>
        <v/>
      </c>
      <c r="P165" s="275" t="n"/>
      <c r="Q165" s="275" t="n"/>
      <c r="R165" s="244" t="n"/>
      <c r="S165" s="17">
        <f>Q165*R165</f>
        <v/>
      </c>
    </row>
    <row r="166" ht="22.2" customHeight="1" s="330">
      <c r="A166" s="4" t="n"/>
      <c r="D166" s="3" t="n"/>
      <c r="E166" s="4" t="n"/>
      <c r="G166" s="308">
        <f>G120</f>
        <v/>
      </c>
      <c r="H166" s="325" t="n"/>
      <c r="I166" s="325" t="n"/>
      <c r="J166" s="252" t="n"/>
      <c r="K166" s="331" t="n"/>
      <c r="L166" s="252" t="n"/>
      <c r="M166" s="56" t="n"/>
      <c r="N166" s="331" t="n"/>
      <c r="O166" s="244">
        <f>M166*N166</f>
        <v/>
      </c>
      <c r="P166" s="180" t="n"/>
      <c r="Q166" s="56" t="n"/>
      <c r="R166" s="56" t="n"/>
      <c r="S166" s="17">
        <f>Q166*R166</f>
        <v/>
      </c>
    </row>
    <row r="167" ht="22.2" customHeight="1" s="330">
      <c r="A167" s="4" t="n"/>
      <c r="E167" s="4" t="n"/>
      <c r="G167" s="252" t="n"/>
      <c r="H167" s="252" t="n"/>
      <c r="I167" s="252" t="n"/>
      <c r="J167" s="252" t="n"/>
      <c r="K167" s="331" t="n"/>
      <c r="L167" s="252" t="n"/>
      <c r="M167" s="252" t="n"/>
      <c r="N167" s="252" t="n"/>
      <c r="O167" s="244">
        <f>M167*N167</f>
        <v/>
      </c>
      <c r="P167" s="252" t="n"/>
      <c r="Q167" s="252" t="n"/>
      <c r="R167" s="252" t="n"/>
      <c r="S167" s="244">
        <f>Q167*R167</f>
        <v/>
      </c>
    </row>
    <row r="168" ht="22.2" customHeight="1" s="330">
      <c r="A168" s="4" t="n"/>
      <c r="E168" s="4" t="n"/>
      <c r="G168" s="252" t="n"/>
      <c r="H168" s="252" t="n"/>
      <c r="I168" s="252" t="n"/>
      <c r="J168" s="252" t="n"/>
      <c r="K168" s="331" t="n"/>
      <c r="L168" s="252" t="n"/>
      <c r="M168" s="252" t="n"/>
      <c r="N168" s="252" t="n"/>
      <c r="O168" s="244">
        <f>M168*N168</f>
        <v/>
      </c>
      <c r="P168" s="252" t="n"/>
      <c r="Q168" s="252" t="n"/>
      <c r="R168" s="252" t="n"/>
      <c r="S168" s="244">
        <f>Q168*R168</f>
        <v/>
      </c>
    </row>
    <row r="169" ht="22.2" customHeight="1" s="330">
      <c r="A169" s="4" t="n"/>
      <c r="E169" s="4" t="n"/>
      <c r="F169" s="4" t="n"/>
      <c r="G169" s="278" t="n"/>
      <c r="H169" s="301" t="n"/>
      <c r="I169" s="276" t="n"/>
      <c r="J169" s="276" t="n"/>
      <c r="K169" s="476" t="n"/>
      <c r="L169" s="276" t="n"/>
      <c r="M169" s="276" t="n"/>
      <c r="N169" s="276" t="n"/>
      <c r="O169" s="244">
        <f>M169*N169</f>
        <v/>
      </c>
      <c r="P169" s="276" t="n"/>
      <c r="Q169" s="276" t="n"/>
      <c r="R169" s="276" t="n"/>
      <c r="S169" s="244">
        <f>Q169*R169</f>
        <v/>
      </c>
    </row>
    <row r="170" ht="22.2" customHeight="1" s="330">
      <c r="A170" s="4" t="n"/>
      <c r="E170" s="4" t="n"/>
      <c r="F170" s="4" t="n"/>
      <c r="G170" s="17" t="inlineStr">
        <is>
          <t>รวมขั่วโมงที่สอนแยก ภาระงาน/ เกินภาระงาน</t>
        </is>
      </c>
      <c r="H170" s="467" t="n"/>
      <c r="I170" s="467" t="n"/>
      <c r="J170" s="467" t="n"/>
      <c r="K170" s="362" t="n"/>
      <c r="L170" s="17">
        <f>SUM(L145:L169)</f>
        <v/>
      </c>
      <c r="M170" s="17">
        <f>SUM(M145:M169)</f>
        <v/>
      </c>
      <c r="N170" s="17" t="n"/>
      <c r="O170" s="17" t="n"/>
      <c r="P170" s="17">
        <f>SUM(P145:P169)</f>
        <v/>
      </c>
      <c r="Q170" s="17">
        <f>SUM(Q145:Q169)</f>
        <v/>
      </c>
      <c r="R170" s="279" t="n"/>
      <c r="S170" s="17" t="n"/>
      <c r="T170" s="24" t="n"/>
      <c r="U170" s="24" t="inlineStr">
        <is>
          <t>สอน ป.ตรี</t>
        </is>
      </c>
      <c r="V170" s="65" t="n"/>
      <c r="W170" s="24" t="n"/>
      <c r="X170" s="24" t="n"/>
    </row>
    <row r="171" ht="22.2" customHeight="1" s="330">
      <c r="A171" s="4" t="n"/>
      <c r="E171" s="4" t="n"/>
      <c r="F171" s="4" t="n"/>
      <c r="G171" s="17" t="inlineStr">
        <is>
          <t>รวมจำนวนชั่วโมงสอนคาบต่อสับดาห์</t>
        </is>
      </c>
      <c r="H171" s="467" t="n"/>
      <c r="I171" s="467" t="n"/>
      <c r="J171" s="467" t="n"/>
      <c r="K171" s="362" t="n"/>
      <c r="L171" s="17">
        <f>L170+M170</f>
        <v/>
      </c>
      <c r="M171" s="362" t="n"/>
      <c r="N171" s="17" t="n"/>
      <c r="O171" s="298" t="n"/>
      <c r="P171" s="17">
        <f>P170+Q170</f>
        <v/>
      </c>
      <c r="Q171" s="362" t="n"/>
      <c r="R171" s="278" t="n"/>
      <c r="S171" s="276" t="n"/>
      <c r="T171" s="24" t="n"/>
      <c r="U171" s="24" t="inlineStr">
        <is>
          <t>17.10-20.10</t>
        </is>
      </c>
      <c r="V171" s="65" t="n"/>
      <c r="W171" s="24" t="n"/>
      <c r="X171" s="24" t="n"/>
    </row>
    <row r="172" ht="22.2" customHeight="1" s="330">
      <c r="A172" s="4" t="n"/>
      <c r="E172" s="4" t="n"/>
      <c r="F172" s="4" t="n"/>
      <c r="G172" s="17" t="inlineStr">
        <is>
          <t>จำนวนชั่วโมงสอนตามภาระงานสอน</t>
        </is>
      </c>
      <c r="H172" s="467" t="n"/>
      <c r="I172" s="467" t="n"/>
      <c r="J172" s="467" t="n"/>
      <c r="K172" s="362" t="n"/>
      <c r="L172" s="485" t="inlineStr">
        <is>
          <t>0</t>
        </is>
      </c>
      <c r="M172" s="362" t="n"/>
      <c r="N172" s="151" t="n"/>
      <c r="O172" s="154" t="n"/>
      <c r="P172" s="485" t="inlineStr">
        <is>
          <t>15</t>
        </is>
      </c>
      <c r="Q172" s="362" t="n"/>
      <c r="R172" s="249" t="n"/>
      <c r="S172" s="252" t="n"/>
    </row>
    <row r="173" ht="22.2" customHeight="1" s="330" thickBot="1">
      <c r="A173" s="4" t="n"/>
      <c r="E173" s="4" t="n"/>
      <c r="F173" s="15" t="n"/>
      <c r="G173" s="17" t="inlineStr">
        <is>
          <t>จำนวนชั่วโมงบิกเกินภาระงานสอน/ค่าสอน</t>
        </is>
      </c>
      <c r="H173" s="467" t="n"/>
      <c r="I173" s="467" t="n"/>
      <c r="J173" s="467" t="n"/>
      <c r="K173" s="362" t="n"/>
      <c r="L173" s="18" t="n">
        <v>0</v>
      </c>
      <c r="M173" s="18">
        <f>SUM(M145:M169)</f>
        <v/>
      </c>
      <c r="N173" s="18" t="n"/>
      <c r="O173" s="18">
        <f>SUM(O145:O169)</f>
        <v/>
      </c>
      <c r="P173" s="18" t="n">
        <v>0</v>
      </c>
      <c r="Q173" s="18">
        <f>SUM(Q145:Q169)</f>
        <v/>
      </c>
      <c r="R173" s="19" t="n"/>
      <c r="S173" s="18">
        <f>SUM(S145:S169)</f>
        <v/>
      </c>
    </row>
    <row r="174" ht="22.2" customHeight="1" s="330" thickTop="1">
      <c r="A174" s="299" t="inlineStr">
        <is>
          <t>รวมจำนวนหน่วยชั่วโมงที่ขอเบิกค่าสอน ….</t>
        </is>
      </c>
      <c r="B174" s="467" t="n"/>
      <c r="C174" s="467" t="n"/>
      <c r="D174" s="467" t="n"/>
      <c r="E174" s="467" t="n"/>
      <c r="F174" s="467" t="n"/>
      <c r="G174" s="467" t="n"/>
      <c r="H174" s="298">
        <f>M173+Q173</f>
        <v/>
      </c>
      <c r="I174" s="298" t="inlineStr">
        <is>
          <t>….ชั่วโมง</t>
        </is>
      </c>
      <c r="J174" s="298" t="n"/>
      <c r="K174" s="301" t="inlineStr">
        <is>
          <t>ยอดเงินรวม</t>
        </is>
      </c>
      <c r="L174" s="471" t="n"/>
      <c r="M174" s="471" t="n"/>
      <c r="N174" s="301" t="n"/>
      <c r="O174" s="301" t="n"/>
      <c r="P174" s="302">
        <f>S173+O173</f>
        <v/>
      </c>
      <c r="Q174" s="482" t="n"/>
      <c r="R174" s="21" t="n"/>
      <c r="S174" s="20" t="inlineStr">
        <is>
          <t>..บาท</t>
        </is>
      </c>
    </row>
    <row r="175" ht="22.2" customHeight="1" s="330">
      <c r="A175" s="207" t="inlineStr">
        <is>
          <t>ผู้ขอเบิก</t>
        </is>
      </c>
      <c r="B175" s="334" t="n"/>
      <c r="C175" s="334" t="n"/>
      <c r="D175" s="334" t="n"/>
      <c r="E175" s="334" t="n"/>
      <c r="F175" s="334" t="n"/>
      <c r="G175" s="335" t="n"/>
      <c r="H175" s="207" t="inlineStr">
        <is>
          <t>ผู้รับรอง</t>
        </is>
      </c>
      <c r="I175" s="334" t="n"/>
      <c r="J175" s="334" t="n"/>
      <c r="K175" s="334" t="n"/>
      <c r="L175" s="335" t="n"/>
      <c r="M175" s="207" t="inlineStr">
        <is>
          <t>ผู้ตรวจ</t>
        </is>
      </c>
      <c r="N175" s="334" t="n"/>
      <c r="O175" s="334" t="n"/>
      <c r="P175" s="334" t="n"/>
      <c r="Q175" s="334" t="n"/>
      <c r="R175" s="334" t="n"/>
      <c r="S175" s="335" t="n"/>
    </row>
    <row r="176" ht="22.2" customHeight="1" s="330">
      <c r="A176" s="252" t="inlineStr">
        <is>
          <t>ลงชื่อ……………………………………………</t>
        </is>
      </c>
      <c r="G176" s="331" t="n"/>
      <c r="H176" s="252" t="inlineStr">
        <is>
          <t>ลงชื่อ……………………………………………</t>
        </is>
      </c>
      <c r="L176" s="331" t="n"/>
      <c r="M176" s="252" t="inlineStr">
        <is>
          <t>ลงชื่อ……………………………………………</t>
        </is>
      </c>
      <c r="S176" s="331" t="n"/>
    </row>
    <row r="177" ht="22.2" customHeight="1" s="330">
      <c r="A177" s="12" t="inlineStr">
        <is>
          <t>(</t>
        </is>
      </c>
      <c r="B177" s="309">
        <f>B145</f>
        <v/>
      </c>
      <c r="G177" s="310" t="inlineStr">
        <is>
          <t>)</t>
        </is>
      </c>
      <c r="H177" s="309" t="inlineStr">
        <is>
          <t>(</t>
        </is>
      </c>
      <c r="I177" s="314">
        <f>I131</f>
        <v/>
      </c>
      <c r="L177" s="13" t="inlineStr">
        <is>
          <t>)</t>
        </is>
      </c>
      <c r="M177" s="61" t="inlineStr">
        <is>
          <t>(</t>
        </is>
      </c>
      <c r="N177" s="61" t="n"/>
      <c r="O177" s="309" t="inlineStr">
        <is>
          <t>นายพิสุทธิศักดิ์  กล่อมนาค</t>
        </is>
      </c>
      <c r="R177" s="29" t="n"/>
      <c r="S177" s="310" t="inlineStr">
        <is>
          <t>)</t>
        </is>
      </c>
    </row>
    <row r="178" ht="22.2" customHeight="1" s="330">
      <c r="A178" s="483" t="inlineStr">
        <is>
          <t xml:space="preserve">                    ตำแหน่ง  ครู</t>
        </is>
      </c>
      <c r="G178" s="331" t="n"/>
      <c r="H178" s="62" t="inlineStr">
        <is>
          <t>ตำแหน่ง หัวหน้าแผนก</t>
        </is>
      </c>
      <c r="L178" s="331" t="n"/>
      <c r="M178" s="62" t="inlineStr">
        <is>
          <t>ตำแหน่ง   ผู้ตรวจสอบ</t>
        </is>
      </c>
      <c r="S178" s="331" t="n"/>
    </row>
    <row r="179" ht="22.2" customHeight="1" s="330">
      <c r="A179" s="63">
        <f>A41</f>
        <v/>
      </c>
      <c r="B179" s="471" t="n"/>
      <c r="C179" s="471" t="n"/>
      <c r="D179" s="471" t="n"/>
      <c r="E179" s="471" t="n"/>
      <c r="F179" s="471" t="n"/>
      <c r="G179" s="476" t="n"/>
      <c r="H179" s="62">
        <f>A41</f>
        <v/>
      </c>
      <c r="L179" s="331" t="n"/>
      <c r="M179" s="63">
        <f>A41</f>
        <v/>
      </c>
      <c r="N179" s="471" t="n"/>
      <c r="O179" s="471" t="n"/>
      <c r="P179" s="471" t="n"/>
      <c r="Q179" s="471" t="n"/>
      <c r="R179" s="471" t="n"/>
      <c r="S179" s="476" t="n"/>
    </row>
    <row r="180" ht="22.2" customHeight="1" s="330">
      <c r="A180" s="207" t="inlineStr">
        <is>
          <t>ผู้ตรวจ</t>
        </is>
      </c>
      <c r="B180" s="334" t="n"/>
      <c r="C180" s="334" t="n"/>
      <c r="D180" s="334" t="n"/>
      <c r="E180" s="334" t="n"/>
      <c r="F180" s="334" t="n"/>
      <c r="G180" s="334" t="n"/>
      <c r="H180" s="334" t="n"/>
      <c r="I180" s="335" t="n"/>
      <c r="J180" s="207" t="inlineStr">
        <is>
          <t>ผู้เห็นชอบ</t>
        </is>
      </c>
      <c r="K180" s="334" t="n"/>
      <c r="L180" s="334" t="n"/>
      <c r="M180" s="334" t="n"/>
      <c r="N180" s="334" t="n"/>
      <c r="O180" s="334" t="n"/>
      <c r="P180" s="334" t="n"/>
      <c r="Q180" s="334" t="n"/>
      <c r="R180" s="334" t="n"/>
      <c r="S180" s="335" t="n"/>
    </row>
    <row r="181" ht="22.2" customHeight="1" s="330">
      <c r="A181" s="252" t="inlineStr">
        <is>
          <t>ลงชื่อ……………………………………………</t>
        </is>
      </c>
      <c r="I181" s="331" t="n"/>
      <c r="J181" s="252" t="inlineStr">
        <is>
          <t>ลงชื่อ……………………………………………</t>
        </is>
      </c>
      <c r="S181" s="331" t="n"/>
    </row>
    <row r="182" ht="22.2" customHeight="1" s="330">
      <c r="A182" s="12" t="n"/>
      <c r="B182" s="309" t="inlineStr">
        <is>
          <t xml:space="preserve">          (นางศิวรักษ์   บุญประเสริฐ)</t>
        </is>
      </c>
      <c r="I182" s="310" t="n"/>
      <c r="J182" s="29" t="n"/>
      <c r="K182" s="29" t="n"/>
      <c r="L182" s="309" t="inlineStr">
        <is>
          <t>(นายปรีชา  โพธิ์เกิด)</t>
        </is>
      </c>
      <c r="R182" s="29" t="n"/>
      <c r="S182" s="13" t="n"/>
    </row>
    <row r="183" ht="22.2" customHeight="1" s="330">
      <c r="A183" s="62" t="inlineStr">
        <is>
          <t>ตำแหน่งครู  หัวหน้างานพัฒนาหลักสูตร ฯ</t>
        </is>
      </c>
      <c r="I183" s="331" t="n"/>
      <c r="J183" s="62" t="inlineStr">
        <is>
          <t>ตำแหน่ง  รองผู้อำนวยการฝ่ายวิชาการ</t>
        </is>
      </c>
      <c r="S183" s="331" t="n"/>
    </row>
    <row r="184" ht="22.2" customHeight="1" s="330">
      <c r="A184" s="63">
        <f>A41</f>
        <v/>
      </c>
      <c r="B184" s="471" t="n"/>
      <c r="C184" s="471" t="n"/>
      <c r="D184" s="471" t="n"/>
      <c r="E184" s="471" t="n"/>
      <c r="F184" s="471" t="n"/>
      <c r="G184" s="471" t="n"/>
      <c r="H184" s="471" t="n"/>
      <c r="I184" s="476" t="n"/>
      <c r="J184" s="63">
        <f>A41</f>
        <v/>
      </c>
      <c r="K184" s="471" t="n"/>
      <c r="L184" s="471" t="n"/>
      <c r="M184" s="471" t="n"/>
      <c r="N184" s="471" t="n"/>
      <c r="O184" s="471" t="n"/>
      <c r="P184" s="471" t="n"/>
      <c r="Q184" s="471" t="n"/>
      <c r="R184" s="471" t="n"/>
      <c r="S184" s="476" t="n"/>
    </row>
    <row r="185" ht="22.2" customHeight="1" s="330">
      <c r="A18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86" ht="22.2" customHeight="1" s="330">
      <c r="A186" s="254">
        <f>A2</f>
        <v/>
      </c>
    </row>
    <row r="187" ht="22.2" customHeight="1" s="330">
      <c r="A187" s="253" t="inlineStr">
        <is>
          <t xml:space="preserve">    ระหว่างวันที่</t>
        </is>
      </c>
      <c r="D187" s="254">
        <f>D3</f>
        <v/>
      </c>
      <c r="E187" s="254" t="inlineStr">
        <is>
          <t xml:space="preserve">   เดือน  </t>
        </is>
      </c>
      <c r="F187" s="254">
        <f>F3</f>
        <v/>
      </c>
      <c r="H187" s="254">
        <f>H3</f>
        <v/>
      </c>
      <c r="I187" s="254" t="inlineStr">
        <is>
          <t xml:space="preserve">     ถึง วันที่</t>
        </is>
      </c>
      <c r="J187" s="254">
        <f>J3</f>
        <v/>
      </c>
      <c r="K187" s="254" t="inlineStr">
        <is>
          <t xml:space="preserve">   เดือน </t>
        </is>
      </c>
      <c r="L187" s="254">
        <f>L3</f>
        <v/>
      </c>
      <c r="N187" s="254">
        <f>N3</f>
        <v/>
      </c>
      <c r="P187" s="254" t="n"/>
      <c r="R187" s="254" t="n"/>
    </row>
    <row r="188" ht="22.2" customHeight="1" s="330">
      <c r="G188" s="58" t="inlineStr">
        <is>
          <t>ü</t>
        </is>
      </c>
      <c r="H188" s="290" t="inlineStr">
        <is>
          <t>ครู</t>
        </is>
      </c>
      <c r="I188" s="249" t="inlineStr">
        <is>
          <t>หน้าที่พิเศษ</t>
        </is>
      </c>
      <c r="J188" s="8" t="inlineStr">
        <is>
          <t>หัวหน้างานศูนย์ข้อมูล และสารสนเทศ</t>
        </is>
      </c>
    </row>
    <row r="189" ht="22.2" customHeight="1" s="330">
      <c r="A189" s="28" t="inlineStr">
        <is>
          <t>ที่</t>
        </is>
      </c>
      <c r="B189" s="28" t="inlineStr">
        <is>
          <t>ชื่อ-สกุล</t>
        </is>
      </c>
      <c r="C189" s="334" t="n"/>
      <c r="D189" s="335" t="n"/>
      <c r="E189" s="16" t="inlineStr">
        <is>
          <t>ตำแหน่ง</t>
        </is>
      </c>
      <c r="F189" s="17" t="inlineStr">
        <is>
          <t>ระยะเวลาที่สอน</t>
        </is>
      </c>
      <c r="G189" s="362" t="n"/>
      <c r="H189" s="17" t="inlineStr">
        <is>
          <t>รหัสวิชา</t>
        </is>
      </c>
      <c r="I189" s="275" t="inlineStr">
        <is>
          <t>ชั้น,แผนก,ห้อง</t>
        </is>
      </c>
      <c r="J189" s="17" t="inlineStr">
        <is>
          <t>เวลาสอน</t>
        </is>
      </c>
      <c r="K189" s="335" t="n"/>
      <c r="L189" s="17" t="inlineStr">
        <is>
          <t>ปวช.(คาบ)</t>
        </is>
      </c>
      <c r="M189" s="362" t="n"/>
      <c r="N189" s="244" t="inlineStr">
        <is>
          <t>เงิน</t>
        </is>
      </c>
      <c r="O189" s="275" t="inlineStr">
        <is>
          <t>ยอดเงิน</t>
        </is>
      </c>
      <c r="P189" s="473" t="inlineStr">
        <is>
          <t>ปวส.(คาบ)</t>
        </is>
      </c>
      <c r="Q189" s="362" t="n"/>
      <c r="R189" s="244" t="inlineStr">
        <is>
          <t>เงิน</t>
        </is>
      </c>
      <c r="S189" s="275" t="inlineStr">
        <is>
          <t>ยอดเงิน</t>
        </is>
      </c>
    </row>
    <row r="190" ht="22.2" customHeight="1" s="330">
      <c r="A190" s="60" t="n"/>
      <c r="B190" s="9" t="n"/>
      <c r="C190" s="10" t="n"/>
      <c r="D190" s="14" t="n"/>
      <c r="E190" s="11" t="n"/>
      <c r="F190" s="276" t="inlineStr">
        <is>
          <t>ส.</t>
        </is>
      </c>
      <c r="G190" s="276" t="inlineStr">
        <is>
          <t>วดป.</t>
        </is>
      </c>
      <c r="H190" s="474" t="n"/>
      <c r="I190" s="276" t="n"/>
      <c r="J190" s="475" t="n"/>
      <c r="K190" s="476" t="n"/>
      <c r="L190" s="276" t="inlineStr">
        <is>
          <t>ใน</t>
        </is>
      </c>
      <c r="M190" s="276" t="inlineStr">
        <is>
          <t>นอก</t>
        </is>
      </c>
      <c r="N190" s="276" t="inlineStr">
        <is>
          <t>ต่อ ชม.</t>
        </is>
      </c>
      <c r="O190" s="276" t="inlineStr">
        <is>
          <t>(บาท)</t>
        </is>
      </c>
      <c r="P190" s="60" t="inlineStr">
        <is>
          <t>ใน</t>
        </is>
      </c>
      <c r="Q190" s="60" t="inlineStr">
        <is>
          <t>นอก</t>
        </is>
      </c>
      <c r="R190" s="276" t="inlineStr">
        <is>
          <t>ต่อ ชม.</t>
        </is>
      </c>
      <c r="S190" s="276" t="inlineStr">
        <is>
          <t>(บาท)</t>
        </is>
      </c>
    </row>
    <row r="191" ht="22.2" customHeight="1" s="330">
      <c r="A191" s="275" t="n">
        <v>5</v>
      </c>
      <c r="B191" s="477">
        <f>AB7</f>
        <v/>
      </c>
      <c r="C191" s="334" t="n"/>
      <c r="D191" s="335" t="n"/>
      <c r="E191" s="275" t="inlineStr">
        <is>
          <t>ครู</t>
        </is>
      </c>
      <c r="F191" s="6">
        <f>F7</f>
        <v/>
      </c>
      <c r="G191" s="303" t="inlineStr">
        <is>
          <t>จันทร์</t>
        </is>
      </c>
      <c r="H191" s="332" t="inlineStr">
        <is>
          <t>30101-2101</t>
        </is>
      </c>
      <c r="I191" s="325" t="inlineStr">
        <is>
          <t>ปวส.2/6 สย. (ม.6)</t>
        </is>
      </c>
      <c r="J191" s="332" t="inlineStr">
        <is>
          <t>08.10-12.10</t>
        </is>
      </c>
      <c r="K191" s="335" t="n"/>
      <c r="L191" s="265" t="n"/>
      <c r="M191" s="332" t="n"/>
      <c r="N191" s="332" t="n"/>
      <c r="O191" s="244">
        <f>M191*N191</f>
        <v/>
      </c>
      <c r="P191" s="332" t="n"/>
      <c r="Q191" s="265" t="n"/>
      <c r="R191" s="332" t="n"/>
      <c r="S191" s="244">
        <f>Q191*R191</f>
        <v/>
      </c>
    </row>
    <row r="192" ht="22.2" customHeight="1" s="330">
      <c r="A192" s="4" t="n"/>
      <c r="B192" s="478" t="n"/>
      <c r="D192" s="331" t="n"/>
      <c r="E192" s="252" t="n"/>
      <c r="F192" s="249" t="n"/>
      <c r="G192" s="308">
        <f>G146</f>
        <v/>
      </c>
      <c r="H192" s="325" t="inlineStr">
        <is>
          <t>30101-2101</t>
        </is>
      </c>
      <c r="I192" s="325" t="inlineStr">
        <is>
          <t>ปวส.2/6 สย. (ม.6)</t>
        </is>
      </c>
      <c r="J192" s="252" t="inlineStr">
        <is>
          <t>13.10-14.10</t>
        </is>
      </c>
      <c r="K192" s="331" t="n"/>
      <c r="L192" s="252" t="n"/>
      <c r="M192" s="252" t="n"/>
      <c r="N192" s="252" t="n"/>
      <c r="O192" s="244">
        <f>M192*N192</f>
        <v/>
      </c>
      <c r="P192" s="252" t="n"/>
      <c r="Q192" s="252" t="n"/>
      <c r="R192" s="252" t="n"/>
      <c r="S192" s="244">
        <f>Q192*R192</f>
        <v/>
      </c>
    </row>
    <row r="193" ht="22.2" customHeight="1" s="330">
      <c r="A193" s="4" t="n"/>
      <c r="B193" s="5" t="n"/>
      <c r="D193" s="3" t="n"/>
      <c r="E193" s="3" t="n"/>
      <c r="F193" s="249" t="n"/>
      <c r="G193" s="248" t="n"/>
      <c r="H193" s="325" t="inlineStr">
        <is>
          <t>30101-2101</t>
        </is>
      </c>
      <c r="I193" s="325" t="inlineStr">
        <is>
          <t>ปวส.2/5 สย. (ม.6)</t>
        </is>
      </c>
      <c r="J193" s="252" t="inlineStr">
        <is>
          <t>14.10-19.10</t>
        </is>
      </c>
      <c r="K193" s="331" t="n"/>
      <c r="L193" s="252" t="n"/>
      <c r="M193" s="252" t="n"/>
      <c r="N193" s="252" t="n"/>
      <c r="O193" s="244">
        <f>M193*N193</f>
        <v/>
      </c>
      <c r="P193" s="252" t="n"/>
      <c r="Q193" s="252" t="n"/>
      <c r="R193" s="252" t="n"/>
      <c r="S193" s="244">
        <f>Q193*R193</f>
        <v/>
      </c>
    </row>
    <row r="194" ht="22.2" customHeight="1" s="330">
      <c r="A194" s="4" t="n"/>
      <c r="B194" s="5" t="n"/>
      <c r="E194" s="4" t="n"/>
      <c r="F194" s="249" t="n"/>
      <c r="G194" s="248" t="n"/>
      <c r="H194" s="252" t="n"/>
      <c r="I194" s="252" t="n"/>
      <c r="J194" s="252" t="n"/>
      <c r="K194" s="331" t="n"/>
      <c r="L194" s="252" t="n"/>
      <c r="M194" s="252" t="n"/>
      <c r="N194" s="252" t="n"/>
      <c r="O194" s="244">
        <f>M194*N194</f>
        <v/>
      </c>
      <c r="P194" s="252" t="n"/>
      <c r="Q194" s="252" t="n"/>
      <c r="R194" s="252" t="n"/>
      <c r="S194" s="244">
        <f>Q194*R194</f>
        <v/>
      </c>
    </row>
    <row r="195" ht="22.2" customHeight="1" s="330">
      <c r="A195" s="4" t="n"/>
      <c r="E195" s="4" t="n"/>
      <c r="G195" s="311" t="n"/>
      <c r="H195" s="276" t="n"/>
      <c r="I195" s="276" t="n"/>
      <c r="J195" s="276" t="n"/>
      <c r="K195" s="476" t="n"/>
      <c r="L195" s="252" t="n"/>
      <c r="M195" s="252" t="n"/>
      <c r="N195" s="252" t="n"/>
      <c r="O195" s="244">
        <f>M195*N195</f>
        <v/>
      </c>
      <c r="P195" s="252" t="n"/>
      <c r="Q195" s="252" t="n"/>
      <c r="R195" s="252" t="n"/>
      <c r="S195" s="244">
        <f>Q195*R195</f>
        <v/>
      </c>
    </row>
    <row r="196" ht="22.2" customHeight="1" s="330">
      <c r="A196" s="4" t="n"/>
      <c r="B196" s="170" t="n"/>
      <c r="C196" s="171" t="n"/>
      <c r="D196" s="172" t="n"/>
      <c r="E196" s="173" t="n"/>
      <c r="F196" s="172" t="n"/>
      <c r="G196" s="62" t="inlineStr">
        <is>
          <t>อังคาร</t>
        </is>
      </c>
      <c r="H196" s="332" t="inlineStr">
        <is>
          <t>30101-2101</t>
        </is>
      </c>
      <c r="I196" s="325" t="inlineStr">
        <is>
          <t>ปวส.2/7 สย. (ม.6)</t>
        </is>
      </c>
      <c r="J196" s="332" t="inlineStr">
        <is>
          <t>08.10-12.10</t>
        </is>
      </c>
      <c r="K196" s="335" t="n"/>
      <c r="L196" s="265" t="n"/>
      <c r="M196" s="332" t="n"/>
      <c r="N196" s="332" t="n"/>
      <c r="O196" s="244">
        <f>M196*N196</f>
        <v/>
      </c>
      <c r="P196" s="332" t="n"/>
      <c r="Q196" s="265" t="n"/>
      <c r="R196" s="332" t="n"/>
      <c r="S196" s="244">
        <f>Q196*R196</f>
        <v/>
      </c>
    </row>
    <row r="197" ht="22.2" customHeight="1" s="330">
      <c r="A197" s="4" t="n"/>
      <c r="D197" s="3" t="n"/>
      <c r="E197" s="4" t="n"/>
      <c r="G197" s="308">
        <f>G151</f>
        <v/>
      </c>
      <c r="H197" s="325" t="inlineStr">
        <is>
          <t>30101-2101</t>
        </is>
      </c>
      <c r="I197" s="325" t="inlineStr">
        <is>
          <t>ปวส.2/7 สย. (ม.6)</t>
        </is>
      </c>
      <c r="J197" s="252" t="inlineStr">
        <is>
          <t>13.10-14.10</t>
        </is>
      </c>
      <c r="K197" s="331" t="n"/>
      <c r="L197" s="252" t="n"/>
      <c r="M197" s="252" t="n"/>
      <c r="N197" s="252" t="n"/>
      <c r="O197" s="244">
        <f>M197*N197</f>
        <v/>
      </c>
      <c r="P197" s="252" t="n"/>
      <c r="Q197" s="252" t="n"/>
      <c r="R197" s="252" t="n"/>
      <c r="S197" s="244">
        <f>Q197*R197</f>
        <v/>
      </c>
    </row>
    <row r="198" ht="22.2" customHeight="1" s="330">
      <c r="A198" s="4" t="n"/>
      <c r="B198" s="5" t="n"/>
      <c r="D198" s="3" t="n"/>
      <c r="E198" s="3" t="n"/>
      <c r="G198" s="252" t="n"/>
      <c r="H198" s="252" t="n"/>
      <c r="I198" s="325" t="n"/>
      <c r="J198" s="252" t="n"/>
      <c r="K198" s="331" t="n"/>
      <c r="L198" s="252" t="n"/>
      <c r="M198" s="252" t="n"/>
      <c r="N198" s="252" t="n"/>
      <c r="O198" s="244">
        <f>M198*N198</f>
        <v/>
      </c>
      <c r="P198" s="252" t="n"/>
      <c r="Q198" s="252" t="n"/>
      <c r="R198" s="252" t="n"/>
      <c r="S198" s="244">
        <f>Q198*R198</f>
        <v/>
      </c>
    </row>
    <row r="199" ht="22.2" customHeight="1" s="330">
      <c r="A199" s="4" t="n"/>
      <c r="E199" s="4" t="n"/>
      <c r="G199" s="62" t="n"/>
      <c r="H199" s="252" t="n"/>
      <c r="I199" s="252" t="n"/>
      <c r="J199" s="252" t="n"/>
      <c r="K199" s="331" t="n"/>
      <c r="L199" s="252" t="n"/>
      <c r="M199" s="252" t="n"/>
      <c r="N199" s="252" t="n"/>
      <c r="O199" s="244">
        <f>M199*N199</f>
        <v/>
      </c>
      <c r="P199" s="252" t="n"/>
      <c r="Q199" s="252" t="n"/>
      <c r="R199" s="252" t="n"/>
      <c r="S199" s="244">
        <f>Q199*R199</f>
        <v/>
      </c>
    </row>
    <row r="200" ht="22.2" customHeight="1" s="330">
      <c r="A200" s="4" t="n"/>
      <c r="D200" s="8" t="inlineStr">
        <is>
          <t> </t>
        </is>
      </c>
      <c r="E200" s="4" t="n"/>
      <c r="G200" s="63" t="n"/>
      <c r="H200" s="276" t="n"/>
      <c r="I200" s="276" t="n"/>
      <c r="J200" s="276" t="n"/>
      <c r="K200" s="476" t="n"/>
      <c r="L200" s="252" t="n"/>
      <c r="M200" s="252" t="n"/>
      <c r="N200" s="252" t="n"/>
      <c r="O200" s="244">
        <f>M200*N200</f>
        <v/>
      </c>
      <c r="P200" s="252" t="n"/>
      <c r="Q200" s="252" t="n"/>
      <c r="R200" s="252" t="n"/>
      <c r="S200" s="244">
        <f>Q200*R200</f>
        <v/>
      </c>
    </row>
    <row r="201" ht="22.2" customHeight="1" s="330">
      <c r="A201" s="4" t="n"/>
      <c r="E201" s="4" t="n"/>
      <c r="G201" s="308" t="inlineStr">
        <is>
          <t>พุธ</t>
        </is>
      </c>
      <c r="H201" s="252" t="inlineStr">
        <is>
          <t>30101-8001</t>
        </is>
      </c>
      <c r="I201" s="325" t="inlineStr">
        <is>
          <t>ปวส.2/2 สย. (ปกติ)</t>
        </is>
      </c>
      <c r="J201" s="332" t="inlineStr">
        <is>
          <t>08.10-12.10</t>
        </is>
      </c>
      <c r="K201" s="335" t="n"/>
      <c r="L201" s="265" t="n"/>
      <c r="M201" s="332" t="n"/>
      <c r="N201" s="332" t="n"/>
      <c r="O201" s="244">
        <f>M201*N201</f>
        <v/>
      </c>
      <c r="P201" s="332" t="n"/>
      <c r="Q201" s="265" t="n"/>
      <c r="R201" s="332" t="n"/>
      <c r="S201" s="244">
        <f>Q201*R201</f>
        <v/>
      </c>
      <c r="T201" s="24" t="n"/>
      <c r="U201" s="24" t="inlineStr">
        <is>
          <t>สอน ป.ตรี</t>
        </is>
      </c>
      <c r="V201" s="65" t="n"/>
      <c r="W201" s="24" t="n"/>
      <c r="X201" s="24" t="n"/>
    </row>
    <row r="202" ht="22.2" customHeight="1" s="330">
      <c r="A202" s="4" t="n"/>
      <c r="B202" s="248" t="n"/>
      <c r="C202" s="249" t="n"/>
      <c r="D202" s="249" t="n"/>
      <c r="E202" s="252" t="n"/>
      <c r="G202" s="308">
        <f>G156</f>
        <v/>
      </c>
      <c r="H202" s="252" t="n"/>
      <c r="I202" s="325" t="n"/>
      <c r="J202" s="252" t="n"/>
      <c r="K202" s="331" t="n"/>
      <c r="L202" s="252" t="n"/>
      <c r="M202" s="252" t="n"/>
      <c r="N202" s="252" t="n"/>
      <c r="O202" s="244">
        <f>M202*N202</f>
        <v/>
      </c>
      <c r="P202" s="252" t="n"/>
      <c r="Q202" s="252" t="n"/>
      <c r="R202" s="252" t="n"/>
      <c r="S202" s="244">
        <f>Q202*R202</f>
        <v/>
      </c>
      <c r="T202" s="24" t="n"/>
      <c r="U202" s="24" t="inlineStr">
        <is>
          <t>17.10-20.10</t>
        </is>
      </c>
      <c r="V202" s="65" t="n"/>
      <c r="W202" s="24" t="n"/>
      <c r="X202" s="24" t="n"/>
    </row>
    <row r="203" ht="22.2" customHeight="1" s="330">
      <c r="A203" s="4" t="n"/>
      <c r="B203" s="5" t="n"/>
      <c r="D203" s="3" t="n"/>
      <c r="E203" s="3" t="n"/>
      <c r="G203" s="252" t="n"/>
      <c r="H203" s="252" t="n"/>
      <c r="I203" s="325" t="n"/>
      <c r="J203" s="252" t="n"/>
      <c r="K203" s="331" t="n"/>
      <c r="L203" s="252" t="n"/>
      <c r="M203" s="252" t="n"/>
      <c r="N203" s="252" t="n"/>
      <c r="O203" s="244">
        <f>M203*N203</f>
        <v/>
      </c>
      <c r="P203" s="252" t="n"/>
      <c r="Q203" s="252" t="n"/>
      <c r="R203" s="252" t="n"/>
      <c r="S203" s="244">
        <f>Q203*R203</f>
        <v/>
      </c>
    </row>
    <row r="204" ht="22.2" customHeight="1" s="330">
      <c r="A204" s="4" t="n"/>
      <c r="E204" s="4" t="n"/>
      <c r="G204" s="248" t="n"/>
      <c r="H204" s="248" t="n"/>
      <c r="I204" s="252" t="n"/>
      <c r="J204" s="252" t="n"/>
      <c r="K204" s="331" t="n"/>
      <c r="L204" s="252" t="n"/>
      <c r="M204" s="252" t="n"/>
      <c r="N204" s="252" t="n"/>
      <c r="O204" s="244">
        <f>M204*N204</f>
        <v/>
      </c>
      <c r="P204" s="252" t="n"/>
      <c r="Q204" s="252" t="n"/>
      <c r="R204" s="252" t="n"/>
      <c r="S204" s="244">
        <f>Q204*R204</f>
        <v/>
      </c>
    </row>
    <row r="205" ht="22.2" customHeight="1" s="330">
      <c r="A205" s="4" t="n"/>
      <c r="E205" s="4" t="n"/>
      <c r="G205" s="277" t="n"/>
      <c r="H205" s="277" t="n"/>
      <c r="I205" s="276" t="n"/>
      <c r="J205" s="276" t="n"/>
      <c r="K205" s="476" t="n"/>
      <c r="L205" s="276" t="n"/>
      <c r="M205" s="276" t="n"/>
      <c r="N205" s="276" t="n"/>
      <c r="O205" s="244">
        <f>M205*N205</f>
        <v/>
      </c>
      <c r="P205" s="276" t="n"/>
      <c r="Q205" s="276" t="n"/>
      <c r="R205" s="276" t="n"/>
      <c r="S205" s="244">
        <f>Q205*R205</f>
        <v/>
      </c>
    </row>
    <row r="206" ht="22.2" customHeight="1" s="330">
      <c r="A206" s="4" t="n"/>
      <c r="E206" s="4" t="n"/>
      <c r="G206" s="62" t="inlineStr">
        <is>
          <t>พฤหัส</t>
        </is>
      </c>
      <c r="H206" s="252" t="n"/>
      <c r="I206" s="325" t="n"/>
      <c r="J206" s="332" t="n"/>
      <c r="K206" s="335" t="n"/>
      <c r="L206" s="252" t="n"/>
      <c r="M206" s="252" t="n"/>
      <c r="N206" s="252" t="n"/>
      <c r="O206" s="244">
        <f>M206*N206</f>
        <v/>
      </c>
      <c r="P206" s="252" t="n"/>
      <c r="Q206" s="275" t="n"/>
      <c r="R206" s="275" t="n"/>
      <c r="S206" s="244">
        <f>Q206*R206</f>
        <v/>
      </c>
    </row>
    <row r="207" ht="22.2" customHeight="1" s="330">
      <c r="A207" s="4" t="n"/>
      <c r="E207" s="4" t="n"/>
      <c r="G207" s="308">
        <f>G161</f>
        <v/>
      </c>
      <c r="H207" s="252" t="n"/>
      <c r="I207" s="325" t="n"/>
      <c r="J207" s="252" t="n"/>
      <c r="K207" s="331" t="n"/>
      <c r="L207" s="252" t="n"/>
      <c r="M207" s="252" t="n"/>
      <c r="N207" s="252" t="n"/>
      <c r="O207" s="244">
        <f>M207*N207</f>
        <v/>
      </c>
      <c r="P207" s="252" t="n"/>
      <c r="Q207" s="252" t="n"/>
      <c r="R207" s="252" t="n"/>
      <c r="S207" s="244">
        <f>Q207*R207</f>
        <v/>
      </c>
    </row>
    <row r="208" ht="22.2" customHeight="1" s="330">
      <c r="A208" s="4" t="n"/>
      <c r="E208" s="4" t="n"/>
      <c r="G208" s="252" t="n"/>
      <c r="H208" s="325" t="n"/>
      <c r="I208" s="325" t="n"/>
      <c r="J208" s="252" t="n"/>
      <c r="K208" s="331" t="n"/>
      <c r="L208" s="325" t="n"/>
      <c r="M208" s="325" t="n"/>
      <c r="N208" s="325" t="n"/>
      <c r="O208" s="244">
        <f>M208*N208</f>
        <v/>
      </c>
      <c r="P208" s="325" t="n"/>
      <c r="Q208" s="325" t="n"/>
      <c r="R208" s="325" t="n"/>
      <c r="S208" s="244">
        <f>Q208*R208</f>
        <v/>
      </c>
    </row>
    <row r="209" ht="22.2" customHeight="1" s="330">
      <c r="A209" s="4" t="n"/>
      <c r="E209" s="4" t="n"/>
      <c r="G209" s="252" t="n"/>
      <c r="H209" s="252" t="n"/>
      <c r="I209" s="252" t="n"/>
      <c r="J209" s="252" t="n"/>
      <c r="K209" s="331" t="n"/>
      <c r="L209" s="252" t="n"/>
      <c r="M209" s="252" t="n"/>
      <c r="N209" s="252" t="n"/>
      <c r="O209" s="244">
        <f>M209*N209</f>
        <v/>
      </c>
      <c r="P209" s="252" t="n"/>
      <c r="Q209" s="252" t="n"/>
      <c r="R209" s="252" t="n"/>
      <c r="S209" s="244">
        <f>Q209*R209</f>
        <v/>
      </c>
    </row>
    <row r="210" ht="22.2" customHeight="1" s="330">
      <c r="A210" s="4" t="n"/>
      <c r="E210" s="4" t="n"/>
      <c r="G210" s="276" t="n"/>
      <c r="H210" s="301" t="n"/>
      <c r="I210" s="276" t="n"/>
      <c r="J210" s="276" t="n"/>
      <c r="K210" s="476" t="n"/>
      <c r="L210" s="276" t="n"/>
      <c r="M210" s="276" t="n"/>
      <c r="N210" s="276" t="n"/>
      <c r="O210" s="244">
        <f>M210*N210</f>
        <v/>
      </c>
      <c r="P210" s="276" t="n"/>
      <c r="Q210" s="276" t="n"/>
      <c r="R210" s="276" t="n"/>
      <c r="S210" s="244">
        <f>Q210*R210</f>
        <v/>
      </c>
    </row>
    <row r="211" ht="22.2" customHeight="1" s="330">
      <c r="A211" s="4" t="n"/>
      <c r="E211" s="4" t="n"/>
      <c r="G211" s="62" t="inlineStr">
        <is>
          <t>ศุกร์</t>
        </is>
      </c>
      <c r="H211" s="332" t="inlineStr">
        <is>
          <t>30101-2109</t>
        </is>
      </c>
      <c r="I211" s="325" t="inlineStr">
        <is>
          <t>ปวส.2/5 สย. (ม.6)</t>
        </is>
      </c>
      <c r="J211" s="332" t="inlineStr">
        <is>
          <t>08.10-12.10</t>
        </is>
      </c>
      <c r="K211" s="335" t="n"/>
      <c r="L211" s="252" t="n"/>
      <c r="M211" s="252" t="n"/>
      <c r="N211" s="252" t="n"/>
      <c r="O211" s="244">
        <f>M211*N211</f>
        <v/>
      </c>
      <c r="P211" s="332" t="n"/>
      <c r="Q211" s="265" t="n"/>
      <c r="R211" s="332" t="n"/>
      <c r="S211" s="244">
        <f>Q211*R211</f>
        <v/>
      </c>
    </row>
    <row r="212" ht="22.2" customHeight="1" s="330">
      <c r="A212" s="4" t="n"/>
      <c r="B212" s="170" t="n"/>
      <c r="C212" s="171" t="n"/>
      <c r="D212" s="172" t="n"/>
      <c r="E212" s="173" t="n"/>
      <c r="F212" s="172" t="n"/>
      <c r="G212" s="308">
        <f>G166</f>
        <v/>
      </c>
      <c r="H212" s="325" t="inlineStr">
        <is>
          <t>30101-2109</t>
        </is>
      </c>
      <c r="I212" s="325" t="inlineStr">
        <is>
          <t>ปวส.2/5 สย. (ม.6)</t>
        </is>
      </c>
      <c r="J212" s="252" t="inlineStr">
        <is>
          <t>13.10-14.10</t>
        </is>
      </c>
      <c r="K212" s="331" t="n"/>
      <c r="L212" s="252" t="n"/>
      <c r="M212" s="252" t="n"/>
      <c r="N212" s="252" t="n"/>
      <c r="O212" s="244">
        <f>M212*N212</f>
        <v/>
      </c>
      <c r="P212" s="252" t="n"/>
      <c r="Q212" s="252" t="n"/>
      <c r="R212" s="252" t="n"/>
      <c r="S212" s="244">
        <f>Q212*R212</f>
        <v/>
      </c>
    </row>
    <row r="213" ht="22.2" customHeight="1" s="330">
      <c r="A213" s="4" t="n"/>
      <c r="E213" s="4" t="n"/>
      <c r="G213" s="252" t="n"/>
      <c r="H213" s="325" t="n"/>
      <c r="I213" s="325" t="n"/>
      <c r="J213" s="252" t="n"/>
      <c r="K213" s="331" t="n"/>
      <c r="L213" s="252" t="n"/>
      <c r="M213" s="252" t="n"/>
      <c r="N213" s="252" t="n"/>
      <c r="O213" s="244">
        <f>M213*N213</f>
        <v/>
      </c>
      <c r="P213" s="252" t="n"/>
      <c r="Q213" s="252" t="n"/>
      <c r="R213" s="252" t="n"/>
      <c r="S213" s="244">
        <f>Q213*R213</f>
        <v/>
      </c>
    </row>
    <row r="214" ht="22.2" customHeight="1" s="330">
      <c r="A214" s="4" t="n"/>
      <c r="E214" s="4" t="n"/>
      <c r="G214" s="252" t="n"/>
      <c r="H214" s="252" t="n"/>
      <c r="I214" s="252" t="n"/>
      <c r="J214" s="252" t="n"/>
      <c r="K214" s="331" t="n"/>
      <c r="L214" s="252" t="n"/>
      <c r="M214" s="252" t="n"/>
      <c r="N214" s="252" t="n"/>
      <c r="O214" s="244">
        <f>M214*N214</f>
        <v/>
      </c>
      <c r="P214" s="252" t="n"/>
      <c r="Q214" s="252" t="n"/>
      <c r="R214" s="252" t="n"/>
      <c r="S214" s="244">
        <f>Q214*R214</f>
        <v/>
      </c>
    </row>
    <row r="215" ht="22.2" customHeight="1" s="330">
      <c r="A215" s="4" t="n"/>
      <c r="E215" s="4" t="n"/>
      <c r="F215" s="4" t="n"/>
      <c r="G215" s="278" t="n"/>
      <c r="H215" s="301" t="n"/>
      <c r="I215" s="276" t="n"/>
      <c r="J215" s="276" t="n"/>
      <c r="K215" s="476" t="n"/>
      <c r="L215" s="276" t="n"/>
      <c r="M215" s="276" t="n"/>
      <c r="N215" s="276" t="n"/>
      <c r="O215" s="244">
        <f>M215*N215</f>
        <v/>
      </c>
      <c r="P215" s="276" t="n"/>
      <c r="Q215" s="276" t="n"/>
      <c r="R215" s="276" t="n"/>
      <c r="S215" s="244">
        <f>Q215*R215</f>
        <v/>
      </c>
    </row>
    <row r="216" ht="22.2" customHeight="1" s="330">
      <c r="A216" s="4" t="n"/>
      <c r="E216" s="4" t="n"/>
      <c r="F216" s="4" t="n"/>
      <c r="G216" s="17" t="inlineStr">
        <is>
          <t>รวมขั่วโมงที่สอนแยก ภาระงาน/ เกินภาระงาน</t>
        </is>
      </c>
      <c r="H216" s="467" t="n"/>
      <c r="I216" s="467" t="n"/>
      <c r="J216" s="467" t="n"/>
      <c r="K216" s="362" t="n"/>
      <c r="L216" s="17">
        <f>SUM(L191:L215)</f>
        <v/>
      </c>
      <c r="M216" s="17">
        <f>SUM(M191:M215)</f>
        <v/>
      </c>
      <c r="N216" s="17" t="n"/>
      <c r="O216" s="17" t="n"/>
      <c r="P216" s="17">
        <f>SUM(P191:P215)</f>
        <v/>
      </c>
      <c r="Q216" s="17">
        <f>SUM(Q191:Q215)</f>
        <v/>
      </c>
      <c r="R216" s="279" t="n"/>
      <c r="S216" s="17" t="n"/>
      <c r="T216" s="25" t="n"/>
      <c r="U216" s="26" t="inlineStr">
        <is>
          <t xml:space="preserve">     PLC</t>
        </is>
      </c>
      <c r="V216" s="64" t="n"/>
      <c r="W216" s="27" t="n"/>
      <c r="X216" s="27" t="n"/>
    </row>
    <row r="217" ht="22.2" customHeight="1" s="330">
      <c r="A217" s="4" t="n"/>
      <c r="E217" s="4" t="n"/>
      <c r="F217" s="4" t="n"/>
      <c r="G217" s="17" t="inlineStr">
        <is>
          <t>รวมจำนวนชั่วโมงสอนคาบต่อสับดาห์</t>
        </is>
      </c>
      <c r="H217" s="467" t="n"/>
      <c r="I217" s="467" t="n"/>
      <c r="J217" s="467" t="n"/>
      <c r="K217" s="362" t="n"/>
      <c r="L217" s="17">
        <f>L216+M216</f>
        <v/>
      </c>
      <c r="M217" s="362" t="n"/>
      <c r="N217" s="17" t="n"/>
      <c r="O217" s="298" t="n"/>
      <c r="P217" s="17">
        <f>P216+Q216</f>
        <v/>
      </c>
      <c r="Q217" s="362" t="n"/>
      <c r="R217" s="278" t="n"/>
      <c r="S217" s="276" t="n"/>
      <c r="T217" s="27" t="inlineStr">
        <is>
          <t> </t>
        </is>
      </c>
      <c r="U217" s="26" t="inlineStr">
        <is>
          <t>17.10-19.10</t>
        </is>
      </c>
      <c r="V217" s="64" t="n"/>
      <c r="W217" s="27" t="n"/>
      <c r="X217" s="27" t="n"/>
    </row>
    <row r="218" ht="22.2" customHeight="1" s="330">
      <c r="A218" s="4" t="n"/>
      <c r="E218" s="4" t="n"/>
      <c r="F218" s="4" t="n"/>
      <c r="G218" s="17" t="inlineStr">
        <is>
          <t>จำนวนชั่วโมงสอนตามภาระงานสอน</t>
        </is>
      </c>
      <c r="H218" s="467" t="n"/>
      <c r="I218" s="467" t="n"/>
      <c r="J218" s="467" t="n"/>
      <c r="K218" s="362" t="n"/>
      <c r="L218" s="17" t="n">
        <v>0</v>
      </c>
      <c r="M218" s="362" t="n"/>
      <c r="N218" s="298" t="n"/>
      <c r="O218" s="17" t="n"/>
      <c r="P218" s="17" t="n">
        <v>10</v>
      </c>
      <c r="Q218" s="362" t="n"/>
      <c r="R218" s="249" t="n"/>
      <c r="S218" s="252" t="n"/>
    </row>
    <row r="219" ht="22.2" customHeight="1" s="330" thickBot="1">
      <c r="A219" s="4" t="n"/>
      <c r="E219" s="4" t="n"/>
      <c r="F219" s="15" t="n"/>
      <c r="G219" s="17" t="inlineStr">
        <is>
          <t>จำนวนชั่วโมงบิกเกินภาระงานสอน/ค่าสอน</t>
        </is>
      </c>
      <c r="H219" s="467" t="n"/>
      <c r="I219" s="467" t="n"/>
      <c r="J219" s="467" t="n"/>
      <c r="K219" s="362" t="n"/>
      <c r="L219" s="18" t="n">
        <v>0</v>
      </c>
      <c r="M219" s="18">
        <f>SUM(M191:M215)</f>
        <v/>
      </c>
      <c r="N219" s="18" t="n"/>
      <c r="O219" s="18">
        <f>SUM(O191:O215)</f>
        <v/>
      </c>
      <c r="P219" s="18" t="n">
        <v>0</v>
      </c>
      <c r="Q219" s="18">
        <f>SUM(Q191:Q215)</f>
        <v/>
      </c>
      <c r="R219" s="19" t="n"/>
      <c r="S219" s="18">
        <f>SUM(S191:S215)</f>
        <v/>
      </c>
    </row>
    <row r="220" ht="22.2" customHeight="1" s="330" thickTop="1">
      <c r="A220" s="299" t="inlineStr">
        <is>
          <t>รวมจำนวนหน่วยชั่วโมงที่ขอเบิกค่าสอน ….</t>
        </is>
      </c>
      <c r="B220" s="467" t="n"/>
      <c r="C220" s="467" t="n"/>
      <c r="D220" s="467" t="n"/>
      <c r="E220" s="467" t="n"/>
      <c r="F220" s="467" t="n"/>
      <c r="G220" s="467" t="n"/>
      <c r="H220" s="298">
        <f>M219+Q219</f>
        <v/>
      </c>
      <c r="I220" s="298" t="inlineStr">
        <is>
          <t>….ชั่วโมง</t>
        </is>
      </c>
      <c r="J220" s="298" t="n"/>
      <c r="K220" s="301" t="inlineStr">
        <is>
          <t>ยอดเงินรวม</t>
        </is>
      </c>
      <c r="L220" s="471" t="n"/>
      <c r="M220" s="471" t="n"/>
      <c r="N220" s="301" t="n"/>
      <c r="O220" s="301" t="n"/>
      <c r="P220" s="302">
        <f>S219+O219</f>
        <v/>
      </c>
      <c r="Q220" s="482" t="n"/>
      <c r="R220" s="21" t="n"/>
      <c r="S220" s="20" t="inlineStr">
        <is>
          <t>..บาท</t>
        </is>
      </c>
    </row>
    <row r="221" ht="22.2" customHeight="1" s="330">
      <c r="A221" s="207" t="inlineStr">
        <is>
          <t>ผู้ขอเบิก</t>
        </is>
      </c>
      <c r="B221" s="334" t="n"/>
      <c r="C221" s="334" t="n"/>
      <c r="D221" s="334" t="n"/>
      <c r="E221" s="334" t="n"/>
      <c r="F221" s="334" t="n"/>
      <c r="G221" s="335" t="n"/>
      <c r="H221" s="207" t="inlineStr">
        <is>
          <t>ผู้รับรอง</t>
        </is>
      </c>
      <c r="I221" s="334" t="n"/>
      <c r="J221" s="334" t="n"/>
      <c r="K221" s="334" t="n"/>
      <c r="L221" s="335" t="n"/>
      <c r="M221" s="207" t="inlineStr">
        <is>
          <t>ผู้ตรวจ</t>
        </is>
      </c>
      <c r="N221" s="334" t="n"/>
      <c r="O221" s="334" t="n"/>
      <c r="P221" s="334" t="n"/>
      <c r="Q221" s="334" t="n"/>
      <c r="R221" s="334" t="n"/>
      <c r="S221" s="335" t="n"/>
    </row>
    <row r="222" ht="22.2" customHeight="1" s="330">
      <c r="A222" s="252" t="inlineStr">
        <is>
          <t>ลงชื่อ……………………………………………</t>
        </is>
      </c>
      <c r="G222" s="331" t="n"/>
      <c r="H222" s="252" t="inlineStr">
        <is>
          <t>ลงชื่อ……………………………………………</t>
        </is>
      </c>
      <c r="L222" s="331" t="n"/>
      <c r="M222" s="252" t="inlineStr">
        <is>
          <t>ลงชื่อ……………………………………………</t>
        </is>
      </c>
      <c r="S222" s="331" t="n"/>
    </row>
    <row r="223" ht="22.2" customHeight="1" s="330">
      <c r="A223" s="12" t="inlineStr">
        <is>
          <t>(</t>
        </is>
      </c>
      <c r="B223" s="309">
        <f>B191</f>
        <v/>
      </c>
      <c r="G223" s="310" t="inlineStr">
        <is>
          <t>)</t>
        </is>
      </c>
      <c r="H223" s="309" t="inlineStr">
        <is>
          <t>(</t>
        </is>
      </c>
      <c r="I223" s="314">
        <f>I177</f>
        <v/>
      </c>
      <c r="L223" s="13" t="inlineStr">
        <is>
          <t>)</t>
        </is>
      </c>
      <c r="M223" s="61" t="inlineStr">
        <is>
          <t>(</t>
        </is>
      </c>
      <c r="N223" s="61" t="n"/>
      <c r="O223" s="309" t="inlineStr">
        <is>
          <t>นายพิสุทธิศักดิ์  กล่อมนาค</t>
        </is>
      </c>
      <c r="R223" s="29" t="n"/>
      <c r="S223" s="310" t="inlineStr">
        <is>
          <t>)</t>
        </is>
      </c>
    </row>
    <row r="224" ht="22.2" customHeight="1" s="330">
      <c r="A224" s="483" t="inlineStr">
        <is>
          <t xml:space="preserve">                    ตำแหน่ง  ครู</t>
        </is>
      </c>
      <c r="G224" s="331" t="n"/>
      <c r="H224" s="62" t="inlineStr">
        <is>
          <t>ตำแหน่ง หัวหน้าแผนก</t>
        </is>
      </c>
      <c r="L224" s="331" t="n"/>
      <c r="M224" s="62" t="inlineStr">
        <is>
          <t>ตำแหน่ง   ผู้ตรวจสอบ</t>
        </is>
      </c>
      <c r="S224" s="331" t="n"/>
    </row>
    <row r="225" ht="22.2" customHeight="1" s="330">
      <c r="A225" s="63">
        <f>A41</f>
        <v/>
      </c>
      <c r="B225" s="471" t="n"/>
      <c r="C225" s="471" t="n"/>
      <c r="D225" s="471" t="n"/>
      <c r="E225" s="471" t="n"/>
      <c r="F225" s="471" t="n"/>
      <c r="G225" s="476" t="n"/>
      <c r="H225" s="62">
        <f>A41</f>
        <v/>
      </c>
      <c r="L225" s="331" t="n"/>
      <c r="M225" s="63">
        <f>A41</f>
        <v/>
      </c>
      <c r="N225" s="471" t="n"/>
      <c r="O225" s="471" t="n"/>
      <c r="P225" s="471" t="n"/>
      <c r="Q225" s="471" t="n"/>
      <c r="R225" s="471" t="n"/>
      <c r="S225" s="476" t="n"/>
    </row>
    <row r="226" ht="22.2" customHeight="1" s="330">
      <c r="A226" s="207" t="inlineStr">
        <is>
          <t>ผู้ตรวจ</t>
        </is>
      </c>
      <c r="B226" s="334" t="n"/>
      <c r="C226" s="334" t="n"/>
      <c r="D226" s="334" t="n"/>
      <c r="E226" s="334" t="n"/>
      <c r="F226" s="334" t="n"/>
      <c r="G226" s="334" t="n"/>
      <c r="H226" s="334" t="n"/>
      <c r="I226" s="335" t="n"/>
      <c r="J226" s="207" t="inlineStr">
        <is>
          <t>ผู้เห็นชอบ</t>
        </is>
      </c>
      <c r="K226" s="334" t="n"/>
      <c r="L226" s="334" t="n"/>
      <c r="M226" s="334" t="n"/>
      <c r="N226" s="334" t="n"/>
      <c r="O226" s="334" t="n"/>
      <c r="P226" s="334" t="n"/>
      <c r="Q226" s="334" t="n"/>
      <c r="R226" s="334" t="n"/>
      <c r="S226" s="335" t="n"/>
    </row>
    <row r="227" ht="22.2" customHeight="1" s="330">
      <c r="A227" s="252" t="inlineStr">
        <is>
          <t>ลงชื่อ……………………………………………</t>
        </is>
      </c>
      <c r="I227" s="331" t="n"/>
      <c r="J227" s="252" t="inlineStr">
        <is>
          <t>ลงชื่อ……………………………………………</t>
        </is>
      </c>
      <c r="S227" s="331" t="n"/>
    </row>
    <row r="228" ht="22.2" customHeight="1" s="330">
      <c r="A228" s="12" t="n"/>
      <c r="B228" s="309" t="inlineStr">
        <is>
          <t xml:space="preserve">          (นางศิวรักษ์   บุญประเสริฐ)</t>
        </is>
      </c>
      <c r="I228" s="310" t="n"/>
      <c r="J228" s="29" t="n"/>
      <c r="K228" s="29" t="n"/>
      <c r="L228" s="309" t="inlineStr">
        <is>
          <t>(นายปรีชา  โพธิ์เกิด)</t>
        </is>
      </c>
      <c r="R228" s="29" t="n"/>
      <c r="S228" s="13" t="n"/>
    </row>
    <row r="229" ht="22.2" customHeight="1" s="330">
      <c r="A229" s="62" t="inlineStr">
        <is>
          <t>ตำแหน่งครู  หัวหน้างานพัฒนาหลักสูตร ฯ</t>
        </is>
      </c>
      <c r="I229" s="331" t="n"/>
      <c r="J229" s="62" t="inlineStr">
        <is>
          <t>ตำแหน่ง  รองผู้อำนวยการฝ่ายวิชาการ</t>
        </is>
      </c>
      <c r="S229" s="331" t="n"/>
    </row>
    <row r="230" ht="22.2" customHeight="1" s="330">
      <c r="A230" s="63">
        <f>A41</f>
        <v/>
      </c>
      <c r="B230" s="471" t="n"/>
      <c r="C230" s="471" t="n"/>
      <c r="D230" s="471" t="n"/>
      <c r="E230" s="471" t="n"/>
      <c r="F230" s="471" t="n"/>
      <c r="G230" s="471" t="n"/>
      <c r="H230" s="471" t="n"/>
      <c r="I230" s="476" t="n"/>
      <c r="J230" s="63">
        <f>A41</f>
        <v/>
      </c>
      <c r="K230" s="471" t="n"/>
      <c r="L230" s="471" t="n"/>
      <c r="M230" s="471" t="n"/>
      <c r="N230" s="471" t="n"/>
      <c r="O230" s="471" t="n"/>
      <c r="P230" s="471" t="n"/>
      <c r="Q230" s="471" t="n"/>
      <c r="R230" s="471" t="n"/>
      <c r="S230" s="476" t="n"/>
    </row>
    <row r="231" ht="22.2" customHeight="1" s="330">
      <c r="A23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232" ht="22.2" customHeight="1" s="330">
      <c r="A232" s="254">
        <f>A2</f>
        <v/>
      </c>
    </row>
    <row r="233" ht="22.2" customHeight="1" s="330">
      <c r="A233" s="253" t="inlineStr">
        <is>
          <t xml:space="preserve">    ระหว่างวันที่</t>
        </is>
      </c>
      <c r="D233" s="254">
        <f>D3</f>
        <v/>
      </c>
      <c r="E233" s="254" t="inlineStr">
        <is>
          <t xml:space="preserve">   เดือน  </t>
        </is>
      </c>
      <c r="F233" s="254">
        <f>F3</f>
        <v/>
      </c>
      <c r="H233" s="254">
        <f>H3</f>
        <v/>
      </c>
      <c r="I233" s="254" t="inlineStr">
        <is>
          <t xml:space="preserve">     ถึง วันที่</t>
        </is>
      </c>
      <c r="J233" s="254">
        <f>J3</f>
        <v/>
      </c>
      <c r="K233" s="254" t="inlineStr">
        <is>
          <t xml:space="preserve">   เดือน </t>
        </is>
      </c>
      <c r="L233" s="254">
        <f>L3</f>
        <v/>
      </c>
      <c r="N233" s="254">
        <f>N3</f>
        <v/>
      </c>
      <c r="P233" s="254" t="n"/>
      <c r="R233" s="254" t="n"/>
    </row>
    <row r="234" ht="22.2" customHeight="1" s="330">
      <c r="G234" s="58" t="inlineStr">
        <is>
          <t>ü</t>
        </is>
      </c>
      <c r="H234" s="290" t="inlineStr">
        <is>
          <t>ครู</t>
        </is>
      </c>
      <c r="I234" s="249" t="inlineStr">
        <is>
          <t>หน้าที่พิเศษ</t>
        </is>
      </c>
    </row>
    <row r="235" ht="22.2" customHeight="1" s="330">
      <c r="A235" s="28" t="inlineStr">
        <is>
          <t>ที่</t>
        </is>
      </c>
      <c r="B235" s="28" t="inlineStr">
        <is>
          <t>ชื่อ-สกุล</t>
        </is>
      </c>
      <c r="C235" s="334" t="n"/>
      <c r="D235" s="335" t="n"/>
      <c r="E235" s="16" t="inlineStr">
        <is>
          <t>ตำแหน่ง</t>
        </is>
      </c>
      <c r="F235" s="17" t="inlineStr">
        <is>
          <t>ระยะเวลาที่สอน</t>
        </is>
      </c>
      <c r="G235" s="362" t="n"/>
      <c r="H235" s="17" t="inlineStr">
        <is>
          <t>รหัสวิชา</t>
        </is>
      </c>
      <c r="I235" s="275" t="inlineStr">
        <is>
          <t>ชั้น,แผนก,ห้อง</t>
        </is>
      </c>
      <c r="J235" s="17" t="inlineStr">
        <is>
          <t>เวลาสอน</t>
        </is>
      </c>
      <c r="K235" s="335" t="n"/>
      <c r="L235" s="17" t="inlineStr">
        <is>
          <t>ปวช.(คาบ)</t>
        </is>
      </c>
      <c r="M235" s="362" t="n"/>
      <c r="N235" s="244" t="inlineStr">
        <is>
          <t>เงิน</t>
        </is>
      </c>
      <c r="O235" s="275" t="inlineStr">
        <is>
          <t>ยอดเงิน</t>
        </is>
      </c>
      <c r="P235" s="473" t="inlineStr">
        <is>
          <t>ปวส.(คาบ)</t>
        </is>
      </c>
      <c r="Q235" s="362" t="n"/>
      <c r="R235" s="244" t="inlineStr">
        <is>
          <t>เงิน</t>
        </is>
      </c>
      <c r="S235" s="275" t="inlineStr">
        <is>
          <t>ยอดเงิน</t>
        </is>
      </c>
    </row>
    <row r="236" ht="22.2" customHeight="1" s="330">
      <c r="A236" s="60" t="n"/>
      <c r="B236" s="9" t="n"/>
      <c r="C236" s="10" t="n"/>
      <c r="D236" s="14" t="n"/>
      <c r="E236" s="11" t="n"/>
      <c r="F236" s="276" t="inlineStr">
        <is>
          <t>ส.</t>
        </is>
      </c>
      <c r="G236" s="276" t="inlineStr">
        <is>
          <t>วดป.</t>
        </is>
      </c>
      <c r="H236" s="474" t="n"/>
      <c r="I236" s="276" t="n"/>
      <c r="J236" s="475" t="n"/>
      <c r="K236" s="476" t="n"/>
      <c r="L236" s="276" t="inlineStr">
        <is>
          <t>ใน</t>
        </is>
      </c>
      <c r="M236" s="276" t="inlineStr">
        <is>
          <t>นอก</t>
        </is>
      </c>
      <c r="N236" s="276" t="inlineStr">
        <is>
          <t>ต่อ ชม.</t>
        </is>
      </c>
      <c r="O236" s="276" t="inlineStr">
        <is>
          <t>(บาท)</t>
        </is>
      </c>
      <c r="P236" s="60" t="inlineStr">
        <is>
          <t>ใน</t>
        </is>
      </c>
      <c r="Q236" s="60" t="inlineStr">
        <is>
          <t>นอก</t>
        </is>
      </c>
      <c r="R236" s="276" t="inlineStr">
        <is>
          <t>ต่อ ชม.</t>
        </is>
      </c>
      <c r="S236" s="276" t="inlineStr">
        <is>
          <t>(บาท)</t>
        </is>
      </c>
    </row>
    <row r="237" ht="22.2" customHeight="1" s="330">
      <c r="A237" s="275" t="n">
        <v>6</v>
      </c>
      <c r="B237" s="477">
        <f>AB8</f>
        <v/>
      </c>
      <c r="C237" s="334" t="n"/>
      <c r="D237" s="335" t="n"/>
      <c r="E237" s="275" t="inlineStr">
        <is>
          <t>ครู</t>
        </is>
      </c>
      <c r="F237" s="6">
        <f>F7</f>
        <v/>
      </c>
      <c r="G237" s="207" t="inlineStr">
        <is>
          <t>จันทร์</t>
        </is>
      </c>
      <c r="H237" s="156" t="n"/>
      <c r="I237" s="156" t="n"/>
      <c r="J237" s="335" t="n"/>
      <c r="K237" s="335" t="n"/>
      <c r="L237" s="265" t="n"/>
      <c r="M237" s="332" t="n"/>
      <c r="N237" s="332" t="n"/>
      <c r="O237" s="244">
        <f>M237*N237</f>
        <v/>
      </c>
      <c r="P237" s="332" t="n"/>
      <c r="Q237" s="265" t="n"/>
      <c r="R237" s="332" t="n"/>
      <c r="S237" s="244">
        <f>Q237*R237</f>
        <v/>
      </c>
    </row>
    <row r="238" ht="22.2" customHeight="1" s="330">
      <c r="A238" s="4" t="n"/>
      <c r="B238" s="5" t="n"/>
      <c r="D238" s="3" t="n"/>
      <c r="E238" s="3" t="n"/>
      <c r="F238" s="249" t="n"/>
      <c r="G238" s="62">
        <f>G192</f>
        <v/>
      </c>
      <c r="H238" s="56" t="n"/>
      <c r="I238" s="56" t="n"/>
      <c r="J238" s="331" t="n"/>
      <c r="K238" s="331" t="n"/>
      <c r="L238" s="252" t="n"/>
      <c r="M238" s="252" t="n"/>
      <c r="N238" s="252" t="n"/>
      <c r="O238" s="244">
        <f>M238*N238</f>
        <v/>
      </c>
      <c r="P238" s="252" t="n"/>
      <c r="Q238" s="252" t="n"/>
      <c r="R238" s="252" t="n"/>
      <c r="S238" s="244">
        <f>Q238*R238</f>
        <v/>
      </c>
    </row>
    <row r="239" ht="22.2" customHeight="1" s="330">
      <c r="A239" s="4" t="n"/>
      <c r="B239" s="5" t="n"/>
      <c r="D239" s="3" t="n"/>
      <c r="E239" s="3" t="n"/>
      <c r="F239" s="249" t="n"/>
      <c r="G239" s="252" t="n"/>
      <c r="H239" s="250" t="n"/>
      <c r="I239" s="252" t="n"/>
      <c r="J239" s="252" t="n"/>
      <c r="K239" s="331" t="n"/>
      <c r="L239" s="252" t="n"/>
      <c r="M239" s="252" t="n"/>
      <c r="N239" s="252" t="n"/>
      <c r="O239" s="244">
        <f>M239*N239</f>
        <v/>
      </c>
      <c r="P239" s="252" t="n"/>
      <c r="Q239" s="252" t="n"/>
      <c r="R239" s="252" t="n"/>
      <c r="S239" s="244">
        <f>Q239*R239</f>
        <v/>
      </c>
    </row>
    <row r="240" ht="22.2" customHeight="1" s="330">
      <c r="A240" s="4" t="n"/>
      <c r="B240" s="5" t="n"/>
      <c r="E240" s="4" t="n"/>
      <c r="F240" s="249" t="n"/>
      <c r="G240" s="248" t="n"/>
      <c r="H240" s="252" t="n"/>
      <c r="I240" s="252" t="n"/>
      <c r="J240" s="252" t="n"/>
      <c r="K240" s="331" t="n"/>
      <c r="L240" s="252" t="n"/>
      <c r="M240" s="252" t="n"/>
      <c r="N240" s="252" t="n"/>
      <c r="O240" s="244">
        <f>M240*N240</f>
        <v/>
      </c>
      <c r="P240" s="252" t="n"/>
      <c r="Q240" s="252" t="n"/>
      <c r="R240" s="252" t="n"/>
      <c r="S240" s="244">
        <f>Q240*R240</f>
        <v/>
      </c>
    </row>
    <row r="241" ht="22.2" customHeight="1" s="330">
      <c r="A241" s="4" t="n"/>
      <c r="E241" s="4" t="n"/>
      <c r="G241" s="311" t="n"/>
      <c r="H241" s="276" t="n"/>
      <c r="I241" s="276" t="n"/>
      <c r="J241" s="276" t="n"/>
      <c r="K241" s="476" t="n"/>
      <c r="L241" s="252" t="n"/>
      <c r="M241" s="252" t="n"/>
      <c r="N241" s="252" t="n"/>
      <c r="O241" s="244">
        <f>M241*N241</f>
        <v/>
      </c>
      <c r="P241" s="252" t="n"/>
      <c r="Q241" s="252" t="n"/>
      <c r="R241" s="252" t="n"/>
      <c r="S241" s="244">
        <f>Q241*R241</f>
        <v/>
      </c>
    </row>
    <row r="242" ht="22.2" customHeight="1" s="330">
      <c r="A242" s="4" t="n"/>
      <c r="E242" s="4" t="n"/>
      <c r="G242" s="207" t="inlineStr">
        <is>
          <t>อังคาร</t>
        </is>
      </c>
      <c r="H242" s="325" t="inlineStr">
        <is>
          <t>30101-0001</t>
        </is>
      </c>
      <c r="I242" s="325" t="inlineStr">
        <is>
          <t>ปวส.2/5 สย. (ปกติ)</t>
        </is>
      </c>
      <c r="J242" s="332" t="inlineStr">
        <is>
          <t>08.10-11.10</t>
        </is>
      </c>
      <c r="K242" s="335" t="n"/>
      <c r="L242" s="265" t="n"/>
      <c r="M242" s="332" t="n"/>
      <c r="N242" s="332" t="n"/>
      <c r="O242" s="244">
        <f>M242*N242</f>
        <v/>
      </c>
      <c r="P242" s="332" t="n"/>
      <c r="Q242" s="265" t="n"/>
      <c r="R242" s="332" t="n"/>
      <c r="S242" s="244">
        <f>Q242*R242</f>
        <v/>
      </c>
      <c r="T242" s="7" t="n"/>
      <c r="U242" s="23" t="inlineStr">
        <is>
          <t>เบิก ธุรการ</t>
        </is>
      </c>
      <c r="V242" s="66" t="n"/>
      <c r="W242" s="22" t="n"/>
      <c r="X242" s="22" t="n"/>
    </row>
    <row r="243" ht="22.2" customHeight="1" s="330">
      <c r="A243" s="4" t="n"/>
      <c r="E243" s="4" t="n"/>
      <c r="G243" s="62">
        <f>G197</f>
        <v/>
      </c>
      <c r="H243" s="325" t="inlineStr">
        <is>
          <t>30101-0001</t>
        </is>
      </c>
      <c r="I243" s="325" t="inlineStr">
        <is>
          <t>ปวส.2/7 สย. (ปกติ)</t>
        </is>
      </c>
      <c r="J243" s="252" t="inlineStr">
        <is>
          <t>14.10-17.10</t>
        </is>
      </c>
      <c r="K243" s="331" t="n"/>
      <c r="L243" s="252" t="n"/>
      <c r="M243" s="252" t="n"/>
      <c r="N243" s="252" t="n"/>
      <c r="O243" s="244">
        <f>M243*N243</f>
        <v/>
      </c>
      <c r="P243" s="252" t="n"/>
      <c r="Q243" s="252" t="n"/>
      <c r="R243" s="252" t="n"/>
      <c r="S243" s="244">
        <f>Q243*R243</f>
        <v/>
      </c>
      <c r="T243" s="22" t="inlineStr">
        <is>
          <t> </t>
        </is>
      </c>
      <c r="U243" s="23" t="inlineStr">
        <is>
          <t>16.10-19.10</t>
        </is>
      </c>
      <c r="V243" s="66" t="n"/>
      <c r="W243" s="22" t="n"/>
      <c r="X243" s="22" t="n"/>
    </row>
    <row r="244" ht="22.2" customHeight="1" s="330">
      <c r="A244" s="4" t="n"/>
      <c r="B244" s="5" t="n"/>
      <c r="D244" s="3" t="n"/>
      <c r="E244" s="3" t="n"/>
      <c r="G244" s="252" t="n"/>
      <c r="H244" s="56" t="n"/>
      <c r="I244" s="331" t="n"/>
      <c r="J244" s="331" t="n"/>
      <c r="K244" s="331" t="n"/>
      <c r="L244" s="252" t="n"/>
      <c r="M244" s="252" t="n"/>
      <c r="N244" s="252" t="n"/>
      <c r="O244" s="244">
        <f>M244*N244</f>
        <v/>
      </c>
      <c r="P244" s="252" t="n"/>
      <c r="Q244" s="252" t="n"/>
      <c r="R244" s="252" t="n"/>
      <c r="S244" s="244">
        <f>Q244*R244</f>
        <v/>
      </c>
    </row>
    <row r="245" ht="22.2" customHeight="1" s="330">
      <c r="A245" s="4" t="n"/>
      <c r="E245" s="4" t="n"/>
      <c r="G245" s="62" t="n"/>
      <c r="H245" s="252" t="n"/>
      <c r="I245" s="250" t="n"/>
      <c r="J245" s="250" t="n"/>
      <c r="K245" s="331" t="n"/>
      <c r="L245" s="252" t="n"/>
      <c r="M245" s="252" t="n"/>
      <c r="N245" s="252" t="n"/>
      <c r="O245" s="244">
        <f>M245*N245</f>
        <v/>
      </c>
      <c r="P245" s="252" t="n"/>
      <c r="Q245" s="252" t="n"/>
      <c r="R245" s="252" t="n"/>
      <c r="S245" s="244">
        <f>Q245*R245</f>
        <v/>
      </c>
    </row>
    <row r="246" ht="22.2" customHeight="1" s="330">
      <c r="A246" s="4" t="n"/>
      <c r="D246" s="8" t="inlineStr">
        <is>
          <t> </t>
        </is>
      </c>
      <c r="E246" s="4" t="n"/>
      <c r="G246" s="63" t="n"/>
      <c r="H246" s="276" t="n"/>
      <c r="I246" s="276" t="n"/>
      <c r="J246" s="276" t="n"/>
      <c r="K246" s="476" t="n"/>
      <c r="L246" s="252" t="n"/>
      <c r="M246" s="252" t="n"/>
      <c r="N246" s="252" t="n"/>
      <c r="O246" s="244">
        <f>M246*N246</f>
        <v/>
      </c>
      <c r="P246" s="252" t="n"/>
      <c r="Q246" s="252" t="n"/>
      <c r="R246" s="252" t="n"/>
      <c r="S246" s="244">
        <f>Q246*R246</f>
        <v/>
      </c>
    </row>
    <row r="247" ht="22.2" customHeight="1" s="330">
      <c r="A247" s="4" t="n"/>
      <c r="E247" s="4" t="n"/>
      <c r="G247" s="207" t="inlineStr">
        <is>
          <t>พุธ</t>
        </is>
      </c>
      <c r="H247" s="147" t="inlineStr">
        <is>
          <t>30101-2102</t>
        </is>
      </c>
      <c r="I247" s="325" t="inlineStr">
        <is>
          <t>ปวส.1/1 สย. (ปกติ)</t>
        </is>
      </c>
      <c r="J247" s="332" t="inlineStr">
        <is>
          <t>08.10-12.10</t>
        </is>
      </c>
      <c r="K247" s="335" t="n"/>
      <c r="L247" s="265" t="n"/>
      <c r="M247" s="332" t="n"/>
      <c r="N247" s="332" t="n"/>
      <c r="O247" s="244">
        <f>M247*N247</f>
        <v/>
      </c>
      <c r="P247" s="332" t="n"/>
      <c r="Q247" s="265" t="n"/>
      <c r="R247" s="332" t="n"/>
      <c r="S247" s="244">
        <f>Q247*R247</f>
        <v/>
      </c>
    </row>
    <row r="248" ht="22.2" customHeight="1" s="330">
      <c r="A248" s="4" t="n"/>
      <c r="B248" s="248" t="n"/>
      <c r="C248" s="249" t="n"/>
      <c r="D248" s="249" t="n"/>
      <c r="E248" s="252" t="n"/>
      <c r="G248" s="62">
        <f>G202</f>
        <v/>
      </c>
      <c r="H248" s="148" t="inlineStr">
        <is>
          <t>30101-2102</t>
        </is>
      </c>
      <c r="I248" s="286" t="inlineStr">
        <is>
          <t>ปวส.1/1 สย. (ปกติ)</t>
        </is>
      </c>
      <c r="J248" s="325" t="inlineStr">
        <is>
          <t>13.10-14.10</t>
        </is>
      </c>
      <c r="K248" s="331" t="n"/>
      <c r="L248" s="252" t="n"/>
      <c r="M248" s="252" t="n"/>
      <c r="N248" s="252" t="n"/>
      <c r="O248" s="244">
        <f>M248*N248</f>
        <v/>
      </c>
      <c r="P248" s="252" t="n"/>
      <c r="Q248" s="252" t="n"/>
      <c r="R248" s="252" t="n"/>
      <c r="S248" s="244">
        <f>Q248*R248</f>
        <v/>
      </c>
    </row>
    <row r="249" ht="22.2" customHeight="1" s="330">
      <c r="A249" s="4" t="n"/>
      <c r="B249" s="5" t="n"/>
      <c r="D249" s="3" t="n"/>
      <c r="E249" s="3" t="n"/>
      <c r="G249" s="252" t="n"/>
      <c r="H249" s="148" t="inlineStr">
        <is>
          <t>30101-2102</t>
        </is>
      </c>
      <c r="I249" s="325" t="inlineStr">
        <is>
          <t>ปวส.1/2 สย. (ปกติ)</t>
        </is>
      </c>
      <c r="J249" s="252" t="inlineStr">
        <is>
          <t>14.10-19.10</t>
        </is>
      </c>
      <c r="K249" s="331" t="n"/>
      <c r="L249" s="252" t="n"/>
      <c r="M249" s="252" t="n"/>
      <c r="N249" s="252" t="n"/>
      <c r="O249" s="244">
        <f>M249*N249</f>
        <v/>
      </c>
      <c r="P249" s="252" t="n"/>
      <c r="Q249" s="252" t="n"/>
      <c r="R249" s="252" t="n"/>
      <c r="S249" s="244">
        <f>Q249*R249</f>
        <v/>
      </c>
    </row>
    <row r="250" ht="22.2" customHeight="1" s="330">
      <c r="A250" s="4" t="n"/>
      <c r="E250" s="4" t="n"/>
      <c r="G250" s="248" t="n"/>
      <c r="H250" s="252" t="n"/>
      <c r="I250" s="325" t="n"/>
      <c r="J250" s="250" t="n"/>
      <c r="K250" s="331" t="n"/>
      <c r="L250" s="252" t="n"/>
      <c r="M250" s="252" t="n"/>
      <c r="N250" s="252" t="n"/>
      <c r="O250" s="244">
        <f>M250*N250</f>
        <v/>
      </c>
      <c r="P250" s="252" t="n"/>
      <c r="Q250" s="252" t="n"/>
      <c r="R250" s="252" t="n"/>
      <c r="S250" s="244">
        <f>Q250*R250</f>
        <v/>
      </c>
    </row>
    <row r="251" ht="22.2" customHeight="1" s="330">
      <c r="A251" s="4" t="n"/>
      <c r="E251" s="4" t="n"/>
      <c r="G251" s="277" t="n"/>
      <c r="H251" s="276" t="n"/>
      <c r="I251" s="276" t="n"/>
      <c r="J251" s="276" t="n"/>
      <c r="K251" s="476" t="n"/>
      <c r="L251" s="276" t="n"/>
      <c r="M251" s="276" t="n"/>
      <c r="N251" s="276" t="n"/>
      <c r="O251" s="244">
        <f>M251*N251</f>
        <v/>
      </c>
      <c r="P251" s="276" t="n"/>
      <c r="Q251" s="276" t="n"/>
      <c r="R251" s="276" t="n"/>
      <c r="S251" s="244">
        <f>Q251*R251</f>
        <v/>
      </c>
    </row>
    <row r="252" ht="22.2" customHeight="1" s="330">
      <c r="A252" s="4" t="n"/>
      <c r="E252" s="4" t="n"/>
      <c r="G252" s="62" t="inlineStr">
        <is>
          <t>พฤหัส</t>
        </is>
      </c>
      <c r="H252" s="325" t="inlineStr">
        <is>
          <t>30000-2004</t>
        </is>
      </c>
      <c r="I252" s="325" t="inlineStr">
        <is>
          <t>ปวส.2/5,6 สย. (ม.6)</t>
        </is>
      </c>
      <c r="J252" s="332" t="inlineStr">
        <is>
          <t>13.10-15.10</t>
        </is>
      </c>
      <c r="K252" s="335" t="n"/>
      <c r="L252" s="252" t="n"/>
      <c r="M252" s="252" t="n"/>
      <c r="N252" s="252" t="n"/>
      <c r="O252" s="244">
        <f>M252*N252</f>
        <v/>
      </c>
      <c r="P252" s="252" t="n"/>
      <c r="Q252" s="275" t="n"/>
      <c r="R252" s="275" t="n"/>
      <c r="S252" s="244">
        <f>Q252*R252</f>
        <v/>
      </c>
    </row>
    <row r="253" ht="22.2" customHeight="1" s="330">
      <c r="A253" s="4" t="n"/>
      <c r="E253" s="4" t="n"/>
      <c r="G253" s="308">
        <f>G207</f>
        <v/>
      </c>
      <c r="H253" s="325" t="inlineStr">
        <is>
          <t>30100-0101</t>
        </is>
      </c>
      <c r="I253" s="325" t="inlineStr">
        <is>
          <t>ปวส.1/5,6 สย. (ม.5)</t>
        </is>
      </c>
      <c r="J253" s="325" t="inlineStr">
        <is>
          <t>15.10-18.10</t>
        </is>
      </c>
      <c r="K253" s="331" t="n"/>
      <c r="L253" s="252" t="n"/>
      <c r="M253" s="252" t="n"/>
      <c r="N253" s="252" t="n"/>
      <c r="O253" s="244">
        <f>M253*N253</f>
        <v/>
      </c>
      <c r="P253" s="252" t="n"/>
      <c r="Q253" s="252" t="n"/>
      <c r="R253" s="252" t="n"/>
      <c r="S253" s="244">
        <f>Q253*R253</f>
        <v/>
      </c>
    </row>
    <row r="254" ht="22.2" customHeight="1" s="330">
      <c r="A254" s="4" t="n"/>
      <c r="B254" s="5" t="n"/>
      <c r="E254" s="4" t="n"/>
      <c r="G254" s="252" t="n"/>
      <c r="H254" s="325" t="n"/>
      <c r="I254" s="325" t="n"/>
      <c r="J254" s="252" t="n"/>
      <c r="K254" s="331" t="n"/>
      <c r="L254" s="325" t="n"/>
      <c r="M254" s="325" t="n"/>
      <c r="N254" s="325" t="n"/>
      <c r="O254" s="244">
        <f>M254*N254</f>
        <v/>
      </c>
      <c r="P254" s="325" t="n"/>
      <c r="Q254" s="325" t="n"/>
      <c r="R254" s="325" t="n"/>
      <c r="S254" s="244">
        <f>Q254*R254</f>
        <v/>
      </c>
    </row>
    <row r="255" ht="22.2" customHeight="1" s="330">
      <c r="A255" s="4" t="n"/>
      <c r="E255" s="4" t="n"/>
      <c r="G255" s="252" t="n"/>
      <c r="H255" s="252" t="n"/>
      <c r="I255" s="252" t="n"/>
      <c r="J255" s="252" t="n"/>
      <c r="K255" s="331" t="n"/>
      <c r="L255" s="252" t="n"/>
      <c r="M255" s="252" t="n"/>
      <c r="N255" s="252" t="n"/>
      <c r="O255" s="244">
        <f>M255*N255</f>
        <v/>
      </c>
      <c r="P255" s="252" t="n"/>
      <c r="Q255" s="252" t="n"/>
      <c r="R255" s="252" t="n"/>
      <c r="S255" s="244">
        <f>Q255*R255</f>
        <v/>
      </c>
    </row>
    <row r="256" ht="22.2" customHeight="1" s="330">
      <c r="A256" s="4" t="n"/>
      <c r="E256" s="4" t="n"/>
      <c r="G256" s="276" t="n"/>
      <c r="H256" s="252" t="n"/>
      <c r="I256" s="276" t="n"/>
      <c r="J256" s="276" t="n"/>
      <c r="K256" s="476" t="n"/>
      <c r="L256" s="276" t="n"/>
      <c r="M256" s="276" t="n"/>
      <c r="N256" s="276" t="n"/>
      <c r="O256" s="244">
        <f>M256*N256</f>
        <v/>
      </c>
      <c r="P256" s="276" t="n"/>
      <c r="Q256" s="276" t="n"/>
      <c r="R256" s="276" t="n"/>
      <c r="S256" s="244">
        <f>Q256*R256</f>
        <v/>
      </c>
    </row>
    <row r="257" ht="22.2" customHeight="1" s="330">
      <c r="A257" s="4" t="n"/>
      <c r="D257" s="331" t="n"/>
      <c r="E257" s="56" t="n"/>
      <c r="G257" s="62" t="inlineStr">
        <is>
          <t>ศุกร์</t>
        </is>
      </c>
      <c r="H257" s="147" t="inlineStr">
        <is>
          <t>30100-0101</t>
        </is>
      </c>
      <c r="I257" s="325" t="inlineStr">
        <is>
          <t>ปวส.1/3,4 สย. (ม.6)</t>
        </is>
      </c>
      <c r="J257" s="332" t="inlineStr">
        <is>
          <t>08.10-11.10</t>
        </is>
      </c>
      <c r="K257" s="335" t="n"/>
      <c r="L257" s="149" t="n"/>
      <c r="M257" s="69" t="n"/>
      <c r="N257" s="69" t="n"/>
      <c r="O257" s="244">
        <f>M257*N257</f>
        <v/>
      </c>
      <c r="P257" s="147" t="n"/>
      <c r="Q257" s="149" t="n"/>
      <c r="R257" s="147" t="n"/>
      <c r="S257" s="244">
        <f>Q257*R257</f>
        <v/>
      </c>
      <c r="T257" s="24" t="n"/>
      <c r="U257" s="24" t="inlineStr">
        <is>
          <t>สอน ป.ตรี</t>
        </is>
      </c>
      <c r="V257" s="65" t="n"/>
      <c r="W257" s="24" t="n"/>
      <c r="X257" s="24" t="n"/>
    </row>
    <row r="258" ht="22.2" customHeight="1" s="330">
      <c r="A258" s="4" t="n"/>
      <c r="E258" s="4" t="n"/>
      <c r="G258" s="308">
        <f>G212</f>
        <v/>
      </c>
      <c r="H258" s="148" t="inlineStr">
        <is>
          <t>30101-8001</t>
        </is>
      </c>
      <c r="I258" s="325" t="inlineStr">
        <is>
          <t>ปวส.2/1 สย. (ปกติ)</t>
        </is>
      </c>
      <c r="J258" s="325" t="inlineStr">
        <is>
          <t>13.10-17.10</t>
        </is>
      </c>
      <c r="K258" s="331" t="n"/>
      <c r="L258" s="150" t="n"/>
      <c r="M258" s="68" t="n"/>
      <c r="N258" s="68" t="n"/>
      <c r="O258" s="244">
        <f>M258*N258</f>
        <v/>
      </c>
      <c r="P258" s="150" t="n"/>
      <c r="Q258" s="150" t="n"/>
      <c r="R258" s="150" t="n"/>
      <c r="S258" s="244">
        <f>Q258*R258</f>
        <v/>
      </c>
      <c r="T258" s="24" t="n"/>
      <c r="U258" s="24" t="inlineStr">
        <is>
          <t>17.10-21.10</t>
        </is>
      </c>
      <c r="V258" s="65" t="n"/>
      <c r="W258" s="24" t="n"/>
      <c r="X258" s="24" t="n"/>
    </row>
    <row r="259" ht="22.2" customHeight="1" s="330">
      <c r="A259" s="4" t="n"/>
      <c r="E259" s="4" t="n"/>
      <c r="G259" s="252" t="n"/>
      <c r="H259" s="148" t="n"/>
      <c r="I259" s="325" t="n"/>
      <c r="J259" s="252" t="n"/>
      <c r="K259" s="331" t="n"/>
      <c r="L259" s="68" t="n"/>
      <c r="M259" s="68" t="n"/>
      <c r="N259" s="68" t="n"/>
      <c r="O259" s="244">
        <f>M259*N259</f>
        <v/>
      </c>
      <c r="P259" s="150" t="n"/>
      <c r="Q259" s="68" t="n"/>
      <c r="R259" s="68" t="n"/>
      <c r="S259" s="244">
        <f>Q259*R259</f>
        <v/>
      </c>
    </row>
    <row r="260" ht="22.2" customHeight="1" s="330">
      <c r="A260" s="4" t="n"/>
      <c r="E260" s="4" t="n"/>
      <c r="G260" s="252" t="n"/>
      <c r="H260" s="252" t="n"/>
      <c r="I260" s="252" t="n"/>
      <c r="J260" s="252" t="n"/>
      <c r="K260" s="331" t="n"/>
      <c r="L260" s="252" t="n"/>
      <c r="N260" s="252" t="n"/>
      <c r="O260" s="244">
        <f>L260*N260</f>
        <v/>
      </c>
      <c r="P260" s="252" t="n"/>
      <c r="Q260" s="252" t="n"/>
      <c r="R260" s="252" t="n"/>
      <c r="S260" s="244">
        <f>Q260*R260</f>
        <v/>
      </c>
    </row>
    <row r="261" ht="22.2" customHeight="1" s="330">
      <c r="A261" s="4" t="n"/>
      <c r="E261" s="4" t="n"/>
      <c r="F261" s="4" t="n"/>
      <c r="G261" s="278" t="n"/>
      <c r="H261" s="301" t="n"/>
      <c r="I261" s="276" t="n"/>
      <c r="J261" s="276" t="n"/>
      <c r="K261" s="476" t="n"/>
      <c r="L261" s="276" t="n"/>
      <c r="M261" s="276" t="n"/>
      <c r="N261" s="276" t="n"/>
      <c r="O261" s="244">
        <f>M261*N261</f>
        <v/>
      </c>
      <c r="P261" s="276" t="n"/>
      <c r="Q261" s="276" t="n"/>
      <c r="R261" s="276" t="n"/>
      <c r="S261" s="244">
        <f>Q261*R261</f>
        <v/>
      </c>
    </row>
    <row r="262" ht="22.2" customHeight="1" s="330">
      <c r="A262" s="4" t="n"/>
      <c r="E262" s="4" t="n"/>
      <c r="F262" s="4" t="n"/>
      <c r="G262" s="17" t="inlineStr">
        <is>
          <t>รวมขั่วโมงที่สอนแยก ภาระงาน/ เกินภาระงาน</t>
        </is>
      </c>
      <c r="H262" s="467" t="n"/>
      <c r="I262" s="467" t="n"/>
      <c r="J262" s="467" t="n"/>
      <c r="K262" s="362" t="n"/>
      <c r="L262" s="17">
        <f>SUM(L237:L261)</f>
        <v/>
      </c>
      <c r="M262" s="17">
        <f>SUM(M237:M261)</f>
        <v/>
      </c>
      <c r="N262" s="17" t="n"/>
      <c r="O262" s="17" t="n"/>
      <c r="P262" s="17">
        <f>SUM(P237:P261)</f>
        <v/>
      </c>
      <c r="Q262" s="17">
        <f>SUM(Q237:Q261)</f>
        <v/>
      </c>
      <c r="R262" s="279" t="n"/>
      <c r="S262" s="17" t="n"/>
      <c r="T262" s="25" t="n"/>
      <c r="U262" s="26" t="inlineStr">
        <is>
          <t xml:space="preserve">     PLC</t>
        </is>
      </c>
      <c r="V262" s="64" t="n"/>
      <c r="W262" s="27" t="n"/>
      <c r="X262" s="27" t="n"/>
    </row>
    <row r="263" ht="22.2" customHeight="1" s="330">
      <c r="A263" s="4" t="n"/>
      <c r="E263" s="4" t="n"/>
      <c r="F263" s="4" t="n"/>
      <c r="G263" s="17" t="inlineStr">
        <is>
          <t>รวมจำนวนชั่วโมงสอนคาบต่อสับดาห์</t>
        </is>
      </c>
      <c r="H263" s="467" t="n"/>
      <c r="I263" s="467" t="n"/>
      <c r="J263" s="467" t="n"/>
      <c r="K263" s="362" t="n"/>
      <c r="L263" s="17">
        <f>L262+M262</f>
        <v/>
      </c>
      <c r="M263" s="362" t="n"/>
      <c r="N263" s="298" t="n"/>
      <c r="O263" s="17" t="n"/>
      <c r="P263" s="17">
        <f>P262+Q262</f>
        <v/>
      </c>
      <c r="Q263" s="362" t="n"/>
      <c r="R263" s="278" t="n"/>
      <c r="S263" s="276" t="n"/>
      <c r="T263" s="27" t="inlineStr">
        <is>
          <t> </t>
        </is>
      </c>
      <c r="U263" s="26" t="inlineStr">
        <is>
          <t>17.10-19.10</t>
        </is>
      </c>
      <c r="V263" s="64" t="n"/>
      <c r="W263" s="27" t="n"/>
      <c r="X263" s="27" t="n"/>
    </row>
    <row r="264" ht="22.2" customHeight="1" s="330">
      <c r="A264" s="4" t="n"/>
      <c r="E264" s="4" t="n"/>
      <c r="F264" s="4" t="n"/>
      <c r="G264" s="17" t="inlineStr">
        <is>
          <t>จำนวนชั่วโมงสอนตามภาระงานสอน</t>
        </is>
      </c>
      <c r="H264" s="467" t="n"/>
      <c r="I264" s="467" t="n"/>
      <c r="J264" s="467" t="n"/>
      <c r="K264" s="362" t="n"/>
      <c r="L264" s="153" t="inlineStr">
        <is>
          <t>0</t>
        </is>
      </c>
      <c r="M264" s="362" t="n"/>
      <c r="N264" s="152" t="n"/>
      <c r="O264" s="153" t="n"/>
      <c r="P264" s="153" t="inlineStr">
        <is>
          <t>15</t>
        </is>
      </c>
      <c r="Q264" s="362" t="n"/>
      <c r="R264" s="249" t="n"/>
      <c r="S264" s="252" t="n"/>
    </row>
    <row r="265" ht="22.2" customHeight="1" s="330" thickBot="1">
      <c r="A265" s="4" t="n"/>
      <c r="E265" s="4" t="n"/>
      <c r="F265" s="15" t="n"/>
      <c r="G265" s="17" t="inlineStr">
        <is>
          <t>จำนวนชั่วโมงบิกเกินภาระงานสอน/ค่าสอน</t>
        </is>
      </c>
      <c r="H265" s="467" t="n"/>
      <c r="I265" s="467" t="n"/>
      <c r="J265" s="467" t="n"/>
      <c r="K265" s="362" t="n"/>
      <c r="L265" s="18" t="n">
        <v>0</v>
      </c>
      <c r="M265" s="18">
        <f>SUM(M237:M261)</f>
        <v/>
      </c>
      <c r="N265" s="18" t="n"/>
      <c r="O265" s="18">
        <f>SUM(O237:O261)</f>
        <v/>
      </c>
      <c r="P265" s="18" t="n">
        <v>0</v>
      </c>
      <c r="Q265" s="18">
        <f>SUM(Q237:Q261)</f>
        <v/>
      </c>
      <c r="R265" s="19" t="n"/>
      <c r="S265" s="18">
        <f>SUM(S237:S261)</f>
        <v/>
      </c>
    </row>
    <row r="266" ht="22.2" customHeight="1" s="330" thickTop="1">
      <c r="A266" s="299" t="inlineStr">
        <is>
          <t>รวมจำนวนหน่วยชั่วโมงที่ขอเบิกค่าสอน ….</t>
        </is>
      </c>
      <c r="B266" s="467" t="n"/>
      <c r="C266" s="467" t="n"/>
      <c r="D266" s="467" t="n"/>
      <c r="E266" s="467" t="n"/>
      <c r="F266" s="467" t="n"/>
      <c r="G266" s="467" t="n"/>
      <c r="H266" s="298">
        <f>M265+Q265</f>
        <v/>
      </c>
      <c r="I266" s="298" t="inlineStr">
        <is>
          <t>….ชั่วโมง</t>
        </is>
      </c>
      <c r="J266" s="298" t="n"/>
      <c r="K266" s="301" t="inlineStr">
        <is>
          <t>ยอดเงินรวม</t>
        </is>
      </c>
      <c r="L266" s="471" t="n"/>
      <c r="M266" s="471" t="n"/>
      <c r="N266" s="301" t="n"/>
      <c r="O266" s="301" t="n"/>
      <c r="P266" s="302">
        <f>S265+O265</f>
        <v/>
      </c>
      <c r="Q266" s="482" t="n"/>
      <c r="R266" s="21" t="n"/>
      <c r="S266" s="20" t="inlineStr">
        <is>
          <t>..บาท</t>
        </is>
      </c>
    </row>
    <row r="267" ht="22.2" customHeight="1" s="330">
      <c r="A267" s="207" t="inlineStr">
        <is>
          <t>ผู้ขอเบิก</t>
        </is>
      </c>
      <c r="B267" s="334" t="n"/>
      <c r="C267" s="334" t="n"/>
      <c r="D267" s="334" t="n"/>
      <c r="E267" s="334" t="n"/>
      <c r="F267" s="334" t="n"/>
      <c r="G267" s="335" t="n"/>
      <c r="H267" s="207" t="inlineStr">
        <is>
          <t>ผู้รับรอง</t>
        </is>
      </c>
      <c r="I267" s="334" t="n"/>
      <c r="J267" s="334" t="n"/>
      <c r="K267" s="334" t="n"/>
      <c r="L267" s="335" t="n"/>
      <c r="M267" s="207" t="inlineStr">
        <is>
          <t>ผู้ตรวจ</t>
        </is>
      </c>
      <c r="N267" s="334" t="n"/>
      <c r="O267" s="334" t="n"/>
      <c r="P267" s="334" t="n"/>
      <c r="Q267" s="334" t="n"/>
      <c r="R267" s="334" t="n"/>
      <c r="S267" s="335" t="n"/>
    </row>
    <row r="268" ht="22.2" customHeight="1" s="330">
      <c r="A268" s="252" t="inlineStr">
        <is>
          <t>ลงชื่อ……………………………………………</t>
        </is>
      </c>
      <c r="G268" s="331" t="n"/>
      <c r="H268" s="252" t="inlineStr">
        <is>
          <t>ลงชื่อ……………………………………………</t>
        </is>
      </c>
      <c r="L268" s="331" t="n"/>
      <c r="M268" s="252" t="inlineStr">
        <is>
          <t>ลงชื่อ……………………………………………</t>
        </is>
      </c>
      <c r="S268" s="331" t="n"/>
    </row>
    <row r="269" ht="22.2" customHeight="1" s="330">
      <c r="A269" s="12" t="inlineStr">
        <is>
          <t>(</t>
        </is>
      </c>
      <c r="B269" s="309">
        <f>B237</f>
        <v/>
      </c>
      <c r="G269" s="310" t="inlineStr">
        <is>
          <t>)</t>
        </is>
      </c>
      <c r="H269" s="309" t="inlineStr">
        <is>
          <t>(</t>
        </is>
      </c>
      <c r="I269" s="314">
        <f>I223</f>
        <v/>
      </c>
      <c r="L269" s="13" t="inlineStr">
        <is>
          <t>)</t>
        </is>
      </c>
      <c r="M269" s="61" t="inlineStr">
        <is>
          <t>(</t>
        </is>
      </c>
      <c r="N269" s="61" t="n"/>
      <c r="O269" s="309" t="inlineStr">
        <is>
          <t>นายพิสุทธิศักดิ์  กล่อมนาค</t>
        </is>
      </c>
      <c r="R269" s="29" t="n"/>
      <c r="S269" s="310" t="inlineStr">
        <is>
          <t>)</t>
        </is>
      </c>
    </row>
    <row r="270" ht="22.2" customHeight="1" s="330">
      <c r="A270" s="483" t="inlineStr">
        <is>
          <t xml:space="preserve">                    ตำแหน่ง  ครู</t>
        </is>
      </c>
      <c r="G270" s="331" t="n"/>
      <c r="H270" s="62" t="inlineStr">
        <is>
          <t>ตำแหน่ง หัวหน้าแผนก</t>
        </is>
      </c>
      <c r="L270" s="331" t="n"/>
      <c r="M270" s="62" t="inlineStr">
        <is>
          <t>ตำแหน่ง   ผู้ตรวจสอบ</t>
        </is>
      </c>
      <c r="S270" s="331" t="n"/>
    </row>
    <row r="271" ht="22.2" customHeight="1" s="330">
      <c r="A271" s="63">
        <f>A41</f>
        <v/>
      </c>
      <c r="B271" s="471" t="n"/>
      <c r="C271" s="471" t="n"/>
      <c r="D271" s="471" t="n"/>
      <c r="E271" s="471" t="n"/>
      <c r="F271" s="471" t="n"/>
      <c r="G271" s="476" t="n"/>
      <c r="H271" s="62">
        <f>A41</f>
        <v/>
      </c>
      <c r="L271" s="331" t="n"/>
      <c r="M271" s="63">
        <f>A41</f>
        <v/>
      </c>
      <c r="N271" s="471" t="n"/>
      <c r="O271" s="471" t="n"/>
      <c r="P271" s="471" t="n"/>
      <c r="Q271" s="471" t="n"/>
      <c r="R271" s="471" t="n"/>
      <c r="S271" s="476" t="n"/>
    </row>
    <row r="272" ht="22.2" customHeight="1" s="330">
      <c r="A272" s="207" t="inlineStr">
        <is>
          <t>ผู้ตรวจ</t>
        </is>
      </c>
      <c r="B272" s="334" t="n"/>
      <c r="C272" s="334" t="n"/>
      <c r="D272" s="334" t="n"/>
      <c r="E272" s="334" t="n"/>
      <c r="F272" s="334" t="n"/>
      <c r="G272" s="334" t="n"/>
      <c r="H272" s="334" t="n"/>
      <c r="I272" s="335" t="n"/>
      <c r="J272" s="207" t="inlineStr">
        <is>
          <t>ผู้เห็นชอบ</t>
        </is>
      </c>
      <c r="K272" s="334" t="n"/>
      <c r="L272" s="334" t="n"/>
      <c r="M272" s="334" t="n"/>
      <c r="N272" s="334" t="n"/>
      <c r="O272" s="334" t="n"/>
      <c r="P272" s="334" t="n"/>
      <c r="Q272" s="334" t="n"/>
      <c r="R272" s="334" t="n"/>
      <c r="S272" s="335" t="n"/>
    </row>
    <row r="273" ht="22.2" customHeight="1" s="330">
      <c r="A273" s="252" t="inlineStr">
        <is>
          <t>ลงชื่อ……………………………………………</t>
        </is>
      </c>
      <c r="I273" s="331" t="n"/>
      <c r="J273" s="252" t="inlineStr">
        <is>
          <t>ลงชื่อ……………………………………………</t>
        </is>
      </c>
      <c r="S273" s="331" t="n"/>
    </row>
    <row r="274" ht="22.2" customHeight="1" s="330">
      <c r="A274" s="12" t="n"/>
      <c r="B274" s="309" t="inlineStr">
        <is>
          <t xml:space="preserve">          (นางศิวรักษ์   บุญประเสริฐ)</t>
        </is>
      </c>
      <c r="I274" s="310" t="n"/>
      <c r="J274" s="29" t="n"/>
      <c r="K274" s="29" t="n"/>
      <c r="L274" s="309" t="inlineStr">
        <is>
          <t>(นายปรีชา  โพธิ์เกิด)</t>
        </is>
      </c>
      <c r="R274" s="29" t="n"/>
      <c r="S274" s="13" t="n"/>
    </row>
    <row r="275" ht="22.2" customHeight="1" s="330">
      <c r="A275" s="62" t="inlineStr">
        <is>
          <t>ตำแหน่งครู  หัวหน้างานพัฒนาหลักสูตร ฯ</t>
        </is>
      </c>
      <c r="I275" s="331" t="n"/>
      <c r="J275" s="62" t="inlineStr">
        <is>
          <t>ตำแหน่ง  รองผู้อำนวยการฝ่ายวิชาการ</t>
        </is>
      </c>
      <c r="S275" s="331" t="n"/>
    </row>
    <row r="276" ht="22.2" customHeight="1" s="330">
      <c r="A276" s="63">
        <f>A41</f>
        <v/>
      </c>
      <c r="B276" s="471" t="n"/>
      <c r="C276" s="471" t="n"/>
      <c r="D276" s="471" t="n"/>
      <c r="E276" s="471" t="n"/>
      <c r="F276" s="471" t="n"/>
      <c r="G276" s="471" t="n"/>
      <c r="H276" s="471" t="n"/>
      <c r="I276" s="476" t="n"/>
      <c r="J276" s="63">
        <f>A41</f>
        <v/>
      </c>
      <c r="K276" s="471" t="n"/>
      <c r="L276" s="471" t="n"/>
      <c r="M276" s="471" t="n"/>
      <c r="N276" s="471" t="n"/>
      <c r="O276" s="471" t="n"/>
      <c r="P276" s="471" t="n"/>
      <c r="Q276" s="471" t="n"/>
      <c r="R276" s="471" t="n"/>
      <c r="S276" s="476" t="n"/>
    </row>
    <row r="277" ht="22.2" customHeight="1" s="330">
      <c r="A27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278" ht="22.2" customHeight="1" s="330">
      <c r="A278" s="254">
        <f>A2</f>
        <v/>
      </c>
    </row>
    <row r="279" ht="22.2" customHeight="1" s="330">
      <c r="A279" s="253" t="inlineStr">
        <is>
          <t xml:space="preserve">    ระหว่างวันที่</t>
        </is>
      </c>
      <c r="D279" s="254">
        <f>D3</f>
        <v/>
      </c>
      <c r="E279" s="254" t="inlineStr">
        <is>
          <t xml:space="preserve">   เดือน  </t>
        </is>
      </c>
      <c r="F279" s="254">
        <f>F3</f>
        <v/>
      </c>
      <c r="H279" s="254">
        <f>H3</f>
        <v/>
      </c>
      <c r="I279" s="254" t="inlineStr">
        <is>
          <t xml:space="preserve">     ถึง วันที่</t>
        </is>
      </c>
      <c r="J279" s="254">
        <f>J3</f>
        <v/>
      </c>
      <c r="K279" s="254" t="inlineStr">
        <is>
          <t xml:space="preserve">   เดือน </t>
        </is>
      </c>
      <c r="L279" s="254">
        <f>L3</f>
        <v/>
      </c>
      <c r="N279" s="254">
        <f>N3</f>
        <v/>
      </c>
      <c r="P279" s="254" t="n"/>
      <c r="R279" s="254" t="n"/>
    </row>
    <row r="280" ht="25.5" customHeight="1" s="330">
      <c r="G280" s="58" t="inlineStr">
        <is>
          <t>ü</t>
        </is>
      </c>
      <c r="H280" s="290" t="inlineStr">
        <is>
          <t>ครู</t>
        </is>
      </c>
      <c r="I280" s="249" t="inlineStr">
        <is>
          <t>หน้าที่พิเศษ</t>
        </is>
      </c>
    </row>
    <row r="281" ht="22.2" customHeight="1" s="330">
      <c r="A281" s="28" t="inlineStr">
        <is>
          <t>ที่</t>
        </is>
      </c>
      <c r="B281" s="28" t="inlineStr">
        <is>
          <t>ชื่อ-สกุล</t>
        </is>
      </c>
      <c r="C281" s="334" t="n"/>
      <c r="D281" s="335" t="n"/>
      <c r="E281" s="16" t="inlineStr">
        <is>
          <t>ตำแหน่ง</t>
        </is>
      </c>
      <c r="F281" s="17" t="inlineStr">
        <is>
          <t>ระยะเวลาที่สอน</t>
        </is>
      </c>
      <c r="G281" s="362" t="n"/>
      <c r="H281" s="17" t="inlineStr">
        <is>
          <t>รหัสวิชา</t>
        </is>
      </c>
      <c r="I281" s="275" t="inlineStr">
        <is>
          <t>ชั้น,แผนก,ห้อง</t>
        </is>
      </c>
      <c r="J281" s="17" t="inlineStr">
        <is>
          <t>เวลาสอน</t>
        </is>
      </c>
      <c r="K281" s="335" t="n"/>
      <c r="L281" s="17" t="inlineStr">
        <is>
          <t>ปวช.(คาบ)</t>
        </is>
      </c>
      <c r="M281" s="362" t="n"/>
      <c r="N281" s="244" t="inlineStr">
        <is>
          <t>เงิน</t>
        </is>
      </c>
      <c r="O281" s="275" t="inlineStr">
        <is>
          <t>ยอดเงิน</t>
        </is>
      </c>
      <c r="P281" s="473" t="inlineStr">
        <is>
          <t>ปวส.(คาบ)</t>
        </is>
      </c>
      <c r="Q281" s="362" t="n"/>
      <c r="R281" s="244" t="inlineStr">
        <is>
          <t>เงิน</t>
        </is>
      </c>
      <c r="S281" s="275" t="inlineStr">
        <is>
          <t>ยอดเงิน</t>
        </is>
      </c>
    </row>
    <row r="282" ht="22.2" customHeight="1" s="330">
      <c r="A282" s="60" t="n"/>
      <c r="B282" s="9" t="n"/>
      <c r="C282" s="10" t="n"/>
      <c r="D282" s="14" t="n"/>
      <c r="E282" s="11" t="n"/>
      <c r="F282" s="276" t="inlineStr">
        <is>
          <t>ส.</t>
        </is>
      </c>
      <c r="G282" s="276" t="inlineStr">
        <is>
          <t>วดป.</t>
        </is>
      </c>
      <c r="H282" s="474" t="n"/>
      <c r="I282" s="276" t="n"/>
      <c r="J282" s="475" t="n"/>
      <c r="K282" s="476" t="n"/>
      <c r="L282" s="276" t="inlineStr">
        <is>
          <t>ใน</t>
        </is>
      </c>
      <c r="M282" s="276" t="inlineStr">
        <is>
          <t>นอก</t>
        </is>
      </c>
      <c r="N282" s="276" t="inlineStr">
        <is>
          <t>ต่อ ชม.</t>
        </is>
      </c>
      <c r="O282" s="276" t="inlineStr">
        <is>
          <t>(บาท)</t>
        </is>
      </c>
      <c r="P282" s="60" t="inlineStr">
        <is>
          <t>ใน</t>
        </is>
      </c>
      <c r="Q282" s="60" t="inlineStr">
        <is>
          <t>นอก</t>
        </is>
      </c>
      <c r="R282" s="276" t="inlineStr">
        <is>
          <t>ต่อ ชม.</t>
        </is>
      </c>
      <c r="S282" s="276" t="inlineStr">
        <is>
          <t>(บาท)</t>
        </is>
      </c>
    </row>
    <row r="283" ht="22.2" customHeight="1" s="330">
      <c r="A283" s="275" t="n">
        <v>7</v>
      </c>
      <c r="B283" s="477">
        <f>AB9</f>
        <v/>
      </c>
      <c r="C283" s="334" t="n"/>
      <c r="D283" s="335" t="n"/>
      <c r="E283" s="275" t="inlineStr">
        <is>
          <t>ครู</t>
        </is>
      </c>
      <c r="F283" s="6">
        <f>F7</f>
        <v/>
      </c>
      <c r="G283" s="303" t="inlineStr">
        <is>
          <t>จันทร์</t>
        </is>
      </c>
      <c r="H283" s="332" t="inlineStr">
        <is>
          <t>20101-8001</t>
        </is>
      </c>
      <c r="I283" s="325" t="inlineStr">
        <is>
          <t>ปวช.3/5 ชย. (ปกติ)</t>
        </is>
      </c>
      <c r="J283" s="332" t="inlineStr">
        <is>
          <t>08.10-12.10</t>
        </is>
      </c>
      <c r="K283" s="335" t="n"/>
      <c r="L283" s="265" t="n"/>
      <c r="M283" s="332" t="n"/>
      <c r="N283" s="332" t="n"/>
      <c r="O283" s="244">
        <f>M283*N283</f>
        <v/>
      </c>
      <c r="P283" s="332" t="n"/>
      <c r="Q283" s="265" t="n"/>
      <c r="R283" s="332" t="n"/>
      <c r="S283" s="244">
        <f>Q283*R283</f>
        <v/>
      </c>
    </row>
    <row r="284" ht="22.2" customHeight="1" s="330">
      <c r="A284" s="4" t="n"/>
      <c r="B284" s="478" t="n"/>
      <c r="D284" s="331" t="n"/>
      <c r="E284" s="252" t="n"/>
      <c r="F284" s="249" t="n"/>
      <c r="G284" s="308">
        <f>G238</f>
        <v/>
      </c>
      <c r="H284" s="325" t="n"/>
      <c r="I284" s="325" t="n"/>
      <c r="J284" s="252" t="n"/>
      <c r="K284" s="331" t="n"/>
      <c r="L284" s="252" t="n"/>
      <c r="M284" s="252" t="n"/>
      <c r="N284" s="252" t="n"/>
      <c r="O284" s="244">
        <f>M284*N284</f>
        <v/>
      </c>
      <c r="P284" s="252" t="n"/>
      <c r="Q284" s="252" t="n"/>
      <c r="R284" s="252" t="n"/>
      <c r="S284" s="244">
        <f>Q284*R284</f>
        <v/>
      </c>
    </row>
    <row r="285" ht="22.2" customHeight="1" s="330">
      <c r="A285" s="4" t="n"/>
      <c r="B285" s="5" t="n"/>
      <c r="D285" s="3" t="n"/>
      <c r="E285" s="3" t="n"/>
      <c r="F285" s="249" t="n"/>
      <c r="G285" s="248" t="n"/>
      <c r="H285" s="325" t="n"/>
      <c r="I285" s="325" t="n"/>
      <c r="J285" s="325" t="n"/>
      <c r="K285" s="331" t="n"/>
      <c r="L285" s="252" t="n"/>
      <c r="M285" s="252" t="n"/>
      <c r="N285" s="252" t="n"/>
      <c r="O285" s="244">
        <f>M285*N285</f>
        <v/>
      </c>
      <c r="P285" s="252" t="n"/>
      <c r="Q285" s="252" t="n"/>
      <c r="R285" s="252" t="n"/>
      <c r="S285" s="244">
        <f>Q285*R285</f>
        <v/>
      </c>
    </row>
    <row r="286" ht="22.2" customHeight="1" s="330">
      <c r="A286" s="4" t="n"/>
      <c r="B286" s="5" t="n"/>
      <c r="E286" s="4" t="n"/>
      <c r="F286" s="249" t="n"/>
      <c r="G286" s="248" t="n"/>
      <c r="H286" s="252" t="n"/>
      <c r="I286" s="252" t="n"/>
      <c r="J286" s="252" t="n"/>
      <c r="K286" s="331" t="n"/>
      <c r="L286" s="252" t="n"/>
      <c r="M286" s="252" t="n"/>
      <c r="N286" s="252" t="n"/>
      <c r="O286" s="244">
        <f>M286*N286</f>
        <v/>
      </c>
      <c r="P286" s="252" t="n"/>
      <c r="Q286" s="252" t="n"/>
      <c r="R286" s="252" t="n"/>
      <c r="S286" s="244">
        <f>Q286*R286</f>
        <v/>
      </c>
    </row>
    <row r="287" ht="22.2" customHeight="1" s="330">
      <c r="A287" s="4" t="n"/>
      <c r="E287" s="4" t="n"/>
      <c r="G287" s="311" t="n"/>
      <c r="H287" s="276" t="n"/>
      <c r="I287" s="276" t="n"/>
      <c r="J287" s="276" t="n"/>
      <c r="K287" s="476" t="n"/>
      <c r="L287" s="252" t="n"/>
      <c r="M287" s="252" t="n"/>
      <c r="N287" s="252" t="n"/>
      <c r="O287" s="244">
        <f>M287*N287</f>
        <v/>
      </c>
      <c r="P287" s="252" t="n"/>
      <c r="Q287" s="252" t="n"/>
      <c r="R287" s="252" t="n"/>
      <c r="S287" s="244">
        <f>Q287*R287</f>
        <v/>
      </c>
    </row>
    <row r="288" ht="22.2" customHeight="1" s="330">
      <c r="A288" s="4" t="n"/>
      <c r="E288" s="4" t="n"/>
      <c r="G288" s="62" t="inlineStr">
        <is>
          <t>อังคาร</t>
        </is>
      </c>
      <c r="H288" s="325" t="inlineStr">
        <is>
          <t>20101-2003</t>
        </is>
      </c>
      <c r="I288" s="325" t="inlineStr">
        <is>
          <t>ปวช.1/1 ชย. (ปกติ)</t>
        </is>
      </c>
      <c r="J288" s="332" t="inlineStr">
        <is>
          <t>08.10-12.10</t>
        </is>
      </c>
      <c r="K288" s="335" t="n"/>
      <c r="L288" s="265" t="n"/>
      <c r="M288" s="332" t="n"/>
      <c r="N288" s="332" t="n"/>
      <c r="O288" s="244">
        <f>M288*N288</f>
        <v/>
      </c>
      <c r="P288" s="332" t="n"/>
      <c r="Q288" s="265" t="n"/>
      <c r="R288" s="332" t="n"/>
      <c r="S288" s="244">
        <f>Q288*R288</f>
        <v/>
      </c>
    </row>
    <row r="289" ht="22.2" customHeight="1" s="330">
      <c r="A289" s="4" t="n"/>
      <c r="E289" s="4" t="n"/>
      <c r="G289" s="308">
        <f>G243</f>
        <v/>
      </c>
      <c r="H289" s="325" t="inlineStr">
        <is>
          <t>20101-2003</t>
        </is>
      </c>
      <c r="I289" s="325" t="inlineStr">
        <is>
          <t>ปวช.1/1 ชย. (ปกติ)</t>
        </is>
      </c>
      <c r="J289" s="252" t="inlineStr">
        <is>
          <t>13.10-16.10</t>
        </is>
      </c>
      <c r="K289" s="331" t="n"/>
      <c r="L289" s="252" t="n"/>
      <c r="M289" s="252" t="n"/>
      <c r="N289" s="252" t="n"/>
      <c r="O289" s="244">
        <f>M289*N289</f>
        <v/>
      </c>
      <c r="P289" s="252" t="n"/>
      <c r="Q289" s="252" t="n"/>
      <c r="R289" s="252" t="n"/>
      <c r="S289" s="244">
        <f>Q289*R289</f>
        <v/>
      </c>
    </row>
    <row r="290" ht="22.2" customHeight="1" s="330">
      <c r="A290" s="4" t="n"/>
      <c r="B290" s="5" t="n"/>
      <c r="D290" s="3" t="n"/>
      <c r="E290" s="3" t="n"/>
      <c r="G290" s="252" t="n"/>
      <c r="H290" s="252" t="n"/>
      <c r="I290" s="325" t="n"/>
      <c r="J290" s="252" t="n"/>
      <c r="K290" s="331" t="n"/>
      <c r="L290" s="252" t="n"/>
      <c r="M290" s="252" t="n"/>
      <c r="N290" s="252" t="n"/>
      <c r="O290" s="244">
        <f>M290*N290</f>
        <v/>
      </c>
      <c r="P290" s="252" t="n"/>
      <c r="Q290" s="252" t="n"/>
      <c r="R290" s="252" t="n"/>
      <c r="S290" s="244">
        <f>Q290*R290</f>
        <v/>
      </c>
    </row>
    <row r="291" ht="22.2" customHeight="1" s="330">
      <c r="A291" s="4" t="n"/>
      <c r="E291" s="4" t="n"/>
      <c r="G291" s="62" t="n"/>
      <c r="H291" s="249" t="n"/>
      <c r="I291" s="252" t="n"/>
      <c r="J291" s="252" t="n"/>
      <c r="K291" s="331" t="n"/>
      <c r="L291" s="252" t="n"/>
      <c r="M291" s="252" t="n"/>
      <c r="N291" s="252" t="n"/>
      <c r="O291" s="244">
        <f>M291*N291</f>
        <v/>
      </c>
      <c r="P291" s="252" t="n"/>
      <c r="Q291" s="252" t="n"/>
      <c r="R291" s="252" t="n"/>
      <c r="S291" s="244">
        <f>Q291*R291</f>
        <v/>
      </c>
    </row>
    <row r="292" ht="22.2" customHeight="1" s="330">
      <c r="A292" s="4" t="n"/>
      <c r="D292" s="8" t="inlineStr">
        <is>
          <t> </t>
        </is>
      </c>
      <c r="E292" s="4" t="n"/>
      <c r="G292" s="63" t="n"/>
      <c r="H292" s="276" t="n"/>
      <c r="I292" s="276" t="n"/>
      <c r="J292" s="276" t="n"/>
      <c r="K292" s="476" t="n"/>
      <c r="L292" s="252" t="n"/>
      <c r="M292" s="252" t="n"/>
      <c r="N292" s="252" t="n"/>
      <c r="O292" s="244">
        <f>M292*N292</f>
        <v/>
      </c>
      <c r="P292" s="252" t="n"/>
      <c r="Q292" s="252" t="n"/>
      <c r="R292" s="252" t="n"/>
      <c r="S292" s="244">
        <f>Q292*R292</f>
        <v/>
      </c>
    </row>
    <row r="293" ht="22.2" customHeight="1" s="330">
      <c r="A293" s="4" t="n"/>
      <c r="E293" s="4" t="n"/>
      <c r="G293" s="308" t="inlineStr">
        <is>
          <t>พุธ</t>
        </is>
      </c>
      <c r="H293" s="325" t="inlineStr">
        <is>
          <t>20101-2003</t>
        </is>
      </c>
      <c r="I293" s="325" t="inlineStr">
        <is>
          <t>ปวช.1/3 ชย. (ปกติ)</t>
        </is>
      </c>
      <c r="J293" s="332" t="inlineStr">
        <is>
          <t>08.10-12.10</t>
        </is>
      </c>
      <c r="K293" s="335" t="n"/>
      <c r="L293" s="265" t="n"/>
      <c r="M293" s="332" t="n"/>
      <c r="N293" s="332" t="n"/>
      <c r="O293" s="244">
        <f>M293*N293</f>
        <v/>
      </c>
      <c r="P293" s="332" t="n"/>
      <c r="Q293" s="265" t="n"/>
      <c r="R293" s="332" t="n"/>
      <c r="S293" s="244">
        <f>Q293*R293</f>
        <v/>
      </c>
      <c r="T293" s="24" t="n"/>
      <c r="U293" s="24" t="inlineStr">
        <is>
          <t>สอน ป.ตรี</t>
        </is>
      </c>
      <c r="V293" s="65" t="n"/>
      <c r="W293" s="24" t="n"/>
      <c r="X293" s="24" t="n"/>
    </row>
    <row r="294" ht="22.2" customHeight="1" s="330">
      <c r="A294" s="4" t="n"/>
      <c r="B294" s="54" t="n"/>
      <c r="C294" s="67" t="n"/>
      <c r="D294" s="55" t="n"/>
      <c r="E294" s="55" t="n"/>
      <c r="G294" s="308">
        <f>G248</f>
        <v/>
      </c>
      <c r="H294" s="325" t="inlineStr">
        <is>
          <t>20101-2003</t>
        </is>
      </c>
      <c r="I294" s="325" t="inlineStr">
        <is>
          <t>ปวช.1/3 ชย. (ปกติ)</t>
        </is>
      </c>
      <c r="J294" s="252" t="inlineStr">
        <is>
          <t>13.10-16.10</t>
        </is>
      </c>
      <c r="K294" s="331" t="n"/>
      <c r="L294" s="252" t="n"/>
      <c r="M294" s="252" t="n"/>
      <c r="N294" s="252" t="n"/>
      <c r="O294" s="244">
        <f>M294*N294</f>
        <v/>
      </c>
      <c r="P294" s="252" t="n"/>
      <c r="Q294" s="252" t="n"/>
      <c r="R294" s="252" t="n"/>
      <c r="S294" s="244">
        <f>Q294*R294</f>
        <v/>
      </c>
      <c r="T294" s="24" t="n"/>
      <c r="U294" s="24" t="inlineStr">
        <is>
          <t>17.10-21.10</t>
        </is>
      </c>
      <c r="V294" s="65" t="n"/>
      <c r="W294" s="24" t="n"/>
      <c r="X294" s="24" t="n"/>
    </row>
    <row r="295" ht="22.2" customHeight="1" s="330">
      <c r="A295" s="4" t="n"/>
      <c r="B295" s="54" t="n"/>
      <c r="C295" s="67" t="n"/>
      <c r="D295" s="55" t="n"/>
      <c r="E295" s="55" t="n"/>
      <c r="G295" s="252" t="n"/>
      <c r="H295" s="325" t="n"/>
      <c r="I295" s="325" t="n"/>
      <c r="J295" s="325" t="n"/>
      <c r="K295" s="331" t="n"/>
      <c r="L295" s="252" t="n"/>
      <c r="M295" s="252" t="n"/>
      <c r="N295" s="252" t="n"/>
      <c r="O295" s="244">
        <f>M295*N295</f>
        <v/>
      </c>
      <c r="P295" s="252" t="n"/>
      <c r="Q295" s="252" t="n"/>
      <c r="R295" s="252" t="n"/>
      <c r="S295" s="244">
        <f>Q295*R295</f>
        <v/>
      </c>
    </row>
    <row r="296" ht="22.2" customHeight="1" s="330">
      <c r="A296" s="4" t="n"/>
      <c r="B296" s="54" t="n"/>
      <c r="C296" s="67" t="n"/>
      <c r="D296" s="55" t="n"/>
      <c r="E296" s="55" t="n"/>
      <c r="G296" s="248" t="n"/>
      <c r="H296" s="252" t="n"/>
      <c r="I296" s="325" t="n"/>
      <c r="J296" s="252" t="n"/>
      <c r="K296" s="331" t="n"/>
      <c r="L296" s="252" t="n"/>
      <c r="M296" s="252" t="n"/>
      <c r="N296" s="252" t="n"/>
      <c r="O296" s="244">
        <f>M296*N296</f>
        <v/>
      </c>
      <c r="P296" s="252" t="n"/>
      <c r="Q296" s="252" t="n"/>
      <c r="R296" s="252" t="n"/>
      <c r="S296" s="244">
        <f>Q296*R296</f>
        <v/>
      </c>
    </row>
    <row r="297" ht="22.2" customHeight="1" s="330">
      <c r="A297" s="4" t="n"/>
      <c r="D297" s="3" t="n"/>
      <c r="E297" s="3" t="n"/>
      <c r="G297" s="277" t="n"/>
      <c r="H297" s="277" t="n"/>
      <c r="I297" s="276" t="n"/>
      <c r="J297" s="276" t="n"/>
      <c r="K297" s="476" t="n"/>
      <c r="L297" s="276" t="n"/>
      <c r="M297" s="276" t="n"/>
      <c r="N297" s="276" t="n"/>
      <c r="O297" s="244">
        <f>M297*N297</f>
        <v/>
      </c>
      <c r="P297" s="276" t="n"/>
      <c r="Q297" s="276" t="n"/>
      <c r="R297" s="276" t="n"/>
      <c r="S297" s="244">
        <f>Q297*R297</f>
        <v/>
      </c>
    </row>
    <row r="298" ht="22.2" customHeight="1" s="330">
      <c r="A298" s="4" t="n"/>
      <c r="E298" s="4" t="n"/>
      <c r="G298" s="62" t="inlineStr">
        <is>
          <t>พฤหัส</t>
        </is>
      </c>
      <c r="H298" s="325" t="inlineStr">
        <is>
          <t>20101-2003</t>
        </is>
      </c>
      <c r="I298" s="325" t="inlineStr">
        <is>
          <t>ปวช.1/2 ชย. (ปกติ)</t>
        </is>
      </c>
      <c r="J298" s="332" t="inlineStr">
        <is>
          <t>08.10-12.10</t>
        </is>
      </c>
      <c r="K298" s="335" t="n"/>
      <c r="L298" s="252" t="n"/>
      <c r="M298" s="252" t="n"/>
      <c r="N298" s="252" t="n"/>
      <c r="O298" s="244">
        <f>M298*N298</f>
        <v/>
      </c>
      <c r="P298" s="252" t="n"/>
      <c r="Q298" s="275" t="n"/>
      <c r="R298" s="275" t="n"/>
      <c r="S298" s="244">
        <f>Q298*R298</f>
        <v/>
      </c>
      <c r="T298" s="25" t="n"/>
      <c r="U298" s="26" t="inlineStr">
        <is>
          <t xml:space="preserve">     PLC</t>
        </is>
      </c>
      <c r="V298" s="64" t="n"/>
      <c r="W298" s="27" t="n"/>
      <c r="X298" s="27" t="n"/>
    </row>
    <row r="299" ht="22.2" customHeight="1" s="330">
      <c r="A299" s="4" t="n"/>
      <c r="E299" s="4" t="n"/>
      <c r="G299" s="308">
        <f>G253</f>
        <v/>
      </c>
      <c r="H299" s="325" t="inlineStr">
        <is>
          <t>20101-2003</t>
        </is>
      </c>
      <c r="I299" s="325" t="inlineStr">
        <is>
          <t>ปวช.1/2 ชย. (ปกติ)</t>
        </is>
      </c>
      <c r="J299" s="252" t="inlineStr">
        <is>
          <t>15.10-18.10</t>
        </is>
      </c>
      <c r="K299" s="331" t="n"/>
      <c r="L299" s="252" t="n"/>
      <c r="M299" s="252" t="n"/>
      <c r="N299" s="252" t="n"/>
      <c r="O299" s="244">
        <f>M299*N299</f>
        <v/>
      </c>
      <c r="P299" s="252" t="n"/>
      <c r="Q299" s="252" t="n"/>
      <c r="R299" s="252" t="n"/>
      <c r="S299" s="244">
        <f>Q299*R299</f>
        <v/>
      </c>
      <c r="T299" s="27" t="inlineStr">
        <is>
          <t> </t>
        </is>
      </c>
      <c r="U299" s="26" t="inlineStr">
        <is>
          <t>17.10-19.10</t>
        </is>
      </c>
      <c r="V299" s="64" t="n"/>
      <c r="W299" s="27" t="n"/>
      <c r="X299" s="27" t="n"/>
    </row>
    <row r="300" ht="22.2" customHeight="1" s="330">
      <c r="A300" s="4" t="n"/>
      <c r="B300" s="5" t="n"/>
      <c r="E300" s="4" t="n"/>
      <c r="G300" s="252" t="n"/>
      <c r="H300" s="325" t="n"/>
      <c r="I300" s="325" t="n"/>
      <c r="J300" s="252" t="n"/>
      <c r="K300" s="331" t="n"/>
      <c r="L300" s="325" t="n"/>
      <c r="M300" s="325" t="n"/>
      <c r="N300" s="325" t="n"/>
      <c r="O300" s="244">
        <f>M300*N300</f>
        <v/>
      </c>
      <c r="P300" s="325" t="n"/>
      <c r="Q300" s="325" t="n"/>
      <c r="R300" s="325" t="n"/>
      <c r="S300" s="244">
        <f>Q300*R300</f>
        <v/>
      </c>
    </row>
    <row r="301" ht="22.2" customHeight="1" s="330">
      <c r="A301" s="4" t="n"/>
      <c r="E301" s="4" t="n"/>
      <c r="G301" s="252" t="n"/>
      <c r="H301" s="252" t="n"/>
      <c r="I301" s="252" t="n"/>
      <c r="J301" s="252" t="n"/>
      <c r="K301" s="331" t="n"/>
      <c r="L301" s="252" t="n"/>
      <c r="M301" s="252" t="n"/>
      <c r="N301" s="252" t="n"/>
      <c r="O301" s="244">
        <f>M301*N301</f>
        <v/>
      </c>
      <c r="P301" s="252" t="n"/>
      <c r="Q301" s="252" t="n"/>
      <c r="R301" s="252" t="n"/>
      <c r="S301" s="244">
        <f>Q301*R301</f>
        <v/>
      </c>
    </row>
    <row r="302" ht="22.2" customHeight="1" s="330">
      <c r="A302" s="4" t="n"/>
      <c r="E302" s="4" t="n"/>
      <c r="G302" s="276" t="n"/>
      <c r="H302" s="301" t="n"/>
      <c r="I302" s="276" t="n"/>
      <c r="J302" s="276" t="n"/>
      <c r="K302" s="476" t="n"/>
      <c r="L302" s="276" t="n"/>
      <c r="M302" s="276" t="n"/>
      <c r="N302" s="276" t="n"/>
      <c r="O302" s="244">
        <f>M302*N302</f>
        <v/>
      </c>
      <c r="P302" s="276" t="n"/>
      <c r="Q302" s="276" t="n"/>
      <c r="R302" s="276" t="n"/>
      <c r="S302" s="244">
        <f>Q302*R302</f>
        <v/>
      </c>
    </row>
    <row r="303" ht="22.2" customHeight="1" s="330">
      <c r="A303" s="4" t="n"/>
      <c r="E303" s="4" t="n"/>
      <c r="G303" s="62" t="inlineStr">
        <is>
          <t>ศุกร์</t>
        </is>
      </c>
      <c r="H303" s="325" t="inlineStr">
        <is>
          <t>20101-2003</t>
        </is>
      </c>
      <c r="I303" s="325" t="inlineStr">
        <is>
          <t>ปวช.1/4 ชย. (ปกติ)</t>
        </is>
      </c>
      <c r="J303" s="332" t="inlineStr">
        <is>
          <t>08.10-12.10</t>
        </is>
      </c>
      <c r="K303" s="335" t="n"/>
      <c r="L303" s="265" t="n"/>
      <c r="M303" s="252" t="n"/>
      <c r="N303" s="252" t="n"/>
      <c r="O303" s="244">
        <f>M303*N303</f>
        <v/>
      </c>
      <c r="P303" s="332" t="n"/>
      <c r="Q303" s="265" t="n"/>
      <c r="R303" s="332" t="n"/>
      <c r="S303" s="244">
        <f>Q303*R303</f>
        <v/>
      </c>
      <c r="T303" s="24" t="n"/>
      <c r="U303" s="24" t="inlineStr">
        <is>
          <t>สอน ป.ตรี</t>
        </is>
      </c>
      <c r="V303" s="65" t="n"/>
      <c r="W303" s="24" t="n"/>
      <c r="X303" s="24" t="n"/>
    </row>
    <row r="304" ht="22.2" customHeight="1" s="330">
      <c r="A304" s="4" t="n"/>
      <c r="E304" s="4" t="n"/>
      <c r="G304" s="308">
        <f>G258</f>
        <v/>
      </c>
      <c r="H304" s="325" t="inlineStr">
        <is>
          <t>20101-2003</t>
        </is>
      </c>
      <c r="I304" s="325" t="inlineStr">
        <is>
          <t>ปวช.1/4 ชย. (ปกติ)</t>
        </is>
      </c>
      <c r="J304" s="252" t="inlineStr">
        <is>
          <t>13.10-16.10</t>
        </is>
      </c>
      <c r="K304" s="331" t="n"/>
      <c r="L304" s="252" t="n"/>
      <c r="M304" s="252" t="n"/>
      <c r="N304" s="252" t="n"/>
      <c r="O304" s="244">
        <f>M304*N304</f>
        <v/>
      </c>
      <c r="P304" s="252" t="n"/>
      <c r="Q304" s="252" t="n"/>
      <c r="R304" s="252" t="n"/>
      <c r="S304" s="244">
        <f>Q304*R304</f>
        <v/>
      </c>
      <c r="T304" s="24" t="n"/>
      <c r="U304" s="24" t="inlineStr">
        <is>
          <t>17.10-21.10</t>
        </is>
      </c>
      <c r="V304" s="65" t="n"/>
      <c r="W304" s="24" t="n"/>
      <c r="X304" s="24" t="n"/>
    </row>
    <row r="305" ht="22.2" customHeight="1" s="330">
      <c r="A305" s="4" t="n"/>
      <c r="E305" s="4" t="n"/>
      <c r="G305" s="252" t="n"/>
      <c r="H305" s="252" t="n"/>
      <c r="I305" s="252" t="n"/>
      <c r="J305" s="252" t="n"/>
      <c r="K305" s="331" t="n"/>
      <c r="L305" s="252" t="n"/>
      <c r="M305" s="252" t="n"/>
      <c r="N305" s="252" t="n"/>
      <c r="O305" s="244">
        <f>M305*N305</f>
        <v/>
      </c>
      <c r="P305" s="252" t="n"/>
      <c r="Q305" s="252" t="n"/>
      <c r="R305" s="252" t="n"/>
      <c r="S305" s="244">
        <f>Q305*R305</f>
        <v/>
      </c>
    </row>
    <row r="306" ht="22.2" customHeight="1" s="330">
      <c r="A306" s="4" t="n"/>
      <c r="E306" s="4" t="n"/>
      <c r="G306" s="252" t="n"/>
      <c r="H306" s="252" t="n"/>
      <c r="I306" s="252" t="n"/>
      <c r="J306" s="252" t="n"/>
      <c r="K306" s="331" t="n"/>
      <c r="L306" s="252" t="n"/>
      <c r="M306" s="252" t="n"/>
      <c r="N306" s="252" t="n"/>
      <c r="O306" s="244">
        <f>M306*N306</f>
        <v/>
      </c>
      <c r="P306" s="252" t="n"/>
      <c r="Q306" s="252" t="n"/>
      <c r="R306" s="252" t="n"/>
      <c r="S306" s="244">
        <f>Q306*R306</f>
        <v/>
      </c>
    </row>
    <row r="307" ht="22.2" customHeight="1" s="330">
      <c r="A307" s="4" t="n"/>
      <c r="E307" s="4" t="n"/>
      <c r="F307" s="4" t="n"/>
      <c r="G307" s="278" t="n"/>
      <c r="H307" s="252" t="n"/>
      <c r="I307" s="252" t="n"/>
      <c r="J307" s="276" t="n"/>
      <c r="K307" s="476" t="n"/>
      <c r="L307" s="276" t="n"/>
      <c r="M307" s="276" t="n"/>
      <c r="N307" s="276" t="n"/>
      <c r="O307" s="244">
        <f>M307*N307</f>
        <v/>
      </c>
      <c r="P307" s="276" t="n"/>
      <c r="Q307" s="276" t="n"/>
      <c r="R307" s="276" t="n"/>
      <c r="S307" s="244">
        <f>Q307*R307</f>
        <v/>
      </c>
    </row>
    <row r="308" ht="22.2" customHeight="1" s="330">
      <c r="A308" s="4" t="n"/>
      <c r="E308" s="4" t="n"/>
      <c r="F308" s="4" t="n"/>
      <c r="G308" s="17" t="inlineStr">
        <is>
          <t>รวมขั่วโมงที่สอนแยก ภาระงาน/ เกินภาระงาน</t>
        </is>
      </c>
      <c r="H308" s="467" t="n"/>
      <c r="I308" s="467" t="n"/>
      <c r="J308" s="467" t="n"/>
      <c r="K308" s="362" t="n"/>
      <c r="L308" s="17">
        <f>SUM(L283:L307)</f>
        <v/>
      </c>
      <c r="M308" s="17">
        <f>SUM(M283:M307)</f>
        <v/>
      </c>
      <c r="N308" s="17" t="n"/>
      <c r="O308" s="17" t="n"/>
      <c r="P308" s="17">
        <f>SUM(P283:P307)</f>
        <v/>
      </c>
      <c r="Q308" s="17">
        <f>SUM(Q283:Q307)</f>
        <v/>
      </c>
      <c r="R308" s="279" t="n"/>
      <c r="S308" s="17" t="n"/>
    </row>
    <row r="309" ht="22.2" customHeight="1" s="330">
      <c r="A309" s="4" t="n"/>
      <c r="E309" s="4" t="n"/>
      <c r="F309" s="4" t="n"/>
      <c r="G309" s="17" t="inlineStr">
        <is>
          <t>รวมจำนวนชั่วโมงสอนคาบต่อสับดาห์</t>
        </is>
      </c>
      <c r="H309" s="467" t="n"/>
      <c r="I309" s="467" t="n"/>
      <c r="J309" s="467" t="n"/>
      <c r="K309" s="362" t="n"/>
      <c r="L309" s="17">
        <f>L308+M308</f>
        <v/>
      </c>
      <c r="M309" s="362" t="n"/>
      <c r="N309" s="17" t="n"/>
      <c r="O309" s="298" t="n"/>
      <c r="P309" s="17">
        <f>P308+Q308</f>
        <v/>
      </c>
      <c r="Q309" s="362" t="n"/>
      <c r="R309" s="278" t="n"/>
      <c r="S309" s="276" t="n"/>
    </row>
    <row r="310" ht="22.2" customHeight="1" s="330">
      <c r="A310" s="4" t="n"/>
      <c r="E310" s="4" t="n"/>
      <c r="F310" s="4" t="n"/>
      <c r="G310" s="17" t="inlineStr">
        <is>
          <t>จำนวนชั่วโมงสอนตามภาระงานสอน</t>
        </is>
      </c>
      <c r="H310" s="467" t="n"/>
      <c r="I310" s="467" t="n"/>
      <c r="J310" s="467" t="n"/>
      <c r="K310" s="362" t="n"/>
      <c r="L310" s="17" t="n">
        <v>18</v>
      </c>
      <c r="M310" s="362" t="n"/>
      <c r="N310" s="298" t="n"/>
      <c r="O310" s="17" t="n"/>
      <c r="P310" s="17" t="n">
        <v>0</v>
      </c>
      <c r="Q310" s="362" t="n"/>
      <c r="R310" s="249" t="n"/>
      <c r="S310" s="252" t="n"/>
    </row>
    <row r="311" ht="22.2" customHeight="1" s="330" thickBot="1">
      <c r="A311" s="4" t="n"/>
      <c r="E311" s="4" t="n"/>
      <c r="F311" s="15" t="n"/>
      <c r="G311" s="17" t="inlineStr">
        <is>
          <t>จำนวนชั่วโมงบิกเกินภาระงานสอน/ค่าสอน</t>
        </is>
      </c>
      <c r="H311" s="467" t="n"/>
      <c r="I311" s="467" t="n"/>
      <c r="J311" s="467" t="n"/>
      <c r="K311" s="362" t="n"/>
      <c r="L311" s="18" t="n">
        <v>0</v>
      </c>
      <c r="M311" s="18">
        <f>SUM(M283:M307)</f>
        <v/>
      </c>
      <c r="N311" s="18" t="n"/>
      <c r="O311" s="18">
        <f>SUM(O283:O307)</f>
        <v/>
      </c>
      <c r="P311" s="18" t="n">
        <v>0</v>
      </c>
      <c r="Q311" s="18">
        <f>SUM(Q283:Q307)</f>
        <v/>
      </c>
      <c r="R311" s="19" t="n"/>
      <c r="S311" s="18">
        <f>SUM(S283:S307)</f>
        <v/>
      </c>
    </row>
    <row r="312" ht="22.2" customHeight="1" s="330" thickTop="1">
      <c r="A312" s="299" t="inlineStr">
        <is>
          <t>รวมจำนวนหน่วยชั่วโมงที่ขอเบิกค่าสอน ….</t>
        </is>
      </c>
      <c r="B312" s="467" t="n"/>
      <c r="C312" s="467" t="n"/>
      <c r="D312" s="467" t="n"/>
      <c r="E312" s="467" t="n"/>
      <c r="F312" s="467" t="n"/>
      <c r="G312" s="467" t="n"/>
      <c r="H312" s="298">
        <f>M311+Q311</f>
        <v/>
      </c>
      <c r="I312" s="298" t="inlineStr">
        <is>
          <t>….ชั่วโมง</t>
        </is>
      </c>
      <c r="J312" s="298" t="n"/>
      <c r="K312" s="301" t="inlineStr">
        <is>
          <t>ยอดเงินรวม</t>
        </is>
      </c>
      <c r="L312" s="471" t="n"/>
      <c r="M312" s="471" t="n"/>
      <c r="N312" s="301" t="n"/>
      <c r="O312" s="301" t="n"/>
      <c r="P312" s="302">
        <f>S311+O311</f>
        <v/>
      </c>
      <c r="Q312" s="482" t="n"/>
      <c r="R312" s="21" t="n"/>
      <c r="S312" s="20" t="inlineStr">
        <is>
          <t>..บาท</t>
        </is>
      </c>
    </row>
    <row r="313" ht="22.2" customHeight="1" s="330">
      <c r="A313" s="207" t="inlineStr">
        <is>
          <t>ผู้ขอเบิก</t>
        </is>
      </c>
      <c r="B313" s="334" t="n"/>
      <c r="C313" s="334" t="n"/>
      <c r="D313" s="334" t="n"/>
      <c r="E313" s="334" t="n"/>
      <c r="F313" s="334" t="n"/>
      <c r="G313" s="335" t="n"/>
      <c r="H313" s="207" t="inlineStr">
        <is>
          <t>ผู้รับรอง</t>
        </is>
      </c>
      <c r="I313" s="334" t="n"/>
      <c r="J313" s="334" t="n"/>
      <c r="K313" s="334" t="n"/>
      <c r="L313" s="335" t="n"/>
      <c r="M313" s="207" t="inlineStr">
        <is>
          <t>ผู้ตรวจ</t>
        </is>
      </c>
      <c r="N313" s="334" t="n"/>
      <c r="O313" s="334" t="n"/>
      <c r="P313" s="334" t="n"/>
      <c r="Q313" s="334" t="n"/>
      <c r="R313" s="334" t="n"/>
      <c r="S313" s="335" t="n"/>
    </row>
    <row r="314" ht="22.2" customHeight="1" s="330">
      <c r="A314" s="252" t="inlineStr">
        <is>
          <t>ลงชื่อ……………………………………………</t>
        </is>
      </c>
      <c r="G314" s="331" t="n"/>
      <c r="H314" s="252" t="inlineStr">
        <is>
          <t>ลงชื่อ……………………………………………</t>
        </is>
      </c>
      <c r="L314" s="331" t="n"/>
      <c r="M314" s="252" t="inlineStr">
        <is>
          <t>ลงชื่อ……………………………………………</t>
        </is>
      </c>
      <c r="S314" s="331" t="n"/>
    </row>
    <row r="315" ht="22.2" customHeight="1" s="330">
      <c r="A315" s="12" t="inlineStr">
        <is>
          <t>(</t>
        </is>
      </c>
      <c r="B315" s="309">
        <f>B283</f>
        <v/>
      </c>
      <c r="G315" s="310" t="inlineStr">
        <is>
          <t>)</t>
        </is>
      </c>
      <c r="H315" s="309" t="inlineStr">
        <is>
          <t>(</t>
        </is>
      </c>
      <c r="I315" s="314">
        <f>I269</f>
        <v/>
      </c>
      <c r="L315" s="13" t="inlineStr">
        <is>
          <t>)</t>
        </is>
      </c>
      <c r="M315" s="61" t="inlineStr">
        <is>
          <t>(</t>
        </is>
      </c>
      <c r="N315" s="61" t="n"/>
      <c r="O315" s="309" t="inlineStr">
        <is>
          <t>นายพิสุทธิศักดิ์  กล่อมนาค</t>
        </is>
      </c>
      <c r="R315" s="29" t="n"/>
      <c r="S315" s="310" t="inlineStr">
        <is>
          <t>)</t>
        </is>
      </c>
    </row>
    <row r="316" ht="22.2" customHeight="1" s="330">
      <c r="A316" s="483" t="inlineStr">
        <is>
          <t xml:space="preserve">                    ตำแหน่ง  ครู</t>
        </is>
      </c>
      <c r="G316" s="331" t="n"/>
      <c r="H316" s="62" t="inlineStr">
        <is>
          <t>ตำแหน่ง หัวหน้าแผนก</t>
        </is>
      </c>
      <c r="L316" s="331" t="n"/>
      <c r="M316" s="62" t="inlineStr">
        <is>
          <t>ตำแหน่ง   ผู้ตรวจสอบ</t>
        </is>
      </c>
      <c r="S316" s="331" t="n"/>
    </row>
    <row r="317" ht="22.2" customHeight="1" s="330">
      <c r="A317" s="63">
        <f>A41</f>
        <v/>
      </c>
      <c r="B317" s="471" t="n"/>
      <c r="C317" s="471" t="n"/>
      <c r="D317" s="471" t="n"/>
      <c r="E317" s="471" t="n"/>
      <c r="F317" s="471" t="n"/>
      <c r="G317" s="476" t="n"/>
      <c r="H317" s="62">
        <f>A41</f>
        <v/>
      </c>
      <c r="L317" s="331" t="n"/>
      <c r="M317" s="63">
        <f>A41</f>
        <v/>
      </c>
      <c r="N317" s="471" t="n"/>
      <c r="O317" s="471" t="n"/>
      <c r="P317" s="471" t="n"/>
      <c r="Q317" s="471" t="n"/>
      <c r="R317" s="471" t="n"/>
      <c r="S317" s="476" t="n"/>
    </row>
    <row r="318" ht="22.2" customHeight="1" s="330">
      <c r="A318" s="207" t="inlineStr">
        <is>
          <t>ผู้ตรวจ</t>
        </is>
      </c>
      <c r="B318" s="334" t="n"/>
      <c r="C318" s="334" t="n"/>
      <c r="D318" s="334" t="n"/>
      <c r="E318" s="334" t="n"/>
      <c r="F318" s="334" t="n"/>
      <c r="G318" s="334" t="n"/>
      <c r="H318" s="334" t="n"/>
      <c r="I318" s="335" t="n"/>
      <c r="J318" s="207" t="inlineStr">
        <is>
          <t>ผู้เห็นชอบ</t>
        </is>
      </c>
      <c r="K318" s="334" t="n"/>
      <c r="L318" s="334" t="n"/>
      <c r="M318" s="334" t="n"/>
      <c r="N318" s="334" t="n"/>
      <c r="O318" s="334" t="n"/>
      <c r="P318" s="334" t="n"/>
      <c r="Q318" s="334" t="n"/>
      <c r="R318" s="334" t="n"/>
      <c r="S318" s="335" t="n"/>
    </row>
    <row r="319" ht="22.2" customHeight="1" s="330">
      <c r="A319" s="252" t="inlineStr">
        <is>
          <t>ลงชื่อ……………………………………………</t>
        </is>
      </c>
      <c r="I319" s="331" t="n"/>
      <c r="J319" s="252" t="inlineStr">
        <is>
          <t>ลงชื่อ……………………………………………</t>
        </is>
      </c>
      <c r="S319" s="331" t="n"/>
    </row>
    <row r="320" ht="22.2" customHeight="1" s="330">
      <c r="A320" s="12" t="n"/>
      <c r="B320" s="309" t="inlineStr">
        <is>
          <t xml:space="preserve">          (นางศิวรักษ์   บุญประเสริฐ)</t>
        </is>
      </c>
      <c r="I320" s="310" t="n"/>
      <c r="J320" s="29" t="n"/>
      <c r="K320" s="29" t="n"/>
      <c r="L320" s="309" t="inlineStr">
        <is>
          <t>(นายปรีชา  โพธิ์เกิด)</t>
        </is>
      </c>
      <c r="R320" s="29" t="n"/>
      <c r="S320" s="13" t="n"/>
    </row>
    <row r="321" ht="22.2" customHeight="1" s="330">
      <c r="A321" s="62" t="inlineStr">
        <is>
          <t>ตำแหน่งครู  หัวหน้างานพัฒนาหลักสูตร ฯ</t>
        </is>
      </c>
      <c r="I321" s="331" t="n"/>
      <c r="J321" s="62" t="inlineStr">
        <is>
          <t>ตำแหน่ง  รองผู้อำนวยการฝ่ายวิชาการ</t>
        </is>
      </c>
      <c r="S321" s="331" t="n"/>
    </row>
    <row r="322" ht="22.2" customHeight="1" s="330">
      <c r="A322" s="63">
        <f>A41</f>
        <v/>
      </c>
      <c r="B322" s="471" t="n"/>
      <c r="C322" s="471" t="n"/>
      <c r="D322" s="471" t="n"/>
      <c r="E322" s="471" t="n"/>
      <c r="F322" s="471" t="n"/>
      <c r="G322" s="471" t="n"/>
      <c r="H322" s="471" t="n"/>
      <c r="I322" s="476" t="n"/>
      <c r="J322" s="63">
        <f>A41</f>
        <v/>
      </c>
      <c r="K322" s="471" t="n"/>
      <c r="L322" s="471" t="n"/>
      <c r="M322" s="471" t="n"/>
      <c r="N322" s="471" t="n"/>
      <c r="O322" s="471" t="n"/>
      <c r="P322" s="471" t="n"/>
      <c r="Q322" s="471" t="n"/>
      <c r="R322" s="471" t="n"/>
      <c r="S322" s="476" t="n"/>
    </row>
    <row r="323" ht="22.2" customHeight="1" s="330">
      <c r="A32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324" ht="22.2" customHeight="1" s="330">
      <c r="A324" s="254">
        <f>A2</f>
        <v/>
      </c>
    </row>
    <row r="325" ht="22.2" customHeight="1" s="330">
      <c r="A325" s="253" t="inlineStr">
        <is>
          <t xml:space="preserve">    ระหว่างวันที่</t>
        </is>
      </c>
      <c r="D325" s="254">
        <f>D3</f>
        <v/>
      </c>
      <c r="E325" s="254" t="inlineStr">
        <is>
          <t xml:space="preserve">   เดือน  </t>
        </is>
      </c>
      <c r="F325" s="254">
        <f>F3</f>
        <v/>
      </c>
      <c r="H325" s="254">
        <f>H3</f>
        <v/>
      </c>
      <c r="I325" s="254" t="inlineStr">
        <is>
          <t xml:space="preserve">     ถึง วันที่</t>
        </is>
      </c>
      <c r="J325" s="254">
        <f>J3</f>
        <v/>
      </c>
      <c r="K325" s="254" t="inlineStr">
        <is>
          <t xml:space="preserve">   เดือน </t>
        </is>
      </c>
      <c r="L325" s="254">
        <f>L3</f>
        <v/>
      </c>
      <c r="N325" s="254">
        <f>N3</f>
        <v/>
      </c>
      <c r="P325" s="254" t="n"/>
      <c r="R325" s="254" t="n"/>
    </row>
    <row r="326" ht="22.2" customHeight="1" s="330">
      <c r="G326" s="58" t="inlineStr">
        <is>
          <t>ü</t>
        </is>
      </c>
      <c r="H326" s="290" t="inlineStr">
        <is>
          <t>ครู</t>
        </is>
      </c>
      <c r="I326" s="249" t="inlineStr">
        <is>
          <t>หน้าที่พิเศษ</t>
        </is>
      </c>
      <c r="J326" s="290" t="n"/>
    </row>
    <row r="327" ht="22.2" customHeight="1" s="330">
      <c r="A327" s="28" t="inlineStr">
        <is>
          <t>ที่</t>
        </is>
      </c>
      <c r="B327" s="28" t="inlineStr">
        <is>
          <t>ชื่อ-สกุล</t>
        </is>
      </c>
      <c r="C327" s="334" t="n"/>
      <c r="D327" s="335" t="n"/>
      <c r="E327" s="16" t="inlineStr">
        <is>
          <t>ตำแหน่ง</t>
        </is>
      </c>
      <c r="F327" s="17" t="inlineStr">
        <is>
          <t>ระยะเวลาที่สอน</t>
        </is>
      </c>
      <c r="G327" s="362" t="n"/>
      <c r="H327" s="17" t="inlineStr">
        <is>
          <t>รหัสวิชา</t>
        </is>
      </c>
      <c r="I327" s="275" t="inlineStr">
        <is>
          <t>ชั้น,แผนก,ห้อง</t>
        </is>
      </c>
      <c r="J327" s="17" t="inlineStr">
        <is>
          <t>เวลาสอน</t>
        </is>
      </c>
      <c r="K327" s="335" t="n"/>
      <c r="L327" s="17" t="inlineStr">
        <is>
          <t>ปวช.(คาบ)</t>
        </is>
      </c>
      <c r="M327" s="362" t="n"/>
      <c r="N327" s="244" t="inlineStr">
        <is>
          <t>เงิน</t>
        </is>
      </c>
      <c r="O327" s="275" t="inlineStr">
        <is>
          <t>ยอดเงิน</t>
        </is>
      </c>
      <c r="P327" s="473" t="inlineStr">
        <is>
          <t>ปวส.(คาบ)</t>
        </is>
      </c>
      <c r="Q327" s="362" t="n"/>
      <c r="R327" s="244" t="inlineStr">
        <is>
          <t>เงิน</t>
        </is>
      </c>
      <c r="S327" s="275" t="inlineStr">
        <is>
          <t>ยอดเงิน</t>
        </is>
      </c>
    </row>
    <row r="328" ht="22.2" customHeight="1" s="330">
      <c r="A328" s="60" t="n"/>
      <c r="B328" s="9" t="n"/>
      <c r="C328" s="10" t="n"/>
      <c r="D328" s="14" t="n"/>
      <c r="E328" s="11" t="n"/>
      <c r="F328" s="276" t="inlineStr">
        <is>
          <t>ส.</t>
        </is>
      </c>
      <c r="G328" s="276" t="inlineStr">
        <is>
          <t>วดป.</t>
        </is>
      </c>
      <c r="H328" s="474" t="n"/>
      <c r="I328" s="276" t="n"/>
      <c r="J328" s="475" t="n"/>
      <c r="K328" s="476" t="n"/>
      <c r="L328" s="276" t="inlineStr">
        <is>
          <t>ใน</t>
        </is>
      </c>
      <c r="M328" s="276" t="inlineStr">
        <is>
          <t>นอก</t>
        </is>
      </c>
      <c r="N328" s="276" t="inlineStr">
        <is>
          <t>ต่อ ชม.</t>
        </is>
      </c>
      <c r="O328" s="276" t="inlineStr">
        <is>
          <t>(บาท)</t>
        </is>
      </c>
      <c r="P328" s="60" t="inlineStr">
        <is>
          <t>ใน</t>
        </is>
      </c>
      <c r="Q328" s="60" t="inlineStr">
        <is>
          <t>นอก</t>
        </is>
      </c>
      <c r="R328" s="276" t="inlineStr">
        <is>
          <t>ต่อ ชม.</t>
        </is>
      </c>
      <c r="S328" s="276" t="inlineStr">
        <is>
          <t>(บาท)</t>
        </is>
      </c>
    </row>
    <row r="329" ht="22.2" customHeight="1" s="330">
      <c r="A329" s="275" t="n">
        <v>8</v>
      </c>
      <c r="B329" s="477">
        <f>AB10</f>
        <v/>
      </c>
      <c r="C329" s="334" t="n"/>
      <c r="D329" s="335" t="n"/>
      <c r="E329" s="275" t="inlineStr">
        <is>
          <t>ครู</t>
        </is>
      </c>
      <c r="F329" s="6">
        <f>F7</f>
        <v/>
      </c>
      <c r="G329" s="303" t="inlineStr">
        <is>
          <t>จันทร์</t>
        </is>
      </c>
      <c r="H329" s="325" t="n"/>
      <c r="I329" s="325" t="n"/>
      <c r="J329" s="332" t="n"/>
      <c r="K329" s="335" t="n"/>
      <c r="L329" s="265" t="n"/>
      <c r="M329" s="332" t="n"/>
      <c r="N329" s="332" t="n"/>
      <c r="O329" s="244">
        <f>M329*N329</f>
        <v/>
      </c>
      <c r="P329" s="332" t="n"/>
      <c r="Q329" s="265" t="n"/>
      <c r="R329" s="332" t="n"/>
      <c r="S329" s="244">
        <f>Q329*R329</f>
        <v/>
      </c>
    </row>
    <row r="330" ht="22.2" customHeight="1" s="330">
      <c r="A330" s="4" t="n"/>
      <c r="B330" s="478" t="n"/>
      <c r="D330" s="331" t="n"/>
      <c r="E330" s="252" t="n"/>
      <c r="F330" s="249" t="n"/>
      <c r="G330" s="308">
        <f>G284</f>
        <v/>
      </c>
      <c r="H330" s="325" t="n"/>
      <c r="I330" s="325" t="n"/>
      <c r="J330" s="252" t="n"/>
      <c r="K330" s="331" t="n"/>
      <c r="L330" s="252" t="n"/>
      <c r="M330" s="252" t="n"/>
      <c r="N330" s="252" t="n"/>
      <c r="O330" s="244">
        <f>M330*N330</f>
        <v/>
      </c>
      <c r="P330" s="252" t="n"/>
      <c r="Q330" s="252" t="n"/>
      <c r="R330" s="252" t="n"/>
      <c r="S330" s="244">
        <f>Q330*R330</f>
        <v/>
      </c>
    </row>
    <row r="331" ht="22.2" customHeight="1" s="330">
      <c r="A331" s="4" t="n"/>
      <c r="B331" s="5" t="n"/>
      <c r="D331" s="3" t="n"/>
      <c r="E331" s="3" t="n"/>
      <c r="F331" s="249" t="n"/>
      <c r="G331" s="248" t="n"/>
      <c r="H331" s="252" t="n"/>
      <c r="I331" s="252" t="n"/>
      <c r="J331" s="252" t="n"/>
      <c r="K331" s="331" t="n"/>
      <c r="L331" s="252" t="n"/>
      <c r="M331" s="252" t="n"/>
      <c r="N331" s="252" t="n"/>
      <c r="O331" s="244">
        <f>M331*N331</f>
        <v/>
      </c>
      <c r="P331" s="252" t="n"/>
      <c r="Q331" s="252" t="n"/>
      <c r="R331" s="252" t="n"/>
      <c r="S331" s="244">
        <f>Q331*R331</f>
        <v/>
      </c>
    </row>
    <row r="332" ht="22.2" customHeight="1" s="330">
      <c r="A332" s="4" t="n"/>
      <c r="B332" s="5" t="n"/>
      <c r="E332" s="4" t="n"/>
      <c r="F332" s="249" t="n"/>
      <c r="G332" s="248" t="n"/>
      <c r="H332" s="252" t="n"/>
      <c r="I332" s="252" t="n"/>
      <c r="J332" s="252" t="n"/>
      <c r="K332" s="331" t="n"/>
      <c r="L332" s="252" t="n"/>
      <c r="M332" s="252" t="n"/>
      <c r="N332" s="252" t="n"/>
      <c r="O332" s="244">
        <f>M332*N332</f>
        <v/>
      </c>
      <c r="P332" s="252" t="n"/>
      <c r="Q332" s="252" t="n"/>
      <c r="R332" s="252" t="n"/>
      <c r="S332" s="244">
        <f>Q332*R332</f>
        <v/>
      </c>
    </row>
    <row r="333" ht="22.2" customHeight="1" s="330">
      <c r="A333" s="4" t="n"/>
      <c r="E333" s="4" t="n"/>
      <c r="G333" s="311" t="n"/>
      <c r="H333" s="276" t="n"/>
      <c r="I333" s="276" t="n"/>
      <c r="J333" s="276" t="n"/>
      <c r="K333" s="476" t="n"/>
      <c r="L333" s="252" t="n"/>
      <c r="M333" s="252" t="n"/>
      <c r="N333" s="252" t="n"/>
      <c r="O333" s="244">
        <f>M333*N333</f>
        <v/>
      </c>
      <c r="P333" s="252" t="n"/>
      <c r="Q333" s="252" t="n"/>
      <c r="R333" s="252" t="n"/>
      <c r="S333" s="244">
        <f>Q333*R333</f>
        <v/>
      </c>
    </row>
    <row r="334" ht="22.2" customHeight="1" s="330">
      <c r="A334" s="4" t="n"/>
      <c r="D334" s="8" t="inlineStr">
        <is>
          <t> </t>
        </is>
      </c>
      <c r="E334" s="4" t="n"/>
      <c r="G334" s="62" t="inlineStr">
        <is>
          <t>อังคาร</t>
        </is>
      </c>
      <c r="H334" s="325" t="inlineStr">
        <is>
          <t>30101-8001</t>
        </is>
      </c>
      <c r="I334" s="325" t="inlineStr">
        <is>
          <t>ปวส.2/3 สย. (ปกติ)</t>
        </is>
      </c>
      <c r="J334" s="332" t="inlineStr">
        <is>
          <t>08.10-12.10</t>
        </is>
      </c>
      <c r="K334" s="335" t="n"/>
      <c r="L334" s="265" t="n"/>
      <c r="M334" s="332" t="n"/>
      <c r="N334" s="332" t="n"/>
      <c r="O334" s="244">
        <f>M334*N334</f>
        <v/>
      </c>
      <c r="P334" s="332" t="n"/>
      <c r="Q334" s="265" t="n"/>
      <c r="R334" s="332" t="n"/>
      <c r="S334" s="244">
        <f>Q334*R334</f>
        <v/>
      </c>
    </row>
    <row r="335" ht="22.2" customHeight="1" s="330">
      <c r="A335" s="4" t="n"/>
      <c r="E335" s="4" t="n"/>
      <c r="G335" s="308">
        <f>G289</f>
        <v/>
      </c>
      <c r="H335" s="325" t="inlineStr">
        <is>
          <t>30101-0003</t>
        </is>
      </c>
      <c r="I335" s="325" t="inlineStr">
        <is>
          <t>ปวส.1/6 สย. (ม.6)</t>
        </is>
      </c>
      <c r="J335" s="252" t="inlineStr">
        <is>
          <t>14.10-19.10</t>
        </is>
      </c>
      <c r="K335" s="331" t="n"/>
      <c r="L335" s="252" t="n"/>
      <c r="M335" s="252" t="n"/>
      <c r="N335" s="252" t="n"/>
      <c r="O335" s="244">
        <f>M335*N335</f>
        <v/>
      </c>
      <c r="P335" s="252" t="n"/>
      <c r="Q335" s="252" t="n"/>
      <c r="R335" s="252" t="n"/>
      <c r="S335" s="244">
        <f>Q335*R335</f>
        <v/>
      </c>
    </row>
    <row r="336" ht="22.2" customHeight="1" s="330">
      <c r="A336" s="4" t="n"/>
      <c r="B336" s="248" t="n"/>
      <c r="C336" s="249" t="n"/>
      <c r="D336" s="249" t="n"/>
      <c r="E336" s="252" t="n"/>
      <c r="G336" s="252" t="n"/>
      <c r="H336" s="252" t="n"/>
      <c r="I336" s="252" t="n"/>
      <c r="J336" s="252" t="n"/>
      <c r="K336" s="331" t="n"/>
      <c r="L336" s="252" t="n"/>
      <c r="M336" s="252" t="n"/>
      <c r="N336" s="252" t="n"/>
      <c r="O336" s="244">
        <f>M336*N336</f>
        <v/>
      </c>
      <c r="P336" s="252" t="n"/>
      <c r="Q336" s="252" t="n"/>
      <c r="R336" s="252" t="n"/>
      <c r="S336" s="244">
        <f>Q336*R336</f>
        <v/>
      </c>
    </row>
    <row r="337" ht="22.2" customHeight="1" s="330">
      <c r="A337" s="4" t="n"/>
      <c r="B337" s="5" t="n"/>
      <c r="D337" s="3" t="n"/>
      <c r="E337" s="3" t="n"/>
      <c r="G337" s="62" t="n"/>
      <c r="H337" s="252" t="n"/>
      <c r="I337" s="252" t="n"/>
      <c r="J337" s="252" t="n"/>
      <c r="K337" s="331" t="n"/>
      <c r="L337" s="252" t="n"/>
      <c r="M337" s="252" t="n"/>
      <c r="N337" s="252" t="n"/>
      <c r="O337" s="244">
        <f>M337*N337</f>
        <v/>
      </c>
      <c r="P337" s="252" t="n"/>
      <c r="Q337" s="252" t="n"/>
      <c r="R337" s="252" t="n"/>
      <c r="S337" s="244">
        <f>Q337*R337</f>
        <v/>
      </c>
    </row>
    <row r="338" ht="22.2" customHeight="1" s="330">
      <c r="A338" s="4" t="n"/>
      <c r="D338" s="8" t="inlineStr">
        <is>
          <t> </t>
        </is>
      </c>
      <c r="E338" s="4" t="n"/>
      <c r="G338" s="63" t="n"/>
      <c r="H338" s="276" t="n"/>
      <c r="I338" s="276" t="n"/>
      <c r="J338" s="276" t="n"/>
      <c r="K338" s="476" t="n"/>
      <c r="L338" s="252" t="n"/>
      <c r="M338" s="252" t="n"/>
      <c r="N338" s="252" t="n"/>
      <c r="O338" s="244">
        <f>M338*N338</f>
        <v/>
      </c>
      <c r="P338" s="252" t="n"/>
      <c r="Q338" s="252" t="n"/>
      <c r="R338" s="252" t="n"/>
      <c r="S338" s="244">
        <f>Q338*R338</f>
        <v/>
      </c>
    </row>
    <row r="339" ht="22.2" customHeight="1" s="330">
      <c r="A339" s="4" t="n"/>
      <c r="E339" s="4" t="n"/>
      <c r="G339" s="308" t="inlineStr">
        <is>
          <t>พุธ</t>
        </is>
      </c>
      <c r="H339" s="325" t="inlineStr">
        <is>
          <t>30101-0003</t>
        </is>
      </c>
      <c r="I339" s="325" t="inlineStr">
        <is>
          <t>ปวส.1/4 สย. (ม.6)</t>
        </is>
      </c>
      <c r="J339" s="252" t="inlineStr">
        <is>
          <t>13.10-18.10</t>
        </is>
      </c>
      <c r="K339" s="331" t="n"/>
      <c r="L339" s="265" t="n"/>
      <c r="M339" s="332" t="n"/>
      <c r="N339" s="332" t="n"/>
      <c r="O339" s="244">
        <f>M339*N339</f>
        <v/>
      </c>
      <c r="P339" s="332" t="n"/>
      <c r="Q339" s="265" t="n"/>
      <c r="R339" s="332" t="n"/>
      <c r="S339" s="244">
        <f>Q339*R339</f>
        <v/>
      </c>
      <c r="T339" s="7" t="n"/>
      <c r="U339" s="23" t="inlineStr">
        <is>
          <t>เบิก ธุรการ</t>
        </is>
      </c>
      <c r="V339" s="66" t="n"/>
      <c r="W339" s="22" t="n"/>
      <c r="X339" s="22" t="n"/>
    </row>
    <row r="340" ht="22.2" customHeight="1" s="330">
      <c r="A340" s="4" t="n"/>
      <c r="B340" s="248" t="n"/>
      <c r="C340" s="249" t="n"/>
      <c r="D340" s="249" t="n"/>
      <c r="E340" s="252" t="n"/>
      <c r="G340" s="308">
        <f>G294</f>
        <v/>
      </c>
      <c r="H340" s="325" t="n"/>
      <c r="I340" s="325" t="n"/>
      <c r="J340" s="252" t="n"/>
      <c r="K340" s="331" t="n"/>
      <c r="L340" s="252" t="n"/>
      <c r="M340" s="252" t="n"/>
      <c r="N340" s="252" t="n"/>
      <c r="O340" s="244">
        <f>M340*N340</f>
        <v/>
      </c>
      <c r="P340" s="252" t="n"/>
      <c r="Q340" s="252" t="n"/>
      <c r="R340" s="252" t="n"/>
      <c r="S340" s="244">
        <f>Q340*R340</f>
        <v/>
      </c>
      <c r="T340" s="22" t="inlineStr">
        <is>
          <t> </t>
        </is>
      </c>
      <c r="U340" s="23" t="inlineStr">
        <is>
          <t>16.10-19.10</t>
        </is>
      </c>
      <c r="V340" s="66" t="n"/>
      <c r="W340" s="22" t="n"/>
      <c r="X340" s="22" t="n"/>
    </row>
    <row r="341" ht="22.2" customHeight="1" s="330">
      <c r="A341" s="4" t="n"/>
      <c r="B341" s="5" t="n"/>
      <c r="D341" s="3" t="n"/>
      <c r="E341" s="3" t="n"/>
      <c r="G341" s="252" t="n"/>
      <c r="H341" s="325" t="n"/>
      <c r="I341" s="325" t="n"/>
      <c r="J341" s="325" t="n"/>
      <c r="K341" s="331" t="n"/>
      <c r="L341" s="252" t="n"/>
      <c r="M341" s="252" t="n"/>
      <c r="N341" s="252" t="n"/>
      <c r="O341" s="244">
        <f>M341*N341</f>
        <v/>
      </c>
      <c r="P341" s="252" t="n"/>
      <c r="Q341" s="252" t="n"/>
      <c r="R341" s="252" t="n"/>
      <c r="S341" s="244">
        <f>Q341*R341</f>
        <v/>
      </c>
    </row>
    <row r="342" ht="22.2" customHeight="1" s="330">
      <c r="A342" s="4" t="n"/>
      <c r="E342" s="4" t="n"/>
      <c r="G342" s="248" t="n"/>
      <c r="H342" s="248" t="n"/>
      <c r="I342" s="252" t="n"/>
      <c r="J342" s="252" t="n"/>
      <c r="K342" s="331" t="n"/>
      <c r="L342" s="252" t="n"/>
      <c r="M342" s="252" t="n"/>
      <c r="N342" s="252" t="n"/>
      <c r="O342" s="244">
        <f>M342*N342</f>
        <v/>
      </c>
      <c r="P342" s="252" t="n"/>
      <c r="Q342" s="252" t="n"/>
      <c r="R342" s="252" t="n"/>
      <c r="S342" s="244">
        <f>Q342*R342</f>
        <v/>
      </c>
    </row>
    <row r="343" ht="22.2" customHeight="1" s="330">
      <c r="A343" s="4" t="n"/>
      <c r="E343" s="4" t="n"/>
      <c r="G343" s="277" t="n"/>
      <c r="H343" s="277" t="n"/>
      <c r="I343" s="276" t="n"/>
      <c r="J343" s="276" t="n"/>
      <c r="K343" s="476" t="n"/>
      <c r="L343" s="276" t="n"/>
      <c r="M343" s="276" t="n"/>
      <c r="N343" s="276" t="n"/>
      <c r="O343" s="244">
        <f>M343*N343</f>
        <v/>
      </c>
      <c r="P343" s="276" t="n"/>
      <c r="Q343" s="276" t="n"/>
      <c r="R343" s="276" t="n"/>
      <c r="S343" s="244">
        <f>Q343*R343</f>
        <v/>
      </c>
    </row>
    <row r="344" ht="22.2" customHeight="1" s="330">
      <c r="A344" s="4" t="n"/>
      <c r="E344" s="4" t="n"/>
      <c r="G344" s="62" t="inlineStr">
        <is>
          <t>พฤหัส</t>
        </is>
      </c>
      <c r="H344" s="325" t="inlineStr">
        <is>
          <t>30101-2603</t>
        </is>
      </c>
      <c r="I344" s="325" t="inlineStr">
        <is>
          <t>ปวส.1/1 สย. (ปกติ)</t>
        </is>
      </c>
      <c r="J344" s="332" t="inlineStr">
        <is>
          <t>08.10-12.10</t>
        </is>
      </c>
      <c r="K344" s="335" t="n"/>
      <c r="L344" s="252" t="n"/>
      <c r="M344" s="252" t="n"/>
      <c r="N344" s="252" t="n"/>
      <c r="O344" s="244">
        <f>M344*N344</f>
        <v/>
      </c>
      <c r="P344" s="252" t="n"/>
      <c r="Q344" s="275" t="n"/>
      <c r="R344" s="275" t="n"/>
      <c r="S344" s="244">
        <f>Q344*R344</f>
        <v/>
      </c>
    </row>
    <row r="345" ht="22.2" customHeight="1" s="330">
      <c r="A345" s="4" t="n"/>
      <c r="E345" s="4" t="n"/>
      <c r="G345" s="62">
        <f>G299</f>
        <v/>
      </c>
      <c r="H345" s="181" t="inlineStr">
        <is>
          <t>30000-2002</t>
        </is>
      </c>
      <c r="I345" s="325" t="inlineStr">
        <is>
          <t>ปวส.1/1,2 สย. (ปกติ)</t>
        </is>
      </c>
      <c r="J345" s="252" t="inlineStr">
        <is>
          <t>13.10-15.10</t>
        </is>
      </c>
      <c r="K345" s="331" t="n"/>
      <c r="L345" s="252" t="n"/>
      <c r="M345" s="252" t="n"/>
      <c r="N345" s="252" t="n"/>
      <c r="O345" s="244">
        <f>M345*N345</f>
        <v/>
      </c>
      <c r="P345" s="252" t="n"/>
      <c r="Q345" s="252" t="n"/>
      <c r="R345" s="252" t="n"/>
      <c r="S345" s="244">
        <f>Q345*R345</f>
        <v/>
      </c>
    </row>
    <row r="346" ht="22.2" customHeight="1" s="330">
      <c r="A346" s="4" t="n"/>
      <c r="B346" s="5" t="n"/>
      <c r="E346" s="4" t="n"/>
      <c r="G346" s="252" t="n"/>
      <c r="H346" s="325" t="inlineStr">
        <is>
          <t>30101-2603</t>
        </is>
      </c>
      <c r="I346" s="325" t="inlineStr">
        <is>
          <t>ปวส.1/1 สย. (ปกติ)</t>
        </is>
      </c>
      <c r="J346" s="252" t="inlineStr">
        <is>
          <t>15.10-16.10</t>
        </is>
      </c>
      <c r="K346" s="331" t="n"/>
      <c r="L346" s="325" t="n"/>
      <c r="M346" s="325" t="n"/>
      <c r="N346" s="325" t="n"/>
      <c r="O346" s="244">
        <f>M346*N346</f>
        <v/>
      </c>
      <c r="P346" s="325" t="n"/>
      <c r="Q346" s="325" t="n"/>
      <c r="R346" s="325" t="n"/>
      <c r="S346" s="244">
        <f>Q346*R346</f>
        <v/>
      </c>
    </row>
    <row r="347" ht="22.2" customHeight="1" s="330">
      <c r="A347" s="4" t="n"/>
      <c r="E347" s="4" t="n"/>
      <c r="G347" s="252" t="n"/>
      <c r="H347" s="252" t="n"/>
      <c r="I347" s="250" t="n"/>
      <c r="J347" s="252" t="n"/>
      <c r="K347" s="331" t="n"/>
      <c r="L347" s="252" t="n"/>
      <c r="M347" s="252" t="n"/>
      <c r="N347" s="252" t="n"/>
      <c r="O347" s="244">
        <f>M347*N347</f>
        <v/>
      </c>
      <c r="P347" s="252" t="n"/>
      <c r="Q347" s="252" t="n"/>
      <c r="R347" s="252" t="n"/>
      <c r="S347" s="244">
        <f>Q347*R347</f>
        <v/>
      </c>
    </row>
    <row r="348" ht="22.2" customHeight="1" s="330">
      <c r="A348" s="4" t="n"/>
      <c r="E348" s="4" t="n"/>
      <c r="G348" s="276" t="n"/>
      <c r="H348" s="301" t="n"/>
      <c r="I348" s="276" t="n"/>
      <c r="J348" s="276" t="n"/>
      <c r="K348" s="476" t="n"/>
      <c r="L348" s="276" t="n"/>
      <c r="M348" s="276" t="n"/>
      <c r="N348" s="276" t="n"/>
      <c r="O348" s="244">
        <f>M348*N348</f>
        <v/>
      </c>
      <c r="P348" s="276" t="n"/>
      <c r="Q348" s="276" t="n"/>
      <c r="R348" s="276" t="n"/>
      <c r="S348" s="244">
        <f>Q348*R348</f>
        <v/>
      </c>
    </row>
    <row r="349" ht="22.2" customHeight="1" s="330">
      <c r="A349" s="4" t="n"/>
      <c r="E349" s="4" t="n"/>
      <c r="G349" s="62" t="inlineStr">
        <is>
          <t>ศุกร์</t>
        </is>
      </c>
      <c r="H349" s="325" t="inlineStr">
        <is>
          <t>30101-2005</t>
        </is>
      </c>
      <c r="I349" s="325" t="inlineStr">
        <is>
          <t>ปวส.1/2 สย. (ปกติ)</t>
        </is>
      </c>
      <c r="J349" s="332" t="inlineStr">
        <is>
          <t>08.10-12.10</t>
        </is>
      </c>
      <c r="K349" s="335" t="n"/>
      <c r="L349" s="252" t="n"/>
      <c r="M349" s="252" t="n"/>
      <c r="N349" s="252" t="n"/>
      <c r="O349" s="244">
        <f>M349*N349</f>
        <v/>
      </c>
      <c r="P349" s="332" t="n"/>
      <c r="Q349" s="265" t="n"/>
      <c r="R349" s="332" t="n"/>
      <c r="S349" s="244">
        <f>Q349*R349</f>
        <v/>
      </c>
    </row>
    <row r="350" ht="22.2" customHeight="1" s="330">
      <c r="A350" s="4" t="n"/>
      <c r="E350" s="4" t="n"/>
      <c r="G350" s="62">
        <f>G304</f>
        <v/>
      </c>
      <c r="H350" s="325" t="inlineStr">
        <is>
          <t>30101-2005</t>
        </is>
      </c>
      <c r="I350" s="325" t="inlineStr">
        <is>
          <t>ปวส.1/1 สย. (ปกติ)</t>
        </is>
      </c>
      <c r="J350" s="252" t="inlineStr">
        <is>
          <t>13.10-17.10</t>
        </is>
      </c>
      <c r="K350" s="331" t="n"/>
      <c r="L350" s="252" t="n"/>
      <c r="M350" s="252" t="n"/>
      <c r="N350" s="252" t="n"/>
      <c r="O350" s="244">
        <f>M350*N350</f>
        <v/>
      </c>
      <c r="P350" s="252" t="n"/>
      <c r="Q350" s="252" t="n"/>
      <c r="R350" s="252" t="n"/>
      <c r="S350" s="244">
        <f>Q350*R350</f>
        <v/>
      </c>
    </row>
    <row r="351" ht="22.2" customHeight="1" s="330">
      <c r="A351" s="4" t="n"/>
      <c r="E351" s="4" t="n"/>
      <c r="G351" s="252" t="n"/>
      <c r="H351" s="173" t="n"/>
      <c r="I351" s="4" t="n"/>
      <c r="J351" s="252" t="n"/>
      <c r="K351" s="331" t="n"/>
      <c r="L351" s="252" t="n"/>
      <c r="M351" s="252" t="n"/>
      <c r="N351" s="252" t="n"/>
      <c r="O351" s="244">
        <f>M351*N351</f>
        <v/>
      </c>
      <c r="P351" s="252" t="n"/>
      <c r="Q351" s="252" t="n"/>
      <c r="R351" s="252" t="n"/>
      <c r="S351" s="244">
        <f>Q351*R351</f>
        <v/>
      </c>
    </row>
    <row r="352" ht="22.2" customHeight="1" s="330">
      <c r="A352" s="4" t="n"/>
      <c r="E352" s="4" t="n"/>
      <c r="G352" s="252" t="n"/>
      <c r="H352" s="176" t="n"/>
      <c r="I352" s="4" t="n"/>
      <c r="J352" s="252" t="n"/>
      <c r="K352" s="331" t="n"/>
      <c r="L352" s="252" t="n"/>
      <c r="M352" s="252" t="n"/>
      <c r="N352" s="252" t="n"/>
      <c r="O352" s="244">
        <f>M352*N352</f>
        <v/>
      </c>
      <c r="P352" s="252" t="n"/>
      <c r="Q352" s="252" t="n"/>
      <c r="R352" s="252" t="n"/>
      <c r="S352" s="244">
        <f>Q352*R352</f>
        <v/>
      </c>
    </row>
    <row r="353" ht="22.2" customHeight="1" s="330">
      <c r="A353" s="4" t="n"/>
      <c r="E353" s="4" t="n"/>
      <c r="F353" s="4" t="n"/>
      <c r="G353" s="278" t="n"/>
      <c r="H353" s="276" t="n"/>
      <c r="I353" s="278" t="n"/>
      <c r="J353" s="276" t="n"/>
      <c r="K353" s="476" t="n"/>
      <c r="L353" s="276" t="n"/>
      <c r="M353" s="276" t="n"/>
      <c r="N353" s="276" t="n"/>
      <c r="O353" s="244">
        <f>M353*N353</f>
        <v/>
      </c>
      <c r="P353" s="276" t="n"/>
      <c r="Q353" s="276" t="n"/>
      <c r="R353" s="276" t="n"/>
      <c r="S353" s="244">
        <f>Q353*R353</f>
        <v/>
      </c>
    </row>
    <row r="354" ht="22.2" customHeight="1" s="330">
      <c r="A354" s="4" t="n"/>
      <c r="E354" s="4" t="n"/>
      <c r="F354" s="4" t="n"/>
      <c r="G354" s="17" t="inlineStr">
        <is>
          <t>รวมขั่วโมงที่สอนแยก ภาระงาน/ เกินภาระงาน</t>
        </is>
      </c>
      <c r="H354" s="467" t="n"/>
      <c r="I354" s="467" t="n"/>
      <c r="J354" s="467" t="n"/>
      <c r="K354" s="362" t="n"/>
      <c r="L354" s="17">
        <f>SUM(L329:L353)</f>
        <v/>
      </c>
      <c r="M354" s="17">
        <f>SUM(M329:M353)</f>
        <v/>
      </c>
      <c r="N354" s="17" t="n"/>
      <c r="O354" s="17" t="n"/>
      <c r="P354" s="17">
        <f>SUM(P329:P353)</f>
        <v/>
      </c>
      <c r="Q354" s="17">
        <f>SUM(Q329:Q353)</f>
        <v/>
      </c>
      <c r="R354" s="279" t="n"/>
      <c r="S354" s="17" t="n"/>
      <c r="T354" s="25" t="n"/>
      <c r="U354" s="26" t="inlineStr">
        <is>
          <t xml:space="preserve">     PLC</t>
        </is>
      </c>
      <c r="V354" s="64" t="n"/>
      <c r="W354" s="27" t="n"/>
      <c r="X354" s="27" t="n"/>
    </row>
    <row r="355" ht="22.2" customHeight="1" s="330">
      <c r="A355" s="4" t="n"/>
      <c r="E355" s="4" t="n"/>
      <c r="F355" s="4" t="n"/>
      <c r="G355" s="17" t="inlineStr">
        <is>
          <t>รวมจำนวนชั่วโมงสอนคาบต่อสับดาห์</t>
        </is>
      </c>
      <c r="H355" s="467" t="n"/>
      <c r="I355" s="467" t="n"/>
      <c r="J355" s="467" t="n"/>
      <c r="K355" s="362" t="n"/>
      <c r="L355" s="17">
        <f>L354+M354</f>
        <v/>
      </c>
      <c r="M355" s="362" t="n"/>
      <c r="N355" s="298" t="n"/>
      <c r="O355" s="17" t="n"/>
      <c r="P355" s="17">
        <f>P354+Q354</f>
        <v/>
      </c>
      <c r="Q355" s="362" t="n"/>
      <c r="R355" s="278" t="n"/>
      <c r="S355" s="276" t="n"/>
      <c r="T355" s="27" t="inlineStr">
        <is>
          <t> </t>
        </is>
      </c>
      <c r="U355" s="26" t="inlineStr">
        <is>
          <t>17.10-19.10</t>
        </is>
      </c>
      <c r="V355" s="64" t="n"/>
      <c r="W355" s="27" t="n"/>
      <c r="X355" s="27" t="n"/>
    </row>
    <row r="356" ht="22.2" customHeight="1" s="330">
      <c r="A356" s="4" t="n"/>
      <c r="E356" s="4" t="n"/>
      <c r="F356" s="4" t="n"/>
      <c r="G356" s="17" t="inlineStr">
        <is>
          <t>จำนวนชั่วโมงสอนตามภาระงานสอน</t>
        </is>
      </c>
      <c r="H356" s="467" t="n"/>
      <c r="I356" s="467" t="n"/>
      <c r="J356" s="467" t="n"/>
      <c r="K356" s="362" t="n"/>
      <c r="L356" s="17" t="n">
        <v>0</v>
      </c>
      <c r="M356" s="362" t="n"/>
      <c r="N356" s="298" t="n"/>
      <c r="O356" s="17" t="n"/>
      <c r="P356" s="17" t="n">
        <v>15</v>
      </c>
      <c r="Q356" s="362" t="n"/>
      <c r="R356" s="249" t="n"/>
      <c r="S356" s="252" t="n"/>
    </row>
    <row r="357" ht="22.2" customHeight="1" s="330" thickBot="1">
      <c r="A357" s="4" t="n"/>
      <c r="E357" s="4" t="n"/>
      <c r="F357" s="15" t="n"/>
      <c r="G357" s="17" t="inlineStr">
        <is>
          <t>จำนวนชั่วโมงบิกเกินภาระงานสอน/ค่าสอน</t>
        </is>
      </c>
      <c r="H357" s="467" t="n"/>
      <c r="I357" s="467" t="n"/>
      <c r="J357" s="467" t="n"/>
      <c r="K357" s="362" t="n"/>
      <c r="L357" s="18" t="n">
        <v>0</v>
      </c>
      <c r="M357" s="18">
        <f>SUM(M329:M353)</f>
        <v/>
      </c>
      <c r="N357" s="18" t="n"/>
      <c r="O357" s="18">
        <f>SUM(O329:O353)</f>
        <v/>
      </c>
      <c r="P357" s="18" t="n">
        <v>0</v>
      </c>
      <c r="Q357" s="18">
        <f>SUM(Q329:Q353)</f>
        <v/>
      </c>
      <c r="R357" s="19" t="n"/>
      <c r="S357" s="18">
        <f>SUM(S329:S353)</f>
        <v/>
      </c>
    </row>
    <row r="358" ht="22.2" customHeight="1" s="330" thickTop="1">
      <c r="A358" s="299" t="inlineStr">
        <is>
          <t>รวมจำนวนหน่วยชั่วโมงที่ขอเบิกค่าสอน ….</t>
        </is>
      </c>
      <c r="B358" s="467" t="n"/>
      <c r="C358" s="467" t="n"/>
      <c r="D358" s="467" t="n"/>
      <c r="E358" s="467" t="n"/>
      <c r="F358" s="467" t="n"/>
      <c r="G358" s="467" t="n"/>
      <c r="H358" s="298">
        <f>M357+Q357</f>
        <v/>
      </c>
      <c r="I358" s="298" t="inlineStr">
        <is>
          <t>….ชั่วโมง</t>
        </is>
      </c>
      <c r="J358" s="298" t="n"/>
      <c r="K358" s="301" t="inlineStr">
        <is>
          <t>ยอดเงินรวม</t>
        </is>
      </c>
      <c r="L358" s="471" t="n"/>
      <c r="M358" s="471" t="n"/>
      <c r="N358" s="301" t="n"/>
      <c r="O358" s="301" t="n"/>
      <c r="P358" s="302">
        <f>S357+O357</f>
        <v/>
      </c>
      <c r="Q358" s="482" t="n"/>
      <c r="R358" s="21" t="n"/>
      <c r="S358" s="20" t="inlineStr">
        <is>
          <t>..บาท</t>
        </is>
      </c>
    </row>
    <row r="359" ht="22.2" customHeight="1" s="330">
      <c r="A359" s="207" t="inlineStr">
        <is>
          <t>ผู้ขอเบิก</t>
        </is>
      </c>
      <c r="B359" s="334" t="n"/>
      <c r="C359" s="334" t="n"/>
      <c r="D359" s="334" t="n"/>
      <c r="E359" s="334" t="n"/>
      <c r="F359" s="334" t="n"/>
      <c r="G359" s="335" t="n"/>
      <c r="H359" s="207" t="inlineStr">
        <is>
          <t>ผู้รับรอง</t>
        </is>
      </c>
      <c r="I359" s="334" t="n"/>
      <c r="J359" s="334" t="n"/>
      <c r="K359" s="334" t="n"/>
      <c r="L359" s="335" t="n"/>
      <c r="M359" s="207" t="inlineStr">
        <is>
          <t>ผู้ตรวจ</t>
        </is>
      </c>
      <c r="N359" s="334" t="n"/>
      <c r="O359" s="334" t="n"/>
      <c r="P359" s="334" t="n"/>
      <c r="Q359" s="334" t="n"/>
      <c r="R359" s="334" t="n"/>
      <c r="S359" s="335" t="n"/>
    </row>
    <row r="360" ht="22.2" customHeight="1" s="330">
      <c r="A360" s="252" t="inlineStr">
        <is>
          <t>ลงชื่อ……………………………………………</t>
        </is>
      </c>
      <c r="G360" s="331" t="n"/>
      <c r="H360" s="252" t="inlineStr">
        <is>
          <t>ลงชื่อ……………………………………………</t>
        </is>
      </c>
      <c r="L360" s="331" t="n"/>
      <c r="M360" s="252" t="inlineStr">
        <is>
          <t>ลงชื่อ……………………………………………</t>
        </is>
      </c>
      <c r="S360" s="331" t="n"/>
    </row>
    <row r="361" ht="22.2" customHeight="1" s="330">
      <c r="A361" s="12" t="inlineStr">
        <is>
          <t>(</t>
        </is>
      </c>
      <c r="B361" s="309">
        <f>B329</f>
        <v/>
      </c>
      <c r="G361" s="310" t="inlineStr">
        <is>
          <t>)</t>
        </is>
      </c>
      <c r="H361" s="309" t="inlineStr">
        <is>
          <t>(</t>
        </is>
      </c>
      <c r="I361" s="314">
        <f>I315</f>
        <v/>
      </c>
      <c r="L361" s="13" t="inlineStr">
        <is>
          <t>)</t>
        </is>
      </c>
      <c r="M361" s="61" t="inlineStr">
        <is>
          <t>(</t>
        </is>
      </c>
      <c r="N361" s="61" t="n"/>
      <c r="O361" s="309" t="inlineStr">
        <is>
          <t>นายพิสุทธิศักดิ์  กล่อมนาค</t>
        </is>
      </c>
      <c r="R361" s="29" t="n"/>
      <c r="S361" s="310" t="inlineStr">
        <is>
          <t>)</t>
        </is>
      </c>
    </row>
    <row r="362" ht="22.2" customHeight="1" s="330">
      <c r="A362" s="483" t="inlineStr">
        <is>
          <t xml:space="preserve">                    ตำแหน่ง  ครู</t>
        </is>
      </c>
      <c r="G362" s="331" t="n"/>
      <c r="H362" s="62" t="inlineStr">
        <is>
          <t>ตำแหน่ง หัวหน้าแผนก</t>
        </is>
      </c>
      <c r="L362" s="331" t="n"/>
      <c r="M362" s="62" t="inlineStr">
        <is>
          <t>ตำแหน่ง   ผู้ตรวจสอบ</t>
        </is>
      </c>
      <c r="S362" s="331" t="n"/>
    </row>
    <row r="363" ht="22.2" customHeight="1" s="330">
      <c r="A363" s="63">
        <f>A41</f>
        <v/>
      </c>
      <c r="B363" s="471" t="n"/>
      <c r="C363" s="471" t="n"/>
      <c r="D363" s="471" t="n"/>
      <c r="E363" s="471" t="n"/>
      <c r="F363" s="471" t="n"/>
      <c r="G363" s="476" t="n"/>
      <c r="H363" s="62">
        <f>A41</f>
        <v/>
      </c>
      <c r="L363" s="331" t="n"/>
      <c r="M363" s="63">
        <f>A41</f>
        <v/>
      </c>
      <c r="N363" s="471" t="n"/>
      <c r="O363" s="471" t="n"/>
      <c r="P363" s="471" t="n"/>
      <c r="Q363" s="471" t="n"/>
      <c r="R363" s="471" t="n"/>
      <c r="S363" s="476" t="n"/>
    </row>
    <row r="364" ht="22.2" customHeight="1" s="330">
      <c r="A364" s="207" t="inlineStr">
        <is>
          <t>ผู้ตรวจ</t>
        </is>
      </c>
      <c r="B364" s="334" t="n"/>
      <c r="C364" s="334" t="n"/>
      <c r="D364" s="334" t="n"/>
      <c r="E364" s="334" t="n"/>
      <c r="F364" s="334" t="n"/>
      <c r="G364" s="334" t="n"/>
      <c r="H364" s="334" t="n"/>
      <c r="I364" s="335" t="n"/>
      <c r="J364" s="207" t="inlineStr">
        <is>
          <t>ผู้เห็นชอบ</t>
        </is>
      </c>
      <c r="K364" s="334" t="n"/>
      <c r="L364" s="334" t="n"/>
      <c r="M364" s="334" t="n"/>
      <c r="N364" s="334" t="n"/>
      <c r="O364" s="334" t="n"/>
      <c r="P364" s="334" t="n"/>
      <c r="Q364" s="334" t="n"/>
      <c r="R364" s="334" t="n"/>
      <c r="S364" s="335" t="n"/>
    </row>
    <row r="365" ht="22.2" customHeight="1" s="330">
      <c r="A365" s="252" t="inlineStr">
        <is>
          <t>ลงชื่อ……………………………………………</t>
        </is>
      </c>
      <c r="I365" s="331" t="n"/>
      <c r="J365" s="252" t="inlineStr">
        <is>
          <t>ลงชื่อ……………………………………………</t>
        </is>
      </c>
      <c r="S365" s="331" t="n"/>
    </row>
    <row r="366" ht="22.2" customHeight="1" s="330">
      <c r="A366" s="12" t="n"/>
      <c r="B366" s="309" t="inlineStr">
        <is>
          <t xml:space="preserve">          (นางศิวรักษ์   บุญประเสริฐ)</t>
        </is>
      </c>
      <c r="I366" s="310" t="n"/>
      <c r="J366" s="29" t="n"/>
      <c r="K366" s="29" t="n"/>
      <c r="L366" s="309" t="inlineStr">
        <is>
          <t>(นายปรีชา  โพธิ์เกิด)</t>
        </is>
      </c>
      <c r="R366" s="29" t="n"/>
      <c r="S366" s="13" t="n"/>
    </row>
    <row r="367" ht="22.2" customHeight="1" s="330">
      <c r="A367" s="62" t="inlineStr">
        <is>
          <t>ตำแหน่งครู  หัวหน้างานพัฒนาหลักสูตร ฯ</t>
        </is>
      </c>
      <c r="I367" s="331" t="n"/>
      <c r="J367" s="62" t="inlineStr">
        <is>
          <t>ตำแหน่ง  รองผู้อำนวยการฝ่ายวิชาการ</t>
        </is>
      </c>
      <c r="S367" s="331" t="n"/>
    </row>
    <row r="368" ht="22.2" customHeight="1" s="330">
      <c r="A368" s="63">
        <f>A41</f>
        <v/>
      </c>
      <c r="B368" s="471" t="n"/>
      <c r="C368" s="471" t="n"/>
      <c r="D368" s="471" t="n"/>
      <c r="E368" s="471" t="n"/>
      <c r="F368" s="471" t="n"/>
      <c r="G368" s="471" t="n"/>
      <c r="H368" s="471" t="n"/>
      <c r="I368" s="476" t="n"/>
      <c r="J368" s="63">
        <f>A41</f>
        <v/>
      </c>
      <c r="K368" s="471" t="n"/>
      <c r="L368" s="471" t="n"/>
      <c r="M368" s="471" t="n"/>
      <c r="N368" s="471" t="n"/>
      <c r="O368" s="471" t="n"/>
      <c r="P368" s="471" t="n"/>
      <c r="Q368" s="471" t="n"/>
      <c r="R368" s="471" t="n"/>
      <c r="S368" s="476" t="n"/>
    </row>
    <row r="369" ht="22.2" customHeight="1" s="330">
      <c r="A369" s="333" t="inlineStr">
        <is>
          <t>ใบเบิกจ่ายเงินค่าสอนพิเศษและค่าสอนเกินภาระงานสอนในสถานศึกษา</t>
        </is>
      </c>
      <c r="B369" s="334" t="n"/>
      <c r="C369" s="334" t="n"/>
      <c r="D369" s="334" t="n"/>
      <c r="E369" s="334" t="n"/>
      <c r="F369" s="334" t="n"/>
      <c r="G369" s="334" t="n"/>
      <c r="H369" s="334" t="n"/>
      <c r="I369" s="334" t="n"/>
      <c r="J369" s="334" t="n"/>
      <c r="K369" s="334" t="n"/>
      <c r="L369" s="334" t="n"/>
      <c r="M369" s="334" t="n"/>
      <c r="N369" s="334" t="n"/>
      <c r="O369" s="334" t="n"/>
      <c r="P369" s="334" t="n"/>
      <c r="Q369" s="334" t="n"/>
      <c r="R369" s="334" t="n"/>
      <c r="S369" s="334" t="n"/>
    </row>
    <row r="370" ht="22.2" customHeight="1" s="330">
      <c r="A370" s="254">
        <f>A2</f>
        <v/>
      </c>
    </row>
    <row r="371" ht="22.2" customHeight="1" s="330">
      <c r="A371" s="253" t="inlineStr">
        <is>
          <t xml:space="preserve">    ระหว่างวันที่</t>
        </is>
      </c>
      <c r="D371" s="254">
        <f>D3</f>
        <v/>
      </c>
      <c r="E371" s="254" t="inlineStr">
        <is>
          <t xml:space="preserve">   เดือน  </t>
        </is>
      </c>
      <c r="F371" s="254">
        <f>F3</f>
        <v/>
      </c>
      <c r="H371" s="254">
        <f>H3</f>
        <v/>
      </c>
      <c r="I371" s="254" t="inlineStr">
        <is>
          <t xml:space="preserve">     ถึง วันที่</t>
        </is>
      </c>
      <c r="J371" s="254">
        <f>J3</f>
        <v/>
      </c>
      <c r="K371" s="254" t="inlineStr">
        <is>
          <t xml:space="preserve">   เดือน </t>
        </is>
      </c>
      <c r="L371" s="254">
        <f>L3</f>
        <v/>
      </c>
      <c r="N371" s="254">
        <f>N3</f>
        <v/>
      </c>
      <c r="P371" s="254" t="n"/>
      <c r="R371" s="254" t="n"/>
    </row>
    <row r="372" ht="22.2" customHeight="1" s="330">
      <c r="G372" s="58" t="inlineStr">
        <is>
          <t>ü</t>
        </is>
      </c>
      <c r="H372" s="290" t="inlineStr">
        <is>
          <t>ครู</t>
        </is>
      </c>
      <c r="I372" s="249" t="inlineStr">
        <is>
          <t>หน้าที่พิเศษ</t>
        </is>
      </c>
      <c r="J372" s="290" t="inlineStr">
        <is>
          <t>หัวหน้างานทวิภาคี</t>
        </is>
      </c>
    </row>
    <row r="373" ht="22.2" customHeight="1" s="330">
      <c r="A373" s="28" t="inlineStr">
        <is>
          <t>ที่</t>
        </is>
      </c>
      <c r="B373" s="28" t="inlineStr">
        <is>
          <t>ชื่อ-สกุล</t>
        </is>
      </c>
      <c r="C373" s="334" t="n"/>
      <c r="D373" s="335" t="n"/>
      <c r="E373" s="16" t="inlineStr">
        <is>
          <t>ตำแหน่ง</t>
        </is>
      </c>
      <c r="F373" s="17" t="inlineStr">
        <is>
          <t>ระยะเวลาที่สอน</t>
        </is>
      </c>
      <c r="G373" s="362" t="n"/>
      <c r="H373" s="17" t="inlineStr">
        <is>
          <t>รหัสวิชา</t>
        </is>
      </c>
      <c r="I373" s="275" t="inlineStr">
        <is>
          <t>ชั้น,แผนก,ห้อง</t>
        </is>
      </c>
      <c r="J373" s="17" t="inlineStr">
        <is>
          <t>เวลาสอน</t>
        </is>
      </c>
      <c r="K373" s="335" t="n"/>
      <c r="L373" s="17" t="inlineStr">
        <is>
          <t>ปวช.(คาบ)</t>
        </is>
      </c>
      <c r="M373" s="362" t="n"/>
      <c r="N373" s="244" t="inlineStr">
        <is>
          <t>เงิน</t>
        </is>
      </c>
      <c r="O373" s="275" t="inlineStr">
        <is>
          <t>ยอดเงิน</t>
        </is>
      </c>
      <c r="P373" s="473" t="inlineStr">
        <is>
          <t>ปวส.(คาบ)</t>
        </is>
      </c>
      <c r="Q373" s="362" t="n"/>
      <c r="R373" s="244" t="inlineStr">
        <is>
          <t>เงิน</t>
        </is>
      </c>
      <c r="S373" s="275" t="inlineStr">
        <is>
          <t>ยอดเงิน</t>
        </is>
      </c>
    </row>
    <row r="374" ht="22.2" customHeight="1" s="330">
      <c r="A374" s="60" t="n"/>
      <c r="B374" s="9" t="n"/>
      <c r="C374" s="10" t="n"/>
      <c r="D374" s="14" t="n"/>
      <c r="E374" s="11" t="n"/>
      <c r="F374" s="276" t="inlineStr">
        <is>
          <t>ส.</t>
        </is>
      </c>
      <c r="G374" s="276" t="inlineStr">
        <is>
          <t>วดป.</t>
        </is>
      </c>
      <c r="H374" s="474" t="n"/>
      <c r="I374" s="159" t="n"/>
      <c r="J374" s="475" t="n"/>
      <c r="K374" s="476" t="n"/>
      <c r="L374" s="276" t="inlineStr">
        <is>
          <t>ใน</t>
        </is>
      </c>
      <c r="M374" s="276" t="inlineStr">
        <is>
          <t>นอก</t>
        </is>
      </c>
      <c r="N374" s="276" t="inlineStr">
        <is>
          <t>ต่อ ชม.</t>
        </is>
      </c>
      <c r="O374" s="276" t="inlineStr">
        <is>
          <t>(บาท)</t>
        </is>
      </c>
      <c r="P374" s="60" t="inlineStr">
        <is>
          <t>ใน</t>
        </is>
      </c>
      <c r="Q374" s="60" t="inlineStr">
        <is>
          <t>นอก</t>
        </is>
      </c>
      <c r="R374" s="276" t="inlineStr">
        <is>
          <t>ต่อ ชม.</t>
        </is>
      </c>
      <c r="S374" s="276" t="inlineStr">
        <is>
          <t>(บาท)</t>
        </is>
      </c>
    </row>
    <row r="375" ht="22.2" customHeight="1" s="330">
      <c r="A375" s="252" t="n">
        <v>9</v>
      </c>
      <c r="B375" s="478">
        <f>AB11</f>
        <v/>
      </c>
      <c r="D375" s="331" t="n"/>
      <c r="E375" s="252" t="inlineStr">
        <is>
          <t>ครู</t>
        </is>
      </c>
      <c r="F375" s="252">
        <f>F7</f>
        <v/>
      </c>
      <c r="G375" s="303" t="inlineStr">
        <is>
          <t>จันทร์</t>
        </is>
      </c>
      <c r="H375" s="332" t="inlineStr">
        <is>
          <t>20101-2010</t>
        </is>
      </c>
      <c r="I375" s="325" t="inlineStr">
        <is>
          <t>ปวช.2/1 ชย. (ปกติ)</t>
        </is>
      </c>
      <c r="J375" s="332" t="inlineStr">
        <is>
          <t>08.10-12.10</t>
        </is>
      </c>
      <c r="K375" s="335" t="n"/>
      <c r="L375" s="332" t="n"/>
      <c r="M375" s="156" t="n"/>
      <c r="N375" s="335" t="n"/>
      <c r="O375" s="244">
        <f>M375*N375</f>
        <v/>
      </c>
      <c r="P375" s="156" t="n"/>
      <c r="Q375" s="156" t="n"/>
      <c r="R375" s="156" t="n"/>
      <c r="S375" s="244">
        <f>Q375*R375</f>
        <v/>
      </c>
    </row>
    <row r="376" ht="22.2" customHeight="1" s="330">
      <c r="A376" s="4" t="n"/>
      <c r="B376" s="478" t="n"/>
      <c r="D376" s="331" t="n"/>
      <c r="E376" s="252" t="n"/>
      <c r="F376" s="249" t="n"/>
      <c r="G376" s="308">
        <f>G330</f>
        <v/>
      </c>
      <c r="H376" s="325" t="n"/>
      <c r="I376" s="325" t="n"/>
      <c r="J376" s="325" t="n"/>
      <c r="K376" s="331" t="n"/>
      <c r="L376" s="325" t="n"/>
      <c r="M376" s="252" t="n"/>
      <c r="N376" s="250" t="n"/>
      <c r="O376" s="244">
        <f>M376*N376</f>
        <v/>
      </c>
      <c r="P376" s="252" t="n"/>
      <c r="Q376" s="252" t="n"/>
      <c r="R376" s="252" t="n"/>
      <c r="S376" s="244">
        <f>Q376*R376</f>
        <v/>
      </c>
    </row>
    <row r="377" ht="22.2" customHeight="1" s="330">
      <c r="A377" s="4" t="n"/>
      <c r="B377" s="5" t="n"/>
      <c r="D377" s="3" t="n"/>
      <c r="E377" s="3" t="n"/>
      <c r="F377" s="249" t="n"/>
      <c r="G377" s="248" t="n"/>
      <c r="H377" s="252" t="n"/>
      <c r="I377" s="252" t="n"/>
      <c r="J377" s="252" t="n"/>
      <c r="K377" s="331" t="n"/>
      <c r="L377" s="252" t="n"/>
      <c r="M377" s="252" t="n"/>
      <c r="N377" s="252" t="n"/>
      <c r="O377" s="244">
        <f>M377*N377</f>
        <v/>
      </c>
      <c r="P377" s="252" t="n"/>
      <c r="Q377" s="252" t="n"/>
      <c r="R377" s="252" t="n"/>
      <c r="S377" s="244">
        <f>Q377*R377</f>
        <v/>
      </c>
    </row>
    <row r="378" ht="22.2" customHeight="1" s="330">
      <c r="A378" s="4" t="n"/>
      <c r="D378" s="3" t="n"/>
      <c r="E378" s="3" t="n"/>
      <c r="F378" s="249" t="n"/>
      <c r="G378" s="248" t="n"/>
      <c r="H378" s="252" t="n"/>
      <c r="I378" s="252" t="n"/>
      <c r="J378" s="252" t="n"/>
      <c r="K378" s="331" t="n"/>
      <c r="L378" s="252" t="n"/>
      <c r="M378" s="252" t="n"/>
      <c r="N378" s="252" t="n"/>
      <c r="O378" s="244">
        <f>M378*N378</f>
        <v/>
      </c>
      <c r="P378" s="252" t="n"/>
      <c r="Q378" s="252" t="n"/>
      <c r="R378" s="252" t="n"/>
      <c r="S378" s="244">
        <f>Q378*R378</f>
        <v/>
      </c>
    </row>
    <row r="379" ht="22.2" customHeight="1" s="330">
      <c r="A379" s="4" t="n"/>
      <c r="E379" s="4" t="n"/>
      <c r="G379" s="311" t="n"/>
      <c r="H379" s="276" t="n"/>
      <c r="I379" s="276" t="n"/>
      <c r="J379" s="276" t="n"/>
      <c r="K379" s="476" t="n"/>
      <c r="L379" s="276" t="n"/>
      <c r="M379" s="252" t="n"/>
      <c r="N379" s="252" t="n"/>
      <c r="O379" s="244">
        <f>M379*N379</f>
        <v/>
      </c>
      <c r="P379" s="252" t="n"/>
      <c r="Q379" s="252" t="n"/>
      <c r="R379" s="252" t="n"/>
      <c r="S379" s="244">
        <f>Q379*R379</f>
        <v/>
      </c>
    </row>
    <row r="380" ht="22.2" customHeight="1" s="330">
      <c r="A380" s="4" t="n"/>
      <c r="E380" s="4" t="n"/>
      <c r="G380" s="62" t="inlineStr">
        <is>
          <t>อังคาร</t>
        </is>
      </c>
      <c r="H380" s="332" t="inlineStr">
        <is>
          <t>20101-2102</t>
        </is>
      </c>
      <c r="I380" s="332" t="inlineStr">
        <is>
          <t>ปวช.1/5 ชย. (ปกติ)</t>
        </is>
      </c>
      <c r="J380" s="332" t="inlineStr">
        <is>
          <t>08.10-12.10</t>
        </is>
      </c>
      <c r="K380" s="335" t="n"/>
      <c r="L380" s="265" t="n"/>
      <c r="M380" s="332" t="n"/>
      <c r="N380" s="332" t="n"/>
      <c r="O380" s="244">
        <f>M380*N380</f>
        <v/>
      </c>
      <c r="P380" s="332" t="n"/>
      <c r="Q380" s="265" t="n"/>
      <c r="R380" s="332" t="n"/>
      <c r="S380" s="244">
        <f>Q380*R380</f>
        <v/>
      </c>
    </row>
    <row r="381" ht="22.2" customHeight="1" s="330">
      <c r="A381" s="4" t="n"/>
      <c r="E381" s="4" t="n"/>
      <c r="G381" s="308">
        <f>G335</f>
        <v/>
      </c>
      <c r="H381" s="325" t="inlineStr">
        <is>
          <t>20101-2102</t>
        </is>
      </c>
      <c r="I381" s="325" t="inlineStr">
        <is>
          <t>ปวช.1/5 ชย. (ปกติ)</t>
        </is>
      </c>
      <c r="J381" s="325" t="inlineStr">
        <is>
          <t>13.10-16.10</t>
        </is>
      </c>
      <c r="K381" s="331" t="n"/>
      <c r="L381" s="252" t="n"/>
      <c r="M381" s="252" t="n"/>
      <c r="N381" s="252" t="n"/>
      <c r="O381" s="244">
        <f>M381*N381</f>
        <v/>
      </c>
      <c r="P381" s="252" t="n"/>
      <c r="Q381" s="252" t="n"/>
      <c r="R381" s="252" t="n"/>
      <c r="S381" s="244">
        <f>Q381*R381</f>
        <v/>
      </c>
    </row>
    <row r="382" ht="22.2" customHeight="1" s="330">
      <c r="A382" s="4" t="n"/>
      <c r="B382" s="5" t="n"/>
      <c r="D382" s="3" t="n"/>
      <c r="E382" s="3" t="n"/>
      <c r="G382" s="252" t="n"/>
      <c r="H382" s="252" t="n"/>
      <c r="I382" s="252" t="n"/>
      <c r="J382" s="252" t="n"/>
      <c r="K382" s="331" t="n"/>
      <c r="L382" s="252" t="n"/>
      <c r="M382" s="252" t="n"/>
      <c r="N382" s="252" t="n"/>
      <c r="O382" s="244">
        <f>M382*N382</f>
        <v/>
      </c>
      <c r="P382" s="252" t="n"/>
      <c r="Q382" s="252" t="n"/>
      <c r="R382" s="252" t="n"/>
      <c r="S382" s="244">
        <f>Q382*R382</f>
        <v/>
      </c>
    </row>
    <row r="383" ht="22.2" customHeight="1" s="330">
      <c r="A383" s="4" t="n"/>
      <c r="D383" s="3" t="n"/>
      <c r="E383" s="3" t="n"/>
      <c r="G383" s="252" t="n"/>
      <c r="H383" s="249" t="n"/>
      <c r="I383" s="252" t="n"/>
      <c r="J383" s="252" t="n"/>
      <c r="K383" s="331" t="n"/>
      <c r="L383" s="252" t="n"/>
      <c r="M383" s="252" t="n"/>
      <c r="N383" s="252" t="n"/>
      <c r="O383" s="244">
        <f>M383*N383</f>
        <v/>
      </c>
      <c r="P383" s="252" t="n"/>
      <c r="Q383" s="252" t="n"/>
      <c r="R383" s="252" t="n"/>
      <c r="S383" s="244">
        <f>Q383*R383</f>
        <v/>
      </c>
    </row>
    <row r="384" ht="22.2" customHeight="1" s="330">
      <c r="A384" s="4" t="n"/>
      <c r="D384" s="3" t="inlineStr">
        <is>
          <t> </t>
        </is>
      </c>
      <c r="E384" s="3" t="n"/>
      <c r="G384" s="63" t="n"/>
      <c r="H384" s="276" t="n"/>
      <c r="I384" s="276" t="n"/>
      <c r="J384" s="276" t="n"/>
      <c r="K384" s="476" t="n"/>
      <c r="L384" s="252" t="n"/>
      <c r="M384" s="276" t="n"/>
      <c r="N384" s="276" t="n"/>
      <c r="O384" s="244">
        <f>M384*N384</f>
        <v/>
      </c>
      <c r="P384" s="276" t="n"/>
      <c r="Q384" s="276" t="n"/>
      <c r="R384" s="276" t="n"/>
      <c r="S384" s="279">
        <f>Q384*R384</f>
        <v/>
      </c>
    </row>
    <row r="385" ht="22.2" customHeight="1" s="330">
      <c r="A385" s="4" t="n"/>
      <c r="B385" s="170" t="n"/>
      <c r="C385" s="171" t="n"/>
      <c r="D385" s="172" t="n"/>
      <c r="E385" s="173" t="n"/>
      <c r="G385" s="308" t="inlineStr">
        <is>
          <t>พุธ</t>
        </is>
      </c>
      <c r="H385" s="325" t="inlineStr">
        <is>
          <t>20101-2102</t>
        </is>
      </c>
      <c r="I385" s="325" t="inlineStr">
        <is>
          <t>ปวช.1/9 ชย. (ทวิ)</t>
        </is>
      </c>
      <c r="J385" s="332" t="inlineStr">
        <is>
          <t>08.10-12.10</t>
        </is>
      </c>
      <c r="K385" s="335" t="n"/>
      <c r="L385" s="332" t="n"/>
      <c r="M385" s="182" t="n"/>
      <c r="N385" s="179" t="n"/>
      <c r="O385" s="244">
        <f>M385*N385</f>
        <v/>
      </c>
      <c r="P385" s="156" t="n"/>
      <c r="Q385" s="335" t="n"/>
      <c r="R385" s="335" t="n"/>
      <c r="S385" s="279">
        <f>Q385*R385</f>
        <v/>
      </c>
      <c r="T385" s="7" t="n"/>
      <c r="U385" s="23" t="inlineStr">
        <is>
          <t>เบิก ธุรการ</t>
        </is>
      </c>
      <c r="V385" s="66" t="n"/>
      <c r="W385" s="22" t="n"/>
      <c r="X385" s="22" t="n"/>
    </row>
    <row r="386" ht="22.2" customHeight="1" s="330">
      <c r="A386" s="4" t="n"/>
      <c r="B386" s="248" t="n"/>
      <c r="C386" s="249" t="n"/>
      <c r="D386" s="250" t="n"/>
      <c r="E386" s="252" t="n"/>
      <c r="G386" s="308">
        <f>G340</f>
        <v/>
      </c>
      <c r="H386" s="325" t="inlineStr">
        <is>
          <t>20101-2102</t>
        </is>
      </c>
      <c r="I386" s="325" t="inlineStr">
        <is>
          <t>ปวช.1/9 ชย. (ทวิ)</t>
        </is>
      </c>
      <c r="J386" s="325" t="inlineStr">
        <is>
          <t>13.10-16.10</t>
        </is>
      </c>
      <c r="K386" s="331" t="n"/>
      <c r="L386" s="252" t="n"/>
      <c r="M386" s="211" t="n"/>
      <c r="N386" s="180" t="n"/>
      <c r="O386" s="244">
        <f>M386*N386</f>
        <v/>
      </c>
      <c r="P386" s="56" t="n"/>
      <c r="Q386" s="56" t="n"/>
      <c r="R386" s="331" t="n"/>
      <c r="S386" s="279">
        <f>Q386*R386</f>
        <v/>
      </c>
      <c r="T386" s="22" t="inlineStr">
        <is>
          <t> </t>
        </is>
      </c>
      <c r="U386" s="23" t="inlineStr">
        <is>
          <t>16.10-19.10</t>
        </is>
      </c>
      <c r="V386" s="66" t="n"/>
      <c r="W386" s="22" t="n"/>
      <c r="X386" s="22" t="n"/>
    </row>
    <row r="387" ht="22.2" customHeight="1" s="330">
      <c r="A387" s="4" t="n"/>
      <c r="B387" s="5" t="n"/>
      <c r="D387" s="3" t="n"/>
      <c r="E387" s="3" t="n"/>
      <c r="G387" s="252" t="n"/>
      <c r="H387" s="252" t="n"/>
      <c r="I387" s="252" t="n"/>
      <c r="J387" s="252" t="n"/>
      <c r="K387" s="331" t="n"/>
      <c r="L387" s="252" t="n"/>
      <c r="M387" s="252" t="n"/>
      <c r="N387" s="252" t="n"/>
      <c r="O387" s="275">
        <f>M387*N387</f>
        <v/>
      </c>
      <c r="P387" s="252" t="n"/>
      <c r="Q387" s="252" t="n"/>
      <c r="R387" s="252" t="n"/>
      <c r="S387" s="244">
        <f>Q387*R387</f>
        <v/>
      </c>
    </row>
    <row r="388" ht="22.2" customHeight="1" s="330">
      <c r="A388" s="4" t="n"/>
      <c r="D388" s="3" t="n"/>
      <c r="E388" s="3" t="n"/>
      <c r="G388" s="248" t="n"/>
      <c r="H388" s="248" t="n"/>
      <c r="I388" s="252" t="n"/>
      <c r="J388" s="252" t="n"/>
      <c r="K388" s="331" t="n"/>
      <c r="L388" s="252" t="n"/>
      <c r="M388" s="252" t="n"/>
      <c r="N388" s="252" t="n"/>
      <c r="O388" s="275">
        <f>M388*N388</f>
        <v/>
      </c>
      <c r="P388" s="252" t="n"/>
      <c r="Q388" s="252" t="n"/>
      <c r="R388" s="252" t="n"/>
      <c r="S388" s="244">
        <f>Q388*R388</f>
        <v/>
      </c>
    </row>
    <row r="389" ht="22.2" customHeight="1" s="330">
      <c r="A389" s="4" t="n"/>
      <c r="E389" s="4" t="n"/>
      <c r="G389" s="277" t="n"/>
      <c r="H389" s="277" t="n"/>
      <c r="I389" s="276" t="n"/>
      <c r="J389" s="276" t="n"/>
      <c r="K389" s="476" t="n"/>
      <c r="L389" s="276" t="n"/>
      <c r="M389" s="276" t="n"/>
      <c r="N389" s="276" t="n"/>
      <c r="O389" s="244">
        <f>M389*N389</f>
        <v/>
      </c>
      <c r="P389" s="276" t="n"/>
      <c r="Q389" s="276" t="n"/>
      <c r="R389" s="276" t="n"/>
      <c r="S389" s="244">
        <f>Q389*R389</f>
        <v/>
      </c>
    </row>
    <row r="390" ht="22.2" customHeight="1" s="330">
      <c r="A390" s="4" t="n"/>
      <c r="E390" s="4" t="n"/>
      <c r="G390" s="62" t="inlineStr">
        <is>
          <t>พฤหัส</t>
        </is>
      </c>
      <c r="H390" s="325" t="inlineStr">
        <is>
          <t>20000-2004</t>
        </is>
      </c>
      <c r="I390" s="332" t="inlineStr">
        <is>
          <t>ปวช.2/7,8 ชย. (ปกติ)</t>
        </is>
      </c>
      <c r="J390" s="325" t="inlineStr">
        <is>
          <t>13.10-15.10</t>
        </is>
      </c>
      <c r="K390" s="331" t="n"/>
      <c r="L390" s="265" t="n"/>
      <c r="M390" s="332" t="n"/>
      <c r="N390" s="325" t="n"/>
      <c r="O390" s="244">
        <f>M390*N390</f>
        <v/>
      </c>
      <c r="P390" s="252" t="n"/>
      <c r="Q390" s="275" t="n"/>
      <c r="R390" s="275" t="n"/>
      <c r="S390" s="244">
        <f>Q390*R390</f>
        <v/>
      </c>
      <c r="T390" s="24" t="n"/>
      <c r="U390" s="24" t="inlineStr">
        <is>
          <t>สอน ป.ตรี</t>
        </is>
      </c>
      <c r="V390" s="65" t="n"/>
      <c r="W390" s="24" t="n"/>
      <c r="X390" s="24" t="n"/>
    </row>
    <row r="391" ht="22.2" customHeight="1" s="330">
      <c r="A391" s="4" t="n"/>
      <c r="E391" s="4" t="n"/>
      <c r="G391" s="62">
        <f>G345</f>
        <v/>
      </c>
      <c r="H391" s="325" t="n"/>
      <c r="I391" s="325" t="n"/>
      <c r="J391" s="325" t="n"/>
      <c r="K391" s="331" t="n"/>
      <c r="L391" s="325" t="n"/>
      <c r="M391" s="56" t="n"/>
      <c r="N391" s="331" t="n"/>
      <c r="O391" s="244">
        <f>M391*N391</f>
        <v/>
      </c>
      <c r="P391" s="252" t="n"/>
      <c r="Q391" s="252" t="n"/>
      <c r="R391" s="252" t="n"/>
      <c r="S391" s="244">
        <f>Q391*R391</f>
        <v/>
      </c>
      <c r="T391" s="24" t="n"/>
      <c r="U391" s="24" t="inlineStr">
        <is>
          <t>17.10-21.10</t>
        </is>
      </c>
      <c r="V391" s="65" t="n"/>
      <c r="W391" s="24" t="n"/>
      <c r="X391" s="24" t="n"/>
    </row>
    <row r="392" ht="22.2" customHeight="1" s="330">
      <c r="A392" s="4" t="n"/>
      <c r="B392" s="5" t="n"/>
      <c r="E392" s="4" t="n"/>
      <c r="G392" s="252" t="n"/>
      <c r="H392" s="325" t="n"/>
      <c r="I392" s="325" t="n"/>
      <c r="J392" s="325" t="n"/>
      <c r="K392" s="331" t="n"/>
      <c r="L392" s="325" t="n"/>
      <c r="M392" s="325" t="n"/>
      <c r="N392" s="286" t="n"/>
      <c r="O392" s="244">
        <f>M392*N392</f>
        <v/>
      </c>
      <c r="P392" s="325" t="n"/>
      <c r="Q392" s="286" t="n"/>
      <c r="R392" s="325" t="n"/>
      <c r="S392" s="244">
        <f>Q392*R392</f>
        <v/>
      </c>
    </row>
    <row r="393" ht="22.2" customHeight="1" s="330">
      <c r="A393" s="4" t="n"/>
      <c r="E393" s="4" t="n"/>
      <c r="G393" s="252" t="n"/>
      <c r="H393" s="72" t="n"/>
      <c r="I393" s="325" t="n"/>
      <c r="J393" s="325" t="n"/>
      <c r="K393" s="331" t="n"/>
      <c r="L393" s="325" t="n"/>
      <c r="M393" s="325" t="n"/>
      <c r="N393" s="286" t="n"/>
      <c r="O393" s="244">
        <f>M393*N393</f>
        <v/>
      </c>
      <c r="P393" s="325" t="n"/>
      <c r="Q393" s="286" t="n"/>
      <c r="R393" s="325" t="n"/>
      <c r="S393" s="244">
        <f>Q393*R393</f>
        <v/>
      </c>
    </row>
    <row r="394" ht="22.2" customHeight="1" s="330">
      <c r="A394" s="4" t="n"/>
      <c r="E394" s="4" t="n"/>
      <c r="G394" s="276" t="n"/>
      <c r="H394" s="301" t="n"/>
      <c r="I394" s="276" t="n"/>
      <c r="J394" s="276" t="n"/>
      <c r="K394" s="476" t="n"/>
      <c r="L394" s="276" t="n"/>
      <c r="M394" s="276" t="n"/>
      <c r="N394" s="276" t="n"/>
      <c r="O394" s="244">
        <f>M394*N394</f>
        <v/>
      </c>
      <c r="P394" s="276" t="n"/>
      <c r="Q394" s="276" t="n"/>
      <c r="R394" s="276" t="n"/>
      <c r="S394" s="244">
        <f>Q394*R394</f>
        <v/>
      </c>
    </row>
    <row r="395" ht="22.2" customHeight="1" s="330">
      <c r="A395" s="4" t="n"/>
      <c r="E395" s="4" t="n"/>
      <c r="G395" s="62" t="inlineStr">
        <is>
          <t>ศุกร์</t>
        </is>
      </c>
      <c r="H395" s="325" t="inlineStr">
        <is>
          <t>20101-2102</t>
        </is>
      </c>
      <c r="I395" s="325" t="inlineStr">
        <is>
          <t>ปวช.1/7 ชย. (ปกติ)</t>
        </is>
      </c>
      <c r="J395" s="332" t="inlineStr">
        <is>
          <t>08.10-12.10</t>
        </is>
      </c>
      <c r="K395" s="335" t="n"/>
      <c r="L395" s="252" t="n"/>
      <c r="M395" s="252" t="n"/>
      <c r="N395" s="252" t="n"/>
      <c r="O395" s="244">
        <f>M395*N395</f>
        <v/>
      </c>
      <c r="P395" s="332" t="n"/>
      <c r="Q395" s="265" t="n"/>
      <c r="R395" s="332" t="n"/>
      <c r="S395" s="244">
        <f>Q395*R395</f>
        <v/>
      </c>
    </row>
    <row r="396" ht="22.2" customHeight="1" s="330">
      <c r="A396" s="4" t="n"/>
      <c r="E396" s="4" t="n"/>
      <c r="G396" s="62">
        <f>G350</f>
        <v/>
      </c>
      <c r="H396" s="325" t="inlineStr">
        <is>
          <t>20101-2102</t>
        </is>
      </c>
      <c r="I396" s="325" t="inlineStr">
        <is>
          <t>ปวช.1/7 ชย. (ปกติ)</t>
        </is>
      </c>
      <c r="J396" s="325" t="inlineStr">
        <is>
          <t>13.10-16.10</t>
        </is>
      </c>
      <c r="K396" s="331" t="n"/>
      <c r="L396" s="252" t="n"/>
      <c r="M396" s="252" t="n"/>
      <c r="N396" s="252" t="n"/>
      <c r="O396" s="244">
        <f>M396*N396</f>
        <v/>
      </c>
      <c r="P396" s="252" t="n"/>
      <c r="Q396" s="252" t="n"/>
      <c r="R396" s="252" t="n"/>
      <c r="S396" s="244">
        <f>Q396*R396</f>
        <v/>
      </c>
    </row>
    <row r="397" ht="22.2" customHeight="1" s="330">
      <c r="A397" s="4" t="n"/>
      <c r="E397" s="4" t="n"/>
      <c r="G397" s="252" t="n"/>
      <c r="H397" s="252" t="n"/>
      <c r="I397" s="252" t="n"/>
      <c r="J397" s="252" t="n"/>
      <c r="K397" s="331" t="n"/>
      <c r="L397" s="252" t="n"/>
      <c r="M397" s="252" t="n"/>
      <c r="N397" s="252" t="n"/>
      <c r="O397" s="244">
        <f>M397*N397</f>
        <v/>
      </c>
      <c r="P397" s="252" t="n"/>
      <c r="Q397" s="252" t="n"/>
      <c r="R397" s="252" t="n"/>
      <c r="S397" s="244">
        <f>Q397*R397</f>
        <v/>
      </c>
    </row>
    <row r="398" ht="22.2" customHeight="1" s="330">
      <c r="A398" s="4" t="n"/>
      <c r="E398" s="4" t="n"/>
      <c r="F398" s="4" t="n"/>
      <c r="G398" s="250" t="n"/>
      <c r="H398" s="249" t="n"/>
      <c r="I398" s="252" t="n"/>
      <c r="J398" s="252" t="n"/>
      <c r="K398" s="331" t="n"/>
      <c r="L398" s="252" t="n"/>
      <c r="M398" s="252" t="n"/>
      <c r="N398" s="252" t="n"/>
      <c r="O398" s="244">
        <f>M398*N398</f>
        <v/>
      </c>
      <c r="P398" s="252" t="n"/>
      <c r="Q398" s="252" t="n"/>
      <c r="R398" s="252" t="n"/>
      <c r="S398" s="244">
        <f>Q398*R398</f>
        <v/>
      </c>
    </row>
    <row r="399" ht="22.2" customHeight="1" s="330">
      <c r="A399" s="4" t="n"/>
      <c r="E399" s="4" t="n"/>
      <c r="F399" s="4" t="n"/>
      <c r="G399" s="278" t="n"/>
      <c r="H399" s="301" t="n"/>
      <c r="I399" s="276" t="n"/>
      <c r="J399" s="276" t="n"/>
      <c r="K399" s="476" t="n"/>
      <c r="L399" s="276" t="n"/>
      <c r="M399" s="276" t="n"/>
      <c r="N399" s="276" t="n"/>
      <c r="O399" s="244">
        <f>M399*N399</f>
        <v/>
      </c>
      <c r="P399" s="276" t="n"/>
      <c r="Q399" s="276" t="n"/>
      <c r="R399" s="276" t="n"/>
      <c r="S399" s="244">
        <f>Q399*R399</f>
        <v/>
      </c>
    </row>
    <row r="400" ht="22.2" customHeight="1" s="330">
      <c r="A400" s="4" t="n"/>
      <c r="E400" s="4" t="n"/>
      <c r="F400" s="4" t="n"/>
      <c r="G400" s="17" t="inlineStr">
        <is>
          <t>รวมขั่วโมงที่สอนแยก ภาระงาน/ เกินภาระงาน</t>
        </is>
      </c>
      <c r="H400" s="467" t="n"/>
      <c r="I400" s="467" t="n"/>
      <c r="J400" s="467" t="n"/>
      <c r="K400" s="362" t="n"/>
      <c r="L400" s="17">
        <f>SUM(L375:L399)</f>
        <v/>
      </c>
      <c r="M400" s="17">
        <f>SUM(M375:M399)</f>
        <v/>
      </c>
      <c r="N400" s="17" t="n"/>
      <c r="O400" s="17" t="n"/>
      <c r="P400" s="17">
        <f>SUM(P375:P399)</f>
        <v/>
      </c>
      <c r="Q400" s="17">
        <f>SUM(Q375:Q399)</f>
        <v/>
      </c>
      <c r="R400" s="279" t="n"/>
      <c r="S400" s="17" t="n"/>
      <c r="T400" s="25" t="n"/>
      <c r="U400" s="26" t="inlineStr">
        <is>
          <t xml:space="preserve">     PLC</t>
        </is>
      </c>
      <c r="V400" s="64" t="n"/>
      <c r="W400" s="27" t="n"/>
      <c r="X400" s="27" t="n"/>
    </row>
    <row r="401" ht="22.2" customHeight="1" s="330">
      <c r="A401" s="4" t="n"/>
      <c r="E401" s="4" t="n"/>
      <c r="F401" s="4" t="n"/>
      <c r="G401" s="17" t="inlineStr">
        <is>
          <t>รวมจำนวนชั่วโมงสอนคาบต่อสับดาห์</t>
        </is>
      </c>
      <c r="H401" s="467" t="n"/>
      <c r="I401" s="467" t="n"/>
      <c r="J401" s="467" t="n"/>
      <c r="K401" s="362" t="n"/>
      <c r="L401" s="17">
        <f>L400+M400</f>
        <v/>
      </c>
      <c r="M401" s="362" t="n"/>
      <c r="N401" s="298" t="n"/>
      <c r="O401" s="17" t="n"/>
      <c r="P401" s="17">
        <f>P400+Q400</f>
        <v/>
      </c>
      <c r="Q401" s="362" t="n"/>
      <c r="R401" s="278" t="n"/>
      <c r="S401" s="276" t="n"/>
      <c r="T401" s="27" t="inlineStr">
        <is>
          <t> </t>
        </is>
      </c>
      <c r="U401" s="26" t="inlineStr">
        <is>
          <t>17.10-19.10</t>
        </is>
      </c>
      <c r="V401" s="64" t="n"/>
      <c r="W401" s="27" t="n"/>
      <c r="X401" s="27" t="n"/>
    </row>
    <row r="402" ht="22.2" customHeight="1" s="330">
      <c r="A402" s="4" t="n"/>
      <c r="E402" s="4" t="n"/>
      <c r="F402" s="4" t="n"/>
      <c r="G402" s="17" t="inlineStr">
        <is>
          <t>จำนวนชั่วโมงสอนตามภาระงานสอน</t>
        </is>
      </c>
      <c r="H402" s="467" t="n"/>
      <c r="I402" s="467" t="n"/>
      <c r="J402" s="467" t="n"/>
      <c r="K402" s="362" t="n"/>
      <c r="L402" s="153" t="inlineStr">
        <is>
          <t>12</t>
        </is>
      </c>
      <c r="M402" s="362" t="n"/>
      <c r="N402" s="17" t="n"/>
      <c r="O402" s="298" t="n"/>
      <c r="P402" s="153" t="inlineStr">
        <is>
          <t>0</t>
        </is>
      </c>
      <c r="Q402" s="362" t="n"/>
      <c r="R402" s="249" t="n"/>
      <c r="S402" s="252" t="n"/>
    </row>
    <row r="403" ht="22.2" customHeight="1" s="330" thickBot="1">
      <c r="A403" s="4" t="n"/>
      <c r="E403" s="4" t="n"/>
      <c r="F403" s="15" t="n"/>
      <c r="G403" s="17" t="inlineStr">
        <is>
          <t>จำนวนชั่วโมงบิกเกินภาระงานสอน/ค่าสอน</t>
        </is>
      </c>
      <c r="H403" s="467" t="n"/>
      <c r="I403" s="467" t="n"/>
      <c r="J403" s="467" t="n"/>
      <c r="K403" s="362" t="n"/>
      <c r="L403" s="18" t="n">
        <v>0</v>
      </c>
      <c r="M403" s="18">
        <f>SUM(M375:M399)</f>
        <v/>
      </c>
      <c r="N403" s="18" t="n"/>
      <c r="O403" s="18">
        <f>SUM(O375:O399)</f>
        <v/>
      </c>
      <c r="P403" s="18" t="n">
        <v>0</v>
      </c>
      <c r="Q403" s="18">
        <f>SUM(Q375:Q399)</f>
        <v/>
      </c>
      <c r="R403" s="19" t="n"/>
      <c r="S403" s="18">
        <f>SUM(S375:S399)</f>
        <v/>
      </c>
    </row>
    <row r="404" ht="22.2" customHeight="1" s="330" thickTop="1">
      <c r="A404" s="299" t="inlineStr">
        <is>
          <t>รวมจำนวนหน่วยชั่วโมงที่ขอเบิกค่าสอน ….</t>
        </is>
      </c>
      <c r="B404" s="467" t="n"/>
      <c r="C404" s="467" t="n"/>
      <c r="D404" s="467" t="n"/>
      <c r="E404" s="467" t="n"/>
      <c r="F404" s="467" t="n"/>
      <c r="G404" s="467" t="n"/>
      <c r="H404" s="298">
        <f>M403+Q403</f>
        <v/>
      </c>
      <c r="I404" s="298" t="inlineStr">
        <is>
          <t>….ชั่วโมง</t>
        </is>
      </c>
      <c r="J404" s="298" t="n"/>
      <c r="K404" s="301" t="inlineStr">
        <is>
          <t>ยอดเงินรวม</t>
        </is>
      </c>
      <c r="L404" s="471" t="n"/>
      <c r="M404" s="471" t="n"/>
      <c r="N404" s="301" t="n"/>
      <c r="O404" s="301" t="n"/>
      <c r="P404" s="302">
        <f>S403+O403</f>
        <v/>
      </c>
      <c r="Q404" s="482" t="n"/>
      <c r="R404" s="21" t="n"/>
      <c r="S404" s="20" t="inlineStr">
        <is>
          <t>..บาท</t>
        </is>
      </c>
    </row>
    <row r="405" ht="22.2" customHeight="1" s="330">
      <c r="A405" s="207" t="inlineStr">
        <is>
          <t>ผู้ขอเบิก</t>
        </is>
      </c>
      <c r="B405" s="334" t="n"/>
      <c r="C405" s="334" t="n"/>
      <c r="D405" s="334" t="n"/>
      <c r="E405" s="334" t="n"/>
      <c r="F405" s="334" t="n"/>
      <c r="G405" s="335" t="n"/>
      <c r="H405" s="207" t="inlineStr">
        <is>
          <t>ผู้รับรอง</t>
        </is>
      </c>
      <c r="I405" s="334" t="n"/>
      <c r="J405" s="334" t="n"/>
      <c r="K405" s="334" t="n"/>
      <c r="L405" s="335" t="n"/>
      <c r="M405" s="207" t="inlineStr">
        <is>
          <t>ผู้ตรวจ</t>
        </is>
      </c>
      <c r="N405" s="334" t="n"/>
      <c r="O405" s="334" t="n"/>
      <c r="P405" s="334" t="n"/>
      <c r="Q405" s="334" t="n"/>
      <c r="R405" s="334" t="n"/>
      <c r="S405" s="335" t="n"/>
    </row>
    <row r="406" ht="22.2" customHeight="1" s="330">
      <c r="A406" s="252" t="inlineStr">
        <is>
          <t>ลงชื่อ……………………………………………</t>
        </is>
      </c>
      <c r="G406" s="331" t="n"/>
      <c r="H406" s="252" t="inlineStr">
        <is>
          <t>ลงชื่อ……………………………………………</t>
        </is>
      </c>
      <c r="L406" s="331" t="n"/>
      <c r="M406" s="252" t="inlineStr">
        <is>
          <t>ลงชื่อ……………………………………………</t>
        </is>
      </c>
      <c r="S406" s="331" t="n"/>
    </row>
    <row r="407" ht="22.2" customHeight="1" s="330">
      <c r="A407" s="12" t="inlineStr">
        <is>
          <t>(</t>
        </is>
      </c>
      <c r="B407" s="309">
        <f>B375</f>
        <v/>
      </c>
      <c r="G407" s="310" t="inlineStr">
        <is>
          <t>)</t>
        </is>
      </c>
      <c r="H407" s="309" t="inlineStr">
        <is>
          <t>(</t>
        </is>
      </c>
      <c r="I407" s="314">
        <f>I361</f>
        <v/>
      </c>
      <c r="L407" s="13" t="inlineStr">
        <is>
          <t>)</t>
        </is>
      </c>
      <c r="M407" s="61" t="inlineStr">
        <is>
          <t>(</t>
        </is>
      </c>
      <c r="N407" s="61" t="n"/>
      <c r="O407" s="309" t="inlineStr">
        <is>
          <t>นายพิสุทธิศักดิ์  กล่อมนาค</t>
        </is>
      </c>
      <c r="R407" s="29" t="n"/>
      <c r="S407" s="310" t="inlineStr">
        <is>
          <t>)</t>
        </is>
      </c>
    </row>
    <row r="408" ht="22.2" customHeight="1" s="330">
      <c r="A408" s="483" t="inlineStr">
        <is>
          <t xml:space="preserve">                 ตำแหน่ง  ครู</t>
        </is>
      </c>
      <c r="G408" s="331" t="n"/>
      <c r="H408" s="62" t="inlineStr">
        <is>
          <t>ตำแหน่ง หัวหน้าแผนก</t>
        </is>
      </c>
      <c r="L408" s="331" t="n"/>
      <c r="M408" s="62" t="inlineStr">
        <is>
          <t>ตำแหน่ง   ผู้ตรวจสอบ</t>
        </is>
      </c>
      <c r="S408" s="331" t="n"/>
    </row>
    <row r="409" ht="22.2" customHeight="1" s="330">
      <c r="A409" s="63">
        <f>A41</f>
        <v/>
      </c>
      <c r="B409" s="471" t="n"/>
      <c r="C409" s="471" t="n"/>
      <c r="D409" s="471" t="n"/>
      <c r="E409" s="471" t="n"/>
      <c r="F409" s="471" t="n"/>
      <c r="G409" s="476" t="n"/>
      <c r="H409" s="62">
        <f>A41</f>
        <v/>
      </c>
      <c r="L409" s="331" t="n"/>
      <c r="M409" s="63">
        <f>A41</f>
        <v/>
      </c>
      <c r="N409" s="471" t="n"/>
      <c r="O409" s="471" t="n"/>
      <c r="P409" s="471" t="n"/>
      <c r="Q409" s="471" t="n"/>
      <c r="R409" s="471" t="n"/>
      <c r="S409" s="476" t="n"/>
    </row>
    <row r="410" ht="22.2" customHeight="1" s="330">
      <c r="A410" s="207" t="inlineStr">
        <is>
          <t>ผู้ตรวจ</t>
        </is>
      </c>
      <c r="B410" s="334" t="n"/>
      <c r="C410" s="334" t="n"/>
      <c r="D410" s="334" t="n"/>
      <c r="E410" s="334" t="n"/>
      <c r="F410" s="334" t="n"/>
      <c r="G410" s="334" t="n"/>
      <c r="H410" s="334" t="n"/>
      <c r="I410" s="335" t="n"/>
      <c r="J410" s="207" t="inlineStr">
        <is>
          <t>ผู้เห็นชอบ</t>
        </is>
      </c>
      <c r="K410" s="334" t="n"/>
      <c r="L410" s="334" t="n"/>
      <c r="M410" s="334" t="n"/>
      <c r="N410" s="334" t="n"/>
      <c r="O410" s="334" t="n"/>
      <c r="P410" s="334" t="n"/>
      <c r="Q410" s="334" t="n"/>
      <c r="R410" s="334" t="n"/>
      <c r="S410" s="335" t="n"/>
    </row>
    <row r="411" ht="22.2" customHeight="1" s="330">
      <c r="A411" s="252" t="inlineStr">
        <is>
          <t>ลงชื่อ……………………………………………</t>
        </is>
      </c>
      <c r="I411" s="331" t="n"/>
      <c r="J411" s="252" t="inlineStr">
        <is>
          <t>ลงชื่อ……………………………………………</t>
        </is>
      </c>
      <c r="S411" s="331" t="n"/>
    </row>
    <row r="412" ht="22.2" customHeight="1" s="330">
      <c r="A412" s="12" t="n"/>
      <c r="B412" s="309" t="inlineStr">
        <is>
          <t xml:space="preserve">          (นางศิวรักษ์   บุญประเสริฐ)</t>
        </is>
      </c>
      <c r="I412" s="310" t="n"/>
      <c r="J412" s="29" t="n"/>
      <c r="K412" s="29" t="n"/>
      <c r="L412" s="309" t="inlineStr">
        <is>
          <t>(นายปรีชา  โพธิ์เกิด)</t>
        </is>
      </c>
      <c r="R412" s="29" t="n"/>
      <c r="S412" s="13" t="n"/>
    </row>
    <row r="413" ht="22.2" customHeight="1" s="330">
      <c r="A413" s="62" t="inlineStr">
        <is>
          <t>ตำแหน่งครู  หัวหน้างานพัฒนาหลักสูตร ฯ</t>
        </is>
      </c>
      <c r="I413" s="331" t="n"/>
      <c r="J413" s="62" t="inlineStr">
        <is>
          <t>ตำแหน่ง  รองผู้อำนวยการฝ่ายวิชาการ</t>
        </is>
      </c>
      <c r="S413" s="331" t="n"/>
    </row>
    <row r="414" ht="22.2" customHeight="1" s="330">
      <c r="A414" s="63">
        <f>A41</f>
        <v/>
      </c>
      <c r="B414" s="471" t="n"/>
      <c r="C414" s="471" t="n"/>
      <c r="D414" s="471" t="n"/>
      <c r="E414" s="471" t="n"/>
      <c r="F414" s="471" t="n"/>
      <c r="G414" s="471" t="n"/>
      <c r="H414" s="471" t="n"/>
      <c r="I414" s="476" t="n"/>
      <c r="J414" s="63">
        <f>A41</f>
        <v/>
      </c>
      <c r="K414" s="471" t="n"/>
      <c r="L414" s="471" t="n"/>
      <c r="M414" s="471" t="n"/>
      <c r="N414" s="471" t="n"/>
      <c r="O414" s="471" t="n"/>
      <c r="P414" s="471" t="n"/>
      <c r="Q414" s="471" t="n"/>
      <c r="R414" s="471" t="n"/>
      <c r="S414" s="476" t="n"/>
    </row>
    <row r="415" ht="22.2" customHeight="1" s="330">
      <c r="A41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416" ht="22.2" customHeight="1" s="330">
      <c r="A416" s="254">
        <f>A2</f>
        <v/>
      </c>
    </row>
    <row r="417" ht="22.2" customHeight="1" s="330">
      <c r="A417" s="253" t="inlineStr">
        <is>
          <t xml:space="preserve">    ระหว่างวันที่</t>
        </is>
      </c>
      <c r="D417" s="254">
        <f>D3</f>
        <v/>
      </c>
      <c r="E417" s="254" t="inlineStr">
        <is>
          <t xml:space="preserve">   เดือน  </t>
        </is>
      </c>
      <c r="F417" s="254">
        <f>F3</f>
        <v/>
      </c>
      <c r="H417" s="254">
        <f>H3</f>
        <v/>
      </c>
      <c r="I417" s="254" t="inlineStr">
        <is>
          <t xml:space="preserve">     ถึง วันที่</t>
        </is>
      </c>
      <c r="J417" s="254">
        <f>J3</f>
        <v/>
      </c>
      <c r="K417" s="254" t="inlineStr">
        <is>
          <t xml:space="preserve">   เดือน </t>
        </is>
      </c>
      <c r="L417" s="254">
        <f>L3</f>
        <v/>
      </c>
      <c r="N417" s="254">
        <f>N3</f>
        <v/>
      </c>
      <c r="P417" s="254" t="n"/>
      <c r="R417" s="254" t="n"/>
    </row>
    <row r="418" ht="22.2" customHeight="1" s="330">
      <c r="G418" s="58" t="inlineStr">
        <is>
          <t>ü</t>
        </is>
      </c>
      <c r="H418" s="290" t="inlineStr">
        <is>
          <t>ครู</t>
        </is>
      </c>
      <c r="I418" s="249" t="inlineStr">
        <is>
          <t>หน้าที่พิเศษ</t>
        </is>
      </c>
      <c r="J418" s="8" t="inlineStr">
        <is>
          <t>หัวหน้างานความร่วมมือ</t>
        </is>
      </c>
    </row>
    <row r="419" ht="22.2" customHeight="1" s="330">
      <c r="A419" s="28" t="inlineStr">
        <is>
          <t>ที่</t>
        </is>
      </c>
      <c r="B419" s="28" t="inlineStr">
        <is>
          <t>ชื่อ-สกุล</t>
        </is>
      </c>
      <c r="C419" s="334" t="n"/>
      <c r="D419" s="335" t="n"/>
      <c r="E419" s="16" t="inlineStr">
        <is>
          <t>ตำแหน่ง</t>
        </is>
      </c>
      <c r="F419" s="17" t="inlineStr">
        <is>
          <t>ระยะเวลาที่สอน</t>
        </is>
      </c>
      <c r="G419" s="362" t="n"/>
      <c r="H419" s="17" t="inlineStr">
        <is>
          <t>รหัสวิชา</t>
        </is>
      </c>
      <c r="I419" s="275" t="inlineStr">
        <is>
          <t>ชั้น,แผนก,ห้อง</t>
        </is>
      </c>
      <c r="J419" s="17" t="inlineStr">
        <is>
          <t>เวลาสอน</t>
        </is>
      </c>
      <c r="K419" s="335" t="n"/>
      <c r="L419" s="17" t="inlineStr">
        <is>
          <t>ปวช.(คาบ)</t>
        </is>
      </c>
      <c r="M419" s="362" t="n"/>
      <c r="N419" s="244" t="inlineStr">
        <is>
          <t>เงิน</t>
        </is>
      </c>
      <c r="O419" s="275" t="inlineStr">
        <is>
          <t>ยอดเงิน</t>
        </is>
      </c>
      <c r="P419" s="473" t="inlineStr">
        <is>
          <t>ปวส.(คาบ)</t>
        </is>
      </c>
      <c r="Q419" s="362" t="n"/>
      <c r="R419" s="244" t="inlineStr">
        <is>
          <t>เงิน</t>
        </is>
      </c>
      <c r="S419" s="275" t="inlineStr">
        <is>
          <t>ยอดเงิน</t>
        </is>
      </c>
    </row>
    <row r="420" ht="22.2" customHeight="1" s="330">
      <c r="A420" s="60" t="n"/>
      <c r="B420" s="9" t="n"/>
      <c r="C420" s="10" t="n"/>
      <c r="D420" s="14" t="n"/>
      <c r="E420" s="11" t="n"/>
      <c r="F420" s="276" t="inlineStr">
        <is>
          <t>ส.</t>
        </is>
      </c>
      <c r="G420" s="276" t="inlineStr">
        <is>
          <t>วดป.</t>
        </is>
      </c>
      <c r="H420" s="474" t="n"/>
      <c r="I420" s="276" t="n"/>
      <c r="J420" s="475" t="n"/>
      <c r="K420" s="476" t="n"/>
      <c r="L420" s="276" t="inlineStr">
        <is>
          <t>ใน</t>
        </is>
      </c>
      <c r="M420" s="276" t="inlineStr">
        <is>
          <t>นอก</t>
        </is>
      </c>
      <c r="N420" s="276" t="inlineStr">
        <is>
          <t>ต่อ ชม.</t>
        </is>
      </c>
      <c r="O420" s="276" t="inlineStr">
        <is>
          <t>(บาท)</t>
        </is>
      </c>
      <c r="P420" s="60" t="inlineStr">
        <is>
          <t>ใน</t>
        </is>
      </c>
      <c r="Q420" s="60" t="inlineStr">
        <is>
          <t>นอก</t>
        </is>
      </c>
      <c r="R420" s="276" t="inlineStr">
        <is>
          <t>ต่อ ชม.</t>
        </is>
      </c>
      <c r="S420" s="276" t="inlineStr">
        <is>
          <t>(บาท)</t>
        </is>
      </c>
    </row>
    <row r="421" ht="22.2" customHeight="1" s="330">
      <c r="A421" s="275" t="n">
        <v>10</v>
      </c>
      <c r="B421" s="477">
        <f>AB12</f>
        <v/>
      </c>
      <c r="C421" s="334" t="n"/>
      <c r="D421" s="335" t="n"/>
      <c r="E421" s="275" t="inlineStr">
        <is>
          <t>ครู</t>
        </is>
      </c>
      <c r="F421" s="6">
        <f>F7</f>
        <v/>
      </c>
      <c r="G421" s="303" t="inlineStr">
        <is>
          <t>จันทร์</t>
        </is>
      </c>
      <c r="H421" s="325" t="inlineStr">
        <is>
          <t>20101-2105</t>
        </is>
      </c>
      <c r="I421" s="325" t="inlineStr">
        <is>
          <t>ปวช.2/2 ชย. (ปกติ)</t>
        </is>
      </c>
      <c r="J421" s="332" t="inlineStr">
        <is>
          <t>08.10-12.10</t>
        </is>
      </c>
      <c r="K421" s="335" t="n"/>
      <c r="L421" s="265" t="n"/>
      <c r="M421" s="332" t="n"/>
      <c r="N421" s="332" t="n"/>
      <c r="O421" s="244">
        <f>M421*N421</f>
        <v/>
      </c>
      <c r="P421" s="332" t="n"/>
      <c r="Q421" s="265" t="n"/>
      <c r="R421" s="332" t="n"/>
      <c r="S421" s="244">
        <f>Q421*R421</f>
        <v/>
      </c>
    </row>
    <row r="422" ht="22.2" customHeight="1" s="330">
      <c r="A422" s="4" t="n"/>
      <c r="B422" s="5" t="n"/>
      <c r="D422" s="3" t="n"/>
      <c r="E422" s="51" t="n"/>
      <c r="F422" s="249" t="n"/>
      <c r="G422" s="308">
        <f>G376</f>
        <v/>
      </c>
      <c r="H422" s="325" t="inlineStr">
        <is>
          <t>20101-2105</t>
        </is>
      </c>
      <c r="I422" s="325" t="inlineStr">
        <is>
          <t>ปวช.2/1 ชย. (ปกติ)</t>
        </is>
      </c>
      <c r="J422" s="252" t="inlineStr">
        <is>
          <t>13.10-17.10</t>
        </is>
      </c>
      <c r="K422" s="331" t="n"/>
      <c r="L422" s="252" t="n"/>
      <c r="M422" s="252" t="n"/>
      <c r="N422" s="252" t="n"/>
      <c r="O422" s="244">
        <f>M422*N422</f>
        <v/>
      </c>
      <c r="P422" s="252" t="n"/>
      <c r="Q422" s="252" t="n"/>
      <c r="R422" s="252" t="n"/>
      <c r="S422" s="244">
        <f>Q422*R422</f>
        <v/>
      </c>
    </row>
    <row r="423" ht="22.2" customHeight="1" s="330">
      <c r="A423" s="4" t="n"/>
      <c r="E423" s="4" t="n"/>
      <c r="F423" s="249" t="n"/>
      <c r="G423" s="248" t="n"/>
      <c r="H423" s="252" t="n"/>
      <c r="I423" s="252" t="n"/>
      <c r="J423" s="252" t="n"/>
      <c r="K423" s="331" t="n"/>
      <c r="L423" s="252" t="n"/>
      <c r="M423" s="252" t="n"/>
      <c r="N423" s="252" t="n"/>
      <c r="O423" s="244">
        <f>M423*N423</f>
        <v/>
      </c>
      <c r="P423" s="252" t="n"/>
      <c r="Q423" s="252" t="n"/>
      <c r="R423" s="252" t="n"/>
      <c r="S423" s="244">
        <f>Q423*R423</f>
        <v/>
      </c>
    </row>
    <row r="424" ht="22.2" customHeight="1" s="330">
      <c r="A424" s="4" t="n"/>
      <c r="D424" s="8" t="inlineStr">
        <is>
          <t> </t>
        </is>
      </c>
      <c r="E424" s="4" t="n"/>
      <c r="F424" s="249" t="n"/>
      <c r="G424" s="248" t="n"/>
      <c r="H424" s="252" t="n"/>
      <c r="I424" s="252" t="n"/>
      <c r="J424" s="252" t="n"/>
      <c r="K424" s="331" t="n"/>
      <c r="L424" s="252" t="n"/>
      <c r="M424" s="252" t="n"/>
      <c r="N424" s="252" t="n"/>
      <c r="O424" s="244">
        <f>M424*N424</f>
        <v/>
      </c>
      <c r="P424" s="252" t="n"/>
      <c r="Q424" s="252" t="n"/>
      <c r="R424" s="252" t="n"/>
      <c r="S424" s="244">
        <f>Q424*R424</f>
        <v/>
      </c>
    </row>
    <row r="425" ht="22.2" customHeight="1" s="330">
      <c r="A425" s="4" t="n"/>
      <c r="E425" s="4" t="n"/>
      <c r="G425" s="311" t="n"/>
      <c r="H425" s="276" t="n"/>
      <c r="I425" s="276" t="n"/>
      <c r="J425" s="276" t="n"/>
      <c r="K425" s="476" t="n"/>
      <c r="L425" s="252" t="n"/>
      <c r="M425" s="252" t="n"/>
      <c r="N425" s="252" t="n"/>
      <c r="O425" s="244">
        <f>M425*N425</f>
        <v/>
      </c>
      <c r="P425" s="252" t="n"/>
      <c r="Q425" s="252" t="n"/>
      <c r="R425" s="252" t="n"/>
      <c r="S425" s="244">
        <f>Q425*R425</f>
        <v/>
      </c>
    </row>
    <row r="426" ht="22.2" customHeight="1" s="330">
      <c r="A426" s="4" t="n"/>
      <c r="B426" s="248" t="n"/>
      <c r="C426" s="249" t="n"/>
      <c r="D426" s="249" t="n"/>
      <c r="E426" s="252" t="n"/>
      <c r="G426" s="62" t="inlineStr">
        <is>
          <t>อังคาร</t>
        </is>
      </c>
      <c r="H426" s="325" t="inlineStr">
        <is>
          <t>20101-2105</t>
        </is>
      </c>
      <c r="I426" s="325" t="inlineStr">
        <is>
          <t>ปวช.2/3 ชย. (ปกติ)</t>
        </is>
      </c>
      <c r="J426" s="252" t="inlineStr">
        <is>
          <t>13.10-17.10</t>
        </is>
      </c>
      <c r="K426" s="331" t="n"/>
      <c r="L426" s="265" t="n"/>
      <c r="M426" s="332" t="n"/>
      <c r="N426" s="332" t="n"/>
      <c r="O426" s="244">
        <f>M426*N426</f>
        <v/>
      </c>
      <c r="P426" s="332" t="n"/>
      <c r="Q426" s="265" t="n"/>
      <c r="R426" s="332" t="n"/>
      <c r="S426" s="244">
        <f>Q426*R426</f>
        <v/>
      </c>
    </row>
    <row r="427" ht="22.2" customHeight="1" s="330">
      <c r="A427" s="4" t="n"/>
      <c r="B427" s="5" t="n"/>
      <c r="D427" s="3" t="n"/>
      <c r="E427" s="3" t="n"/>
      <c r="G427" s="308">
        <f>G381</f>
        <v/>
      </c>
      <c r="H427" s="325" t="n"/>
      <c r="I427" s="325" t="n"/>
      <c r="J427" s="252" t="n"/>
      <c r="K427" s="331" t="n"/>
      <c r="L427" s="252" t="n"/>
      <c r="M427" s="252" t="n"/>
      <c r="N427" s="252" t="n"/>
      <c r="O427" s="244">
        <f>M427*N427</f>
        <v/>
      </c>
      <c r="P427" s="252" t="n"/>
      <c r="Q427" s="252" t="n"/>
      <c r="R427" s="252" t="n"/>
      <c r="S427" s="244">
        <f>Q427*R427</f>
        <v/>
      </c>
    </row>
    <row r="428" ht="22.2" customHeight="1" s="330">
      <c r="A428" s="4" t="n"/>
      <c r="B428" s="5" t="n"/>
      <c r="D428" s="3" t="n"/>
      <c r="E428" s="3" t="n"/>
      <c r="G428" s="252" t="n"/>
      <c r="H428" s="252" t="n"/>
      <c r="I428" s="252" t="n"/>
      <c r="J428" s="252" t="n"/>
      <c r="K428" s="331" t="n"/>
      <c r="L428" s="252" t="n"/>
      <c r="M428" s="252" t="n"/>
      <c r="N428" s="252" t="n"/>
      <c r="O428" s="244">
        <f>M428*N428</f>
        <v/>
      </c>
      <c r="P428" s="252" t="n"/>
      <c r="Q428" s="252" t="n"/>
      <c r="R428" s="252" t="n"/>
      <c r="S428" s="244">
        <f>Q428*R428</f>
        <v/>
      </c>
    </row>
    <row r="429" ht="22.2" customHeight="1" s="330">
      <c r="A429" s="4" t="n"/>
      <c r="E429" s="4" t="n"/>
      <c r="G429" s="62" t="n"/>
      <c r="H429" s="249" t="n"/>
      <c r="I429" s="252" t="n"/>
      <c r="J429" s="252" t="n"/>
      <c r="K429" s="331" t="n"/>
      <c r="L429" s="252" t="n"/>
      <c r="M429" s="252" t="n"/>
      <c r="N429" s="252" t="n"/>
      <c r="O429" s="244">
        <f>M429*N429</f>
        <v/>
      </c>
      <c r="P429" s="252" t="n"/>
      <c r="Q429" s="252" t="n"/>
      <c r="R429" s="252" t="n"/>
      <c r="S429" s="244">
        <f>Q429*R429</f>
        <v/>
      </c>
    </row>
    <row r="430" ht="22.2" customHeight="1" s="330">
      <c r="A430" s="4" t="n"/>
      <c r="D430" s="8" t="inlineStr">
        <is>
          <t> </t>
        </is>
      </c>
      <c r="E430" s="4" t="n"/>
      <c r="G430" s="63" t="n"/>
      <c r="H430" s="276" t="n"/>
      <c r="I430" s="276" t="n"/>
      <c r="J430" s="276" t="n"/>
      <c r="K430" s="476" t="n"/>
      <c r="L430" s="252" t="n"/>
      <c r="M430" s="252" t="n"/>
      <c r="N430" s="252" t="n"/>
      <c r="O430" s="244">
        <f>M430*N430</f>
        <v/>
      </c>
      <c r="P430" s="252" t="n"/>
      <c r="Q430" s="252" t="n"/>
      <c r="R430" s="252" t="n"/>
      <c r="S430" s="244">
        <f>Q430*R430</f>
        <v/>
      </c>
    </row>
    <row r="431" ht="22.2" customHeight="1" s="330">
      <c r="A431" s="4" t="n"/>
      <c r="E431" s="4" t="n"/>
      <c r="G431" s="308" t="inlineStr">
        <is>
          <t>พุธ</t>
        </is>
      </c>
      <c r="H431" s="325" t="inlineStr">
        <is>
          <t>20101-2105</t>
        </is>
      </c>
      <c r="I431" s="325" t="inlineStr">
        <is>
          <t>ปวช.3/10 ชย. (ทวิ)</t>
        </is>
      </c>
      <c r="J431" s="332" t="inlineStr">
        <is>
          <t>08.10-12.10</t>
        </is>
      </c>
      <c r="K431" s="335" t="n"/>
      <c r="L431" s="265" t="n"/>
      <c r="M431" s="332" t="n"/>
      <c r="N431" s="332" t="n"/>
      <c r="O431" s="244">
        <f>M431*N431</f>
        <v/>
      </c>
      <c r="P431" s="332" t="n"/>
      <c r="Q431" s="265" t="n"/>
      <c r="R431" s="332" t="n"/>
      <c r="S431" s="244">
        <f>Q431*R431</f>
        <v/>
      </c>
    </row>
    <row r="432" ht="22.2" customHeight="1" s="330">
      <c r="A432" s="4" t="n"/>
      <c r="B432" s="248" t="n"/>
      <c r="C432" s="249" t="n"/>
      <c r="D432" s="249" t="n"/>
      <c r="E432" s="252" t="n"/>
      <c r="G432" s="308">
        <f>G386</f>
        <v/>
      </c>
      <c r="H432" s="325" t="inlineStr">
        <is>
          <t>20101-2105</t>
        </is>
      </c>
      <c r="I432" s="325" t="inlineStr">
        <is>
          <t>ปวช.3/9 ชย. (ทวิ)</t>
        </is>
      </c>
      <c r="J432" s="252" t="inlineStr">
        <is>
          <t>13.10-17.10</t>
        </is>
      </c>
      <c r="K432" s="331" t="n"/>
      <c r="L432" s="252" t="n"/>
      <c r="M432" s="252" t="n"/>
      <c r="N432" s="252" t="n"/>
      <c r="O432" s="244">
        <f>M432*N432</f>
        <v/>
      </c>
      <c r="P432" s="252" t="n"/>
      <c r="Q432" s="252" t="n"/>
      <c r="R432" s="252" t="n"/>
      <c r="S432" s="244">
        <f>Q432*R432</f>
        <v/>
      </c>
    </row>
    <row r="433" ht="22.2" customHeight="1" s="330">
      <c r="A433" s="4" t="n"/>
      <c r="B433" s="5" t="n"/>
      <c r="D433" s="3" t="n"/>
      <c r="E433" s="3" t="n"/>
      <c r="G433" s="252" t="n"/>
      <c r="H433" s="252" t="n"/>
      <c r="I433" s="252" t="n"/>
      <c r="J433" s="252" t="n"/>
      <c r="K433" s="331" t="n"/>
      <c r="L433" s="252" t="n"/>
      <c r="M433" s="252" t="n"/>
      <c r="N433" s="252" t="n"/>
      <c r="O433" s="244">
        <f>M433*N433</f>
        <v/>
      </c>
      <c r="P433" s="252" t="n"/>
      <c r="Q433" s="252" t="n"/>
      <c r="R433" s="252" t="n"/>
      <c r="S433" s="244">
        <f>Q433*R433</f>
        <v/>
      </c>
    </row>
    <row r="434" ht="22.2" customHeight="1" s="330">
      <c r="A434" s="4" t="n"/>
      <c r="E434" s="4" t="n"/>
      <c r="G434" s="248" t="n"/>
      <c r="H434" s="248" t="n"/>
      <c r="I434" s="252" t="n"/>
      <c r="J434" s="252" t="n"/>
      <c r="K434" s="331" t="n"/>
      <c r="L434" s="252" t="n"/>
      <c r="M434" s="252" t="n"/>
      <c r="N434" s="252" t="n"/>
      <c r="O434" s="244">
        <f>M434*N434</f>
        <v/>
      </c>
      <c r="P434" s="252" t="n"/>
      <c r="Q434" s="252" t="n"/>
      <c r="R434" s="252" t="n"/>
      <c r="S434" s="244">
        <f>Q434*R434</f>
        <v/>
      </c>
    </row>
    <row r="435" ht="22.2" customHeight="1" s="330">
      <c r="A435" s="4" t="n"/>
      <c r="E435" s="4" t="n"/>
      <c r="G435" s="277" t="n"/>
      <c r="H435" s="277" t="n"/>
      <c r="I435" s="276" t="n"/>
      <c r="J435" s="276" t="n"/>
      <c r="K435" s="476" t="n"/>
      <c r="L435" s="276" t="n"/>
      <c r="M435" s="276" t="n"/>
      <c r="N435" s="276" t="n"/>
      <c r="O435" s="244">
        <f>M435*N435</f>
        <v/>
      </c>
      <c r="P435" s="276" t="n"/>
      <c r="Q435" s="276" t="n"/>
      <c r="R435" s="276" t="n"/>
      <c r="S435" s="244">
        <f>Q435*R435</f>
        <v/>
      </c>
    </row>
    <row r="436" ht="22.2" customHeight="1" s="330">
      <c r="A436" s="4" t="n"/>
      <c r="E436" s="4" t="n"/>
      <c r="G436" s="62" t="inlineStr">
        <is>
          <t>พฤหัส</t>
        </is>
      </c>
      <c r="H436" s="325" t="inlineStr">
        <is>
          <t>20101-5103</t>
        </is>
      </c>
      <c r="I436" s="325" t="inlineStr">
        <is>
          <t>ปวช.2/9 ชย. (ทวิ)</t>
        </is>
      </c>
      <c r="J436" s="332" t="inlineStr">
        <is>
          <t>08.10-12.10</t>
        </is>
      </c>
      <c r="K436" s="335" t="n"/>
      <c r="L436" s="265" t="n"/>
      <c r="M436" s="332" t="n"/>
      <c r="N436" s="325" t="n"/>
      <c r="O436" s="244">
        <f>M436*N436</f>
        <v/>
      </c>
      <c r="P436" s="209" t="n"/>
      <c r="Q436" s="209" t="n"/>
      <c r="R436" s="209" t="n"/>
      <c r="S436" s="244">
        <f>Q436*R436</f>
        <v/>
      </c>
      <c r="T436" s="7" t="n"/>
      <c r="U436" s="23" t="inlineStr">
        <is>
          <t>เบิก ธุรการ</t>
        </is>
      </c>
      <c r="V436" s="66" t="n"/>
      <c r="W436" s="22" t="n"/>
      <c r="X436" s="22" t="n"/>
    </row>
    <row r="437" ht="22.2" customHeight="1" s="330">
      <c r="A437" s="4" t="n"/>
      <c r="E437" s="4" t="n"/>
      <c r="G437" s="308">
        <f>G391</f>
        <v/>
      </c>
      <c r="H437" s="325" t="inlineStr">
        <is>
          <t>20101-5103</t>
        </is>
      </c>
      <c r="I437" s="325" t="inlineStr">
        <is>
          <t>ปวช.2/9 ชย. (ทวิ)</t>
        </is>
      </c>
      <c r="J437" s="252" t="inlineStr">
        <is>
          <t>15.10-18.10</t>
        </is>
      </c>
      <c r="K437" s="331" t="n"/>
      <c r="L437" s="252" t="n"/>
      <c r="M437" s="252" t="n"/>
      <c r="N437" s="252" t="n"/>
      <c r="O437" s="244">
        <f>M437*N437</f>
        <v/>
      </c>
      <c r="P437" s="4" t="n"/>
      <c r="Q437" s="4" t="n"/>
      <c r="R437" s="4" t="n"/>
      <c r="S437" s="244">
        <f>Q437*R437</f>
        <v/>
      </c>
      <c r="T437" s="22" t="inlineStr">
        <is>
          <t> </t>
        </is>
      </c>
      <c r="U437" s="23" t="inlineStr">
        <is>
          <t>16.10-19.10</t>
        </is>
      </c>
      <c r="V437" s="66" t="n"/>
      <c r="W437" s="22" t="n"/>
      <c r="X437" s="22" t="n"/>
    </row>
    <row r="438" ht="22.2" customHeight="1" s="330">
      <c r="A438" s="4" t="n"/>
      <c r="B438" s="5" t="n"/>
      <c r="E438" s="4" t="n"/>
      <c r="G438" s="252" t="n"/>
      <c r="H438" s="325" t="n"/>
      <c r="I438" s="325" t="n"/>
      <c r="J438" s="252" t="n"/>
      <c r="K438" s="331" t="n"/>
      <c r="L438" s="252" t="n"/>
      <c r="M438" s="252" t="n"/>
      <c r="N438" s="252" t="n"/>
      <c r="O438" s="244">
        <f>M438*N438</f>
        <v/>
      </c>
      <c r="P438" s="325" t="n"/>
      <c r="Q438" s="325" t="n"/>
      <c r="R438" s="325" t="n"/>
      <c r="S438" s="244">
        <f>Q438*R438</f>
        <v/>
      </c>
    </row>
    <row r="439" ht="22.2" customHeight="1" s="330">
      <c r="A439" s="4" t="n"/>
      <c r="E439" s="4" t="n"/>
      <c r="G439" s="252" t="n"/>
      <c r="H439" s="252" t="n"/>
      <c r="I439" s="252" t="n"/>
      <c r="J439" s="252" t="n"/>
      <c r="K439" s="331" t="n"/>
      <c r="L439" s="252" t="n"/>
      <c r="M439" s="252" t="n"/>
      <c r="N439" s="252" t="n"/>
      <c r="O439" s="244">
        <f>M439*N439</f>
        <v/>
      </c>
      <c r="P439" s="252" t="n"/>
      <c r="Q439" s="252" t="n"/>
      <c r="R439" s="252" t="n"/>
      <c r="S439" s="244">
        <f>Q439*R439</f>
        <v/>
      </c>
    </row>
    <row r="440" ht="22.2" customHeight="1" s="330">
      <c r="A440" s="4" t="n"/>
      <c r="E440" s="4" t="n"/>
      <c r="G440" s="276" t="n"/>
      <c r="H440" s="301" t="n"/>
      <c r="I440" s="276" t="n"/>
      <c r="J440" s="276" t="n"/>
      <c r="K440" s="476" t="n"/>
      <c r="L440" s="276" t="n"/>
      <c r="M440" s="276" t="n"/>
      <c r="N440" s="276" t="n"/>
      <c r="O440" s="244">
        <f>M440*N440</f>
        <v/>
      </c>
      <c r="P440" s="276" t="n"/>
      <c r="Q440" s="276" t="n"/>
      <c r="R440" s="276" t="n"/>
      <c r="S440" s="244">
        <f>Q440*R440</f>
        <v/>
      </c>
    </row>
    <row r="441" ht="22.2" customHeight="1" s="330">
      <c r="A441" s="4" t="n"/>
      <c r="E441" s="4" t="n"/>
      <c r="G441" s="62" t="inlineStr">
        <is>
          <t>ศุกร์</t>
        </is>
      </c>
      <c r="H441" s="325" t="n"/>
      <c r="I441" s="325" t="n"/>
      <c r="J441" s="325" t="n"/>
      <c r="K441" s="331" t="n"/>
      <c r="L441" s="252" t="n"/>
      <c r="M441" s="332" t="n"/>
      <c r="N441" s="332" t="n"/>
      <c r="O441" s="244">
        <f>M441*N441</f>
        <v/>
      </c>
      <c r="P441" s="332" t="n"/>
      <c r="Q441" s="265" t="n"/>
      <c r="R441" s="332" t="n"/>
      <c r="S441" s="244">
        <f>Q441*R441</f>
        <v/>
      </c>
    </row>
    <row r="442" ht="22.2" customHeight="1" s="330">
      <c r="A442" s="4" t="n"/>
      <c r="E442" s="4" t="n"/>
      <c r="G442" s="308">
        <f>G396</f>
        <v/>
      </c>
      <c r="H442" s="325" t="n"/>
      <c r="I442" s="325" t="n"/>
      <c r="J442" s="325" t="n"/>
      <c r="K442" s="331" t="n"/>
      <c r="L442" s="252" t="n"/>
      <c r="M442" s="252" t="n"/>
      <c r="N442" s="252" t="n"/>
      <c r="O442" s="244">
        <f>M442*N442</f>
        <v/>
      </c>
      <c r="P442" s="252" t="n"/>
      <c r="Q442" s="252" t="n"/>
      <c r="R442" s="252" t="n"/>
      <c r="S442" s="244">
        <f>Q442*R442</f>
        <v/>
      </c>
    </row>
    <row r="443" ht="22.2" customHeight="1" s="330">
      <c r="A443" s="4" t="n"/>
      <c r="E443" s="4" t="n"/>
      <c r="G443" s="252" t="n"/>
      <c r="H443" s="252" t="n"/>
      <c r="I443" s="252" t="n"/>
      <c r="J443" s="252" t="n"/>
      <c r="K443" s="331" t="n"/>
      <c r="L443" s="252" t="n"/>
      <c r="M443" s="252" t="n"/>
      <c r="N443" s="252" t="n"/>
      <c r="O443" s="244">
        <f>M443*N443</f>
        <v/>
      </c>
      <c r="P443" s="252" t="n"/>
      <c r="Q443" s="252" t="n"/>
      <c r="R443" s="252" t="n"/>
      <c r="S443" s="244">
        <f>Q443*R443</f>
        <v/>
      </c>
    </row>
    <row r="444" ht="22.2" customHeight="1" s="330">
      <c r="A444" s="4" t="n"/>
      <c r="E444" s="4" t="n"/>
      <c r="G444" s="252" t="n"/>
      <c r="H444" s="249" t="inlineStr">
        <is>
          <t> </t>
        </is>
      </c>
      <c r="I444" s="252" t="n"/>
      <c r="J444" s="252" t="n"/>
      <c r="K444" s="331" t="n"/>
      <c r="L444" s="252" t="n"/>
      <c r="M444" s="252" t="n"/>
      <c r="N444" s="252" t="n"/>
      <c r="O444" s="244">
        <f>M444*N444</f>
        <v/>
      </c>
      <c r="P444" s="252" t="n"/>
      <c r="Q444" s="252" t="n"/>
      <c r="R444" s="252" t="n"/>
      <c r="S444" s="244">
        <f>Q444*R444</f>
        <v/>
      </c>
    </row>
    <row r="445" ht="22.2" customHeight="1" s="330">
      <c r="A445" s="4" t="n"/>
      <c r="E445" s="4" t="n"/>
      <c r="F445" s="4" t="n"/>
      <c r="G445" s="278" t="n"/>
      <c r="H445" s="301" t="n"/>
      <c r="I445" s="276" t="n"/>
      <c r="J445" s="276" t="n"/>
      <c r="K445" s="476" t="n"/>
      <c r="L445" s="276" t="n"/>
      <c r="M445" s="276" t="n"/>
      <c r="N445" s="276" t="n"/>
      <c r="O445" s="244">
        <f>M445*N445</f>
        <v/>
      </c>
      <c r="P445" s="276" t="n"/>
      <c r="Q445" s="276" t="n"/>
      <c r="R445" s="276" t="n"/>
      <c r="S445" s="244">
        <f>Q445*R445</f>
        <v/>
      </c>
    </row>
    <row r="446" ht="22.2" customHeight="1" s="330">
      <c r="A446" s="4" t="n"/>
      <c r="E446" s="4" t="n"/>
      <c r="F446" s="4" t="n"/>
      <c r="G446" s="17" t="inlineStr">
        <is>
          <t>รวมขั่วโมงที่สอนแยก ภาระงาน/ เกินภาระงาน</t>
        </is>
      </c>
      <c r="H446" s="467" t="n"/>
      <c r="I446" s="467" t="n"/>
      <c r="J446" s="467" t="n"/>
      <c r="K446" s="362" t="n"/>
      <c r="L446" s="17">
        <f>SUM(L421:L445)</f>
        <v/>
      </c>
      <c r="M446" s="17">
        <f>SUM(M421:M445)</f>
        <v/>
      </c>
      <c r="N446" s="17" t="n"/>
      <c r="O446" s="17" t="n"/>
      <c r="P446" s="17">
        <f>SUM(P421:P445)</f>
        <v/>
      </c>
      <c r="Q446" s="17">
        <f>SUM(Q421:Q445)</f>
        <v/>
      </c>
      <c r="R446" s="279" t="n"/>
      <c r="S446" s="17" t="n"/>
      <c r="T446" s="25" t="n"/>
      <c r="U446" s="26" t="inlineStr">
        <is>
          <t xml:space="preserve">     PLC</t>
        </is>
      </c>
      <c r="V446" s="64" t="n"/>
      <c r="W446" s="27" t="n"/>
      <c r="X446" s="27" t="n"/>
    </row>
    <row r="447" ht="22.2" customHeight="1" s="330">
      <c r="A447" s="4" t="n"/>
      <c r="E447" s="4" t="n"/>
      <c r="F447" s="4" t="n"/>
      <c r="G447" s="17" t="inlineStr">
        <is>
          <t>รวมจำนวนชั่วโมงสอนคาบต่อสับดาห์</t>
        </is>
      </c>
      <c r="H447" s="467" t="n"/>
      <c r="I447" s="467" t="n"/>
      <c r="J447" s="467" t="n"/>
      <c r="K447" s="362" t="n"/>
      <c r="L447" s="17">
        <f>L446+M446</f>
        <v/>
      </c>
      <c r="M447" s="362" t="n"/>
      <c r="N447" s="298" t="n"/>
      <c r="O447" s="17" t="n"/>
      <c r="P447" s="17">
        <f>P446+Q446</f>
        <v/>
      </c>
      <c r="Q447" s="362" t="n"/>
      <c r="R447" s="278" t="n"/>
      <c r="S447" s="276" t="n"/>
      <c r="T447" s="27" t="inlineStr">
        <is>
          <t> </t>
        </is>
      </c>
      <c r="U447" s="26" t="inlineStr">
        <is>
          <t>17.10-19.10</t>
        </is>
      </c>
      <c r="V447" s="64" t="n"/>
      <c r="W447" s="27" t="n"/>
      <c r="X447" s="27" t="n"/>
    </row>
    <row r="448" ht="22.2" customHeight="1" s="330">
      <c r="A448" s="4" t="n"/>
      <c r="E448" s="4" t="n"/>
      <c r="F448" s="4" t="n"/>
      <c r="G448" s="17" t="inlineStr">
        <is>
          <t>จำนวนชั่วโมงสอนตามภาระงานสอน</t>
        </is>
      </c>
      <c r="H448" s="467" t="n"/>
      <c r="I448" s="467" t="n"/>
      <c r="J448" s="467" t="n"/>
      <c r="K448" s="362" t="n"/>
      <c r="L448" s="485" t="inlineStr">
        <is>
          <t>12</t>
        </is>
      </c>
      <c r="M448" s="362" t="n"/>
      <c r="N448" s="151" t="n"/>
      <c r="O448" s="154" t="n"/>
      <c r="P448" s="153" t="inlineStr">
        <is>
          <t>0</t>
        </is>
      </c>
      <c r="Q448" s="362" t="n"/>
      <c r="R448" s="249" t="n"/>
      <c r="S448" s="252" t="n"/>
    </row>
    <row r="449" ht="22.2" customHeight="1" s="330" thickBot="1">
      <c r="A449" s="4" t="n"/>
      <c r="E449" s="4" t="n"/>
      <c r="F449" s="15" t="n"/>
      <c r="G449" s="17" t="inlineStr">
        <is>
          <t>จำนวนชั่วโมงบิกเกินภาระงานสอน/ค่าสอน</t>
        </is>
      </c>
      <c r="H449" s="467" t="n"/>
      <c r="I449" s="467" t="n"/>
      <c r="J449" s="467" t="n"/>
      <c r="K449" s="362" t="n"/>
      <c r="L449" s="18" t="n">
        <v>0</v>
      </c>
      <c r="M449" s="18">
        <f>SUM(M421:M445)</f>
        <v/>
      </c>
      <c r="N449" s="18" t="n"/>
      <c r="O449" s="18">
        <f>SUM(O421:O445)</f>
        <v/>
      </c>
      <c r="P449" s="18" t="n">
        <v>0</v>
      </c>
      <c r="Q449" s="18">
        <f>SUM(Q421:Q445)</f>
        <v/>
      </c>
      <c r="R449" s="19" t="n"/>
      <c r="S449" s="18">
        <f>SUM(S421:S445)</f>
        <v/>
      </c>
    </row>
    <row r="450" ht="22.2" customHeight="1" s="330" thickTop="1">
      <c r="A450" s="299" t="inlineStr">
        <is>
          <t>รวมจำนวนหน่วยชั่วโมงที่ขอเบิกค่าสอน ….</t>
        </is>
      </c>
      <c r="B450" s="467" t="n"/>
      <c r="C450" s="467" t="n"/>
      <c r="D450" s="467" t="n"/>
      <c r="E450" s="467" t="n"/>
      <c r="F450" s="467" t="n"/>
      <c r="G450" s="467" t="n"/>
      <c r="H450" s="298">
        <f>M449+Q449</f>
        <v/>
      </c>
      <c r="I450" s="298" t="inlineStr">
        <is>
          <t>….ชั่วโมง</t>
        </is>
      </c>
      <c r="J450" s="298" t="n"/>
      <c r="K450" s="301" t="inlineStr">
        <is>
          <t>ยอดเงินรวม</t>
        </is>
      </c>
      <c r="L450" s="471" t="n"/>
      <c r="M450" s="471" t="n"/>
      <c r="N450" s="301" t="n"/>
      <c r="O450" s="301" t="n"/>
      <c r="P450" s="302">
        <f>S449+O449</f>
        <v/>
      </c>
      <c r="Q450" s="482" t="n"/>
      <c r="R450" s="21" t="n"/>
      <c r="S450" s="20" t="inlineStr">
        <is>
          <t>..บาท</t>
        </is>
      </c>
    </row>
    <row r="451" ht="22.2" customHeight="1" s="330">
      <c r="A451" s="207" t="inlineStr">
        <is>
          <t>ผู้ขอเบิก</t>
        </is>
      </c>
      <c r="B451" s="334" t="n"/>
      <c r="C451" s="334" t="n"/>
      <c r="D451" s="334" t="n"/>
      <c r="E451" s="334" t="n"/>
      <c r="F451" s="334" t="n"/>
      <c r="G451" s="335" t="n"/>
      <c r="H451" s="207" t="inlineStr">
        <is>
          <t>ผู้รับรอง</t>
        </is>
      </c>
      <c r="I451" s="334" t="n"/>
      <c r="J451" s="334" t="n"/>
      <c r="K451" s="334" t="n"/>
      <c r="L451" s="335" t="n"/>
      <c r="M451" s="207" t="inlineStr">
        <is>
          <t>ผู้ตรวจ</t>
        </is>
      </c>
      <c r="N451" s="334" t="n"/>
      <c r="O451" s="334" t="n"/>
      <c r="P451" s="334" t="n"/>
      <c r="Q451" s="334" t="n"/>
      <c r="R451" s="334" t="n"/>
      <c r="S451" s="335" t="n"/>
    </row>
    <row r="452" ht="22.2" customHeight="1" s="330">
      <c r="A452" s="252" t="inlineStr">
        <is>
          <t>ลงชื่อ……………………………………………</t>
        </is>
      </c>
      <c r="G452" s="331" t="n"/>
      <c r="H452" s="252" t="inlineStr">
        <is>
          <t>ลงชื่อ……………………………………………</t>
        </is>
      </c>
      <c r="L452" s="331" t="n"/>
      <c r="M452" s="252" t="inlineStr">
        <is>
          <t>ลงชื่อ……………………………………………</t>
        </is>
      </c>
      <c r="S452" s="331" t="n"/>
    </row>
    <row r="453" ht="22.2" customHeight="1" s="330">
      <c r="A453" s="12" t="inlineStr">
        <is>
          <t>(</t>
        </is>
      </c>
      <c r="B453" s="309">
        <f>B421</f>
        <v/>
      </c>
      <c r="G453" s="310" t="inlineStr">
        <is>
          <t>)</t>
        </is>
      </c>
      <c r="H453" s="309" t="inlineStr">
        <is>
          <t>(</t>
        </is>
      </c>
      <c r="I453" s="314">
        <f>I407</f>
        <v/>
      </c>
      <c r="L453" s="13" t="inlineStr">
        <is>
          <t>)</t>
        </is>
      </c>
      <c r="M453" s="61" t="inlineStr">
        <is>
          <t>(</t>
        </is>
      </c>
      <c r="N453" s="61" t="n"/>
      <c r="O453" s="309" t="inlineStr">
        <is>
          <t>นายพิสุทธิศักดิ์  กล่อมนาค</t>
        </is>
      </c>
      <c r="R453" s="29" t="n"/>
      <c r="S453" s="310" t="inlineStr">
        <is>
          <t>)</t>
        </is>
      </c>
    </row>
    <row r="454" ht="22.2" customHeight="1" s="330">
      <c r="A454" s="483" t="inlineStr">
        <is>
          <t xml:space="preserve">                 ตำแหน่ง  ครู </t>
        </is>
      </c>
      <c r="G454" s="331" t="n"/>
      <c r="H454" s="62" t="inlineStr">
        <is>
          <t>ตำแหน่ง หัวหน้าแผนก</t>
        </is>
      </c>
      <c r="L454" s="331" t="n"/>
      <c r="M454" s="62" t="inlineStr">
        <is>
          <t>ตำแหน่ง   ผู้ตรวจสอบ</t>
        </is>
      </c>
      <c r="S454" s="331" t="n"/>
    </row>
    <row r="455" ht="22.2" customHeight="1" s="330">
      <c r="A455" s="63">
        <f>A41</f>
        <v/>
      </c>
      <c r="B455" s="471" t="n"/>
      <c r="C455" s="471" t="n"/>
      <c r="D455" s="471" t="n"/>
      <c r="E455" s="471" t="n"/>
      <c r="F455" s="471" t="n"/>
      <c r="G455" s="476" t="n"/>
      <c r="H455" s="62">
        <f>A41</f>
        <v/>
      </c>
      <c r="L455" s="331" t="n"/>
      <c r="M455" s="63">
        <f>A41</f>
        <v/>
      </c>
      <c r="N455" s="471" t="n"/>
      <c r="O455" s="471" t="n"/>
      <c r="P455" s="471" t="n"/>
      <c r="Q455" s="471" t="n"/>
      <c r="R455" s="471" t="n"/>
      <c r="S455" s="476" t="n"/>
    </row>
    <row r="456" ht="22.2" customHeight="1" s="330">
      <c r="A456" s="207" t="inlineStr">
        <is>
          <t>ผู้ตรวจ</t>
        </is>
      </c>
      <c r="B456" s="334" t="n"/>
      <c r="C456" s="334" t="n"/>
      <c r="D456" s="334" t="n"/>
      <c r="E456" s="334" t="n"/>
      <c r="F456" s="334" t="n"/>
      <c r="G456" s="334" t="n"/>
      <c r="H456" s="334" t="n"/>
      <c r="I456" s="335" t="n"/>
      <c r="J456" s="207" t="inlineStr">
        <is>
          <t>ผู้เห็นชอบ</t>
        </is>
      </c>
      <c r="K456" s="334" t="n"/>
      <c r="L456" s="334" t="n"/>
      <c r="M456" s="334" t="n"/>
      <c r="N456" s="334" t="n"/>
      <c r="O456" s="334" t="n"/>
      <c r="P456" s="334" t="n"/>
      <c r="Q456" s="334" t="n"/>
      <c r="R456" s="334" t="n"/>
      <c r="S456" s="335" t="n"/>
    </row>
    <row r="457" ht="22.2" customHeight="1" s="330">
      <c r="A457" s="252" t="inlineStr">
        <is>
          <t>ลงชื่อ……………………………………………</t>
        </is>
      </c>
      <c r="I457" s="331" t="n"/>
      <c r="J457" s="252" t="inlineStr">
        <is>
          <t>ลงชื่อ……………………………………………</t>
        </is>
      </c>
      <c r="S457" s="331" t="n"/>
    </row>
    <row r="458" ht="22.2" customHeight="1" s="330">
      <c r="A458" s="12" t="n"/>
      <c r="B458" s="309" t="inlineStr">
        <is>
          <t xml:space="preserve">          (นางศิวรักษ์   บุญประเสริฐ)</t>
        </is>
      </c>
      <c r="I458" s="310" t="n"/>
      <c r="J458" s="29" t="n"/>
      <c r="K458" s="29" t="n"/>
      <c r="L458" s="309" t="inlineStr">
        <is>
          <t>(นายปรีชา  โพธิ์เกิด)</t>
        </is>
      </c>
      <c r="R458" s="29" t="n"/>
      <c r="S458" s="13" t="n"/>
    </row>
    <row r="459" ht="22.2" customHeight="1" s="330">
      <c r="A459" s="62" t="inlineStr">
        <is>
          <t>ตำแหน่งครู  หัวหน้างานพัฒนาหลักสูตร ฯ</t>
        </is>
      </c>
      <c r="I459" s="331" t="n"/>
      <c r="J459" s="62" t="inlineStr">
        <is>
          <t>ตำแหน่ง  รองผู้อำนวยการฝ่ายวิชาการ</t>
        </is>
      </c>
      <c r="S459" s="331" t="n"/>
    </row>
    <row r="460" ht="22.2" customHeight="1" s="330">
      <c r="A460" s="63">
        <f>A41</f>
        <v/>
      </c>
      <c r="B460" s="471" t="n"/>
      <c r="C460" s="471" t="n"/>
      <c r="D460" s="471" t="n"/>
      <c r="E460" s="471" t="n"/>
      <c r="F460" s="471" t="n"/>
      <c r="G460" s="471" t="n"/>
      <c r="H460" s="471" t="n"/>
      <c r="I460" s="476" t="n"/>
      <c r="J460" s="63">
        <f>A41</f>
        <v/>
      </c>
      <c r="K460" s="471" t="n"/>
      <c r="L460" s="471" t="n"/>
      <c r="M460" s="471" t="n"/>
      <c r="N460" s="471" t="n"/>
      <c r="O460" s="471" t="n"/>
      <c r="P460" s="471" t="n"/>
      <c r="Q460" s="471" t="n"/>
      <c r="R460" s="471" t="n"/>
      <c r="S460" s="476" t="n"/>
    </row>
    <row r="461" ht="22.2" customHeight="1" s="330">
      <c r="A46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462" ht="22.2" customHeight="1" s="330">
      <c r="A462" s="254">
        <f>A2</f>
        <v/>
      </c>
    </row>
    <row r="463" ht="22.2" customHeight="1" s="330">
      <c r="A463" s="253" t="inlineStr">
        <is>
          <t xml:space="preserve">    ระหว่างวันที่</t>
        </is>
      </c>
      <c r="D463" s="254">
        <f>D3</f>
        <v/>
      </c>
      <c r="E463" s="254" t="inlineStr">
        <is>
          <t xml:space="preserve">   เดือน  </t>
        </is>
      </c>
      <c r="F463" s="254">
        <f>F3</f>
        <v/>
      </c>
      <c r="H463" s="254">
        <f>H3</f>
        <v/>
      </c>
      <c r="I463" s="254" t="inlineStr">
        <is>
          <t xml:space="preserve">     ถึง วันที่</t>
        </is>
      </c>
      <c r="J463" s="254">
        <f>J3</f>
        <v/>
      </c>
      <c r="K463" s="254" t="inlineStr">
        <is>
          <t xml:space="preserve">   เดือน </t>
        </is>
      </c>
      <c r="L463" s="254">
        <f>L3</f>
        <v/>
      </c>
      <c r="N463" s="254">
        <f>N3</f>
        <v/>
      </c>
      <c r="P463" s="254" t="n"/>
      <c r="R463" s="254" t="n"/>
    </row>
    <row r="464" ht="22.2" customHeight="1" s="330">
      <c r="G464" s="58" t="inlineStr">
        <is>
          <t>ü</t>
        </is>
      </c>
      <c r="H464" s="290" t="inlineStr">
        <is>
          <t>ครู</t>
        </is>
      </c>
      <c r="I464" s="249" t="inlineStr">
        <is>
          <t>หน้าที่พิเศษ</t>
        </is>
      </c>
    </row>
    <row r="465" ht="22.2" customHeight="1" s="330">
      <c r="A465" s="28" t="inlineStr">
        <is>
          <t>ที่</t>
        </is>
      </c>
      <c r="B465" s="28" t="inlineStr">
        <is>
          <t>ชื่อ-สกุล</t>
        </is>
      </c>
      <c r="C465" s="334" t="n"/>
      <c r="D465" s="335" t="n"/>
      <c r="E465" s="16" t="inlineStr">
        <is>
          <t>ตำแหน่ง</t>
        </is>
      </c>
      <c r="F465" s="17" t="inlineStr">
        <is>
          <t>ระยะเวลาที่สอน</t>
        </is>
      </c>
      <c r="G465" s="362" t="n"/>
      <c r="H465" s="17" t="inlineStr">
        <is>
          <t>รหัสวิชา</t>
        </is>
      </c>
      <c r="I465" s="275" t="inlineStr">
        <is>
          <t>ชั้น,แผนก,ห้อง</t>
        </is>
      </c>
      <c r="J465" s="17" t="inlineStr">
        <is>
          <t>เวลาสอน</t>
        </is>
      </c>
      <c r="K465" s="335" t="n"/>
      <c r="L465" s="17" t="inlineStr">
        <is>
          <t>ปวช.(คาบ)</t>
        </is>
      </c>
      <c r="M465" s="362" t="n"/>
      <c r="N465" s="244" t="inlineStr">
        <is>
          <t>เงิน</t>
        </is>
      </c>
      <c r="O465" s="275" t="inlineStr">
        <is>
          <t>ยอดเงิน</t>
        </is>
      </c>
      <c r="P465" s="473" t="inlineStr">
        <is>
          <t>ปวส.(คาบ)</t>
        </is>
      </c>
      <c r="Q465" s="362" t="n"/>
      <c r="R465" s="244" t="inlineStr">
        <is>
          <t>เงิน</t>
        </is>
      </c>
      <c r="S465" s="275" t="inlineStr">
        <is>
          <t>ยอดเงิน</t>
        </is>
      </c>
    </row>
    <row r="466" ht="22.2" customHeight="1" s="330">
      <c r="A466" s="60" t="n"/>
      <c r="B466" s="9" t="n"/>
      <c r="C466" s="10" t="n"/>
      <c r="D466" s="14" t="n"/>
      <c r="E466" s="11" t="n"/>
      <c r="F466" s="276" t="inlineStr">
        <is>
          <t>ส.</t>
        </is>
      </c>
      <c r="G466" s="276" t="inlineStr">
        <is>
          <t>วดป.</t>
        </is>
      </c>
      <c r="H466" s="474" t="n"/>
      <c r="I466" s="276" t="n"/>
      <c r="J466" s="475" t="n"/>
      <c r="K466" s="476" t="n"/>
      <c r="L466" s="276" t="inlineStr">
        <is>
          <t>ใน</t>
        </is>
      </c>
      <c r="M466" s="276" t="inlineStr">
        <is>
          <t>นอก</t>
        </is>
      </c>
      <c r="N466" s="276" t="inlineStr">
        <is>
          <t>ต่อ ชม.</t>
        </is>
      </c>
      <c r="O466" s="276" t="inlineStr">
        <is>
          <t>(บาท)</t>
        </is>
      </c>
      <c r="P466" s="60" t="inlineStr">
        <is>
          <t>ใน</t>
        </is>
      </c>
      <c r="Q466" s="60" t="inlineStr">
        <is>
          <t>นอก</t>
        </is>
      </c>
      <c r="R466" s="276" t="inlineStr">
        <is>
          <t>ต่อ ชม.</t>
        </is>
      </c>
      <c r="S466" s="276" t="inlineStr">
        <is>
          <t>(บาท)</t>
        </is>
      </c>
    </row>
    <row r="467" ht="22.2" customHeight="1" s="330">
      <c r="A467" s="275" t="n">
        <v>11</v>
      </c>
      <c r="B467" s="477">
        <f>AB13</f>
        <v/>
      </c>
      <c r="C467" s="334" t="n"/>
      <c r="D467" s="335" t="n"/>
      <c r="E467" s="275" t="inlineStr">
        <is>
          <t>ครู</t>
        </is>
      </c>
      <c r="F467" s="6">
        <f>F7</f>
        <v/>
      </c>
      <c r="G467" s="303" t="inlineStr">
        <is>
          <t>จันทร์</t>
        </is>
      </c>
      <c r="H467" s="325" t="inlineStr">
        <is>
          <t>20101-2109</t>
        </is>
      </c>
      <c r="I467" s="325" t="inlineStr">
        <is>
          <t>ปวช.3/2 ชย. (ปกติ)</t>
        </is>
      </c>
      <c r="J467" s="332" t="inlineStr">
        <is>
          <t>08.10-12.10</t>
        </is>
      </c>
      <c r="K467" s="335" t="n"/>
      <c r="L467" s="265" t="n"/>
      <c r="M467" s="332" t="n"/>
      <c r="N467" s="332" t="n"/>
      <c r="O467" s="244">
        <f>M467*N467</f>
        <v/>
      </c>
      <c r="P467" s="332" t="n"/>
      <c r="Q467" s="265" t="n"/>
      <c r="R467" s="332" t="n"/>
      <c r="S467" s="244">
        <f>Q467*R467</f>
        <v/>
      </c>
    </row>
    <row r="468" ht="22.2" customHeight="1" s="330">
      <c r="A468" s="4" t="n"/>
      <c r="B468" s="478" t="n"/>
      <c r="D468" s="331" t="n"/>
      <c r="E468" s="51" t="n"/>
      <c r="F468" s="249" t="n"/>
      <c r="G468" s="308">
        <f>G422</f>
        <v/>
      </c>
      <c r="H468" s="325" t="inlineStr">
        <is>
          <t>20101-2109</t>
        </is>
      </c>
      <c r="I468" s="325" t="inlineStr">
        <is>
          <t>ปวช.3/2 ชย. (ปกติ)</t>
        </is>
      </c>
      <c r="J468" s="252" t="inlineStr">
        <is>
          <t>13.10-16.10</t>
        </is>
      </c>
      <c r="K468" s="331" t="n"/>
      <c r="L468" s="252" t="n"/>
      <c r="M468" s="252" t="n"/>
      <c r="N468" s="252" t="n"/>
      <c r="O468" s="244">
        <f>M468*N468</f>
        <v/>
      </c>
      <c r="P468" s="252" t="n"/>
      <c r="Q468" s="252" t="n"/>
      <c r="R468" s="252" t="n"/>
      <c r="S468" s="244">
        <f>Q468*R468</f>
        <v/>
      </c>
    </row>
    <row r="469" ht="22.2" customHeight="1" s="330">
      <c r="A469" s="4" t="n"/>
      <c r="B469" s="5" t="n"/>
      <c r="D469" s="3" t="n"/>
      <c r="E469" s="3" t="n"/>
      <c r="F469" s="249" t="n"/>
      <c r="G469" s="248" t="n"/>
      <c r="H469" s="325" t="inlineStr">
        <is>
          <t>20101-8501</t>
        </is>
      </c>
      <c r="I469" s="325" t="inlineStr">
        <is>
          <t>ปวช.3/1,2 ชย. (ปกติ)</t>
        </is>
      </c>
      <c r="J469" s="252" t="inlineStr">
        <is>
          <t>16.10-18.10</t>
        </is>
      </c>
      <c r="K469" s="331" t="n"/>
      <c r="L469" s="252" t="n"/>
      <c r="M469" s="252" t="n"/>
      <c r="N469" s="252" t="n"/>
      <c r="O469" s="244">
        <f>M469*N469</f>
        <v/>
      </c>
      <c r="P469" s="252" t="n"/>
      <c r="Q469" s="252" t="n"/>
      <c r="R469" s="252" t="n"/>
      <c r="S469" s="244">
        <f>Q469*R469</f>
        <v/>
      </c>
    </row>
    <row r="470" ht="22.2" customHeight="1" s="330">
      <c r="A470" s="4" t="n"/>
      <c r="B470" s="5" t="n"/>
      <c r="E470" s="4" t="n"/>
      <c r="F470" s="249" t="n"/>
      <c r="G470" s="248" t="n"/>
      <c r="H470" s="252" t="n"/>
      <c r="I470" s="252" t="n"/>
      <c r="J470" s="252" t="n"/>
      <c r="K470" s="331" t="n"/>
      <c r="L470" s="252" t="n"/>
      <c r="M470" s="252" t="n"/>
      <c r="N470" s="252" t="n"/>
      <c r="O470" s="244">
        <f>M470*N470</f>
        <v/>
      </c>
      <c r="P470" s="252" t="n"/>
      <c r="Q470" s="252" t="n"/>
      <c r="R470" s="252" t="n"/>
      <c r="S470" s="244">
        <f>Q470*R470</f>
        <v/>
      </c>
    </row>
    <row r="471" ht="22.2" customHeight="1" s="330">
      <c r="A471" s="4" t="n"/>
      <c r="E471" s="4" t="n"/>
      <c r="G471" s="311" t="n"/>
      <c r="H471" s="276" t="n"/>
      <c r="I471" s="276" t="n"/>
      <c r="J471" s="276" t="n"/>
      <c r="K471" s="476" t="n"/>
      <c r="L471" s="252" t="n"/>
      <c r="M471" s="252" t="n"/>
      <c r="N471" s="252" t="n"/>
      <c r="O471" s="244">
        <f>M471*N471</f>
        <v/>
      </c>
      <c r="P471" s="252" t="n"/>
      <c r="Q471" s="252" t="n"/>
      <c r="R471" s="252" t="n"/>
      <c r="S471" s="244">
        <f>Q471*R471</f>
        <v/>
      </c>
    </row>
    <row r="472" ht="22.2" customHeight="1" s="330">
      <c r="A472" s="4" t="n"/>
      <c r="D472" s="331" t="n"/>
      <c r="E472" s="56" t="n"/>
      <c r="G472" s="62" t="inlineStr">
        <is>
          <t>อังคาร</t>
        </is>
      </c>
      <c r="H472" s="325" t="inlineStr">
        <is>
          <t>20101-2109</t>
        </is>
      </c>
      <c r="I472" s="325" t="inlineStr">
        <is>
          <t>ปวช.3/1 ชย. (ปกติ)</t>
        </is>
      </c>
      <c r="J472" s="332" t="inlineStr">
        <is>
          <t>08.10-12.10</t>
        </is>
      </c>
      <c r="K472" s="335" t="n"/>
      <c r="L472" s="265" t="n"/>
      <c r="M472" s="332" t="n"/>
      <c r="N472" s="332" t="n"/>
      <c r="O472" s="244">
        <f>M472*N472</f>
        <v/>
      </c>
      <c r="P472" s="332" t="n"/>
      <c r="Q472" s="265" t="n"/>
      <c r="R472" s="332" t="n"/>
      <c r="S472" s="244">
        <f>Q472*R472</f>
        <v/>
      </c>
      <c r="T472" s="7" t="n"/>
      <c r="U472" s="23" t="inlineStr">
        <is>
          <t>เบิก ธุรการ</t>
        </is>
      </c>
      <c r="V472" s="66" t="n"/>
      <c r="W472" s="22" t="n"/>
      <c r="X472" s="22" t="n"/>
    </row>
    <row r="473" ht="22.2" customHeight="1" s="330">
      <c r="A473" s="4" t="n"/>
      <c r="D473" s="3" t="n"/>
      <c r="E473" s="3" t="n"/>
      <c r="G473" s="308">
        <f>G427</f>
        <v/>
      </c>
      <c r="H473" s="325" t="inlineStr">
        <is>
          <t>20101-2109</t>
        </is>
      </c>
      <c r="I473" s="325" t="inlineStr">
        <is>
          <t>ปวช.3/1 ชย. (ปกติ)</t>
        </is>
      </c>
      <c r="J473" s="252" t="inlineStr">
        <is>
          <t>13.10-16.10</t>
        </is>
      </c>
      <c r="K473" s="331" t="n"/>
      <c r="L473" s="252" t="n"/>
      <c r="M473" s="252" t="n"/>
      <c r="N473" s="252" t="n"/>
      <c r="O473" s="244">
        <f>M473*N473</f>
        <v/>
      </c>
      <c r="P473" s="252" t="n"/>
      <c r="Q473" s="252" t="n"/>
      <c r="R473" s="252" t="n"/>
      <c r="S473" s="244">
        <f>Q473*R473</f>
        <v/>
      </c>
      <c r="T473" s="22" t="inlineStr">
        <is>
          <t> </t>
        </is>
      </c>
      <c r="U473" s="23" t="inlineStr">
        <is>
          <t>16.10-19.10</t>
        </is>
      </c>
      <c r="V473" s="66" t="n"/>
      <c r="W473" s="22" t="n"/>
      <c r="X473" s="22" t="n"/>
    </row>
    <row r="474" ht="22.2" customHeight="1" s="330">
      <c r="A474" s="4" t="n"/>
      <c r="B474" s="5" t="n"/>
      <c r="D474" s="3" t="n"/>
      <c r="E474" s="3" t="n"/>
      <c r="G474" s="252" t="n"/>
      <c r="H474" s="325" t="inlineStr">
        <is>
          <t>20101-8501</t>
        </is>
      </c>
      <c r="I474" s="325" t="inlineStr">
        <is>
          <t>ปวช.3/1,2 ชย. (ปกติ)</t>
        </is>
      </c>
      <c r="J474" s="252" t="inlineStr">
        <is>
          <t>16.10-18.10</t>
        </is>
      </c>
      <c r="K474" s="331" t="n"/>
      <c r="L474" s="252" t="n"/>
      <c r="M474" s="252" t="n"/>
      <c r="N474" s="252" t="n"/>
      <c r="O474" s="244">
        <f>M474*N474</f>
        <v/>
      </c>
      <c r="P474" s="252" t="n"/>
      <c r="Q474" s="252" t="n"/>
      <c r="R474" s="252" t="n"/>
      <c r="S474" s="244">
        <f>Q474*R474</f>
        <v/>
      </c>
    </row>
    <row r="475" ht="22.2" customHeight="1" s="330">
      <c r="A475" s="4" t="n"/>
      <c r="E475" s="4" t="n"/>
      <c r="G475" s="62" t="n"/>
      <c r="H475" s="249" t="n"/>
      <c r="I475" s="252" t="n"/>
      <c r="J475" s="252" t="n"/>
      <c r="K475" s="331" t="n"/>
      <c r="L475" s="252" t="n"/>
      <c r="M475" s="252" t="n"/>
      <c r="N475" s="252" t="n"/>
      <c r="O475" s="244">
        <f>M475*N475</f>
        <v/>
      </c>
      <c r="P475" s="252" t="n"/>
      <c r="Q475" s="252" t="n"/>
      <c r="R475" s="252" t="n"/>
      <c r="S475" s="244">
        <f>Q475*R475</f>
        <v/>
      </c>
    </row>
    <row r="476" ht="22.2" customHeight="1" s="330">
      <c r="A476" s="4" t="n"/>
      <c r="D476" s="8" t="inlineStr">
        <is>
          <t> </t>
        </is>
      </c>
      <c r="E476" s="4" t="n"/>
      <c r="G476" s="63" t="n"/>
      <c r="H476" s="276" t="n"/>
      <c r="I476" s="276" t="n"/>
      <c r="J476" s="276" t="n"/>
      <c r="K476" s="476" t="n"/>
      <c r="L476" s="252" t="n"/>
      <c r="M476" s="252" t="n"/>
      <c r="N476" s="252" t="n"/>
      <c r="O476" s="244">
        <f>M476*N476</f>
        <v/>
      </c>
      <c r="P476" s="252" t="n"/>
      <c r="Q476" s="252" t="n"/>
      <c r="R476" s="252" t="n"/>
      <c r="S476" s="244">
        <f>Q476*R476</f>
        <v/>
      </c>
    </row>
    <row r="477" ht="22.2" customHeight="1" s="330">
      <c r="A477" s="4" t="n"/>
      <c r="E477" s="4" t="n"/>
      <c r="G477" s="308" t="inlineStr">
        <is>
          <t>พุธ</t>
        </is>
      </c>
      <c r="H477" s="325" t="inlineStr">
        <is>
          <t>20101-2109</t>
        </is>
      </c>
      <c r="I477" s="325" t="inlineStr">
        <is>
          <t>ปวช.3/4 ชย. (ปกติ)</t>
        </is>
      </c>
      <c r="J477" s="332" t="inlineStr">
        <is>
          <t>08.10-12.10</t>
        </is>
      </c>
      <c r="K477" s="335" t="n"/>
      <c r="L477" s="265" t="n"/>
      <c r="M477" s="332" t="n"/>
      <c r="N477" s="332" t="n"/>
      <c r="O477" s="244">
        <f>M477*N477</f>
        <v/>
      </c>
      <c r="P477" s="332" t="n"/>
      <c r="Q477" s="265" t="n"/>
      <c r="R477" s="332" t="n"/>
      <c r="S477" s="244">
        <f>Q477*R477</f>
        <v/>
      </c>
    </row>
    <row r="478" ht="22.2" customHeight="1" s="330">
      <c r="A478" s="4" t="n"/>
      <c r="B478" s="248" t="n"/>
      <c r="C478" s="249" t="n"/>
      <c r="D478" s="249" t="n"/>
      <c r="E478" s="252" t="n"/>
      <c r="G478" s="308">
        <f>G432</f>
        <v/>
      </c>
      <c r="H478" s="325" t="inlineStr">
        <is>
          <t>20101-2109</t>
        </is>
      </c>
      <c r="I478" s="325" t="inlineStr">
        <is>
          <t>ปวช.3/4 ชย. (ปกติ)</t>
        </is>
      </c>
      <c r="J478" s="252" t="inlineStr">
        <is>
          <t>13.10-16.10</t>
        </is>
      </c>
      <c r="K478" s="331" t="n"/>
      <c r="L478" s="252" t="n"/>
      <c r="M478" s="252" t="n"/>
      <c r="N478" s="252" t="n"/>
      <c r="O478" s="244">
        <f>M478*N478</f>
        <v/>
      </c>
      <c r="P478" s="252" t="n"/>
      <c r="Q478" s="252" t="n"/>
      <c r="R478" s="252" t="n"/>
      <c r="S478" s="244">
        <f>Q478*R478</f>
        <v/>
      </c>
    </row>
    <row r="479" ht="22.2" customHeight="1" s="330">
      <c r="A479" s="4" t="n"/>
      <c r="B479" s="5" t="n"/>
      <c r="D479" s="3" t="n"/>
      <c r="E479" s="3" t="n"/>
      <c r="G479" s="252" t="n"/>
      <c r="H479" s="325" t="n"/>
      <c r="I479" s="325" t="n"/>
      <c r="J479" s="252" t="n"/>
      <c r="K479" s="331" t="n"/>
      <c r="L479" s="252" t="n"/>
      <c r="M479" s="252" t="n"/>
      <c r="N479" s="252" t="n"/>
      <c r="O479" s="244">
        <f>M479*N479</f>
        <v/>
      </c>
      <c r="P479" s="252" t="n"/>
      <c r="Q479" s="252" t="n"/>
      <c r="R479" s="252" t="n"/>
      <c r="S479" s="244">
        <f>Q479*R479</f>
        <v/>
      </c>
    </row>
    <row r="480" ht="22.2" customHeight="1" s="330">
      <c r="A480" s="4" t="n"/>
      <c r="E480" s="4" t="n"/>
      <c r="G480" s="248" t="n"/>
      <c r="H480" s="252" t="n"/>
      <c r="I480" s="252" t="n"/>
      <c r="J480" s="252" t="n"/>
      <c r="K480" s="331" t="n"/>
      <c r="L480" s="252" t="n"/>
      <c r="M480" s="252" t="n"/>
      <c r="N480" s="252" t="n"/>
      <c r="O480" s="244">
        <f>M480*N480</f>
        <v/>
      </c>
      <c r="P480" s="252" t="n"/>
      <c r="Q480" s="252" t="n"/>
      <c r="R480" s="252" t="n"/>
      <c r="S480" s="244">
        <f>Q480*R480</f>
        <v/>
      </c>
    </row>
    <row r="481" ht="22.2" customHeight="1" s="330">
      <c r="A481" s="4" t="n"/>
      <c r="E481" s="4" t="n"/>
      <c r="G481" s="277" t="n"/>
      <c r="H481" s="252" t="n"/>
      <c r="I481" s="276" t="n"/>
      <c r="J481" s="276" t="n"/>
      <c r="K481" s="476" t="n"/>
      <c r="L481" s="276" t="n"/>
      <c r="M481" s="276" t="n"/>
      <c r="N481" s="276" t="n"/>
      <c r="O481" s="244">
        <f>M481*N481</f>
        <v/>
      </c>
      <c r="P481" s="276" t="n"/>
      <c r="Q481" s="276" t="n"/>
      <c r="R481" s="276" t="n"/>
      <c r="S481" s="244">
        <f>Q481*R481</f>
        <v/>
      </c>
    </row>
    <row r="482" ht="22.2" customHeight="1" s="330">
      <c r="A482" s="4" t="n"/>
      <c r="D482" s="331" t="n"/>
      <c r="E482" s="56" t="n"/>
      <c r="G482" s="62" t="inlineStr">
        <is>
          <t>พฤหัส</t>
        </is>
      </c>
      <c r="H482" s="332" t="n"/>
      <c r="I482" s="325" t="n"/>
      <c r="J482" s="332" t="n"/>
      <c r="K482" s="335" t="n"/>
      <c r="L482" s="252" t="n"/>
      <c r="M482" s="252" t="n"/>
      <c r="N482" s="252" t="n"/>
      <c r="O482" s="244">
        <f>M482*N482</f>
        <v/>
      </c>
      <c r="P482" s="252" t="n"/>
      <c r="Q482" s="275" t="n"/>
      <c r="R482" s="275" t="n"/>
      <c r="S482" s="244">
        <f>Q482*R482</f>
        <v/>
      </c>
    </row>
    <row r="483" ht="22.2" customHeight="1" s="330">
      <c r="A483" s="4" t="n"/>
      <c r="D483" s="3" t="n"/>
      <c r="E483" s="3" t="n"/>
      <c r="G483" s="308">
        <f>G437</f>
        <v/>
      </c>
      <c r="H483" s="325" t="n"/>
      <c r="I483" s="325" t="n"/>
      <c r="J483" s="252" t="n"/>
      <c r="K483" s="331" t="n"/>
      <c r="L483" s="252" t="n"/>
      <c r="M483" s="252" t="n"/>
      <c r="N483" s="252" t="n"/>
      <c r="O483" s="244">
        <f>M483*N483</f>
        <v/>
      </c>
      <c r="P483" s="252" t="n"/>
      <c r="Q483" s="252" t="n"/>
      <c r="R483" s="252" t="n"/>
      <c r="S483" s="244">
        <f>Q483*R483</f>
        <v/>
      </c>
    </row>
    <row r="484" ht="22.2" customHeight="1" s="330">
      <c r="A484" s="4" t="n"/>
      <c r="B484" s="5" t="n"/>
      <c r="E484" s="4" t="n"/>
      <c r="G484" s="252" t="n"/>
      <c r="H484" s="325" t="n"/>
      <c r="I484" s="325" t="n"/>
      <c r="J484" s="252" t="n"/>
      <c r="K484" s="331" t="n"/>
      <c r="L484" s="325" t="n"/>
      <c r="M484" s="325" t="n"/>
      <c r="N484" s="325" t="n"/>
      <c r="O484" s="244">
        <f>M484*N484</f>
        <v/>
      </c>
      <c r="P484" s="325" t="n"/>
      <c r="Q484" s="325" t="n"/>
      <c r="R484" s="325" t="n"/>
      <c r="S484" s="244">
        <f>Q484*R484</f>
        <v/>
      </c>
    </row>
    <row r="485" ht="22.2" customHeight="1" s="330">
      <c r="A485" s="4" t="n"/>
      <c r="E485" s="4" t="n"/>
      <c r="G485" s="252" t="n"/>
      <c r="H485" s="252" t="n"/>
      <c r="I485" s="252" t="n"/>
      <c r="J485" s="252" t="n"/>
      <c r="K485" s="331" t="n"/>
      <c r="L485" s="252" t="n"/>
      <c r="M485" s="252" t="n"/>
      <c r="N485" s="252" t="n"/>
      <c r="O485" s="244">
        <f>M485*N485</f>
        <v/>
      </c>
      <c r="P485" s="252" t="n"/>
      <c r="Q485" s="252" t="n"/>
      <c r="R485" s="252" t="n"/>
      <c r="S485" s="244">
        <f>Q485*R485</f>
        <v/>
      </c>
    </row>
    <row r="486" ht="22.2" customHeight="1" s="330">
      <c r="A486" s="4" t="n"/>
      <c r="E486" s="4" t="n"/>
      <c r="G486" s="276" t="n"/>
      <c r="H486" s="301" t="n"/>
      <c r="I486" s="276" t="n"/>
      <c r="J486" s="276" t="n"/>
      <c r="K486" s="476" t="n"/>
      <c r="L486" s="276" t="n"/>
      <c r="M486" s="276" t="n"/>
      <c r="N486" s="276" t="n"/>
      <c r="O486" s="244">
        <f>M486*N486</f>
        <v/>
      </c>
      <c r="P486" s="276" t="n"/>
      <c r="Q486" s="276" t="n"/>
      <c r="R486" s="276" t="n"/>
      <c r="S486" s="244">
        <f>Q486*R486</f>
        <v/>
      </c>
    </row>
    <row r="487" ht="22.2" customHeight="1" s="330">
      <c r="A487" s="4" t="n"/>
      <c r="E487" s="4" t="n"/>
      <c r="G487" s="62" t="inlineStr">
        <is>
          <t>ศุกร์</t>
        </is>
      </c>
      <c r="H487" s="325" t="inlineStr">
        <is>
          <t>20101-2109</t>
        </is>
      </c>
      <c r="I487" s="325" t="inlineStr">
        <is>
          <t>ปวช.3/3 ชย. (ปกติ)</t>
        </is>
      </c>
      <c r="J487" s="332" t="inlineStr">
        <is>
          <t>09.10-12.10</t>
        </is>
      </c>
      <c r="K487" s="335" t="n"/>
      <c r="L487" s="252" t="n"/>
      <c r="M487" s="252" t="n"/>
      <c r="N487" s="252" t="n"/>
      <c r="O487" s="244">
        <f>M487*N487</f>
        <v/>
      </c>
      <c r="P487" s="332" t="n"/>
      <c r="Q487" s="265" t="n"/>
      <c r="R487" s="332" t="n"/>
      <c r="S487" s="244">
        <f>Q487*R487</f>
        <v/>
      </c>
      <c r="T487" s="25" t="n"/>
      <c r="U487" s="26" t="inlineStr">
        <is>
          <t xml:space="preserve">     PLC</t>
        </is>
      </c>
      <c r="V487" s="64" t="n"/>
      <c r="W487" s="27" t="n"/>
      <c r="X487" s="27" t="n"/>
    </row>
    <row r="488" ht="22.2" customHeight="1" s="330">
      <c r="A488" s="4" t="n"/>
      <c r="E488" s="4" t="n"/>
      <c r="G488" s="308">
        <f>G442</f>
        <v/>
      </c>
      <c r="H488" s="325" t="inlineStr">
        <is>
          <t>20101-2109</t>
        </is>
      </c>
      <c r="I488" s="325" t="inlineStr">
        <is>
          <t>ปวช.3/3 ชย. (ปกติ)</t>
        </is>
      </c>
      <c r="J488" s="252" t="inlineStr">
        <is>
          <t>13.10-17.10</t>
        </is>
      </c>
      <c r="K488" s="331" t="n"/>
      <c r="L488" s="252" t="n"/>
      <c r="M488" s="252" t="n"/>
      <c r="N488" s="252" t="n"/>
      <c r="O488" s="244">
        <f>M488*N488</f>
        <v/>
      </c>
      <c r="P488" s="252" t="n"/>
      <c r="Q488" s="252" t="n"/>
      <c r="R488" s="252" t="n"/>
      <c r="S488" s="244">
        <f>Q488*R488</f>
        <v/>
      </c>
      <c r="T488" s="27" t="inlineStr">
        <is>
          <t> </t>
        </is>
      </c>
      <c r="U488" s="26" t="inlineStr">
        <is>
          <t>17.10-19.10</t>
        </is>
      </c>
      <c r="V488" s="64" t="n"/>
      <c r="W488" s="27" t="n"/>
      <c r="X488" s="27" t="n"/>
    </row>
    <row r="489" ht="22.2" customHeight="1" s="330">
      <c r="A489" s="4" t="n"/>
      <c r="E489" s="4" t="n"/>
      <c r="G489" s="252" t="n"/>
      <c r="H489" s="252" t="n"/>
      <c r="I489" s="252" t="n"/>
      <c r="J489" s="252" t="n"/>
      <c r="K489" s="331" t="n"/>
      <c r="L489" s="252" t="n"/>
      <c r="M489" s="252" t="n"/>
      <c r="N489" s="252" t="n"/>
      <c r="O489" s="244">
        <f>M489*N489</f>
        <v/>
      </c>
      <c r="P489" s="252" t="n"/>
      <c r="Q489" s="252" t="n"/>
      <c r="R489" s="252" t="n"/>
      <c r="S489" s="244">
        <f>Q489*R489</f>
        <v/>
      </c>
    </row>
    <row r="490" ht="22.2" customHeight="1" s="330">
      <c r="A490" s="4" t="n"/>
      <c r="E490" s="4" t="n"/>
      <c r="G490" s="252" t="n"/>
      <c r="H490" s="249" t="inlineStr">
        <is>
          <t> </t>
        </is>
      </c>
      <c r="I490" s="252" t="n"/>
      <c r="J490" s="252" t="n"/>
      <c r="K490" s="331" t="n"/>
      <c r="L490" s="252" t="n"/>
      <c r="M490" s="252" t="n"/>
      <c r="N490" s="252" t="n"/>
      <c r="O490" s="244">
        <f>M490*N490</f>
        <v/>
      </c>
      <c r="P490" s="252" t="n"/>
      <c r="Q490" s="252" t="n"/>
      <c r="R490" s="252" t="n"/>
      <c r="S490" s="244">
        <f>Q490*R490</f>
        <v/>
      </c>
    </row>
    <row r="491" ht="22.2" customHeight="1" s="330">
      <c r="A491" s="4" t="n"/>
      <c r="E491" s="4" t="n"/>
      <c r="F491" s="4" t="n"/>
      <c r="G491" s="278" t="n"/>
      <c r="H491" s="301" t="n"/>
      <c r="I491" s="276" t="n"/>
      <c r="J491" s="276" t="n"/>
      <c r="K491" s="476" t="n"/>
      <c r="L491" s="276" t="n"/>
      <c r="M491" s="276" t="n"/>
      <c r="N491" s="276" t="n"/>
      <c r="O491" s="244">
        <f>M491*N491</f>
        <v/>
      </c>
      <c r="P491" s="276" t="n"/>
      <c r="Q491" s="276" t="n"/>
      <c r="R491" s="276" t="n"/>
      <c r="S491" s="244">
        <f>Q491*R491</f>
        <v/>
      </c>
    </row>
    <row r="492" ht="22.2" customHeight="1" s="330">
      <c r="A492" s="4" t="n"/>
      <c r="E492" s="4" t="n"/>
      <c r="F492" s="4" t="n"/>
      <c r="G492" s="17" t="inlineStr">
        <is>
          <t>รวมขั่วโมงที่สอนแยก ภาระงาน/ เกินภาระงาน</t>
        </is>
      </c>
      <c r="H492" s="467" t="n"/>
      <c r="I492" s="467" t="n"/>
      <c r="J492" s="467" t="n"/>
      <c r="K492" s="362" t="n"/>
      <c r="L492" s="17">
        <f>SUM(L467:L491)</f>
        <v/>
      </c>
      <c r="M492" s="17">
        <f>SUM(M467:M491)</f>
        <v/>
      </c>
      <c r="N492" s="17" t="n"/>
      <c r="O492" s="17" t="n"/>
      <c r="P492" s="17">
        <f>SUM(P467:P491)</f>
        <v/>
      </c>
      <c r="Q492" s="17">
        <f>SUM(Q467:Q491)</f>
        <v/>
      </c>
      <c r="R492" s="279" t="n"/>
      <c r="S492" s="17" t="n"/>
    </row>
    <row r="493" ht="22.2" customHeight="1" s="330">
      <c r="A493" s="4" t="n"/>
      <c r="E493" s="4" t="n"/>
      <c r="F493" s="4" t="n"/>
      <c r="G493" s="17" t="inlineStr">
        <is>
          <t>รวมจำนวนชั่วโมงสอนคาบต่อสับดาห์</t>
        </is>
      </c>
      <c r="H493" s="467" t="n"/>
      <c r="I493" s="467" t="n"/>
      <c r="J493" s="467" t="n"/>
      <c r="K493" s="362" t="n"/>
      <c r="L493" s="17">
        <f>L492+M492</f>
        <v/>
      </c>
      <c r="M493" s="362" t="n"/>
      <c r="N493" s="17" t="n"/>
      <c r="O493" s="298" t="n"/>
      <c r="P493" s="17">
        <f>P492+Q492</f>
        <v/>
      </c>
      <c r="Q493" s="362" t="n"/>
      <c r="R493" s="278" t="n"/>
      <c r="S493" s="276" t="n"/>
    </row>
    <row r="494" ht="22.2" customHeight="1" s="330">
      <c r="A494" s="4" t="n"/>
      <c r="E494" s="4" t="n"/>
      <c r="F494" s="4" t="n"/>
      <c r="G494" s="17" t="inlineStr">
        <is>
          <t>จำนวนชั่วโมงสอนตามภาระงานสอน</t>
        </is>
      </c>
      <c r="H494" s="467" t="n"/>
      <c r="I494" s="467" t="n"/>
      <c r="J494" s="467" t="n"/>
      <c r="K494" s="362" t="n"/>
      <c r="L494" s="153" t="inlineStr">
        <is>
          <t>18</t>
        </is>
      </c>
      <c r="M494" s="362" t="n"/>
      <c r="N494" s="152" t="n"/>
      <c r="O494" s="153" t="n"/>
      <c r="P494" s="153" t="inlineStr">
        <is>
          <t>0</t>
        </is>
      </c>
      <c r="Q494" s="362" t="n"/>
      <c r="R494" s="249" t="n"/>
      <c r="S494" s="252" t="n"/>
    </row>
    <row r="495" ht="22.2" customHeight="1" s="330" thickBot="1">
      <c r="A495" s="4" t="n"/>
      <c r="E495" s="4" t="n"/>
      <c r="F495" s="15" t="n"/>
      <c r="G495" s="17" t="inlineStr">
        <is>
          <t>จำนวนชั่วโมงบิกเกินภาระงานสอน/ค่าสอน</t>
        </is>
      </c>
      <c r="H495" s="467" t="n"/>
      <c r="I495" s="467" t="n"/>
      <c r="J495" s="467" t="n"/>
      <c r="K495" s="362" t="n"/>
      <c r="L495" s="18" t="n">
        <v>0</v>
      </c>
      <c r="M495" s="18">
        <f>SUM(M467:M491)</f>
        <v/>
      </c>
      <c r="N495" s="18" t="n"/>
      <c r="O495" s="18">
        <f>SUM(O467:O491)</f>
        <v/>
      </c>
      <c r="P495" s="18" t="n">
        <v>0</v>
      </c>
      <c r="Q495" s="18">
        <f>SUM(Q467:Q491)</f>
        <v/>
      </c>
      <c r="R495" s="19" t="n"/>
      <c r="S495" s="18">
        <f>SUM(S467:S491)</f>
        <v/>
      </c>
    </row>
    <row r="496" ht="22.2" customHeight="1" s="330" thickTop="1">
      <c r="A496" s="299" t="inlineStr">
        <is>
          <t>รวมจำนวนหน่วยชั่วโมงที่ขอเบิกค่าสอน ….</t>
        </is>
      </c>
      <c r="B496" s="467" t="n"/>
      <c r="C496" s="467" t="n"/>
      <c r="D496" s="467" t="n"/>
      <c r="E496" s="467" t="n"/>
      <c r="F496" s="467" t="n"/>
      <c r="G496" s="467" t="n"/>
      <c r="H496" s="298">
        <f>M495+Q495</f>
        <v/>
      </c>
      <c r="I496" s="298" t="inlineStr">
        <is>
          <t>….ชั่วโมง</t>
        </is>
      </c>
      <c r="J496" s="298" t="n"/>
      <c r="K496" s="301" t="inlineStr">
        <is>
          <t>ยอดเงินรวม</t>
        </is>
      </c>
      <c r="L496" s="471" t="n"/>
      <c r="M496" s="471" t="n"/>
      <c r="N496" s="301" t="n"/>
      <c r="O496" s="301" t="n"/>
      <c r="P496" s="302">
        <f>S495+O495</f>
        <v/>
      </c>
      <c r="Q496" s="482" t="n"/>
      <c r="R496" s="21" t="n"/>
      <c r="S496" s="20" t="inlineStr">
        <is>
          <t>..บาท</t>
        </is>
      </c>
    </row>
    <row r="497" ht="22.2" customHeight="1" s="330">
      <c r="A497" s="207" t="inlineStr">
        <is>
          <t>ผู้ขอเบิก</t>
        </is>
      </c>
      <c r="B497" s="334" t="n"/>
      <c r="C497" s="334" t="n"/>
      <c r="D497" s="334" t="n"/>
      <c r="E497" s="334" t="n"/>
      <c r="F497" s="334" t="n"/>
      <c r="G497" s="335" t="n"/>
      <c r="H497" s="207" t="inlineStr">
        <is>
          <t>ผู้รับรอง</t>
        </is>
      </c>
      <c r="I497" s="334" t="n"/>
      <c r="J497" s="334" t="n"/>
      <c r="K497" s="334" t="n"/>
      <c r="L497" s="335" t="n"/>
      <c r="M497" s="207" t="inlineStr">
        <is>
          <t>ผู้ตรวจ</t>
        </is>
      </c>
      <c r="N497" s="334" t="n"/>
      <c r="O497" s="334" t="n"/>
      <c r="P497" s="334" t="n"/>
      <c r="Q497" s="334" t="n"/>
      <c r="R497" s="334" t="n"/>
      <c r="S497" s="335" t="n"/>
    </row>
    <row r="498" ht="22.2" customHeight="1" s="330">
      <c r="A498" s="252" t="inlineStr">
        <is>
          <t>ลงชื่อ……………………………………………</t>
        </is>
      </c>
      <c r="G498" s="331" t="n"/>
      <c r="H498" s="252" t="inlineStr">
        <is>
          <t>ลงชื่อ……………………………………………</t>
        </is>
      </c>
      <c r="L498" s="331" t="n"/>
      <c r="M498" s="252" t="inlineStr">
        <is>
          <t>ลงชื่อ……………………………………………</t>
        </is>
      </c>
      <c r="S498" s="331" t="n"/>
    </row>
    <row r="499" ht="22.2" customHeight="1" s="330">
      <c r="A499" s="12" t="inlineStr">
        <is>
          <t>(</t>
        </is>
      </c>
      <c r="B499" s="309">
        <f>B467</f>
        <v/>
      </c>
      <c r="G499" s="310" t="inlineStr">
        <is>
          <t>)</t>
        </is>
      </c>
      <c r="H499" s="309" t="inlineStr">
        <is>
          <t>(</t>
        </is>
      </c>
      <c r="I499" s="314">
        <f>I453</f>
        <v/>
      </c>
      <c r="L499" s="13" t="inlineStr">
        <is>
          <t>)</t>
        </is>
      </c>
      <c r="M499" s="61" t="inlineStr">
        <is>
          <t>(</t>
        </is>
      </c>
      <c r="N499" s="61" t="n"/>
      <c r="O499" s="309" t="inlineStr">
        <is>
          <t>นายพิสุทธิศักดิ์  กล่อมนาค</t>
        </is>
      </c>
      <c r="R499" s="29" t="n"/>
      <c r="S499" s="310" t="inlineStr">
        <is>
          <t>)</t>
        </is>
      </c>
    </row>
    <row r="500" ht="22.2" customHeight="1" s="330">
      <c r="A500" s="483" t="inlineStr">
        <is>
          <t xml:space="preserve">                 ตำแหน่ง  ครู </t>
        </is>
      </c>
      <c r="G500" s="331" t="n"/>
      <c r="H500" s="62" t="inlineStr">
        <is>
          <t>ตำแหน่ง หัวหน้าแผนก</t>
        </is>
      </c>
      <c r="L500" s="331" t="n"/>
      <c r="M500" s="62" t="inlineStr">
        <is>
          <t>ตำแหน่ง   ผู้ตรวจสอบ</t>
        </is>
      </c>
      <c r="S500" s="331" t="n"/>
    </row>
    <row r="501" ht="22.2" customHeight="1" s="330">
      <c r="A501" s="63">
        <f>A41</f>
        <v/>
      </c>
      <c r="B501" s="471" t="n"/>
      <c r="C501" s="471" t="n"/>
      <c r="D501" s="471" t="n"/>
      <c r="E501" s="471" t="n"/>
      <c r="F501" s="471" t="n"/>
      <c r="G501" s="476" t="n"/>
      <c r="H501" s="62">
        <f>A41</f>
        <v/>
      </c>
      <c r="L501" s="331" t="n"/>
      <c r="M501" s="63">
        <f>A41</f>
        <v/>
      </c>
      <c r="N501" s="471" t="n"/>
      <c r="O501" s="471" t="n"/>
      <c r="P501" s="471" t="n"/>
      <c r="Q501" s="471" t="n"/>
      <c r="R501" s="471" t="n"/>
      <c r="S501" s="476" t="n"/>
    </row>
    <row r="502" ht="22.2" customHeight="1" s="330">
      <c r="A502" s="207" t="inlineStr">
        <is>
          <t>ผู้ตรวจ</t>
        </is>
      </c>
      <c r="B502" s="334" t="n"/>
      <c r="C502" s="334" t="n"/>
      <c r="D502" s="334" t="n"/>
      <c r="E502" s="334" t="n"/>
      <c r="F502" s="334" t="n"/>
      <c r="G502" s="334" t="n"/>
      <c r="H502" s="334" t="n"/>
      <c r="I502" s="335" t="n"/>
      <c r="J502" s="207" t="inlineStr">
        <is>
          <t>ผู้เห็นชอบ</t>
        </is>
      </c>
      <c r="K502" s="334" t="n"/>
      <c r="L502" s="334" t="n"/>
      <c r="M502" s="334" t="n"/>
      <c r="N502" s="334" t="n"/>
      <c r="O502" s="334" t="n"/>
      <c r="P502" s="334" t="n"/>
      <c r="Q502" s="334" t="n"/>
      <c r="R502" s="334" t="n"/>
      <c r="S502" s="335" t="n"/>
    </row>
    <row r="503" ht="22.2" customHeight="1" s="330">
      <c r="A503" s="252" t="inlineStr">
        <is>
          <t>ลงชื่อ……………………………………………</t>
        </is>
      </c>
      <c r="I503" s="331" t="n"/>
      <c r="J503" s="252" t="inlineStr">
        <is>
          <t>ลงชื่อ……………………………………………</t>
        </is>
      </c>
      <c r="S503" s="331" t="n"/>
    </row>
    <row r="504" ht="22.2" customHeight="1" s="330">
      <c r="A504" s="12" t="n"/>
      <c r="B504" s="309" t="inlineStr">
        <is>
          <t xml:space="preserve">          (นางศิวรักษ์   บุญประเสริฐ)</t>
        </is>
      </c>
      <c r="I504" s="310" t="n"/>
      <c r="J504" s="29" t="n"/>
      <c r="K504" s="29" t="n"/>
      <c r="L504" s="309" t="inlineStr">
        <is>
          <t>(นายปรีชา  โพธิ์เกิด)</t>
        </is>
      </c>
      <c r="R504" s="29" t="n"/>
      <c r="S504" s="13" t="n"/>
    </row>
    <row r="505" ht="22.2" customHeight="1" s="330">
      <c r="A505" s="62" t="inlineStr">
        <is>
          <t>ตำแหน่งครู  หัวหน้างานพัฒนาหลักสูตร ฯ</t>
        </is>
      </c>
      <c r="I505" s="331" t="n"/>
      <c r="J505" s="62" t="inlineStr">
        <is>
          <t>ตำแหน่ง  รองผู้อำนวยการฝ่ายวิชาการ</t>
        </is>
      </c>
      <c r="S505" s="331" t="n"/>
    </row>
    <row r="506" ht="22.2" customHeight="1" s="330">
      <c r="A506" s="63">
        <f>A41</f>
        <v/>
      </c>
      <c r="B506" s="471" t="n"/>
      <c r="C506" s="471" t="n"/>
      <c r="D506" s="471" t="n"/>
      <c r="E506" s="471" t="n"/>
      <c r="F506" s="471" t="n"/>
      <c r="G506" s="471" t="n"/>
      <c r="H506" s="471" t="n"/>
      <c r="I506" s="476" t="n"/>
      <c r="J506" s="63">
        <f>A41</f>
        <v/>
      </c>
      <c r="K506" s="471" t="n"/>
      <c r="L506" s="471" t="n"/>
      <c r="M506" s="471" t="n"/>
      <c r="N506" s="471" t="n"/>
      <c r="O506" s="471" t="n"/>
      <c r="P506" s="471" t="n"/>
      <c r="Q506" s="471" t="n"/>
      <c r="R506" s="471" t="n"/>
      <c r="S506" s="476" t="n"/>
    </row>
    <row r="507" ht="22.2" customHeight="1" s="330">
      <c r="A50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508" ht="22.2" customHeight="1" s="330">
      <c r="A508" s="254">
        <f>A2</f>
        <v/>
      </c>
    </row>
    <row r="509" ht="22.2" customHeight="1" s="330">
      <c r="A509" s="253" t="inlineStr">
        <is>
          <t xml:space="preserve">    ระหว่างวันที่</t>
        </is>
      </c>
      <c r="D509" s="254">
        <f>D3</f>
        <v/>
      </c>
      <c r="E509" s="254" t="inlineStr">
        <is>
          <t xml:space="preserve">   เดือน  </t>
        </is>
      </c>
      <c r="F509" s="254">
        <f>F3</f>
        <v/>
      </c>
      <c r="H509" s="254">
        <f>H3</f>
        <v/>
      </c>
      <c r="I509" s="254" t="inlineStr">
        <is>
          <t xml:space="preserve">     ถึง วันที่</t>
        </is>
      </c>
      <c r="J509" s="254">
        <f>J3</f>
        <v/>
      </c>
      <c r="K509" s="254" t="inlineStr">
        <is>
          <t xml:space="preserve">   เดือน </t>
        </is>
      </c>
      <c r="L509" s="254">
        <f>L3</f>
        <v/>
      </c>
      <c r="N509" s="254">
        <f>N3</f>
        <v/>
      </c>
      <c r="P509" s="254" t="n"/>
      <c r="R509" s="254" t="n"/>
    </row>
    <row r="510" ht="22.2" customHeight="1" s="330">
      <c r="G510" s="58" t="inlineStr">
        <is>
          <t>ü</t>
        </is>
      </c>
      <c r="H510" s="290" t="inlineStr">
        <is>
          <t>ครู</t>
        </is>
      </c>
      <c r="I510" s="249" t="inlineStr">
        <is>
          <t>หน้าที่พิเศษ</t>
        </is>
      </c>
      <c r="J510" s="290" t="inlineStr">
        <is>
          <t>หัวหน้างานโครงการพิเศษและบริการชุมชน</t>
        </is>
      </c>
    </row>
    <row r="511" ht="22.2" customHeight="1" s="330">
      <c r="A511" s="28" t="inlineStr">
        <is>
          <t>ที่</t>
        </is>
      </c>
      <c r="B511" s="28" t="inlineStr">
        <is>
          <t>ชื่อ-สกุล</t>
        </is>
      </c>
      <c r="C511" s="334" t="n"/>
      <c r="D511" s="335" t="n"/>
      <c r="E511" s="16" t="inlineStr">
        <is>
          <t>ตำแหน่ง</t>
        </is>
      </c>
      <c r="F511" s="17" t="inlineStr">
        <is>
          <t>ระยะเวลาที่สอน</t>
        </is>
      </c>
      <c r="G511" s="362" t="n"/>
      <c r="H511" s="17" t="inlineStr">
        <is>
          <t>รหัสวิชา</t>
        </is>
      </c>
      <c r="I511" s="275" t="inlineStr">
        <is>
          <t>ชั้น,แผนก,ห้อง</t>
        </is>
      </c>
      <c r="J511" s="17" t="inlineStr">
        <is>
          <t>เวลาสอน</t>
        </is>
      </c>
      <c r="K511" s="335" t="n"/>
      <c r="L511" s="17" t="inlineStr">
        <is>
          <t>ปวช.(คาบ)</t>
        </is>
      </c>
      <c r="M511" s="362" t="n"/>
      <c r="N511" s="244" t="inlineStr">
        <is>
          <t>เงิน</t>
        </is>
      </c>
      <c r="O511" s="275" t="inlineStr">
        <is>
          <t>ยอดเงิน</t>
        </is>
      </c>
      <c r="P511" s="473" t="inlineStr">
        <is>
          <t>ปวส.(คาบ)</t>
        </is>
      </c>
      <c r="Q511" s="362" t="n"/>
      <c r="R511" s="244" t="inlineStr">
        <is>
          <t>เงิน</t>
        </is>
      </c>
      <c r="S511" s="275" t="inlineStr">
        <is>
          <t>ยอดเงิน</t>
        </is>
      </c>
    </row>
    <row r="512" ht="22.2" customHeight="1" s="330">
      <c r="A512" s="60" t="n"/>
      <c r="B512" s="9" t="n"/>
      <c r="C512" s="10" t="n"/>
      <c r="D512" s="14" t="n"/>
      <c r="E512" s="11" t="n"/>
      <c r="F512" s="276" t="inlineStr">
        <is>
          <t>ส.</t>
        </is>
      </c>
      <c r="G512" s="276" t="inlineStr">
        <is>
          <t>วดป.</t>
        </is>
      </c>
      <c r="H512" s="474" t="n"/>
      <c r="I512" s="276" t="n"/>
      <c r="J512" s="475" t="n"/>
      <c r="K512" s="476" t="n"/>
      <c r="L512" s="276" t="inlineStr">
        <is>
          <t>ใน</t>
        </is>
      </c>
      <c r="M512" s="276" t="inlineStr">
        <is>
          <t>นอก</t>
        </is>
      </c>
      <c r="N512" s="276" t="inlineStr">
        <is>
          <t>ต่อ ชม.</t>
        </is>
      </c>
      <c r="O512" s="276" t="inlineStr">
        <is>
          <t>(บาท)</t>
        </is>
      </c>
      <c r="P512" s="60" t="inlineStr">
        <is>
          <t>ใน</t>
        </is>
      </c>
      <c r="Q512" s="60" t="inlineStr">
        <is>
          <t>นอก</t>
        </is>
      </c>
      <c r="R512" s="276" t="inlineStr">
        <is>
          <t>ต่อ ชม.</t>
        </is>
      </c>
      <c r="S512" s="276" t="inlineStr">
        <is>
          <t>(บาท)</t>
        </is>
      </c>
    </row>
    <row r="513" ht="22.2" customHeight="1" s="330">
      <c r="A513" s="275" t="n">
        <v>12</v>
      </c>
      <c r="B513" s="477">
        <f>AB14</f>
        <v/>
      </c>
      <c r="C513" s="334" t="n"/>
      <c r="D513" s="335" t="n"/>
      <c r="E513" s="275" t="inlineStr">
        <is>
          <t>ครู</t>
        </is>
      </c>
      <c r="F513" s="6">
        <f>F7</f>
        <v/>
      </c>
      <c r="G513" s="303" t="inlineStr">
        <is>
          <t>จันทร์</t>
        </is>
      </c>
      <c r="H513" s="332" t="inlineStr">
        <is>
          <t>20101-2008</t>
        </is>
      </c>
      <c r="I513" s="325" t="inlineStr">
        <is>
          <t>ปวช.1/8 ชย. (ปกติ)</t>
        </is>
      </c>
      <c r="J513" s="252" t="inlineStr">
        <is>
          <t>13.10-17.10</t>
        </is>
      </c>
      <c r="K513" s="331" t="n"/>
      <c r="L513" s="265" t="n"/>
      <c r="M513" s="332" t="n"/>
      <c r="N513" s="332" t="n"/>
      <c r="O513" s="244">
        <f>M513*N513</f>
        <v/>
      </c>
      <c r="P513" s="332" t="n"/>
      <c r="Q513" s="265" t="n"/>
      <c r="R513" s="332" t="n"/>
      <c r="S513" s="244">
        <f>Q513*R513</f>
        <v/>
      </c>
    </row>
    <row r="514" ht="22.2" customHeight="1" s="330">
      <c r="A514" s="4" t="n"/>
      <c r="B514" s="478" t="n"/>
      <c r="D514" s="331" t="n"/>
      <c r="E514" s="51" t="n"/>
      <c r="F514" s="249" t="n"/>
      <c r="G514" s="308">
        <f>G468</f>
        <v/>
      </c>
      <c r="H514" s="325" t="n"/>
      <c r="I514" s="325" t="n"/>
      <c r="J514" s="252" t="n"/>
      <c r="K514" s="331" t="n"/>
      <c r="L514" s="252" t="n"/>
      <c r="M514" s="252" t="n"/>
      <c r="N514" s="252" t="n"/>
      <c r="O514" s="244">
        <f>M514*N514</f>
        <v/>
      </c>
      <c r="P514" s="252" t="n"/>
      <c r="Q514" s="252" t="n"/>
      <c r="R514" s="252" t="n"/>
      <c r="S514" s="244">
        <f>Q514*R514</f>
        <v/>
      </c>
    </row>
    <row r="515" ht="22.2" customHeight="1" s="330">
      <c r="A515" s="4" t="n"/>
      <c r="B515" s="5" t="n"/>
      <c r="D515" s="3" t="n"/>
      <c r="E515" s="3" t="n"/>
      <c r="F515" s="249" t="n"/>
      <c r="G515" s="248" t="n"/>
      <c r="H515" s="252" t="n"/>
      <c r="I515" s="252" t="n"/>
      <c r="J515" s="252" t="n"/>
      <c r="K515" s="331" t="n"/>
      <c r="L515" s="252" t="n"/>
      <c r="M515" s="252" t="n"/>
      <c r="N515" s="252" t="n"/>
      <c r="O515" s="244">
        <f>M515*N515</f>
        <v/>
      </c>
      <c r="P515" s="252" t="n"/>
      <c r="Q515" s="252" t="n"/>
      <c r="R515" s="252" t="n"/>
      <c r="S515" s="244">
        <f>Q515*R515</f>
        <v/>
      </c>
    </row>
    <row r="516" ht="22.2" customHeight="1" s="330">
      <c r="A516" s="4" t="n"/>
      <c r="B516" s="5" t="n"/>
      <c r="E516" s="4" t="n"/>
      <c r="F516" s="249" t="n"/>
      <c r="G516" s="248" t="n"/>
      <c r="H516" s="252" t="n"/>
      <c r="I516" s="252" t="n"/>
      <c r="J516" s="252" t="n"/>
      <c r="K516" s="331" t="n"/>
      <c r="L516" s="252" t="n"/>
      <c r="M516" s="252" t="n"/>
      <c r="N516" s="252" t="n"/>
      <c r="O516" s="244">
        <f>M516*N516</f>
        <v/>
      </c>
      <c r="P516" s="252" t="n"/>
      <c r="Q516" s="252" t="n"/>
      <c r="R516" s="252" t="n"/>
      <c r="S516" s="244">
        <f>Q516*R516</f>
        <v/>
      </c>
    </row>
    <row r="517" ht="22.2" customHeight="1" s="330">
      <c r="A517" s="4" t="n"/>
      <c r="E517" s="4" t="n"/>
      <c r="G517" s="311" t="n"/>
      <c r="H517" s="276" t="n"/>
      <c r="I517" s="276" t="n"/>
      <c r="J517" s="276" t="n"/>
      <c r="K517" s="476" t="n"/>
      <c r="L517" s="252" t="n"/>
      <c r="M517" s="252" t="n"/>
      <c r="N517" s="252" t="n"/>
      <c r="O517" s="244">
        <f>M517*N517</f>
        <v/>
      </c>
      <c r="P517" s="252" t="n"/>
      <c r="Q517" s="252" t="n"/>
      <c r="R517" s="252" t="n"/>
      <c r="S517" s="244">
        <f>Q517*R517</f>
        <v/>
      </c>
    </row>
    <row r="518" ht="22.2" customHeight="1" s="330">
      <c r="A518" s="4" t="n"/>
      <c r="E518" s="4" t="n"/>
      <c r="G518" s="62" t="inlineStr">
        <is>
          <t>อังคาร</t>
        </is>
      </c>
      <c r="H518" s="325" t="inlineStr">
        <is>
          <t>20101-2002</t>
        </is>
      </c>
      <c r="I518" s="325" t="inlineStr">
        <is>
          <t>ปวช.2/7 ชย. (ปกติ)</t>
        </is>
      </c>
      <c r="J518" s="332" t="inlineStr">
        <is>
          <t>08.10-12.10</t>
        </is>
      </c>
      <c r="K518" s="335" t="n"/>
      <c r="L518" s="265" t="n"/>
      <c r="M518" s="332" t="n"/>
      <c r="N518" s="332" t="n"/>
      <c r="O518" s="244">
        <f>M518*N518</f>
        <v/>
      </c>
      <c r="P518" s="332" t="n"/>
      <c r="Q518" s="265" t="n"/>
      <c r="R518" s="332" t="n"/>
      <c r="S518" s="244">
        <f>Q518*R518</f>
        <v/>
      </c>
    </row>
    <row r="519" ht="22.2" customHeight="1" s="330">
      <c r="A519" s="4" t="n"/>
      <c r="E519" s="4" t="n"/>
      <c r="G519" s="308">
        <f>G473</f>
        <v/>
      </c>
      <c r="H519" s="325" t="inlineStr">
        <is>
          <t>20101-2002</t>
        </is>
      </c>
      <c r="I519" s="325" t="inlineStr">
        <is>
          <t>ปวช.2/7 ชย. (ปกติ)</t>
        </is>
      </c>
      <c r="J519" s="252" t="inlineStr">
        <is>
          <t>13.10-16.10</t>
        </is>
      </c>
      <c r="K519" s="331" t="n"/>
      <c r="L519" s="252" t="n"/>
      <c r="M519" s="252" t="n"/>
      <c r="N519" s="252" t="n"/>
      <c r="O519" s="244">
        <f>M519*N519</f>
        <v/>
      </c>
      <c r="P519" s="252" t="n"/>
      <c r="Q519" s="252" t="n"/>
      <c r="R519" s="252" t="n"/>
      <c r="S519" s="244">
        <f>Q519*R519</f>
        <v/>
      </c>
    </row>
    <row r="520" ht="22.2" customHeight="1" s="330">
      <c r="A520" s="4" t="n"/>
      <c r="B520" s="5" t="n"/>
      <c r="D520" s="3" t="n"/>
      <c r="E520" s="3" t="n"/>
      <c r="G520" s="252" t="n"/>
      <c r="H520" s="252" t="n"/>
      <c r="I520" s="252" t="n"/>
      <c r="J520" s="252" t="n"/>
      <c r="K520" s="331" t="n"/>
      <c r="L520" s="252" t="n"/>
      <c r="M520" s="252" t="n"/>
      <c r="N520" s="252" t="n"/>
      <c r="O520" s="244">
        <f>M520*N520</f>
        <v/>
      </c>
      <c r="P520" s="252" t="n"/>
      <c r="Q520" s="252" t="n"/>
      <c r="R520" s="252" t="n"/>
      <c r="S520" s="244">
        <f>Q520*R520</f>
        <v/>
      </c>
    </row>
    <row r="521" ht="22.2" customHeight="1" s="330">
      <c r="A521" s="4" t="n"/>
      <c r="E521" s="4" t="n"/>
      <c r="G521" s="62" t="n"/>
      <c r="H521" s="249" t="n"/>
      <c r="I521" s="252" t="n"/>
      <c r="J521" s="252" t="n"/>
      <c r="K521" s="331" t="n"/>
      <c r="L521" s="252" t="n"/>
      <c r="M521" s="252" t="n"/>
      <c r="N521" s="252" t="n"/>
      <c r="O521" s="244">
        <f>M521*N521</f>
        <v/>
      </c>
      <c r="P521" s="252" t="n"/>
      <c r="Q521" s="252" t="n"/>
      <c r="R521" s="252" t="n"/>
      <c r="S521" s="244">
        <f>Q521*R521</f>
        <v/>
      </c>
    </row>
    <row r="522" ht="22.2" customHeight="1" s="330">
      <c r="A522" s="4" t="n"/>
      <c r="D522" s="8" t="inlineStr">
        <is>
          <t> </t>
        </is>
      </c>
      <c r="E522" s="4" t="n"/>
      <c r="G522" s="63" t="n"/>
      <c r="H522" s="276" t="n"/>
      <c r="I522" s="276" t="n"/>
      <c r="J522" s="276" t="n"/>
      <c r="K522" s="476" t="n"/>
      <c r="L522" s="252" t="n"/>
      <c r="M522" s="252" t="n"/>
      <c r="N522" s="252" t="n"/>
      <c r="O522" s="244">
        <f>M522*N522</f>
        <v/>
      </c>
      <c r="P522" s="252" t="n"/>
      <c r="Q522" s="252" t="n"/>
      <c r="R522" s="252" t="n"/>
      <c r="S522" s="244">
        <f>Q522*R522</f>
        <v/>
      </c>
    </row>
    <row r="523" ht="22.2" customHeight="1" s="330">
      <c r="A523" s="4" t="n"/>
      <c r="E523" s="4" t="n"/>
      <c r="G523" s="308" t="inlineStr">
        <is>
          <t>พุธ</t>
        </is>
      </c>
      <c r="H523" s="325" t="n"/>
      <c r="I523" s="325" t="n"/>
      <c r="J523" s="332" t="n"/>
      <c r="K523" s="335" t="n"/>
      <c r="L523" s="265" t="n"/>
      <c r="M523" s="332" t="n"/>
      <c r="N523" s="332" t="n"/>
      <c r="O523" s="244">
        <f>M523*N523</f>
        <v/>
      </c>
      <c r="P523" s="332" t="n"/>
      <c r="Q523" s="265" t="n"/>
      <c r="R523" s="332" t="n"/>
      <c r="S523" s="244">
        <f>Q523*R523</f>
        <v/>
      </c>
    </row>
    <row r="524" ht="22.2" customHeight="1" s="330">
      <c r="A524" s="4" t="n"/>
      <c r="B524" s="248" t="n"/>
      <c r="C524" s="249" t="n"/>
      <c r="D524" s="249" t="n"/>
      <c r="E524" s="252" t="n"/>
      <c r="G524" s="308">
        <f>G478</f>
        <v/>
      </c>
      <c r="H524" s="325" t="n"/>
      <c r="I524" s="325" t="n"/>
      <c r="J524" s="252" t="n"/>
      <c r="K524" s="331" t="n"/>
      <c r="L524" s="252" t="n"/>
      <c r="M524" s="252" t="n"/>
      <c r="N524" s="252" t="n"/>
      <c r="O524" s="244">
        <f>M524*N524</f>
        <v/>
      </c>
      <c r="P524" s="252" t="n"/>
      <c r="Q524" s="252" t="n"/>
      <c r="R524" s="252" t="n"/>
      <c r="S524" s="244">
        <f>Q524*R524</f>
        <v/>
      </c>
    </row>
    <row r="525" ht="22.2" customHeight="1" s="330">
      <c r="A525" s="4" t="n"/>
      <c r="B525" s="5" t="n"/>
      <c r="D525" s="3" t="n"/>
      <c r="E525" s="3" t="n"/>
      <c r="G525" s="252" t="n"/>
      <c r="H525" s="325" t="n"/>
      <c r="I525" s="325" t="n"/>
      <c r="J525" s="252" t="n"/>
      <c r="K525" s="331" t="n"/>
      <c r="L525" s="252" t="n"/>
      <c r="M525" s="252" t="n"/>
      <c r="N525" s="252" t="n"/>
      <c r="O525" s="244">
        <f>M525*N525</f>
        <v/>
      </c>
      <c r="P525" s="252" t="n"/>
      <c r="Q525" s="252" t="n"/>
      <c r="R525" s="252" t="n"/>
      <c r="S525" s="244">
        <f>Q525*R525</f>
        <v/>
      </c>
    </row>
    <row r="526" ht="22.2" customHeight="1" s="330">
      <c r="A526" s="4" t="n"/>
      <c r="E526" s="4" t="n"/>
      <c r="G526" s="248" t="n"/>
      <c r="H526" s="252" t="n"/>
      <c r="I526" s="252" t="n"/>
      <c r="J526" s="252" t="n"/>
      <c r="K526" s="331" t="n"/>
      <c r="L526" s="252" t="n"/>
      <c r="M526" s="252" t="n"/>
      <c r="N526" s="252" t="n"/>
      <c r="O526" s="244">
        <f>M526*N526</f>
        <v/>
      </c>
      <c r="P526" s="252" t="n"/>
      <c r="Q526" s="252" t="n"/>
      <c r="R526" s="252" t="n"/>
      <c r="S526" s="244">
        <f>Q526*R526</f>
        <v/>
      </c>
    </row>
    <row r="527" ht="22.2" customHeight="1" s="330">
      <c r="A527" s="4" t="n"/>
      <c r="E527" s="4" t="n"/>
      <c r="G527" s="277" t="n"/>
      <c r="H527" s="276" t="n"/>
      <c r="I527" s="276" t="n"/>
      <c r="J527" s="276" t="n"/>
      <c r="K527" s="476" t="n"/>
      <c r="L527" s="276" t="n"/>
      <c r="M527" s="276" t="n"/>
      <c r="N527" s="276" t="n"/>
      <c r="O527" s="244">
        <f>M527*N527</f>
        <v/>
      </c>
      <c r="P527" s="276" t="n"/>
      <c r="Q527" s="276" t="n"/>
      <c r="R527" s="276" t="n"/>
      <c r="S527" s="244">
        <f>Q527*R527</f>
        <v/>
      </c>
    </row>
    <row r="528" ht="22.2" customHeight="1" s="330">
      <c r="A528" s="4" t="n"/>
      <c r="E528" s="4" t="n"/>
      <c r="G528" s="62" t="inlineStr">
        <is>
          <t>พฤหัส</t>
        </is>
      </c>
      <c r="H528" s="325" t="inlineStr">
        <is>
          <t>20101-2002</t>
        </is>
      </c>
      <c r="I528" s="325" t="inlineStr">
        <is>
          <t>ปวช.2/6 ชย. (ปกติ)</t>
        </is>
      </c>
      <c r="J528" s="332" t="inlineStr">
        <is>
          <t>08.10-12.10</t>
        </is>
      </c>
      <c r="K528" s="335" t="n"/>
      <c r="L528" s="252" t="n"/>
      <c r="M528" s="252" t="n"/>
      <c r="N528" s="252" t="n"/>
      <c r="O528" s="244">
        <f>M528*N528</f>
        <v/>
      </c>
      <c r="P528" s="208" t="n"/>
      <c r="Q528" s="209" t="n"/>
      <c r="R528" s="209" t="n"/>
      <c r="S528" s="244">
        <f>Q528*R528</f>
        <v/>
      </c>
    </row>
    <row r="529" ht="22.2" customHeight="1" s="330">
      <c r="A529" s="4" t="n"/>
      <c r="E529" s="4" t="n"/>
      <c r="G529" s="308">
        <f>G483</f>
        <v/>
      </c>
      <c r="H529" s="325" t="inlineStr">
        <is>
          <t>20000-2004</t>
        </is>
      </c>
      <c r="I529" s="325" t="inlineStr">
        <is>
          <t>ปวช.2/3 3/9,10 ชย.</t>
        </is>
      </c>
      <c r="J529" s="252" t="inlineStr">
        <is>
          <t>13.10-15.10</t>
        </is>
      </c>
      <c r="K529" s="331" t="n"/>
      <c r="L529" s="252" t="n"/>
      <c r="M529" s="252" t="n"/>
      <c r="N529" s="252" t="n"/>
      <c r="O529" s="244">
        <f>M529*N529</f>
        <v/>
      </c>
      <c r="P529" s="252" t="n"/>
      <c r="Q529" s="252" t="n"/>
      <c r="R529" s="252" t="n"/>
      <c r="S529" s="244">
        <f>Q529*R529</f>
        <v/>
      </c>
    </row>
    <row r="530" ht="22.2" customHeight="1" s="330">
      <c r="A530" s="4" t="n"/>
      <c r="B530" s="5" t="n"/>
      <c r="E530" s="4" t="n"/>
      <c r="G530" s="252" t="n"/>
      <c r="H530" s="325" t="inlineStr">
        <is>
          <t>20101-2002</t>
        </is>
      </c>
      <c r="I530" s="325" t="inlineStr">
        <is>
          <t>ปวช.2/6 ชย. (ปกติ)</t>
        </is>
      </c>
      <c r="J530" s="252" t="inlineStr">
        <is>
          <t>15.10-18.10</t>
        </is>
      </c>
      <c r="K530" s="331" t="n"/>
      <c r="L530" s="325" t="n"/>
      <c r="M530" s="325" t="n"/>
      <c r="N530" s="325" t="n"/>
      <c r="O530" s="244">
        <f>M530*N530</f>
        <v/>
      </c>
      <c r="P530" s="4" t="n"/>
      <c r="Q530" s="4" t="n"/>
      <c r="R530" s="4" t="n"/>
      <c r="S530" s="244">
        <f>Q530*R530</f>
        <v/>
      </c>
    </row>
    <row r="531" ht="22.2" customHeight="1" s="330">
      <c r="A531" s="4" t="n"/>
      <c r="E531" s="4" t="n"/>
      <c r="G531" s="252" t="n"/>
      <c r="H531" s="252" t="n"/>
      <c r="I531" s="252" t="n"/>
      <c r="J531" s="252" t="n"/>
      <c r="K531" s="331" t="n"/>
      <c r="L531" s="252" t="n"/>
      <c r="M531" s="252" t="n"/>
      <c r="N531" s="252" t="n"/>
      <c r="O531" s="244">
        <f>M531*N531</f>
        <v/>
      </c>
      <c r="P531" s="252" t="n"/>
      <c r="Q531" s="252" t="n"/>
      <c r="R531" s="252" t="n"/>
      <c r="S531" s="244">
        <f>Q531*R531</f>
        <v/>
      </c>
    </row>
    <row r="532" ht="22.2" customHeight="1" s="330">
      <c r="A532" s="4" t="n"/>
      <c r="E532" s="4" t="n"/>
      <c r="G532" s="276" t="n"/>
      <c r="H532" s="301" t="n"/>
      <c r="I532" s="276" t="n"/>
      <c r="J532" s="276" t="n"/>
      <c r="K532" s="476" t="n"/>
      <c r="L532" s="276" t="n"/>
      <c r="M532" s="276" t="n"/>
      <c r="N532" s="276" t="n"/>
      <c r="O532" s="244">
        <f>M532*N532</f>
        <v/>
      </c>
      <c r="P532" s="276" t="n"/>
      <c r="Q532" s="276" t="n"/>
      <c r="R532" s="276" t="n"/>
      <c r="S532" s="244">
        <f>Q532*R532</f>
        <v/>
      </c>
    </row>
    <row r="533" ht="22.2" customHeight="1" s="330">
      <c r="A533" s="4" t="n"/>
      <c r="E533" s="4" t="n"/>
      <c r="G533" s="62" t="inlineStr">
        <is>
          <t>ศุกร์</t>
        </is>
      </c>
      <c r="H533" s="325" t="inlineStr">
        <is>
          <t>20101-2002</t>
        </is>
      </c>
      <c r="I533" s="325" t="inlineStr">
        <is>
          <t>ปวช.2/5 ชย. (ปกติ)</t>
        </is>
      </c>
      <c r="J533" s="332" t="inlineStr">
        <is>
          <t>08.10-12.10</t>
        </is>
      </c>
      <c r="K533" s="335" t="n"/>
      <c r="L533" s="252" t="n"/>
      <c r="M533" s="252" t="n"/>
      <c r="N533" s="252" t="n"/>
      <c r="O533" s="244">
        <f>M533*N533</f>
        <v/>
      </c>
      <c r="P533" s="332" t="n"/>
      <c r="Q533" s="265" t="n"/>
      <c r="R533" s="332" t="n"/>
      <c r="S533" s="244">
        <f>Q533*R533</f>
        <v/>
      </c>
    </row>
    <row r="534" ht="22.2" customHeight="1" s="330">
      <c r="A534" s="4" t="n"/>
      <c r="E534" s="4" t="n"/>
      <c r="G534" s="308">
        <f>G488</f>
        <v/>
      </c>
      <c r="H534" s="325" t="inlineStr">
        <is>
          <t>20101-2002</t>
        </is>
      </c>
      <c r="I534" s="325" t="inlineStr">
        <is>
          <t>ปวช.2/5 ชย. (ปกติ)</t>
        </is>
      </c>
      <c r="J534" s="252" t="inlineStr">
        <is>
          <t>13.10-16.10</t>
        </is>
      </c>
      <c r="K534" s="331" t="n"/>
      <c r="L534" s="252" t="n"/>
      <c r="M534" s="252" t="n"/>
      <c r="N534" s="252" t="n"/>
      <c r="O534" s="244">
        <f>M534*N534</f>
        <v/>
      </c>
      <c r="P534" s="252" t="n"/>
      <c r="Q534" s="252" t="n"/>
      <c r="R534" s="252" t="n"/>
      <c r="S534" s="244">
        <f>Q534*R534</f>
        <v/>
      </c>
    </row>
    <row r="535" ht="22.2" customHeight="1" s="330">
      <c r="A535" s="4" t="n"/>
      <c r="E535" s="4" t="n"/>
      <c r="G535" s="252" t="n"/>
      <c r="H535" s="252" t="n"/>
      <c r="I535" s="252" t="n"/>
      <c r="J535" s="252" t="n"/>
      <c r="K535" s="331" t="n"/>
      <c r="L535" s="252" t="n"/>
      <c r="M535" s="252" t="n"/>
      <c r="N535" s="252" t="n"/>
      <c r="O535" s="244">
        <f>M535*N535</f>
        <v/>
      </c>
      <c r="P535" s="252" t="n"/>
      <c r="Q535" s="252" t="n"/>
      <c r="R535" s="252" t="n"/>
      <c r="S535" s="244">
        <f>Q535*R535</f>
        <v/>
      </c>
    </row>
    <row r="536" ht="22.2" customHeight="1" s="330">
      <c r="A536" s="4" t="n"/>
      <c r="E536" s="4" t="n"/>
      <c r="G536" s="252" t="n"/>
      <c r="H536" s="249" t="inlineStr">
        <is>
          <t> </t>
        </is>
      </c>
      <c r="I536" s="252" t="n"/>
      <c r="J536" s="252" t="n"/>
      <c r="K536" s="331" t="n"/>
      <c r="L536" s="252" t="n"/>
      <c r="M536" s="252" t="n"/>
      <c r="N536" s="252" t="n"/>
      <c r="O536" s="244">
        <f>M536*N536</f>
        <v/>
      </c>
      <c r="P536" s="252" t="n"/>
      <c r="Q536" s="252" t="n"/>
      <c r="R536" s="252" t="n"/>
      <c r="S536" s="244">
        <f>Q536*R536</f>
        <v/>
      </c>
    </row>
    <row r="537" ht="22.2" customHeight="1" s="330">
      <c r="A537" s="4" t="n"/>
      <c r="E537" s="4" t="n"/>
      <c r="F537" s="4" t="n"/>
      <c r="G537" s="278" t="n"/>
      <c r="H537" s="301" t="n"/>
      <c r="I537" s="276" t="n"/>
      <c r="J537" s="276" t="n"/>
      <c r="K537" s="476" t="n"/>
      <c r="L537" s="276" t="n"/>
      <c r="M537" s="276" t="n"/>
      <c r="N537" s="276" t="n"/>
      <c r="O537" s="244">
        <f>M537*N537</f>
        <v/>
      </c>
      <c r="P537" s="276" t="n"/>
      <c r="Q537" s="276" t="n"/>
      <c r="R537" s="276" t="n"/>
      <c r="S537" s="244">
        <f>Q537*R537</f>
        <v/>
      </c>
    </row>
    <row r="538" ht="22.2" customHeight="1" s="330">
      <c r="A538" s="4" t="n"/>
      <c r="E538" s="4" t="n"/>
      <c r="F538" s="4" t="n"/>
      <c r="G538" s="17" t="inlineStr">
        <is>
          <t>รวมขั่วโมงที่สอนแยก ภาระงาน/ เกินภาระงาน</t>
        </is>
      </c>
      <c r="H538" s="467" t="n"/>
      <c r="I538" s="467" t="n"/>
      <c r="J538" s="467" t="n"/>
      <c r="K538" s="362" t="n"/>
      <c r="L538" s="17">
        <f>SUM(L513:L537)</f>
        <v/>
      </c>
      <c r="M538" s="17">
        <f>SUM(M513:M537)</f>
        <v/>
      </c>
      <c r="N538" s="17" t="n"/>
      <c r="O538" s="17" t="n"/>
      <c r="P538" s="17">
        <f>SUM(P513:P537)</f>
        <v/>
      </c>
      <c r="Q538" s="17">
        <f>SUM(Q513:Q537)</f>
        <v/>
      </c>
      <c r="R538" s="279" t="n"/>
      <c r="S538" s="17" t="n"/>
    </row>
    <row r="539" ht="22.2" customHeight="1" s="330">
      <c r="A539" s="4" t="n"/>
      <c r="E539" s="4" t="n"/>
      <c r="F539" s="4" t="n"/>
      <c r="G539" s="17" t="inlineStr">
        <is>
          <t>รวมจำนวนชั่วโมงสอนคาบต่อสับดาห์</t>
        </is>
      </c>
      <c r="H539" s="467" t="n"/>
      <c r="I539" s="467" t="n"/>
      <c r="J539" s="467" t="n"/>
      <c r="K539" s="362" t="n"/>
      <c r="L539" s="17">
        <f>L538+M538</f>
        <v/>
      </c>
      <c r="M539" s="362" t="n"/>
      <c r="N539" s="17" t="n"/>
      <c r="O539" s="298" t="n"/>
      <c r="P539" s="17">
        <f>P538+Q538</f>
        <v/>
      </c>
      <c r="Q539" s="362" t="n"/>
      <c r="R539" s="278" t="n"/>
      <c r="S539" s="276" t="n"/>
    </row>
    <row r="540" ht="22.2" customHeight="1" s="330">
      <c r="A540" s="4" t="n"/>
      <c r="E540" s="4" t="n"/>
      <c r="F540" s="4" t="n"/>
      <c r="G540" s="17" t="inlineStr">
        <is>
          <t>จำนวนชั่วโมงสอนตามภาระงานสอน</t>
        </is>
      </c>
      <c r="H540" s="467" t="n"/>
      <c r="I540" s="467" t="n"/>
      <c r="J540" s="467" t="n"/>
      <c r="K540" s="362" t="n"/>
      <c r="L540" s="153" t="inlineStr">
        <is>
          <t>12</t>
        </is>
      </c>
      <c r="M540" s="362" t="n"/>
      <c r="N540" s="152" t="n"/>
      <c r="O540" s="153" t="n"/>
      <c r="P540" s="153" t="inlineStr">
        <is>
          <t>0</t>
        </is>
      </c>
      <c r="Q540" s="362" t="n"/>
      <c r="R540" s="249" t="n"/>
      <c r="S540" s="252" t="n"/>
    </row>
    <row r="541" ht="22.2" customHeight="1" s="330" thickBot="1">
      <c r="A541" s="4" t="n"/>
      <c r="E541" s="4" t="n"/>
      <c r="F541" s="15" t="n"/>
      <c r="G541" s="17" t="inlineStr">
        <is>
          <t>จำนวนชั่วโมงบิกเกินภาระงานสอน/ค่าสอน</t>
        </is>
      </c>
      <c r="H541" s="467" t="n"/>
      <c r="I541" s="467" t="n"/>
      <c r="J541" s="467" t="n"/>
      <c r="K541" s="362" t="n"/>
      <c r="L541" s="18" t="n">
        <v>0</v>
      </c>
      <c r="M541" s="18">
        <f>SUM(M513:M537)</f>
        <v/>
      </c>
      <c r="N541" s="18" t="n"/>
      <c r="O541" s="18">
        <f>SUM(O513:O537)</f>
        <v/>
      </c>
      <c r="P541" s="18" t="n">
        <v>0</v>
      </c>
      <c r="Q541" s="18">
        <f>SUM(Q513:Q537)</f>
        <v/>
      </c>
      <c r="R541" s="19" t="n"/>
      <c r="S541" s="18">
        <f>SUM(S513:S537)</f>
        <v/>
      </c>
    </row>
    <row r="542" ht="22.2" customHeight="1" s="330" thickTop="1">
      <c r="A542" s="299" t="inlineStr">
        <is>
          <t>รวมจำนวนหน่วยชั่วโมงที่ขอเบิกค่าสอน ….</t>
        </is>
      </c>
      <c r="B542" s="467" t="n"/>
      <c r="C542" s="467" t="n"/>
      <c r="D542" s="467" t="n"/>
      <c r="E542" s="467" t="n"/>
      <c r="F542" s="467" t="n"/>
      <c r="G542" s="467" t="n"/>
      <c r="H542" s="298">
        <f>M541+Q541</f>
        <v/>
      </c>
      <c r="I542" s="298" t="inlineStr">
        <is>
          <t>….ชั่วโมง</t>
        </is>
      </c>
      <c r="J542" s="298" t="n"/>
      <c r="K542" s="301" t="inlineStr">
        <is>
          <t>ยอดเงินรวม</t>
        </is>
      </c>
      <c r="L542" s="471" t="n"/>
      <c r="M542" s="471" t="n"/>
      <c r="N542" s="301" t="n"/>
      <c r="O542" s="301" t="n"/>
      <c r="P542" s="302">
        <f>S541+O541</f>
        <v/>
      </c>
      <c r="Q542" s="482" t="n"/>
      <c r="R542" s="21" t="n"/>
      <c r="S542" s="20" t="inlineStr">
        <is>
          <t>..บาท</t>
        </is>
      </c>
    </row>
    <row r="543" ht="22.2" customHeight="1" s="330">
      <c r="A543" s="207" t="inlineStr">
        <is>
          <t>ผู้ขอเบิก</t>
        </is>
      </c>
      <c r="B543" s="334" t="n"/>
      <c r="C543" s="334" t="n"/>
      <c r="D543" s="334" t="n"/>
      <c r="E543" s="334" t="n"/>
      <c r="F543" s="334" t="n"/>
      <c r="G543" s="335" t="n"/>
      <c r="H543" s="207" t="inlineStr">
        <is>
          <t>ผู้รับรอง</t>
        </is>
      </c>
      <c r="I543" s="334" t="n"/>
      <c r="J543" s="334" t="n"/>
      <c r="K543" s="334" t="n"/>
      <c r="L543" s="335" t="n"/>
      <c r="M543" s="207" t="inlineStr">
        <is>
          <t>ผู้ตรวจ</t>
        </is>
      </c>
      <c r="N543" s="334" t="n"/>
      <c r="O543" s="334" t="n"/>
      <c r="P543" s="334" t="n"/>
      <c r="Q543" s="334" t="n"/>
      <c r="R543" s="334" t="n"/>
      <c r="S543" s="335" t="n"/>
    </row>
    <row r="544" ht="22.2" customHeight="1" s="330">
      <c r="A544" s="252" t="inlineStr">
        <is>
          <t>ลงชื่อ……………………………………………</t>
        </is>
      </c>
      <c r="G544" s="331" t="n"/>
      <c r="H544" s="252" t="inlineStr">
        <is>
          <t>ลงชื่อ……………………………………………</t>
        </is>
      </c>
      <c r="L544" s="331" t="n"/>
      <c r="M544" s="252" t="inlineStr">
        <is>
          <t>ลงชื่อ……………………………………………</t>
        </is>
      </c>
      <c r="S544" s="331" t="n"/>
    </row>
    <row r="545" ht="22.2" customHeight="1" s="330">
      <c r="A545" s="12" t="inlineStr">
        <is>
          <t>(</t>
        </is>
      </c>
      <c r="B545" s="309">
        <f>B513</f>
        <v/>
      </c>
      <c r="G545" s="310" t="inlineStr">
        <is>
          <t>)</t>
        </is>
      </c>
      <c r="H545" s="309" t="inlineStr">
        <is>
          <t>(</t>
        </is>
      </c>
      <c r="I545" s="314">
        <f>I499</f>
        <v/>
      </c>
      <c r="L545" s="13" t="inlineStr">
        <is>
          <t>)</t>
        </is>
      </c>
      <c r="M545" s="61" t="inlineStr">
        <is>
          <t>(</t>
        </is>
      </c>
      <c r="N545" s="61" t="n"/>
      <c r="O545" s="309" t="inlineStr">
        <is>
          <t>นายพิสุทธิศักดิ์  กล่อมนาค</t>
        </is>
      </c>
      <c r="R545" s="29" t="n"/>
      <c r="S545" s="310" t="inlineStr">
        <is>
          <t>)</t>
        </is>
      </c>
    </row>
    <row r="546" ht="22.2" customHeight="1" s="330">
      <c r="A546" s="483" t="inlineStr">
        <is>
          <t xml:space="preserve">                 ตำแหน่ง  ครู </t>
        </is>
      </c>
      <c r="G546" s="331" t="n"/>
      <c r="H546" s="62" t="inlineStr">
        <is>
          <t>ตำแหน่ง หัวหน้าแผนก</t>
        </is>
      </c>
      <c r="L546" s="331" t="n"/>
      <c r="M546" s="62" t="inlineStr">
        <is>
          <t>ตำแหน่ง   ผู้ตรวจสอบ</t>
        </is>
      </c>
      <c r="S546" s="331" t="n"/>
    </row>
    <row r="547" ht="22.2" customHeight="1" s="330">
      <c r="A547" s="63">
        <f>A87</f>
        <v/>
      </c>
      <c r="B547" s="471" t="n"/>
      <c r="C547" s="471" t="n"/>
      <c r="D547" s="471" t="n"/>
      <c r="E547" s="471" t="n"/>
      <c r="F547" s="471" t="n"/>
      <c r="G547" s="476" t="n"/>
      <c r="H547" s="62">
        <f>A87</f>
        <v/>
      </c>
      <c r="L547" s="331" t="n"/>
      <c r="M547" s="63">
        <f>A87</f>
        <v/>
      </c>
      <c r="N547" s="471" t="n"/>
      <c r="O547" s="471" t="n"/>
      <c r="P547" s="471" t="n"/>
      <c r="Q547" s="471" t="n"/>
      <c r="R547" s="471" t="n"/>
      <c r="S547" s="476" t="n"/>
    </row>
    <row r="548" ht="22.2" customHeight="1" s="330">
      <c r="A548" s="207" t="inlineStr">
        <is>
          <t>ผู้ตรวจ</t>
        </is>
      </c>
      <c r="B548" s="334" t="n"/>
      <c r="C548" s="334" t="n"/>
      <c r="D548" s="334" t="n"/>
      <c r="E548" s="334" t="n"/>
      <c r="F548" s="334" t="n"/>
      <c r="G548" s="334" t="n"/>
      <c r="H548" s="334" t="n"/>
      <c r="I548" s="335" t="n"/>
      <c r="J548" s="207" t="inlineStr">
        <is>
          <t>ผู้เห็นชอบ</t>
        </is>
      </c>
      <c r="K548" s="334" t="n"/>
      <c r="L548" s="334" t="n"/>
      <c r="M548" s="334" t="n"/>
      <c r="N548" s="334" t="n"/>
      <c r="O548" s="334" t="n"/>
      <c r="P548" s="334" t="n"/>
      <c r="Q548" s="334" t="n"/>
      <c r="R548" s="334" t="n"/>
      <c r="S548" s="335" t="n"/>
    </row>
    <row r="549" ht="22.2" customHeight="1" s="330">
      <c r="A549" s="252" t="inlineStr">
        <is>
          <t>ลงชื่อ……………………………………………</t>
        </is>
      </c>
      <c r="I549" s="331" t="n"/>
      <c r="J549" s="252" t="inlineStr">
        <is>
          <t>ลงชื่อ……………………………………………</t>
        </is>
      </c>
      <c r="S549" s="331" t="n"/>
    </row>
    <row r="550" ht="22.2" customHeight="1" s="330">
      <c r="A550" s="12" t="n"/>
      <c r="B550" s="309" t="inlineStr">
        <is>
          <t xml:space="preserve">          (นางศิวรักษ์   บุญประเสริฐ)</t>
        </is>
      </c>
      <c r="I550" s="310" t="n"/>
      <c r="J550" s="29" t="n"/>
      <c r="K550" s="29" t="n"/>
      <c r="L550" s="309" t="inlineStr">
        <is>
          <t>(นายปรีชา  โพธิ์เกิด)</t>
        </is>
      </c>
      <c r="R550" s="29" t="n"/>
      <c r="S550" s="13" t="n"/>
    </row>
    <row r="551" ht="22.2" customHeight="1" s="330">
      <c r="A551" s="62" t="inlineStr">
        <is>
          <t>ตำแหน่งครู  หัวหน้างานพัฒนาหลักสูตร ฯ</t>
        </is>
      </c>
      <c r="I551" s="331" t="n"/>
      <c r="J551" s="62" t="inlineStr">
        <is>
          <t>ตำแหน่ง  รองผู้อำนวยการฝ่ายวิชาการ</t>
        </is>
      </c>
      <c r="S551" s="331" t="n"/>
    </row>
    <row r="552" ht="22.2" customHeight="1" s="330">
      <c r="A552" s="63">
        <f>A87</f>
        <v/>
      </c>
      <c r="B552" s="471" t="n"/>
      <c r="C552" s="471" t="n"/>
      <c r="D552" s="471" t="n"/>
      <c r="E552" s="471" t="n"/>
      <c r="F552" s="471" t="n"/>
      <c r="G552" s="471" t="n"/>
      <c r="H552" s="471" t="n"/>
      <c r="I552" s="476" t="n"/>
      <c r="J552" s="63">
        <f>A87</f>
        <v/>
      </c>
      <c r="K552" s="471" t="n"/>
      <c r="L552" s="471" t="n"/>
      <c r="M552" s="471" t="n"/>
      <c r="N552" s="471" t="n"/>
      <c r="O552" s="471" t="n"/>
      <c r="P552" s="471" t="n"/>
      <c r="Q552" s="471" t="n"/>
      <c r="R552" s="471" t="n"/>
      <c r="S552" s="476" t="n"/>
    </row>
    <row r="553" ht="22.2" customHeight="1" s="330">
      <c r="A55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554" ht="22.2" customHeight="1" s="330">
      <c r="A554" s="254">
        <f>A2</f>
        <v/>
      </c>
    </row>
    <row r="555" ht="22.2" customHeight="1" s="330">
      <c r="A555" s="253" t="inlineStr">
        <is>
          <t xml:space="preserve">    ระหว่างวันที่</t>
        </is>
      </c>
      <c r="D555" s="254">
        <f>D3</f>
        <v/>
      </c>
      <c r="E555" s="254" t="inlineStr">
        <is>
          <t xml:space="preserve">   เดือน  </t>
        </is>
      </c>
      <c r="F555" s="254">
        <f>F3</f>
        <v/>
      </c>
      <c r="H555" s="254">
        <f>H3</f>
        <v/>
      </c>
      <c r="I555" s="254" t="inlineStr">
        <is>
          <t xml:space="preserve">     ถึง วันที่</t>
        </is>
      </c>
      <c r="J555" s="254">
        <f>J3</f>
        <v/>
      </c>
      <c r="K555" s="254" t="inlineStr">
        <is>
          <t xml:space="preserve">   เดือน </t>
        </is>
      </c>
      <c r="L555" s="254">
        <f>L3</f>
        <v/>
      </c>
      <c r="N555" s="254">
        <f>N3</f>
        <v/>
      </c>
      <c r="P555" s="254" t="n"/>
      <c r="R555" s="254" t="n"/>
    </row>
    <row r="556" ht="22.2" customHeight="1" s="330">
      <c r="G556" s="58" t="inlineStr">
        <is>
          <t>ü</t>
        </is>
      </c>
      <c r="H556" s="301" t="inlineStr">
        <is>
          <t>ครู</t>
        </is>
      </c>
      <c r="I556" s="301" t="inlineStr">
        <is>
          <t>หน้าที่พิเศษ</t>
        </is>
      </c>
      <c r="J556" s="290" t="n"/>
      <c r="K556" s="290" t="n"/>
      <c r="L556" s="290" t="n"/>
      <c r="M556" s="290" t="n"/>
      <c r="N556" s="290" t="n"/>
      <c r="O556" s="290" t="n"/>
      <c r="P556" s="290" t="n"/>
      <c r="Q556" s="290" t="n"/>
      <c r="R556" s="290" t="n"/>
      <c r="S556" s="290" t="n"/>
    </row>
    <row r="557" ht="22.2" customHeight="1" s="330">
      <c r="A557" s="28" t="inlineStr">
        <is>
          <t>ที่</t>
        </is>
      </c>
      <c r="B557" s="28" t="inlineStr">
        <is>
          <t>ชื่อ-สกุล</t>
        </is>
      </c>
      <c r="C557" s="334" t="n"/>
      <c r="D557" s="335" t="n"/>
      <c r="E557" s="16" t="inlineStr">
        <is>
          <t>ตำแหน่ง</t>
        </is>
      </c>
      <c r="F557" s="17" t="inlineStr">
        <is>
          <t>ระยะเวลาที่สอน</t>
        </is>
      </c>
      <c r="G557" s="362" t="n"/>
      <c r="H557" s="17" t="inlineStr">
        <is>
          <t>รหัสวิชา</t>
        </is>
      </c>
      <c r="I557" s="275" t="inlineStr">
        <is>
          <t>ชั้น,แผนก,ห้อง</t>
        </is>
      </c>
      <c r="J557" s="17" t="inlineStr">
        <is>
          <t>เวลาสอน</t>
        </is>
      </c>
      <c r="K557" s="335" t="n"/>
      <c r="L557" s="17" t="inlineStr">
        <is>
          <t>ปวช.(คาบ)</t>
        </is>
      </c>
      <c r="M557" s="362" t="n"/>
      <c r="N557" s="244" t="inlineStr">
        <is>
          <t>เงิน</t>
        </is>
      </c>
      <c r="O557" s="275" t="inlineStr">
        <is>
          <t>ยอดเงิน</t>
        </is>
      </c>
      <c r="P557" s="473" t="inlineStr">
        <is>
          <t>ปวส.(คาบ)</t>
        </is>
      </c>
      <c r="Q557" s="362" t="n"/>
      <c r="R557" s="244" t="inlineStr">
        <is>
          <t>เงิน</t>
        </is>
      </c>
      <c r="S557" s="275" t="inlineStr">
        <is>
          <t>ยอดเงิน</t>
        </is>
      </c>
    </row>
    <row r="558" ht="22.2" customHeight="1" s="330">
      <c r="A558" s="60" t="n"/>
      <c r="B558" s="9" t="n"/>
      <c r="C558" s="10" t="n"/>
      <c r="D558" s="14" t="n"/>
      <c r="E558" s="11" t="n"/>
      <c r="F558" s="276" t="inlineStr">
        <is>
          <t>ส.</t>
        </is>
      </c>
      <c r="G558" s="276" t="inlineStr">
        <is>
          <t>วดป.</t>
        </is>
      </c>
      <c r="H558" s="474" t="n"/>
      <c r="I558" s="276" t="n"/>
      <c r="J558" s="475" t="n"/>
      <c r="K558" s="476" t="n"/>
      <c r="L558" s="276" t="inlineStr">
        <is>
          <t>ใน</t>
        </is>
      </c>
      <c r="M558" s="276" t="inlineStr">
        <is>
          <t>นอก</t>
        </is>
      </c>
      <c r="N558" s="276" t="inlineStr">
        <is>
          <t>ต่อ ชม.</t>
        </is>
      </c>
      <c r="O558" s="276" t="inlineStr">
        <is>
          <t>(บาท)</t>
        </is>
      </c>
      <c r="P558" s="60" t="inlineStr">
        <is>
          <t>ใน</t>
        </is>
      </c>
      <c r="Q558" s="60" t="inlineStr">
        <is>
          <t>นอก</t>
        </is>
      </c>
      <c r="R558" s="276" t="inlineStr">
        <is>
          <t>ต่อ ชม.</t>
        </is>
      </c>
      <c r="S558" s="276" t="inlineStr">
        <is>
          <t>(บาท)</t>
        </is>
      </c>
    </row>
    <row r="559" ht="22.2" customHeight="1" s="330">
      <c r="A559" s="275" t="n">
        <v>13</v>
      </c>
      <c r="B559" s="477">
        <f>AB15</f>
        <v/>
      </c>
      <c r="C559" s="334" t="n"/>
      <c r="D559" s="335" t="n"/>
      <c r="E559" s="275" t="inlineStr">
        <is>
          <t>ครู</t>
        </is>
      </c>
      <c r="F559" s="6">
        <f>F7</f>
        <v/>
      </c>
      <c r="G559" s="303" t="inlineStr">
        <is>
          <t>จันทร์</t>
        </is>
      </c>
      <c r="H559" s="332" t="n"/>
      <c r="I559" s="332" t="n"/>
      <c r="J559" s="332" t="n"/>
      <c r="K559" s="335" t="n"/>
      <c r="L559" s="265" t="n"/>
      <c r="M559" s="332" t="n"/>
      <c r="N559" s="332" t="n"/>
      <c r="O559" s="244">
        <f>M559*N559</f>
        <v/>
      </c>
      <c r="P559" s="332" t="n"/>
      <c r="Q559" s="265" t="n"/>
      <c r="R559" s="332" t="n"/>
      <c r="S559" s="244">
        <f>Q559*R559</f>
        <v/>
      </c>
    </row>
    <row r="560" ht="22.2" customHeight="1" s="330">
      <c r="A560" s="4" t="n"/>
      <c r="B560" s="478" t="n"/>
      <c r="D560" s="331" t="n"/>
      <c r="E560" s="252" t="n"/>
      <c r="F560" s="249" t="n"/>
      <c r="G560" s="308">
        <f>G468</f>
        <v/>
      </c>
      <c r="H560" s="325" t="n"/>
      <c r="I560" s="325" t="n"/>
      <c r="J560" s="252" t="n"/>
      <c r="K560" s="331" t="n"/>
      <c r="L560" s="252" t="n"/>
      <c r="M560" s="252" t="n"/>
      <c r="N560" s="252" t="n"/>
      <c r="O560" s="244">
        <f>M560*N560</f>
        <v/>
      </c>
      <c r="P560" s="252" t="n"/>
      <c r="Q560" s="252" t="n"/>
      <c r="R560" s="252" t="n"/>
      <c r="S560" s="244">
        <f>Q560*R560</f>
        <v/>
      </c>
      <c r="T560" s="290" t="n"/>
    </row>
    <row r="561" ht="22.2" customHeight="1" s="330">
      <c r="A561" s="4" t="n"/>
      <c r="B561" s="5" t="n"/>
      <c r="D561" s="3" t="n"/>
      <c r="E561" s="3" t="n"/>
      <c r="F561" s="249" t="n"/>
      <c r="G561" s="248" t="n"/>
      <c r="H561" s="325" t="n"/>
      <c r="I561" s="252" t="n"/>
      <c r="J561" s="252" t="n"/>
      <c r="K561" s="331" t="n"/>
      <c r="L561" s="252" t="n"/>
      <c r="M561" s="252" t="n"/>
      <c r="N561" s="252" t="n"/>
      <c r="O561" s="244">
        <f>M561*N561</f>
        <v/>
      </c>
      <c r="P561" s="252" t="n"/>
      <c r="Q561" s="252" t="n"/>
      <c r="R561" s="252" t="n"/>
      <c r="S561" s="244">
        <f>Q561*R561</f>
        <v/>
      </c>
    </row>
    <row r="562" ht="22.2" customHeight="1" s="330">
      <c r="A562" s="4" t="n"/>
      <c r="B562" s="5" t="n"/>
      <c r="E562" s="4" t="n"/>
      <c r="F562" s="249" t="n"/>
      <c r="G562" s="248" t="n"/>
      <c r="H562" s="252" t="n"/>
      <c r="I562" s="252" t="n"/>
      <c r="J562" s="252" t="n"/>
      <c r="K562" s="331" t="n"/>
      <c r="L562" s="252" t="n"/>
      <c r="M562" s="252" t="n"/>
      <c r="N562" s="252" t="n"/>
      <c r="O562" s="244">
        <f>M562*N562</f>
        <v/>
      </c>
      <c r="P562" s="252" t="n"/>
      <c r="Q562" s="252" t="n"/>
      <c r="R562" s="252" t="n"/>
      <c r="S562" s="244">
        <f>Q562*R562</f>
        <v/>
      </c>
    </row>
    <row r="563" ht="22.2" customHeight="1" s="330">
      <c r="A563" s="4" t="n"/>
      <c r="E563" s="4" t="n"/>
      <c r="G563" s="311" t="n"/>
      <c r="H563" s="276" t="n"/>
      <c r="I563" s="276" t="n"/>
      <c r="J563" s="276" t="n"/>
      <c r="K563" s="476" t="n"/>
      <c r="L563" s="252" t="n"/>
      <c r="M563" s="252" t="n"/>
      <c r="N563" s="252" t="n"/>
      <c r="O563" s="244">
        <f>M563*N563</f>
        <v/>
      </c>
      <c r="P563" s="252" t="n"/>
      <c r="Q563" s="252" t="n"/>
      <c r="R563" s="252" t="n"/>
      <c r="S563" s="244">
        <f>Q563*R563</f>
        <v/>
      </c>
    </row>
    <row r="564" ht="22.2" customHeight="1" s="330">
      <c r="A564" s="4" t="n"/>
      <c r="E564" s="4" t="n"/>
      <c r="G564" s="62" t="inlineStr">
        <is>
          <t>อังคาร</t>
        </is>
      </c>
      <c r="H564" s="332" t="inlineStr">
        <is>
          <t>20101-2007</t>
        </is>
      </c>
      <c r="I564" s="325" t="inlineStr">
        <is>
          <t>ปวช.3/9,10 ชย. (ทวิ)</t>
        </is>
      </c>
      <c r="J564" s="332" t="inlineStr">
        <is>
          <t>08.10-10.10</t>
        </is>
      </c>
      <c r="K564" s="335" t="n"/>
      <c r="L564" s="265" t="n"/>
      <c r="M564" s="332" t="n"/>
      <c r="N564" s="332" t="n"/>
      <c r="O564" s="244">
        <f>M564*N564</f>
        <v/>
      </c>
      <c r="P564" s="332" t="n"/>
      <c r="Q564" s="265" t="n"/>
      <c r="R564" s="332" t="n"/>
      <c r="S564" s="244">
        <f>Q564*R564</f>
        <v/>
      </c>
      <c r="T564" s="24" t="n"/>
      <c r="U564" s="24" t="inlineStr">
        <is>
          <t>สอน ป.ตรี</t>
        </is>
      </c>
      <c r="V564" s="65" t="n"/>
      <c r="W564" s="24" t="n"/>
      <c r="X564" s="24" t="n"/>
    </row>
    <row r="565" ht="22.2" customHeight="1" s="330">
      <c r="A565" s="4" t="n"/>
      <c r="E565" s="4" t="n"/>
      <c r="G565" s="308">
        <f>G473</f>
        <v/>
      </c>
      <c r="H565" s="325" t="inlineStr">
        <is>
          <t>20101-2006</t>
        </is>
      </c>
      <c r="I565" s="325" t="inlineStr">
        <is>
          <t>ปวช.2/1,2 ชย. (ปกติ)</t>
        </is>
      </c>
      <c r="J565" s="325" t="inlineStr">
        <is>
          <t>10.10-12.10</t>
        </is>
      </c>
      <c r="K565" s="331" t="n"/>
      <c r="L565" s="252" t="n"/>
      <c r="M565" s="252" t="n"/>
      <c r="N565" s="252" t="n"/>
      <c r="O565" s="244">
        <f>M565*N565</f>
        <v/>
      </c>
      <c r="P565" s="252" t="n"/>
      <c r="Q565" s="252" t="n"/>
      <c r="R565" s="252" t="n"/>
      <c r="S565" s="244">
        <f>Q565*R565</f>
        <v/>
      </c>
      <c r="T565" s="24" t="n"/>
      <c r="U565" s="24" t="inlineStr">
        <is>
          <t>18.10-21.10</t>
        </is>
      </c>
      <c r="V565" s="65" t="n"/>
      <c r="W565" s="24" t="n"/>
      <c r="X565" s="24" t="n"/>
    </row>
    <row r="566" ht="22.2" customHeight="1" s="330">
      <c r="A566" s="4" t="n"/>
      <c r="B566" s="5" t="n"/>
      <c r="D566" s="3" t="n"/>
      <c r="E566" s="3" t="n"/>
      <c r="G566" s="252" t="n"/>
      <c r="H566" s="325" t="inlineStr">
        <is>
          <t>20101-2006</t>
        </is>
      </c>
      <c r="I566" s="325" t="inlineStr">
        <is>
          <t>ปวช.2/5,6 ชย. (ปกติ)</t>
        </is>
      </c>
      <c r="J566" s="252" t="inlineStr">
        <is>
          <t>17.10-19.10</t>
        </is>
      </c>
      <c r="K566" s="331" t="n"/>
      <c r="L566" s="252" t="n"/>
      <c r="M566" s="252" t="n"/>
      <c r="N566" s="252" t="n"/>
      <c r="O566" s="244">
        <f>M566*N566</f>
        <v/>
      </c>
      <c r="P566" s="252" t="n"/>
      <c r="Q566" s="252" t="n"/>
      <c r="R566" s="252" t="n"/>
      <c r="S566" s="244">
        <f>Q566*R566</f>
        <v/>
      </c>
    </row>
    <row r="567" ht="22.2" customHeight="1" s="330">
      <c r="A567" s="4" t="n"/>
      <c r="E567" s="4" t="n"/>
      <c r="G567" s="62" t="n"/>
      <c r="H567" s="249" t="n"/>
      <c r="I567" s="252" t="n"/>
      <c r="J567" s="252" t="n"/>
      <c r="K567" s="331" t="n"/>
      <c r="L567" s="252" t="n"/>
      <c r="M567" s="252" t="n"/>
      <c r="N567" s="252" t="n"/>
      <c r="O567" s="244">
        <f>M567*N567</f>
        <v/>
      </c>
      <c r="P567" s="252" t="n"/>
      <c r="Q567" s="252" t="n"/>
      <c r="R567" s="252" t="n"/>
      <c r="S567" s="244">
        <f>Q567*R567</f>
        <v/>
      </c>
    </row>
    <row r="568" ht="22.2" customHeight="1" s="330">
      <c r="A568" s="4" t="n"/>
      <c r="D568" s="8" t="inlineStr">
        <is>
          <t> </t>
        </is>
      </c>
      <c r="E568" s="4" t="n"/>
      <c r="G568" s="63" t="n"/>
      <c r="H568" s="276" t="n"/>
      <c r="I568" s="276" t="n"/>
      <c r="J568" s="276" t="n"/>
      <c r="K568" s="476" t="n"/>
      <c r="L568" s="252" t="n"/>
      <c r="M568" s="252" t="n"/>
      <c r="N568" s="252" t="n"/>
      <c r="O568" s="244">
        <f>M568*N568</f>
        <v/>
      </c>
      <c r="P568" s="252" t="n"/>
      <c r="Q568" s="252" t="n"/>
      <c r="R568" s="252" t="n"/>
      <c r="S568" s="244">
        <f>Q568*R568</f>
        <v/>
      </c>
    </row>
    <row r="569" ht="22.2" customHeight="1" s="330">
      <c r="A569" s="4" t="n"/>
      <c r="E569" s="4" t="n"/>
      <c r="G569" s="308" t="inlineStr">
        <is>
          <t>พุธ</t>
        </is>
      </c>
      <c r="H569" s="325" t="inlineStr">
        <is>
          <t>20101-2209</t>
        </is>
      </c>
      <c r="I569" s="325" t="inlineStr">
        <is>
          <t>ปวช.2/5,6 ชย. (ปกติ)</t>
        </is>
      </c>
      <c r="J569" s="332" t="inlineStr">
        <is>
          <t>08.10-12.10</t>
        </is>
      </c>
      <c r="K569" s="335" t="n"/>
      <c r="L569" s="265" t="n"/>
      <c r="M569" s="332" t="n"/>
      <c r="N569" s="332" t="n"/>
      <c r="O569" s="244">
        <f>M569*N569</f>
        <v/>
      </c>
      <c r="P569" s="332" t="n"/>
      <c r="Q569" s="265" t="n"/>
      <c r="R569" s="332" t="n"/>
      <c r="S569" s="244">
        <f>Q569*R569</f>
        <v/>
      </c>
      <c r="T569" s="7" t="n"/>
      <c r="U569" s="23" t="inlineStr">
        <is>
          <t>เบิก ธุรการ</t>
        </is>
      </c>
      <c r="V569" s="66" t="n"/>
      <c r="W569" s="22" t="n"/>
      <c r="X569" s="22" t="n"/>
    </row>
    <row r="570" ht="22.2" customHeight="1" s="330">
      <c r="A570" s="4" t="n"/>
      <c r="B570" s="248" t="n"/>
      <c r="C570" s="249" t="n"/>
      <c r="D570" s="249" t="n"/>
      <c r="E570" s="252" t="n"/>
      <c r="G570" s="308">
        <f>G478</f>
        <v/>
      </c>
      <c r="H570" s="325" t="inlineStr">
        <is>
          <t>20101-2209</t>
        </is>
      </c>
      <c r="I570" s="325" t="inlineStr">
        <is>
          <t>ปวช.2/5,6 ชย. (ปกติ)</t>
        </is>
      </c>
      <c r="J570" s="252" t="inlineStr">
        <is>
          <t>13.10-16.10</t>
        </is>
      </c>
      <c r="K570" s="331" t="n"/>
      <c r="L570" s="252" t="n"/>
      <c r="M570" s="252" t="n"/>
      <c r="N570" s="252" t="n"/>
      <c r="O570" s="244">
        <f>M570*N570</f>
        <v/>
      </c>
      <c r="P570" s="252" t="n"/>
      <c r="Q570" s="252" t="n"/>
      <c r="R570" s="252" t="n"/>
      <c r="S570" s="244">
        <f>Q570*R570</f>
        <v/>
      </c>
      <c r="T570" s="22" t="inlineStr">
        <is>
          <t> </t>
        </is>
      </c>
      <c r="U570" s="23" t="inlineStr">
        <is>
          <t>16.10-19.10</t>
        </is>
      </c>
      <c r="V570" s="66" t="n"/>
      <c r="W570" s="22" t="n"/>
      <c r="X570" s="22" t="n"/>
    </row>
    <row r="571" ht="22.2" customHeight="1" s="330">
      <c r="A571" s="4" t="n"/>
      <c r="B571" s="5" t="n"/>
      <c r="D571" s="3" t="n"/>
      <c r="E571" s="3" t="n"/>
      <c r="G571" s="252" t="n"/>
      <c r="H571" s="325" t="inlineStr">
        <is>
          <t>20101-2006</t>
        </is>
      </c>
      <c r="I571" s="325" t="inlineStr">
        <is>
          <t>ปวช.2/7,8 ชย. (ปกติ)</t>
        </is>
      </c>
      <c r="J571" s="252" t="inlineStr">
        <is>
          <t>17.10-19.10</t>
        </is>
      </c>
      <c r="K571" s="331" t="n"/>
      <c r="L571" s="252" t="n"/>
      <c r="M571" s="252" t="n"/>
      <c r="N571" s="252" t="n"/>
      <c r="O571" s="244">
        <f>M571*N571</f>
        <v/>
      </c>
      <c r="P571" s="252" t="n"/>
      <c r="Q571" s="252" t="n"/>
      <c r="R571" s="252" t="n"/>
      <c r="S571" s="244">
        <f>Q571*R571</f>
        <v/>
      </c>
    </row>
    <row r="572" ht="22.2" customHeight="1" s="330">
      <c r="A572" s="4" t="n"/>
      <c r="E572" s="4" t="n"/>
      <c r="G572" s="248" t="n"/>
      <c r="H572" s="248" t="n"/>
      <c r="I572" s="252" t="n"/>
      <c r="J572" s="252" t="n"/>
      <c r="K572" s="331" t="n"/>
      <c r="L572" s="252" t="n"/>
      <c r="M572" s="252" t="n"/>
      <c r="N572" s="252" t="n"/>
      <c r="O572" s="244">
        <f>M572*N572</f>
        <v/>
      </c>
      <c r="P572" s="252" t="n"/>
      <c r="Q572" s="252" t="n"/>
      <c r="R572" s="252" t="n"/>
      <c r="S572" s="244">
        <f>Q572*R572</f>
        <v/>
      </c>
    </row>
    <row r="573" ht="22.2" customHeight="1" s="330">
      <c r="A573" s="4" t="n"/>
      <c r="E573" s="4" t="n"/>
      <c r="G573" s="277" t="n"/>
      <c r="H573" s="277" t="n"/>
      <c r="I573" s="276" t="n"/>
      <c r="J573" s="276" t="n"/>
      <c r="K573" s="476" t="n"/>
      <c r="L573" s="276" t="n"/>
      <c r="M573" s="276" t="n"/>
      <c r="N573" s="276" t="n"/>
      <c r="O573" s="244">
        <f>M573*N573</f>
        <v/>
      </c>
      <c r="P573" s="276" t="n"/>
      <c r="Q573" s="276" t="n"/>
      <c r="R573" s="276" t="n"/>
      <c r="S573" s="244">
        <f>Q573*R573</f>
        <v/>
      </c>
    </row>
    <row r="574" ht="22.2" customHeight="1" s="330">
      <c r="A574" s="4" t="n"/>
      <c r="E574" s="4" t="n"/>
      <c r="G574" s="62" t="inlineStr">
        <is>
          <t>พฤหัส</t>
        </is>
      </c>
      <c r="H574" s="325" t="inlineStr">
        <is>
          <t>20101-2209</t>
        </is>
      </c>
      <c r="I574" s="325" t="inlineStr">
        <is>
          <t>ปวช.2/7,8 ชย. (ปกติ)</t>
        </is>
      </c>
      <c r="J574" s="332" t="inlineStr">
        <is>
          <t>08.10-12.10</t>
        </is>
      </c>
      <c r="K574" s="335" t="n"/>
      <c r="L574" s="265" t="n"/>
      <c r="M574" s="252" t="n"/>
      <c r="N574" s="252" t="n"/>
      <c r="O574" s="244">
        <f>M574*N574</f>
        <v/>
      </c>
      <c r="P574" s="252" t="n"/>
      <c r="Q574" s="275" t="n"/>
      <c r="R574" s="275" t="n"/>
      <c r="S574" s="244">
        <f>Q574*R574</f>
        <v/>
      </c>
      <c r="T574" s="25" t="n"/>
      <c r="U574" s="26" t="inlineStr">
        <is>
          <t xml:space="preserve">     PLC</t>
        </is>
      </c>
      <c r="V574" s="64" t="n"/>
      <c r="W574" s="27" t="n"/>
      <c r="X574" s="27" t="n"/>
    </row>
    <row r="575" ht="22.2" customHeight="1" s="330">
      <c r="A575" s="4" t="n"/>
      <c r="E575" s="4" t="n"/>
      <c r="G575" s="308">
        <f>G483</f>
        <v/>
      </c>
      <c r="H575" s="325" t="inlineStr">
        <is>
          <t>20000-2002</t>
        </is>
      </c>
      <c r="I575" s="325" t="inlineStr">
        <is>
          <t>ปวช.1/3,4 ชย. (ปกติ)</t>
        </is>
      </c>
      <c r="J575" s="325" t="inlineStr">
        <is>
          <t>13.10-15.10</t>
        </is>
      </c>
      <c r="K575" s="331" t="n"/>
      <c r="L575" s="252" t="n"/>
      <c r="M575" s="252" t="n"/>
      <c r="N575" s="252" t="n"/>
      <c r="O575" s="244">
        <f>M575*N575</f>
        <v/>
      </c>
      <c r="P575" s="252" t="n"/>
      <c r="Q575" s="252" t="n"/>
      <c r="R575" s="252" t="n"/>
      <c r="S575" s="244">
        <f>Q575*R575</f>
        <v/>
      </c>
      <c r="T575" s="27" t="inlineStr">
        <is>
          <t> </t>
        </is>
      </c>
      <c r="U575" s="26" t="inlineStr">
        <is>
          <t>17.10-19.10</t>
        </is>
      </c>
      <c r="V575" s="64" t="n"/>
      <c r="W575" s="27" t="n"/>
      <c r="X575" s="27" t="n"/>
    </row>
    <row r="576" ht="22.2" customHeight="1" s="330">
      <c r="A576" s="4" t="n"/>
      <c r="B576" s="5" t="n"/>
      <c r="E576" s="4" t="n"/>
      <c r="G576" s="252" t="n"/>
      <c r="H576" s="325" t="inlineStr">
        <is>
          <t>20101-2209</t>
        </is>
      </c>
      <c r="I576" s="325" t="inlineStr">
        <is>
          <t>ปวช.2/7,8 ชย. (ปกติ)</t>
        </is>
      </c>
      <c r="J576" s="325" t="inlineStr">
        <is>
          <t>15.10-18.10</t>
        </is>
      </c>
      <c r="K576" s="331" t="n"/>
      <c r="L576" s="325" t="n"/>
      <c r="M576" s="325" t="n"/>
      <c r="N576" s="325" t="n"/>
      <c r="O576" s="244">
        <f>M576*N576</f>
        <v/>
      </c>
      <c r="P576" s="325" t="n"/>
      <c r="Q576" s="325" t="n"/>
      <c r="R576" s="325" t="n"/>
      <c r="S576" s="244">
        <f>Q576*R576</f>
        <v/>
      </c>
    </row>
    <row r="577" ht="22.2" customHeight="1" s="330">
      <c r="A577" s="4" t="n"/>
      <c r="E577" s="4" t="n"/>
      <c r="G577" s="252" t="n"/>
      <c r="H577" s="252" t="n"/>
      <c r="I577" s="252" t="n"/>
      <c r="J577" s="252" t="n"/>
      <c r="K577" s="331" t="n"/>
      <c r="L577" s="252" t="n"/>
      <c r="M577" s="252" t="n"/>
      <c r="N577" s="252" t="n"/>
      <c r="O577" s="244">
        <f>M577*N577</f>
        <v/>
      </c>
      <c r="P577" s="252" t="n"/>
      <c r="Q577" s="252" t="n"/>
      <c r="R577" s="252" t="n"/>
      <c r="S577" s="244">
        <f>Q577*R577</f>
        <v/>
      </c>
    </row>
    <row r="578" ht="22.2" customHeight="1" s="330">
      <c r="A578" s="4" t="n"/>
      <c r="E578" s="4" t="n"/>
      <c r="G578" s="276" t="n"/>
      <c r="H578" s="301" t="n"/>
      <c r="I578" s="276" t="n"/>
      <c r="J578" s="276" t="n"/>
      <c r="K578" s="476" t="n"/>
      <c r="L578" s="276" t="n"/>
      <c r="M578" s="276" t="n"/>
      <c r="N578" s="276" t="n"/>
      <c r="O578" s="244">
        <f>M578*N578</f>
        <v/>
      </c>
      <c r="P578" s="276" t="n"/>
      <c r="Q578" s="276" t="n"/>
      <c r="R578" s="276" t="n"/>
      <c r="S578" s="244">
        <f>Q578*R578</f>
        <v/>
      </c>
    </row>
    <row r="579" ht="22.2" customHeight="1" s="330">
      <c r="A579" s="4" t="n"/>
      <c r="E579" s="4" t="n"/>
      <c r="G579" s="62" t="inlineStr">
        <is>
          <t>ศุกร์</t>
        </is>
      </c>
      <c r="H579" s="325" t="inlineStr">
        <is>
          <t>20101-2008</t>
        </is>
      </c>
      <c r="I579" s="325" t="inlineStr">
        <is>
          <t>ปวช.1/6 ชย. (ปกติ)</t>
        </is>
      </c>
      <c r="J579" s="332" t="inlineStr">
        <is>
          <t>08.10-12.10</t>
        </is>
      </c>
      <c r="K579" s="335" t="n"/>
      <c r="L579" s="265" t="n"/>
      <c r="M579" s="332" t="n"/>
      <c r="N579" s="332" t="n"/>
      <c r="O579" s="244">
        <f>M579*N579</f>
        <v/>
      </c>
      <c r="P579" s="332" t="n"/>
      <c r="Q579" s="265" t="n"/>
      <c r="R579" s="332" t="n"/>
      <c r="S579" s="244">
        <f>Q579*R579</f>
        <v/>
      </c>
    </row>
    <row r="580" ht="22.2" customHeight="1" s="330">
      <c r="A580" s="4" t="n"/>
      <c r="E580" s="4" t="n"/>
      <c r="G580" s="308">
        <f>G488</f>
        <v/>
      </c>
      <c r="H580" s="325" t="inlineStr">
        <is>
          <t>20101-2006</t>
        </is>
      </c>
      <c r="I580" s="325" t="inlineStr">
        <is>
          <t>ปวช.2/3 ชย. (ปกติ)</t>
        </is>
      </c>
      <c r="J580" s="252" t="inlineStr">
        <is>
          <t>13.10-15.10</t>
        </is>
      </c>
      <c r="K580" s="331" t="n"/>
      <c r="L580" s="252" t="n"/>
      <c r="M580" s="252" t="n"/>
      <c r="N580" s="252" t="n"/>
      <c r="O580" s="244">
        <f>M580*N580</f>
        <v/>
      </c>
      <c r="P580" s="252" t="n"/>
      <c r="Q580" s="252" t="n"/>
      <c r="R580" s="252" t="n"/>
      <c r="S580" s="244">
        <f>Q580*R580</f>
        <v/>
      </c>
    </row>
    <row r="581" ht="22.2" customHeight="1" s="330">
      <c r="A581" s="4" t="n"/>
      <c r="E581" s="4" t="n"/>
      <c r="G581" s="252" t="n"/>
      <c r="H581" s="325" t="inlineStr">
        <is>
          <t>20101-2107</t>
        </is>
      </c>
      <c r="I581" s="325" t="inlineStr">
        <is>
          <t>ปวช.2/3 ชย. (ปกติ)</t>
        </is>
      </c>
      <c r="J581" s="325" t="inlineStr">
        <is>
          <t>15.10-17.10</t>
        </is>
      </c>
      <c r="K581" s="331" t="n"/>
      <c r="L581" s="252" t="n"/>
      <c r="M581" s="252" t="n"/>
      <c r="N581" s="252" t="n"/>
      <c r="O581" s="244">
        <f>M581*N581</f>
        <v/>
      </c>
      <c r="P581" s="252" t="n"/>
      <c r="Q581" s="252" t="n"/>
      <c r="R581" s="252" t="n"/>
      <c r="S581" s="244">
        <f>Q581*R581</f>
        <v/>
      </c>
    </row>
    <row r="582" ht="22.2" customHeight="1" s="330">
      <c r="A582" s="4" t="n"/>
      <c r="E582" s="4" t="n"/>
      <c r="G582" s="252" t="n"/>
      <c r="H582" s="249" t="n"/>
      <c r="I582" s="252" t="n"/>
      <c r="J582" s="252" t="n"/>
      <c r="K582" s="331" t="n"/>
      <c r="L582" s="252" t="n"/>
      <c r="M582" s="252" t="n"/>
      <c r="N582" s="252" t="n"/>
      <c r="O582" s="244">
        <f>M582*N582</f>
        <v/>
      </c>
      <c r="P582" s="252" t="n"/>
      <c r="Q582" s="252" t="n"/>
      <c r="R582" s="252" t="n"/>
      <c r="S582" s="244">
        <f>Q582*R582</f>
        <v/>
      </c>
    </row>
    <row r="583" ht="22.2" customHeight="1" s="330">
      <c r="A583" s="4" t="n"/>
      <c r="E583" s="4" t="n"/>
      <c r="F583" s="4" t="n"/>
      <c r="G583" s="278" t="n"/>
      <c r="H583" s="301" t="n"/>
      <c r="I583" s="276" t="n"/>
      <c r="J583" s="276" t="n"/>
      <c r="K583" s="476" t="n"/>
      <c r="L583" s="276" t="n"/>
      <c r="M583" s="276" t="n"/>
      <c r="N583" s="276" t="n"/>
      <c r="O583" s="244">
        <f>M583*N583</f>
        <v/>
      </c>
      <c r="P583" s="276" t="n"/>
      <c r="Q583" s="276" t="n"/>
      <c r="R583" s="276" t="n"/>
      <c r="S583" s="244">
        <f>Q583*R583</f>
        <v/>
      </c>
    </row>
    <row r="584" ht="22.2" customHeight="1" s="330">
      <c r="A584" s="4" t="n"/>
      <c r="E584" s="4" t="n"/>
      <c r="F584" s="4" t="n"/>
      <c r="G584" s="17" t="inlineStr">
        <is>
          <t>รวมขั่วโมงที่สอนแยก ภาระงาน/ เกินภาระงาน</t>
        </is>
      </c>
      <c r="H584" s="467" t="n"/>
      <c r="I584" s="467" t="n"/>
      <c r="J584" s="467" t="n"/>
      <c r="K584" s="362" t="n"/>
      <c r="L584" s="17">
        <f>SUM(L559:L583)</f>
        <v/>
      </c>
      <c r="M584" s="17">
        <f>SUM(M559:M583)</f>
        <v/>
      </c>
      <c r="N584" s="17" t="n"/>
      <c r="O584" s="17" t="n"/>
      <c r="P584" s="17">
        <f>SUM(P559:P583)</f>
        <v/>
      </c>
      <c r="Q584" s="17">
        <f>SUM(Q559:Q583)</f>
        <v/>
      </c>
      <c r="R584" s="279" t="n"/>
      <c r="S584" s="17" t="n"/>
      <c r="T584" s="24" t="n"/>
      <c r="U584" s="24" t="inlineStr">
        <is>
          <t>สอน ป.ตรี</t>
        </is>
      </c>
      <c r="V584" s="65" t="n"/>
      <c r="W584" s="24" t="n"/>
      <c r="X584" s="24" t="n"/>
    </row>
    <row r="585" ht="22.2" customHeight="1" s="330">
      <c r="A585" s="4" t="n"/>
      <c r="E585" s="4" t="n"/>
      <c r="F585" s="4" t="n"/>
      <c r="G585" s="17" t="inlineStr">
        <is>
          <t>รวมจำนวนชั่วโมงสอนคาบต่อสับดาห์</t>
        </is>
      </c>
      <c r="H585" s="467" t="n"/>
      <c r="I585" s="467" t="n"/>
      <c r="J585" s="467" t="n"/>
      <c r="K585" s="362" t="n"/>
      <c r="L585" s="17">
        <f>L584+M584</f>
        <v/>
      </c>
      <c r="M585" s="362" t="n"/>
      <c r="N585" s="298" t="n"/>
      <c r="O585" s="17" t="n"/>
      <c r="P585" s="17">
        <f>P584+Q584</f>
        <v/>
      </c>
      <c r="Q585" s="362" t="n"/>
      <c r="R585" s="278" t="n"/>
      <c r="S585" s="276" t="n"/>
      <c r="T585" s="24" t="n"/>
      <c r="U585" s="24" t="inlineStr">
        <is>
          <t>17.10-20.10</t>
        </is>
      </c>
      <c r="V585" s="65" t="n"/>
      <c r="W585" s="24" t="n"/>
      <c r="X585" s="24" t="n"/>
    </row>
    <row r="586" ht="22.2" customHeight="1" s="330">
      <c r="A586" s="4" t="n"/>
      <c r="E586" s="4" t="n"/>
      <c r="F586" s="4" t="n"/>
      <c r="G586" s="17" t="inlineStr">
        <is>
          <t>จำนวนชั่วโมงสอนตามภาระงานสอน</t>
        </is>
      </c>
      <c r="H586" s="467" t="n"/>
      <c r="I586" s="467" t="n"/>
      <c r="J586" s="467" t="n"/>
      <c r="K586" s="362" t="n"/>
      <c r="L586" s="17" t="n">
        <v>18</v>
      </c>
      <c r="M586" s="362" t="n"/>
      <c r="N586" s="298" t="n"/>
      <c r="O586" s="17" t="n"/>
      <c r="P586" s="17" t="n">
        <v>0</v>
      </c>
      <c r="Q586" s="362" t="n"/>
      <c r="R586" s="249" t="n"/>
      <c r="S586" s="252" t="n"/>
    </row>
    <row r="587" ht="22.2" customHeight="1" s="330" thickBot="1">
      <c r="A587" s="4" t="n"/>
      <c r="E587" s="4" t="n"/>
      <c r="F587" s="15" t="n"/>
      <c r="G587" s="17" t="inlineStr">
        <is>
          <t>จำนวนชั่วโมงบิกเกินภาระงานสอน/ค่าสอน</t>
        </is>
      </c>
      <c r="H587" s="467" t="n"/>
      <c r="I587" s="467" t="n"/>
      <c r="J587" s="467" t="n"/>
      <c r="K587" s="362" t="n"/>
      <c r="L587" s="18" t="n">
        <v>0</v>
      </c>
      <c r="M587" s="18">
        <f>SUM(M559:M583)</f>
        <v/>
      </c>
      <c r="N587" s="18" t="n"/>
      <c r="O587" s="18">
        <f>SUM(O559:O583)</f>
        <v/>
      </c>
      <c r="P587" s="18" t="n">
        <v>0</v>
      </c>
      <c r="Q587" s="18">
        <f>SUM(Q559:Q583)</f>
        <v/>
      </c>
      <c r="R587" s="19" t="n"/>
      <c r="S587" s="18">
        <f>SUM(S559:S583)</f>
        <v/>
      </c>
    </row>
    <row r="588" ht="22.2" customHeight="1" s="330" thickTop="1">
      <c r="A588" s="299" t="inlineStr">
        <is>
          <t>รวมจำนวนหน่วยชั่วโมงที่ขอเบิกค่าสอน ….</t>
        </is>
      </c>
      <c r="B588" s="467" t="n"/>
      <c r="C588" s="467" t="n"/>
      <c r="D588" s="467" t="n"/>
      <c r="E588" s="467" t="n"/>
      <c r="F588" s="467" t="n"/>
      <c r="G588" s="467" t="n"/>
      <c r="H588" s="298">
        <f>M587+Q587</f>
        <v/>
      </c>
      <c r="I588" s="298" t="inlineStr">
        <is>
          <t>….ชั่วโมง</t>
        </is>
      </c>
      <c r="J588" s="298" t="n"/>
      <c r="K588" s="301" t="inlineStr">
        <is>
          <t>ยอดเงินรวม</t>
        </is>
      </c>
      <c r="L588" s="471" t="n"/>
      <c r="M588" s="471" t="n"/>
      <c r="N588" s="301" t="n"/>
      <c r="O588" s="301" t="n"/>
      <c r="P588" s="302">
        <f>S587+O587</f>
        <v/>
      </c>
      <c r="Q588" s="482" t="n"/>
      <c r="R588" s="21" t="n"/>
      <c r="S588" s="20" t="inlineStr">
        <is>
          <t>..บาท</t>
        </is>
      </c>
    </row>
    <row r="589" ht="22.2" customHeight="1" s="330">
      <c r="A589" s="207" t="inlineStr">
        <is>
          <t>ผู้ขอเบิก</t>
        </is>
      </c>
      <c r="B589" s="334" t="n"/>
      <c r="C589" s="334" t="n"/>
      <c r="D589" s="334" t="n"/>
      <c r="E589" s="334" t="n"/>
      <c r="F589" s="334" t="n"/>
      <c r="G589" s="335" t="n"/>
      <c r="H589" s="207" t="inlineStr">
        <is>
          <t>ผู้รับรอง</t>
        </is>
      </c>
      <c r="I589" s="334" t="n"/>
      <c r="J589" s="334" t="n"/>
      <c r="K589" s="334" t="n"/>
      <c r="L589" s="335" t="n"/>
      <c r="M589" s="207" t="inlineStr">
        <is>
          <t>ผู้ตรวจ</t>
        </is>
      </c>
      <c r="N589" s="334" t="n"/>
      <c r="O589" s="334" t="n"/>
      <c r="P589" s="334" t="n"/>
      <c r="Q589" s="334" t="n"/>
      <c r="R589" s="334" t="n"/>
      <c r="S589" s="335" t="n"/>
    </row>
    <row r="590" ht="22.2" customHeight="1" s="330">
      <c r="A590" s="252" t="inlineStr">
        <is>
          <t>ลงชื่อ……………………………………………</t>
        </is>
      </c>
      <c r="G590" s="331" t="n"/>
      <c r="H590" s="252" t="inlineStr">
        <is>
          <t>ลงชื่อ……………………………………………</t>
        </is>
      </c>
      <c r="L590" s="331" t="n"/>
      <c r="M590" s="252" t="inlineStr">
        <is>
          <t>ลงชื่อ……………………………………………</t>
        </is>
      </c>
      <c r="S590" s="331" t="n"/>
    </row>
    <row r="591" ht="22.2" customHeight="1" s="330">
      <c r="A591" s="12" t="inlineStr">
        <is>
          <t>(</t>
        </is>
      </c>
      <c r="B591" s="309">
        <f>B559</f>
        <v/>
      </c>
      <c r="G591" s="310" t="inlineStr">
        <is>
          <t>)</t>
        </is>
      </c>
      <c r="H591" s="309" t="inlineStr">
        <is>
          <t>(</t>
        </is>
      </c>
      <c r="I591" s="314">
        <f>I545</f>
        <v/>
      </c>
      <c r="L591" s="13" t="inlineStr">
        <is>
          <t>)</t>
        </is>
      </c>
      <c r="M591" s="61" t="inlineStr">
        <is>
          <t>(</t>
        </is>
      </c>
      <c r="N591" s="61" t="n"/>
      <c r="O591" s="309" t="inlineStr">
        <is>
          <t>นายพิสุทธิศักดิ์  กล่อมนาค</t>
        </is>
      </c>
      <c r="R591" s="29" t="n"/>
      <c r="S591" s="310" t="inlineStr">
        <is>
          <t>)</t>
        </is>
      </c>
    </row>
    <row r="592" ht="22.2" customHeight="1" s="330">
      <c r="A592" s="483" t="inlineStr">
        <is>
          <t xml:space="preserve">                        ตำแหน่ง ครู</t>
        </is>
      </c>
      <c r="G592" s="331" t="n"/>
      <c r="H592" s="62" t="inlineStr">
        <is>
          <t>ตำแหน่ง หัวหน้าแผนก</t>
        </is>
      </c>
      <c r="L592" s="331" t="n"/>
      <c r="M592" s="62" t="inlineStr">
        <is>
          <t>ตำแหน่ง   ผู้ตรวจสอบ</t>
        </is>
      </c>
      <c r="S592" s="331" t="n"/>
    </row>
    <row r="593" ht="22.2" customHeight="1" s="330">
      <c r="A593" s="63">
        <f>A41</f>
        <v/>
      </c>
      <c r="B593" s="471" t="n"/>
      <c r="C593" s="471" t="n"/>
      <c r="D593" s="471" t="n"/>
      <c r="E593" s="471" t="n"/>
      <c r="F593" s="471" t="n"/>
      <c r="G593" s="476" t="n"/>
      <c r="H593" s="62">
        <f>A41</f>
        <v/>
      </c>
      <c r="L593" s="331" t="n"/>
      <c r="M593" s="63">
        <f>A41</f>
        <v/>
      </c>
      <c r="N593" s="471" t="n"/>
      <c r="O593" s="471" t="n"/>
      <c r="P593" s="471" t="n"/>
      <c r="Q593" s="471" t="n"/>
      <c r="R593" s="471" t="n"/>
      <c r="S593" s="476" t="n"/>
    </row>
    <row r="594" ht="22.2" customHeight="1" s="330">
      <c r="A594" s="207" t="inlineStr">
        <is>
          <t>ผู้ตรวจ</t>
        </is>
      </c>
      <c r="B594" s="334" t="n"/>
      <c r="C594" s="334" t="n"/>
      <c r="D594" s="334" t="n"/>
      <c r="E594" s="334" t="n"/>
      <c r="F594" s="334" t="n"/>
      <c r="G594" s="334" t="n"/>
      <c r="H594" s="334" t="n"/>
      <c r="I594" s="335" t="n"/>
      <c r="J594" s="207" t="inlineStr">
        <is>
          <t>ผู้เห็นชอบ</t>
        </is>
      </c>
      <c r="K594" s="334" t="n"/>
      <c r="L594" s="334" t="n"/>
      <c r="M594" s="334" t="n"/>
      <c r="N594" s="334" t="n"/>
      <c r="O594" s="334" t="n"/>
      <c r="P594" s="334" t="n"/>
      <c r="Q594" s="334" t="n"/>
      <c r="R594" s="334" t="n"/>
      <c r="S594" s="335" t="n"/>
    </row>
    <row r="595" ht="22.2" customHeight="1" s="330">
      <c r="A595" s="252" t="inlineStr">
        <is>
          <t>ลงชื่อ……………………………………………</t>
        </is>
      </c>
      <c r="I595" s="331" t="n"/>
      <c r="J595" s="252" t="inlineStr">
        <is>
          <t>ลงชื่อ……………………………………………</t>
        </is>
      </c>
      <c r="S595" s="331" t="n"/>
    </row>
    <row r="596" ht="22.2" customHeight="1" s="330">
      <c r="A596" s="12" t="n"/>
      <c r="B596" s="309" t="inlineStr">
        <is>
          <t xml:space="preserve">          (นางศิวรักษ์   บุญประเสริฐ)</t>
        </is>
      </c>
      <c r="I596" s="310" t="n"/>
      <c r="J596" s="29" t="n"/>
      <c r="K596" s="29" t="n"/>
      <c r="L596" s="309" t="inlineStr">
        <is>
          <t>(นายปรีชา  โพธิ์เกิด)</t>
        </is>
      </c>
      <c r="R596" s="29" t="n"/>
      <c r="S596" s="13" t="n"/>
    </row>
    <row r="597" ht="22.2" customHeight="1" s="330">
      <c r="A597" s="62" t="inlineStr">
        <is>
          <t>ตำแหน่งครู  หัวหน้างานพัฒนาหลักสูตร ฯ</t>
        </is>
      </c>
      <c r="I597" s="331" t="n"/>
      <c r="J597" s="62" t="inlineStr">
        <is>
          <t>ตำแหน่ง  รองผู้อำนวยการฝ่ายวิชาการ</t>
        </is>
      </c>
      <c r="S597" s="331" t="n"/>
    </row>
    <row r="598" ht="22.2" customHeight="1" s="330">
      <c r="A598" s="63">
        <f>A41</f>
        <v/>
      </c>
      <c r="B598" s="471" t="n"/>
      <c r="C598" s="471" t="n"/>
      <c r="D598" s="471" t="n"/>
      <c r="E598" s="471" t="n"/>
      <c r="F598" s="471" t="n"/>
      <c r="G598" s="471" t="n"/>
      <c r="H598" s="471" t="n"/>
      <c r="I598" s="476" t="n"/>
      <c r="J598" s="63">
        <f>A41</f>
        <v/>
      </c>
      <c r="K598" s="471" t="n"/>
      <c r="L598" s="471" t="n"/>
      <c r="M598" s="471" t="n"/>
      <c r="N598" s="471" t="n"/>
      <c r="O598" s="471" t="n"/>
      <c r="P598" s="471" t="n"/>
      <c r="Q598" s="471" t="n"/>
      <c r="R598" s="471" t="n"/>
      <c r="S598" s="476" t="n"/>
    </row>
    <row r="599" ht="22.2" customHeight="1" s="330">
      <c r="A59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00" ht="22.2" customHeight="1" s="330">
      <c r="A600" s="254">
        <f>A2</f>
        <v/>
      </c>
    </row>
    <row r="601" ht="22.2" customHeight="1" s="330">
      <c r="A601" s="253" t="inlineStr">
        <is>
          <t xml:space="preserve">    ระหว่างวันที่</t>
        </is>
      </c>
      <c r="D601" s="254">
        <f>D49</f>
        <v/>
      </c>
      <c r="E601" s="254" t="inlineStr">
        <is>
          <t xml:space="preserve">   เดือน  </t>
        </is>
      </c>
      <c r="F601" s="254">
        <f>F49</f>
        <v/>
      </c>
      <c r="H601" s="254">
        <f>H49</f>
        <v/>
      </c>
      <c r="I601" s="254" t="inlineStr">
        <is>
          <t xml:space="preserve">     ถึง วันที่</t>
        </is>
      </c>
      <c r="J601" s="254">
        <f>J49</f>
        <v/>
      </c>
      <c r="K601" s="254" t="inlineStr">
        <is>
          <t xml:space="preserve">   เดือน </t>
        </is>
      </c>
      <c r="L601" s="254">
        <f>L49</f>
        <v/>
      </c>
      <c r="N601" s="254">
        <f>N49</f>
        <v/>
      </c>
      <c r="P601" s="254" t="n"/>
      <c r="R601" s="254" t="n"/>
    </row>
    <row r="602" ht="22.2" customHeight="1" s="330">
      <c r="G602" s="58" t="inlineStr">
        <is>
          <t>ü</t>
        </is>
      </c>
      <c r="H602" s="301" t="inlineStr">
        <is>
          <t>ครู</t>
        </is>
      </c>
      <c r="I602" s="301" t="inlineStr">
        <is>
          <t>หน้าที่พิเศษ</t>
        </is>
      </c>
      <c r="J602" s="290" t="n"/>
      <c r="K602" s="290" t="n"/>
      <c r="L602" s="290" t="n"/>
      <c r="M602" s="290" t="n"/>
      <c r="N602" s="290" t="n"/>
      <c r="O602" s="290" t="n"/>
      <c r="P602" s="290" t="n"/>
      <c r="Q602" s="290" t="n"/>
      <c r="R602" s="290" t="n"/>
      <c r="S602" s="290" t="n"/>
    </row>
    <row r="603" ht="22.2" customHeight="1" s="330">
      <c r="A603" s="28" t="inlineStr">
        <is>
          <t>ที่</t>
        </is>
      </c>
      <c r="B603" s="28" t="inlineStr">
        <is>
          <t>ชื่อ-สกุล</t>
        </is>
      </c>
      <c r="C603" s="334" t="n"/>
      <c r="D603" s="335" t="n"/>
      <c r="E603" s="16" t="inlineStr">
        <is>
          <t>ตำแหน่ง</t>
        </is>
      </c>
      <c r="F603" s="17" t="inlineStr">
        <is>
          <t>ระยะเวลาที่สอน</t>
        </is>
      </c>
      <c r="G603" s="362" t="n"/>
      <c r="H603" s="17" t="inlineStr">
        <is>
          <t>รหัสวิชา</t>
        </is>
      </c>
      <c r="I603" s="275" t="inlineStr">
        <is>
          <t>ชั้น,แผนก,ห้อง</t>
        </is>
      </c>
      <c r="J603" s="17" t="inlineStr">
        <is>
          <t>เวลาสอน</t>
        </is>
      </c>
      <c r="K603" s="335" t="n"/>
      <c r="L603" s="17" t="inlineStr">
        <is>
          <t>ปวช.(คาบ)</t>
        </is>
      </c>
      <c r="M603" s="362" t="n"/>
      <c r="N603" s="244" t="inlineStr">
        <is>
          <t>เงิน</t>
        </is>
      </c>
      <c r="O603" s="275" t="inlineStr">
        <is>
          <t>ยอดเงิน</t>
        </is>
      </c>
      <c r="P603" s="473" t="inlineStr">
        <is>
          <t>ปวส.(คาบ)</t>
        </is>
      </c>
      <c r="Q603" s="362" t="n"/>
      <c r="R603" s="244" t="inlineStr">
        <is>
          <t>เงิน</t>
        </is>
      </c>
      <c r="S603" s="275" t="inlineStr">
        <is>
          <t>ยอดเงิน</t>
        </is>
      </c>
    </row>
    <row r="604" ht="22.2" customHeight="1" s="330">
      <c r="A604" s="60" t="n"/>
      <c r="B604" s="9" t="n"/>
      <c r="C604" s="10" t="n"/>
      <c r="D604" s="14" t="n"/>
      <c r="E604" s="11" t="n"/>
      <c r="F604" s="276" t="inlineStr">
        <is>
          <t>ส.</t>
        </is>
      </c>
      <c r="G604" s="276" t="inlineStr">
        <is>
          <t>วดป.</t>
        </is>
      </c>
      <c r="H604" s="474" t="n"/>
      <c r="I604" s="276" t="n"/>
      <c r="J604" s="475" t="n"/>
      <c r="K604" s="476" t="n"/>
      <c r="L604" s="276" t="inlineStr">
        <is>
          <t>ใน</t>
        </is>
      </c>
      <c r="M604" s="276" t="inlineStr">
        <is>
          <t>นอก</t>
        </is>
      </c>
      <c r="N604" s="276" t="inlineStr">
        <is>
          <t>ต่อ ชม.</t>
        </is>
      </c>
      <c r="O604" s="276" t="inlineStr">
        <is>
          <t>(บาท)</t>
        </is>
      </c>
      <c r="P604" s="60" t="inlineStr">
        <is>
          <t>ใน</t>
        </is>
      </c>
      <c r="Q604" s="60" t="inlineStr">
        <is>
          <t>นอก</t>
        </is>
      </c>
      <c r="R604" s="276" t="inlineStr">
        <is>
          <t>ต่อ ชม.</t>
        </is>
      </c>
      <c r="S604" s="276" t="inlineStr">
        <is>
          <t>(บาท)</t>
        </is>
      </c>
    </row>
    <row r="605" ht="22.2" customHeight="1" s="330">
      <c r="A605" s="275" t="n">
        <v>14</v>
      </c>
      <c r="B605" s="477">
        <f>AB16</f>
        <v/>
      </c>
      <c r="C605" s="334" t="n"/>
      <c r="D605" s="335" t="n"/>
      <c r="E605" s="275" t="inlineStr">
        <is>
          <t>ครู</t>
        </is>
      </c>
      <c r="F605" s="6">
        <f>F7</f>
        <v/>
      </c>
      <c r="G605" s="303" t="inlineStr">
        <is>
          <t>จันทร์</t>
        </is>
      </c>
      <c r="H605" s="325" t="inlineStr">
        <is>
          <t>30101-2003</t>
        </is>
      </c>
      <c r="I605" s="325" t="inlineStr">
        <is>
          <t>ปวส.1/7 สย. (ทวิ)</t>
        </is>
      </c>
      <c r="J605" s="252" t="inlineStr">
        <is>
          <t>13.10-16.10</t>
        </is>
      </c>
      <c r="K605" s="331" t="n"/>
      <c r="L605" s="265" t="n"/>
      <c r="M605" s="332" t="n"/>
      <c r="N605" s="332" t="n"/>
      <c r="O605" s="244">
        <f>M605*N605</f>
        <v/>
      </c>
      <c r="P605" s="332" t="n"/>
      <c r="Q605" s="265" t="n"/>
      <c r="R605" s="332" t="n"/>
      <c r="S605" s="244">
        <f>Q605*R605</f>
        <v/>
      </c>
    </row>
    <row r="606" ht="22.2" customHeight="1" s="330">
      <c r="A606" s="4" t="n"/>
      <c r="B606" s="478" t="n"/>
      <c r="D606" s="331" t="n"/>
      <c r="E606" s="252" t="n"/>
      <c r="F606" s="249" t="n"/>
      <c r="G606" s="308">
        <f>G514</f>
        <v/>
      </c>
      <c r="H606" s="325" t="n"/>
      <c r="I606" s="325" t="n"/>
      <c r="J606" s="252" t="n"/>
      <c r="K606" s="331" t="n"/>
      <c r="L606" s="252" t="n"/>
      <c r="M606" s="252" t="n"/>
      <c r="N606" s="252" t="n"/>
      <c r="O606" s="244">
        <f>M606*N606</f>
        <v/>
      </c>
      <c r="P606" s="252" t="n"/>
      <c r="Q606" s="252" t="n"/>
      <c r="R606" s="252" t="n"/>
      <c r="S606" s="244">
        <f>Q606*R606</f>
        <v/>
      </c>
    </row>
    <row r="607" ht="22.2" customHeight="1" s="330">
      <c r="A607" s="4" t="n"/>
      <c r="B607" s="5" t="n"/>
      <c r="D607" s="3" t="n"/>
      <c r="E607" s="3" t="n"/>
      <c r="F607" s="249" t="n"/>
      <c r="G607" s="248" t="n"/>
      <c r="H607" s="252" t="n"/>
      <c r="I607" s="252" t="n"/>
      <c r="J607" s="252" t="n"/>
      <c r="K607" s="331" t="n"/>
      <c r="L607" s="252" t="n"/>
      <c r="M607" s="252" t="n"/>
      <c r="N607" s="252" t="n"/>
      <c r="O607" s="244">
        <f>M607*N607</f>
        <v/>
      </c>
      <c r="P607" s="252" t="n"/>
      <c r="Q607" s="252" t="n"/>
      <c r="R607" s="252" t="n"/>
      <c r="S607" s="244">
        <f>Q607*R607</f>
        <v/>
      </c>
    </row>
    <row r="608" ht="22.2" customHeight="1" s="330">
      <c r="A608" s="4" t="n"/>
      <c r="B608" s="5" t="n"/>
      <c r="E608" s="4" t="n"/>
      <c r="F608" s="249" t="n"/>
      <c r="G608" s="248" t="n"/>
      <c r="H608" s="252" t="n"/>
      <c r="I608" s="252" t="n"/>
      <c r="J608" s="252" t="n"/>
      <c r="K608" s="331" t="n"/>
      <c r="L608" s="252" t="n"/>
      <c r="M608" s="252" t="n"/>
      <c r="N608" s="252" t="n"/>
      <c r="O608" s="244">
        <f>M608*N608</f>
        <v/>
      </c>
      <c r="P608" s="252" t="n"/>
      <c r="Q608" s="252" t="n"/>
      <c r="R608" s="252" t="n"/>
      <c r="S608" s="244">
        <f>Q608*R608</f>
        <v/>
      </c>
    </row>
    <row r="609" ht="22.2" customHeight="1" s="330">
      <c r="A609" s="4" t="n"/>
      <c r="E609" s="4" t="n"/>
      <c r="G609" s="311" t="n"/>
      <c r="H609" s="276" t="n"/>
      <c r="I609" s="276" t="n"/>
      <c r="J609" s="276" t="n"/>
      <c r="K609" s="476" t="n"/>
      <c r="L609" s="252" t="n"/>
      <c r="M609" s="252" t="n"/>
      <c r="N609" s="252" t="n"/>
      <c r="O609" s="244">
        <f>M609*N609</f>
        <v/>
      </c>
      <c r="P609" s="252" t="n"/>
      <c r="Q609" s="252" t="n"/>
      <c r="R609" s="252" t="n"/>
      <c r="S609" s="244">
        <f>Q609*R609</f>
        <v/>
      </c>
    </row>
    <row r="610" ht="22.2" customHeight="1" s="330">
      <c r="A610" s="4" t="n"/>
      <c r="E610" s="4" t="n"/>
      <c r="G610" s="62" t="inlineStr">
        <is>
          <t>อังคาร</t>
        </is>
      </c>
      <c r="H610" s="325" t="inlineStr">
        <is>
          <t>30100-0105</t>
        </is>
      </c>
      <c r="I610" s="325" t="inlineStr">
        <is>
          <t>ปวส.1/7 สย. (ทวิ)</t>
        </is>
      </c>
      <c r="J610" s="332" t="inlineStr">
        <is>
          <t>08.10-11.10</t>
        </is>
      </c>
      <c r="K610" s="335" t="n"/>
      <c r="L610" s="265" t="n"/>
      <c r="M610" s="332" t="n"/>
      <c r="N610" s="332" t="n"/>
      <c r="O610" s="244">
        <f>M610*N610</f>
        <v/>
      </c>
      <c r="P610" s="332" t="n"/>
      <c r="Q610" s="265" t="n"/>
      <c r="R610" s="332" t="n"/>
      <c r="S610" s="244">
        <f>Q610*R610</f>
        <v/>
      </c>
    </row>
    <row r="611" ht="22.2" customHeight="1" s="330">
      <c r="A611" s="4" t="n"/>
      <c r="E611" s="4" t="n"/>
      <c r="G611" s="308">
        <f>G519</f>
        <v/>
      </c>
      <c r="H611" s="325" t="inlineStr">
        <is>
          <t>30101-8001</t>
        </is>
      </c>
      <c r="I611" s="325" t="inlineStr">
        <is>
          <t>ปวส.2/4 สย. (ปกติ)</t>
        </is>
      </c>
      <c r="J611" s="252" t="inlineStr">
        <is>
          <t>13.10-17.10</t>
        </is>
      </c>
      <c r="K611" s="331" t="n"/>
      <c r="L611" s="252" t="n"/>
      <c r="M611" s="252" t="n"/>
      <c r="N611" s="252" t="n"/>
      <c r="O611" s="244">
        <f>M611*N611</f>
        <v/>
      </c>
      <c r="P611" s="252" t="n"/>
      <c r="Q611" s="252" t="n"/>
      <c r="R611" s="252" t="n"/>
      <c r="S611" s="244">
        <f>Q611*R611</f>
        <v/>
      </c>
    </row>
    <row r="612" ht="22.2" customHeight="1" s="330">
      <c r="A612" s="4" t="n"/>
      <c r="B612" s="5" t="n"/>
      <c r="D612" s="3" t="n"/>
      <c r="E612" s="3" t="n"/>
      <c r="G612" s="252" t="n"/>
      <c r="H612" s="252" t="n"/>
      <c r="I612" s="252" t="n"/>
      <c r="J612" s="252" t="n"/>
      <c r="K612" s="331" t="n"/>
      <c r="L612" s="252" t="n"/>
      <c r="M612" s="252" t="n"/>
      <c r="N612" s="252" t="n"/>
      <c r="O612" s="244">
        <f>M612*N612</f>
        <v/>
      </c>
      <c r="P612" s="252" t="n"/>
      <c r="Q612" s="252" t="n"/>
      <c r="R612" s="252" t="n"/>
      <c r="S612" s="244">
        <f>Q612*R612</f>
        <v/>
      </c>
    </row>
    <row r="613" ht="22.2" customHeight="1" s="330">
      <c r="A613" s="4" t="n"/>
      <c r="E613" s="4" t="n"/>
      <c r="G613" s="62" t="n"/>
      <c r="H613" s="249" t="n"/>
      <c r="I613" s="252" t="n"/>
      <c r="J613" s="252" t="n"/>
      <c r="K613" s="331" t="n"/>
      <c r="L613" s="252" t="n"/>
      <c r="M613" s="252" t="n"/>
      <c r="N613" s="252" t="n"/>
      <c r="O613" s="244">
        <f>M613*N613</f>
        <v/>
      </c>
      <c r="P613" s="252" t="n"/>
      <c r="Q613" s="252" t="n"/>
      <c r="R613" s="252" t="n"/>
      <c r="S613" s="244">
        <f>Q613*R613</f>
        <v/>
      </c>
    </row>
    <row r="614" ht="22.2" customHeight="1" s="330">
      <c r="A614" s="4" t="n"/>
      <c r="D614" s="8" t="inlineStr">
        <is>
          <t> </t>
        </is>
      </c>
      <c r="E614" s="4" t="n"/>
      <c r="G614" s="63" t="n"/>
      <c r="H614" s="276" t="n"/>
      <c r="I614" s="276" t="n"/>
      <c r="J614" s="276" t="n"/>
      <c r="K614" s="476" t="n"/>
      <c r="L614" s="252" t="n"/>
      <c r="M614" s="252" t="n"/>
      <c r="N614" s="252" t="n"/>
      <c r="O614" s="244">
        <f>M614*N614</f>
        <v/>
      </c>
      <c r="P614" s="276" t="n"/>
      <c r="Q614" s="276" t="n"/>
      <c r="R614" s="276" t="n"/>
      <c r="S614" s="244">
        <f>Q614*R614</f>
        <v/>
      </c>
    </row>
    <row r="615" ht="22.2" customHeight="1" s="330">
      <c r="A615" s="4" t="n"/>
      <c r="E615" s="4" t="n"/>
      <c r="G615" s="308" t="inlineStr">
        <is>
          <t>พุธ</t>
        </is>
      </c>
      <c r="H615" s="325" t="inlineStr">
        <is>
          <t>30101-2002</t>
        </is>
      </c>
      <c r="I615" s="325" t="inlineStr">
        <is>
          <t>ปวส.1/5,6 สย. (ม.6)</t>
        </is>
      </c>
      <c r="J615" s="332" t="inlineStr">
        <is>
          <t>08.10-11.10</t>
        </is>
      </c>
      <c r="K615" s="335" t="n"/>
      <c r="L615" s="265" t="n"/>
      <c r="M615" s="332" t="n"/>
      <c r="N615" s="332" t="n"/>
      <c r="O615" s="244">
        <f>M615*N615</f>
        <v/>
      </c>
      <c r="P615" s="179" t="n"/>
      <c r="Q615" s="179" t="n"/>
      <c r="R615" s="180" t="n"/>
      <c r="S615" s="244">
        <f>Q615*R615</f>
        <v/>
      </c>
    </row>
    <row r="616" ht="22.2" customHeight="1" s="330">
      <c r="A616" s="4" t="n"/>
      <c r="B616" s="248" t="n"/>
      <c r="C616" s="249" t="n"/>
      <c r="D616" s="249" t="n"/>
      <c r="E616" s="252" t="n"/>
      <c r="G616" s="308">
        <f>G524</f>
        <v/>
      </c>
      <c r="H616" s="325" t="inlineStr">
        <is>
          <t>30100-0105</t>
        </is>
      </c>
      <c r="I616" s="325" t="inlineStr">
        <is>
          <t>ปวส.2/5,6 สย. (ม.6)</t>
        </is>
      </c>
      <c r="J616" s="252" t="inlineStr">
        <is>
          <t>13.10-16.10</t>
        </is>
      </c>
      <c r="K616" s="331" t="n"/>
      <c r="L616" s="252" t="n"/>
      <c r="M616" s="252" t="n"/>
      <c r="N616" s="252" t="n"/>
      <c r="O616" s="244">
        <f>M616*N616</f>
        <v/>
      </c>
      <c r="P616" s="252" t="n"/>
      <c r="Q616" s="252" t="n"/>
      <c r="R616" s="252" t="n"/>
      <c r="S616" s="244">
        <f>Q616*R616</f>
        <v/>
      </c>
    </row>
    <row r="617" ht="22.2" customHeight="1" s="330">
      <c r="A617" s="4" t="n"/>
      <c r="B617" s="5" t="n"/>
      <c r="D617" s="3" t="n"/>
      <c r="E617" s="3" t="n"/>
      <c r="G617" s="252" t="n"/>
      <c r="H617" s="252" t="n"/>
      <c r="I617" s="252" t="n"/>
      <c r="J617" s="252" t="n"/>
      <c r="K617" s="331" t="n"/>
      <c r="L617" s="252" t="n"/>
      <c r="M617" s="252" t="n"/>
      <c r="N617" s="252" t="n"/>
      <c r="O617" s="244">
        <f>M617*N617</f>
        <v/>
      </c>
      <c r="P617" s="252" t="n"/>
      <c r="Q617" s="252" t="n"/>
      <c r="R617" s="252" t="n"/>
      <c r="S617" s="244">
        <f>Q617*R617</f>
        <v/>
      </c>
    </row>
    <row r="618" ht="22.2" customHeight="1" s="330">
      <c r="A618" s="4" t="n"/>
      <c r="E618" s="4" t="n"/>
      <c r="G618" s="248" t="n"/>
      <c r="H618" s="248" t="n"/>
      <c r="I618" s="252" t="n"/>
      <c r="J618" s="252" t="n"/>
      <c r="K618" s="331" t="n"/>
      <c r="L618" s="252" t="n"/>
      <c r="M618" s="252" t="n"/>
      <c r="N618" s="252" t="n"/>
      <c r="O618" s="244">
        <f>M618*N618</f>
        <v/>
      </c>
      <c r="P618" s="252" t="n"/>
      <c r="Q618" s="252" t="n"/>
      <c r="R618" s="252" t="n"/>
      <c r="S618" s="244">
        <f>Q618*R618</f>
        <v/>
      </c>
    </row>
    <row r="619" ht="22.2" customHeight="1" s="330">
      <c r="A619" s="4" t="n"/>
      <c r="E619" s="4" t="n"/>
      <c r="G619" s="277" t="n"/>
      <c r="H619" s="277" t="n"/>
      <c r="I619" s="276" t="n"/>
      <c r="J619" s="276" t="n"/>
      <c r="K619" s="476" t="n"/>
      <c r="L619" s="276" t="n"/>
      <c r="M619" s="276" t="n"/>
      <c r="N619" s="276" t="n"/>
      <c r="O619" s="244">
        <f>M619*N619</f>
        <v/>
      </c>
      <c r="P619" s="276" t="n"/>
      <c r="Q619" s="276" t="n"/>
      <c r="R619" s="276" t="n"/>
      <c r="S619" s="244">
        <f>Q619*R619</f>
        <v/>
      </c>
    </row>
    <row r="620" ht="22.2" customHeight="1" s="330">
      <c r="A620" s="4" t="n"/>
      <c r="E620" s="4" t="n"/>
      <c r="G620" s="62" t="inlineStr">
        <is>
          <t>พฤหัส</t>
        </is>
      </c>
      <c r="H620" s="325" t="inlineStr">
        <is>
          <t>30000-2002</t>
        </is>
      </c>
      <c r="I620" s="325" t="inlineStr">
        <is>
          <t>ปวส.1/3,4 สย. (ม.6)</t>
        </is>
      </c>
      <c r="J620" s="252" t="inlineStr">
        <is>
          <t>13.10-15.10</t>
        </is>
      </c>
      <c r="K620" s="331" t="n"/>
      <c r="L620" s="265" t="n"/>
      <c r="M620" s="252" t="n"/>
      <c r="N620" s="252" t="n"/>
      <c r="O620" s="244">
        <f>M620*N620</f>
        <v/>
      </c>
      <c r="P620" s="179" t="n"/>
      <c r="Q620" s="156" t="n"/>
      <c r="R620" s="156" t="n"/>
      <c r="S620" s="244">
        <f>Q620*R620</f>
        <v/>
      </c>
    </row>
    <row r="621" ht="22.2" customHeight="1" s="330">
      <c r="A621" s="4" t="n"/>
      <c r="E621" s="4" t="n"/>
      <c r="G621" s="308">
        <f>G529</f>
        <v/>
      </c>
      <c r="H621" s="325" t="n"/>
      <c r="I621" s="325" t="n"/>
      <c r="J621" s="252" t="n"/>
      <c r="K621" s="331" t="n"/>
      <c r="L621" s="252" t="n"/>
      <c r="M621" s="252" t="n"/>
      <c r="N621" s="252" t="n"/>
      <c r="O621" s="244">
        <f>M621*N621</f>
        <v/>
      </c>
      <c r="P621" s="56" t="n"/>
      <c r="Q621" s="56" t="n"/>
      <c r="R621" s="56" t="n"/>
      <c r="S621" s="244">
        <f>Q621*R621</f>
        <v/>
      </c>
    </row>
    <row r="622" ht="22.2" customHeight="1" s="330">
      <c r="A622" s="4" t="n"/>
      <c r="B622" s="5" t="n"/>
      <c r="E622" s="4" t="n"/>
      <c r="G622" s="252" t="n"/>
      <c r="H622" s="325" t="n"/>
      <c r="I622" s="325" t="n"/>
      <c r="J622" s="252" t="n"/>
      <c r="K622" s="331" t="n"/>
      <c r="L622" s="325" t="n"/>
      <c r="M622" s="325" t="n"/>
      <c r="N622" s="325" t="n"/>
      <c r="O622" s="244">
        <f>M622*N622</f>
        <v/>
      </c>
      <c r="P622" s="56" t="n"/>
      <c r="Q622" s="56" t="n"/>
      <c r="R622" s="56" t="n"/>
      <c r="S622" s="244">
        <f>Q622*R622</f>
        <v/>
      </c>
    </row>
    <row r="623" ht="22.2" customHeight="1" s="330">
      <c r="A623" s="4" t="n"/>
      <c r="E623" s="4" t="n"/>
      <c r="G623" s="252" t="n"/>
      <c r="H623" s="252" t="n"/>
      <c r="I623" s="252" t="n"/>
      <c r="J623" s="252" t="n"/>
      <c r="K623" s="331" t="n"/>
      <c r="L623" s="252" t="n"/>
      <c r="M623" s="252" t="n"/>
      <c r="N623" s="252" t="n"/>
      <c r="O623" s="244">
        <f>M623*N623</f>
        <v/>
      </c>
      <c r="P623" s="252" t="n"/>
      <c r="Q623" s="252" t="n"/>
      <c r="R623" s="252" t="n"/>
      <c r="S623" s="244">
        <f>Q623*R623</f>
        <v/>
      </c>
    </row>
    <row r="624" ht="22.2" customHeight="1" s="330">
      <c r="A624" s="4" t="n"/>
      <c r="E624" s="4" t="n"/>
      <c r="G624" s="276" t="n"/>
      <c r="H624" s="301" t="n"/>
      <c r="I624" s="276" t="n"/>
      <c r="J624" s="276" t="n"/>
      <c r="K624" s="476" t="n"/>
      <c r="L624" s="276" t="n"/>
      <c r="M624" s="276" t="n"/>
      <c r="N624" s="276" t="n"/>
      <c r="O624" s="244">
        <f>M624*N624</f>
        <v/>
      </c>
      <c r="P624" s="276" t="n"/>
      <c r="Q624" s="276" t="n"/>
      <c r="R624" s="276" t="n"/>
      <c r="S624" s="244">
        <f>Q624*R624</f>
        <v/>
      </c>
    </row>
    <row r="625" ht="22.2" customHeight="1" s="330">
      <c r="A625" s="4" t="n"/>
      <c r="E625" s="4" t="n"/>
      <c r="G625" s="62" t="inlineStr">
        <is>
          <t>ศุกร์</t>
        </is>
      </c>
      <c r="H625" s="325" t="inlineStr">
        <is>
          <t>30101-2109</t>
        </is>
      </c>
      <c r="I625" s="325" t="inlineStr">
        <is>
          <t>ปวส.2/7 สย. (ม.6)</t>
        </is>
      </c>
      <c r="J625" s="332" t="inlineStr">
        <is>
          <t>08.10-12.10</t>
        </is>
      </c>
      <c r="K625" s="335" t="n"/>
      <c r="L625" s="252" t="n"/>
      <c r="M625" s="332" t="n"/>
      <c r="N625" s="332" t="n"/>
      <c r="O625" s="244">
        <f>M625*N625</f>
        <v/>
      </c>
      <c r="P625" s="332" t="n"/>
      <c r="Q625" s="265" t="n"/>
      <c r="R625" s="332" t="n"/>
      <c r="S625" s="244">
        <f>Q625*R625</f>
        <v/>
      </c>
    </row>
    <row r="626" ht="22.2" customHeight="1" s="330">
      <c r="A626" s="4" t="n"/>
      <c r="E626" s="4" t="n"/>
      <c r="G626" s="308">
        <f>G534</f>
        <v/>
      </c>
      <c r="H626" s="325" t="inlineStr">
        <is>
          <t>30101-2109</t>
        </is>
      </c>
      <c r="I626" s="325" t="inlineStr">
        <is>
          <t>ปวส.2/7 สย. (ม.6)</t>
        </is>
      </c>
      <c r="J626" s="252" t="inlineStr">
        <is>
          <t>13.10-14.10</t>
        </is>
      </c>
      <c r="K626" s="331" t="n"/>
      <c r="L626" s="252" t="n"/>
      <c r="M626" s="252" t="n"/>
      <c r="N626" s="252" t="n"/>
      <c r="O626" s="244">
        <f>M626*N626</f>
        <v/>
      </c>
      <c r="P626" s="252" t="n"/>
      <c r="Q626" s="252" t="n"/>
      <c r="R626" s="252" t="n"/>
      <c r="S626" s="244">
        <f>Q626*R626</f>
        <v/>
      </c>
    </row>
    <row r="627" ht="22.2" customHeight="1" s="330">
      <c r="A627" s="4" t="n"/>
      <c r="E627" s="4" t="n"/>
      <c r="G627" s="252" t="n"/>
      <c r="H627" s="325" t="inlineStr">
        <is>
          <t>30100-0104</t>
        </is>
      </c>
      <c r="I627" s="325" t="inlineStr">
        <is>
          <t>ปวส.1/2 สย. (ปกติ)</t>
        </is>
      </c>
      <c r="J627" s="252" t="inlineStr">
        <is>
          <t>14.10-18.10</t>
        </is>
      </c>
      <c r="K627" s="331" t="n"/>
      <c r="L627" s="252" t="n"/>
      <c r="M627" s="252" t="n"/>
      <c r="N627" s="252" t="n"/>
      <c r="O627" s="244">
        <f>M627*N627</f>
        <v/>
      </c>
      <c r="P627" s="252" t="n"/>
      <c r="Q627" s="252" t="n"/>
      <c r="R627" s="252" t="n"/>
      <c r="S627" s="244">
        <f>Q627*R627</f>
        <v/>
      </c>
    </row>
    <row r="628" ht="22.2" customHeight="1" s="330">
      <c r="A628" s="4" t="n"/>
      <c r="E628" s="4" t="n"/>
      <c r="G628" s="252" t="n"/>
      <c r="H628" s="249" t="n"/>
      <c r="I628" s="252" t="n"/>
      <c r="J628" s="252" t="n"/>
      <c r="K628" s="331" t="n"/>
      <c r="L628" s="252" t="n"/>
      <c r="M628" s="252" t="n"/>
      <c r="N628" s="252" t="n"/>
      <c r="O628" s="244">
        <f>M628*N628</f>
        <v/>
      </c>
      <c r="P628" s="252" t="n"/>
      <c r="Q628" s="252" t="n"/>
      <c r="R628" s="252" t="n"/>
      <c r="S628" s="244">
        <f>Q628*R628</f>
        <v/>
      </c>
    </row>
    <row r="629" ht="22.2" customHeight="1" s="330">
      <c r="A629" s="4" t="n"/>
      <c r="E629" s="4" t="n"/>
      <c r="F629" s="4" t="n"/>
      <c r="G629" s="278" t="n"/>
      <c r="H629" s="301" t="n"/>
      <c r="I629" s="276" t="n"/>
      <c r="J629" s="276" t="n"/>
      <c r="K629" s="476" t="n"/>
      <c r="L629" s="276" t="n"/>
      <c r="M629" s="276" t="n"/>
      <c r="N629" s="276" t="n"/>
      <c r="O629" s="244">
        <f>M629*N629</f>
        <v/>
      </c>
      <c r="P629" s="276" t="n"/>
      <c r="Q629" s="276" t="n"/>
      <c r="R629" s="276" t="n"/>
      <c r="S629" s="244">
        <f>Q629*R629</f>
        <v/>
      </c>
    </row>
    <row r="630" ht="22.2" customHeight="1" s="330">
      <c r="A630" s="4" t="n"/>
      <c r="E630" s="4" t="n"/>
      <c r="F630" s="4" t="n"/>
      <c r="G630" s="17" t="inlineStr">
        <is>
          <t>รวมขั่วโมงที่สอนแยก ภาระงาน/ เกินภาระงาน</t>
        </is>
      </c>
      <c r="H630" s="467" t="n"/>
      <c r="I630" s="467" t="n"/>
      <c r="J630" s="467" t="n"/>
      <c r="K630" s="362" t="n"/>
      <c r="L630" s="17">
        <f>SUM(L605:L629)</f>
        <v/>
      </c>
      <c r="M630" s="17">
        <f>SUM(M605:M629)</f>
        <v/>
      </c>
      <c r="N630" s="17" t="n"/>
      <c r="O630" s="17" t="n"/>
      <c r="P630" s="17">
        <f>SUM(P605:P629)</f>
        <v/>
      </c>
      <c r="Q630" s="17">
        <f>SUM(Q605:Q629)</f>
        <v/>
      </c>
      <c r="R630" s="279" t="n"/>
      <c r="S630" s="17" t="n"/>
    </row>
    <row r="631" ht="22.2" customHeight="1" s="330">
      <c r="A631" s="4" t="n"/>
      <c r="E631" s="4" t="n"/>
      <c r="F631" s="4" t="n"/>
      <c r="G631" s="17" t="inlineStr">
        <is>
          <t>รวมจำนวนชั่วโมงสอนคาบต่อสับดาห์</t>
        </is>
      </c>
      <c r="H631" s="467" t="n"/>
      <c r="I631" s="467" t="n"/>
      <c r="J631" s="467" t="n"/>
      <c r="K631" s="362" t="n"/>
      <c r="L631" s="17">
        <f>L630+M630</f>
        <v/>
      </c>
      <c r="M631" s="362" t="n"/>
      <c r="N631" s="298" t="n"/>
      <c r="O631" s="17" t="n"/>
      <c r="P631" s="17">
        <f>P630+Q630</f>
        <v/>
      </c>
      <c r="Q631" s="362" t="n"/>
      <c r="R631" s="278" t="n"/>
      <c r="S631" s="276" t="n"/>
    </row>
    <row r="632" ht="22.2" customHeight="1" s="330">
      <c r="A632" s="4" t="n"/>
      <c r="E632" s="4" t="n"/>
      <c r="F632" s="4" t="n"/>
      <c r="G632" s="17" t="inlineStr">
        <is>
          <t>จำนวนชั่วโมงสอนตามภาระงานสอน</t>
        </is>
      </c>
      <c r="H632" s="467" t="n"/>
      <c r="I632" s="467" t="n"/>
      <c r="J632" s="467" t="n"/>
      <c r="K632" s="362" t="n"/>
      <c r="L632" s="17" t="n">
        <v>0</v>
      </c>
      <c r="M632" s="362" t="n"/>
      <c r="N632" s="298" t="n"/>
      <c r="O632" s="17" t="n"/>
      <c r="P632" s="17" t="n">
        <v>15</v>
      </c>
      <c r="Q632" s="362" t="n"/>
      <c r="R632" s="249" t="n"/>
      <c r="S632" s="252" t="n"/>
    </row>
    <row r="633" ht="22.2" customHeight="1" s="330" thickBot="1">
      <c r="A633" s="4" t="n"/>
      <c r="E633" s="4" t="n"/>
      <c r="F633" s="15" t="n"/>
      <c r="G633" s="17" t="inlineStr">
        <is>
          <t>จำนวนชั่วโมงบิกเกินภาระงานสอน/ค่าสอน</t>
        </is>
      </c>
      <c r="H633" s="467" t="n"/>
      <c r="I633" s="467" t="n"/>
      <c r="J633" s="467" t="n"/>
      <c r="K633" s="362" t="n"/>
      <c r="L633" s="18" t="n">
        <v>0</v>
      </c>
      <c r="M633" s="18">
        <f>SUM(M605:M629)</f>
        <v/>
      </c>
      <c r="N633" s="18" t="n"/>
      <c r="O633" s="18">
        <f>SUM(O605:O629)</f>
        <v/>
      </c>
      <c r="P633" s="18" t="n">
        <v>0</v>
      </c>
      <c r="Q633" s="18">
        <f>SUM(Q605:Q629)</f>
        <v/>
      </c>
      <c r="R633" s="19" t="n"/>
      <c r="S633" s="18">
        <f>SUM(S605:S629)</f>
        <v/>
      </c>
    </row>
    <row r="634" ht="22.2" customHeight="1" s="330" thickTop="1">
      <c r="A634" s="299" t="inlineStr">
        <is>
          <t>รวมจำนวนหน่วยชั่วโมงที่ขอเบิกค่าสอน ….</t>
        </is>
      </c>
      <c r="B634" s="467" t="n"/>
      <c r="C634" s="467" t="n"/>
      <c r="D634" s="467" t="n"/>
      <c r="E634" s="467" t="n"/>
      <c r="F634" s="467" t="n"/>
      <c r="G634" s="467" t="n"/>
      <c r="H634" s="298">
        <f>M633+Q633</f>
        <v/>
      </c>
      <c r="I634" s="298" t="inlineStr">
        <is>
          <t>….ชั่วโมง</t>
        </is>
      </c>
      <c r="J634" s="298" t="n"/>
      <c r="K634" s="301" t="inlineStr">
        <is>
          <t>ยอดเงินรวม</t>
        </is>
      </c>
      <c r="L634" s="471" t="n"/>
      <c r="M634" s="471" t="n"/>
      <c r="N634" s="301" t="n"/>
      <c r="O634" s="301" t="n"/>
      <c r="P634" s="302">
        <f>S633+O633</f>
        <v/>
      </c>
      <c r="Q634" s="482" t="n"/>
      <c r="R634" s="21" t="n"/>
      <c r="S634" s="20" t="inlineStr">
        <is>
          <t>..บาท</t>
        </is>
      </c>
    </row>
    <row r="635" ht="22.2" customHeight="1" s="330">
      <c r="A635" s="207" t="inlineStr">
        <is>
          <t>ผู้ขอเบิก</t>
        </is>
      </c>
      <c r="B635" s="334" t="n"/>
      <c r="C635" s="334" t="n"/>
      <c r="D635" s="334" t="n"/>
      <c r="E635" s="334" t="n"/>
      <c r="F635" s="334" t="n"/>
      <c r="G635" s="335" t="n"/>
      <c r="H635" s="207" t="inlineStr">
        <is>
          <t>ผู้รับรอง</t>
        </is>
      </c>
      <c r="I635" s="334" t="n"/>
      <c r="J635" s="334" t="n"/>
      <c r="K635" s="334" t="n"/>
      <c r="L635" s="335" t="n"/>
      <c r="M635" s="207" t="inlineStr">
        <is>
          <t>ผู้ตรวจ</t>
        </is>
      </c>
      <c r="N635" s="334" t="n"/>
      <c r="O635" s="334" t="n"/>
      <c r="P635" s="334" t="n"/>
      <c r="Q635" s="334" t="n"/>
      <c r="R635" s="334" t="n"/>
      <c r="S635" s="335" t="n"/>
    </row>
    <row r="636" ht="22.2" customHeight="1" s="330">
      <c r="A636" s="252" t="inlineStr">
        <is>
          <t>ลงชื่อ……………………………………………</t>
        </is>
      </c>
      <c r="G636" s="331" t="n"/>
      <c r="H636" s="252" t="inlineStr">
        <is>
          <t>ลงชื่อ……………………………………………</t>
        </is>
      </c>
      <c r="L636" s="331" t="n"/>
      <c r="M636" s="252" t="inlineStr">
        <is>
          <t>ลงชื่อ……………………………………………</t>
        </is>
      </c>
      <c r="S636" s="331" t="n"/>
    </row>
    <row r="637" ht="22.2" customHeight="1" s="330">
      <c r="A637" s="12" t="inlineStr">
        <is>
          <t>(</t>
        </is>
      </c>
      <c r="B637" s="309">
        <f>B605</f>
        <v/>
      </c>
      <c r="G637" s="310" t="inlineStr">
        <is>
          <t>)</t>
        </is>
      </c>
      <c r="H637" s="309" t="inlineStr">
        <is>
          <t>(</t>
        </is>
      </c>
      <c r="I637" s="314">
        <f>I591</f>
        <v/>
      </c>
      <c r="L637" s="13" t="inlineStr">
        <is>
          <t>)</t>
        </is>
      </c>
      <c r="M637" s="61" t="inlineStr">
        <is>
          <t>(</t>
        </is>
      </c>
      <c r="N637" s="61" t="n"/>
      <c r="O637" s="309" t="inlineStr">
        <is>
          <t>นายพิสุทธิศักดิ์  กล่อมนาค</t>
        </is>
      </c>
      <c r="R637" s="29" t="n"/>
      <c r="S637" s="310" t="inlineStr">
        <is>
          <t>)</t>
        </is>
      </c>
    </row>
    <row r="638" ht="22.2" customHeight="1" s="330">
      <c r="A638" s="483" t="inlineStr">
        <is>
          <t xml:space="preserve">                        ตำแหน่ง ครู</t>
        </is>
      </c>
      <c r="G638" s="331" t="n"/>
      <c r="H638" s="62" t="inlineStr">
        <is>
          <t>ตำแหน่ง หัวหน้าแผนก</t>
        </is>
      </c>
      <c r="L638" s="331" t="n"/>
      <c r="M638" s="62" t="inlineStr">
        <is>
          <t>ตำแหน่ง   ผู้ตรวจสอบ</t>
        </is>
      </c>
      <c r="S638" s="331" t="n"/>
    </row>
    <row r="639" ht="22.2" customHeight="1" s="330">
      <c r="A639" s="63">
        <f>A87</f>
        <v/>
      </c>
      <c r="B639" s="471" t="n"/>
      <c r="C639" s="471" t="n"/>
      <c r="D639" s="471" t="n"/>
      <c r="E639" s="471" t="n"/>
      <c r="F639" s="471" t="n"/>
      <c r="G639" s="476" t="n"/>
      <c r="H639" s="62">
        <f>A87</f>
        <v/>
      </c>
      <c r="L639" s="331" t="n"/>
      <c r="M639" s="63">
        <f>A87</f>
        <v/>
      </c>
      <c r="N639" s="471" t="n"/>
      <c r="O639" s="471" t="n"/>
      <c r="P639" s="471" t="n"/>
      <c r="Q639" s="471" t="n"/>
      <c r="R639" s="471" t="n"/>
      <c r="S639" s="476" t="n"/>
    </row>
    <row r="640" ht="22.2" customHeight="1" s="330">
      <c r="A640" s="207" t="inlineStr">
        <is>
          <t>ผู้ตรวจ</t>
        </is>
      </c>
      <c r="B640" s="334" t="n"/>
      <c r="C640" s="334" t="n"/>
      <c r="D640" s="334" t="n"/>
      <c r="E640" s="334" t="n"/>
      <c r="F640" s="334" t="n"/>
      <c r="G640" s="334" t="n"/>
      <c r="H640" s="334" t="n"/>
      <c r="I640" s="335" t="n"/>
      <c r="J640" s="207" t="inlineStr">
        <is>
          <t>ผู้เห็นชอบ</t>
        </is>
      </c>
      <c r="K640" s="334" t="n"/>
      <c r="L640" s="334" t="n"/>
      <c r="M640" s="334" t="n"/>
      <c r="N640" s="334" t="n"/>
      <c r="O640" s="334" t="n"/>
      <c r="P640" s="334" t="n"/>
      <c r="Q640" s="334" t="n"/>
      <c r="R640" s="334" t="n"/>
      <c r="S640" s="335" t="n"/>
    </row>
    <row r="641" ht="22.2" customHeight="1" s="330">
      <c r="A641" s="252" t="inlineStr">
        <is>
          <t>ลงชื่อ……………………………………………</t>
        </is>
      </c>
      <c r="I641" s="331" t="n"/>
      <c r="J641" s="252" t="inlineStr">
        <is>
          <t>ลงชื่อ……………………………………………</t>
        </is>
      </c>
      <c r="S641" s="331" t="n"/>
    </row>
    <row r="642" ht="22.2" customHeight="1" s="330">
      <c r="A642" s="12" t="n"/>
      <c r="B642" s="309" t="inlineStr">
        <is>
          <t xml:space="preserve">          (นางศิวรักษ์   บุญประเสริฐ)</t>
        </is>
      </c>
      <c r="I642" s="310" t="n"/>
      <c r="J642" s="29" t="n"/>
      <c r="K642" s="29" t="n"/>
      <c r="L642" s="309" t="inlineStr">
        <is>
          <t>(นายปรีชา  โพธิ์เกิด)</t>
        </is>
      </c>
      <c r="R642" s="29" t="n"/>
      <c r="S642" s="13" t="n"/>
    </row>
    <row r="643" ht="22.2" customHeight="1" s="330">
      <c r="A643" s="62" t="inlineStr">
        <is>
          <t>ตำแหน่งครู  หัวหน้างานพัฒนาหลักสูตร ฯ</t>
        </is>
      </c>
      <c r="I643" s="331" t="n"/>
      <c r="J643" s="62" t="inlineStr">
        <is>
          <t>ตำแหน่ง  รองผู้อำนวยการฝ่ายวิชาการ</t>
        </is>
      </c>
      <c r="S643" s="331" t="n"/>
    </row>
    <row r="644" ht="22.2" customHeight="1" s="330">
      <c r="A644" s="63">
        <f>A87</f>
        <v/>
      </c>
      <c r="B644" s="471" t="n"/>
      <c r="C644" s="471" t="n"/>
      <c r="D644" s="471" t="n"/>
      <c r="E644" s="471" t="n"/>
      <c r="F644" s="471" t="n"/>
      <c r="G644" s="471" t="n"/>
      <c r="H644" s="471" t="n"/>
      <c r="I644" s="476" t="n"/>
      <c r="J644" s="63">
        <f>A87</f>
        <v/>
      </c>
      <c r="K644" s="471" t="n"/>
      <c r="L644" s="471" t="n"/>
      <c r="M644" s="471" t="n"/>
      <c r="N644" s="471" t="n"/>
      <c r="O644" s="471" t="n"/>
      <c r="P644" s="471" t="n"/>
      <c r="Q644" s="471" t="n"/>
      <c r="R644" s="471" t="n"/>
      <c r="S644" s="476" t="n"/>
    </row>
    <row r="645" ht="22.2" customHeight="1" s="330">
      <c r="A64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46" ht="22.2" customHeight="1" s="330">
      <c r="A646" s="254">
        <f>A2</f>
        <v/>
      </c>
    </row>
    <row r="647" ht="22.2" customHeight="1" s="330">
      <c r="A647" s="253" t="inlineStr">
        <is>
          <t xml:space="preserve">    ระหว่างวันที่</t>
        </is>
      </c>
      <c r="D647" s="254">
        <f>D49</f>
        <v/>
      </c>
      <c r="E647" s="254" t="inlineStr">
        <is>
          <t xml:space="preserve">   เดือน  </t>
        </is>
      </c>
      <c r="F647" s="254">
        <f>F49</f>
        <v/>
      </c>
      <c r="H647" s="254">
        <f>H49</f>
        <v/>
      </c>
      <c r="I647" s="254" t="inlineStr">
        <is>
          <t xml:space="preserve">     ถึง วันที่</t>
        </is>
      </c>
      <c r="J647" s="254">
        <f>J49</f>
        <v/>
      </c>
      <c r="K647" s="254" t="inlineStr">
        <is>
          <t xml:space="preserve">   เดือน </t>
        </is>
      </c>
      <c r="L647" s="254">
        <f>L49</f>
        <v/>
      </c>
      <c r="N647" s="254">
        <f>N49</f>
        <v/>
      </c>
      <c r="P647" s="254" t="n"/>
      <c r="R647" s="254" t="n"/>
    </row>
    <row r="648" ht="22.2" customHeight="1" s="330">
      <c r="G648" s="58" t="inlineStr">
        <is>
          <t>ü</t>
        </is>
      </c>
      <c r="H648" s="301" t="inlineStr">
        <is>
          <t>ครู</t>
        </is>
      </c>
      <c r="I648" s="301" t="inlineStr">
        <is>
          <t>หน้าที่พิเศษ</t>
        </is>
      </c>
      <c r="J648" s="290" t="n"/>
      <c r="K648" s="290" t="n"/>
      <c r="L648" s="290" t="n"/>
      <c r="M648" s="290" t="n"/>
      <c r="N648" s="290" t="n"/>
      <c r="O648" s="290" t="n"/>
      <c r="P648" s="290" t="n"/>
      <c r="Q648" s="290" t="n"/>
      <c r="R648" s="290" t="n"/>
      <c r="S648" s="290" t="n"/>
    </row>
    <row r="649" ht="22.2" customHeight="1" s="330">
      <c r="A649" s="28" t="inlineStr">
        <is>
          <t>ที่</t>
        </is>
      </c>
      <c r="B649" s="28" t="inlineStr">
        <is>
          <t>ชื่อ-สกุล</t>
        </is>
      </c>
      <c r="C649" s="334" t="n"/>
      <c r="D649" s="335" t="n"/>
      <c r="E649" s="16" t="inlineStr">
        <is>
          <t>ตำแหน่ง</t>
        </is>
      </c>
      <c r="F649" s="17" t="inlineStr">
        <is>
          <t>ระยะเวลาที่สอน</t>
        </is>
      </c>
      <c r="G649" s="362" t="n"/>
      <c r="H649" s="17" t="inlineStr">
        <is>
          <t>รหัสวิชา</t>
        </is>
      </c>
      <c r="I649" s="275" t="inlineStr">
        <is>
          <t>ชั้น,แผนก,ห้อง</t>
        </is>
      </c>
      <c r="J649" s="17" t="inlineStr">
        <is>
          <t>เวลาสอน</t>
        </is>
      </c>
      <c r="K649" s="335" t="n"/>
      <c r="L649" s="17" t="inlineStr">
        <is>
          <t>ปวช.(คาบ)</t>
        </is>
      </c>
      <c r="M649" s="362" t="n"/>
      <c r="N649" s="244" t="inlineStr">
        <is>
          <t>เงิน</t>
        </is>
      </c>
      <c r="O649" s="275" t="inlineStr">
        <is>
          <t>ยอดเงิน</t>
        </is>
      </c>
      <c r="P649" s="473" t="inlineStr">
        <is>
          <t>ปวส.(คาบ)</t>
        </is>
      </c>
      <c r="Q649" s="362" t="n"/>
      <c r="R649" s="244" t="inlineStr">
        <is>
          <t>เงิน</t>
        </is>
      </c>
      <c r="S649" s="275" t="inlineStr">
        <is>
          <t>ยอดเงิน</t>
        </is>
      </c>
    </row>
    <row r="650" ht="22.2" customHeight="1" s="330">
      <c r="A650" s="60" t="n"/>
      <c r="B650" s="9" t="n"/>
      <c r="C650" s="10" t="n"/>
      <c r="D650" s="14" t="n"/>
      <c r="E650" s="11" t="n"/>
      <c r="F650" s="276" t="inlineStr">
        <is>
          <t>ส.</t>
        </is>
      </c>
      <c r="G650" s="276" t="inlineStr">
        <is>
          <t>วดป.</t>
        </is>
      </c>
      <c r="H650" s="474" t="n"/>
      <c r="I650" s="276" t="n"/>
      <c r="J650" s="475" t="n"/>
      <c r="K650" s="476" t="n"/>
      <c r="L650" s="276" t="inlineStr">
        <is>
          <t>ใน</t>
        </is>
      </c>
      <c r="M650" s="276" t="inlineStr">
        <is>
          <t>นอก</t>
        </is>
      </c>
      <c r="N650" s="276" t="inlineStr">
        <is>
          <t>ต่อ ชม.</t>
        </is>
      </c>
      <c r="O650" s="276" t="inlineStr">
        <is>
          <t>(บาท)</t>
        </is>
      </c>
      <c r="P650" s="60" t="inlineStr">
        <is>
          <t>ใน</t>
        </is>
      </c>
      <c r="Q650" s="60" t="inlineStr">
        <is>
          <t>นอก</t>
        </is>
      </c>
      <c r="R650" s="276" t="inlineStr">
        <is>
          <t>ต่อ ชม.</t>
        </is>
      </c>
      <c r="S650" s="276" t="inlineStr">
        <is>
          <t>(บาท)</t>
        </is>
      </c>
    </row>
    <row r="651" ht="22.2" customHeight="1" s="330">
      <c r="A651" s="275" t="n">
        <v>15</v>
      </c>
      <c r="B651" s="477">
        <f>AB17</f>
        <v/>
      </c>
      <c r="C651" s="334" t="n"/>
      <c r="D651" s="335" t="n"/>
      <c r="E651" s="275" t="inlineStr">
        <is>
          <t>ครู</t>
        </is>
      </c>
      <c r="F651" s="6">
        <f>F53</f>
        <v/>
      </c>
      <c r="G651" s="303" t="inlineStr">
        <is>
          <t>จันทร์</t>
        </is>
      </c>
      <c r="H651" s="252" t="inlineStr">
        <is>
          <t>30101-2007</t>
        </is>
      </c>
      <c r="I651" s="325" t="inlineStr">
        <is>
          <t>ปวส.1/6 ชย. (ปกติ)</t>
        </is>
      </c>
      <c r="J651" s="332" t="inlineStr">
        <is>
          <t>08.10-12.10</t>
        </is>
      </c>
      <c r="K651" s="335" t="n"/>
      <c r="L651" s="265" t="n"/>
      <c r="M651" s="332" t="n"/>
      <c r="N651" s="332" t="n"/>
      <c r="O651" s="244">
        <f>M651*N651</f>
        <v/>
      </c>
      <c r="P651" s="332" t="n"/>
      <c r="Q651" s="265" t="n"/>
      <c r="R651" s="332" t="n"/>
      <c r="S651" s="244">
        <f>Q651*R651</f>
        <v/>
      </c>
    </row>
    <row r="652" ht="22.2" customHeight="1" s="330">
      <c r="A652" s="4" t="n"/>
      <c r="B652" s="478" t="n"/>
      <c r="D652" s="331" t="n"/>
      <c r="E652" s="252" t="n"/>
      <c r="F652" s="249" t="n"/>
      <c r="G652" s="308">
        <f>G560</f>
        <v/>
      </c>
      <c r="H652" s="252" t="inlineStr">
        <is>
          <t>30101-2007</t>
        </is>
      </c>
      <c r="I652" s="325" t="inlineStr">
        <is>
          <t>ปวส.1/5 ชย. (ปกติ)</t>
        </is>
      </c>
      <c r="J652" s="252" t="inlineStr">
        <is>
          <t>13.10-17.10</t>
        </is>
      </c>
      <c r="K652" s="331" t="n"/>
      <c r="L652" s="252" t="n"/>
      <c r="M652" s="252" t="n"/>
      <c r="N652" s="252" t="n"/>
      <c r="O652" s="244">
        <f>M652*N652</f>
        <v/>
      </c>
      <c r="P652" s="252" t="n"/>
      <c r="Q652" s="252" t="n"/>
      <c r="R652" s="252" t="n"/>
      <c r="S652" s="244">
        <f>Q652*R652</f>
        <v/>
      </c>
    </row>
    <row r="653" ht="22.2" customHeight="1" s="330">
      <c r="A653" s="4" t="n"/>
      <c r="B653" s="5" t="n"/>
      <c r="D653" s="3" t="n"/>
      <c r="E653" s="3" t="n"/>
      <c r="F653" s="249" t="n"/>
      <c r="G653" s="248" t="n"/>
      <c r="H653" s="252" t="n"/>
      <c r="I653" s="252" t="n"/>
      <c r="J653" s="252" t="n"/>
      <c r="K653" s="331" t="n"/>
      <c r="L653" s="252" t="n"/>
      <c r="M653" s="252" t="n"/>
      <c r="N653" s="252" t="n"/>
      <c r="O653" s="244">
        <f>M653*N653</f>
        <v/>
      </c>
      <c r="P653" s="252" t="n"/>
      <c r="Q653" s="252" t="n"/>
      <c r="R653" s="252" t="n"/>
      <c r="S653" s="244">
        <f>Q653*R653</f>
        <v/>
      </c>
    </row>
    <row r="654" ht="22.2" customHeight="1" s="330">
      <c r="A654" s="4" t="n"/>
      <c r="B654" s="5" t="n"/>
      <c r="E654" s="4" t="n"/>
      <c r="F654" s="249" t="n"/>
      <c r="G654" s="248" t="n"/>
      <c r="H654" s="252" t="n"/>
      <c r="I654" s="252" t="n"/>
      <c r="J654" s="252" t="n"/>
      <c r="K654" s="331" t="n"/>
      <c r="L654" s="252" t="n"/>
      <c r="M654" s="252" t="n"/>
      <c r="N654" s="252" t="n"/>
      <c r="O654" s="244">
        <f>M654*N654</f>
        <v/>
      </c>
      <c r="P654" s="252" t="n"/>
      <c r="Q654" s="252" t="n"/>
      <c r="R654" s="252" t="n"/>
      <c r="S654" s="244">
        <f>Q654*R654</f>
        <v/>
      </c>
    </row>
    <row r="655" ht="22.2" customHeight="1" s="330">
      <c r="A655" s="4" t="n"/>
      <c r="E655" s="4" t="n"/>
      <c r="G655" s="311" t="n"/>
      <c r="H655" s="276" t="n"/>
      <c r="I655" s="276" t="n"/>
      <c r="J655" s="276" t="n"/>
      <c r="K655" s="476" t="n"/>
      <c r="L655" s="252" t="n"/>
      <c r="M655" s="252" t="n"/>
      <c r="N655" s="252" t="n"/>
      <c r="O655" s="244">
        <f>M655*N655</f>
        <v/>
      </c>
      <c r="P655" s="252" t="n"/>
      <c r="Q655" s="252" t="n"/>
      <c r="R655" s="252" t="n"/>
      <c r="S655" s="244">
        <f>Q655*R655</f>
        <v/>
      </c>
    </row>
    <row r="656" ht="22.2" customHeight="1" s="330">
      <c r="A656" s="4" t="n"/>
      <c r="E656" s="4" t="n"/>
      <c r="G656" s="62" t="inlineStr">
        <is>
          <t>อังคาร</t>
        </is>
      </c>
      <c r="H656" s="252" t="inlineStr">
        <is>
          <t>30101-2002</t>
        </is>
      </c>
      <c r="I656" s="325" t="inlineStr">
        <is>
          <t>ปวส.1/3,4 สย. (ม.6)</t>
        </is>
      </c>
      <c r="J656" s="332" t="inlineStr">
        <is>
          <t>08.10-11.10</t>
        </is>
      </c>
      <c r="K656" s="335" t="n"/>
      <c r="L656" s="265" t="n"/>
      <c r="M656" s="332" t="n"/>
      <c r="N656" s="332" t="n"/>
      <c r="O656" s="244">
        <f>M656*N656</f>
        <v/>
      </c>
      <c r="P656" s="332" t="n"/>
      <c r="Q656" s="265" t="n"/>
      <c r="R656" s="332" t="n"/>
      <c r="S656" s="244">
        <f>Q656*R656</f>
        <v/>
      </c>
    </row>
    <row r="657" ht="22.2" customHeight="1" s="330">
      <c r="A657" s="4" t="n"/>
      <c r="E657" s="4" t="n"/>
      <c r="G657" s="308">
        <f>G565</f>
        <v/>
      </c>
      <c r="H657" s="252" t="inlineStr">
        <is>
          <t>30101-2001</t>
        </is>
      </c>
      <c r="I657" s="325" t="inlineStr">
        <is>
          <t>ปวส.1/1,2 ชย. (ปกติ)</t>
        </is>
      </c>
      <c r="J657" s="252" t="inlineStr">
        <is>
          <t>13.10-16.10</t>
        </is>
      </c>
      <c r="K657" s="331" t="n"/>
      <c r="L657" s="252" t="n"/>
      <c r="M657" s="252" t="n"/>
      <c r="N657" s="252" t="n"/>
      <c r="O657" s="244">
        <f>M657*N657</f>
        <v/>
      </c>
      <c r="P657" s="252" t="n"/>
      <c r="Q657" s="252" t="n"/>
      <c r="R657" s="252" t="n"/>
      <c r="S657" s="244">
        <f>Q657*R657</f>
        <v/>
      </c>
    </row>
    <row r="658" ht="22.2" customHeight="1" s="330">
      <c r="A658" s="4" t="n"/>
      <c r="B658" s="5" t="n"/>
      <c r="D658" s="3" t="n"/>
      <c r="E658" s="3" t="n"/>
      <c r="G658" s="252" t="n"/>
      <c r="H658" s="325" t="n"/>
      <c r="I658" s="325" t="n"/>
      <c r="J658" s="325" t="n"/>
      <c r="K658" s="331" t="n"/>
      <c r="L658" s="252" t="n"/>
      <c r="M658" s="252" t="n"/>
      <c r="N658" s="252" t="n"/>
      <c r="O658" s="244">
        <f>M658*N658</f>
        <v/>
      </c>
      <c r="P658" s="252" t="n"/>
      <c r="Q658" s="252" t="n"/>
      <c r="R658" s="252" t="n"/>
      <c r="S658" s="244">
        <f>Q658*R658</f>
        <v/>
      </c>
    </row>
    <row r="659" ht="22.2" customHeight="1" s="330">
      <c r="A659" s="4" t="n"/>
      <c r="E659" s="4" t="n"/>
      <c r="G659" s="62" t="n"/>
      <c r="H659" s="249" t="n"/>
      <c r="I659" s="252" t="n"/>
      <c r="J659" s="252" t="n"/>
      <c r="K659" s="331" t="n"/>
      <c r="L659" s="252" t="n"/>
      <c r="M659" s="252" t="n"/>
      <c r="N659" s="252" t="n"/>
      <c r="O659" s="244">
        <f>M659*N659</f>
        <v/>
      </c>
      <c r="P659" s="252" t="n"/>
      <c r="Q659" s="252" t="n"/>
      <c r="R659" s="252" t="n"/>
      <c r="S659" s="244">
        <f>Q659*R659</f>
        <v/>
      </c>
    </row>
    <row r="660" ht="22.2" customHeight="1" s="330">
      <c r="A660" s="4" t="n"/>
      <c r="D660" s="8" t="inlineStr">
        <is>
          <t> </t>
        </is>
      </c>
      <c r="E660" s="4" t="n"/>
      <c r="G660" s="63" t="n"/>
      <c r="H660" s="276" t="n"/>
      <c r="I660" s="276" t="n"/>
      <c r="J660" s="276" t="n"/>
      <c r="K660" s="476" t="n"/>
      <c r="L660" s="252" t="n"/>
      <c r="M660" s="252" t="n"/>
      <c r="N660" s="252" t="n"/>
      <c r="O660" s="244">
        <f>M660*N660</f>
        <v/>
      </c>
      <c r="P660" s="252" t="n"/>
      <c r="Q660" s="252" t="n"/>
      <c r="R660" s="252" t="n"/>
      <c r="S660" s="244">
        <f>Q660*R660</f>
        <v/>
      </c>
    </row>
    <row r="661" ht="22.2" customHeight="1" s="330">
      <c r="A661" s="4" t="n"/>
      <c r="E661" s="4" t="n"/>
      <c r="G661" s="308" t="inlineStr">
        <is>
          <t>พุธ</t>
        </is>
      </c>
      <c r="H661" s="252" t="inlineStr">
        <is>
          <t>30101-2001</t>
        </is>
      </c>
      <c r="I661" s="325" t="inlineStr">
        <is>
          <t>ปวส.1/7 สย. (ทวิ)</t>
        </is>
      </c>
      <c r="J661" s="252" t="inlineStr">
        <is>
          <t>13.10-16.10</t>
        </is>
      </c>
      <c r="K661" s="331" t="n"/>
      <c r="L661" s="265" t="n"/>
      <c r="M661" s="332" t="n"/>
      <c r="N661" s="332" t="n"/>
      <c r="O661" s="244">
        <f>M661*N661</f>
        <v/>
      </c>
      <c r="P661" s="332" t="n"/>
      <c r="Q661" s="265" t="n"/>
      <c r="R661" s="332" t="n"/>
      <c r="S661" s="244">
        <f>Q661*R661</f>
        <v/>
      </c>
    </row>
    <row r="662" ht="22.2" customHeight="1" s="330">
      <c r="A662" s="4" t="n"/>
      <c r="B662" s="248" t="n"/>
      <c r="C662" s="249" t="n"/>
      <c r="D662" s="249" t="n"/>
      <c r="E662" s="252" t="n"/>
      <c r="G662" s="308">
        <f>G570</f>
        <v/>
      </c>
      <c r="H662" s="325" t="n"/>
      <c r="I662" s="325" t="n"/>
      <c r="J662" s="252" t="n"/>
      <c r="K662" s="331" t="n"/>
      <c r="L662" s="252" t="n"/>
      <c r="M662" s="252" t="n"/>
      <c r="N662" s="252" t="n"/>
      <c r="O662" s="244">
        <f>M662*N662</f>
        <v/>
      </c>
      <c r="P662" s="252" t="n"/>
      <c r="Q662" s="252" t="n"/>
      <c r="R662" s="252" t="n"/>
      <c r="S662" s="244">
        <f>Q662*R662</f>
        <v/>
      </c>
    </row>
    <row r="663" ht="22.2" customHeight="1" s="330">
      <c r="A663" s="4" t="n"/>
      <c r="B663" s="5" t="n"/>
      <c r="D663" s="3" t="n"/>
      <c r="E663" s="3" t="n"/>
      <c r="G663" s="252" t="n"/>
      <c r="H663" s="325" t="n"/>
      <c r="I663" s="325" t="n"/>
      <c r="J663" s="325" t="n"/>
      <c r="K663" s="331" t="n"/>
      <c r="L663" s="252" t="n"/>
      <c r="M663" s="252" t="n"/>
      <c r="N663" s="252" t="n"/>
      <c r="O663" s="244">
        <f>M663*N663</f>
        <v/>
      </c>
      <c r="P663" s="252" t="n"/>
      <c r="Q663" s="252" t="n"/>
      <c r="R663" s="252" t="n"/>
      <c r="S663" s="244">
        <f>Q663*R663</f>
        <v/>
      </c>
    </row>
    <row r="664" ht="22.2" customHeight="1" s="330">
      <c r="A664" s="4" t="n"/>
      <c r="E664" s="4" t="n"/>
      <c r="G664" s="248" t="n"/>
      <c r="H664" s="248" t="n"/>
      <c r="I664" s="252" t="n"/>
      <c r="J664" s="252" t="n"/>
      <c r="K664" s="331" t="n"/>
      <c r="L664" s="252" t="n"/>
      <c r="M664" s="252" t="n"/>
      <c r="N664" s="252" t="n"/>
      <c r="O664" s="244">
        <f>M664*N664</f>
        <v/>
      </c>
      <c r="P664" s="252" t="n"/>
      <c r="Q664" s="252" t="n"/>
      <c r="R664" s="252" t="n"/>
      <c r="S664" s="244">
        <f>Q664*R664</f>
        <v/>
      </c>
    </row>
    <row r="665" ht="22.2" customHeight="1" s="330">
      <c r="A665" s="4" t="n"/>
      <c r="E665" s="4" t="n"/>
      <c r="G665" s="277" t="n"/>
      <c r="H665" s="277" t="n"/>
      <c r="I665" s="276" t="n"/>
      <c r="J665" s="276" t="n"/>
      <c r="K665" s="476" t="n"/>
      <c r="L665" s="276" t="n"/>
      <c r="M665" s="276" t="n"/>
      <c r="N665" s="276" t="n"/>
      <c r="O665" s="244">
        <f>M665*N665</f>
        <v/>
      </c>
      <c r="P665" s="276" t="n"/>
      <c r="Q665" s="276" t="n"/>
      <c r="R665" s="276" t="n"/>
      <c r="S665" s="244">
        <f>Q665*R665</f>
        <v/>
      </c>
    </row>
    <row r="666" ht="22.2" customHeight="1" s="330">
      <c r="A666" s="4" t="n"/>
      <c r="E666" s="4" t="n"/>
      <c r="G666" s="62" t="inlineStr">
        <is>
          <t>พฤหัส</t>
        </is>
      </c>
      <c r="H666" s="252" t="inlineStr">
        <is>
          <t>30101-2007</t>
        </is>
      </c>
      <c r="I666" s="325" t="inlineStr">
        <is>
          <t>ปวส.1/4 สย. (ม.6)</t>
        </is>
      </c>
      <c r="J666" s="332" t="inlineStr">
        <is>
          <t>08.10-12.10</t>
        </is>
      </c>
      <c r="K666" s="335" t="n"/>
      <c r="L666" s="265" t="n"/>
      <c r="M666" s="332" t="n"/>
      <c r="N666" s="325" t="n"/>
      <c r="O666" s="244">
        <f>M666*N666</f>
        <v/>
      </c>
      <c r="P666" s="252" t="n"/>
      <c r="Q666" s="275" t="n"/>
      <c r="R666" s="275" t="n"/>
      <c r="S666" s="244">
        <f>Q666*R666</f>
        <v/>
      </c>
    </row>
    <row r="667" ht="22.2" customHeight="1" s="330">
      <c r="A667" s="4" t="n"/>
      <c r="E667" s="4" t="n"/>
      <c r="G667" s="308">
        <f>G575</f>
        <v/>
      </c>
      <c r="H667" s="252" t="inlineStr">
        <is>
          <t>30101-2007</t>
        </is>
      </c>
      <c r="I667" s="325" t="inlineStr">
        <is>
          <t>ปวส.1/3 สย. (ม.6)</t>
        </is>
      </c>
      <c r="J667" s="252" t="inlineStr">
        <is>
          <t>15.10-19.10</t>
        </is>
      </c>
      <c r="K667" s="331" t="n"/>
      <c r="L667" s="252" t="n"/>
      <c r="M667" s="252" t="n"/>
      <c r="N667" s="252" t="n"/>
      <c r="O667" s="244">
        <f>M667*N667</f>
        <v/>
      </c>
      <c r="P667" s="252" t="n"/>
      <c r="Q667" s="252" t="n"/>
      <c r="R667" s="252" t="n"/>
      <c r="S667" s="244">
        <f>Q667*R667</f>
        <v/>
      </c>
    </row>
    <row r="668" ht="22.2" customHeight="1" s="330">
      <c r="A668" s="4" t="n"/>
      <c r="B668" s="5" t="n"/>
      <c r="E668" s="4" t="n"/>
      <c r="G668" s="252" t="n"/>
      <c r="H668" s="325" t="n"/>
      <c r="I668" s="325" t="n"/>
      <c r="J668" s="325" t="n"/>
      <c r="K668" s="331" t="n"/>
      <c r="L668" s="325" t="n"/>
      <c r="M668" s="325" t="n"/>
      <c r="N668" s="325" t="n"/>
      <c r="O668" s="244">
        <f>M668*N668</f>
        <v/>
      </c>
      <c r="P668" s="325" t="n"/>
      <c r="Q668" s="325" t="n"/>
      <c r="R668" s="325" t="n"/>
      <c r="S668" s="244">
        <f>Q668*R668</f>
        <v/>
      </c>
    </row>
    <row r="669" ht="22.2" customHeight="1" s="330">
      <c r="A669" s="4" t="n"/>
      <c r="E669" s="4" t="n"/>
      <c r="G669" s="252" t="n"/>
      <c r="H669" s="252" t="n"/>
      <c r="I669" s="252" t="n"/>
      <c r="J669" s="252" t="n"/>
      <c r="K669" s="331" t="n"/>
      <c r="L669" s="252" t="n"/>
      <c r="M669" s="252" t="n"/>
      <c r="N669" s="252" t="n"/>
      <c r="O669" s="244">
        <f>M669*N669</f>
        <v/>
      </c>
      <c r="P669" s="252" t="n"/>
      <c r="Q669" s="252" t="n"/>
      <c r="R669" s="252" t="n"/>
      <c r="S669" s="244">
        <f>Q669*R669</f>
        <v/>
      </c>
    </row>
    <row r="670" ht="22.2" customHeight="1" s="330">
      <c r="A670" s="4" t="n"/>
      <c r="E670" s="4" t="n"/>
      <c r="G670" s="276" t="n"/>
      <c r="H670" s="301" t="n"/>
      <c r="I670" s="276" t="n"/>
      <c r="J670" s="276" t="n"/>
      <c r="K670" s="476" t="n"/>
      <c r="L670" s="276" t="n"/>
      <c r="M670" s="276" t="n"/>
      <c r="N670" s="276" t="n"/>
      <c r="O670" s="244">
        <f>M670*N670</f>
        <v/>
      </c>
      <c r="P670" s="276" t="n"/>
      <c r="Q670" s="276" t="n"/>
      <c r="R670" s="276" t="n"/>
      <c r="S670" s="244">
        <f>Q670*R670</f>
        <v/>
      </c>
    </row>
    <row r="671" ht="22.2" customHeight="1" s="330">
      <c r="A671" s="4" t="n"/>
      <c r="E671" s="4" t="n"/>
      <c r="G671" s="62" t="inlineStr">
        <is>
          <t>ศุกร์</t>
        </is>
      </c>
      <c r="H671" s="252" t="inlineStr">
        <is>
          <t>30101-2007</t>
        </is>
      </c>
      <c r="I671" s="325" t="inlineStr">
        <is>
          <t>ปวส.1/7 สย. (ทวิ)</t>
        </is>
      </c>
      <c r="J671" s="332" t="inlineStr">
        <is>
          <t>08.10-12.10</t>
        </is>
      </c>
      <c r="K671" s="335" t="n"/>
      <c r="L671" s="265" t="n"/>
      <c r="M671" s="332" t="n"/>
      <c r="N671" s="332" t="n"/>
      <c r="O671" s="244">
        <f>M671*N671</f>
        <v/>
      </c>
      <c r="P671" s="332" t="n"/>
      <c r="Q671" s="265" t="n"/>
      <c r="R671" s="332" t="n"/>
      <c r="S671" s="244">
        <f>Q671*R671</f>
        <v/>
      </c>
    </row>
    <row r="672" ht="22.2" customHeight="1" s="330">
      <c r="A672" s="4" t="n"/>
      <c r="E672" s="4" t="n"/>
      <c r="G672" s="308">
        <f>G580</f>
        <v/>
      </c>
      <c r="H672" s="325" t="n"/>
      <c r="I672" s="325" t="n"/>
      <c r="J672" s="325" t="n"/>
      <c r="K672" s="331" t="n"/>
      <c r="L672" s="252" t="n"/>
      <c r="M672" s="252" t="n"/>
      <c r="N672" s="252" t="n"/>
      <c r="O672" s="244">
        <f>M672*N672</f>
        <v/>
      </c>
      <c r="P672" s="252" t="n"/>
      <c r="Q672" s="252" t="n"/>
      <c r="R672" s="252" t="n"/>
      <c r="S672" s="244">
        <f>Q672*R672</f>
        <v/>
      </c>
    </row>
    <row r="673" ht="22.2" customHeight="1" s="330">
      <c r="A673" s="4" t="n"/>
      <c r="E673" s="4" t="n"/>
      <c r="G673" s="252" t="n"/>
      <c r="H673" s="325" t="n"/>
      <c r="I673" s="325" t="n"/>
      <c r="J673" s="325" t="n"/>
      <c r="K673" s="331" t="n"/>
      <c r="L673" s="252" t="n"/>
      <c r="M673" s="252" t="n"/>
      <c r="N673" s="252" t="n"/>
      <c r="O673" s="244">
        <f>M673*N673</f>
        <v/>
      </c>
      <c r="P673" s="252" t="n"/>
      <c r="Q673" s="252" t="n"/>
      <c r="R673" s="252" t="n"/>
      <c r="S673" s="244">
        <f>Q673*R673</f>
        <v/>
      </c>
    </row>
    <row r="674" ht="22.2" customHeight="1" s="330">
      <c r="A674" s="4" t="n"/>
      <c r="E674" s="4" t="n"/>
      <c r="G674" s="252" t="n"/>
      <c r="H674" s="249" t="n"/>
      <c r="I674" s="252" t="n"/>
      <c r="J674" s="252" t="n"/>
      <c r="K674" s="331" t="n"/>
      <c r="L674" s="252" t="n"/>
      <c r="M674" s="252" t="n"/>
      <c r="N674" s="252" t="n"/>
      <c r="O674" s="244">
        <f>M674*N674</f>
        <v/>
      </c>
      <c r="P674" s="252" t="n"/>
      <c r="Q674" s="252" t="n"/>
      <c r="R674" s="252" t="n"/>
      <c r="S674" s="244">
        <f>Q674*R674</f>
        <v/>
      </c>
    </row>
    <row r="675" ht="22.2" customHeight="1" s="330">
      <c r="A675" s="4" t="n"/>
      <c r="E675" s="4" t="n"/>
      <c r="F675" s="4" t="n"/>
      <c r="G675" s="278" t="n"/>
      <c r="H675" s="301" t="n"/>
      <c r="I675" s="276" t="n"/>
      <c r="J675" s="276" t="n"/>
      <c r="K675" s="476" t="n"/>
      <c r="L675" s="276" t="n"/>
      <c r="M675" s="276" t="n"/>
      <c r="N675" s="276" t="n"/>
      <c r="O675" s="244">
        <f>M675*N675</f>
        <v/>
      </c>
      <c r="P675" s="276" t="n"/>
      <c r="Q675" s="276" t="n"/>
      <c r="R675" s="276" t="n"/>
      <c r="S675" s="244">
        <f>Q675*R675</f>
        <v/>
      </c>
    </row>
    <row r="676" ht="22.2" customHeight="1" s="330">
      <c r="A676" s="4" t="n"/>
      <c r="E676" s="4" t="n"/>
      <c r="F676" s="4" t="n"/>
      <c r="G676" s="17" t="inlineStr">
        <is>
          <t>รวมขั่วโมงที่สอนแยก ภาระงาน/ เกินภาระงาน</t>
        </is>
      </c>
      <c r="H676" s="467" t="n"/>
      <c r="I676" s="467" t="n"/>
      <c r="J676" s="467" t="n"/>
      <c r="K676" s="362" t="n"/>
      <c r="L676" s="17">
        <f>SUM(L651:L675)</f>
        <v/>
      </c>
      <c r="M676" s="17">
        <f>SUM(M651:M675)</f>
        <v/>
      </c>
      <c r="N676" s="17" t="n"/>
      <c r="O676" s="17" t="n"/>
      <c r="P676" s="17">
        <f>SUM(P651:P675)</f>
        <v/>
      </c>
      <c r="Q676" s="17">
        <f>SUM(Q651:Q675)</f>
        <v/>
      </c>
      <c r="R676" s="279" t="n"/>
      <c r="S676" s="17" t="n"/>
    </row>
    <row r="677" ht="22.2" customHeight="1" s="330">
      <c r="A677" s="4" t="n"/>
      <c r="E677" s="4" t="n"/>
      <c r="F677" s="4" t="n"/>
      <c r="G677" s="17" t="inlineStr">
        <is>
          <t>รวมจำนวนชั่วโมงสอนคาบต่อสับดาห์</t>
        </is>
      </c>
      <c r="H677" s="467" t="n"/>
      <c r="I677" s="467" t="n"/>
      <c r="J677" s="467" t="n"/>
      <c r="K677" s="362" t="n"/>
      <c r="L677" s="17">
        <f>L676+M676</f>
        <v/>
      </c>
      <c r="M677" s="362" t="n"/>
      <c r="N677" s="298" t="n"/>
      <c r="O677" s="17" t="n"/>
      <c r="P677" s="17">
        <f>P676+Q676</f>
        <v/>
      </c>
      <c r="Q677" s="362" t="n"/>
      <c r="R677" s="278" t="n"/>
      <c r="S677" s="276" t="n"/>
    </row>
    <row r="678" ht="22.2" customHeight="1" s="330">
      <c r="A678" s="4" t="n"/>
      <c r="E678" s="4" t="n"/>
      <c r="F678" s="4" t="n"/>
      <c r="G678" s="17" t="inlineStr">
        <is>
          <t>จำนวนชั่วโมงสอนตามภาระงานสอน</t>
        </is>
      </c>
      <c r="H678" s="467" t="n"/>
      <c r="I678" s="467" t="n"/>
      <c r="J678" s="467" t="n"/>
      <c r="K678" s="362" t="n"/>
      <c r="L678" s="17" t="n">
        <v>0</v>
      </c>
      <c r="M678" s="362" t="n"/>
      <c r="N678" s="298" t="n"/>
      <c r="O678" s="17" t="n"/>
      <c r="P678" s="17" t="n">
        <v>15</v>
      </c>
      <c r="Q678" s="362" t="n"/>
      <c r="R678" s="249" t="n"/>
      <c r="S678" s="252" t="n"/>
    </row>
    <row r="679" ht="22.2" customHeight="1" s="330" thickBot="1">
      <c r="A679" s="4" t="n"/>
      <c r="E679" s="4" t="n"/>
      <c r="F679" s="15" t="n"/>
      <c r="G679" s="17" t="inlineStr">
        <is>
          <t>จำนวนชั่วโมงบิกเกินภาระงานสอน/ค่าสอน</t>
        </is>
      </c>
      <c r="H679" s="467" t="n"/>
      <c r="I679" s="467" t="n"/>
      <c r="J679" s="467" t="n"/>
      <c r="K679" s="362" t="n"/>
      <c r="L679" s="18" t="n">
        <v>0</v>
      </c>
      <c r="M679" s="18">
        <f>SUM(M651:M675)</f>
        <v/>
      </c>
      <c r="N679" s="18" t="n"/>
      <c r="O679" s="18">
        <f>SUM(O651:O675)</f>
        <v/>
      </c>
      <c r="P679" s="18" t="n">
        <v>0</v>
      </c>
      <c r="Q679" s="18">
        <f>SUM(Q651:Q675)</f>
        <v/>
      </c>
      <c r="R679" s="19" t="n"/>
      <c r="S679" s="18">
        <f>SUM(S651:S675)</f>
        <v/>
      </c>
    </row>
    <row r="680" ht="22.2" customHeight="1" s="330" thickTop="1">
      <c r="A680" s="299" t="inlineStr">
        <is>
          <t>รวมจำนวนหน่วยชั่วโมงที่ขอเบิกค่าสอน ….</t>
        </is>
      </c>
      <c r="B680" s="467" t="n"/>
      <c r="C680" s="467" t="n"/>
      <c r="D680" s="467" t="n"/>
      <c r="E680" s="467" t="n"/>
      <c r="F680" s="467" t="n"/>
      <c r="G680" s="467" t="n"/>
      <c r="H680" s="298">
        <f>M679+Q679</f>
        <v/>
      </c>
      <c r="I680" s="298" t="inlineStr">
        <is>
          <t>….ชั่วโมง</t>
        </is>
      </c>
      <c r="J680" s="298" t="n"/>
      <c r="K680" s="301" t="inlineStr">
        <is>
          <t>ยอดเงินรวม</t>
        </is>
      </c>
      <c r="L680" s="471" t="n"/>
      <c r="M680" s="471" t="n"/>
      <c r="N680" s="301" t="n"/>
      <c r="O680" s="301" t="n"/>
      <c r="P680" s="302">
        <f>S679+O679</f>
        <v/>
      </c>
      <c r="Q680" s="482" t="n"/>
      <c r="R680" s="21" t="n"/>
      <c r="S680" s="20" t="inlineStr">
        <is>
          <t>..บาท</t>
        </is>
      </c>
    </row>
    <row r="681" ht="22.2" customHeight="1" s="330">
      <c r="A681" s="207" t="inlineStr">
        <is>
          <t>ผู้ขอเบิก</t>
        </is>
      </c>
      <c r="B681" s="334" t="n"/>
      <c r="C681" s="334" t="n"/>
      <c r="D681" s="334" t="n"/>
      <c r="E681" s="334" t="n"/>
      <c r="F681" s="334" t="n"/>
      <c r="G681" s="335" t="n"/>
      <c r="H681" s="207" t="inlineStr">
        <is>
          <t>ผู้รับรอง</t>
        </is>
      </c>
      <c r="I681" s="334" t="n"/>
      <c r="J681" s="334" t="n"/>
      <c r="K681" s="334" t="n"/>
      <c r="L681" s="335" t="n"/>
      <c r="M681" s="207" t="inlineStr">
        <is>
          <t>ผู้ตรวจ</t>
        </is>
      </c>
      <c r="N681" s="334" t="n"/>
      <c r="O681" s="334" t="n"/>
      <c r="P681" s="334" t="n"/>
      <c r="Q681" s="334" t="n"/>
      <c r="R681" s="334" t="n"/>
      <c r="S681" s="335" t="n"/>
    </row>
    <row r="682" ht="22.2" customHeight="1" s="330">
      <c r="A682" s="252" t="inlineStr">
        <is>
          <t>ลงชื่อ……………………………………………</t>
        </is>
      </c>
      <c r="G682" s="331" t="n"/>
      <c r="H682" s="252" t="inlineStr">
        <is>
          <t>ลงชื่อ……………………………………………</t>
        </is>
      </c>
      <c r="L682" s="331" t="n"/>
      <c r="M682" s="252" t="inlineStr">
        <is>
          <t>ลงชื่อ……………………………………………</t>
        </is>
      </c>
      <c r="S682" s="331" t="n"/>
    </row>
    <row r="683" ht="22.2" customHeight="1" s="330">
      <c r="A683" s="12" t="inlineStr">
        <is>
          <t>(</t>
        </is>
      </c>
      <c r="B683" s="309">
        <f>B651</f>
        <v/>
      </c>
      <c r="G683" s="310" t="inlineStr">
        <is>
          <t>)</t>
        </is>
      </c>
      <c r="H683" s="309" t="inlineStr">
        <is>
          <t>(</t>
        </is>
      </c>
      <c r="I683" s="314">
        <f>I637</f>
        <v/>
      </c>
      <c r="L683" s="13" t="inlineStr">
        <is>
          <t>)</t>
        </is>
      </c>
      <c r="M683" s="61" t="inlineStr">
        <is>
          <t>(</t>
        </is>
      </c>
      <c r="N683" s="61" t="n"/>
      <c r="O683" s="309" t="inlineStr">
        <is>
          <t>นายพิสุทธิศักดิ์  กล่อมนาค</t>
        </is>
      </c>
      <c r="R683" s="29" t="n"/>
      <c r="S683" s="310" t="inlineStr">
        <is>
          <t>)</t>
        </is>
      </c>
    </row>
    <row r="684" ht="22.2" customHeight="1" s="330">
      <c r="A684" s="483" t="inlineStr">
        <is>
          <t xml:space="preserve">                        ตำแหน่ง ครู</t>
        </is>
      </c>
      <c r="G684" s="331" t="n"/>
      <c r="H684" s="62" t="inlineStr">
        <is>
          <t>ตำแหน่ง หัวหน้าแผนก</t>
        </is>
      </c>
      <c r="L684" s="331" t="n"/>
      <c r="M684" s="62" t="inlineStr">
        <is>
          <t>ตำแหน่ง   ผู้ตรวจสอบ</t>
        </is>
      </c>
      <c r="S684" s="331" t="n"/>
    </row>
    <row r="685" ht="22.2" customHeight="1" s="330">
      <c r="A685" s="63">
        <f>A87</f>
        <v/>
      </c>
      <c r="B685" s="471" t="n"/>
      <c r="C685" s="471" t="n"/>
      <c r="D685" s="471" t="n"/>
      <c r="E685" s="471" t="n"/>
      <c r="F685" s="471" t="n"/>
      <c r="G685" s="476" t="n"/>
      <c r="H685" s="62">
        <f>A87</f>
        <v/>
      </c>
      <c r="L685" s="331" t="n"/>
      <c r="M685" s="63">
        <f>A87</f>
        <v/>
      </c>
      <c r="N685" s="471" t="n"/>
      <c r="O685" s="471" t="n"/>
      <c r="P685" s="471" t="n"/>
      <c r="Q685" s="471" t="n"/>
      <c r="R685" s="471" t="n"/>
      <c r="S685" s="476" t="n"/>
    </row>
    <row r="686" ht="22.2" customHeight="1" s="330">
      <c r="A686" s="207" t="inlineStr">
        <is>
          <t>ผู้ตรวจ</t>
        </is>
      </c>
      <c r="B686" s="334" t="n"/>
      <c r="C686" s="334" t="n"/>
      <c r="D686" s="334" t="n"/>
      <c r="E686" s="334" t="n"/>
      <c r="F686" s="334" t="n"/>
      <c r="G686" s="334" t="n"/>
      <c r="H686" s="334" t="n"/>
      <c r="I686" s="335" t="n"/>
      <c r="J686" s="207" t="inlineStr">
        <is>
          <t>ผู้เห็นชอบ</t>
        </is>
      </c>
      <c r="K686" s="334" t="n"/>
      <c r="L686" s="334" t="n"/>
      <c r="M686" s="334" t="n"/>
      <c r="N686" s="334" t="n"/>
      <c r="O686" s="334" t="n"/>
      <c r="P686" s="334" t="n"/>
      <c r="Q686" s="334" t="n"/>
      <c r="R686" s="334" t="n"/>
      <c r="S686" s="335" t="n"/>
    </row>
    <row r="687" ht="22.2" customHeight="1" s="330">
      <c r="A687" s="252" t="inlineStr">
        <is>
          <t>ลงชื่อ……………………………………………</t>
        </is>
      </c>
      <c r="I687" s="331" t="n"/>
      <c r="J687" s="252" t="inlineStr">
        <is>
          <t>ลงชื่อ……………………………………………</t>
        </is>
      </c>
      <c r="S687" s="331" t="n"/>
    </row>
    <row r="688" ht="22.2" customHeight="1" s="330">
      <c r="A688" s="12" t="n"/>
      <c r="B688" s="309" t="inlineStr">
        <is>
          <t xml:space="preserve">          (นางศิวรักษ์   บุญประเสริฐ)</t>
        </is>
      </c>
      <c r="I688" s="310" t="n"/>
      <c r="J688" s="29" t="n"/>
      <c r="K688" s="29" t="n"/>
      <c r="L688" s="309" t="inlineStr">
        <is>
          <t>(นายปรีชา  โพธิ์เกิด)</t>
        </is>
      </c>
      <c r="R688" s="29" t="n"/>
      <c r="S688" s="13" t="n"/>
    </row>
    <row r="689" ht="22.2" customHeight="1" s="330">
      <c r="A689" s="62" t="inlineStr">
        <is>
          <t>ตำแหน่งครู  หัวหน้างานพัฒนาหลักสูตร ฯ</t>
        </is>
      </c>
      <c r="I689" s="331" t="n"/>
      <c r="J689" s="62" t="inlineStr">
        <is>
          <t>ตำแหน่ง  รองผู้อำนวยการฝ่ายวิชาการ</t>
        </is>
      </c>
      <c r="S689" s="331" t="n"/>
    </row>
    <row r="690" ht="22.2" customHeight="1" s="330">
      <c r="A690" s="63">
        <f>A87</f>
        <v/>
      </c>
      <c r="B690" s="471" t="n"/>
      <c r="C690" s="471" t="n"/>
      <c r="D690" s="471" t="n"/>
      <c r="E690" s="471" t="n"/>
      <c r="F690" s="471" t="n"/>
      <c r="G690" s="471" t="n"/>
      <c r="H690" s="471" t="n"/>
      <c r="I690" s="476" t="n"/>
      <c r="J690" s="63">
        <f>A87</f>
        <v/>
      </c>
      <c r="K690" s="471" t="n"/>
      <c r="L690" s="471" t="n"/>
      <c r="M690" s="471" t="n"/>
      <c r="N690" s="471" t="n"/>
      <c r="O690" s="471" t="n"/>
      <c r="P690" s="471" t="n"/>
      <c r="Q690" s="471" t="n"/>
      <c r="R690" s="471" t="n"/>
      <c r="S690" s="476" t="n"/>
    </row>
    <row r="691" ht="22.2" customHeight="1" s="330">
      <c r="A69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92" ht="22.2" customHeight="1" s="330">
      <c r="A692" s="254">
        <f>A2</f>
        <v/>
      </c>
    </row>
    <row r="693" ht="22.2" customHeight="1" s="330">
      <c r="A693" s="253" t="inlineStr">
        <is>
          <t xml:space="preserve">    ระหว่างวันที่</t>
        </is>
      </c>
      <c r="D693" s="254">
        <f>D95</f>
        <v/>
      </c>
      <c r="E693" s="254" t="inlineStr">
        <is>
          <t xml:space="preserve">   เดือน  </t>
        </is>
      </c>
      <c r="F693" s="254">
        <f>F95</f>
        <v/>
      </c>
      <c r="H693" s="254">
        <f>H95</f>
        <v/>
      </c>
      <c r="I693" s="254" t="inlineStr">
        <is>
          <t xml:space="preserve">     ถึง วันที่</t>
        </is>
      </c>
      <c r="J693" s="254">
        <f>J95</f>
        <v/>
      </c>
      <c r="K693" s="254" t="inlineStr">
        <is>
          <t xml:space="preserve">   เดือน </t>
        </is>
      </c>
      <c r="L693" s="254">
        <f>L95</f>
        <v/>
      </c>
      <c r="N693" s="254">
        <f>N95</f>
        <v/>
      </c>
      <c r="P693" s="254" t="n"/>
      <c r="R693" s="254" t="n"/>
    </row>
    <row r="694" ht="22.2" customHeight="1" s="330">
      <c r="G694" s="58" t="inlineStr">
        <is>
          <t>ü</t>
        </is>
      </c>
      <c r="H694" s="301" t="inlineStr">
        <is>
          <t>ครู</t>
        </is>
      </c>
      <c r="I694" s="301" t="inlineStr">
        <is>
          <t>หน้าที่พิเศษ</t>
        </is>
      </c>
      <c r="J694" s="290" t="n"/>
      <c r="K694" s="290" t="n"/>
      <c r="L694" s="290" t="n"/>
      <c r="M694" s="290" t="n"/>
      <c r="N694" s="290" t="n"/>
      <c r="O694" s="290" t="n"/>
      <c r="P694" s="290" t="n"/>
      <c r="Q694" s="290" t="n"/>
      <c r="R694" s="290" t="n"/>
      <c r="S694" s="290" t="n"/>
    </row>
    <row r="695" ht="22.2" customHeight="1" s="330">
      <c r="A695" s="28" t="inlineStr">
        <is>
          <t>ที่</t>
        </is>
      </c>
      <c r="B695" s="28" t="inlineStr">
        <is>
          <t>ชื่อ-สกุล</t>
        </is>
      </c>
      <c r="C695" s="334" t="n"/>
      <c r="D695" s="335" t="n"/>
      <c r="E695" s="16" t="inlineStr">
        <is>
          <t>ตำแหน่ง</t>
        </is>
      </c>
      <c r="F695" s="17" t="inlineStr">
        <is>
          <t>ระยะเวลาที่สอน</t>
        </is>
      </c>
      <c r="G695" s="362" t="n"/>
      <c r="H695" s="17" t="inlineStr">
        <is>
          <t>รหัสวิชา</t>
        </is>
      </c>
      <c r="I695" s="275" t="inlineStr">
        <is>
          <t>ชั้น,แผนก,ห้อง</t>
        </is>
      </c>
      <c r="J695" s="17" t="inlineStr">
        <is>
          <t>เวลาสอน</t>
        </is>
      </c>
      <c r="K695" s="335" t="n"/>
      <c r="L695" s="17" t="inlineStr">
        <is>
          <t>ปวช.(คาบ)</t>
        </is>
      </c>
      <c r="M695" s="362" t="n"/>
      <c r="N695" s="244" t="inlineStr">
        <is>
          <t>เงิน</t>
        </is>
      </c>
      <c r="O695" s="275" t="inlineStr">
        <is>
          <t>ยอดเงิน</t>
        </is>
      </c>
      <c r="P695" s="473" t="inlineStr">
        <is>
          <t>ปวส.(คาบ)</t>
        </is>
      </c>
      <c r="Q695" s="362" t="n"/>
      <c r="R695" s="244" t="inlineStr">
        <is>
          <t>เงิน</t>
        </is>
      </c>
      <c r="S695" s="275" t="inlineStr">
        <is>
          <t>ยอดเงิน</t>
        </is>
      </c>
    </row>
    <row r="696" ht="22.2" customHeight="1" s="330">
      <c r="A696" s="60" t="n"/>
      <c r="B696" s="9" t="n"/>
      <c r="C696" s="10" t="n"/>
      <c r="D696" s="14" t="n"/>
      <c r="E696" s="11" t="n"/>
      <c r="F696" s="276" t="inlineStr">
        <is>
          <t>ส.</t>
        </is>
      </c>
      <c r="G696" s="276" t="inlineStr">
        <is>
          <t>วดป.</t>
        </is>
      </c>
      <c r="H696" s="474" t="n"/>
      <c r="I696" s="276" t="n"/>
      <c r="J696" s="475" t="n"/>
      <c r="K696" s="476" t="n"/>
      <c r="L696" s="276" t="inlineStr">
        <is>
          <t>ใน</t>
        </is>
      </c>
      <c r="M696" s="276" t="inlineStr">
        <is>
          <t>นอก</t>
        </is>
      </c>
      <c r="N696" s="276" t="inlineStr">
        <is>
          <t>ต่อ ชม.</t>
        </is>
      </c>
      <c r="O696" s="276" t="inlineStr">
        <is>
          <t>(บาท)</t>
        </is>
      </c>
      <c r="P696" s="60" t="inlineStr">
        <is>
          <t>ใน</t>
        </is>
      </c>
      <c r="Q696" s="60" t="inlineStr">
        <is>
          <t>นอก</t>
        </is>
      </c>
      <c r="R696" s="276" t="inlineStr">
        <is>
          <t>ต่อ ชม.</t>
        </is>
      </c>
      <c r="S696" s="276" t="inlineStr">
        <is>
          <t>(บาท)</t>
        </is>
      </c>
    </row>
    <row r="697" ht="22.2" customHeight="1" s="330">
      <c r="A697" s="275" t="n">
        <v>16</v>
      </c>
      <c r="B697" s="477">
        <f>AB18</f>
        <v/>
      </c>
      <c r="C697" s="334" t="n"/>
      <c r="D697" s="335" t="n"/>
      <c r="E697" s="275" t="inlineStr">
        <is>
          <t>ครู</t>
        </is>
      </c>
      <c r="F697" s="6">
        <f>F99</f>
        <v/>
      </c>
      <c r="G697" s="303" t="inlineStr">
        <is>
          <t>จันทร์</t>
        </is>
      </c>
      <c r="H697" s="332" t="n"/>
      <c r="I697" s="325" t="n"/>
      <c r="J697" s="332" t="n"/>
      <c r="K697" s="335" t="n"/>
      <c r="L697" s="332" t="n"/>
      <c r="M697" s="332" t="n"/>
      <c r="N697" s="332" t="n"/>
      <c r="O697" s="244">
        <f>M697*N697</f>
        <v/>
      </c>
      <c r="P697" s="332" t="n"/>
      <c r="Q697" s="265" t="n"/>
      <c r="R697" s="332" t="n"/>
      <c r="S697" s="244">
        <f>Q697*R697</f>
        <v/>
      </c>
    </row>
    <row r="698" ht="22.2" customHeight="1" s="330">
      <c r="A698" s="4" t="n"/>
      <c r="B698" s="478" t="n"/>
      <c r="D698" s="331" t="n"/>
      <c r="E698" s="252" t="n"/>
      <c r="F698" s="249" t="n"/>
      <c r="G698" s="308">
        <f>G606</f>
        <v/>
      </c>
      <c r="H698" s="325" t="n"/>
      <c r="I698" s="325" t="n"/>
      <c r="J698" s="252" t="n"/>
      <c r="K698" s="331" t="n"/>
      <c r="L698" s="252" t="n"/>
      <c r="M698" s="252" t="n"/>
      <c r="N698" s="252" t="n"/>
      <c r="O698" s="244">
        <f>M698*N698</f>
        <v/>
      </c>
      <c r="P698" s="252" t="n"/>
      <c r="Q698" s="252" t="n"/>
      <c r="R698" s="252" t="n"/>
      <c r="S698" s="244">
        <f>Q698*R698</f>
        <v/>
      </c>
    </row>
    <row r="699" ht="22.2" customHeight="1" s="330">
      <c r="A699" s="4" t="n"/>
      <c r="B699" s="5" t="n"/>
      <c r="D699" s="3" t="n"/>
      <c r="E699" s="3" t="n"/>
      <c r="F699" s="249" t="n"/>
      <c r="G699" s="248" t="n"/>
      <c r="H699" s="252" t="n"/>
      <c r="I699" s="252" t="n"/>
      <c r="J699" s="252" t="n"/>
      <c r="K699" s="331" t="n"/>
      <c r="L699" s="252" t="n"/>
      <c r="M699" s="252" t="n"/>
      <c r="N699" s="252" t="n"/>
      <c r="O699" s="244">
        <f>M699*N699</f>
        <v/>
      </c>
      <c r="P699" s="252" t="n"/>
      <c r="Q699" s="252" t="n"/>
      <c r="R699" s="252" t="n"/>
      <c r="S699" s="244">
        <f>Q699*R699</f>
        <v/>
      </c>
    </row>
    <row r="700" ht="22.2" customHeight="1" s="330">
      <c r="A700" s="4" t="n"/>
      <c r="B700" s="5" t="n"/>
      <c r="E700" s="4" t="n"/>
      <c r="F700" s="249" t="n"/>
      <c r="G700" s="248" t="n"/>
      <c r="H700" s="252" t="n"/>
      <c r="I700" s="252" t="n"/>
      <c r="J700" s="252" t="n"/>
      <c r="K700" s="331" t="n"/>
      <c r="L700" s="252" t="n"/>
      <c r="M700" s="252" t="n"/>
      <c r="N700" s="252" t="n"/>
      <c r="O700" s="244">
        <f>M700*N700</f>
        <v/>
      </c>
      <c r="P700" s="252" t="n"/>
      <c r="Q700" s="252" t="n"/>
      <c r="R700" s="252" t="n"/>
      <c r="S700" s="244">
        <f>Q700*R700</f>
        <v/>
      </c>
    </row>
    <row r="701" ht="22.2" customHeight="1" s="330">
      <c r="A701" s="4" t="n"/>
      <c r="E701" s="4" t="n"/>
      <c r="G701" s="311" t="n"/>
      <c r="H701" s="276" t="n"/>
      <c r="I701" s="276" t="n"/>
      <c r="J701" s="276" t="n"/>
      <c r="K701" s="476" t="n"/>
      <c r="L701" s="252" t="n"/>
      <c r="M701" s="252" t="n"/>
      <c r="N701" s="252" t="n"/>
      <c r="O701" s="244">
        <f>M701*N701</f>
        <v/>
      </c>
      <c r="P701" s="252" t="n"/>
      <c r="Q701" s="252" t="n"/>
      <c r="R701" s="252" t="n"/>
      <c r="S701" s="244">
        <f>Q701*R701</f>
        <v/>
      </c>
    </row>
    <row r="702" ht="22.2" customHeight="1" s="330">
      <c r="A702" s="4" t="n"/>
      <c r="E702" s="4" t="n"/>
      <c r="G702" s="62" t="inlineStr">
        <is>
          <t>อังคาร</t>
        </is>
      </c>
      <c r="H702" s="325" t="inlineStr">
        <is>
          <t>20101-2102</t>
        </is>
      </c>
      <c r="I702" s="325" t="inlineStr">
        <is>
          <t>ปวช.1/6 ชย. (ปกติ)</t>
        </is>
      </c>
      <c r="J702" s="332" t="inlineStr">
        <is>
          <t>08.10-12.10</t>
        </is>
      </c>
      <c r="K702" s="335" t="n"/>
      <c r="L702" s="265" t="n"/>
      <c r="M702" s="332" t="n"/>
      <c r="N702" s="332" t="n"/>
      <c r="O702" s="244">
        <f>M702*N702</f>
        <v/>
      </c>
      <c r="P702" s="332" t="n"/>
      <c r="Q702" s="265" t="n"/>
      <c r="R702" s="332" t="n"/>
      <c r="S702" s="244">
        <f>Q702*R702</f>
        <v/>
      </c>
    </row>
    <row r="703" ht="22.2" customHeight="1" s="330">
      <c r="A703" s="4" t="n"/>
      <c r="E703" s="4" t="n"/>
      <c r="G703" s="308">
        <f>G611</f>
        <v/>
      </c>
      <c r="H703" s="325" t="inlineStr">
        <is>
          <t>20101-2102</t>
        </is>
      </c>
      <c r="I703" s="325" t="inlineStr">
        <is>
          <t>ปวช.1/6 ชย. (ปกติ)</t>
        </is>
      </c>
      <c r="J703" s="325" t="inlineStr">
        <is>
          <t>13.10-16.10</t>
        </is>
      </c>
      <c r="K703" s="331" t="n"/>
      <c r="L703" s="252" t="n"/>
      <c r="M703" s="252" t="n"/>
      <c r="N703" s="252" t="n"/>
      <c r="O703" s="244">
        <f>M703*N703</f>
        <v/>
      </c>
      <c r="P703" s="252" t="n"/>
      <c r="Q703" s="252" t="n"/>
      <c r="R703" s="252" t="n"/>
      <c r="S703" s="244">
        <f>Q703*R703</f>
        <v/>
      </c>
    </row>
    <row r="704" ht="22.2" customHeight="1" s="330">
      <c r="A704" s="4" t="n"/>
      <c r="B704" s="5" t="n"/>
      <c r="D704" s="3" t="n"/>
      <c r="E704" s="3" t="n"/>
      <c r="G704" s="252" t="n"/>
      <c r="H704" s="252" t="n"/>
      <c r="I704" s="252" t="n"/>
      <c r="J704" s="252" t="n"/>
      <c r="K704" s="331" t="n"/>
      <c r="L704" s="252" t="n"/>
      <c r="M704" s="252" t="n"/>
      <c r="N704" s="252" t="n"/>
      <c r="O704" s="244">
        <f>M704*N704</f>
        <v/>
      </c>
      <c r="P704" s="252" t="n"/>
      <c r="Q704" s="252" t="n"/>
      <c r="R704" s="252" t="n"/>
      <c r="S704" s="244">
        <f>Q704*R704</f>
        <v/>
      </c>
    </row>
    <row r="705" ht="22.2" customHeight="1" s="330">
      <c r="A705" s="4" t="n"/>
      <c r="E705" s="4" t="n"/>
      <c r="G705" s="62" t="n"/>
      <c r="H705" s="249" t="n"/>
      <c r="I705" s="252" t="n"/>
      <c r="J705" s="252" t="n"/>
      <c r="K705" s="331" t="n"/>
      <c r="L705" s="252" t="n"/>
      <c r="M705" s="252" t="n"/>
      <c r="N705" s="252" t="n"/>
      <c r="O705" s="244">
        <f>M705*N705</f>
        <v/>
      </c>
      <c r="P705" s="252" t="n"/>
      <c r="Q705" s="252" t="n"/>
      <c r="R705" s="252" t="n"/>
      <c r="S705" s="244">
        <f>Q705*R705</f>
        <v/>
      </c>
    </row>
    <row r="706" ht="22.2" customHeight="1" s="330">
      <c r="A706" s="4" t="n"/>
      <c r="D706" s="8" t="inlineStr">
        <is>
          <t> </t>
        </is>
      </c>
      <c r="E706" s="4" t="n"/>
      <c r="G706" s="63" t="n"/>
      <c r="H706" s="276" t="n"/>
      <c r="I706" s="252" t="n"/>
      <c r="J706" s="276" t="n"/>
      <c r="K706" s="476" t="n"/>
      <c r="L706" s="252" t="n"/>
      <c r="M706" s="252" t="n"/>
      <c r="N706" s="252" t="n"/>
      <c r="O706" s="244">
        <f>M706*N706</f>
        <v/>
      </c>
      <c r="P706" s="252" t="n"/>
      <c r="Q706" s="252" t="n"/>
      <c r="R706" s="252" t="n"/>
      <c r="S706" s="244">
        <f>Q706*R706</f>
        <v/>
      </c>
    </row>
    <row r="707" ht="22.2" customHeight="1" s="330">
      <c r="A707" s="4" t="n"/>
      <c r="E707" s="4" t="n"/>
      <c r="G707" s="308" t="inlineStr">
        <is>
          <t>พุธ</t>
        </is>
      </c>
      <c r="H707" s="325" t="inlineStr">
        <is>
          <t>20101-2102</t>
        </is>
      </c>
      <c r="I707" s="332" t="inlineStr">
        <is>
          <t>ปวช.1/10 ชย. (ทวิ)</t>
        </is>
      </c>
      <c r="J707" s="332" t="inlineStr">
        <is>
          <t>08.10-12.10</t>
        </is>
      </c>
      <c r="K707" s="335" t="n"/>
      <c r="L707" s="332" t="n"/>
      <c r="M707" s="182" t="n"/>
      <c r="N707" s="179" t="n"/>
      <c r="O707" s="244">
        <f>M707*N707</f>
        <v/>
      </c>
      <c r="P707" s="332" t="n"/>
      <c r="Q707" s="265" t="n"/>
      <c r="R707" s="332" t="n"/>
      <c r="S707" s="244">
        <f>Q707*R707</f>
        <v/>
      </c>
    </row>
    <row r="708" ht="22.2" customHeight="1" s="330">
      <c r="A708" s="4" t="n"/>
      <c r="B708" s="248" t="n"/>
      <c r="C708" s="249" t="n"/>
      <c r="D708" s="249" t="n"/>
      <c r="E708" s="252" t="n"/>
      <c r="G708" s="308">
        <f>G616</f>
        <v/>
      </c>
      <c r="H708" s="325" t="inlineStr">
        <is>
          <t>20101-2102</t>
        </is>
      </c>
      <c r="I708" s="325" t="inlineStr">
        <is>
          <t>ปวช.1/10 ชย. (ทวิ)</t>
        </is>
      </c>
      <c r="J708" s="325" t="inlineStr">
        <is>
          <t>13.10-16.10</t>
        </is>
      </c>
      <c r="K708" s="331" t="n"/>
      <c r="L708" s="252" t="n"/>
      <c r="M708" s="331" t="n"/>
      <c r="N708" s="56" t="n"/>
      <c r="O708" s="244">
        <f>M708*N708</f>
        <v/>
      </c>
      <c r="P708" s="252" t="n"/>
      <c r="Q708" s="252" t="n"/>
      <c r="R708" s="252" t="n"/>
      <c r="S708" s="244">
        <f>Q708*R708</f>
        <v/>
      </c>
    </row>
    <row r="709" ht="22.2" customHeight="1" s="330">
      <c r="A709" s="4" t="n"/>
      <c r="B709" s="5" t="n"/>
      <c r="D709" s="3" t="n"/>
      <c r="E709" s="3" t="n"/>
      <c r="G709" s="252" t="n"/>
      <c r="H709" s="252" t="n"/>
      <c r="I709" s="252" t="n"/>
      <c r="J709" s="252" t="n"/>
      <c r="K709" s="331" t="n"/>
      <c r="L709" s="252" t="n"/>
      <c r="M709" s="252" t="n"/>
      <c r="N709" s="252" t="n"/>
      <c r="O709" s="244">
        <f>M709*N709</f>
        <v/>
      </c>
      <c r="P709" s="252" t="n"/>
      <c r="Q709" s="252" t="n"/>
      <c r="R709" s="252" t="n"/>
      <c r="S709" s="244">
        <f>Q709*R709</f>
        <v/>
      </c>
    </row>
    <row r="710" ht="22.2" customHeight="1" s="330">
      <c r="A710" s="4" t="n"/>
      <c r="E710" s="4" t="n"/>
      <c r="G710" s="248" t="n"/>
      <c r="H710" s="248" t="n"/>
      <c r="I710" s="252" t="n"/>
      <c r="J710" s="252" t="n"/>
      <c r="K710" s="331" t="n"/>
      <c r="L710" s="252" t="n"/>
      <c r="M710" s="252" t="n"/>
      <c r="N710" s="252" t="n"/>
      <c r="O710" s="244">
        <f>M710*N710</f>
        <v/>
      </c>
      <c r="P710" s="252" t="n"/>
      <c r="Q710" s="252" t="n"/>
      <c r="R710" s="252" t="n"/>
      <c r="S710" s="244">
        <f>Q710*R710</f>
        <v/>
      </c>
    </row>
    <row r="711" ht="22.2" customHeight="1" s="330">
      <c r="A711" s="4" t="n"/>
      <c r="E711" s="4" t="n"/>
      <c r="G711" s="277" t="n"/>
      <c r="H711" s="277" t="n"/>
      <c r="I711" s="276" t="n"/>
      <c r="J711" s="276" t="n"/>
      <c r="K711" s="476" t="n"/>
      <c r="L711" s="276" t="n"/>
      <c r="M711" s="276" t="n"/>
      <c r="N711" s="276" t="n"/>
      <c r="O711" s="244">
        <f>M711*N711</f>
        <v/>
      </c>
      <c r="P711" s="276" t="n"/>
      <c r="Q711" s="276" t="n"/>
      <c r="R711" s="276" t="n"/>
      <c r="S711" s="244">
        <f>Q711*R711</f>
        <v/>
      </c>
    </row>
    <row r="712" ht="22.2" customHeight="1" s="330">
      <c r="A712" s="4" t="n"/>
      <c r="E712" s="4" t="n"/>
      <c r="G712" s="62" t="inlineStr">
        <is>
          <t>พฤหัส</t>
        </is>
      </c>
      <c r="H712" s="325" t="inlineStr">
        <is>
          <t>20101-2102</t>
        </is>
      </c>
      <c r="I712" s="325" t="inlineStr">
        <is>
          <t>ปวช.1/8 ชย. (ปกติ)</t>
        </is>
      </c>
      <c r="J712" s="332" t="inlineStr">
        <is>
          <t>08.10-12.10</t>
        </is>
      </c>
      <c r="K712" s="335" t="n"/>
      <c r="L712" s="252" t="n"/>
      <c r="M712" s="252" t="n"/>
      <c r="N712" s="252" t="n"/>
      <c r="O712" s="244">
        <f>M712*N712</f>
        <v/>
      </c>
      <c r="P712" s="252" t="n"/>
      <c r="Q712" s="275" t="n"/>
      <c r="R712" s="275" t="n"/>
      <c r="S712" s="244">
        <f>Q712*R712</f>
        <v/>
      </c>
    </row>
    <row r="713" ht="22.2" customHeight="1" s="330">
      <c r="A713" s="4" t="n"/>
      <c r="E713" s="4" t="n"/>
      <c r="G713" s="308">
        <f>G621</f>
        <v/>
      </c>
      <c r="H713" s="325" t="inlineStr">
        <is>
          <t>20000-2002</t>
        </is>
      </c>
      <c r="I713" s="325" t="inlineStr">
        <is>
          <t>ปวช.1/1,2 ชย. (ปกติ)</t>
        </is>
      </c>
      <c r="J713" s="252" t="inlineStr">
        <is>
          <t>13.10-15.10</t>
        </is>
      </c>
      <c r="K713" s="331" t="n"/>
      <c r="L713" s="325" t="n"/>
      <c r="M713" s="252" t="n"/>
      <c r="N713" s="252" t="n"/>
      <c r="O713" s="244">
        <f>M713*N713</f>
        <v/>
      </c>
      <c r="P713" s="252" t="n"/>
      <c r="Q713" s="252" t="n"/>
      <c r="R713" s="252" t="n"/>
      <c r="S713" s="244">
        <f>Q713*R713</f>
        <v/>
      </c>
    </row>
    <row r="714" ht="22.2" customHeight="1" s="330">
      <c r="A714" s="4" t="n"/>
      <c r="B714" s="5" t="n"/>
      <c r="E714" s="4" t="n"/>
      <c r="G714" s="252" t="n"/>
      <c r="H714" s="325" t="inlineStr">
        <is>
          <t>20101-2102</t>
        </is>
      </c>
      <c r="I714" s="325" t="inlineStr">
        <is>
          <t>ปวช.1/8 ชย. (ปกติ)</t>
        </is>
      </c>
      <c r="J714" s="252" t="inlineStr">
        <is>
          <t>15.10-18.10</t>
        </is>
      </c>
      <c r="K714" s="331" t="n"/>
      <c r="L714" s="325" t="n"/>
      <c r="M714" s="325" t="n"/>
      <c r="N714" s="325" t="n"/>
      <c r="O714" s="244">
        <f>M714*N714</f>
        <v/>
      </c>
      <c r="P714" s="325" t="n"/>
      <c r="Q714" s="325" t="n"/>
      <c r="R714" s="325" t="n"/>
      <c r="S714" s="244">
        <f>Q714*R714</f>
        <v/>
      </c>
    </row>
    <row r="715" ht="22.2" customHeight="1" s="330">
      <c r="A715" s="4" t="n"/>
      <c r="E715" s="4" t="n"/>
      <c r="G715" s="252" t="n"/>
      <c r="H715" s="252" t="n"/>
      <c r="I715" s="252" t="n"/>
      <c r="J715" s="252" t="n"/>
      <c r="K715" s="331" t="n"/>
      <c r="L715" s="252" t="n"/>
      <c r="M715" s="252" t="n"/>
      <c r="N715" s="252" t="n"/>
      <c r="O715" s="244">
        <f>M715*N715</f>
        <v/>
      </c>
      <c r="P715" s="252" t="n"/>
      <c r="Q715" s="252" t="n"/>
      <c r="R715" s="252" t="n"/>
      <c r="S715" s="244">
        <f>Q715*R715</f>
        <v/>
      </c>
    </row>
    <row r="716" ht="22.2" customHeight="1" s="330">
      <c r="A716" s="4" t="n"/>
      <c r="E716" s="4" t="n"/>
      <c r="G716" s="276" t="n"/>
      <c r="H716" s="301" t="n"/>
      <c r="I716" s="276" t="n"/>
      <c r="J716" s="276" t="n"/>
      <c r="K716" s="476" t="n"/>
      <c r="L716" s="276" t="n"/>
      <c r="M716" s="276" t="n"/>
      <c r="N716" s="276" t="n"/>
      <c r="O716" s="244">
        <f>M716*N716</f>
        <v/>
      </c>
      <c r="P716" s="276" t="n"/>
      <c r="Q716" s="276" t="n"/>
      <c r="R716" s="276" t="n"/>
      <c r="S716" s="244">
        <f>Q716*R716</f>
        <v/>
      </c>
    </row>
    <row r="717" ht="22.2" customHeight="1" s="330">
      <c r="A717" s="4" t="n"/>
      <c r="E717" s="4" t="n"/>
      <c r="G717" s="62" t="inlineStr">
        <is>
          <t>ศุกร์</t>
        </is>
      </c>
      <c r="H717" s="332" t="inlineStr">
        <is>
          <t>20101-2008</t>
        </is>
      </c>
      <c r="I717" s="325" t="inlineStr">
        <is>
          <t>ปวช.1/5 ชย. (ปกติ)</t>
        </is>
      </c>
      <c r="J717" s="332" t="inlineStr">
        <is>
          <t>08.10-12.10</t>
        </is>
      </c>
      <c r="K717" s="335" t="n"/>
      <c r="L717" s="265" t="n"/>
      <c r="M717" s="332" t="n"/>
      <c r="N717" s="332" t="n"/>
      <c r="O717" s="244">
        <f>M717*N717</f>
        <v/>
      </c>
      <c r="P717" s="332" t="n"/>
      <c r="Q717" s="265" t="n"/>
      <c r="R717" s="332" t="n"/>
      <c r="S717" s="244">
        <f>Q717*R717</f>
        <v/>
      </c>
    </row>
    <row r="718" ht="22.2" customHeight="1" s="330">
      <c r="A718" s="4" t="n"/>
      <c r="E718" s="4" t="n"/>
      <c r="G718" s="308">
        <f>G626</f>
        <v/>
      </c>
      <c r="H718" s="325" t="inlineStr">
        <is>
          <t>20101-2106</t>
        </is>
      </c>
      <c r="I718" s="325" t="inlineStr">
        <is>
          <t>ปวช.3/7 ชย. (ปกติ)</t>
        </is>
      </c>
      <c r="J718" s="252" t="inlineStr">
        <is>
          <t>13.10-17.10</t>
        </is>
      </c>
      <c r="K718" s="331" t="n"/>
      <c r="L718" s="252" t="n"/>
      <c r="M718" s="252" t="n"/>
      <c r="N718" s="252" t="n"/>
      <c r="O718" s="244">
        <f>M718*N718</f>
        <v/>
      </c>
      <c r="P718" s="252" t="n"/>
      <c r="Q718" s="252" t="n"/>
      <c r="R718" s="252" t="n"/>
      <c r="S718" s="244">
        <f>Q718*R718</f>
        <v/>
      </c>
    </row>
    <row r="719" ht="22.2" customHeight="1" s="330">
      <c r="A719" s="4" t="n"/>
      <c r="E719" s="4" t="n"/>
      <c r="G719" s="252" t="n"/>
      <c r="H719" s="325" t="n"/>
      <c r="I719" s="325" t="n"/>
      <c r="J719" s="325" t="n"/>
      <c r="K719" s="331" t="n"/>
      <c r="L719" s="252" t="n"/>
      <c r="M719" s="252" t="n"/>
      <c r="N719" s="252" t="n"/>
      <c r="O719" s="244">
        <f>M719*N719</f>
        <v/>
      </c>
      <c r="P719" s="252" t="n"/>
      <c r="Q719" s="252" t="n"/>
      <c r="R719" s="252" t="n"/>
      <c r="S719" s="244">
        <f>Q719*R719</f>
        <v/>
      </c>
    </row>
    <row r="720" ht="22.2" customHeight="1" s="330">
      <c r="A720" s="4" t="n"/>
      <c r="E720" s="4" t="n"/>
      <c r="G720" s="252" t="n"/>
      <c r="H720" s="249" t="n"/>
      <c r="I720" s="252" t="n"/>
      <c r="J720" s="252" t="n"/>
      <c r="K720" s="331" t="n"/>
      <c r="L720" s="252" t="n"/>
      <c r="M720" s="252" t="n"/>
      <c r="N720" s="252" t="n"/>
      <c r="O720" s="244">
        <f>M720*N720</f>
        <v/>
      </c>
      <c r="P720" s="252" t="n"/>
      <c r="Q720" s="252" t="n"/>
      <c r="R720" s="252" t="n"/>
      <c r="S720" s="244">
        <f>Q720*R720</f>
        <v/>
      </c>
    </row>
    <row r="721" ht="22.2" customHeight="1" s="330">
      <c r="A721" s="4" t="n"/>
      <c r="E721" s="4" t="n"/>
      <c r="F721" s="4" t="n"/>
      <c r="G721" s="278" t="n"/>
      <c r="H721" s="301" t="n"/>
      <c r="I721" s="276" t="n"/>
      <c r="J721" s="276" t="n"/>
      <c r="K721" s="476" t="n"/>
      <c r="L721" s="276" t="n"/>
      <c r="M721" s="276" t="n"/>
      <c r="N721" s="276" t="n"/>
      <c r="O721" s="244">
        <f>M721*N721</f>
        <v/>
      </c>
      <c r="P721" s="276" t="n"/>
      <c r="Q721" s="276" t="n"/>
      <c r="R721" s="276" t="n"/>
      <c r="S721" s="244">
        <f>Q721*R721</f>
        <v/>
      </c>
    </row>
    <row r="722" ht="22.2" customHeight="1" s="330">
      <c r="A722" s="4" t="n"/>
      <c r="E722" s="4" t="n"/>
      <c r="F722" s="4" t="n"/>
      <c r="G722" s="17" t="inlineStr">
        <is>
          <t>รวมขั่วโมงที่สอนแยก ภาระงาน/ เกินภาระงาน</t>
        </is>
      </c>
      <c r="H722" s="467" t="n"/>
      <c r="I722" s="467" t="n"/>
      <c r="J722" s="467" t="n"/>
      <c r="K722" s="362" t="n"/>
      <c r="L722" s="17">
        <f>SUM(L697:L721)</f>
        <v/>
      </c>
      <c r="M722" s="17">
        <f>SUM(M697:M721)</f>
        <v/>
      </c>
      <c r="N722" s="17" t="n"/>
      <c r="O722" s="17" t="n"/>
      <c r="P722" s="17">
        <f>SUM(P697:P721)</f>
        <v/>
      </c>
      <c r="Q722" s="17">
        <f>SUM(Q697:Q721)</f>
        <v/>
      </c>
      <c r="R722" s="279" t="n"/>
      <c r="S722" s="17" t="n"/>
    </row>
    <row r="723" ht="22.2" customHeight="1" s="330">
      <c r="A723" s="4" t="n"/>
      <c r="E723" s="4" t="n"/>
      <c r="F723" s="4" t="n"/>
      <c r="G723" s="17" t="inlineStr">
        <is>
          <t>รวมจำนวนชั่วโมงสอนคาบต่อสับดาห์</t>
        </is>
      </c>
      <c r="H723" s="467" t="n"/>
      <c r="I723" s="467" t="n"/>
      <c r="J723" s="467" t="n"/>
      <c r="K723" s="362" t="n"/>
      <c r="L723" s="17">
        <f>L722+M722</f>
        <v/>
      </c>
      <c r="M723" s="362" t="n"/>
      <c r="N723" s="298" t="n"/>
      <c r="O723" s="17" t="n"/>
      <c r="P723" s="17">
        <f>P722+Q722</f>
        <v/>
      </c>
      <c r="Q723" s="362" t="n"/>
      <c r="R723" s="278" t="n"/>
      <c r="S723" s="276" t="n"/>
    </row>
    <row r="724" ht="22.2" customHeight="1" s="330">
      <c r="A724" s="4" t="n"/>
      <c r="E724" s="4" t="n"/>
      <c r="F724" s="4" t="n"/>
      <c r="G724" s="17" t="inlineStr">
        <is>
          <t>จำนวนชั่วโมงสอนตามภาระงานสอน</t>
        </is>
      </c>
      <c r="H724" s="467" t="n"/>
      <c r="I724" s="467" t="n"/>
      <c r="J724" s="467" t="n"/>
      <c r="K724" s="362" t="n"/>
      <c r="L724" s="17" t="n">
        <v>18</v>
      </c>
      <c r="M724" s="362" t="n"/>
      <c r="N724" s="298" t="n"/>
      <c r="O724" s="17" t="n"/>
      <c r="P724" s="17" t="n">
        <v>0</v>
      </c>
      <c r="Q724" s="362" t="n"/>
      <c r="R724" s="249" t="n"/>
      <c r="S724" s="252" t="n"/>
    </row>
    <row r="725" ht="22.2" customHeight="1" s="330" thickBot="1">
      <c r="A725" s="4" t="n"/>
      <c r="E725" s="4" t="n"/>
      <c r="F725" s="15" t="n"/>
      <c r="G725" s="17" t="inlineStr">
        <is>
          <t>จำนวนชั่วโมงบิกเกินภาระงานสอน/ค่าสอน</t>
        </is>
      </c>
      <c r="H725" s="467" t="n"/>
      <c r="I725" s="467" t="n"/>
      <c r="J725" s="467" t="n"/>
      <c r="K725" s="362" t="n"/>
      <c r="L725" s="18" t="n">
        <v>0</v>
      </c>
      <c r="M725" s="18">
        <f>SUM(M697:M721)</f>
        <v/>
      </c>
      <c r="N725" s="18" t="n"/>
      <c r="O725" s="18">
        <f>SUM(O697:O721)</f>
        <v/>
      </c>
      <c r="P725" s="18" t="n">
        <v>0</v>
      </c>
      <c r="Q725" s="18">
        <f>SUM(Q697:Q721)</f>
        <v/>
      </c>
      <c r="R725" s="19" t="n"/>
      <c r="S725" s="18">
        <f>SUM(S697:S721)</f>
        <v/>
      </c>
    </row>
    <row r="726" ht="22.2" customHeight="1" s="330" thickTop="1">
      <c r="A726" s="299" t="inlineStr">
        <is>
          <t>รวมจำนวนหน่วยชั่วโมงที่ขอเบิกค่าสอน ….</t>
        </is>
      </c>
      <c r="B726" s="467" t="n"/>
      <c r="C726" s="467" t="n"/>
      <c r="D726" s="467" t="n"/>
      <c r="E726" s="467" t="n"/>
      <c r="F726" s="467" t="n"/>
      <c r="G726" s="467" t="n"/>
      <c r="H726" s="298">
        <f>M725+Q725</f>
        <v/>
      </c>
      <c r="I726" s="298" t="inlineStr">
        <is>
          <t>….ชั่วโมง</t>
        </is>
      </c>
      <c r="J726" s="298" t="n"/>
      <c r="K726" s="301" t="inlineStr">
        <is>
          <t>ยอดเงินรวม</t>
        </is>
      </c>
      <c r="L726" s="471" t="n"/>
      <c r="M726" s="471" t="n"/>
      <c r="N726" s="301" t="n"/>
      <c r="O726" s="301" t="n"/>
      <c r="P726" s="302">
        <f>S725+O725</f>
        <v/>
      </c>
      <c r="Q726" s="482" t="n"/>
      <c r="R726" s="21" t="n"/>
      <c r="S726" s="20" t="inlineStr">
        <is>
          <t>..บาท</t>
        </is>
      </c>
    </row>
    <row r="727" ht="22.2" customHeight="1" s="330">
      <c r="A727" s="207" t="inlineStr">
        <is>
          <t>ผู้ขอเบิก</t>
        </is>
      </c>
      <c r="B727" s="334" t="n"/>
      <c r="C727" s="334" t="n"/>
      <c r="D727" s="334" t="n"/>
      <c r="E727" s="334" t="n"/>
      <c r="F727" s="334" t="n"/>
      <c r="G727" s="335" t="n"/>
      <c r="H727" s="207" t="inlineStr">
        <is>
          <t>ผู้รับรอง</t>
        </is>
      </c>
      <c r="I727" s="334" t="n"/>
      <c r="J727" s="334" t="n"/>
      <c r="K727" s="334" t="n"/>
      <c r="L727" s="335" t="n"/>
      <c r="M727" s="207" t="inlineStr">
        <is>
          <t>ผู้ตรวจ</t>
        </is>
      </c>
      <c r="N727" s="334" t="n"/>
      <c r="O727" s="334" t="n"/>
      <c r="P727" s="334" t="n"/>
      <c r="Q727" s="334" t="n"/>
      <c r="R727" s="334" t="n"/>
      <c r="S727" s="335" t="n"/>
    </row>
    <row r="728" ht="22.2" customHeight="1" s="330">
      <c r="A728" s="252" t="inlineStr">
        <is>
          <t>ลงชื่อ……………………………………………</t>
        </is>
      </c>
      <c r="G728" s="331" t="n"/>
      <c r="H728" s="252" t="inlineStr">
        <is>
          <t>ลงชื่อ……………………………………………</t>
        </is>
      </c>
      <c r="L728" s="331" t="n"/>
      <c r="M728" s="252" t="inlineStr">
        <is>
          <t>ลงชื่อ……………………………………………</t>
        </is>
      </c>
      <c r="S728" s="331" t="n"/>
    </row>
    <row r="729" ht="22.2" customHeight="1" s="330">
      <c r="A729" s="12" t="inlineStr">
        <is>
          <t>(</t>
        </is>
      </c>
      <c r="B729" s="309">
        <f>B697</f>
        <v/>
      </c>
      <c r="G729" s="310" t="inlineStr">
        <is>
          <t>)</t>
        </is>
      </c>
      <c r="H729" s="309" t="inlineStr">
        <is>
          <t>(</t>
        </is>
      </c>
      <c r="I729" s="314">
        <f>I683</f>
        <v/>
      </c>
      <c r="L729" s="13" t="inlineStr">
        <is>
          <t>)</t>
        </is>
      </c>
      <c r="M729" s="61" t="inlineStr">
        <is>
          <t>(</t>
        </is>
      </c>
      <c r="N729" s="61" t="n"/>
      <c r="O729" s="309" t="inlineStr">
        <is>
          <t>นายพิสุทธิศักดิ์  กล่อมนาค</t>
        </is>
      </c>
      <c r="R729" s="29" t="n"/>
      <c r="S729" s="310" t="inlineStr">
        <is>
          <t>)</t>
        </is>
      </c>
    </row>
    <row r="730" ht="22.2" customHeight="1" s="330">
      <c r="A730" s="483" t="inlineStr">
        <is>
          <t xml:space="preserve">                        ตำแหน่ง ครู</t>
        </is>
      </c>
      <c r="G730" s="331" t="n"/>
      <c r="H730" s="62" t="inlineStr">
        <is>
          <t>ตำแหน่ง หัวหน้าแผนก</t>
        </is>
      </c>
      <c r="L730" s="331" t="n"/>
      <c r="M730" s="62" t="inlineStr">
        <is>
          <t>ตำแหน่ง   ผู้ตรวจสอบ</t>
        </is>
      </c>
      <c r="S730" s="331" t="n"/>
    </row>
    <row r="731" ht="22.2" customHeight="1" s="330">
      <c r="A731" s="63">
        <f>A133</f>
        <v/>
      </c>
      <c r="B731" s="471" t="n"/>
      <c r="C731" s="471" t="n"/>
      <c r="D731" s="471" t="n"/>
      <c r="E731" s="471" t="n"/>
      <c r="F731" s="471" t="n"/>
      <c r="G731" s="476" t="n"/>
      <c r="H731" s="62">
        <f>A133</f>
        <v/>
      </c>
      <c r="L731" s="331" t="n"/>
      <c r="M731" s="63">
        <f>A133</f>
        <v/>
      </c>
      <c r="N731" s="471" t="n"/>
      <c r="O731" s="471" t="n"/>
      <c r="P731" s="471" t="n"/>
      <c r="Q731" s="471" t="n"/>
      <c r="R731" s="471" t="n"/>
      <c r="S731" s="476" t="n"/>
    </row>
    <row r="732" ht="22.2" customHeight="1" s="330">
      <c r="A732" s="207" t="inlineStr">
        <is>
          <t>ผู้ตรวจ</t>
        </is>
      </c>
      <c r="B732" s="334" t="n"/>
      <c r="C732" s="334" t="n"/>
      <c r="D732" s="334" t="n"/>
      <c r="E732" s="334" t="n"/>
      <c r="F732" s="334" t="n"/>
      <c r="G732" s="334" t="n"/>
      <c r="H732" s="334" t="n"/>
      <c r="I732" s="335" t="n"/>
      <c r="J732" s="207" t="inlineStr">
        <is>
          <t>ผู้เห็นชอบ</t>
        </is>
      </c>
      <c r="K732" s="334" t="n"/>
      <c r="L732" s="334" t="n"/>
      <c r="M732" s="334" t="n"/>
      <c r="N732" s="334" t="n"/>
      <c r="O732" s="334" t="n"/>
      <c r="P732" s="334" t="n"/>
      <c r="Q732" s="334" t="n"/>
      <c r="R732" s="334" t="n"/>
      <c r="S732" s="335" t="n"/>
    </row>
    <row r="733" ht="22.2" customHeight="1" s="330">
      <c r="A733" s="252" t="inlineStr">
        <is>
          <t>ลงชื่อ……………………………………………</t>
        </is>
      </c>
      <c r="I733" s="331" t="n"/>
      <c r="J733" s="252" t="inlineStr">
        <is>
          <t>ลงชื่อ……………………………………………</t>
        </is>
      </c>
      <c r="S733" s="331" t="n"/>
    </row>
    <row r="734" ht="22.2" customHeight="1" s="330">
      <c r="A734" s="12" t="n"/>
      <c r="B734" s="309" t="inlineStr">
        <is>
          <t xml:space="preserve">          (นางศิวรักษ์   บุญประเสริฐ)</t>
        </is>
      </c>
      <c r="I734" s="310" t="n"/>
      <c r="J734" s="29" t="n"/>
      <c r="K734" s="29" t="n"/>
      <c r="L734" s="309" t="inlineStr">
        <is>
          <t>(นายปรีชา  โพธิ์เกิด)</t>
        </is>
      </c>
      <c r="R734" s="29" t="n"/>
      <c r="S734" s="13" t="n"/>
    </row>
    <row r="735" ht="22.2" customHeight="1" s="330">
      <c r="A735" s="62" t="inlineStr">
        <is>
          <t>ตำแหน่งครู  หัวหน้างานพัฒนาหลักสูตร ฯ</t>
        </is>
      </c>
      <c r="I735" s="331" t="n"/>
      <c r="J735" s="62" t="inlineStr">
        <is>
          <t>ตำแหน่ง  รองผู้อำนวยการฝ่ายวิชาการ</t>
        </is>
      </c>
      <c r="S735" s="331" t="n"/>
    </row>
    <row r="736" ht="22.2" customHeight="1" s="330">
      <c r="A736" s="63">
        <f>A133</f>
        <v/>
      </c>
      <c r="B736" s="471" t="n"/>
      <c r="C736" s="471" t="n"/>
      <c r="D736" s="471" t="n"/>
      <c r="E736" s="471" t="n"/>
      <c r="F736" s="471" t="n"/>
      <c r="G736" s="471" t="n"/>
      <c r="H736" s="471" t="n"/>
      <c r="I736" s="476" t="n"/>
      <c r="J736" s="63">
        <f>A133</f>
        <v/>
      </c>
      <c r="K736" s="471" t="n"/>
      <c r="L736" s="471" t="n"/>
      <c r="M736" s="471" t="n"/>
      <c r="N736" s="471" t="n"/>
      <c r="O736" s="471" t="n"/>
      <c r="P736" s="471" t="n"/>
      <c r="Q736" s="471" t="n"/>
      <c r="R736" s="471" t="n"/>
      <c r="S736" s="476" t="n"/>
    </row>
    <row r="737" ht="22.2" customHeight="1" s="330">
      <c r="A73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738" ht="22.2" customHeight="1" s="330">
      <c r="A738" s="254">
        <f>A2</f>
        <v/>
      </c>
    </row>
    <row r="739" ht="22.2" customHeight="1" s="330">
      <c r="A739" s="253" t="inlineStr">
        <is>
          <t xml:space="preserve">    ระหว่างวันที่</t>
        </is>
      </c>
      <c r="D739" s="254">
        <f>D141</f>
        <v/>
      </c>
      <c r="E739" s="254" t="inlineStr">
        <is>
          <t xml:space="preserve">   เดือน  </t>
        </is>
      </c>
      <c r="F739" s="254">
        <f>F141</f>
        <v/>
      </c>
      <c r="H739" s="254">
        <f>H141</f>
        <v/>
      </c>
      <c r="I739" s="254" t="inlineStr">
        <is>
          <t xml:space="preserve">     ถึง วันที่</t>
        </is>
      </c>
      <c r="J739" s="254">
        <f>J141</f>
        <v/>
      </c>
      <c r="K739" s="254" t="inlineStr">
        <is>
          <t xml:space="preserve">   เดือน </t>
        </is>
      </c>
      <c r="L739" s="254">
        <f>L141</f>
        <v/>
      </c>
      <c r="N739" s="254">
        <f>N141</f>
        <v/>
      </c>
      <c r="P739" s="254" t="n"/>
      <c r="R739" s="254" t="n"/>
    </row>
    <row r="740" ht="22.2" customHeight="1" s="330">
      <c r="G740" s="58" t="inlineStr">
        <is>
          <t>ü</t>
        </is>
      </c>
      <c r="H740" s="301" t="inlineStr">
        <is>
          <t>ครู</t>
        </is>
      </c>
      <c r="I740" s="301" t="inlineStr">
        <is>
          <t>หน้าที่พิเศษ</t>
        </is>
      </c>
      <c r="J740" s="290" t="n"/>
      <c r="K740" s="290" t="n"/>
      <c r="L740" s="290" t="n"/>
      <c r="M740" s="290" t="n"/>
      <c r="N740" s="290" t="n"/>
      <c r="O740" s="290" t="n"/>
      <c r="P740" s="290" t="n"/>
      <c r="Q740" s="290" t="n"/>
      <c r="R740" s="290" t="n"/>
      <c r="S740" s="290" t="n"/>
    </row>
    <row r="741" ht="22.2" customHeight="1" s="330">
      <c r="A741" s="28" t="inlineStr">
        <is>
          <t>ที่</t>
        </is>
      </c>
      <c r="B741" s="28" t="inlineStr">
        <is>
          <t>ชื่อ-สกุล</t>
        </is>
      </c>
      <c r="C741" s="334" t="n"/>
      <c r="D741" s="335" t="n"/>
      <c r="E741" s="16" t="inlineStr">
        <is>
          <t>ตำแหน่ง</t>
        </is>
      </c>
      <c r="F741" s="17" t="inlineStr">
        <is>
          <t>ระยะเวลาที่สอน</t>
        </is>
      </c>
      <c r="G741" s="362" t="n"/>
      <c r="H741" s="17" t="inlineStr">
        <is>
          <t>รหัสวิชา</t>
        </is>
      </c>
      <c r="I741" s="275" t="inlineStr">
        <is>
          <t>ชั้น,แผนก,ห้อง</t>
        </is>
      </c>
      <c r="J741" s="17" t="inlineStr">
        <is>
          <t>เวลาสอน</t>
        </is>
      </c>
      <c r="K741" s="335" t="n"/>
      <c r="L741" s="17" t="inlineStr">
        <is>
          <t>ปวช.(คาบ)</t>
        </is>
      </c>
      <c r="M741" s="362" t="n"/>
      <c r="N741" s="244" t="inlineStr">
        <is>
          <t>เงิน</t>
        </is>
      </c>
      <c r="O741" s="275" t="inlineStr">
        <is>
          <t>ยอดเงิน</t>
        </is>
      </c>
      <c r="P741" s="473" t="inlineStr">
        <is>
          <t>ปวส.(คาบ)</t>
        </is>
      </c>
      <c r="Q741" s="362" t="n"/>
      <c r="R741" s="244" t="inlineStr">
        <is>
          <t>เงิน</t>
        </is>
      </c>
      <c r="S741" s="275" t="inlineStr">
        <is>
          <t>ยอดเงิน</t>
        </is>
      </c>
    </row>
    <row r="742" ht="22.2" customHeight="1" s="330">
      <c r="A742" s="60" t="n"/>
      <c r="B742" s="9" t="n"/>
      <c r="C742" s="10" t="n"/>
      <c r="D742" s="14" t="n"/>
      <c r="E742" s="11" t="n"/>
      <c r="F742" s="276" t="inlineStr">
        <is>
          <t>ส.</t>
        </is>
      </c>
      <c r="G742" s="276" t="inlineStr">
        <is>
          <t>วดป.</t>
        </is>
      </c>
      <c r="H742" s="474" t="n"/>
      <c r="I742" s="276" t="n"/>
      <c r="J742" s="475" t="n"/>
      <c r="K742" s="476" t="n"/>
      <c r="L742" s="276" t="inlineStr">
        <is>
          <t>ใน</t>
        </is>
      </c>
      <c r="M742" s="276" t="inlineStr">
        <is>
          <t>นอก</t>
        </is>
      </c>
      <c r="N742" s="276" t="inlineStr">
        <is>
          <t>ต่อ ชม.</t>
        </is>
      </c>
      <c r="O742" s="276" t="inlineStr">
        <is>
          <t>(บาท)</t>
        </is>
      </c>
      <c r="P742" s="60" t="inlineStr">
        <is>
          <t>ใน</t>
        </is>
      </c>
      <c r="Q742" s="60" t="inlineStr">
        <is>
          <t>นอก</t>
        </is>
      </c>
      <c r="R742" s="276" t="inlineStr">
        <is>
          <t>ต่อ ชม.</t>
        </is>
      </c>
      <c r="S742" s="276" t="inlineStr">
        <is>
          <t>(บาท)</t>
        </is>
      </c>
    </row>
    <row r="743" ht="22.2" customHeight="1" s="330">
      <c r="A743" s="275" t="n">
        <v>17</v>
      </c>
      <c r="B743" s="477">
        <f>AB19</f>
        <v/>
      </c>
      <c r="C743" s="334" t="n"/>
      <c r="D743" s="335" t="n"/>
      <c r="E743" s="275" t="inlineStr">
        <is>
          <t>ครู</t>
        </is>
      </c>
      <c r="F743" s="6">
        <f>F145</f>
        <v/>
      </c>
      <c r="G743" s="303" t="inlineStr">
        <is>
          <t>จันทร์</t>
        </is>
      </c>
      <c r="H743" s="325" t="inlineStr">
        <is>
          <t>20101-2002</t>
        </is>
      </c>
      <c r="I743" s="325" t="inlineStr">
        <is>
          <t>ปวช.2/8 ชย. (ปกติ)</t>
        </is>
      </c>
      <c r="J743" s="252" t="inlineStr">
        <is>
          <t>08.10-12.10</t>
        </is>
      </c>
      <c r="K743" s="331" t="n"/>
      <c r="L743" s="252" t="n"/>
      <c r="M743" s="332" t="n"/>
      <c r="N743" s="332" t="n"/>
      <c r="O743" s="244">
        <f>M743*N743</f>
        <v/>
      </c>
      <c r="P743" s="332" t="n"/>
      <c r="Q743" s="265" t="n"/>
      <c r="R743" s="332" t="n"/>
      <c r="S743" s="244">
        <f>Q743*R743</f>
        <v/>
      </c>
    </row>
    <row r="744" ht="22.2" customHeight="1" s="330">
      <c r="A744" s="4" t="n"/>
      <c r="B744" s="478" t="n"/>
      <c r="D744" s="331" t="n"/>
      <c r="E744" s="252" t="n"/>
      <c r="F744" s="249" t="n"/>
      <c r="G744" s="308">
        <f>G652</f>
        <v/>
      </c>
      <c r="H744" s="325" t="inlineStr">
        <is>
          <t>20101-2002</t>
        </is>
      </c>
      <c r="I744" s="325" t="inlineStr">
        <is>
          <t>ปวช.2/8 ชย. (ปกติ)</t>
        </is>
      </c>
      <c r="J744" s="252" t="inlineStr">
        <is>
          <t>13.10-16.10</t>
        </is>
      </c>
      <c r="K744" s="331" t="n"/>
      <c r="L744" s="252" t="n"/>
      <c r="M744" s="252" t="n"/>
      <c r="N744" s="252" t="n"/>
      <c r="O744" s="244">
        <f>M744*N744</f>
        <v/>
      </c>
      <c r="P744" s="252" t="n"/>
      <c r="Q744" s="252" t="n"/>
      <c r="R744" s="252" t="n"/>
      <c r="S744" s="244">
        <f>Q744*R744</f>
        <v/>
      </c>
    </row>
    <row r="745" ht="22.2" customHeight="1" s="330">
      <c r="A745" s="4" t="n"/>
      <c r="B745" s="5" t="n"/>
      <c r="D745" s="3" t="n"/>
      <c r="E745" s="3" t="n"/>
      <c r="F745" s="249" t="n"/>
      <c r="G745" s="248" t="n"/>
      <c r="H745" s="252" t="n"/>
      <c r="I745" s="252" t="n"/>
      <c r="J745" s="252" t="n"/>
      <c r="K745" s="331" t="n"/>
      <c r="L745" s="252" t="n"/>
      <c r="M745" s="252" t="n"/>
      <c r="N745" s="252" t="n"/>
      <c r="O745" s="244">
        <f>M745*N745</f>
        <v/>
      </c>
      <c r="P745" s="252" t="n"/>
      <c r="Q745" s="252" t="n"/>
      <c r="R745" s="252" t="n"/>
      <c r="S745" s="244">
        <f>Q745*R745</f>
        <v/>
      </c>
    </row>
    <row r="746" ht="22.2" customHeight="1" s="330">
      <c r="A746" s="4" t="n"/>
      <c r="B746" s="5" t="n"/>
      <c r="E746" s="4" t="n"/>
      <c r="F746" s="249" t="n"/>
      <c r="G746" s="248" t="n"/>
      <c r="H746" s="252" t="n"/>
      <c r="I746" s="252" t="n"/>
      <c r="J746" s="252" t="n"/>
      <c r="K746" s="331" t="n"/>
      <c r="L746" s="252" t="n"/>
      <c r="M746" s="252" t="n"/>
      <c r="N746" s="252" t="n"/>
      <c r="O746" s="244">
        <f>M746*N746</f>
        <v/>
      </c>
      <c r="P746" s="252" t="n"/>
      <c r="Q746" s="252" t="n"/>
      <c r="R746" s="252" t="n"/>
      <c r="S746" s="244">
        <f>Q746*R746</f>
        <v/>
      </c>
    </row>
    <row r="747" ht="22.2" customHeight="1" s="330">
      <c r="A747" s="4" t="n"/>
      <c r="E747" s="4" t="n"/>
      <c r="G747" s="311" t="n"/>
      <c r="H747" s="276" t="n"/>
      <c r="I747" s="276" t="n"/>
      <c r="J747" s="276" t="n"/>
      <c r="K747" s="476" t="n"/>
      <c r="L747" s="276" t="n"/>
      <c r="M747" s="252" t="n"/>
      <c r="N747" s="252" t="n"/>
      <c r="O747" s="244">
        <f>M747*N747</f>
        <v/>
      </c>
      <c r="P747" s="252" t="n"/>
      <c r="Q747" s="252" t="n"/>
      <c r="R747" s="252" t="n"/>
      <c r="S747" s="244">
        <f>Q747*R747</f>
        <v/>
      </c>
    </row>
    <row r="748" ht="22.2" customHeight="1" s="330">
      <c r="A748" s="4" t="n"/>
      <c r="E748" s="4" t="n"/>
      <c r="G748" s="62" t="inlineStr">
        <is>
          <t>อังคาร</t>
        </is>
      </c>
      <c r="H748" s="325" t="inlineStr">
        <is>
          <t>20101-2107</t>
        </is>
      </c>
      <c r="I748" s="325" t="inlineStr">
        <is>
          <t>ปวช.2/1,2 ชย. (ปกติ)</t>
        </is>
      </c>
      <c r="J748" s="252" t="inlineStr">
        <is>
          <t>08.10-10.10</t>
        </is>
      </c>
      <c r="K748" s="331" t="n"/>
      <c r="L748" s="252" t="n"/>
      <c r="M748" s="332" t="n"/>
      <c r="N748" s="332" t="n"/>
      <c r="O748" s="244">
        <f>M748*N748</f>
        <v/>
      </c>
      <c r="P748" s="332" t="n"/>
      <c r="Q748" s="265" t="n"/>
      <c r="R748" s="332" t="n"/>
      <c r="S748" s="244">
        <f>Q748*R748</f>
        <v/>
      </c>
    </row>
    <row r="749" ht="22.2" customHeight="1" s="330">
      <c r="A749" s="4" t="n"/>
      <c r="E749" s="4" t="n"/>
      <c r="G749" s="308">
        <f>G657</f>
        <v/>
      </c>
      <c r="H749" s="325" t="n"/>
      <c r="I749" s="325" t="n"/>
      <c r="J749" s="252" t="n"/>
      <c r="K749" s="331" t="n"/>
      <c r="L749" s="252" t="n"/>
      <c r="M749" s="252" t="n"/>
      <c r="N749" s="252" t="n"/>
      <c r="O749" s="244">
        <f>M749*N749</f>
        <v/>
      </c>
      <c r="P749" s="252" t="n"/>
      <c r="Q749" s="252" t="n"/>
      <c r="R749" s="252" t="n"/>
      <c r="S749" s="244">
        <f>Q749*R749</f>
        <v/>
      </c>
    </row>
    <row r="750" ht="22.2" customHeight="1" s="330">
      <c r="A750" s="4" t="n"/>
      <c r="B750" s="5" t="n"/>
      <c r="D750" s="3" t="n"/>
      <c r="E750" s="3" t="n"/>
      <c r="G750" s="252" t="n"/>
      <c r="H750" s="252" t="n"/>
      <c r="I750" s="252" t="n"/>
      <c r="J750" s="252" t="n"/>
      <c r="K750" s="331" t="n"/>
      <c r="L750" s="252" t="n"/>
      <c r="M750" s="252" t="n"/>
      <c r="N750" s="252" t="n"/>
      <c r="O750" s="244">
        <f>M750*N750</f>
        <v/>
      </c>
      <c r="P750" s="252" t="n"/>
      <c r="Q750" s="252" t="n"/>
      <c r="R750" s="252" t="n"/>
      <c r="S750" s="244">
        <f>Q750*R750</f>
        <v/>
      </c>
    </row>
    <row r="751" ht="22.2" customHeight="1" s="330">
      <c r="A751" s="4" t="n"/>
      <c r="E751" s="4" t="n"/>
      <c r="G751" s="62" t="n"/>
      <c r="H751" s="249" t="n"/>
      <c r="I751" s="252" t="n"/>
      <c r="J751" s="252" t="n"/>
      <c r="K751" s="331" t="n"/>
      <c r="L751" s="252" t="n"/>
      <c r="M751" s="252" t="n"/>
      <c r="N751" s="252" t="n"/>
      <c r="O751" s="244">
        <f>M751*N751</f>
        <v/>
      </c>
      <c r="P751" s="252" t="n"/>
      <c r="Q751" s="252" t="n"/>
      <c r="R751" s="252" t="n"/>
      <c r="S751" s="244">
        <f>Q751*R751</f>
        <v/>
      </c>
    </row>
    <row r="752" ht="22.2" customHeight="1" s="330">
      <c r="A752" s="4" t="n"/>
      <c r="D752" s="8" t="inlineStr">
        <is>
          <t> </t>
        </is>
      </c>
      <c r="E752" s="4" t="n"/>
      <c r="G752" s="63" t="n"/>
      <c r="H752" s="276" t="n"/>
      <c r="I752" s="276" t="n"/>
      <c r="J752" s="276" t="n"/>
      <c r="K752" s="476" t="n"/>
      <c r="L752" s="252" t="n"/>
      <c r="M752" s="252" t="n"/>
      <c r="N752" s="252" t="n"/>
      <c r="O752" s="244">
        <f>M752*N752</f>
        <v/>
      </c>
      <c r="P752" s="252" t="n"/>
      <c r="Q752" s="252" t="n"/>
      <c r="R752" s="252" t="n"/>
      <c r="S752" s="244">
        <f>Q752*R752</f>
        <v/>
      </c>
    </row>
    <row r="753" ht="22.2" customHeight="1" s="330">
      <c r="A753" s="4" t="n"/>
      <c r="E753" s="4" t="n"/>
      <c r="G753" s="308" t="inlineStr">
        <is>
          <t>พุธ</t>
        </is>
      </c>
      <c r="H753" s="332" t="inlineStr">
        <is>
          <t>20101-2001</t>
        </is>
      </c>
      <c r="I753" s="332" t="inlineStr">
        <is>
          <t>ปวช.1/6 ชย. (ปกติ)</t>
        </is>
      </c>
      <c r="J753" s="332" t="inlineStr">
        <is>
          <t>08.10-12.10</t>
        </is>
      </c>
      <c r="K753" s="335" t="n"/>
      <c r="L753" s="265" t="n"/>
      <c r="M753" s="332" t="n"/>
      <c r="N753" s="332" t="n"/>
      <c r="O753" s="244">
        <f>M753*N753</f>
        <v/>
      </c>
      <c r="P753" s="332" t="n"/>
      <c r="Q753" s="265" t="n"/>
      <c r="R753" s="332" t="n"/>
      <c r="S753" s="244">
        <f>Q753*R753</f>
        <v/>
      </c>
    </row>
    <row r="754" ht="22.2" customHeight="1" s="330">
      <c r="A754" s="4" t="n"/>
      <c r="B754" s="248" t="n"/>
      <c r="C754" s="249" t="n"/>
      <c r="D754" s="249" t="n"/>
      <c r="E754" s="252" t="n"/>
      <c r="G754" s="308">
        <f>G662</f>
        <v/>
      </c>
      <c r="H754" s="325" t="inlineStr">
        <is>
          <t>20101-2001</t>
        </is>
      </c>
      <c r="I754" s="325" t="inlineStr">
        <is>
          <t>ปวช.1/6 ชย. (ปกติ)</t>
        </is>
      </c>
      <c r="J754" s="252" t="inlineStr">
        <is>
          <t>13.10-16.10</t>
        </is>
      </c>
      <c r="K754" s="331" t="n"/>
      <c r="L754" s="252" t="n"/>
      <c r="M754" s="252" t="n"/>
      <c r="N754" s="252" t="n"/>
      <c r="O754" s="244">
        <f>M754*N754</f>
        <v/>
      </c>
      <c r="P754" s="252" t="n"/>
      <c r="Q754" s="252" t="n"/>
      <c r="R754" s="252" t="n"/>
      <c r="S754" s="244">
        <f>Q754*R754</f>
        <v/>
      </c>
    </row>
    <row r="755" ht="22.2" customHeight="1" s="330">
      <c r="A755" s="4" t="n"/>
      <c r="B755" s="5" t="n"/>
      <c r="D755" s="3" t="n"/>
      <c r="E755" s="3" t="n"/>
      <c r="G755" s="252" t="n"/>
      <c r="H755" s="252" t="n"/>
      <c r="I755" s="252" t="n"/>
      <c r="J755" s="252" t="n"/>
      <c r="K755" s="331" t="n"/>
      <c r="L755" s="252" t="n"/>
      <c r="M755" s="252" t="n"/>
      <c r="N755" s="252" t="n"/>
      <c r="O755" s="244">
        <f>M755*N755</f>
        <v/>
      </c>
      <c r="P755" s="252" t="n"/>
      <c r="Q755" s="252" t="n"/>
      <c r="R755" s="252" t="n"/>
      <c r="S755" s="244">
        <f>Q755*R755</f>
        <v/>
      </c>
    </row>
    <row r="756" ht="22.2" customHeight="1" s="330">
      <c r="A756" s="4" t="n"/>
      <c r="E756" s="4" t="n"/>
      <c r="G756" s="248" t="n"/>
      <c r="H756" s="248" t="n"/>
      <c r="I756" s="252" t="n"/>
      <c r="J756" s="252" t="n"/>
      <c r="K756" s="331" t="n"/>
      <c r="L756" s="252" t="n"/>
      <c r="M756" s="252" t="n"/>
      <c r="N756" s="252" t="n"/>
      <c r="O756" s="244">
        <f>M756*N756</f>
        <v/>
      </c>
      <c r="P756" s="252" t="n"/>
      <c r="Q756" s="252" t="n"/>
      <c r="R756" s="252" t="n"/>
      <c r="S756" s="244">
        <f>Q756*R756</f>
        <v/>
      </c>
    </row>
    <row r="757" ht="22.2" customHeight="1" s="330">
      <c r="A757" s="4" t="n"/>
      <c r="E757" s="4" t="n"/>
      <c r="G757" s="277" t="n"/>
      <c r="H757" s="277" t="n"/>
      <c r="I757" s="276" t="n"/>
      <c r="J757" s="276" t="n"/>
      <c r="K757" s="476" t="n"/>
      <c r="L757" s="276" t="n"/>
      <c r="M757" s="276" t="n"/>
      <c r="N757" s="276" t="n"/>
      <c r="O757" s="244">
        <f>M757*N757</f>
        <v/>
      </c>
      <c r="P757" s="276" t="n"/>
      <c r="Q757" s="276" t="n"/>
      <c r="R757" s="276" t="n"/>
      <c r="S757" s="244">
        <f>Q757*R757</f>
        <v/>
      </c>
    </row>
    <row r="758" ht="22.2" customHeight="1" s="330">
      <c r="A758" s="4" t="n"/>
      <c r="E758" s="4" t="n"/>
      <c r="G758" s="62" t="inlineStr">
        <is>
          <t>พฤหัส</t>
        </is>
      </c>
      <c r="H758" s="325" t="inlineStr">
        <is>
          <t>20101-2107</t>
        </is>
      </c>
      <c r="I758" s="325" t="inlineStr">
        <is>
          <t>ปวช.1/9,10 ชย. (ทวิ)</t>
        </is>
      </c>
      <c r="J758" s="332" t="inlineStr">
        <is>
          <t>10.10-12.10</t>
        </is>
      </c>
      <c r="K758" s="335" t="n"/>
      <c r="L758" s="265" t="n"/>
      <c r="M758" s="275" t="n"/>
      <c r="N758" s="275" t="n"/>
      <c r="O758" s="244">
        <f>M758*N758</f>
        <v/>
      </c>
      <c r="P758" s="252" t="n"/>
      <c r="Q758" s="275" t="n"/>
      <c r="R758" s="275" t="n"/>
      <c r="S758" s="244">
        <f>Q758*R758</f>
        <v/>
      </c>
    </row>
    <row r="759" ht="22.2" customHeight="1" s="330">
      <c r="A759" s="4" t="n"/>
      <c r="E759" s="4" t="n"/>
      <c r="G759" s="308">
        <f>G667</f>
        <v/>
      </c>
      <c r="H759" s="252" t="inlineStr">
        <is>
          <t>20000-2004</t>
        </is>
      </c>
      <c r="I759" s="325" t="inlineStr">
        <is>
          <t>ปวช.2/5,6 ชย. (ปกติ)</t>
        </is>
      </c>
      <c r="J759" s="252" t="inlineStr">
        <is>
          <t>13.10-15.10</t>
        </is>
      </c>
      <c r="K759" s="331" t="n"/>
      <c r="L759" s="252" t="n"/>
      <c r="M759" s="252" t="n"/>
      <c r="N759" s="252" t="n"/>
      <c r="O759" s="244">
        <f>M759*N759</f>
        <v/>
      </c>
      <c r="P759" s="252" t="n"/>
      <c r="Q759" s="252" t="n"/>
      <c r="R759" s="252" t="n"/>
      <c r="S759" s="244">
        <f>Q759*R759</f>
        <v/>
      </c>
    </row>
    <row r="760" ht="22.2" customHeight="1" s="330">
      <c r="A760" s="4" t="n"/>
      <c r="B760" s="5" t="n"/>
      <c r="E760" s="4" t="n"/>
      <c r="G760" s="252" t="n"/>
      <c r="H760" s="325" t="inlineStr">
        <is>
          <t>20101-2008</t>
        </is>
      </c>
      <c r="I760" s="325" t="inlineStr">
        <is>
          <t>ปวช.3/10 ชย. (ทวิ)</t>
        </is>
      </c>
      <c r="J760" s="252" t="inlineStr">
        <is>
          <t>15.10-19.10</t>
        </is>
      </c>
      <c r="K760" s="331" t="n"/>
      <c r="L760" s="325" t="n"/>
      <c r="M760" s="325" t="n"/>
      <c r="N760" s="325" t="n"/>
      <c r="O760" s="244">
        <f>M760*N760</f>
        <v/>
      </c>
      <c r="P760" s="325" t="n"/>
      <c r="Q760" s="325" t="n"/>
      <c r="R760" s="325" t="n"/>
      <c r="S760" s="244">
        <f>Q760*R760</f>
        <v/>
      </c>
    </row>
    <row r="761" ht="22.2" customHeight="1" s="330">
      <c r="A761" s="4" t="n"/>
      <c r="E761" s="4" t="n"/>
      <c r="G761" s="252" t="n"/>
      <c r="H761" s="252" t="n"/>
      <c r="I761" s="252" t="n"/>
      <c r="J761" s="252" t="n"/>
      <c r="K761" s="331" t="n"/>
      <c r="L761" s="252" t="n"/>
      <c r="M761" s="252" t="n"/>
      <c r="N761" s="252" t="n"/>
      <c r="O761" s="244">
        <f>M761*N761</f>
        <v/>
      </c>
      <c r="P761" s="252" t="n"/>
      <c r="Q761" s="252" t="n"/>
      <c r="R761" s="252" t="n"/>
      <c r="S761" s="244">
        <f>Q761*R761</f>
        <v/>
      </c>
    </row>
    <row r="762" ht="22.2" customHeight="1" s="330">
      <c r="A762" s="4" t="n"/>
      <c r="E762" s="4" t="n"/>
      <c r="G762" s="276" t="n"/>
      <c r="H762" s="301" t="n"/>
      <c r="I762" s="276" t="n"/>
      <c r="J762" s="276" t="n"/>
      <c r="K762" s="476" t="n"/>
      <c r="L762" s="276" t="n"/>
      <c r="M762" s="276" t="n"/>
      <c r="N762" s="276" t="n"/>
      <c r="O762" s="244">
        <f>M762*N762</f>
        <v/>
      </c>
      <c r="P762" s="276" t="n"/>
      <c r="Q762" s="276" t="n"/>
      <c r="R762" s="276" t="n"/>
      <c r="S762" s="244">
        <f>Q762*R762</f>
        <v/>
      </c>
    </row>
    <row r="763" ht="22.2" customHeight="1" s="330">
      <c r="A763" s="4" t="n"/>
      <c r="E763" s="4" t="n"/>
      <c r="G763" s="62" t="inlineStr">
        <is>
          <t>ศุกร์</t>
        </is>
      </c>
      <c r="H763" s="325" t="inlineStr">
        <is>
          <t>20101-5101</t>
        </is>
      </c>
      <c r="I763" s="325" t="inlineStr">
        <is>
          <t>ปวช.2/10 ชย. (ทวิ)</t>
        </is>
      </c>
      <c r="J763" s="332" t="inlineStr">
        <is>
          <t>08.10-12.10</t>
        </is>
      </c>
      <c r="K763" s="335" t="n"/>
      <c r="L763" s="252" t="n"/>
      <c r="M763" s="332" t="n"/>
      <c r="N763" s="332" t="n"/>
      <c r="O763" s="244">
        <f>M763*N763</f>
        <v/>
      </c>
      <c r="P763" s="332" t="n"/>
      <c r="Q763" s="265" t="n"/>
      <c r="R763" s="332" t="n"/>
      <c r="S763" s="244">
        <f>Q763*R763</f>
        <v/>
      </c>
    </row>
    <row r="764" ht="22.2" customHeight="1" s="330">
      <c r="A764" s="4" t="n"/>
      <c r="E764" s="4" t="n"/>
      <c r="G764" s="308">
        <f>G672</f>
        <v/>
      </c>
      <c r="H764" s="325" t="inlineStr">
        <is>
          <t>20101-5101</t>
        </is>
      </c>
      <c r="I764" s="325" t="inlineStr">
        <is>
          <t>ปวช.2/10 ชย. (ทวิ)</t>
        </is>
      </c>
      <c r="J764" s="252" t="inlineStr">
        <is>
          <t>13.10-16.10</t>
        </is>
      </c>
      <c r="K764" s="331" t="n"/>
      <c r="L764" s="252" t="n"/>
      <c r="M764" s="252" t="n"/>
      <c r="N764" s="252" t="n"/>
      <c r="O764" s="244">
        <f>M764*N764</f>
        <v/>
      </c>
      <c r="P764" s="252" t="n"/>
      <c r="Q764" s="252" t="n"/>
      <c r="R764" s="252" t="n"/>
      <c r="S764" s="244">
        <f>Q764*R764</f>
        <v/>
      </c>
    </row>
    <row r="765" ht="22.2" customHeight="1" s="330">
      <c r="A765" s="4" t="n"/>
      <c r="E765" s="4" t="n"/>
      <c r="G765" s="252" t="n"/>
      <c r="H765" s="325" t="n"/>
      <c r="I765" s="325" t="n"/>
      <c r="J765" s="325" t="n"/>
      <c r="K765" s="331" t="n"/>
      <c r="L765" s="252" t="n"/>
      <c r="M765" s="252" t="n"/>
      <c r="N765" s="252" t="n"/>
      <c r="O765" s="244">
        <f>M765*N765</f>
        <v/>
      </c>
      <c r="P765" s="252" t="n"/>
      <c r="Q765" s="252" t="n"/>
      <c r="R765" s="252" t="n"/>
      <c r="S765" s="244">
        <f>Q765*R765</f>
        <v/>
      </c>
    </row>
    <row r="766" ht="22.2" customHeight="1" s="330">
      <c r="A766" s="4" t="n"/>
      <c r="E766" s="4" t="n"/>
      <c r="G766" s="252" t="n"/>
      <c r="H766" s="249" t="n"/>
      <c r="I766" s="252" t="n"/>
      <c r="J766" s="252" t="n"/>
      <c r="K766" s="331" t="n"/>
      <c r="L766" s="252" t="n"/>
      <c r="M766" s="252" t="n"/>
      <c r="N766" s="252" t="n"/>
      <c r="O766" s="244">
        <f>M766*N766</f>
        <v/>
      </c>
      <c r="P766" s="252" t="n"/>
      <c r="Q766" s="252" t="n"/>
      <c r="R766" s="252" t="n"/>
      <c r="S766" s="244">
        <f>Q766*R766</f>
        <v/>
      </c>
    </row>
    <row r="767" ht="22.2" customHeight="1" s="330">
      <c r="A767" s="4" t="n"/>
      <c r="E767" s="4" t="n"/>
      <c r="F767" s="4" t="n"/>
      <c r="G767" s="278" t="n"/>
      <c r="H767" s="301" t="n"/>
      <c r="I767" s="276" t="n"/>
      <c r="J767" s="276" t="n"/>
      <c r="K767" s="476" t="n"/>
      <c r="L767" s="276" t="n"/>
      <c r="M767" s="276" t="n"/>
      <c r="N767" s="276" t="n"/>
      <c r="O767" s="244">
        <f>M767*N767</f>
        <v/>
      </c>
      <c r="P767" s="276" t="n"/>
      <c r="Q767" s="276" t="n"/>
      <c r="R767" s="276" t="n"/>
      <c r="S767" s="244">
        <f>Q767*R767</f>
        <v/>
      </c>
    </row>
    <row r="768" ht="22.2" customHeight="1" s="330">
      <c r="A768" s="4" t="n"/>
      <c r="E768" s="4" t="n"/>
      <c r="F768" s="4" t="n"/>
      <c r="G768" s="17" t="inlineStr">
        <is>
          <t>รวมขั่วโมงที่สอนแยก ภาระงาน/ เกินภาระงาน</t>
        </is>
      </c>
      <c r="H768" s="467" t="n"/>
      <c r="I768" s="467" t="n"/>
      <c r="J768" s="467" t="n"/>
      <c r="K768" s="362" t="n"/>
      <c r="L768" s="17">
        <f>SUM(L743:L767)</f>
        <v/>
      </c>
      <c r="M768" s="17">
        <f>SUM(M743:M767)</f>
        <v/>
      </c>
      <c r="N768" s="17" t="n"/>
      <c r="O768" s="17" t="n"/>
      <c r="P768" s="17">
        <f>SUM(P743:P767)</f>
        <v/>
      </c>
      <c r="Q768" s="17">
        <f>SUM(Q743:Q767)</f>
        <v/>
      </c>
      <c r="R768" s="279" t="n"/>
      <c r="S768" s="17" t="n"/>
    </row>
    <row r="769" ht="22.2" customHeight="1" s="330">
      <c r="A769" s="4" t="n"/>
      <c r="E769" s="4" t="n"/>
      <c r="F769" s="4" t="n"/>
      <c r="G769" s="17" t="inlineStr">
        <is>
          <t>รวมจำนวนชั่วโมงสอนคาบต่อสับดาห์</t>
        </is>
      </c>
      <c r="H769" s="467" t="n"/>
      <c r="I769" s="467" t="n"/>
      <c r="J769" s="467" t="n"/>
      <c r="K769" s="362" t="n"/>
      <c r="L769" s="17">
        <f>L768+M768</f>
        <v/>
      </c>
      <c r="M769" s="362" t="n"/>
      <c r="N769" s="298" t="n"/>
      <c r="O769" s="17" t="n"/>
      <c r="P769" s="17">
        <f>P768+Q768</f>
        <v/>
      </c>
      <c r="Q769" s="362" t="n"/>
      <c r="R769" s="278" t="n"/>
      <c r="S769" s="276" t="n"/>
    </row>
    <row r="770" ht="22.2" customHeight="1" s="330">
      <c r="A770" s="4" t="n"/>
      <c r="E770" s="4" t="n"/>
      <c r="F770" s="4" t="n"/>
      <c r="G770" s="17" t="inlineStr">
        <is>
          <t>จำนวนชั่วโมงสอนตามภาระงานสอน</t>
        </is>
      </c>
      <c r="H770" s="467" t="n"/>
      <c r="I770" s="467" t="n"/>
      <c r="J770" s="467" t="n"/>
      <c r="K770" s="362" t="n"/>
      <c r="L770" s="17" t="n">
        <v>18</v>
      </c>
      <c r="M770" s="362" t="n"/>
      <c r="N770" s="298" t="n"/>
      <c r="O770" s="17" t="n"/>
      <c r="P770" s="17" t="n">
        <v>0</v>
      </c>
      <c r="Q770" s="362" t="n"/>
      <c r="R770" s="249" t="n"/>
      <c r="S770" s="252" t="n"/>
    </row>
    <row r="771" ht="22.2" customHeight="1" s="330" thickBot="1">
      <c r="A771" s="4" t="n"/>
      <c r="E771" s="4" t="n"/>
      <c r="F771" s="15" t="n"/>
      <c r="G771" s="17" t="inlineStr">
        <is>
          <t>จำนวนชั่วโมงบิกเกินภาระงานสอน/ค่าสอน</t>
        </is>
      </c>
      <c r="H771" s="467" t="n"/>
      <c r="I771" s="467" t="n"/>
      <c r="J771" s="467" t="n"/>
      <c r="K771" s="362" t="n"/>
      <c r="L771" s="18" t="n">
        <v>0</v>
      </c>
      <c r="M771" s="18">
        <f>SUM(M743:M767)</f>
        <v/>
      </c>
      <c r="N771" s="18" t="n"/>
      <c r="O771" s="18">
        <f>SUM(O743:O767)</f>
        <v/>
      </c>
      <c r="P771" s="18" t="n">
        <v>0</v>
      </c>
      <c r="Q771" s="18">
        <f>SUM(Q743:Q767)</f>
        <v/>
      </c>
      <c r="R771" s="19" t="n"/>
      <c r="S771" s="18">
        <f>SUM(S743:S767)</f>
        <v/>
      </c>
    </row>
    <row r="772" ht="22.2" customHeight="1" s="330" thickTop="1">
      <c r="A772" s="299" t="inlineStr">
        <is>
          <t>รวมจำนวนหน่วยชั่วโมงที่ขอเบิกค่าสอน ….</t>
        </is>
      </c>
      <c r="B772" s="467" t="n"/>
      <c r="C772" s="467" t="n"/>
      <c r="D772" s="467" t="n"/>
      <c r="E772" s="467" t="n"/>
      <c r="F772" s="467" t="n"/>
      <c r="G772" s="467" t="n"/>
      <c r="H772" s="298">
        <f>M771+Q771</f>
        <v/>
      </c>
      <c r="I772" s="298" t="inlineStr">
        <is>
          <t>….ชั่วโมง</t>
        </is>
      </c>
      <c r="J772" s="298" t="n"/>
      <c r="K772" s="301" t="inlineStr">
        <is>
          <t>ยอดเงินรวม</t>
        </is>
      </c>
      <c r="L772" s="471" t="n"/>
      <c r="M772" s="471" t="n"/>
      <c r="N772" s="301" t="n"/>
      <c r="O772" s="301" t="n"/>
      <c r="P772" s="302">
        <f>S771+O771</f>
        <v/>
      </c>
      <c r="Q772" s="482" t="n"/>
      <c r="R772" s="21" t="n"/>
      <c r="S772" s="20" t="inlineStr">
        <is>
          <t>..บาท</t>
        </is>
      </c>
    </row>
    <row r="773" ht="22.2" customHeight="1" s="330">
      <c r="A773" s="207" t="inlineStr">
        <is>
          <t>ผู้ขอเบิก</t>
        </is>
      </c>
      <c r="B773" s="334" t="n"/>
      <c r="C773" s="334" t="n"/>
      <c r="D773" s="334" t="n"/>
      <c r="E773" s="334" t="n"/>
      <c r="F773" s="334" t="n"/>
      <c r="G773" s="335" t="n"/>
      <c r="H773" s="207" t="inlineStr">
        <is>
          <t>ผู้รับรอง</t>
        </is>
      </c>
      <c r="I773" s="334" t="n"/>
      <c r="J773" s="334" t="n"/>
      <c r="K773" s="334" t="n"/>
      <c r="L773" s="335" t="n"/>
      <c r="M773" s="207" t="inlineStr">
        <is>
          <t>ผู้ตรวจ</t>
        </is>
      </c>
      <c r="N773" s="334" t="n"/>
      <c r="O773" s="334" t="n"/>
      <c r="P773" s="334" t="n"/>
      <c r="Q773" s="334" t="n"/>
      <c r="R773" s="334" t="n"/>
      <c r="S773" s="335" t="n"/>
    </row>
    <row r="774" ht="22.2" customHeight="1" s="330">
      <c r="A774" s="252" t="inlineStr">
        <is>
          <t>ลงชื่อ……………………………………………</t>
        </is>
      </c>
      <c r="G774" s="331" t="n"/>
      <c r="H774" s="252" t="inlineStr">
        <is>
          <t>ลงชื่อ……………………………………………</t>
        </is>
      </c>
      <c r="L774" s="331" t="n"/>
      <c r="M774" s="252" t="inlineStr">
        <is>
          <t>ลงชื่อ……………………………………………</t>
        </is>
      </c>
      <c r="S774" s="331" t="n"/>
    </row>
    <row r="775" ht="22.2" customHeight="1" s="330">
      <c r="A775" s="12" t="inlineStr">
        <is>
          <t>(</t>
        </is>
      </c>
      <c r="B775" s="309">
        <f>B743</f>
        <v/>
      </c>
      <c r="G775" s="310" t="inlineStr">
        <is>
          <t>)</t>
        </is>
      </c>
      <c r="H775" s="309" t="inlineStr">
        <is>
          <t>(</t>
        </is>
      </c>
      <c r="I775" s="314">
        <f>I729</f>
        <v/>
      </c>
      <c r="L775" s="13" t="inlineStr">
        <is>
          <t>)</t>
        </is>
      </c>
      <c r="M775" s="61" t="inlineStr">
        <is>
          <t>(</t>
        </is>
      </c>
      <c r="N775" s="61" t="n"/>
      <c r="O775" s="309" t="inlineStr">
        <is>
          <t>นายพิสุทธิศักดิ์  กล่อมนาค</t>
        </is>
      </c>
      <c r="R775" s="29" t="n"/>
      <c r="S775" s="310" t="inlineStr">
        <is>
          <t>)</t>
        </is>
      </c>
    </row>
    <row r="776" ht="22.2" customHeight="1" s="330">
      <c r="A776" s="483" t="inlineStr">
        <is>
          <t xml:space="preserve">                        ตำแหน่ง ครู</t>
        </is>
      </c>
      <c r="G776" s="331" t="n"/>
      <c r="H776" s="62" t="inlineStr">
        <is>
          <t>ตำแหน่ง หัวหน้าแผนก</t>
        </is>
      </c>
      <c r="L776" s="331" t="n"/>
      <c r="M776" s="62" t="inlineStr">
        <is>
          <t>ตำแหน่ง   ผู้ตรวจสอบ</t>
        </is>
      </c>
      <c r="S776" s="331" t="n"/>
    </row>
    <row r="777" ht="22.2" customHeight="1" s="330">
      <c r="A777" s="63">
        <f>A179</f>
        <v/>
      </c>
      <c r="B777" s="471" t="n"/>
      <c r="C777" s="471" t="n"/>
      <c r="D777" s="471" t="n"/>
      <c r="E777" s="471" t="n"/>
      <c r="F777" s="471" t="n"/>
      <c r="G777" s="476" t="n"/>
      <c r="H777" s="62">
        <f>A179</f>
        <v/>
      </c>
      <c r="L777" s="331" t="n"/>
      <c r="M777" s="63">
        <f>A179</f>
        <v/>
      </c>
      <c r="N777" s="471" t="n"/>
      <c r="O777" s="471" t="n"/>
      <c r="P777" s="471" t="n"/>
      <c r="Q777" s="471" t="n"/>
      <c r="R777" s="471" t="n"/>
      <c r="S777" s="476" t="n"/>
    </row>
    <row r="778" ht="22.2" customHeight="1" s="330">
      <c r="A778" s="207" t="inlineStr">
        <is>
          <t>ผู้ตรวจ</t>
        </is>
      </c>
      <c r="B778" s="334" t="n"/>
      <c r="C778" s="334" t="n"/>
      <c r="D778" s="334" t="n"/>
      <c r="E778" s="334" t="n"/>
      <c r="F778" s="334" t="n"/>
      <c r="G778" s="334" t="n"/>
      <c r="H778" s="334" t="n"/>
      <c r="I778" s="335" t="n"/>
      <c r="J778" s="207" t="inlineStr">
        <is>
          <t>ผู้เห็นชอบ</t>
        </is>
      </c>
      <c r="K778" s="334" t="n"/>
      <c r="L778" s="334" t="n"/>
      <c r="M778" s="334" t="n"/>
      <c r="N778" s="334" t="n"/>
      <c r="O778" s="334" t="n"/>
      <c r="P778" s="334" t="n"/>
      <c r="Q778" s="334" t="n"/>
      <c r="R778" s="334" t="n"/>
      <c r="S778" s="335" t="n"/>
    </row>
    <row r="779" ht="22.2" customHeight="1" s="330">
      <c r="A779" s="252" t="inlineStr">
        <is>
          <t>ลงชื่อ……………………………………………</t>
        </is>
      </c>
      <c r="I779" s="331" t="n"/>
      <c r="J779" s="252" t="inlineStr">
        <is>
          <t>ลงชื่อ……………………………………………</t>
        </is>
      </c>
      <c r="S779" s="331" t="n"/>
    </row>
    <row r="780" ht="22.2" customHeight="1" s="330">
      <c r="A780" s="12" t="n"/>
      <c r="B780" s="309" t="inlineStr">
        <is>
          <t xml:space="preserve">          (นางศิวรักษ์   บุญประเสริฐ)</t>
        </is>
      </c>
      <c r="I780" s="310" t="n"/>
      <c r="J780" s="29" t="n"/>
      <c r="K780" s="29" t="n"/>
      <c r="L780" s="309" t="inlineStr">
        <is>
          <t>(นายปรีชา  โพธิ์เกิด)</t>
        </is>
      </c>
      <c r="R780" s="29" t="n"/>
      <c r="S780" s="13" t="n"/>
    </row>
    <row r="781" ht="22.2" customHeight="1" s="330">
      <c r="A781" s="62" t="inlineStr">
        <is>
          <t>ตำแหน่งครู  หัวหน้างานพัฒนาหลักสูตร ฯ</t>
        </is>
      </c>
      <c r="I781" s="331" t="n"/>
      <c r="J781" s="62" t="inlineStr">
        <is>
          <t>ตำแหน่ง  รองผู้อำนวยการฝ่ายวิชาการ</t>
        </is>
      </c>
      <c r="S781" s="331" t="n"/>
    </row>
    <row r="782" ht="22.2" customHeight="1" s="330">
      <c r="A782" s="63">
        <f>A179</f>
        <v/>
      </c>
      <c r="B782" s="471" t="n"/>
      <c r="C782" s="471" t="n"/>
      <c r="D782" s="471" t="n"/>
      <c r="E782" s="471" t="n"/>
      <c r="F782" s="471" t="n"/>
      <c r="G782" s="471" t="n"/>
      <c r="H782" s="471" t="n"/>
      <c r="I782" s="476" t="n"/>
      <c r="J782" s="63">
        <f>A179</f>
        <v/>
      </c>
      <c r="K782" s="471" t="n"/>
      <c r="L782" s="471" t="n"/>
      <c r="M782" s="471" t="n"/>
      <c r="N782" s="471" t="n"/>
      <c r="O782" s="471" t="n"/>
      <c r="P782" s="471" t="n"/>
      <c r="Q782" s="471" t="n"/>
      <c r="R782" s="471" t="n"/>
      <c r="S782" s="476" t="n"/>
    </row>
    <row r="783" ht="22.2" customHeight="1" s="330">
      <c r="A78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784" ht="22.2" customHeight="1" s="330">
      <c r="A784" s="254">
        <f>A2</f>
        <v/>
      </c>
    </row>
    <row r="785" ht="22.2" customHeight="1" s="330">
      <c r="A785" s="253" t="inlineStr">
        <is>
          <t xml:space="preserve">    ระหว่างวันที่</t>
        </is>
      </c>
      <c r="D785" s="254">
        <f>D3</f>
        <v/>
      </c>
      <c r="E785" s="254" t="inlineStr">
        <is>
          <t xml:space="preserve">   เดือน  </t>
        </is>
      </c>
      <c r="F785" s="254">
        <f>F3</f>
        <v/>
      </c>
      <c r="H785" s="254">
        <f>H3</f>
        <v/>
      </c>
      <c r="I785" s="254" t="inlineStr">
        <is>
          <t xml:space="preserve">     ถึง วันที่</t>
        </is>
      </c>
      <c r="J785" s="254">
        <f>J3</f>
        <v/>
      </c>
      <c r="K785" s="254" t="inlineStr">
        <is>
          <t xml:space="preserve">   เดือน </t>
        </is>
      </c>
      <c r="L785" s="254">
        <f>L3</f>
        <v/>
      </c>
      <c r="N785" s="254">
        <f>N3</f>
        <v/>
      </c>
      <c r="P785" s="254" t="n"/>
      <c r="R785" s="254" t="n"/>
    </row>
    <row r="786" ht="22.2" customHeight="1" s="330">
      <c r="G786" s="58" t="inlineStr">
        <is>
          <t>ü</t>
        </is>
      </c>
      <c r="H786" s="301" t="inlineStr">
        <is>
          <t>ครู</t>
        </is>
      </c>
      <c r="I786" s="301" t="inlineStr">
        <is>
          <t>หน้าที่พิเศษ</t>
        </is>
      </c>
      <c r="J786" s="290" t="n"/>
      <c r="K786" s="290" t="n"/>
    </row>
    <row r="787" ht="22.2" customHeight="1" s="330">
      <c r="A787" s="28" t="inlineStr">
        <is>
          <t>ที่</t>
        </is>
      </c>
      <c r="B787" s="28" t="inlineStr">
        <is>
          <t>ชื่อ-สกุล</t>
        </is>
      </c>
      <c r="C787" s="334" t="n"/>
      <c r="D787" s="335" t="n"/>
      <c r="E787" s="16" t="inlineStr">
        <is>
          <t>ตำแหน่ง</t>
        </is>
      </c>
      <c r="F787" s="17" t="inlineStr">
        <is>
          <t>ระยะเวลาที่สอน</t>
        </is>
      </c>
      <c r="G787" s="362" t="n"/>
      <c r="H787" s="17" t="inlineStr">
        <is>
          <t>รหัสวิชา</t>
        </is>
      </c>
      <c r="I787" s="275" t="inlineStr">
        <is>
          <t>ชั้น,แผนก,ห้อง</t>
        </is>
      </c>
      <c r="J787" s="17" t="inlineStr">
        <is>
          <t>เวลาสอน</t>
        </is>
      </c>
      <c r="K787" s="335" t="n"/>
      <c r="L787" s="17" t="inlineStr">
        <is>
          <t>ปวช.(คาบ)</t>
        </is>
      </c>
      <c r="M787" s="362" t="n"/>
      <c r="N787" s="244" t="inlineStr">
        <is>
          <t>เงิน</t>
        </is>
      </c>
      <c r="O787" s="275" t="inlineStr">
        <is>
          <t>ยอดเงิน</t>
        </is>
      </c>
      <c r="P787" s="473" t="inlineStr">
        <is>
          <t>ปวส.(คาบ)</t>
        </is>
      </c>
      <c r="Q787" s="362" t="n"/>
      <c r="R787" s="244" t="inlineStr">
        <is>
          <t>เงิน</t>
        </is>
      </c>
      <c r="S787" s="275" t="inlineStr">
        <is>
          <t>ยอดเงิน</t>
        </is>
      </c>
    </row>
    <row r="788" ht="22.2" customHeight="1" s="330">
      <c r="A788" s="60" t="n"/>
      <c r="B788" s="9" t="n"/>
      <c r="C788" s="10" t="n"/>
      <c r="D788" s="14" t="n"/>
      <c r="E788" s="11" t="n"/>
      <c r="F788" s="276" t="inlineStr">
        <is>
          <t>ส.</t>
        </is>
      </c>
      <c r="G788" s="276" t="inlineStr">
        <is>
          <t>วดป.</t>
        </is>
      </c>
      <c r="H788" s="474" t="n"/>
      <c r="I788" s="276" t="n"/>
      <c r="J788" s="475" t="n"/>
      <c r="K788" s="476" t="n"/>
      <c r="L788" s="276" t="inlineStr">
        <is>
          <t>ใน</t>
        </is>
      </c>
      <c r="M788" s="276" t="inlineStr">
        <is>
          <t>นอก</t>
        </is>
      </c>
      <c r="N788" s="276" t="inlineStr">
        <is>
          <t>ต่อ ชม.</t>
        </is>
      </c>
      <c r="O788" s="276" t="inlineStr">
        <is>
          <t>(บาท)</t>
        </is>
      </c>
      <c r="P788" s="60" t="inlineStr">
        <is>
          <t>ใน</t>
        </is>
      </c>
      <c r="Q788" s="60" t="inlineStr">
        <is>
          <t>นอก</t>
        </is>
      </c>
      <c r="R788" s="276" t="inlineStr">
        <is>
          <t>ต่อ ชม.</t>
        </is>
      </c>
      <c r="S788" s="276" t="inlineStr">
        <is>
          <t>(บาท)</t>
        </is>
      </c>
    </row>
    <row r="789" ht="22.2" customHeight="1" s="330">
      <c r="A789" s="275" t="n">
        <v>18</v>
      </c>
      <c r="B789" s="477">
        <f>AB20</f>
        <v/>
      </c>
      <c r="C789" s="334" t="n"/>
      <c r="D789" s="335" t="n"/>
      <c r="E789" s="275" t="inlineStr">
        <is>
          <t>ครู</t>
        </is>
      </c>
      <c r="F789" s="6">
        <f>F7</f>
        <v/>
      </c>
      <c r="G789" s="303" t="inlineStr">
        <is>
          <t>จันทร์</t>
        </is>
      </c>
      <c r="H789" s="325" t="inlineStr">
        <is>
          <t>20101-2110</t>
        </is>
      </c>
      <c r="I789" s="325" t="inlineStr">
        <is>
          <t>ปวช.3/4 ชย. (ปกติ)</t>
        </is>
      </c>
      <c r="J789" s="332" t="inlineStr">
        <is>
          <t>08.10-12.10</t>
        </is>
      </c>
      <c r="K789" s="335" t="n"/>
      <c r="L789" s="265" t="n"/>
      <c r="M789" s="332" t="n"/>
      <c r="N789" s="332" t="n"/>
      <c r="O789" s="244">
        <f>M789*N789</f>
        <v/>
      </c>
      <c r="P789" s="332" t="n"/>
      <c r="Q789" s="265" t="n"/>
      <c r="R789" s="332" t="n"/>
      <c r="S789" s="244">
        <f>Q789*R789</f>
        <v/>
      </c>
    </row>
    <row r="790" ht="22.2" customHeight="1" s="330">
      <c r="A790" s="4" t="n"/>
      <c r="B790" s="478" t="n"/>
      <c r="D790" s="331" t="n"/>
      <c r="E790" s="252" t="n"/>
      <c r="F790" s="249" t="n"/>
      <c r="G790" s="308">
        <f>G560</f>
        <v/>
      </c>
      <c r="H790" s="325" t="n"/>
      <c r="I790" s="325" t="n"/>
      <c r="J790" s="252" t="n"/>
      <c r="K790" s="331" t="n"/>
      <c r="L790" s="252" t="n"/>
      <c r="M790" s="252" t="n"/>
      <c r="N790" s="252" t="n"/>
      <c r="O790" s="244">
        <f>M790*N790</f>
        <v/>
      </c>
      <c r="P790" s="252" t="n"/>
      <c r="Q790" s="252" t="n"/>
      <c r="R790" s="252" t="n"/>
      <c r="S790" s="244">
        <f>Q790*R790</f>
        <v/>
      </c>
    </row>
    <row r="791" ht="22.2" customHeight="1" s="330">
      <c r="A791" s="4" t="n"/>
      <c r="B791" s="5" t="n"/>
      <c r="D791" s="3" t="n"/>
      <c r="E791" s="3" t="n"/>
      <c r="F791" s="249" t="n"/>
      <c r="G791" s="248" t="n"/>
      <c r="H791" s="252" t="n"/>
      <c r="I791" s="252" t="n"/>
      <c r="J791" s="252" t="n"/>
      <c r="K791" s="331" t="n"/>
      <c r="L791" s="252" t="n"/>
      <c r="M791" s="252" t="n"/>
      <c r="N791" s="252" t="n"/>
      <c r="O791" s="244">
        <f>M791*N791</f>
        <v/>
      </c>
      <c r="P791" s="252" t="n"/>
      <c r="Q791" s="252" t="n"/>
      <c r="R791" s="252" t="n"/>
      <c r="S791" s="244">
        <f>Q791*R791</f>
        <v/>
      </c>
    </row>
    <row r="792" ht="22.2" customHeight="1" s="330">
      <c r="A792" s="4" t="n"/>
      <c r="B792" s="5" t="n"/>
      <c r="E792" s="4" t="n"/>
      <c r="F792" s="249" t="n"/>
      <c r="G792" s="248" t="n"/>
      <c r="H792" s="252" t="n"/>
      <c r="I792" s="252" t="n"/>
      <c r="J792" s="252" t="n"/>
      <c r="K792" s="331" t="n"/>
      <c r="L792" s="252" t="n"/>
      <c r="M792" s="252" t="n"/>
      <c r="N792" s="252" t="n"/>
      <c r="O792" s="244">
        <f>M792*N792</f>
        <v/>
      </c>
      <c r="P792" s="252" t="n"/>
      <c r="Q792" s="252" t="n"/>
      <c r="R792" s="252" t="n"/>
      <c r="S792" s="244">
        <f>Q792*R792</f>
        <v/>
      </c>
    </row>
    <row r="793" ht="22.2" customHeight="1" s="330">
      <c r="A793" s="4" t="n"/>
      <c r="E793" s="4" t="n"/>
      <c r="G793" s="311" t="n"/>
      <c r="H793" s="276" t="n"/>
      <c r="I793" s="276" t="n"/>
      <c r="J793" s="276" t="n"/>
      <c r="K793" s="476" t="n"/>
      <c r="L793" s="252" t="n"/>
      <c r="M793" s="252" t="n"/>
      <c r="N793" s="252" t="n"/>
      <c r="O793" s="244">
        <f>M793*N793</f>
        <v/>
      </c>
      <c r="P793" s="252" t="n"/>
      <c r="Q793" s="252" t="n"/>
      <c r="R793" s="252" t="n"/>
      <c r="S793" s="244">
        <f>Q793*R793</f>
        <v/>
      </c>
    </row>
    <row r="794" ht="22.2" customHeight="1" s="330">
      <c r="A794" s="4" t="n"/>
      <c r="E794" s="4" t="n"/>
      <c r="G794" s="62" t="inlineStr">
        <is>
          <t>อังคาร</t>
        </is>
      </c>
      <c r="H794" s="325" t="inlineStr">
        <is>
          <t>20101-2103</t>
        </is>
      </c>
      <c r="I794" s="325" t="inlineStr">
        <is>
          <t>ปวช.2/5 ชย. (ปกติ)</t>
        </is>
      </c>
      <c r="J794" s="332" t="inlineStr">
        <is>
          <t>08.10-12.10</t>
        </is>
      </c>
      <c r="K794" s="335" t="n"/>
      <c r="L794" s="265" t="n"/>
      <c r="M794" s="332" t="n"/>
      <c r="N794" s="332" t="n"/>
      <c r="O794" s="244">
        <f>M794*N794</f>
        <v/>
      </c>
      <c r="P794" s="332" t="n"/>
      <c r="Q794" s="265" t="n"/>
      <c r="R794" s="332" t="n"/>
      <c r="S794" s="244">
        <f>Q794*R794</f>
        <v/>
      </c>
    </row>
    <row r="795" ht="22.2" customHeight="1" s="330">
      <c r="A795" s="4" t="n"/>
      <c r="E795" s="4" t="n"/>
      <c r="G795" s="308">
        <f>G565</f>
        <v/>
      </c>
      <c r="H795" s="325" t="inlineStr">
        <is>
          <t>20101-2103</t>
        </is>
      </c>
      <c r="I795" s="325" t="inlineStr">
        <is>
          <t>ปวช.2/6 ชย. (ปกติ)</t>
        </is>
      </c>
      <c r="J795" s="252" t="inlineStr">
        <is>
          <t>13.10-17.10</t>
        </is>
      </c>
      <c r="K795" s="331" t="n"/>
      <c r="L795" s="252" t="n"/>
      <c r="M795" s="252" t="n"/>
      <c r="N795" s="252" t="n"/>
      <c r="O795" s="244">
        <f>M795*N795</f>
        <v/>
      </c>
      <c r="P795" s="252" t="n"/>
      <c r="Q795" s="252" t="n"/>
      <c r="R795" s="252" t="n"/>
      <c r="S795" s="244">
        <f>Q795*R795</f>
        <v/>
      </c>
    </row>
    <row r="796" ht="22.2" customHeight="1" s="330">
      <c r="A796" s="4" t="n"/>
      <c r="B796" s="5" t="n"/>
      <c r="D796" s="3" t="n"/>
      <c r="E796" s="3" t="n"/>
      <c r="G796" s="252" t="n"/>
      <c r="H796" s="252" t="n"/>
      <c r="I796" s="252" t="n"/>
      <c r="J796" s="252" t="n"/>
      <c r="K796" s="331" t="n"/>
      <c r="L796" s="252" t="n"/>
      <c r="M796" s="252" t="n"/>
      <c r="N796" s="252" t="n"/>
      <c r="O796" s="244">
        <f>M796*N796</f>
        <v/>
      </c>
      <c r="P796" s="252" t="n"/>
      <c r="Q796" s="252" t="n"/>
      <c r="R796" s="252" t="n"/>
      <c r="S796" s="244">
        <f>Q796*R796</f>
        <v/>
      </c>
    </row>
    <row r="797" ht="22.2" customHeight="1" s="330">
      <c r="A797" s="4" t="n"/>
      <c r="E797" s="4" t="n"/>
      <c r="G797" s="62" t="n"/>
      <c r="H797" s="252" t="n"/>
      <c r="I797" s="252" t="n"/>
      <c r="J797" s="252" t="n"/>
      <c r="K797" s="331" t="n"/>
      <c r="L797" s="252" t="n"/>
      <c r="M797" s="252" t="n"/>
      <c r="N797" s="252" t="n"/>
      <c r="O797" s="244">
        <f>M797*N797</f>
        <v/>
      </c>
      <c r="P797" s="252" t="n"/>
      <c r="Q797" s="252" t="n"/>
      <c r="R797" s="252" t="n"/>
      <c r="S797" s="244">
        <f>Q797*R797</f>
        <v/>
      </c>
    </row>
    <row r="798" ht="22.2" customHeight="1" s="330">
      <c r="A798" s="4" t="n"/>
      <c r="D798" s="8" t="inlineStr">
        <is>
          <t> </t>
        </is>
      </c>
      <c r="E798" s="4" t="n"/>
      <c r="G798" s="63" t="n"/>
      <c r="H798" s="276" t="n"/>
      <c r="I798" s="276" t="n"/>
      <c r="J798" s="276" t="n"/>
      <c r="K798" s="476" t="n"/>
      <c r="L798" s="252" t="n"/>
      <c r="M798" s="252" t="n"/>
      <c r="N798" s="252" t="n"/>
      <c r="O798" s="244">
        <f>M798*N798</f>
        <v/>
      </c>
      <c r="P798" s="252" t="n"/>
      <c r="Q798" s="252" t="n"/>
      <c r="R798" s="252" t="n"/>
      <c r="S798" s="244">
        <f>Q798*R798</f>
        <v/>
      </c>
    </row>
    <row r="799" ht="22.2" customHeight="1" s="330">
      <c r="A799" s="4" t="n"/>
      <c r="E799" s="4" t="n"/>
      <c r="G799" s="308" t="inlineStr">
        <is>
          <t>พุธ</t>
        </is>
      </c>
      <c r="H799" s="325" t="inlineStr">
        <is>
          <t>20101-2103</t>
        </is>
      </c>
      <c r="I799" s="325" t="inlineStr">
        <is>
          <t>ปวช.2/7 ชย. (ปกติ)</t>
        </is>
      </c>
      <c r="J799" s="332" t="inlineStr">
        <is>
          <t>08.10-12.10</t>
        </is>
      </c>
      <c r="K799" s="335" t="n"/>
      <c r="L799" s="265" t="n"/>
      <c r="M799" s="332" t="n"/>
      <c r="N799" s="332" t="n"/>
      <c r="O799" s="244">
        <f>M799*N799</f>
        <v/>
      </c>
      <c r="P799" s="332" t="n"/>
      <c r="Q799" s="265" t="n"/>
      <c r="R799" s="332" t="n"/>
      <c r="S799" s="244">
        <f>Q799*R799</f>
        <v/>
      </c>
    </row>
    <row r="800" ht="22.2" customHeight="1" s="330">
      <c r="A800" s="4" t="n"/>
      <c r="B800" s="248" t="n"/>
      <c r="C800" s="249" t="n"/>
      <c r="D800" s="249" t="n"/>
      <c r="E800" s="252" t="n"/>
      <c r="G800" s="308">
        <f>G570</f>
        <v/>
      </c>
      <c r="H800" s="325" t="inlineStr">
        <is>
          <t>20101-2103</t>
        </is>
      </c>
      <c r="I800" s="325" t="inlineStr">
        <is>
          <t>ปวช.2/8 ชย. (ปกติ)</t>
        </is>
      </c>
      <c r="J800" s="252" t="inlineStr">
        <is>
          <t>13.10-17.10</t>
        </is>
      </c>
      <c r="K800" s="331" t="n"/>
      <c r="L800" s="252" t="n"/>
      <c r="M800" s="252" t="n"/>
      <c r="N800" s="252" t="n"/>
      <c r="O800" s="244">
        <f>M800*N800</f>
        <v/>
      </c>
      <c r="P800" s="252" t="n"/>
      <c r="Q800" s="252" t="n"/>
      <c r="R800" s="252" t="n"/>
      <c r="S800" s="244">
        <f>Q800*R800</f>
        <v/>
      </c>
    </row>
    <row r="801" ht="22.2" customHeight="1" s="330">
      <c r="A801" s="4" t="n"/>
      <c r="B801" s="5" t="n"/>
      <c r="D801" s="3" t="n"/>
      <c r="E801" s="3" t="n"/>
      <c r="G801" s="252" t="n"/>
      <c r="H801" s="325" t="n"/>
      <c r="I801" s="325" t="n"/>
      <c r="J801" s="252" t="n"/>
      <c r="K801" s="331" t="n"/>
      <c r="L801" s="252" t="n"/>
      <c r="M801" s="252" t="n"/>
      <c r="N801" s="252" t="n"/>
      <c r="O801" s="244">
        <f>M801*N801</f>
        <v/>
      </c>
      <c r="P801" s="252" t="n"/>
      <c r="Q801" s="252" t="n"/>
      <c r="R801" s="252" t="n"/>
      <c r="S801" s="244">
        <f>Q801*R801</f>
        <v/>
      </c>
    </row>
    <row r="802" ht="22.2" customHeight="1" s="330">
      <c r="A802" s="4" t="n"/>
      <c r="E802" s="4" t="n"/>
      <c r="G802" s="248" t="n"/>
      <c r="H802" s="248" t="n"/>
      <c r="I802" s="252" t="n"/>
      <c r="J802" s="252" t="n"/>
      <c r="K802" s="331" t="n"/>
      <c r="L802" s="252" t="n"/>
      <c r="M802" s="252" t="n"/>
      <c r="N802" s="252" t="n"/>
      <c r="O802" s="244">
        <f>M802*N802</f>
        <v/>
      </c>
      <c r="P802" s="252" t="n"/>
      <c r="Q802" s="252" t="n"/>
      <c r="R802" s="252" t="n"/>
      <c r="S802" s="244">
        <f>Q802*R802</f>
        <v/>
      </c>
    </row>
    <row r="803" ht="22.2" customHeight="1" s="330">
      <c r="A803" s="4" t="n"/>
      <c r="E803" s="4" t="n"/>
      <c r="G803" s="277" t="n"/>
      <c r="H803" s="277" t="n"/>
      <c r="I803" s="276" t="n"/>
      <c r="J803" s="276" t="n"/>
      <c r="K803" s="476" t="n"/>
      <c r="L803" s="276" t="n"/>
      <c r="M803" s="276" t="n"/>
      <c r="N803" s="276" t="n"/>
      <c r="O803" s="244">
        <f>M803*N803</f>
        <v/>
      </c>
      <c r="P803" s="276" t="n"/>
      <c r="Q803" s="276" t="n"/>
      <c r="R803" s="276" t="n"/>
      <c r="S803" s="244">
        <f>Q803*R803</f>
        <v/>
      </c>
    </row>
    <row r="804" ht="22.2" customHeight="1" s="330">
      <c r="A804" s="4" t="n"/>
      <c r="E804" s="4" t="n"/>
      <c r="G804" s="62" t="inlineStr">
        <is>
          <t>พฤหัส</t>
        </is>
      </c>
      <c r="H804" s="325" t="inlineStr">
        <is>
          <t>20101-2005</t>
        </is>
      </c>
      <c r="I804" s="325" t="inlineStr">
        <is>
          <t>ปวช.2/2 ชย. (ปกติ)</t>
        </is>
      </c>
      <c r="J804" s="332" t="inlineStr">
        <is>
          <t>08.10-12.10</t>
        </is>
      </c>
      <c r="K804" s="335" t="n"/>
      <c r="L804" s="275" t="n"/>
      <c r="M804" s="252" t="n"/>
      <c r="N804" s="252" t="n"/>
      <c r="O804" s="244">
        <f>M804*N804</f>
        <v/>
      </c>
      <c r="P804" s="252" t="n"/>
      <c r="Q804" s="275" t="n"/>
      <c r="R804" s="275" t="n"/>
      <c r="S804" s="244">
        <f>Q804*R804</f>
        <v/>
      </c>
      <c r="T804" s="25" t="n"/>
      <c r="U804" s="26" t="inlineStr">
        <is>
          <t xml:space="preserve">     PLC</t>
        </is>
      </c>
      <c r="V804" s="64" t="n"/>
      <c r="W804" s="27" t="n"/>
      <c r="X804" s="27" t="n"/>
    </row>
    <row r="805" ht="22.2" customHeight="1" s="330">
      <c r="A805" s="4" t="n"/>
      <c r="E805" s="4" t="n"/>
      <c r="G805" s="308">
        <f>G575</f>
        <v/>
      </c>
      <c r="H805" s="325" t="inlineStr">
        <is>
          <t>20000-2002</t>
        </is>
      </c>
      <c r="I805" s="325" t="inlineStr">
        <is>
          <t>ปวช.1/7,8 ชย. (ปกติ)</t>
        </is>
      </c>
      <c r="J805" s="252" t="inlineStr">
        <is>
          <t>13.10-15.10</t>
        </is>
      </c>
      <c r="K805" s="331" t="n"/>
      <c r="L805" s="285" t="n"/>
      <c r="M805" s="252" t="n"/>
      <c r="N805" s="252" t="n"/>
      <c r="O805" s="244">
        <f>M805*N805</f>
        <v/>
      </c>
      <c r="P805" s="252" t="n"/>
      <c r="Q805" s="252" t="n"/>
      <c r="R805" s="252" t="n"/>
      <c r="S805" s="244">
        <f>Q805*R805</f>
        <v/>
      </c>
      <c r="T805" s="27" t="inlineStr">
        <is>
          <t> </t>
        </is>
      </c>
      <c r="U805" s="26" t="inlineStr">
        <is>
          <t>17.10-19.10</t>
        </is>
      </c>
      <c r="V805" s="64" t="n"/>
      <c r="W805" s="27" t="n"/>
      <c r="X805" s="27" t="n"/>
    </row>
    <row r="806" ht="22.2" customHeight="1" s="330">
      <c r="A806" s="4" t="n"/>
      <c r="B806" s="5" t="n"/>
      <c r="E806" s="4" t="n"/>
      <c r="G806" s="252" t="n"/>
      <c r="H806" s="325" t="inlineStr">
        <is>
          <t>20101-2005</t>
        </is>
      </c>
      <c r="I806" s="325" t="inlineStr">
        <is>
          <t>ปวช.2/2 ชย. (ปกติ)</t>
        </is>
      </c>
      <c r="J806" s="252" t="inlineStr">
        <is>
          <t>15.10-18.10</t>
        </is>
      </c>
      <c r="K806" s="331" t="n"/>
      <c r="L806" s="252" t="n"/>
      <c r="M806" s="325" t="n"/>
      <c r="N806" s="325" t="n"/>
      <c r="O806" s="244">
        <f>M806*N806</f>
        <v/>
      </c>
      <c r="P806" s="325" t="n"/>
      <c r="Q806" s="325" t="n"/>
      <c r="R806" s="325" t="n"/>
      <c r="S806" s="244">
        <f>Q806*R806</f>
        <v/>
      </c>
    </row>
    <row r="807" ht="22.2" customHeight="1" s="330">
      <c r="A807" s="4" t="n"/>
      <c r="E807" s="4" t="n"/>
      <c r="G807" s="252" t="n"/>
      <c r="H807" s="252" t="n"/>
      <c r="I807" s="252" t="n"/>
      <c r="J807" s="252" t="n"/>
      <c r="K807" s="331" t="n"/>
      <c r="L807" s="252" t="n"/>
      <c r="M807" s="252" t="n"/>
      <c r="N807" s="252" t="n"/>
      <c r="O807" s="244">
        <f>M807*N807</f>
        <v/>
      </c>
      <c r="P807" s="252" t="n"/>
      <c r="Q807" s="252" t="n"/>
      <c r="R807" s="252" t="n"/>
      <c r="S807" s="244">
        <f>Q807*R807</f>
        <v/>
      </c>
    </row>
    <row r="808" ht="22.2" customHeight="1" s="330">
      <c r="A808" s="4" t="n"/>
      <c r="E808" s="4" t="n"/>
      <c r="G808" s="276" t="n"/>
      <c r="H808" s="301" t="n"/>
      <c r="I808" s="276" t="n"/>
      <c r="J808" s="276" t="n"/>
      <c r="K808" s="476" t="n"/>
      <c r="L808" s="276" t="n"/>
      <c r="M808" s="276" t="n"/>
      <c r="N808" s="276" t="n"/>
      <c r="O808" s="244">
        <f>M808*N808</f>
        <v/>
      </c>
      <c r="P808" s="276" t="n"/>
      <c r="Q808" s="276" t="n"/>
      <c r="R808" s="276" t="n"/>
      <c r="S808" s="244">
        <f>Q808*R808</f>
        <v/>
      </c>
    </row>
    <row r="809" ht="22.2" customHeight="1" s="330">
      <c r="A809" s="4" t="n"/>
      <c r="E809" s="4" t="n"/>
      <c r="G809" s="62" t="inlineStr">
        <is>
          <t>ศุกร์</t>
        </is>
      </c>
      <c r="H809" s="325" t="inlineStr">
        <is>
          <t>20101-2110</t>
        </is>
      </c>
      <c r="I809" s="325" t="inlineStr">
        <is>
          <t>ปวช.3/2 ชย. (ปกติ)</t>
        </is>
      </c>
      <c r="J809" s="332" t="inlineStr">
        <is>
          <t>08.10-12.10</t>
        </is>
      </c>
      <c r="K809" s="335" t="n"/>
      <c r="L809" s="265" t="n"/>
      <c r="M809" s="252" t="n"/>
      <c r="N809" s="252" t="n"/>
      <c r="O809" s="244">
        <f>M809*N809</f>
        <v/>
      </c>
      <c r="P809" s="332" t="n"/>
      <c r="Q809" s="265" t="n"/>
      <c r="R809" s="332" t="n"/>
      <c r="S809" s="244">
        <f>Q809*R809</f>
        <v/>
      </c>
    </row>
    <row r="810" ht="22.2" customHeight="1" s="330">
      <c r="A810" s="4" t="n"/>
      <c r="E810" s="4" t="n"/>
      <c r="G810" s="308">
        <f>G580</f>
        <v/>
      </c>
      <c r="H810" s="325" t="n"/>
      <c r="I810" s="325" t="n"/>
      <c r="J810" s="252" t="n"/>
      <c r="K810" s="331" t="n"/>
      <c r="L810" s="252" t="n"/>
      <c r="M810" s="252" t="n"/>
      <c r="N810" s="252" t="n"/>
      <c r="O810" s="244">
        <f>M810*N810</f>
        <v/>
      </c>
      <c r="P810" s="252" t="n"/>
      <c r="Q810" s="252" t="n"/>
      <c r="R810" s="252" t="n"/>
      <c r="S810" s="244">
        <f>Q810*R810</f>
        <v/>
      </c>
    </row>
    <row r="811" ht="22.2" customHeight="1" s="330">
      <c r="A811" s="4" t="n"/>
      <c r="E811" s="4" t="n"/>
      <c r="G811" s="252" t="n"/>
      <c r="H811" s="325" t="n"/>
      <c r="I811" s="325" t="n"/>
      <c r="J811" s="252" t="n"/>
      <c r="K811" s="331" t="n"/>
      <c r="L811" s="252" t="n"/>
      <c r="M811" s="325" t="n"/>
      <c r="N811" s="325" t="n"/>
      <c r="O811" s="244">
        <f>M811*N811</f>
        <v/>
      </c>
      <c r="P811" s="252" t="n"/>
      <c r="Q811" s="252" t="n"/>
      <c r="R811" s="252" t="n"/>
      <c r="S811" s="244">
        <f>Q811*R811</f>
        <v/>
      </c>
    </row>
    <row r="812" ht="22.2" customHeight="1" s="330">
      <c r="A812" s="4" t="n"/>
      <c r="E812" s="4" t="n"/>
      <c r="G812" s="252" t="n"/>
      <c r="H812" s="249" t="inlineStr">
        <is>
          <t> </t>
        </is>
      </c>
      <c r="I812" s="252" t="n"/>
      <c r="J812" s="252" t="n"/>
      <c r="K812" s="331" t="n"/>
      <c r="L812" s="252" t="n"/>
      <c r="M812" s="252" t="n"/>
      <c r="N812" s="252" t="n"/>
      <c r="O812" s="244">
        <f>M812*N812</f>
        <v/>
      </c>
      <c r="P812" s="252" t="n"/>
      <c r="Q812" s="252" t="n"/>
      <c r="R812" s="252" t="n"/>
      <c r="S812" s="244">
        <f>Q812*R812</f>
        <v/>
      </c>
    </row>
    <row r="813" ht="22.2" customHeight="1" s="330">
      <c r="A813" s="4" t="n"/>
      <c r="E813" s="4" t="n"/>
      <c r="F813" s="4" t="n"/>
      <c r="G813" s="278" t="n"/>
      <c r="H813" s="301" t="n"/>
      <c r="I813" s="276" t="n"/>
      <c r="J813" s="276" t="n"/>
      <c r="K813" s="476" t="n"/>
      <c r="L813" s="276" t="n"/>
      <c r="M813" s="276" t="n"/>
      <c r="N813" s="276" t="n"/>
      <c r="O813" s="244">
        <f>M813*N813</f>
        <v/>
      </c>
      <c r="P813" s="276" t="n"/>
      <c r="Q813" s="276" t="n"/>
      <c r="R813" s="276" t="n"/>
      <c r="S813" s="244">
        <f>Q813*R813</f>
        <v/>
      </c>
    </row>
    <row r="814" ht="22.2" customHeight="1" s="330">
      <c r="A814" s="4" t="n"/>
      <c r="E814" s="4" t="n"/>
      <c r="F814" s="4" t="n"/>
      <c r="G814" s="17" t="inlineStr">
        <is>
          <t>รวมขั่วโมงที่สอนแยก ภาระงาน/ เกินภาระงาน</t>
        </is>
      </c>
      <c r="H814" s="467" t="n"/>
      <c r="I814" s="467" t="n"/>
      <c r="J814" s="467" t="n"/>
      <c r="K814" s="362" t="n"/>
      <c r="L814" s="17">
        <f>SUM(L789:L813)</f>
        <v/>
      </c>
      <c r="M814" s="17">
        <f>SUM(M789:M813)</f>
        <v/>
      </c>
      <c r="N814" s="17" t="n"/>
      <c r="O814" s="17" t="n"/>
      <c r="P814" s="17">
        <f>SUM(P789:P813)</f>
        <v/>
      </c>
      <c r="Q814" s="17">
        <f>SUM(Q789:Q813)</f>
        <v/>
      </c>
      <c r="R814" s="279" t="n"/>
      <c r="S814" s="17" t="n"/>
    </row>
    <row r="815" ht="22.2" customHeight="1" s="330">
      <c r="A815" s="4" t="n"/>
      <c r="E815" s="4" t="n"/>
      <c r="F815" s="4" t="n"/>
      <c r="G815" s="17" t="inlineStr">
        <is>
          <t>รวมจำนวนชั่วโมงสอนคาบต่อสับดาห์</t>
        </is>
      </c>
      <c r="H815" s="467" t="n"/>
      <c r="I815" s="467" t="n"/>
      <c r="J815" s="467" t="n"/>
      <c r="K815" s="362" t="n"/>
      <c r="L815" s="17">
        <f>L814+M814</f>
        <v/>
      </c>
      <c r="M815" s="362" t="n"/>
      <c r="N815" s="298" t="n"/>
      <c r="O815" s="17" t="n"/>
      <c r="P815" s="17">
        <f>P814+Q814</f>
        <v/>
      </c>
      <c r="Q815" s="362" t="n"/>
      <c r="R815" s="278" t="n"/>
      <c r="S815" s="276" t="n"/>
    </row>
    <row r="816" ht="22.2" customHeight="1" s="330">
      <c r="A816" s="4" t="n"/>
      <c r="E816" s="4" t="n"/>
      <c r="F816" s="4" t="n"/>
      <c r="G816" s="17" t="inlineStr">
        <is>
          <t>จำนวนชั่วโมงสอนตามภาระงานสอน</t>
        </is>
      </c>
      <c r="H816" s="467" t="n"/>
      <c r="I816" s="467" t="n"/>
      <c r="J816" s="467" t="n"/>
      <c r="K816" s="362" t="n"/>
      <c r="L816" s="17" t="n">
        <v>18</v>
      </c>
      <c r="M816" s="362" t="n"/>
      <c r="N816" s="298" t="n"/>
      <c r="O816" s="17" t="n"/>
      <c r="P816" s="17" t="n">
        <v>0</v>
      </c>
      <c r="Q816" s="362" t="n"/>
      <c r="R816" s="249" t="n"/>
      <c r="S816" s="252" t="n"/>
    </row>
    <row r="817" ht="22.2" customHeight="1" s="330" thickBot="1">
      <c r="A817" s="4" t="n"/>
      <c r="E817" s="4" t="n"/>
      <c r="F817" s="15" t="n"/>
      <c r="G817" s="17" t="inlineStr">
        <is>
          <t>จำนวนชั่วโมงบิกเกินภาระงานสอน/ค่าสอน</t>
        </is>
      </c>
      <c r="H817" s="467" t="n"/>
      <c r="I817" s="467" t="n"/>
      <c r="J817" s="467" t="n"/>
      <c r="K817" s="362" t="n"/>
      <c r="L817" s="18" t="n">
        <v>0</v>
      </c>
      <c r="M817" s="18">
        <f>SUM(M789:M813)</f>
        <v/>
      </c>
      <c r="N817" s="18" t="n"/>
      <c r="O817" s="18">
        <f>SUM(O789:O813)</f>
        <v/>
      </c>
      <c r="P817" s="18" t="n">
        <v>0</v>
      </c>
      <c r="Q817" s="18">
        <f>SUM(Q789:Q813)</f>
        <v/>
      </c>
      <c r="R817" s="19" t="n"/>
      <c r="S817" s="18">
        <f>SUM(S789:S813)</f>
        <v/>
      </c>
    </row>
    <row r="818" ht="22.2" customHeight="1" s="330" thickTop="1">
      <c r="A818" s="299" t="inlineStr">
        <is>
          <t>รวมจำนวนหน่วยชั่วโมงที่ขอเบิกค่าสอน ….</t>
        </is>
      </c>
      <c r="B818" s="467" t="n"/>
      <c r="C818" s="467" t="n"/>
      <c r="D818" s="467" t="n"/>
      <c r="E818" s="467" t="n"/>
      <c r="F818" s="467" t="n"/>
      <c r="G818" s="467" t="n"/>
      <c r="H818" s="298">
        <f>M817+Q817</f>
        <v/>
      </c>
      <c r="I818" s="298" t="inlineStr">
        <is>
          <t>….ชั่วโมง</t>
        </is>
      </c>
      <c r="J818" s="298" t="n"/>
      <c r="K818" s="301" t="inlineStr">
        <is>
          <t>ยอดเงินรวม</t>
        </is>
      </c>
      <c r="L818" s="471" t="n"/>
      <c r="M818" s="471" t="n"/>
      <c r="N818" s="301" t="n"/>
      <c r="O818" s="301" t="n"/>
      <c r="P818" s="302">
        <f>S817+O817</f>
        <v/>
      </c>
      <c r="Q818" s="482" t="n"/>
      <c r="R818" s="21" t="n"/>
      <c r="S818" s="20" t="inlineStr">
        <is>
          <t>..บาท</t>
        </is>
      </c>
    </row>
    <row r="819" ht="22.2" customHeight="1" s="330">
      <c r="A819" s="207" t="inlineStr">
        <is>
          <t>ผู้ขอเบิก</t>
        </is>
      </c>
      <c r="B819" s="334" t="n"/>
      <c r="C819" s="334" t="n"/>
      <c r="D819" s="334" t="n"/>
      <c r="E819" s="334" t="n"/>
      <c r="F819" s="334" t="n"/>
      <c r="G819" s="335" t="n"/>
      <c r="H819" s="207" t="inlineStr">
        <is>
          <t>ผู้รับรอง</t>
        </is>
      </c>
      <c r="I819" s="334" t="n"/>
      <c r="J819" s="334" t="n"/>
      <c r="K819" s="334" t="n"/>
      <c r="L819" s="335" t="n"/>
      <c r="M819" s="207" t="inlineStr">
        <is>
          <t>ผู้ตรวจ</t>
        </is>
      </c>
      <c r="N819" s="334" t="n"/>
      <c r="O819" s="334" t="n"/>
      <c r="P819" s="334" t="n"/>
      <c r="Q819" s="334" t="n"/>
      <c r="R819" s="334" t="n"/>
      <c r="S819" s="335" t="n"/>
    </row>
    <row r="820" ht="22.2" customHeight="1" s="330">
      <c r="A820" s="252" t="inlineStr">
        <is>
          <t>ลงชื่อ……………………………………………</t>
        </is>
      </c>
      <c r="G820" s="331" t="n"/>
      <c r="H820" s="252" t="inlineStr">
        <is>
          <t>ลงชื่อ……………………………………………</t>
        </is>
      </c>
      <c r="L820" s="331" t="n"/>
      <c r="M820" s="252" t="inlineStr">
        <is>
          <t>ลงชื่อ……………………………………………</t>
        </is>
      </c>
      <c r="S820" s="331" t="n"/>
    </row>
    <row r="821" ht="22.2" customHeight="1" s="330">
      <c r="A821" s="12" t="inlineStr">
        <is>
          <t>(</t>
        </is>
      </c>
      <c r="B821" s="309">
        <f>B789</f>
        <v/>
      </c>
      <c r="G821" s="310" t="inlineStr">
        <is>
          <t>)</t>
        </is>
      </c>
      <c r="H821" s="309" t="inlineStr">
        <is>
          <t>(</t>
        </is>
      </c>
      <c r="I821" s="314">
        <f>I591</f>
        <v/>
      </c>
      <c r="L821" s="13" t="inlineStr">
        <is>
          <t>)</t>
        </is>
      </c>
      <c r="M821" s="61" t="inlineStr">
        <is>
          <t>(</t>
        </is>
      </c>
      <c r="N821" s="61" t="n"/>
      <c r="O821" s="309" t="inlineStr">
        <is>
          <t>นายพิสุทธิศักดิ์  กล่อมนาค</t>
        </is>
      </c>
      <c r="R821" s="29" t="n"/>
      <c r="S821" s="310" t="inlineStr">
        <is>
          <t>)</t>
        </is>
      </c>
    </row>
    <row r="822" ht="22.2" customHeight="1" s="330">
      <c r="A822" s="483" t="inlineStr">
        <is>
          <t xml:space="preserve">                        ตำแหน่ง ครู</t>
        </is>
      </c>
      <c r="G822" s="331" t="n"/>
      <c r="H822" s="62" t="inlineStr">
        <is>
          <t>ตำแหน่ง หัวหน้าแผนก</t>
        </is>
      </c>
      <c r="L822" s="331" t="n"/>
      <c r="M822" s="62" t="inlineStr">
        <is>
          <t>ตำแหน่ง   ผู้ตรวจสอบ</t>
        </is>
      </c>
      <c r="S822" s="331" t="n"/>
    </row>
    <row r="823" ht="22.2" customHeight="1" s="330">
      <c r="A823" s="63">
        <f>A41</f>
        <v/>
      </c>
      <c r="B823" s="471" t="n"/>
      <c r="C823" s="471" t="n"/>
      <c r="D823" s="471" t="n"/>
      <c r="E823" s="471" t="n"/>
      <c r="F823" s="471" t="n"/>
      <c r="G823" s="476" t="n"/>
      <c r="H823" s="62">
        <f>A41</f>
        <v/>
      </c>
      <c r="L823" s="331" t="n"/>
      <c r="M823" s="63">
        <f>A41</f>
        <v/>
      </c>
      <c r="N823" s="471" t="n"/>
      <c r="O823" s="471" t="n"/>
      <c r="P823" s="471" t="n"/>
      <c r="Q823" s="471" t="n"/>
      <c r="R823" s="471" t="n"/>
      <c r="S823" s="476" t="n"/>
    </row>
    <row r="824" ht="22.2" customHeight="1" s="330">
      <c r="A824" s="207" t="inlineStr">
        <is>
          <t>ผู้ตรวจ</t>
        </is>
      </c>
      <c r="B824" s="334" t="n"/>
      <c r="C824" s="334" t="n"/>
      <c r="D824" s="334" t="n"/>
      <c r="E824" s="334" t="n"/>
      <c r="F824" s="334" t="n"/>
      <c r="G824" s="334" t="n"/>
      <c r="H824" s="334" t="n"/>
      <c r="I824" s="335" t="n"/>
      <c r="J824" s="207" t="inlineStr">
        <is>
          <t>ผู้เห็นชอบ</t>
        </is>
      </c>
      <c r="K824" s="334" t="n"/>
      <c r="L824" s="334" t="n"/>
      <c r="M824" s="334" t="n"/>
      <c r="N824" s="334" t="n"/>
      <c r="O824" s="334" t="n"/>
      <c r="P824" s="334" t="n"/>
      <c r="Q824" s="334" t="n"/>
      <c r="R824" s="334" t="n"/>
      <c r="S824" s="335" t="n"/>
    </row>
    <row r="825" ht="22.2" customHeight="1" s="330">
      <c r="A825" s="252" t="inlineStr">
        <is>
          <t>ลงชื่อ……………………………………………</t>
        </is>
      </c>
      <c r="I825" s="331" t="n"/>
      <c r="J825" s="252" t="inlineStr">
        <is>
          <t>ลงชื่อ……………………………………………</t>
        </is>
      </c>
      <c r="S825" s="331" t="n"/>
    </row>
    <row r="826" ht="22.2" customHeight="1" s="330">
      <c r="A826" s="12" t="n"/>
      <c r="B826" s="309" t="inlineStr">
        <is>
          <t xml:space="preserve">          (นางศิวรักษ์   บุญประเสริฐ)</t>
        </is>
      </c>
      <c r="I826" s="310" t="n"/>
      <c r="J826" s="29" t="n"/>
      <c r="K826" s="29" t="n"/>
      <c r="L826" s="309" t="inlineStr">
        <is>
          <t>(นายปรีชา  โพธิ์เกิด)</t>
        </is>
      </c>
      <c r="R826" s="29" t="n"/>
      <c r="S826" s="13" t="n"/>
    </row>
    <row r="827" ht="22.2" customHeight="1" s="330">
      <c r="A827" s="62" t="inlineStr">
        <is>
          <t>ตำแหน่งครู  หัวหน้างานพัฒนาหลักสูตร ฯ</t>
        </is>
      </c>
      <c r="I827" s="331" t="n"/>
      <c r="J827" s="62" t="inlineStr">
        <is>
          <t>ตำแหน่ง  รองผู้อำนวยการฝ่ายวิชาการ</t>
        </is>
      </c>
      <c r="S827" s="331" t="n"/>
    </row>
    <row r="828" ht="22.2" customHeight="1" s="330">
      <c r="A828" s="63">
        <f>A41</f>
        <v/>
      </c>
      <c r="B828" s="471" t="n"/>
      <c r="C828" s="471" t="n"/>
      <c r="D828" s="471" t="n"/>
      <c r="E828" s="471" t="n"/>
      <c r="F828" s="471" t="n"/>
      <c r="G828" s="471" t="n"/>
      <c r="H828" s="471" t="n"/>
      <c r="I828" s="476" t="n"/>
      <c r="J828" s="63">
        <f>A41</f>
        <v/>
      </c>
      <c r="K828" s="471" t="n"/>
      <c r="L828" s="471" t="n"/>
      <c r="M828" s="471" t="n"/>
      <c r="N828" s="471" t="n"/>
      <c r="O828" s="471" t="n"/>
      <c r="P828" s="471" t="n"/>
      <c r="Q828" s="471" t="n"/>
      <c r="R828" s="471" t="n"/>
      <c r="S828" s="476" t="n"/>
    </row>
    <row r="829" ht="22.2" customHeight="1" s="330">
      <c r="A82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830" ht="22.2" customHeight="1" s="330">
      <c r="A830" s="254">
        <f>A2</f>
        <v/>
      </c>
    </row>
    <row r="831" ht="22.2" customHeight="1" s="330">
      <c r="A831" s="253" t="inlineStr">
        <is>
          <t xml:space="preserve">    ระหว่างวันที่</t>
        </is>
      </c>
      <c r="D831" s="254">
        <f>D3</f>
        <v/>
      </c>
      <c r="E831" s="254" t="inlineStr">
        <is>
          <t xml:space="preserve">   เดือน  </t>
        </is>
      </c>
      <c r="F831" s="254">
        <f>F3</f>
        <v/>
      </c>
      <c r="H831" s="254">
        <f>H3</f>
        <v/>
      </c>
      <c r="I831" s="254" t="inlineStr">
        <is>
          <t xml:space="preserve">     ถึง วันที่</t>
        </is>
      </c>
      <c r="J831" s="254">
        <f>J3</f>
        <v/>
      </c>
      <c r="K831" s="254" t="inlineStr">
        <is>
          <t xml:space="preserve">   เดือน </t>
        </is>
      </c>
      <c r="L831" s="254">
        <f>L3</f>
        <v/>
      </c>
      <c r="N831" s="254">
        <f>N3</f>
        <v/>
      </c>
      <c r="P831" s="254" t="n"/>
      <c r="R831" s="254" t="n"/>
    </row>
    <row r="832" ht="22.2" customHeight="1" s="330">
      <c r="G832" s="58" t="inlineStr">
        <is>
          <t>ü</t>
        </is>
      </c>
      <c r="H832" s="301" t="inlineStr">
        <is>
          <t>พนง.ราชการ</t>
        </is>
      </c>
      <c r="I832" s="249" t="inlineStr">
        <is>
          <t>หน้าที่พิเศษ</t>
        </is>
      </c>
      <c r="J832" s="290" t="inlineStr">
        <is>
          <t>หัวหน้างานสวัสดิการ นักเรียนนักศึกษา</t>
        </is>
      </c>
      <c r="K832" s="290" t="n"/>
    </row>
    <row r="833" ht="22.2" customHeight="1" s="330">
      <c r="A833" s="28" t="inlineStr">
        <is>
          <t>ที่</t>
        </is>
      </c>
      <c r="B833" s="28" t="inlineStr">
        <is>
          <t>ชื่อ-สกุล</t>
        </is>
      </c>
      <c r="C833" s="334" t="n"/>
      <c r="D833" s="335" t="n"/>
      <c r="E833" s="16" t="inlineStr">
        <is>
          <t>ตำแหน่ง</t>
        </is>
      </c>
      <c r="F833" s="17" t="inlineStr">
        <is>
          <t>ระยะเวลาที่สอน</t>
        </is>
      </c>
      <c r="G833" s="362" t="n"/>
      <c r="H833" s="17" t="inlineStr">
        <is>
          <t>รหัสวิชา</t>
        </is>
      </c>
      <c r="I833" s="275" t="inlineStr">
        <is>
          <t>ชั้น,แผนก,ห้อง</t>
        </is>
      </c>
      <c r="J833" s="17" t="inlineStr">
        <is>
          <t>เวลาสอน</t>
        </is>
      </c>
      <c r="K833" s="335" t="n"/>
      <c r="L833" s="17" t="inlineStr">
        <is>
          <t>ปวช.(คาบ)</t>
        </is>
      </c>
      <c r="M833" s="362" t="n"/>
      <c r="N833" s="244" t="inlineStr">
        <is>
          <t>เงิน</t>
        </is>
      </c>
      <c r="O833" s="275" t="inlineStr">
        <is>
          <t>ยอดเงิน</t>
        </is>
      </c>
      <c r="P833" s="473" t="inlineStr">
        <is>
          <t>ปวส.(คาบ)</t>
        </is>
      </c>
      <c r="Q833" s="362" t="n"/>
      <c r="R833" s="244" t="inlineStr">
        <is>
          <t>เงิน</t>
        </is>
      </c>
      <c r="S833" s="275" t="inlineStr">
        <is>
          <t>ยอดเงิน</t>
        </is>
      </c>
    </row>
    <row r="834" ht="22.2" customHeight="1" s="330">
      <c r="A834" s="60" t="n"/>
      <c r="B834" s="9" t="n"/>
      <c r="C834" s="10" t="n"/>
      <c r="D834" s="14" t="n"/>
      <c r="E834" s="11" t="n"/>
      <c r="F834" s="276" t="inlineStr">
        <is>
          <t>ส.</t>
        </is>
      </c>
      <c r="G834" s="276" t="inlineStr">
        <is>
          <t>วดป.</t>
        </is>
      </c>
      <c r="H834" s="474" t="n"/>
      <c r="I834" s="276" t="n"/>
      <c r="J834" s="475" t="n"/>
      <c r="K834" s="476" t="n"/>
      <c r="L834" s="276" t="inlineStr">
        <is>
          <t>ใน</t>
        </is>
      </c>
      <c r="M834" s="276" t="inlineStr">
        <is>
          <t>นอก</t>
        </is>
      </c>
      <c r="N834" s="276" t="inlineStr">
        <is>
          <t>ต่อ ชม.</t>
        </is>
      </c>
      <c r="O834" s="276" t="inlineStr">
        <is>
          <t>(บาท)</t>
        </is>
      </c>
      <c r="P834" s="60" t="inlineStr">
        <is>
          <t>ใน</t>
        </is>
      </c>
      <c r="Q834" s="60" t="inlineStr">
        <is>
          <t>นอก</t>
        </is>
      </c>
      <c r="R834" s="276" t="inlineStr">
        <is>
          <t>ต่อ ชม.</t>
        </is>
      </c>
      <c r="S834" s="276" t="inlineStr">
        <is>
          <t>(บาท)</t>
        </is>
      </c>
    </row>
    <row r="835" ht="22.2" customHeight="1" s="330">
      <c r="A835" s="275" t="n">
        <v>19</v>
      </c>
      <c r="B835" s="477">
        <f>AB21</f>
        <v/>
      </c>
      <c r="C835" s="334" t="n"/>
      <c r="D835" s="335" t="n"/>
      <c r="E835" s="275" t="inlineStr">
        <is>
          <t>พนักงาน</t>
        </is>
      </c>
      <c r="F835" s="6">
        <f>F7</f>
        <v/>
      </c>
      <c r="G835" s="303" t="inlineStr">
        <is>
          <t>จันทร์</t>
        </is>
      </c>
      <c r="H835" s="332" t="n"/>
      <c r="I835" s="325" t="n"/>
      <c r="J835" s="332" t="n"/>
      <c r="K835" s="335" t="n"/>
      <c r="L835" s="265" t="n"/>
      <c r="M835" s="332" t="n"/>
      <c r="N835" s="332" t="n"/>
      <c r="O835" s="244">
        <f>M835*N835</f>
        <v/>
      </c>
      <c r="P835" s="332" t="n"/>
      <c r="Q835" s="265" t="n"/>
      <c r="R835" s="332" t="n"/>
      <c r="S835" s="244">
        <f>Q835*R835</f>
        <v/>
      </c>
    </row>
    <row r="836" ht="22.2" customHeight="1" s="330">
      <c r="A836" s="4" t="n"/>
      <c r="B836" s="478" t="n"/>
      <c r="D836" s="331" t="n"/>
      <c r="E836" s="252" t="inlineStr">
        <is>
          <t>ราชการ</t>
        </is>
      </c>
      <c r="F836" s="249" t="n"/>
      <c r="G836" s="308">
        <f>G790</f>
        <v/>
      </c>
      <c r="H836" s="325" t="n"/>
      <c r="I836" s="325" t="n"/>
      <c r="J836" s="252" t="n"/>
      <c r="K836" s="331" t="n"/>
      <c r="L836" s="252" t="n"/>
      <c r="M836" s="252" t="n"/>
      <c r="N836" s="252" t="n"/>
      <c r="O836" s="244">
        <f>M836*N836</f>
        <v/>
      </c>
      <c r="P836" s="252" t="n"/>
      <c r="Q836" s="252" t="n"/>
      <c r="R836" s="252" t="n"/>
      <c r="S836" s="244">
        <f>Q836*R836</f>
        <v/>
      </c>
    </row>
    <row r="837" ht="22.2" customHeight="1" s="330">
      <c r="A837" s="4" t="n"/>
      <c r="B837" s="5" t="n"/>
      <c r="D837" s="3" t="n"/>
      <c r="E837" s="3" t="n"/>
      <c r="F837" s="249" t="n"/>
      <c r="G837" s="248" t="n"/>
      <c r="H837" s="252" t="n"/>
      <c r="I837" s="252" t="n"/>
      <c r="J837" s="252" t="n"/>
      <c r="K837" s="331" t="n"/>
      <c r="L837" s="252" t="n"/>
      <c r="M837" s="252" t="n"/>
      <c r="N837" s="252" t="n"/>
      <c r="O837" s="244">
        <f>M837*N837</f>
        <v/>
      </c>
      <c r="P837" s="252" t="n"/>
      <c r="Q837" s="252" t="n"/>
      <c r="R837" s="252" t="n"/>
      <c r="S837" s="244">
        <f>Q837*R837</f>
        <v/>
      </c>
    </row>
    <row r="838" ht="22.2" customHeight="1" s="330">
      <c r="A838" s="4" t="n"/>
      <c r="B838" s="5" t="n"/>
      <c r="E838" s="4" t="n"/>
      <c r="F838" s="249" t="n"/>
      <c r="G838" s="248" t="n"/>
      <c r="H838" s="252" t="n"/>
      <c r="I838" s="252" t="n"/>
      <c r="J838" s="252" t="n"/>
      <c r="K838" s="331" t="n"/>
      <c r="L838" s="252" t="n"/>
      <c r="M838" s="252" t="n"/>
      <c r="N838" s="252" t="n"/>
      <c r="O838" s="244">
        <f>M838*N838</f>
        <v/>
      </c>
      <c r="P838" s="252" t="n"/>
      <c r="Q838" s="252" t="n"/>
      <c r="R838" s="252" t="n"/>
      <c r="S838" s="244">
        <f>Q838*R838</f>
        <v/>
      </c>
    </row>
    <row r="839" ht="22.2" customHeight="1" s="330">
      <c r="A839" s="4" t="n"/>
      <c r="E839" s="4" t="n"/>
      <c r="G839" s="311" t="n"/>
      <c r="H839" s="276" t="n"/>
      <c r="I839" s="276" t="n"/>
      <c r="J839" s="276" t="n"/>
      <c r="K839" s="476" t="n"/>
      <c r="L839" s="252" t="n"/>
      <c r="M839" s="252" t="n"/>
      <c r="N839" s="252" t="n"/>
      <c r="O839" s="244">
        <f>M839*N839</f>
        <v/>
      </c>
      <c r="P839" s="252" t="n"/>
      <c r="Q839" s="252" t="n"/>
      <c r="R839" s="252" t="n"/>
      <c r="S839" s="244">
        <f>Q839*R839</f>
        <v/>
      </c>
    </row>
    <row r="840" ht="22.2" customHeight="1" s="330">
      <c r="A840" s="4" t="n"/>
      <c r="E840" s="4" t="n"/>
      <c r="G840" s="62" t="inlineStr">
        <is>
          <t>อังคาร</t>
        </is>
      </c>
      <c r="H840" s="332" t="inlineStr">
        <is>
          <t>20101-5104</t>
        </is>
      </c>
      <c r="I840" s="325" t="inlineStr">
        <is>
          <t>ปวช.2/10 ชย. (ทวิ)</t>
        </is>
      </c>
      <c r="J840" s="332" t="inlineStr">
        <is>
          <t>08.10-12.10</t>
        </is>
      </c>
      <c r="K840" s="335" t="n"/>
      <c r="L840" s="265" t="n"/>
      <c r="M840" s="332" t="n"/>
      <c r="N840" s="332" t="n"/>
      <c r="O840" s="244">
        <f>M840*N840</f>
        <v/>
      </c>
      <c r="P840" s="332" t="n"/>
      <c r="Q840" s="265" t="n"/>
      <c r="R840" s="332" t="n"/>
      <c r="S840" s="244">
        <f>Q840*R840</f>
        <v/>
      </c>
    </row>
    <row r="841" ht="22.2" customHeight="1" s="330">
      <c r="A841" s="4" t="n"/>
      <c r="E841" s="4" t="n"/>
      <c r="G841" s="308">
        <f>G795</f>
        <v/>
      </c>
      <c r="H841" s="325" t="inlineStr">
        <is>
          <t>20101-5104</t>
        </is>
      </c>
      <c r="I841" s="325" t="inlineStr">
        <is>
          <t>ปวช.2/10 ชย. (ทวิ)</t>
        </is>
      </c>
      <c r="J841" s="252" t="inlineStr">
        <is>
          <t>13.10-16.10</t>
        </is>
      </c>
      <c r="K841" s="331" t="n"/>
      <c r="L841" s="252" t="n"/>
      <c r="M841" s="252" t="n"/>
      <c r="N841" s="252" t="n"/>
      <c r="O841" s="244">
        <f>M841*N841</f>
        <v/>
      </c>
      <c r="P841" s="252" t="n"/>
      <c r="Q841" s="252" t="n"/>
      <c r="R841" s="252" t="n"/>
      <c r="S841" s="244">
        <f>Q841*R841</f>
        <v/>
      </c>
    </row>
    <row r="842" ht="22.2" customHeight="1" s="330">
      <c r="A842" s="4" t="n"/>
      <c r="B842" s="5" t="n"/>
      <c r="D842" s="3" t="n"/>
      <c r="E842" s="3" t="n"/>
      <c r="G842" s="252" t="n"/>
      <c r="H842" s="248" t="n"/>
      <c r="I842" s="252" t="n"/>
      <c r="J842" s="252" t="n"/>
      <c r="K842" s="331" t="n"/>
      <c r="L842" s="252" t="n"/>
      <c r="M842" s="252" t="n"/>
      <c r="N842" s="252" t="n"/>
      <c r="O842" s="244">
        <f>M842*N842</f>
        <v/>
      </c>
      <c r="P842" s="252" t="n"/>
      <c r="Q842" s="252" t="n"/>
      <c r="R842" s="252" t="n"/>
      <c r="S842" s="244">
        <f>Q842*R842</f>
        <v/>
      </c>
    </row>
    <row r="843" ht="22.2" customHeight="1" s="330">
      <c r="A843" s="4" t="n"/>
      <c r="E843" s="4" t="n"/>
      <c r="G843" s="62" t="n"/>
      <c r="H843" s="249" t="n"/>
      <c r="I843" s="252" t="n"/>
      <c r="J843" s="252" t="n"/>
      <c r="K843" s="331" t="n"/>
      <c r="L843" s="252" t="n"/>
      <c r="M843" s="252" t="n"/>
      <c r="N843" s="252" t="n"/>
      <c r="O843" s="244">
        <f>M843*N843</f>
        <v/>
      </c>
      <c r="P843" s="252" t="n"/>
      <c r="Q843" s="252" t="n"/>
      <c r="R843" s="252" t="n"/>
      <c r="S843" s="244">
        <f>Q843*R843</f>
        <v/>
      </c>
    </row>
    <row r="844" ht="22.2" customHeight="1" s="330">
      <c r="A844" s="4" t="n"/>
      <c r="D844" s="8" t="inlineStr">
        <is>
          <t> </t>
        </is>
      </c>
      <c r="E844" s="4" t="n"/>
      <c r="G844" s="63" t="n"/>
      <c r="H844" s="249" t="n"/>
      <c r="I844" s="276" t="n"/>
      <c r="J844" s="276" t="n"/>
      <c r="K844" s="476" t="n"/>
      <c r="L844" s="252" t="n"/>
      <c r="M844" s="252" t="n"/>
      <c r="N844" s="252" t="n"/>
      <c r="O844" s="244">
        <f>M844*N844</f>
        <v/>
      </c>
      <c r="P844" s="252" t="n"/>
      <c r="Q844" s="252" t="n"/>
      <c r="R844" s="252" t="n"/>
      <c r="S844" s="244">
        <f>Q844*R844</f>
        <v/>
      </c>
    </row>
    <row r="845" ht="22.2" customHeight="1" s="330">
      <c r="A845" s="4" t="n"/>
      <c r="E845" s="4" t="n"/>
      <c r="G845" s="308" t="inlineStr">
        <is>
          <t>พุธ</t>
        </is>
      </c>
      <c r="H845" s="332" t="inlineStr">
        <is>
          <t>20101-2005</t>
        </is>
      </c>
      <c r="I845" s="325" t="inlineStr">
        <is>
          <t>ปวช.2/3 ชย. (ปกติ)</t>
        </is>
      </c>
      <c r="J845" s="332" t="inlineStr">
        <is>
          <t>08.10-12.10</t>
        </is>
      </c>
      <c r="K845" s="335" t="n"/>
      <c r="L845" s="265" t="n"/>
      <c r="M845" s="332" t="n"/>
      <c r="N845" s="332" t="n"/>
      <c r="O845" s="244">
        <f>M845*N845</f>
        <v/>
      </c>
      <c r="P845" s="332" t="n"/>
      <c r="Q845" s="265" t="n"/>
      <c r="R845" s="332" t="n"/>
      <c r="S845" s="244">
        <f>Q845*R845</f>
        <v/>
      </c>
    </row>
    <row r="846" ht="22.2" customHeight="1" s="330">
      <c r="A846" s="4" t="n"/>
      <c r="B846" s="248" t="n"/>
      <c r="C846" s="249" t="n"/>
      <c r="D846" s="249" t="n"/>
      <c r="E846" s="252" t="n"/>
      <c r="G846" s="308">
        <f>G800</f>
        <v/>
      </c>
      <c r="H846" s="325" t="inlineStr">
        <is>
          <t>20101-2005</t>
        </is>
      </c>
      <c r="I846" s="325" t="inlineStr">
        <is>
          <t>ปวช.2/3 ชย. (ปกติ)</t>
        </is>
      </c>
      <c r="J846" s="252" t="inlineStr">
        <is>
          <t>13.10-16.10</t>
        </is>
      </c>
      <c r="K846" s="331" t="n"/>
      <c r="L846" s="252" t="n"/>
      <c r="M846" s="252" t="n"/>
      <c r="N846" s="252" t="n"/>
      <c r="O846" s="244">
        <f>M846*N846</f>
        <v/>
      </c>
      <c r="P846" s="252" t="n"/>
      <c r="Q846" s="252" t="n"/>
      <c r="R846" s="252" t="n"/>
      <c r="S846" s="244">
        <f>Q846*R846</f>
        <v/>
      </c>
    </row>
    <row r="847" ht="22.2" customHeight="1" s="330">
      <c r="A847" s="4" t="n"/>
      <c r="B847" s="5" t="n"/>
      <c r="D847" s="3" t="n"/>
      <c r="E847" s="3" t="n"/>
      <c r="G847" s="252" t="n"/>
      <c r="H847" s="248" t="n"/>
      <c r="I847" s="325" t="n"/>
      <c r="J847" s="252" t="n"/>
      <c r="K847" s="331" t="n"/>
      <c r="L847" s="252" t="n"/>
      <c r="M847" s="252" t="n"/>
      <c r="N847" s="252" t="n"/>
      <c r="O847" s="244">
        <f>M847*N847</f>
        <v/>
      </c>
      <c r="P847" s="252" t="n"/>
      <c r="Q847" s="252" t="n"/>
      <c r="R847" s="252" t="n"/>
      <c r="S847" s="244">
        <f>Q847*R847</f>
        <v/>
      </c>
    </row>
    <row r="848" ht="22.2" customHeight="1" s="330">
      <c r="A848" s="4" t="n"/>
      <c r="E848" s="4" t="n"/>
      <c r="G848" s="248" t="n"/>
      <c r="H848" s="248" t="n"/>
      <c r="I848" s="252" t="n"/>
      <c r="J848" s="252" t="n"/>
      <c r="K848" s="331" t="n"/>
      <c r="L848" s="252" t="n"/>
      <c r="M848" s="252" t="n"/>
      <c r="N848" s="252" t="n"/>
      <c r="O848" s="244">
        <f>M848*N848</f>
        <v/>
      </c>
      <c r="P848" s="252" t="n"/>
      <c r="Q848" s="252" t="n"/>
      <c r="R848" s="252" t="n"/>
      <c r="S848" s="244">
        <f>Q848*R848</f>
        <v/>
      </c>
    </row>
    <row r="849" ht="22.2" customHeight="1" s="330">
      <c r="A849" s="4" t="n"/>
      <c r="E849" s="4" t="n"/>
      <c r="G849" s="277" t="n"/>
      <c r="H849" s="277" t="n"/>
      <c r="I849" s="276" t="n"/>
      <c r="J849" s="276" t="n"/>
      <c r="K849" s="476" t="n"/>
      <c r="L849" s="276" t="n"/>
      <c r="M849" s="276" t="n"/>
      <c r="N849" s="276" t="n"/>
      <c r="O849" s="244">
        <f>M849*N849</f>
        <v/>
      </c>
      <c r="P849" s="276" t="n"/>
      <c r="Q849" s="276" t="n"/>
      <c r="R849" s="276" t="n"/>
      <c r="S849" s="244">
        <f>Q849*R849</f>
        <v/>
      </c>
    </row>
    <row r="850" ht="22.2" customHeight="1" s="330">
      <c r="A850" s="4" t="n"/>
      <c r="E850" s="4" t="n"/>
      <c r="G850" s="62" t="inlineStr">
        <is>
          <t>พฤหัส</t>
        </is>
      </c>
      <c r="H850" s="332" t="inlineStr">
        <is>
          <t>20101-2110</t>
        </is>
      </c>
      <c r="I850" s="325" t="inlineStr">
        <is>
          <t>ปวช.3/1 ชย. (ปกติ)</t>
        </is>
      </c>
      <c r="J850" s="332" t="inlineStr">
        <is>
          <t>08.10-12.10</t>
        </is>
      </c>
      <c r="K850" s="335" t="n"/>
      <c r="L850" s="265" t="n"/>
      <c r="M850" s="252" t="n"/>
      <c r="N850" s="252" t="n"/>
      <c r="O850" s="244">
        <f>M850*N850</f>
        <v/>
      </c>
      <c r="P850" s="252" t="n"/>
      <c r="Q850" s="275" t="n"/>
      <c r="R850" s="275" t="n"/>
      <c r="S850" s="244">
        <f>Q850*R850</f>
        <v/>
      </c>
      <c r="T850" s="25" t="n"/>
      <c r="U850" s="26" t="inlineStr">
        <is>
          <t xml:space="preserve">     PLC</t>
        </is>
      </c>
      <c r="V850" s="64" t="n"/>
      <c r="W850" s="27" t="n"/>
      <c r="X850" s="27" t="n"/>
    </row>
    <row r="851" ht="22.2" customHeight="1" s="330">
      <c r="A851" s="4" t="n"/>
      <c r="E851" s="4" t="n"/>
      <c r="G851" s="308">
        <f>G805</f>
        <v/>
      </c>
      <c r="H851" s="325" t="inlineStr">
        <is>
          <t>20101-2005</t>
        </is>
      </c>
      <c r="I851" s="325" t="inlineStr">
        <is>
          <t>ปวช.3/3,4 ชย. (ปกติ)</t>
        </is>
      </c>
      <c r="J851" s="252" t="inlineStr">
        <is>
          <t>13.10-15.10</t>
        </is>
      </c>
      <c r="K851" s="331" t="n"/>
      <c r="L851" s="252" t="n"/>
      <c r="M851" s="252" t="n"/>
      <c r="N851" s="252" t="n"/>
      <c r="O851" s="244">
        <f>M851*N851</f>
        <v/>
      </c>
      <c r="P851" s="252" t="n"/>
      <c r="Q851" s="252" t="n"/>
      <c r="R851" s="252" t="n"/>
      <c r="S851" s="244">
        <f>Q851*R851</f>
        <v/>
      </c>
      <c r="T851" s="27" t="inlineStr">
        <is>
          <t> </t>
        </is>
      </c>
      <c r="U851" s="26" t="inlineStr">
        <is>
          <t>17.10-19.10</t>
        </is>
      </c>
      <c r="V851" s="64" t="n"/>
      <c r="W851" s="27" t="n"/>
      <c r="X851" s="27" t="n"/>
    </row>
    <row r="852" ht="22.2" customHeight="1" s="330">
      <c r="A852" s="4" t="n"/>
      <c r="B852" s="5" t="n"/>
      <c r="E852" s="4" t="n"/>
      <c r="G852" s="252" t="n"/>
      <c r="H852" s="325" t="n"/>
      <c r="I852" s="325" t="n"/>
      <c r="J852" s="252" t="n"/>
      <c r="K852" s="331" t="n"/>
      <c r="L852" s="252" t="n"/>
      <c r="M852" s="325" t="n"/>
      <c r="N852" s="325" t="n"/>
      <c r="O852" s="244">
        <f>M852*N852</f>
        <v/>
      </c>
      <c r="P852" s="325" t="n"/>
      <c r="Q852" s="325" t="n"/>
      <c r="R852" s="325" t="n"/>
      <c r="S852" s="244">
        <f>Q852*R852</f>
        <v/>
      </c>
    </row>
    <row r="853" ht="22.2" customHeight="1" s="330">
      <c r="A853" s="4" t="n"/>
      <c r="E853" s="4" t="n"/>
      <c r="G853" s="252" t="n"/>
      <c r="H853" s="252" t="n"/>
      <c r="I853" s="252" t="n"/>
      <c r="J853" s="252" t="n"/>
      <c r="K853" s="331" t="n"/>
      <c r="L853" s="252" t="n"/>
      <c r="M853" s="252" t="n"/>
      <c r="N853" s="252" t="n"/>
      <c r="O853" s="244">
        <f>M853*N853</f>
        <v/>
      </c>
      <c r="P853" s="252" t="n"/>
      <c r="Q853" s="252" t="n"/>
      <c r="R853" s="252" t="n"/>
      <c r="S853" s="244">
        <f>Q853*R853</f>
        <v/>
      </c>
    </row>
    <row r="854" ht="22.2" customHeight="1" s="330">
      <c r="A854" s="4" t="n"/>
      <c r="E854" s="4" t="n"/>
      <c r="G854" s="276" t="n"/>
      <c r="H854" s="301" t="n"/>
      <c r="I854" s="276" t="n"/>
      <c r="J854" s="276" t="n"/>
      <c r="K854" s="476" t="n"/>
      <c r="L854" s="276" t="n"/>
      <c r="M854" s="276" t="n"/>
      <c r="N854" s="276" t="n"/>
      <c r="O854" s="244">
        <f>M854*N854</f>
        <v/>
      </c>
      <c r="P854" s="276" t="n"/>
      <c r="Q854" s="276" t="n"/>
      <c r="R854" s="276" t="n"/>
      <c r="S854" s="244">
        <f>Q854*R854</f>
        <v/>
      </c>
    </row>
    <row r="855" ht="22.2" customHeight="1" s="330">
      <c r="A855" s="4" t="n"/>
      <c r="E855" s="4" t="n"/>
      <c r="G855" s="62" t="inlineStr">
        <is>
          <t>ศุกร์</t>
        </is>
      </c>
      <c r="H855" s="332" t="inlineStr">
        <is>
          <t>20101-2005</t>
        </is>
      </c>
      <c r="I855" s="325" t="inlineStr">
        <is>
          <t>ปวช.2/1 ชย. (ปกติ)</t>
        </is>
      </c>
      <c r="J855" s="332" t="inlineStr">
        <is>
          <t>08.10-12.10</t>
        </is>
      </c>
      <c r="K855" s="335" t="n"/>
      <c r="L855" s="252" t="n"/>
      <c r="M855" s="332" t="n"/>
      <c r="N855" s="332" t="n"/>
      <c r="O855" s="244">
        <f>M855*N855</f>
        <v/>
      </c>
      <c r="P855" s="332" t="n"/>
      <c r="Q855" s="265" t="n"/>
      <c r="R855" s="332" t="n"/>
      <c r="S855" s="244">
        <f>Q855*R855</f>
        <v/>
      </c>
    </row>
    <row r="856" ht="22.2" customHeight="1" s="330">
      <c r="A856" s="4" t="n"/>
      <c r="E856" s="4" t="n"/>
      <c r="G856" s="308">
        <f>G810</f>
        <v/>
      </c>
      <c r="H856" s="325" t="inlineStr">
        <is>
          <t>20101-2005</t>
        </is>
      </c>
      <c r="I856" s="325" t="inlineStr">
        <is>
          <t>ปวช.2/1 ชย. (ปกติ)</t>
        </is>
      </c>
      <c r="J856" s="252" t="inlineStr">
        <is>
          <t>13.10-16.10</t>
        </is>
      </c>
      <c r="K856" s="331" t="n"/>
      <c r="L856" s="252" t="n"/>
      <c r="M856" s="252" t="n"/>
      <c r="N856" s="252" t="n"/>
      <c r="O856" s="244">
        <f>M856*N856</f>
        <v/>
      </c>
      <c r="P856" s="252" t="n"/>
      <c r="Q856" s="252" t="n"/>
      <c r="R856" s="252" t="n"/>
      <c r="S856" s="244">
        <f>Q856*R856</f>
        <v/>
      </c>
    </row>
    <row r="857" ht="22.2" customHeight="1" s="330">
      <c r="A857" s="4" t="n"/>
      <c r="E857" s="4" t="n"/>
      <c r="G857" s="252" t="n"/>
      <c r="H857" s="248" t="n"/>
      <c r="I857" s="252" t="n"/>
      <c r="J857" s="252" t="n"/>
      <c r="K857" s="331" t="n"/>
      <c r="L857" s="252" t="n"/>
      <c r="M857" s="252" t="n"/>
      <c r="N857" s="252" t="n"/>
      <c r="O857" s="244">
        <f>M857*N857</f>
        <v/>
      </c>
      <c r="P857" s="252" t="n"/>
      <c r="Q857" s="252" t="n"/>
      <c r="R857" s="252" t="n"/>
      <c r="S857" s="244">
        <f>Q857*R857</f>
        <v/>
      </c>
    </row>
    <row r="858" ht="22.2" customHeight="1" s="330">
      <c r="A858" s="4" t="n"/>
      <c r="E858" s="4" t="n"/>
      <c r="G858" s="252" t="n"/>
      <c r="H858" s="249" t="inlineStr">
        <is>
          <t> </t>
        </is>
      </c>
      <c r="I858" s="252" t="n"/>
      <c r="J858" s="252" t="n"/>
      <c r="K858" s="331" t="n"/>
      <c r="L858" s="252" t="n"/>
      <c r="M858" s="252" t="n"/>
      <c r="N858" s="252" t="n"/>
      <c r="O858" s="244">
        <f>M858*N858</f>
        <v/>
      </c>
      <c r="P858" s="252" t="n"/>
      <c r="Q858" s="252" t="n"/>
      <c r="R858" s="252" t="n"/>
      <c r="S858" s="244">
        <f>Q858*R858</f>
        <v/>
      </c>
    </row>
    <row r="859" ht="22.2" customHeight="1" s="330">
      <c r="A859" s="4" t="n"/>
      <c r="E859" s="4" t="n"/>
      <c r="F859" s="4" t="n"/>
      <c r="G859" s="278" t="n"/>
      <c r="H859" s="301" t="n"/>
      <c r="I859" s="276" t="n"/>
      <c r="J859" s="276" t="n"/>
      <c r="K859" s="476" t="n"/>
      <c r="L859" s="276" t="n"/>
      <c r="M859" s="276" t="n"/>
      <c r="N859" s="276" t="n"/>
      <c r="O859" s="244">
        <f>M859*N859</f>
        <v/>
      </c>
      <c r="P859" s="276" t="n"/>
      <c r="Q859" s="276" t="n"/>
      <c r="R859" s="276" t="n"/>
      <c r="S859" s="244">
        <f>Q859*R859</f>
        <v/>
      </c>
    </row>
    <row r="860" ht="22.2" customHeight="1" s="330">
      <c r="A860" s="4" t="n"/>
      <c r="E860" s="4" t="n"/>
      <c r="F860" s="4" t="n"/>
      <c r="G860" s="17" t="inlineStr">
        <is>
          <t>รวมขั่วโมงที่สอนแยก ภาระงาน/ เกินภาระงาน</t>
        </is>
      </c>
      <c r="H860" s="467" t="n"/>
      <c r="I860" s="467" t="n"/>
      <c r="J860" s="467" t="n"/>
      <c r="K860" s="362" t="n"/>
      <c r="L860" s="17">
        <f>SUM(L835:L859)</f>
        <v/>
      </c>
      <c r="M860" s="17">
        <f>SUM(M835:M859)</f>
        <v/>
      </c>
      <c r="N860" s="17" t="n"/>
      <c r="O860" s="17" t="n"/>
      <c r="P860" s="17">
        <f>SUM(P835:P859)</f>
        <v/>
      </c>
      <c r="Q860" s="17">
        <f>SUM(Q835:Q859)</f>
        <v/>
      </c>
      <c r="R860" s="279" t="n"/>
      <c r="S860" s="17" t="n"/>
    </row>
    <row r="861" ht="22.2" customHeight="1" s="330">
      <c r="A861" s="4" t="n"/>
      <c r="E861" s="4" t="n"/>
      <c r="F861" s="4" t="n"/>
      <c r="G861" s="17" t="inlineStr">
        <is>
          <t>รวมจำนวนชั่วโมงสอนคาบต่อสับดาห์</t>
        </is>
      </c>
      <c r="H861" s="467" t="n"/>
      <c r="I861" s="467" t="n"/>
      <c r="J861" s="467" t="n"/>
      <c r="K861" s="362" t="n"/>
      <c r="L861" s="17">
        <f>L860+M860</f>
        <v/>
      </c>
      <c r="M861" s="362" t="n"/>
      <c r="N861" s="298" t="n"/>
      <c r="O861" s="17" t="n"/>
      <c r="P861" s="17">
        <f>P860+Q860</f>
        <v/>
      </c>
      <c r="Q861" s="362" t="n"/>
      <c r="R861" s="278" t="n"/>
      <c r="S861" s="276" t="n"/>
    </row>
    <row r="862" ht="22.2" customHeight="1" s="330">
      <c r="A862" s="4" t="n"/>
      <c r="E862" s="4" t="n"/>
      <c r="F862" s="4" t="n"/>
      <c r="G862" s="17" t="inlineStr">
        <is>
          <t>จำนวนชั่วโมงสอนตามภาระงานสอน</t>
        </is>
      </c>
      <c r="H862" s="467" t="n"/>
      <c r="I862" s="467" t="n"/>
      <c r="J862" s="467" t="n"/>
      <c r="K862" s="362" t="n"/>
      <c r="L862" s="17" t="n">
        <v>12</v>
      </c>
      <c r="M862" s="362" t="n"/>
      <c r="N862" s="298" t="n"/>
      <c r="O862" s="17" t="n"/>
      <c r="P862" s="17" t="n">
        <v>0</v>
      </c>
      <c r="Q862" s="362" t="n"/>
      <c r="R862" s="249" t="n"/>
      <c r="S862" s="252" t="n"/>
    </row>
    <row r="863" ht="22.2" customHeight="1" s="330" thickBot="1">
      <c r="A863" s="4" t="n"/>
      <c r="E863" s="4" t="n"/>
      <c r="F863" s="15" t="n"/>
      <c r="G863" s="17" t="inlineStr">
        <is>
          <t>จำนวนชั่วโมงบิกเกินภาระงานสอน/ค่าสอน</t>
        </is>
      </c>
      <c r="H863" s="467" t="n"/>
      <c r="I863" s="467" t="n"/>
      <c r="J863" s="467" t="n"/>
      <c r="K863" s="362" t="n"/>
      <c r="L863" s="18" t="n">
        <v>0</v>
      </c>
      <c r="M863" s="18">
        <f>SUM(M835:M859)</f>
        <v/>
      </c>
      <c r="N863" s="18" t="n"/>
      <c r="O863" s="18">
        <f>SUM(O835:O859)</f>
        <v/>
      </c>
      <c r="P863" s="18" t="n">
        <v>0</v>
      </c>
      <c r="Q863" s="18">
        <f>SUM(Q835:Q859)</f>
        <v/>
      </c>
      <c r="R863" s="19" t="n"/>
      <c r="S863" s="18">
        <f>SUM(S835:S859)</f>
        <v/>
      </c>
    </row>
    <row r="864" ht="22.2" customHeight="1" s="330" thickTop="1">
      <c r="A864" s="299" t="inlineStr">
        <is>
          <t>รวมจำนวนหน่วยชั่วโมงที่ขอเบิกค่าสอน ….</t>
        </is>
      </c>
      <c r="B864" s="467" t="n"/>
      <c r="C864" s="467" t="n"/>
      <c r="D864" s="467" t="n"/>
      <c r="E864" s="467" t="n"/>
      <c r="F864" s="467" t="n"/>
      <c r="G864" s="467" t="n"/>
      <c r="H864" s="298">
        <f>M863+Q863</f>
        <v/>
      </c>
      <c r="I864" s="298" t="inlineStr">
        <is>
          <t>….ชั่วโมง</t>
        </is>
      </c>
      <c r="J864" s="298" t="n"/>
      <c r="K864" s="301" t="inlineStr">
        <is>
          <t>ยอดเงินรวม</t>
        </is>
      </c>
      <c r="L864" s="471" t="n"/>
      <c r="M864" s="471" t="n"/>
      <c r="N864" s="301" t="n"/>
      <c r="O864" s="301" t="n"/>
      <c r="P864" s="302">
        <f>S863+O863</f>
        <v/>
      </c>
      <c r="Q864" s="482" t="n"/>
      <c r="R864" s="21" t="n"/>
      <c r="S864" s="20" t="inlineStr">
        <is>
          <t>..บาท</t>
        </is>
      </c>
    </row>
    <row r="865" ht="22.2" customHeight="1" s="330">
      <c r="A865" s="207" t="inlineStr">
        <is>
          <t>ผู้ขอเบิก</t>
        </is>
      </c>
      <c r="B865" s="334" t="n"/>
      <c r="C865" s="334" t="n"/>
      <c r="D865" s="334" t="n"/>
      <c r="E865" s="334" t="n"/>
      <c r="F865" s="334" t="n"/>
      <c r="G865" s="335" t="n"/>
      <c r="H865" s="207" t="inlineStr">
        <is>
          <t>ผู้รับรอง</t>
        </is>
      </c>
      <c r="I865" s="334" t="n"/>
      <c r="J865" s="334" t="n"/>
      <c r="K865" s="334" t="n"/>
      <c r="L865" s="335" t="n"/>
      <c r="M865" s="207" t="inlineStr">
        <is>
          <t>ผู้ตรวจ</t>
        </is>
      </c>
      <c r="N865" s="334" t="n"/>
      <c r="O865" s="334" t="n"/>
      <c r="P865" s="334" t="n"/>
      <c r="Q865" s="334" t="n"/>
      <c r="R865" s="334" t="n"/>
      <c r="S865" s="335" t="n"/>
    </row>
    <row r="866" ht="22.2" customHeight="1" s="330">
      <c r="A866" s="252" t="inlineStr">
        <is>
          <t>ลงชื่อ……………………………………………</t>
        </is>
      </c>
      <c r="G866" s="331" t="n"/>
      <c r="H866" s="252" t="inlineStr">
        <is>
          <t>ลงชื่อ……………………………………………</t>
        </is>
      </c>
      <c r="L866" s="331" t="n"/>
      <c r="M866" s="252" t="inlineStr">
        <is>
          <t>ลงชื่อ……………………………………………</t>
        </is>
      </c>
      <c r="S866" s="331" t="n"/>
    </row>
    <row r="867" ht="22.2" customHeight="1" s="330">
      <c r="A867" s="12" t="inlineStr">
        <is>
          <t>(</t>
        </is>
      </c>
      <c r="B867" s="309">
        <f>B835</f>
        <v/>
      </c>
      <c r="G867" s="310" t="inlineStr">
        <is>
          <t>)</t>
        </is>
      </c>
      <c r="H867" s="309" t="inlineStr">
        <is>
          <t>(</t>
        </is>
      </c>
      <c r="I867" s="314">
        <f>I821</f>
        <v/>
      </c>
      <c r="L867" s="13" t="inlineStr">
        <is>
          <t>)</t>
        </is>
      </c>
      <c r="M867" s="61" t="inlineStr">
        <is>
          <t>(</t>
        </is>
      </c>
      <c r="N867" s="61" t="n"/>
      <c r="O867" s="309" t="inlineStr">
        <is>
          <t>นายพิสุทธิศักดิ์  กล่อมนาค</t>
        </is>
      </c>
      <c r="R867" s="29" t="n"/>
      <c r="S867" s="310" t="inlineStr">
        <is>
          <t>)</t>
        </is>
      </c>
    </row>
    <row r="868" ht="22.2" customHeight="1" s="330">
      <c r="A868" s="483" t="inlineStr">
        <is>
          <t xml:space="preserve">               ตำแหน่ง  พนักงานราชการ</t>
        </is>
      </c>
      <c r="G868" s="331" t="n"/>
      <c r="H868" s="62" t="inlineStr">
        <is>
          <t>ตำแหน่ง หัวหน้าแผนก</t>
        </is>
      </c>
      <c r="L868" s="331" t="n"/>
      <c r="M868" s="62" t="inlineStr">
        <is>
          <t>ตำแหน่ง   ผู้ตรวจสอบ</t>
        </is>
      </c>
      <c r="S868" s="331" t="n"/>
    </row>
    <row r="869" ht="22.2" customHeight="1" s="330">
      <c r="A869" s="63">
        <f>A41</f>
        <v/>
      </c>
      <c r="B869" s="471" t="n"/>
      <c r="C869" s="471" t="n"/>
      <c r="D869" s="471" t="n"/>
      <c r="E869" s="471" t="n"/>
      <c r="F869" s="471" t="n"/>
      <c r="G869" s="476" t="n"/>
      <c r="H869" s="62">
        <f>A41</f>
        <v/>
      </c>
      <c r="L869" s="331" t="n"/>
      <c r="M869" s="63">
        <f>A41</f>
        <v/>
      </c>
      <c r="N869" s="471" t="n"/>
      <c r="O869" s="471" t="n"/>
      <c r="P869" s="471" t="n"/>
      <c r="Q869" s="471" t="n"/>
      <c r="R869" s="471" t="n"/>
      <c r="S869" s="476" t="n"/>
    </row>
    <row r="870" ht="22.2" customHeight="1" s="330">
      <c r="A870" s="207" t="inlineStr">
        <is>
          <t>ผู้ตรวจ</t>
        </is>
      </c>
      <c r="B870" s="334" t="n"/>
      <c r="C870" s="334" t="n"/>
      <c r="D870" s="334" t="n"/>
      <c r="E870" s="334" t="n"/>
      <c r="F870" s="334" t="n"/>
      <c r="G870" s="334" t="n"/>
      <c r="H870" s="334" t="n"/>
      <c r="I870" s="335" t="n"/>
      <c r="J870" s="207" t="inlineStr">
        <is>
          <t>ผู้เห็นชอบ</t>
        </is>
      </c>
      <c r="K870" s="334" t="n"/>
      <c r="L870" s="334" t="n"/>
      <c r="M870" s="334" t="n"/>
      <c r="N870" s="334" t="n"/>
      <c r="O870" s="334" t="n"/>
      <c r="P870" s="334" t="n"/>
      <c r="Q870" s="334" t="n"/>
      <c r="R870" s="334" t="n"/>
      <c r="S870" s="335" t="n"/>
    </row>
    <row r="871" ht="22.2" customHeight="1" s="330">
      <c r="A871" s="252" t="inlineStr">
        <is>
          <t>ลงชื่อ……………………………………………</t>
        </is>
      </c>
      <c r="I871" s="331" t="n"/>
      <c r="J871" s="252" t="inlineStr">
        <is>
          <t>ลงชื่อ……………………………………………</t>
        </is>
      </c>
      <c r="S871" s="331" t="n"/>
    </row>
    <row r="872" ht="22.2" customHeight="1" s="330">
      <c r="A872" s="12" t="n"/>
      <c r="B872" s="309" t="inlineStr">
        <is>
          <t xml:space="preserve">          (นางศิวรักษ์   บุญประเสริฐ)</t>
        </is>
      </c>
      <c r="I872" s="310" t="n"/>
      <c r="J872" s="29" t="n"/>
      <c r="K872" s="29" t="n"/>
      <c r="L872" s="309" t="inlineStr">
        <is>
          <t>(นายปรีชา  โพธิ์เกิด)</t>
        </is>
      </c>
      <c r="R872" s="29" t="n"/>
      <c r="S872" s="13" t="n"/>
    </row>
    <row r="873" ht="22.2" customHeight="1" s="330">
      <c r="A873" s="62" t="inlineStr">
        <is>
          <t>ตำแหน่งครู  หัวหน้างานพัฒนาหลักสูตร ฯ</t>
        </is>
      </c>
      <c r="I873" s="331" t="n"/>
      <c r="J873" s="62" t="inlineStr">
        <is>
          <t>ตำแหน่ง  รองผู้อำนวยการฝ่ายวิชาการ</t>
        </is>
      </c>
      <c r="S873" s="331" t="n"/>
    </row>
    <row r="874" ht="22.2" customHeight="1" s="330">
      <c r="A874" s="63">
        <f>A41</f>
        <v/>
      </c>
      <c r="B874" s="471" t="n"/>
      <c r="C874" s="471" t="n"/>
      <c r="D874" s="471" t="n"/>
      <c r="E874" s="471" t="n"/>
      <c r="F874" s="471" t="n"/>
      <c r="G874" s="471" t="n"/>
      <c r="H874" s="471" t="n"/>
      <c r="I874" s="476" t="n"/>
      <c r="J874" s="63">
        <f>A41</f>
        <v/>
      </c>
      <c r="K874" s="471" t="n"/>
      <c r="L874" s="471" t="n"/>
      <c r="M874" s="471" t="n"/>
      <c r="N874" s="471" t="n"/>
      <c r="O874" s="471" t="n"/>
      <c r="P874" s="471" t="n"/>
      <c r="Q874" s="471" t="n"/>
      <c r="R874" s="471" t="n"/>
      <c r="S874" s="476" t="n"/>
    </row>
    <row r="875" ht="22.2" customHeight="1" s="330">
      <c r="A87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876" ht="22.2" customHeight="1" s="330">
      <c r="A876" s="254">
        <f>A2</f>
        <v/>
      </c>
    </row>
    <row r="877" ht="22.2" customHeight="1" s="330">
      <c r="A877" s="253" t="inlineStr">
        <is>
          <t xml:space="preserve">    ระหว่างวันที่</t>
        </is>
      </c>
      <c r="D877" s="254">
        <f>D3</f>
        <v/>
      </c>
      <c r="E877" s="254" t="inlineStr">
        <is>
          <t xml:space="preserve">   เดือน  </t>
        </is>
      </c>
      <c r="F877" s="254">
        <f>F3</f>
        <v/>
      </c>
      <c r="H877" s="254">
        <f>H3</f>
        <v/>
      </c>
      <c r="I877" s="254" t="inlineStr">
        <is>
          <t xml:space="preserve">     ถึง วันที่</t>
        </is>
      </c>
      <c r="J877" s="254">
        <f>J3</f>
        <v/>
      </c>
      <c r="K877" s="254" t="inlineStr">
        <is>
          <t xml:space="preserve">   เดือน </t>
        </is>
      </c>
      <c r="L877" s="254">
        <f>L3</f>
        <v/>
      </c>
      <c r="N877" s="254">
        <f>N3</f>
        <v/>
      </c>
      <c r="P877" s="254" t="n"/>
      <c r="R877" s="254" t="n"/>
    </row>
    <row r="878" ht="22.2" customHeight="1" s="330">
      <c r="G878" s="58" t="inlineStr">
        <is>
          <t>ü</t>
        </is>
      </c>
      <c r="H878" s="8" t="inlineStr">
        <is>
          <t>ครูพิเศษ</t>
        </is>
      </c>
      <c r="I878" s="249" t="inlineStr">
        <is>
          <t>หน้าที่พิเศษ</t>
        </is>
      </c>
      <c r="K878" s="290" t="n"/>
    </row>
    <row r="879" ht="22.2" customHeight="1" s="330">
      <c r="A879" s="28" t="inlineStr">
        <is>
          <t>ที่</t>
        </is>
      </c>
      <c r="B879" s="28" t="inlineStr">
        <is>
          <t>ชื่อ-สกุล</t>
        </is>
      </c>
      <c r="C879" s="334" t="n"/>
      <c r="D879" s="335" t="n"/>
      <c r="E879" s="16" t="inlineStr">
        <is>
          <t>ตำแหน่ง</t>
        </is>
      </c>
      <c r="F879" s="17" t="inlineStr">
        <is>
          <t>ระยะเวลาที่สอน</t>
        </is>
      </c>
      <c r="G879" s="362" t="n"/>
      <c r="H879" s="17" t="inlineStr">
        <is>
          <t>รหัสวิชา</t>
        </is>
      </c>
      <c r="I879" s="275" t="inlineStr">
        <is>
          <t>ชั้น,แผนก,ห้อง</t>
        </is>
      </c>
      <c r="J879" s="17" t="inlineStr">
        <is>
          <t>เวลาสอน</t>
        </is>
      </c>
      <c r="K879" s="335" t="n"/>
      <c r="L879" s="17" t="inlineStr">
        <is>
          <t>ปวช.(คาบ)</t>
        </is>
      </c>
      <c r="M879" s="362" t="n"/>
      <c r="N879" s="244" t="inlineStr">
        <is>
          <t>เงิน</t>
        </is>
      </c>
      <c r="O879" s="275" t="inlineStr">
        <is>
          <t>ยอดเงิน</t>
        </is>
      </c>
      <c r="P879" s="473" t="inlineStr">
        <is>
          <t>ปวส.(คาบ)</t>
        </is>
      </c>
      <c r="Q879" s="362" t="n"/>
      <c r="R879" s="244" t="inlineStr">
        <is>
          <t>เงิน</t>
        </is>
      </c>
      <c r="S879" s="275" t="inlineStr">
        <is>
          <t>ยอดเงิน</t>
        </is>
      </c>
    </row>
    <row r="880" ht="22.2" customHeight="1" s="330">
      <c r="A880" s="60" t="n"/>
      <c r="B880" s="9" t="n"/>
      <c r="C880" s="10" t="n"/>
      <c r="D880" s="14" t="n"/>
      <c r="E880" s="11" t="n"/>
      <c r="F880" s="276" t="inlineStr">
        <is>
          <t>ส.</t>
        </is>
      </c>
      <c r="G880" s="276" t="inlineStr">
        <is>
          <t>วดป.</t>
        </is>
      </c>
      <c r="H880" s="474" t="n"/>
      <c r="I880" s="276" t="n"/>
      <c r="J880" s="475" t="n"/>
      <c r="K880" s="476" t="n"/>
      <c r="L880" s="276" t="inlineStr">
        <is>
          <t>ใน</t>
        </is>
      </c>
      <c r="M880" s="276" t="inlineStr">
        <is>
          <t>นอก</t>
        </is>
      </c>
      <c r="N880" s="276" t="inlineStr">
        <is>
          <t>ต่อ ชม.</t>
        </is>
      </c>
      <c r="O880" s="276" t="inlineStr">
        <is>
          <t>(บาท)</t>
        </is>
      </c>
      <c r="P880" s="60" t="inlineStr">
        <is>
          <t>ใน</t>
        </is>
      </c>
      <c r="Q880" s="60" t="inlineStr">
        <is>
          <t>นอก</t>
        </is>
      </c>
      <c r="R880" s="276" t="inlineStr">
        <is>
          <t>ต่อ ชม.</t>
        </is>
      </c>
      <c r="S880" s="276" t="inlineStr">
        <is>
          <t>(บาท)</t>
        </is>
      </c>
    </row>
    <row r="881" ht="22.2" customHeight="1" s="330">
      <c r="A881" s="275" t="n">
        <v>20</v>
      </c>
      <c r="B881" s="477">
        <f>AB22</f>
        <v/>
      </c>
      <c r="C881" s="334" t="n"/>
      <c r="D881" s="335" t="n"/>
      <c r="E881" s="275" t="inlineStr">
        <is>
          <t>ครู</t>
        </is>
      </c>
      <c r="F881" s="6">
        <f>F7</f>
        <v/>
      </c>
      <c r="G881" s="303" t="inlineStr">
        <is>
          <t>จันทร์</t>
        </is>
      </c>
      <c r="H881" s="332" t="inlineStr">
        <is>
          <t>20101-2404</t>
        </is>
      </c>
      <c r="I881" s="325" t="inlineStr">
        <is>
          <t>ปวช.3/3 ชย. (ปกติ)</t>
        </is>
      </c>
      <c r="J881" s="332" t="inlineStr">
        <is>
          <t>08.10-12.10</t>
        </is>
      </c>
      <c r="K881" s="335" t="n"/>
      <c r="L881" s="265" t="n"/>
      <c r="M881" s="332" t="n"/>
      <c r="N881" s="332" t="n"/>
      <c r="O881" s="244">
        <f>M881*N881</f>
        <v/>
      </c>
      <c r="P881" s="332" t="n"/>
      <c r="Q881" s="265" t="n"/>
      <c r="R881" s="332" t="n"/>
      <c r="S881" s="244">
        <f>Q881*R881</f>
        <v/>
      </c>
    </row>
    <row r="882" ht="22.2" customHeight="1" s="330">
      <c r="A882" s="4" t="n"/>
      <c r="B882" s="478" t="n"/>
      <c r="D882" s="331" t="n"/>
      <c r="E882" s="252" t="inlineStr">
        <is>
          <t>พิเศษ</t>
        </is>
      </c>
      <c r="F882" s="249" t="n"/>
      <c r="G882" s="74">
        <f>G8</f>
        <v/>
      </c>
      <c r="H882" s="325" t="inlineStr">
        <is>
          <t>20101-2404</t>
        </is>
      </c>
      <c r="I882" s="325" t="inlineStr">
        <is>
          <t>ปวช.3/3 ชย. (ปกติ)</t>
        </is>
      </c>
      <c r="J882" s="252" t="inlineStr">
        <is>
          <t>13.10-16.10</t>
        </is>
      </c>
      <c r="K882" s="331" t="n"/>
      <c r="L882" s="252" t="n"/>
      <c r="M882" s="252" t="n"/>
      <c r="N882" s="252" t="n"/>
      <c r="O882" s="244">
        <f>M882*N882</f>
        <v/>
      </c>
      <c r="P882" s="252" t="n"/>
      <c r="Q882" s="252" t="n"/>
      <c r="R882" s="252" t="n"/>
      <c r="S882" s="244">
        <f>Q882*R882</f>
        <v/>
      </c>
    </row>
    <row r="883" ht="22.2" customHeight="1" s="330">
      <c r="A883" s="4" t="n"/>
      <c r="B883" s="5" t="n"/>
      <c r="D883" s="3" t="n"/>
      <c r="E883" s="3" t="n"/>
      <c r="F883" s="249" t="n"/>
      <c r="G883" s="248" t="n"/>
      <c r="H883" s="325" t="n"/>
      <c r="I883" s="325" t="n"/>
      <c r="J883" s="252" t="n"/>
      <c r="K883" s="331" t="n"/>
      <c r="L883" s="252" t="n"/>
      <c r="M883" s="252" t="n"/>
      <c r="N883" s="252" t="n"/>
      <c r="O883" s="244">
        <f>M883*N883</f>
        <v/>
      </c>
      <c r="P883" s="252" t="n"/>
      <c r="Q883" s="252" t="n"/>
      <c r="R883" s="252" t="n"/>
      <c r="S883" s="244">
        <f>Q883*R883</f>
        <v/>
      </c>
    </row>
    <row r="884" ht="22.2" customHeight="1" s="330">
      <c r="A884" s="4" t="n"/>
      <c r="B884" s="5" t="n"/>
      <c r="E884" s="4" t="n"/>
      <c r="F884" s="249" t="n"/>
      <c r="G884" s="248" t="n"/>
      <c r="H884" s="252" t="n"/>
      <c r="I884" s="252" t="n"/>
      <c r="J884" s="252" t="n"/>
      <c r="K884" s="331" t="n"/>
      <c r="L884" s="252" t="n"/>
      <c r="M884" s="252" t="n"/>
      <c r="N884" s="252" t="n"/>
      <c r="O884" s="244">
        <f>M884*N884</f>
        <v/>
      </c>
      <c r="P884" s="252" t="n"/>
      <c r="Q884" s="252" t="n"/>
      <c r="R884" s="252" t="n"/>
      <c r="S884" s="244">
        <f>Q884*R884</f>
        <v/>
      </c>
    </row>
    <row r="885" ht="22.2" customHeight="1" s="330">
      <c r="A885" s="4" t="n"/>
      <c r="E885" s="4" t="n"/>
      <c r="G885" s="311" t="n"/>
      <c r="H885" s="276" t="n"/>
      <c r="I885" s="276" t="n"/>
      <c r="J885" s="276" t="n"/>
      <c r="K885" s="476" t="n"/>
      <c r="L885" s="252" t="n"/>
      <c r="M885" s="252" t="n"/>
      <c r="N885" s="252" t="n"/>
      <c r="O885" s="244">
        <f>M885*N885</f>
        <v/>
      </c>
      <c r="P885" s="252" t="n"/>
      <c r="Q885" s="252" t="n"/>
      <c r="R885" s="252" t="n"/>
      <c r="S885" s="244">
        <f>Q885*R885</f>
        <v/>
      </c>
    </row>
    <row r="886" ht="22.2" customHeight="1" s="330">
      <c r="A886" s="4" t="n"/>
      <c r="E886" s="4" t="n"/>
      <c r="G886" s="62" t="inlineStr">
        <is>
          <t>อังคาร</t>
        </is>
      </c>
      <c r="H886" s="325" t="inlineStr">
        <is>
          <t>20101-2404</t>
        </is>
      </c>
      <c r="I886" s="325" t="inlineStr">
        <is>
          <t>ปวช.3/4 ชย. (ปกติ)</t>
        </is>
      </c>
      <c r="J886" s="332" t="inlineStr">
        <is>
          <t>08.10-12.10</t>
        </is>
      </c>
      <c r="K886" s="335" t="n"/>
      <c r="L886" s="265" t="n"/>
      <c r="M886" s="332" t="n"/>
      <c r="N886" s="332" t="n"/>
      <c r="O886" s="244">
        <f>M886*N886</f>
        <v/>
      </c>
      <c r="P886" s="332" t="n"/>
      <c r="Q886" s="265" t="n"/>
      <c r="R886" s="332" t="n"/>
      <c r="S886" s="244">
        <f>Q886*R886</f>
        <v/>
      </c>
    </row>
    <row r="887" ht="22.2" customHeight="1" s="330">
      <c r="A887" s="4" t="n"/>
      <c r="E887" s="4" t="n"/>
      <c r="G887" s="74">
        <f>G13</f>
        <v/>
      </c>
      <c r="H887" s="325" t="inlineStr">
        <is>
          <t>20101-2404</t>
        </is>
      </c>
      <c r="I887" s="325" t="inlineStr">
        <is>
          <t>ปวช.3/4 ชย. (ปกติ)</t>
        </is>
      </c>
      <c r="J887" s="252" t="inlineStr">
        <is>
          <t>13.10-16.10</t>
        </is>
      </c>
      <c r="K887" s="331" t="n"/>
      <c r="L887" s="252" t="n"/>
      <c r="M887" s="252" t="n"/>
      <c r="N887" s="252" t="n"/>
      <c r="O887" s="244">
        <f>M887*N887</f>
        <v/>
      </c>
      <c r="P887" s="252" t="n"/>
      <c r="Q887" s="252" t="n"/>
      <c r="R887" s="252" t="n"/>
      <c r="S887" s="244">
        <f>Q887*R887</f>
        <v/>
      </c>
    </row>
    <row r="888" ht="22.2" customHeight="1" s="330">
      <c r="A888" s="4" t="n"/>
      <c r="B888" s="5" t="n"/>
      <c r="D888" s="3" t="n"/>
      <c r="E888" s="3" t="n"/>
      <c r="G888" s="252" t="n"/>
      <c r="H888" s="325" t="n"/>
      <c r="I888" s="325" t="n"/>
      <c r="J888" s="252" t="n"/>
      <c r="K888" s="331" t="n"/>
      <c r="L888" s="252" t="n"/>
      <c r="M888" s="252" t="n"/>
      <c r="N888" s="252" t="n"/>
      <c r="O888" s="244">
        <f>M888*N888</f>
        <v/>
      </c>
      <c r="P888" s="252" t="n"/>
      <c r="Q888" s="252" t="n"/>
      <c r="R888" s="252" t="n"/>
      <c r="S888" s="244">
        <f>Q888*R888</f>
        <v/>
      </c>
    </row>
    <row r="889" ht="22.2" customHeight="1" s="330">
      <c r="A889" s="4" t="n"/>
      <c r="E889" s="4" t="n"/>
      <c r="G889" s="62" t="n"/>
      <c r="H889" s="249" t="n"/>
      <c r="I889" s="252" t="n"/>
      <c r="J889" s="252" t="n"/>
      <c r="K889" s="331" t="n"/>
      <c r="L889" s="252" t="n"/>
      <c r="M889" s="252" t="n"/>
      <c r="N889" s="252" t="n"/>
      <c r="O889" s="244">
        <f>M889*N889</f>
        <v/>
      </c>
      <c r="P889" s="252" t="n"/>
      <c r="Q889" s="252" t="n"/>
      <c r="R889" s="252" t="n"/>
      <c r="S889" s="244">
        <f>Q889*R889</f>
        <v/>
      </c>
    </row>
    <row r="890" ht="22.2" customHeight="1" s="330">
      <c r="A890" s="4" t="n"/>
      <c r="D890" s="8" t="inlineStr">
        <is>
          <t> </t>
        </is>
      </c>
      <c r="E890" s="4" t="n"/>
      <c r="G890" s="63" t="n"/>
      <c r="H890" s="276" t="n"/>
      <c r="I890" s="276" t="n"/>
      <c r="J890" s="276" t="n"/>
      <c r="K890" s="476" t="n"/>
      <c r="L890" s="276" t="n"/>
      <c r="M890" s="252" t="n"/>
      <c r="N890" s="252" t="n"/>
      <c r="O890" s="244">
        <f>M890*N890</f>
        <v/>
      </c>
      <c r="P890" s="252" t="n"/>
      <c r="Q890" s="252" t="n"/>
      <c r="R890" s="252" t="n"/>
      <c r="S890" s="244">
        <f>Q890*R890</f>
        <v/>
      </c>
    </row>
    <row r="891" ht="22.2" customHeight="1" s="330">
      <c r="A891" s="4" t="n"/>
      <c r="E891" s="4" t="n"/>
      <c r="G891" s="308" t="inlineStr">
        <is>
          <t>พุธ</t>
        </is>
      </c>
      <c r="H891" s="325" t="inlineStr">
        <is>
          <t>20101-8001</t>
        </is>
      </c>
      <c r="I891" s="325" t="inlineStr">
        <is>
          <t>ปวช.3/7 ชย. (ปกติ)</t>
        </is>
      </c>
      <c r="J891" s="332" t="inlineStr">
        <is>
          <t>08.10-12.10</t>
        </is>
      </c>
      <c r="K891" s="335" t="n"/>
      <c r="L891" s="252" t="n"/>
      <c r="M891" s="332" t="n"/>
      <c r="N891" s="332" t="n"/>
      <c r="O891" s="244">
        <f>M891*N891</f>
        <v/>
      </c>
      <c r="P891" s="209" t="n"/>
      <c r="Q891" s="209" t="n"/>
      <c r="R891" s="209" t="n"/>
      <c r="S891" s="244">
        <f>Q891*R891</f>
        <v/>
      </c>
    </row>
    <row r="892" ht="22.2" customHeight="1" s="330">
      <c r="A892" s="4" t="n"/>
      <c r="B892" s="248" t="n"/>
      <c r="C892" s="249" t="n"/>
      <c r="D892" s="249" t="n"/>
      <c r="E892" s="252" t="n"/>
      <c r="G892" s="74">
        <f>G18</f>
        <v/>
      </c>
      <c r="H892" s="325" t="n"/>
      <c r="I892" s="325" t="n"/>
      <c r="J892" s="252" t="n"/>
      <c r="K892" s="331" t="n"/>
      <c r="L892" s="252" t="n"/>
      <c r="M892" s="252" t="n"/>
      <c r="N892" s="252" t="n"/>
      <c r="O892" s="244">
        <f>M892*N892</f>
        <v/>
      </c>
      <c r="P892" s="4" t="n"/>
      <c r="Q892" s="4" t="n"/>
      <c r="R892" s="4" t="n"/>
      <c r="S892" s="244">
        <f>Q892*R892</f>
        <v/>
      </c>
    </row>
    <row r="893" ht="22.2" customHeight="1" s="330">
      <c r="A893" s="4" t="n"/>
      <c r="B893" s="5" t="n"/>
      <c r="D893" s="3" t="n"/>
      <c r="E893" s="3" t="n"/>
      <c r="G893" s="252" t="n"/>
      <c r="H893" s="325" t="n"/>
      <c r="I893" s="325" t="n"/>
      <c r="J893" s="252" t="n"/>
      <c r="K893" s="331" t="n"/>
      <c r="L893" s="252" t="n"/>
      <c r="M893" s="252" t="n"/>
      <c r="N893" s="252" t="n"/>
      <c r="O893" s="244">
        <f>M893*N893</f>
        <v/>
      </c>
      <c r="P893" s="252" t="n"/>
      <c r="Q893" s="250" t="n"/>
      <c r="R893" s="252" t="n"/>
      <c r="S893" s="244">
        <f>Q893*R893</f>
        <v/>
      </c>
    </row>
    <row r="894" ht="22.2" customHeight="1" s="330">
      <c r="A894" s="4" t="n"/>
      <c r="E894" s="4" t="n"/>
      <c r="G894" s="248" t="n"/>
      <c r="H894" s="248" t="n"/>
      <c r="I894" s="252" t="n"/>
      <c r="J894" s="252" t="n"/>
      <c r="K894" s="331" t="n"/>
      <c r="L894" s="252" t="n"/>
      <c r="M894" s="252" t="n"/>
      <c r="N894" s="252" t="n"/>
      <c r="O894" s="244">
        <f>M894*N894</f>
        <v/>
      </c>
      <c r="P894" s="252" t="n"/>
      <c r="Q894" s="252" t="n"/>
      <c r="R894" s="252" t="n"/>
      <c r="S894" s="244">
        <f>Q894*R894</f>
        <v/>
      </c>
    </row>
    <row r="895" ht="22.2" customHeight="1" s="330">
      <c r="A895" s="4" t="n"/>
      <c r="E895" s="4" t="n"/>
      <c r="G895" s="277" t="n"/>
      <c r="H895" s="277" t="n"/>
      <c r="I895" s="276" t="n"/>
      <c r="J895" s="276" t="n"/>
      <c r="K895" s="476" t="n"/>
      <c r="L895" s="276" t="n"/>
      <c r="M895" s="276" t="n"/>
      <c r="N895" s="276" t="n"/>
      <c r="O895" s="244">
        <f>M895*N895</f>
        <v/>
      </c>
      <c r="P895" s="276" t="n"/>
      <c r="Q895" s="276" t="n"/>
      <c r="R895" s="276" t="n"/>
      <c r="S895" s="244">
        <f>Q895*R895</f>
        <v/>
      </c>
    </row>
    <row r="896" ht="22.2" customHeight="1" s="330">
      <c r="A896" s="4" t="n"/>
      <c r="E896" s="4" t="n"/>
      <c r="G896" s="62" t="inlineStr">
        <is>
          <t>พฤหัส</t>
        </is>
      </c>
      <c r="H896" s="325" t="inlineStr">
        <is>
          <t>20101-2404</t>
        </is>
      </c>
      <c r="I896" s="325" t="inlineStr">
        <is>
          <t>ปวช.3/2 ชย. (ปกติ)</t>
        </is>
      </c>
      <c r="J896" s="332" t="inlineStr">
        <is>
          <t>08.10-12.10</t>
        </is>
      </c>
      <c r="K896" s="335" t="n"/>
      <c r="L896" s="265" t="n"/>
      <c r="M896" s="332" t="n"/>
      <c r="N896" s="325" t="n"/>
      <c r="O896" s="244">
        <f>M896*N896</f>
        <v/>
      </c>
      <c r="P896" s="252" t="n"/>
      <c r="Q896" s="275" t="n"/>
      <c r="R896" s="275" t="n"/>
      <c r="S896" s="244">
        <f>Q896*R896</f>
        <v/>
      </c>
    </row>
    <row r="897" ht="22.2" customHeight="1" s="330">
      <c r="A897" s="4" t="n"/>
      <c r="E897" s="4" t="n"/>
      <c r="G897" s="74">
        <f>G23</f>
        <v/>
      </c>
      <c r="H897" s="325" t="inlineStr">
        <is>
          <t>20101-2404</t>
        </is>
      </c>
      <c r="I897" s="325" t="inlineStr">
        <is>
          <t>ปวช.3/2 ชย. (ปกติ)</t>
        </is>
      </c>
      <c r="J897" s="252" t="inlineStr">
        <is>
          <t>15.10-18.10</t>
        </is>
      </c>
      <c r="K897" s="331" t="n"/>
      <c r="L897" s="252" t="n"/>
      <c r="M897" s="252" t="n"/>
      <c r="N897" s="252" t="n"/>
      <c r="O897" s="244">
        <f>M897*N897</f>
        <v/>
      </c>
      <c r="P897" s="252" t="n"/>
      <c r="Q897" s="252" t="n"/>
      <c r="R897" s="252" t="n"/>
      <c r="S897" s="244">
        <f>Q897*R897</f>
        <v/>
      </c>
    </row>
    <row r="898" ht="22.2" customHeight="1" s="330">
      <c r="A898" s="4" t="n"/>
      <c r="B898" s="5" t="n"/>
      <c r="E898" s="4" t="n"/>
      <c r="G898" s="252" t="n"/>
      <c r="H898" s="325" t="n"/>
      <c r="I898" s="325" t="n"/>
      <c r="J898" s="252" t="n"/>
      <c r="K898" s="331" t="n"/>
      <c r="L898" s="252" t="n"/>
      <c r="M898" s="252" t="n"/>
      <c r="N898" s="252" t="n"/>
      <c r="O898" s="244">
        <f>M898*N898</f>
        <v/>
      </c>
      <c r="P898" s="325" t="n"/>
      <c r="Q898" s="325" t="n"/>
      <c r="R898" s="325" t="n"/>
      <c r="S898" s="244">
        <f>Q898*R898</f>
        <v/>
      </c>
    </row>
    <row r="899" ht="22.2" customHeight="1" s="330">
      <c r="A899" s="4" t="n"/>
      <c r="E899" s="4" t="n"/>
      <c r="G899" s="252" t="n"/>
      <c r="H899" s="252" t="n"/>
      <c r="I899" s="252" t="n"/>
      <c r="J899" s="252" t="n"/>
      <c r="K899" s="331" t="n"/>
      <c r="L899" s="252" t="n"/>
      <c r="M899" s="252" t="n"/>
      <c r="N899" s="252" t="n"/>
      <c r="O899" s="244">
        <f>M899*N899</f>
        <v/>
      </c>
      <c r="P899" s="252" t="n"/>
      <c r="Q899" s="252" t="n"/>
      <c r="R899" s="252" t="n"/>
      <c r="S899" s="244">
        <f>Q899*R899</f>
        <v/>
      </c>
    </row>
    <row r="900" ht="22.2" customHeight="1" s="330">
      <c r="A900" s="4" t="n"/>
      <c r="E900" s="4" t="n"/>
      <c r="G900" s="276" t="n"/>
      <c r="H900" s="301" t="n"/>
      <c r="I900" s="276" t="n"/>
      <c r="J900" s="276" t="n"/>
      <c r="K900" s="476" t="n"/>
      <c r="L900" s="276" t="n"/>
      <c r="M900" s="276" t="n"/>
      <c r="N900" s="276" t="n"/>
      <c r="O900" s="244">
        <f>M900*N900</f>
        <v/>
      </c>
      <c r="P900" s="276" t="n"/>
      <c r="Q900" s="276" t="n"/>
      <c r="R900" s="276" t="n"/>
      <c r="S900" s="244">
        <f>Q900*R900</f>
        <v/>
      </c>
    </row>
    <row r="901" ht="22.2" customHeight="1" s="330">
      <c r="A901" s="4" t="n"/>
      <c r="E901" s="4" t="n"/>
      <c r="G901" s="62" t="inlineStr">
        <is>
          <t>ศุกร์</t>
        </is>
      </c>
      <c r="H901" s="325" t="inlineStr">
        <is>
          <t>20101-2404</t>
        </is>
      </c>
      <c r="I901" s="325" t="inlineStr">
        <is>
          <t>ปวช.3/1 ชย. (ปกติ)</t>
        </is>
      </c>
      <c r="J901" s="332" t="inlineStr">
        <is>
          <t>08.10-12.10</t>
        </is>
      </c>
      <c r="K901" s="335" t="n"/>
      <c r="L901" s="265" t="n"/>
      <c r="M901" s="252" t="n"/>
      <c r="N901" s="252" t="n"/>
      <c r="O901" s="244">
        <f>M901*N901</f>
        <v/>
      </c>
      <c r="P901" s="332" t="n"/>
      <c r="Q901" s="265" t="n"/>
      <c r="R901" s="332" t="n"/>
      <c r="S901" s="244">
        <f>Q901*R901</f>
        <v/>
      </c>
    </row>
    <row r="902" ht="22.2" customHeight="1" s="330">
      <c r="A902" s="4" t="n"/>
      <c r="E902" s="4" t="n"/>
      <c r="G902" s="204">
        <f>G28</f>
        <v/>
      </c>
      <c r="H902" s="325" t="inlineStr">
        <is>
          <t>20101-2404</t>
        </is>
      </c>
      <c r="I902" s="325" t="inlineStr">
        <is>
          <t>ปวช.3/1 ชย. (ปกติ)</t>
        </is>
      </c>
      <c r="J902" s="252" t="inlineStr">
        <is>
          <t>13.10-16.10</t>
        </is>
      </c>
      <c r="K902" s="331" t="n"/>
      <c r="L902" s="252" t="n"/>
      <c r="M902" s="252" t="n"/>
      <c r="N902" s="252" t="n"/>
      <c r="O902" s="244">
        <f>M902*N902</f>
        <v/>
      </c>
      <c r="P902" s="252" t="n"/>
      <c r="Q902" s="252" t="n"/>
      <c r="R902" s="252" t="n"/>
      <c r="S902" s="244">
        <f>Q902*R902</f>
        <v/>
      </c>
    </row>
    <row r="903" ht="22.2" customHeight="1" s="330">
      <c r="A903" s="4" t="n"/>
      <c r="E903" s="4" t="n"/>
      <c r="G903" s="252" t="n"/>
      <c r="H903" s="56" t="n"/>
      <c r="I903" s="56" t="n"/>
      <c r="J903" s="331" t="n"/>
      <c r="K903" s="331" t="n"/>
      <c r="L903" s="252" t="n"/>
      <c r="M903" s="252" t="n"/>
      <c r="N903" s="252" t="n"/>
      <c r="O903" s="244">
        <f>M903*N903</f>
        <v/>
      </c>
      <c r="P903" s="252" t="n"/>
      <c r="Q903" s="252" t="n"/>
      <c r="R903" s="252" t="n"/>
      <c r="S903" s="244">
        <f>Q903*R903</f>
        <v/>
      </c>
    </row>
    <row r="904" ht="22.2" customHeight="1" s="330">
      <c r="A904" s="4" t="n"/>
      <c r="E904" s="4" t="n"/>
      <c r="G904" s="252" t="n"/>
      <c r="H904" s="56" t="n"/>
      <c r="I904" s="56" t="n"/>
      <c r="J904" s="331" t="n"/>
      <c r="K904" s="331" t="n"/>
      <c r="L904" s="252" t="n"/>
      <c r="M904" s="252" t="n"/>
      <c r="N904" s="252" t="n"/>
      <c r="O904" s="244">
        <f>M904*N904</f>
        <v/>
      </c>
      <c r="P904" s="252" t="n"/>
      <c r="Q904" s="252" t="n"/>
      <c r="R904" s="252" t="n"/>
      <c r="S904" s="244">
        <f>Q904*R904</f>
        <v/>
      </c>
    </row>
    <row r="905" ht="22.2" customHeight="1" s="330">
      <c r="A905" s="4" t="n"/>
      <c r="E905" s="4" t="n"/>
      <c r="F905" s="4" t="n"/>
      <c r="G905" s="278" t="n"/>
      <c r="H905" s="301" t="n"/>
      <c r="I905" s="276" t="n"/>
      <c r="J905" s="276" t="n"/>
      <c r="K905" s="476" t="n"/>
      <c r="L905" s="276" t="n"/>
      <c r="M905" s="276" t="n"/>
      <c r="N905" s="276" t="n"/>
      <c r="O905" s="244">
        <f>M905*N905</f>
        <v/>
      </c>
      <c r="P905" s="276" t="n"/>
      <c r="Q905" s="276" t="n"/>
      <c r="R905" s="276" t="n"/>
      <c r="S905" s="244">
        <f>Q905*R905</f>
        <v/>
      </c>
    </row>
    <row r="906" ht="22.2" customHeight="1" s="330">
      <c r="A906" s="4" t="n"/>
      <c r="E906" s="4" t="n"/>
      <c r="F906" s="4" t="n"/>
      <c r="G906" s="17" t="inlineStr">
        <is>
          <t>รวมขั่วโมงที่สอนแยก ภาระงาน/ เกินภาระงาน</t>
        </is>
      </c>
      <c r="H906" s="467" t="n"/>
      <c r="I906" s="467" t="n"/>
      <c r="J906" s="467" t="n"/>
      <c r="K906" s="362" t="n"/>
      <c r="L906" s="17">
        <f>SUM(L881:L905)</f>
        <v/>
      </c>
      <c r="M906" s="17">
        <f>SUM(M881:M905)</f>
        <v/>
      </c>
      <c r="N906" s="17" t="n"/>
      <c r="O906" s="17" t="n"/>
      <c r="P906" s="17">
        <f>SUM(P881:P905)</f>
        <v/>
      </c>
      <c r="Q906" s="17">
        <f>SUM(Q881:Q905)</f>
        <v/>
      </c>
      <c r="R906" s="279" t="n"/>
      <c r="S906" s="17" t="n"/>
      <c r="T906" s="25" t="n"/>
      <c r="U906" s="26" t="inlineStr">
        <is>
          <t xml:space="preserve">     PLC</t>
        </is>
      </c>
      <c r="V906" s="64" t="n"/>
      <c r="W906" s="27" t="n"/>
      <c r="X906" s="27" t="n"/>
    </row>
    <row r="907" ht="22.2" customHeight="1" s="330">
      <c r="A907" s="4" t="n"/>
      <c r="E907" s="4" t="n"/>
      <c r="F907" s="4" t="n"/>
      <c r="G907" s="17" t="inlineStr">
        <is>
          <t>รวมจำนวนชั่วโมงสอนคาบต่อสับดาห์</t>
        </is>
      </c>
      <c r="H907" s="467" t="n"/>
      <c r="I907" s="467" t="n"/>
      <c r="J907" s="467" t="n"/>
      <c r="K907" s="362" t="n"/>
      <c r="L907" s="17">
        <f>L906+M906</f>
        <v/>
      </c>
      <c r="M907" s="362" t="n"/>
      <c r="N907" s="17" t="n"/>
      <c r="O907" s="298" t="n"/>
      <c r="P907" s="17">
        <f>P906+Q906</f>
        <v/>
      </c>
      <c r="Q907" s="362" t="n"/>
      <c r="R907" s="278" t="n"/>
      <c r="S907" s="276" t="n"/>
      <c r="T907" s="27" t="inlineStr">
        <is>
          <t> </t>
        </is>
      </c>
      <c r="U907" s="26" t="inlineStr">
        <is>
          <t>17.10-19.10</t>
        </is>
      </c>
      <c r="V907" s="64" t="n"/>
      <c r="W907" s="27" t="n"/>
      <c r="X907" s="27" t="n"/>
    </row>
    <row r="908" ht="22.2" customHeight="1" s="330">
      <c r="A908" s="4" t="n"/>
      <c r="E908" s="4" t="n"/>
      <c r="F908" s="4" t="n"/>
      <c r="G908" s="17" t="inlineStr">
        <is>
          <t>จำนวนชั่วโมงสอนตามภาระงานสอน</t>
        </is>
      </c>
      <c r="H908" s="467" t="n"/>
      <c r="I908" s="467" t="n"/>
      <c r="J908" s="467" t="n"/>
      <c r="K908" s="362" t="n"/>
      <c r="L908" s="17" t="n">
        <v>18</v>
      </c>
      <c r="M908" s="362" t="n"/>
      <c r="N908" s="298" t="n"/>
      <c r="O908" s="17" t="n"/>
      <c r="P908" s="153" t="inlineStr">
        <is>
          <t>0</t>
        </is>
      </c>
      <c r="Q908" s="362" t="n"/>
      <c r="R908" s="249" t="n"/>
      <c r="S908" s="252" t="n"/>
    </row>
    <row r="909" ht="22.2" customHeight="1" s="330" thickBot="1">
      <c r="A909" s="4" t="n"/>
      <c r="E909" s="4" t="n"/>
      <c r="F909" s="15" t="n"/>
      <c r="G909" s="17" t="inlineStr">
        <is>
          <t>จำนวนชั่วโมงบิกเกินภาระงานสอน/ค่าสอน</t>
        </is>
      </c>
      <c r="H909" s="467" t="n"/>
      <c r="I909" s="467" t="n"/>
      <c r="J909" s="467" t="n"/>
      <c r="K909" s="362" t="n"/>
      <c r="L909" s="18" t="n">
        <v>0</v>
      </c>
      <c r="M909" s="18">
        <f>SUM(M881:M905)</f>
        <v/>
      </c>
      <c r="N909" s="18" t="n"/>
      <c r="O909" s="18">
        <f>SUM(O881:O905)</f>
        <v/>
      </c>
      <c r="P909" s="18" t="n">
        <v>0</v>
      </c>
      <c r="Q909" s="18">
        <f>SUM(Q881:Q905)</f>
        <v/>
      </c>
      <c r="R909" s="19" t="n"/>
      <c r="S909" s="18">
        <f>SUM(S881:S905)</f>
        <v/>
      </c>
    </row>
    <row r="910" ht="22.2" customHeight="1" s="330" thickTop="1">
      <c r="A910" s="299" t="inlineStr">
        <is>
          <t>รวมจำนวนหน่วยชั่วโมงที่ขอเบิกค่าสอน ….</t>
        </is>
      </c>
      <c r="B910" s="467" t="n"/>
      <c r="C910" s="467" t="n"/>
      <c r="D910" s="467" t="n"/>
      <c r="E910" s="467" t="n"/>
      <c r="F910" s="467" t="n"/>
      <c r="G910" s="467" t="n"/>
      <c r="H910" s="298">
        <f>M909+Q909</f>
        <v/>
      </c>
      <c r="I910" s="298" t="inlineStr">
        <is>
          <t>….ชั่วโมง</t>
        </is>
      </c>
      <c r="J910" s="298" t="n"/>
      <c r="K910" s="301" t="inlineStr">
        <is>
          <t>ยอดเงินรวม</t>
        </is>
      </c>
      <c r="L910" s="471" t="n"/>
      <c r="M910" s="471" t="n"/>
      <c r="N910" s="301" t="n"/>
      <c r="O910" s="301" t="n"/>
      <c r="P910" s="302">
        <f>S909+O909</f>
        <v/>
      </c>
      <c r="Q910" s="482" t="n"/>
      <c r="R910" s="21" t="n"/>
      <c r="S910" s="20" t="inlineStr">
        <is>
          <t>..บาท</t>
        </is>
      </c>
    </row>
    <row r="911" ht="22.2" customHeight="1" s="330">
      <c r="A911" s="207" t="inlineStr">
        <is>
          <t>ผู้ขอเบิก</t>
        </is>
      </c>
      <c r="B911" s="334" t="n"/>
      <c r="C911" s="334" t="n"/>
      <c r="D911" s="334" t="n"/>
      <c r="E911" s="334" t="n"/>
      <c r="F911" s="334" t="n"/>
      <c r="G911" s="335" t="n"/>
      <c r="H911" s="207" t="inlineStr">
        <is>
          <t>ผู้รับรอง</t>
        </is>
      </c>
      <c r="I911" s="334" t="n"/>
      <c r="J911" s="334" t="n"/>
      <c r="K911" s="334" t="n"/>
      <c r="L911" s="335" t="n"/>
      <c r="M911" s="207" t="inlineStr">
        <is>
          <t>ผู้ตรวจ</t>
        </is>
      </c>
      <c r="N911" s="334" t="n"/>
      <c r="O911" s="334" t="n"/>
      <c r="P911" s="334" t="n"/>
      <c r="Q911" s="334" t="n"/>
      <c r="R911" s="334" t="n"/>
      <c r="S911" s="335" t="n"/>
    </row>
    <row r="912" ht="22.2" customHeight="1" s="330">
      <c r="A912" s="252" t="inlineStr">
        <is>
          <t>ลงชื่อ……………………………………………</t>
        </is>
      </c>
      <c r="G912" s="331" t="n"/>
      <c r="H912" s="252" t="inlineStr">
        <is>
          <t>ลงชื่อ……………………………………………</t>
        </is>
      </c>
      <c r="L912" s="331" t="n"/>
      <c r="M912" s="252" t="inlineStr">
        <is>
          <t>ลงชื่อ……………………………………………</t>
        </is>
      </c>
      <c r="S912" s="331" t="n"/>
    </row>
    <row r="913" ht="22.2" customHeight="1" s="330">
      <c r="A913" s="12" t="inlineStr">
        <is>
          <t>(</t>
        </is>
      </c>
      <c r="B913" s="309">
        <f>B881</f>
        <v/>
      </c>
      <c r="G913" s="310" t="inlineStr">
        <is>
          <t>)</t>
        </is>
      </c>
      <c r="H913" s="309" t="inlineStr">
        <is>
          <t>(</t>
        </is>
      </c>
      <c r="I913" s="314">
        <f>I867</f>
        <v/>
      </c>
      <c r="L913" s="13" t="inlineStr">
        <is>
          <t>)</t>
        </is>
      </c>
      <c r="M913" s="61" t="inlineStr">
        <is>
          <t>(</t>
        </is>
      </c>
      <c r="N913" s="61" t="n"/>
      <c r="O913" s="309" t="inlineStr">
        <is>
          <t>นายพิสุทธิศักดิ์  กล่อมนาค</t>
        </is>
      </c>
      <c r="R913" s="29" t="n"/>
      <c r="S913" s="310" t="inlineStr">
        <is>
          <t>)</t>
        </is>
      </c>
    </row>
    <row r="914" ht="22.2" customHeight="1" s="330">
      <c r="A914" s="483" t="inlineStr">
        <is>
          <t xml:space="preserve">                 ตำแหน่ง  ครูพิเศษ</t>
        </is>
      </c>
      <c r="G914" s="331" t="n"/>
      <c r="H914" s="62" t="inlineStr">
        <is>
          <t>ตำแหน่ง หัวหน้าแผนก</t>
        </is>
      </c>
      <c r="L914" s="331" t="n"/>
      <c r="M914" s="62" t="inlineStr">
        <is>
          <t>ตำแหน่ง   ผู้ตรวจสอบ</t>
        </is>
      </c>
      <c r="S914" s="331" t="n"/>
    </row>
    <row r="915" ht="22.2" customHeight="1" s="330">
      <c r="A915" s="63">
        <f>A41</f>
        <v/>
      </c>
      <c r="B915" s="471" t="n"/>
      <c r="C915" s="471" t="n"/>
      <c r="D915" s="471" t="n"/>
      <c r="E915" s="471" t="n"/>
      <c r="F915" s="471" t="n"/>
      <c r="G915" s="476" t="n"/>
      <c r="H915" s="62">
        <f>A41</f>
        <v/>
      </c>
      <c r="L915" s="331" t="n"/>
      <c r="M915" s="63">
        <f>A41</f>
        <v/>
      </c>
      <c r="N915" s="471" t="n"/>
      <c r="O915" s="471" t="n"/>
      <c r="P915" s="471" t="n"/>
      <c r="Q915" s="471" t="n"/>
      <c r="R915" s="471" t="n"/>
      <c r="S915" s="476" t="n"/>
    </row>
    <row r="916" ht="22.2" customHeight="1" s="330">
      <c r="A916" s="207" t="inlineStr">
        <is>
          <t>ผู้ตรวจ</t>
        </is>
      </c>
      <c r="B916" s="334" t="n"/>
      <c r="C916" s="334" t="n"/>
      <c r="D916" s="334" t="n"/>
      <c r="E916" s="334" t="n"/>
      <c r="F916" s="334" t="n"/>
      <c r="G916" s="334" t="n"/>
      <c r="H916" s="334" t="n"/>
      <c r="I916" s="335" t="n"/>
      <c r="J916" s="207" t="inlineStr">
        <is>
          <t>ผู้เห็นชอบ</t>
        </is>
      </c>
      <c r="K916" s="334" t="n"/>
      <c r="L916" s="334" t="n"/>
      <c r="M916" s="334" t="n"/>
      <c r="N916" s="334" t="n"/>
      <c r="O916" s="334" t="n"/>
      <c r="P916" s="334" t="n"/>
      <c r="Q916" s="334" t="n"/>
      <c r="R916" s="334" t="n"/>
      <c r="S916" s="335" t="n"/>
    </row>
    <row r="917" ht="22.2" customHeight="1" s="330">
      <c r="A917" s="252" t="inlineStr">
        <is>
          <t>ลงชื่อ……………………………………………</t>
        </is>
      </c>
      <c r="I917" s="331" t="n"/>
      <c r="J917" s="252" t="inlineStr">
        <is>
          <t>ลงชื่อ……………………………………………</t>
        </is>
      </c>
      <c r="S917" s="331" t="n"/>
    </row>
    <row r="918" ht="22.2" customHeight="1" s="330">
      <c r="A918" s="12" t="n"/>
      <c r="B918" s="309" t="inlineStr">
        <is>
          <t xml:space="preserve">          (นางศิวรักษ์   บุญประเสริฐ)</t>
        </is>
      </c>
      <c r="I918" s="310" t="n"/>
      <c r="J918" s="29" t="n"/>
      <c r="K918" s="29" t="n"/>
      <c r="L918" s="309" t="inlineStr">
        <is>
          <t>(นายปรีชา  โพธิ์เกิด)</t>
        </is>
      </c>
      <c r="R918" s="29" t="n"/>
      <c r="S918" s="13" t="n"/>
    </row>
    <row r="919" ht="22.2" customHeight="1" s="330">
      <c r="A919" s="62" t="inlineStr">
        <is>
          <t>ตำแหน่งครู  หัวหน้างานพัฒนาหลักสูตร ฯ</t>
        </is>
      </c>
      <c r="I919" s="331" t="n"/>
      <c r="J919" s="62" t="inlineStr">
        <is>
          <t>ตำแหน่ง  รองผู้อำนวยการฝ่ายวิชาการ</t>
        </is>
      </c>
      <c r="S919" s="331" t="n"/>
    </row>
    <row r="920" ht="22.2" customHeight="1" s="330">
      <c r="A920" s="63">
        <f>A41</f>
        <v/>
      </c>
      <c r="B920" s="471" t="n"/>
      <c r="C920" s="471" t="n"/>
      <c r="D920" s="471" t="n"/>
      <c r="E920" s="471" t="n"/>
      <c r="F920" s="471" t="n"/>
      <c r="G920" s="471" t="n"/>
      <c r="H920" s="471" t="n"/>
      <c r="I920" s="476" t="n"/>
      <c r="J920" s="63">
        <f>A41</f>
        <v/>
      </c>
      <c r="K920" s="471" t="n"/>
      <c r="L920" s="471" t="n"/>
      <c r="M920" s="471" t="n"/>
      <c r="N920" s="471" t="n"/>
      <c r="O920" s="471" t="n"/>
      <c r="P920" s="471" t="n"/>
      <c r="Q920" s="471" t="n"/>
      <c r="R920" s="471" t="n"/>
      <c r="S920" s="476" t="n"/>
    </row>
    <row r="921" ht="22.2" customHeight="1" s="330">
      <c r="A92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22" ht="22.2" customHeight="1" s="330">
      <c r="A922" s="254">
        <f>A2</f>
        <v/>
      </c>
    </row>
    <row r="923" ht="22.2" customHeight="1" s="330">
      <c r="A923" s="253" t="inlineStr">
        <is>
          <t xml:space="preserve">    ระหว่างวันที่</t>
        </is>
      </c>
      <c r="D923" s="254">
        <f>D3</f>
        <v/>
      </c>
      <c r="E923" s="254" t="inlineStr">
        <is>
          <t xml:space="preserve">   เดือน  </t>
        </is>
      </c>
      <c r="F923" s="254">
        <f>F3</f>
        <v/>
      </c>
      <c r="H923" s="254">
        <f>H3</f>
        <v/>
      </c>
      <c r="I923" s="254" t="inlineStr">
        <is>
          <t xml:space="preserve">     ถึง วันที่</t>
        </is>
      </c>
      <c r="J923" s="254">
        <f>J3</f>
        <v/>
      </c>
      <c r="K923" s="254" t="inlineStr">
        <is>
          <t xml:space="preserve">   เดือน </t>
        </is>
      </c>
      <c r="L923" s="254">
        <f>L3</f>
        <v/>
      </c>
      <c r="N923" s="254">
        <f>N3</f>
        <v/>
      </c>
      <c r="P923" s="254" t="n"/>
      <c r="R923" s="254" t="n"/>
    </row>
    <row r="924" ht="22.2" customHeight="1" s="330">
      <c r="G924" s="58" t="inlineStr">
        <is>
          <t>ü</t>
        </is>
      </c>
      <c r="H924" s="8" t="inlineStr">
        <is>
          <t>ครูพิเศษ</t>
        </is>
      </c>
      <c r="I924" s="249" t="inlineStr">
        <is>
          <t>หน้าที่พิเศษ</t>
        </is>
      </c>
      <c r="K924" s="290" t="n"/>
    </row>
    <row r="925" ht="22.2" customHeight="1" s="330">
      <c r="A925" s="28" t="inlineStr">
        <is>
          <t>ที่</t>
        </is>
      </c>
      <c r="B925" s="28" t="inlineStr">
        <is>
          <t>ชื่อ-สกุล</t>
        </is>
      </c>
      <c r="C925" s="334" t="n"/>
      <c r="D925" s="335" t="n"/>
      <c r="E925" s="16" t="inlineStr">
        <is>
          <t>ตำแหน่ง</t>
        </is>
      </c>
      <c r="F925" s="17" t="inlineStr">
        <is>
          <t>ระยะเวลาที่สอน</t>
        </is>
      </c>
      <c r="G925" s="362" t="n"/>
      <c r="H925" s="17" t="inlineStr">
        <is>
          <t>รหัสวิชา</t>
        </is>
      </c>
      <c r="I925" s="275" t="inlineStr">
        <is>
          <t>ชั้น,แผนก,ห้อง</t>
        </is>
      </c>
      <c r="J925" s="17" t="inlineStr">
        <is>
          <t>เวลาสอน</t>
        </is>
      </c>
      <c r="K925" s="335" t="n"/>
      <c r="L925" s="17" t="inlineStr">
        <is>
          <t>ปวช.(คาบ)</t>
        </is>
      </c>
      <c r="M925" s="362" t="n"/>
      <c r="N925" s="244" t="inlineStr">
        <is>
          <t>เงิน</t>
        </is>
      </c>
      <c r="O925" s="275" t="inlineStr">
        <is>
          <t>ยอดเงิน</t>
        </is>
      </c>
      <c r="P925" s="473" t="inlineStr">
        <is>
          <t>ปวส.(คาบ)</t>
        </is>
      </c>
      <c r="Q925" s="362" t="n"/>
      <c r="R925" s="244" t="inlineStr">
        <is>
          <t>เงิน</t>
        </is>
      </c>
      <c r="S925" s="275" t="inlineStr">
        <is>
          <t>ยอดเงิน</t>
        </is>
      </c>
    </row>
    <row r="926" ht="22.2" customHeight="1" s="330">
      <c r="A926" s="60" t="n"/>
      <c r="B926" s="9" t="n"/>
      <c r="C926" s="10" t="n"/>
      <c r="D926" s="14" t="n"/>
      <c r="E926" s="11" t="n"/>
      <c r="F926" s="276" t="inlineStr">
        <is>
          <t>ส.</t>
        </is>
      </c>
      <c r="G926" s="276" t="inlineStr">
        <is>
          <t>วดป.</t>
        </is>
      </c>
      <c r="H926" s="474" t="n"/>
      <c r="I926" s="276" t="n"/>
      <c r="J926" s="475" t="n"/>
      <c r="K926" s="476" t="n"/>
      <c r="L926" s="276" t="inlineStr">
        <is>
          <t>ใน</t>
        </is>
      </c>
      <c r="M926" s="276" t="inlineStr">
        <is>
          <t>นอก</t>
        </is>
      </c>
      <c r="N926" s="276" t="inlineStr">
        <is>
          <t>ต่อ ชม.</t>
        </is>
      </c>
      <c r="O926" s="276" t="inlineStr">
        <is>
          <t>(บาท)</t>
        </is>
      </c>
      <c r="P926" s="60" t="inlineStr">
        <is>
          <t>ใน</t>
        </is>
      </c>
      <c r="Q926" s="60" t="inlineStr">
        <is>
          <t>นอก</t>
        </is>
      </c>
      <c r="R926" s="276" t="inlineStr">
        <is>
          <t>ต่อ ชม.</t>
        </is>
      </c>
      <c r="S926" s="276" t="inlineStr">
        <is>
          <t>(บาท)</t>
        </is>
      </c>
    </row>
    <row r="927" ht="22.2" customHeight="1" s="330">
      <c r="A927" s="275" t="n">
        <v>21</v>
      </c>
      <c r="B927" s="477">
        <f>AB23</f>
        <v/>
      </c>
      <c r="C927" s="334" t="n"/>
      <c r="D927" s="335" t="n"/>
      <c r="E927" s="275" t="inlineStr">
        <is>
          <t>ครู</t>
        </is>
      </c>
      <c r="F927" s="6">
        <f>F7</f>
        <v/>
      </c>
      <c r="G927" s="303" t="inlineStr">
        <is>
          <t>จันทร์</t>
        </is>
      </c>
      <c r="H927" s="332" t="inlineStr">
        <is>
          <t>20101-2009</t>
        </is>
      </c>
      <c r="I927" s="325" t="inlineStr">
        <is>
          <t>ปวช.2/7 ชย. (ปกติ)</t>
        </is>
      </c>
      <c r="J927" s="332" t="inlineStr">
        <is>
          <t>08.10-12.10</t>
        </is>
      </c>
      <c r="K927" s="335" t="n"/>
      <c r="L927" s="265" t="n"/>
      <c r="M927" s="332" t="n"/>
      <c r="N927" s="332" t="n"/>
      <c r="O927" s="244">
        <f>M927*N927</f>
        <v/>
      </c>
      <c r="P927" s="332" t="n"/>
      <c r="Q927" s="265" t="n"/>
      <c r="R927" s="332" t="n"/>
      <c r="S927" s="244">
        <f>Q927*R927</f>
        <v/>
      </c>
    </row>
    <row r="928" ht="22.2" customHeight="1" s="330">
      <c r="A928" s="4" t="n"/>
      <c r="B928" s="478" t="n"/>
      <c r="D928" s="331" t="n"/>
      <c r="E928" s="252" t="inlineStr">
        <is>
          <t>พิเศษ</t>
        </is>
      </c>
      <c r="F928" s="249" t="n"/>
      <c r="G928" s="308">
        <f>G882</f>
        <v/>
      </c>
      <c r="H928" s="325" t="n"/>
      <c r="I928" s="325" t="n"/>
      <c r="J928" s="252" t="n"/>
      <c r="K928" s="331" t="n"/>
      <c r="L928" s="252" t="n"/>
      <c r="M928" s="252" t="n"/>
      <c r="N928" s="252" t="n"/>
      <c r="O928" s="244">
        <f>M928*N928</f>
        <v/>
      </c>
      <c r="P928" s="252" t="n"/>
      <c r="Q928" s="252" t="n"/>
      <c r="R928" s="252" t="n"/>
      <c r="S928" s="244">
        <f>Q928*R928</f>
        <v/>
      </c>
    </row>
    <row r="929" ht="22.2" customHeight="1" s="330">
      <c r="A929" s="4" t="n"/>
      <c r="B929" s="5" t="n"/>
      <c r="D929" s="3" t="n"/>
      <c r="E929" s="3" t="n"/>
      <c r="F929" s="249" t="n"/>
      <c r="G929" s="248" t="n"/>
      <c r="H929" s="252" t="n"/>
      <c r="I929" s="252" t="n"/>
      <c r="J929" s="252" t="n"/>
      <c r="K929" s="331" t="n"/>
      <c r="L929" s="252" t="n"/>
      <c r="M929" s="252" t="n"/>
      <c r="N929" s="252" t="n"/>
      <c r="O929" s="244">
        <f>M929*N929</f>
        <v/>
      </c>
      <c r="P929" s="252" t="n"/>
      <c r="Q929" s="252" t="n"/>
      <c r="R929" s="252" t="n"/>
      <c r="S929" s="244">
        <f>Q929*R929</f>
        <v/>
      </c>
    </row>
    <row r="930" ht="22.2" customHeight="1" s="330">
      <c r="A930" s="4" t="n"/>
      <c r="B930" s="5" t="n"/>
      <c r="E930" s="4" t="n"/>
      <c r="F930" s="249" t="n"/>
      <c r="G930" s="248" t="n"/>
      <c r="H930" s="252" t="n"/>
      <c r="I930" s="252" t="n"/>
      <c r="J930" s="252" t="n"/>
      <c r="K930" s="331" t="n"/>
      <c r="L930" s="252" t="n"/>
      <c r="M930" s="252" t="n"/>
      <c r="N930" s="252" t="n"/>
      <c r="O930" s="244">
        <f>M930*N930</f>
        <v/>
      </c>
      <c r="P930" s="252" t="n"/>
      <c r="Q930" s="252" t="n"/>
      <c r="R930" s="252" t="n"/>
      <c r="S930" s="244">
        <f>Q930*R930</f>
        <v/>
      </c>
    </row>
    <row r="931" ht="22.2" customHeight="1" s="330">
      <c r="A931" s="4" t="n"/>
      <c r="E931" s="4" t="n"/>
      <c r="G931" s="311" t="n"/>
      <c r="H931" s="276" t="n"/>
      <c r="I931" s="276" t="n"/>
      <c r="J931" s="276" t="n"/>
      <c r="K931" s="476" t="n"/>
      <c r="L931" s="252" t="n"/>
      <c r="M931" s="252" t="n"/>
      <c r="N931" s="252" t="n"/>
      <c r="O931" s="244">
        <f>M931*N931</f>
        <v/>
      </c>
      <c r="P931" s="252" t="n"/>
      <c r="Q931" s="252" t="n"/>
      <c r="R931" s="252" t="n"/>
      <c r="S931" s="244">
        <f>Q931*R931</f>
        <v/>
      </c>
    </row>
    <row r="932" ht="22.2" customHeight="1" s="330">
      <c r="A932" s="4" t="n"/>
      <c r="E932" s="4" t="n"/>
      <c r="G932" s="62" t="inlineStr">
        <is>
          <t>อังคาร</t>
        </is>
      </c>
      <c r="H932" s="332" t="inlineStr">
        <is>
          <t>20101-2009</t>
        </is>
      </c>
      <c r="I932" s="325" t="inlineStr">
        <is>
          <t>ปวช.2/8 ชย. (ปกติ)</t>
        </is>
      </c>
      <c r="J932" s="332" t="inlineStr">
        <is>
          <t>08.10-12.10</t>
        </is>
      </c>
      <c r="K932" s="335" t="n"/>
      <c r="L932" s="265" t="n"/>
      <c r="M932" s="332" t="n"/>
      <c r="N932" s="332" t="n"/>
      <c r="O932" s="244">
        <f>M932*N932</f>
        <v/>
      </c>
      <c r="P932" s="332" t="n"/>
      <c r="Q932" s="265" t="n"/>
      <c r="R932" s="332" t="n"/>
      <c r="S932" s="244">
        <f>Q932*R932</f>
        <v/>
      </c>
    </row>
    <row r="933" ht="22.2" customHeight="1" s="330">
      <c r="A933" s="4" t="n"/>
      <c r="E933" s="4" t="n"/>
      <c r="G933" s="308">
        <f>G887</f>
        <v/>
      </c>
      <c r="H933" s="325" t="inlineStr">
        <is>
          <t>20101-2110</t>
        </is>
      </c>
      <c r="I933" s="325" t="inlineStr">
        <is>
          <t>ปวช.3/3 ชย. (ปกติ)</t>
        </is>
      </c>
      <c r="J933" s="252" t="inlineStr">
        <is>
          <t>13.10-17.10</t>
        </is>
      </c>
      <c r="K933" s="331" t="n"/>
      <c r="L933" s="252" t="n"/>
      <c r="M933" s="252" t="n"/>
      <c r="N933" s="252" t="n"/>
      <c r="O933" s="244">
        <f>M933*N933</f>
        <v/>
      </c>
      <c r="P933" s="252" t="n"/>
      <c r="Q933" s="252" t="n"/>
      <c r="R933" s="252" t="n"/>
      <c r="S933" s="244">
        <f>Q933*R933</f>
        <v/>
      </c>
    </row>
    <row r="934" ht="22.2" customHeight="1" s="330">
      <c r="A934" s="4" t="n"/>
      <c r="B934" s="5" t="n"/>
      <c r="D934" s="3" t="n"/>
      <c r="E934" s="3" t="n"/>
      <c r="G934" s="252" t="n"/>
      <c r="H934" s="248" t="n"/>
      <c r="I934" s="252" t="n"/>
      <c r="J934" s="252" t="n"/>
      <c r="K934" s="331" t="n"/>
      <c r="L934" s="252" t="n"/>
      <c r="M934" s="252" t="n"/>
      <c r="N934" s="252" t="n"/>
      <c r="O934" s="244">
        <f>M934*N934</f>
        <v/>
      </c>
      <c r="P934" s="252" t="n"/>
      <c r="Q934" s="252" t="n"/>
      <c r="R934" s="252" t="n"/>
      <c r="S934" s="244">
        <f>Q934*R934</f>
        <v/>
      </c>
    </row>
    <row r="935" ht="22.2" customHeight="1" s="330">
      <c r="A935" s="4" t="n"/>
      <c r="E935" s="4" t="n"/>
      <c r="G935" s="62" t="n"/>
      <c r="H935" s="249" t="n"/>
      <c r="I935" s="252" t="n"/>
      <c r="J935" s="252" t="n"/>
      <c r="K935" s="331" t="n"/>
      <c r="L935" s="252" t="n"/>
      <c r="M935" s="252" t="n"/>
      <c r="N935" s="252" t="n"/>
      <c r="O935" s="244">
        <f>M935*N935</f>
        <v/>
      </c>
      <c r="P935" s="252" t="n"/>
      <c r="Q935" s="252" t="n"/>
      <c r="R935" s="252" t="n"/>
      <c r="S935" s="244">
        <f>Q935*R935</f>
        <v/>
      </c>
    </row>
    <row r="936" ht="22.2" customHeight="1" s="330">
      <c r="A936" s="4" t="n"/>
      <c r="D936" s="8" t="inlineStr">
        <is>
          <t> </t>
        </is>
      </c>
      <c r="E936" s="4" t="n"/>
      <c r="G936" s="63" t="n"/>
      <c r="H936" s="276" t="n"/>
      <c r="I936" s="276" t="n"/>
      <c r="J936" s="276" t="n"/>
      <c r="K936" s="476" t="n"/>
      <c r="L936" s="252" t="n"/>
      <c r="M936" s="252" t="n"/>
      <c r="N936" s="252" t="n"/>
      <c r="O936" s="244">
        <f>M936*N936</f>
        <v/>
      </c>
      <c r="P936" s="252" t="n"/>
      <c r="Q936" s="252" t="n"/>
      <c r="R936" s="252" t="n"/>
      <c r="S936" s="244">
        <f>Q936*R936</f>
        <v/>
      </c>
    </row>
    <row r="937" ht="22.2" customHeight="1" s="330">
      <c r="A937" s="4" t="n"/>
      <c r="E937" s="4" t="n"/>
      <c r="G937" s="308" t="inlineStr">
        <is>
          <t>พุธ</t>
        </is>
      </c>
      <c r="H937" s="325" t="inlineStr">
        <is>
          <t>20101-5101</t>
        </is>
      </c>
      <c r="I937" s="325" t="inlineStr">
        <is>
          <t>ปวช.2/9 ชย. (ทวิ)</t>
        </is>
      </c>
      <c r="J937" s="332" t="inlineStr">
        <is>
          <t>08.10-12.10</t>
        </is>
      </c>
      <c r="K937" s="335" t="n"/>
      <c r="L937" s="265" t="n"/>
      <c r="M937" s="332" t="n"/>
      <c r="N937" s="332" t="n"/>
      <c r="O937" s="244">
        <f>M937*N937</f>
        <v/>
      </c>
      <c r="P937" s="332" t="n"/>
      <c r="Q937" s="265" t="n"/>
      <c r="R937" s="332" t="n"/>
      <c r="S937" s="244">
        <f>Q937*R937</f>
        <v/>
      </c>
    </row>
    <row r="938" ht="22.2" customHeight="1" s="330">
      <c r="A938" s="4" t="n"/>
      <c r="B938" s="248" t="n"/>
      <c r="C938" s="249" t="n"/>
      <c r="D938" s="249" t="n"/>
      <c r="E938" s="252" t="n"/>
      <c r="G938" s="308">
        <f>G892</f>
        <v/>
      </c>
      <c r="H938" s="325" t="inlineStr">
        <is>
          <t>20101-5101</t>
        </is>
      </c>
      <c r="I938" s="325" t="inlineStr">
        <is>
          <t>ปวช.2/9 ชย. (ทวิ)</t>
        </is>
      </c>
      <c r="J938" s="325" t="inlineStr">
        <is>
          <t>13.10-16.10</t>
        </is>
      </c>
      <c r="K938" s="331" t="n"/>
      <c r="L938" s="252" t="n"/>
      <c r="M938" s="252" t="n"/>
      <c r="N938" s="252" t="n"/>
      <c r="O938" s="244">
        <f>M938*N938</f>
        <v/>
      </c>
      <c r="P938" s="252" t="n"/>
      <c r="Q938" s="252" t="n"/>
      <c r="R938" s="252" t="n"/>
      <c r="S938" s="244">
        <f>Q938*R938</f>
        <v/>
      </c>
    </row>
    <row r="939" ht="22.2" customHeight="1" s="330">
      <c r="A939" s="4" t="n"/>
      <c r="B939" s="5" t="n"/>
      <c r="D939" s="3" t="n"/>
      <c r="E939" s="3" t="n"/>
      <c r="G939" s="252" t="n"/>
      <c r="H939" s="325" t="n"/>
      <c r="I939" s="325" t="n"/>
      <c r="J939" s="252" t="n"/>
      <c r="K939" s="331" t="n"/>
      <c r="L939" s="252" t="n"/>
      <c r="M939" s="252" t="n"/>
      <c r="N939" s="252" t="n"/>
      <c r="O939" s="244">
        <f>M939*N939</f>
        <v/>
      </c>
      <c r="P939" s="252" t="n"/>
      <c r="Q939" s="252" t="n"/>
      <c r="R939" s="252" t="n"/>
      <c r="S939" s="244">
        <f>Q939*R939</f>
        <v/>
      </c>
    </row>
    <row r="940" ht="22.2" customHeight="1" s="330">
      <c r="A940" s="4" t="n"/>
      <c r="E940" s="4" t="n"/>
      <c r="G940" s="248" t="n"/>
      <c r="H940" s="325" t="n"/>
      <c r="I940" s="325" t="n"/>
      <c r="J940" s="252" t="n"/>
      <c r="K940" s="331" t="n"/>
      <c r="L940" s="252" t="n"/>
      <c r="M940" s="252" t="n"/>
      <c r="N940" s="252" t="n"/>
      <c r="O940" s="244">
        <f>M940*N940</f>
        <v/>
      </c>
      <c r="P940" s="252" t="n"/>
      <c r="Q940" s="252" t="n"/>
      <c r="R940" s="252" t="n"/>
      <c r="S940" s="244">
        <f>Q940*R940</f>
        <v/>
      </c>
    </row>
    <row r="941" ht="22.2" customHeight="1" s="330">
      <c r="A941" s="4" t="n"/>
      <c r="E941" s="4" t="n"/>
      <c r="G941" s="277" t="n"/>
      <c r="H941" s="277" t="n"/>
      <c r="I941" s="276" t="n"/>
      <c r="J941" s="276" t="n"/>
      <c r="K941" s="476" t="n"/>
      <c r="L941" s="276" t="n"/>
      <c r="M941" s="276" t="n"/>
      <c r="N941" s="276" t="n"/>
      <c r="O941" s="244">
        <f>M941*N941</f>
        <v/>
      </c>
      <c r="P941" s="276" t="n"/>
      <c r="Q941" s="276" t="n"/>
      <c r="R941" s="276" t="n"/>
      <c r="S941" s="244">
        <f>Q941*R941</f>
        <v/>
      </c>
    </row>
    <row r="942" ht="22.2" customHeight="1" s="330">
      <c r="A942" s="4" t="n"/>
      <c r="E942" s="4" t="n"/>
      <c r="G942" s="62" t="inlineStr">
        <is>
          <t>พฤหัส</t>
        </is>
      </c>
      <c r="H942" s="332" t="inlineStr">
        <is>
          <t>20101-2009</t>
        </is>
      </c>
      <c r="I942" s="325" t="inlineStr">
        <is>
          <t>ปวช.2/5 ชย. (ปกติ)</t>
        </is>
      </c>
      <c r="J942" s="252" t="inlineStr">
        <is>
          <t>08.10-12.10</t>
        </is>
      </c>
      <c r="K942" s="331" t="n"/>
      <c r="L942" s="265" t="n"/>
      <c r="M942" s="252" t="n"/>
      <c r="N942" s="252" t="n"/>
      <c r="O942" s="244">
        <f>M942*N942</f>
        <v/>
      </c>
      <c r="P942" s="252" t="n"/>
      <c r="Q942" s="275" t="n"/>
      <c r="R942" s="275" t="n"/>
      <c r="S942" s="244">
        <f>Q942*R942</f>
        <v/>
      </c>
    </row>
    <row r="943" ht="22.2" customHeight="1" s="330">
      <c r="A943" s="4" t="n"/>
      <c r="E943" s="4" t="n"/>
      <c r="G943" s="308">
        <f>G897</f>
        <v/>
      </c>
      <c r="H943" s="252" t="inlineStr">
        <is>
          <t>20000-2002</t>
        </is>
      </c>
      <c r="I943" s="325" t="inlineStr">
        <is>
          <t>ปวช.1/5,6 ชย. (ปกติ)</t>
        </is>
      </c>
      <c r="J943" s="325" t="inlineStr">
        <is>
          <t>13.10-15.10</t>
        </is>
      </c>
      <c r="K943" s="331" t="n"/>
      <c r="L943" s="252" t="n"/>
      <c r="M943" s="252" t="n"/>
      <c r="N943" s="252" t="n"/>
      <c r="O943" s="244">
        <f>M943*N943</f>
        <v/>
      </c>
      <c r="P943" s="252" t="n"/>
      <c r="Q943" s="252" t="n"/>
      <c r="R943" s="252" t="n"/>
      <c r="S943" s="244">
        <f>Q943*R943</f>
        <v/>
      </c>
    </row>
    <row r="944" ht="22.2" customHeight="1" s="330">
      <c r="A944" s="4" t="n"/>
      <c r="B944" s="5" t="n"/>
      <c r="E944" s="4" t="n"/>
      <c r="G944" s="252" t="n"/>
      <c r="H944" s="325" t="inlineStr">
        <is>
          <t>20101-2009</t>
        </is>
      </c>
      <c r="I944" s="325" t="inlineStr">
        <is>
          <t>ปวช.1/9 ชย. (ทวิ)</t>
        </is>
      </c>
      <c r="J944" s="252" t="inlineStr">
        <is>
          <t>15.10-19.10</t>
        </is>
      </c>
      <c r="K944" s="331" t="n"/>
      <c r="L944" s="252" t="n"/>
      <c r="M944" s="325" t="n"/>
      <c r="N944" s="325" t="n"/>
      <c r="O944" s="244">
        <f>M944*N944</f>
        <v/>
      </c>
      <c r="P944" s="325" t="n"/>
      <c r="Q944" s="325" t="n"/>
      <c r="R944" s="325" t="n"/>
      <c r="S944" s="244">
        <f>Q944*R944</f>
        <v/>
      </c>
    </row>
    <row r="945" ht="22.2" customHeight="1" s="330">
      <c r="A945" s="4" t="n"/>
      <c r="E945" s="4" t="n"/>
      <c r="G945" s="252" t="n"/>
      <c r="H945" s="252" t="n"/>
      <c r="I945" s="325" t="n"/>
      <c r="J945" s="252" t="n"/>
      <c r="K945" s="331" t="n"/>
      <c r="L945" s="252" t="n"/>
      <c r="M945" s="252" t="n"/>
      <c r="N945" s="252" t="n"/>
      <c r="O945" s="244">
        <f>M945*N945</f>
        <v/>
      </c>
      <c r="P945" s="252" t="n"/>
      <c r="Q945" s="252" t="n"/>
      <c r="R945" s="252" t="n"/>
      <c r="S945" s="244">
        <f>Q945*R945</f>
        <v/>
      </c>
    </row>
    <row r="946" ht="22.2" customHeight="1" s="330">
      <c r="A946" s="4" t="n"/>
      <c r="E946" s="4" t="n"/>
      <c r="G946" s="276" t="n"/>
      <c r="H946" s="301" t="n"/>
      <c r="I946" s="276" t="n"/>
      <c r="J946" s="276" t="n"/>
      <c r="K946" s="476" t="n"/>
      <c r="L946" s="276" t="n"/>
      <c r="M946" s="276" t="n"/>
      <c r="N946" s="276" t="n"/>
      <c r="O946" s="244">
        <f>M946*N946</f>
        <v/>
      </c>
      <c r="P946" s="276" t="n"/>
      <c r="Q946" s="276" t="n"/>
      <c r="R946" s="276" t="n"/>
      <c r="S946" s="244">
        <f>Q946*R946</f>
        <v/>
      </c>
    </row>
    <row r="947" ht="22.2" customHeight="1" s="330">
      <c r="A947" s="4" t="n"/>
      <c r="E947" s="4" t="n"/>
      <c r="G947" s="62" t="inlineStr">
        <is>
          <t>ศุกร์</t>
        </is>
      </c>
      <c r="H947" s="332" t="inlineStr">
        <is>
          <t>20101-2009</t>
        </is>
      </c>
      <c r="I947" s="325" t="inlineStr">
        <is>
          <t>ปวช.2/6 ชย. (ปกติ)</t>
        </is>
      </c>
      <c r="J947" s="332" t="inlineStr">
        <is>
          <t>08.10-12.10</t>
        </is>
      </c>
      <c r="K947" s="335" t="n"/>
      <c r="L947" s="265" t="n"/>
      <c r="M947" s="332" t="n"/>
      <c r="N947" s="332" t="n"/>
      <c r="O947" s="244">
        <f>M947*N947</f>
        <v/>
      </c>
      <c r="P947" s="332" t="n"/>
      <c r="Q947" s="265" t="n"/>
      <c r="R947" s="332" t="n"/>
      <c r="S947" s="244">
        <f>Q947*R947</f>
        <v/>
      </c>
      <c r="T947" s="25" t="n"/>
      <c r="U947" s="26" t="inlineStr">
        <is>
          <t xml:space="preserve">     PLC</t>
        </is>
      </c>
      <c r="V947" s="64" t="n"/>
      <c r="W947" s="27" t="n"/>
      <c r="X947" s="27" t="n"/>
    </row>
    <row r="948" ht="22.2" customHeight="1" s="330">
      <c r="A948" s="4" t="n"/>
      <c r="E948" s="4" t="n"/>
      <c r="G948" s="308">
        <f>G902</f>
        <v/>
      </c>
      <c r="H948" s="325" t="n"/>
      <c r="I948" s="325" t="n"/>
      <c r="J948" s="252" t="n"/>
      <c r="K948" s="331" t="n"/>
      <c r="L948" s="252" t="n"/>
      <c r="M948" s="252" t="n"/>
      <c r="N948" s="252" t="n"/>
      <c r="O948" s="244">
        <f>M948*N948</f>
        <v/>
      </c>
      <c r="P948" s="252" t="n"/>
      <c r="Q948" s="252" t="n"/>
      <c r="R948" s="252" t="n"/>
      <c r="S948" s="244">
        <f>Q948*R948</f>
        <v/>
      </c>
      <c r="T948" s="27" t="inlineStr">
        <is>
          <t> </t>
        </is>
      </c>
      <c r="U948" s="26" t="inlineStr">
        <is>
          <t>17.10-19.10</t>
        </is>
      </c>
      <c r="V948" s="64" t="n"/>
      <c r="W948" s="27" t="n"/>
      <c r="X948" s="27" t="n"/>
    </row>
    <row r="949" ht="22.2" customHeight="1" s="330">
      <c r="A949" s="4" t="n"/>
      <c r="E949" s="4" t="n"/>
      <c r="G949" s="252" t="n"/>
      <c r="H949" s="248" t="n"/>
      <c r="I949" s="252" t="n"/>
      <c r="J949" s="252" t="n"/>
      <c r="K949" s="331" t="n"/>
      <c r="L949" s="252" t="n"/>
      <c r="M949" s="252" t="n"/>
      <c r="N949" s="252" t="n"/>
      <c r="O949" s="244">
        <f>M949*N949</f>
        <v/>
      </c>
      <c r="P949" s="252" t="n"/>
      <c r="Q949" s="252" t="n"/>
      <c r="R949" s="252" t="n"/>
      <c r="S949" s="244">
        <f>Q949*R949</f>
        <v/>
      </c>
    </row>
    <row r="950" ht="22.2" customHeight="1" s="330">
      <c r="A950" s="4" t="n"/>
      <c r="E950" s="4" t="n"/>
      <c r="G950" s="252" t="n"/>
      <c r="H950" s="249" t="inlineStr">
        <is>
          <t> </t>
        </is>
      </c>
      <c r="I950" s="252" t="n"/>
      <c r="J950" s="252" t="n"/>
      <c r="K950" s="331" t="n"/>
      <c r="L950" s="252" t="n"/>
      <c r="M950" s="252" t="n"/>
      <c r="N950" s="252" t="n"/>
      <c r="O950" s="244">
        <f>M950*N950</f>
        <v/>
      </c>
      <c r="P950" s="252" t="n"/>
      <c r="Q950" s="252" t="n"/>
      <c r="R950" s="252" t="n"/>
      <c r="S950" s="244">
        <f>Q950*R950</f>
        <v/>
      </c>
    </row>
    <row r="951" ht="22.2" customHeight="1" s="330">
      <c r="A951" s="4" t="n"/>
      <c r="E951" s="4" t="n"/>
      <c r="F951" s="4" t="n"/>
      <c r="G951" s="278" t="n"/>
      <c r="H951" s="301" t="n"/>
      <c r="I951" s="276" t="n"/>
      <c r="J951" s="276" t="n"/>
      <c r="K951" s="476" t="n"/>
      <c r="L951" s="276" t="n"/>
      <c r="M951" s="276" t="n"/>
      <c r="N951" s="276" t="n"/>
      <c r="O951" s="244">
        <f>M951*N951</f>
        <v/>
      </c>
      <c r="P951" s="276" t="n"/>
      <c r="Q951" s="276" t="n"/>
      <c r="R951" s="276" t="n"/>
      <c r="S951" s="244">
        <f>Q951*R951</f>
        <v/>
      </c>
    </row>
    <row r="952" ht="22.2" customHeight="1" s="330">
      <c r="A952" s="4" t="n"/>
      <c r="E952" s="4" t="n"/>
      <c r="F952" s="4" t="n"/>
      <c r="G952" s="17" t="inlineStr">
        <is>
          <t>รวมขั่วโมงที่สอนแยก ภาระงาน/ เกินภาระงาน</t>
        </is>
      </c>
      <c r="H952" s="467" t="n"/>
      <c r="I952" s="467" t="n"/>
      <c r="J952" s="467" t="n"/>
      <c r="K952" s="362" t="n"/>
      <c r="L952" s="17">
        <f>SUM(L927:L951)</f>
        <v/>
      </c>
      <c r="M952" s="17">
        <f>SUM(M927:M951)</f>
        <v/>
      </c>
      <c r="N952" s="17" t="n"/>
      <c r="O952" s="17" t="n"/>
      <c r="P952" s="17">
        <f>SUM(P927:P951)</f>
        <v/>
      </c>
      <c r="Q952" s="17">
        <f>SUM(Q927:Q951)</f>
        <v/>
      </c>
      <c r="R952" s="279" t="n"/>
      <c r="S952" s="17" t="n"/>
    </row>
    <row r="953" ht="22.2" customHeight="1" s="330">
      <c r="A953" s="4" t="n"/>
      <c r="E953" s="4" t="n"/>
      <c r="F953" s="4" t="n"/>
      <c r="G953" s="17" t="inlineStr">
        <is>
          <t>รวมจำนวนชั่วโมงสอนคาบต่อสับดาห์</t>
        </is>
      </c>
      <c r="H953" s="467" t="n"/>
      <c r="I953" s="467" t="n"/>
      <c r="J953" s="467" t="n"/>
      <c r="K953" s="362" t="n"/>
      <c r="L953" s="17">
        <f>L952+M952</f>
        <v/>
      </c>
      <c r="M953" s="362" t="n"/>
      <c r="N953" s="17" t="n"/>
      <c r="O953" s="298" t="n"/>
      <c r="P953" s="17">
        <f>P952+Q952</f>
        <v/>
      </c>
      <c r="Q953" s="362" t="n"/>
      <c r="R953" s="278" t="n"/>
      <c r="S953" s="276" t="n"/>
    </row>
    <row r="954" ht="22.2" customHeight="1" s="330">
      <c r="A954" s="4" t="n"/>
      <c r="E954" s="4" t="n"/>
      <c r="F954" s="4" t="n"/>
      <c r="G954" s="17" t="inlineStr">
        <is>
          <t>จำนวนชั่วโมงสอนตามภาระงานสอน</t>
        </is>
      </c>
      <c r="H954" s="467" t="n"/>
      <c r="I954" s="467" t="n"/>
      <c r="J954" s="467" t="n"/>
      <c r="K954" s="362" t="n"/>
      <c r="L954" s="17" t="n">
        <v>18</v>
      </c>
      <c r="M954" s="362" t="n"/>
      <c r="N954" s="17" t="n"/>
      <c r="O954" s="298" t="n"/>
      <c r="P954" s="17" t="n">
        <v>0</v>
      </c>
      <c r="Q954" s="362" t="n"/>
      <c r="R954" s="249" t="n"/>
      <c r="S954" s="252" t="n"/>
    </row>
    <row r="955" ht="22.2" customHeight="1" s="330" thickBot="1">
      <c r="A955" s="4" t="n"/>
      <c r="E955" s="4" t="n"/>
      <c r="F955" s="15" t="n"/>
      <c r="G955" s="17" t="inlineStr">
        <is>
          <t>จำนวนชั่วโมงบิกเกินภาระงานสอน/ค่าสอน</t>
        </is>
      </c>
      <c r="H955" s="467" t="n"/>
      <c r="I955" s="467" t="n"/>
      <c r="J955" s="467" t="n"/>
      <c r="K955" s="362" t="n"/>
      <c r="L955" s="18" t="n">
        <v>0</v>
      </c>
      <c r="M955" s="18">
        <f>SUM(M927:M951)</f>
        <v/>
      </c>
      <c r="N955" s="18" t="n"/>
      <c r="O955" s="18">
        <f>SUM(O927:O951)</f>
        <v/>
      </c>
      <c r="P955" s="18" t="n">
        <v>0</v>
      </c>
      <c r="Q955" s="18">
        <f>SUM(Q927:Q951)</f>
        <v/>
      </c>
      <c r="R955" s="19" t="n"/>
      <c r="S955" s="18">
        <f>SUM(S927:S951)</f>
        <v/>
      </c>
    </row>
    <row r="956" ht="22.2" customHeight="1" s="330" thickTop="1">
      <c r="A956" s="299" t="inlineStr">
        <is>
          <t>รวมจำนวนหน่วยชั่วโมงที่ขอเบิกค่าสอน ….</t>
        </is>
      </c>
      <c r="B956" s="467" t="n"/>
      <c r="C956" s="467" t="n"/>
      <c r="D956" s="467" t="n"/>
      <c r="E956" s="467" t="n"/>
      <c r="F956" s="467" t="n"/>
      <c r="G956" s="467" t="n"/>
      <c r="H956" s="298">
        <f>M955+Q955</f>
        <v/>
      </c>
      <c r="I956" s="298" t="inlineStr">
        <is>
          <t>….ชั่วโมง</t>
        </is>
      </c>
      <c r="J956" s="298" t="n"/>
      <c r="K956" s="301" t="inlineStr">
        <is>
          <t>ยอดเงินรวม</t>
        </is>
      </c>
      <c r="L956" s="471" t="n"/>
      <c r="M956" s="471" t="n"/>
      <c r="N956" s="301" t="n"/>
      <c r="O956" s="301" t="n"/>
      <c r="P956" s="302">
        <f>S955+O955</f>
        <v/>
      </c>
      <c r="Q956" s="482" t="n"/>
      <c r="R956" s="21" t="n"/>
      <c r="S956" s="20" t="inlineStr">
        <is>
          <t>..บาท</t>
        </is>
      </c>
    </row>
    <row r="957" ht="22.2" customHeight="1" s="330">
      <c r="A957" s="207" t="inlineStr">
        <is>
          <t>ผู้ขอเบิก</t>
        </is>
      </c>
      <c r="B957" s="334" t="n"/>
      <c r="C957" s="334" t="n"/>
      <c r="D957" s="334" t="n"/>
      <c r="E957" s="334" t="n"/>
      <c r="F957" s="334" t="n"/>
      <c r="G957" s="335" t="n"/>
      <c r="H957" s="207" t="inlineStr">
        <is>
          <t>ผู้รับรอง</t>
        </is>
      </c>
      <c r="I957" s="334" t="n"/>
      <c r="J957" s="334" t="n"/>
      <c r="K957" s="334" t="n"/>
      <c r="L957" s="335" t="n"/>
      <c r="M957" s="207" t="inlineStr">
        <is>
          <t>ผู้ตรวจ</t>
        </is>
      </c>
      <c r="N957" s="334" t="n"/>
      <c r="O957" s="334" t="n"/>
      <c r="P957" s="334" t="n"/>
      <c r="Q957" s="334" t="n"/>
      <c r="R957" s="334" t="n"/>
      <c r="S957" s="335" t="n"/>
    </row>
    <row r="958" ht="22.2" customHeight="1" s="330">
      <c r="A958" s="252" t="inlineStr">
        <is>
          <t>ลงชื่อ……………………………………………</t>
        </is>
      </c>
      <c r="G958" s="331" t="n"/>
      <c r="H958" s="252" t="inlineStr">
        <is>
          <t>ลงชื่อ……………………………………………</t>
        </is>
      </c>
      <c r="L958" s="331" t="n"/>
      <c r="M958" s="252" t="inlineStr">
        <is>
          <t>ลงชื่อ……………………………………………</t>
        </is>
      </c>
      <c r="S958" s="331" t="n"/>
    </row>
    <row r="959" ht="22.2" customHeight="1" s="330">
      <c r="A959" s="12" t="inlineStr">
        <is>
          <t>(</t>
        </is>
      </c>
      <c r="B959" s="309">
        <f>B927</f>
        <v/>
      </c>
      <c r="G959" s="310" t="inlineStr">
        <is>
          <t>)</t>
        </is>
      </c>
      <c r="H959" s="309" t="inlineStr">
        <is>
          <t>(</t>
        </is>
      </c>
      <c r="I959" s="314">
        <f>I913</f>
        <v/>
      </c>
      <c r="L959" s="13" t="inlineStr">
        <is>
          <t>)</t>
        </is>
      </c>
      <c r="M959" s="61" t="inlineStr">
        <is>
          <t>(</t>
        </is>
      </c>
      <c r="N959" s="61" t="n"/>
      <c r="O959" s="309" t="inlineStr">
        <is>
          <t>นายพิสุทธิศักดิ์  กล่อมนาค</t>
        </is>
      </c>
      <c r="R959" s="29" t="n"/>
      <c r="S959" s="310" t="inlineStr">
        <is>
          <t>)</t>
        </is>
      </c>
    </row>
    <row r="960" ht="22.2" customHeight="1" s="330">
      <c r="A960" s="483" t="inlineStr">
        <is>
          <t xml:space="preserve">                 ตำแหน่ง  ครูพิเศษ</t>
        </is>
      </c>
      <c r="G960" s="331" t="n"/>
      <c r="H960" s="62" t="inlineStr">
        <is>
          <t>ตำแหน่ง หัวหน้าแผนก</t>
        </is>
      </c>
      <c r="L960" s="331" t="n"/>
      <c r="M960" s="62" t="inlineStr">
        <is>
          <t>ตำแหน่ง   ผู้ตรวจสอบ</t>
        </is>
      </c>
      <c r="S960" s="331" t="n"/>
    </row>
    <row r="961" ht="22.2" customHeight="1" s="330">
      <c r="A961" s="63">
        <f>A41</f>
        <v/>
      </c>
      <c r="B961" s="471" t="n"/>
      <c r="C961" s="471" t="n"/>
      <c r="D961" s="471" t="n"/>
      <c r="E961" s="471" t="n"/>
      <c r="F961" s="471" t="n"/>
      <c r="G961" s="476" t="n"/>
      <c r="H961" s="62">
        <f>A41</f>
        <v/>
      </c>
      <c r="L961" s="331" t="n"/>
      <c r="M961" s="63">
        <f>A41</f>
        <v/>
      </c>
      <c r="N961" s="471" t="n"/>
      <c r="O961" s="471" t="n"/>
      <c r="P961" s="471" t="n"/>
      <c r="Q961" s="471" t="n"/>
      <c r="R961" s="471" t="n"/>
      <c r="S961" s="476" t="n"/>
    </row>
    <row r="962" ht="22.2" customHeight="1" s="330">
      <c r="A962" s="207" t="inlineStr">
        <is>
          <t>ผู้ตรวจ</t>
        </is>
      </c>
      <c r="B962" s="334" t="n"/>
      <c r="C962" s="334" t="n"/>
      <c r="D962" s="334" t="n"/>
      <c r="E962" s="334" t="n"/>
      <c r="F962" s="334" t="n"/>
      <c r="G962" s="334" t="n"/>
      <c r="H962" s="334" t="n"/>
      <c r="I962" s="335" t="n"/>
      <c r="J962" s="207" t="inlineStr">
        <is>
          <t>ผู้เห็นชอบ</t>
        </is>
      </c>
      <c r="K962" s="334" t="n"/>
      <c r="L962" s="334" t="n"/>
      <c r="M962" s="334" t="n"/>
      <c r="N962" s="334" t="n"/>
      <c r="O962" s="334" t="n"/>
      <c r="P962" s="334" t="n"/>
      <c r="Q962" s="334" t="n"/>
      <c r="R962" s="334" t="n"/>
      <c r="S962" s="335" t="n"/>
    </row>
    <row r="963" ht="22.2" customHeight="1" s="330">
      <c r="A963" s="252" t="inlineStr">
        <is>
          <t>ลงชื่อ……………………………………………</t>
        </is>
      </c>
      <c r="I963" s="331" t="n"/>
      <c r="J963" s="252" t="inlineStr">
        <is>
          <t>ลงชื่อ……………………………………………</t>
        </is>
      </c>
      <c r="S963" s="331" t="n"/>
    </row>
    <row r="964" ht="22.2" customHeight="1" s="330">
      <c r="A964" s="12" t="n"/>
      <c r="B964" s="309" t="inlineStr">
        <is>
          <t xml:space="preserve">          (นางศิวรักษ์   บุญประเสริฐ)</t>
        </is>
      </c>
      <c r="I964" s="310" t="n"/>
      <c r="J964" s="29" t="n"/>
      <c r="K964" s="29" t="n"/>
      <c r="L964" s="309" t="inlineStr">
        <is>
          <t>(นายปรีชา  โพธิ์เกิด)</t>
        </is>
      </c>
      <c r="R964" s="29" t="n"/>
      <c r="S964" s="13" t="n"/>
    </row>
    <row r="965" ht="22.2" customHeight="1" s="330">
      <c r="A965" s="62" t="inlineStr">
        <is>
          <t>ตำแหน่งครู  หัวหน้างานพัฒนาหลักสูตร ฯ</t>
        </is>
      </c>
      <c r="I965" s="331" t="n"/>
      <c r="J965" s="62" t="inlineStr">
        <is>
          <t>ตำแหน่ง  รองผู้อำนวยการฝ่ายวิชาการ</t>
        </is>
      </c>
      <c r="S965" s="331" t="n"/>
    </row>
    <row r="966" ht="22.2" customHeight="1" s="330">
      <c r="A966" s="63">
        <f>A41</f>
        <v/>
      </c>
      <c r="B966" s="471" t="n"/>
      <c r="C966" s="471" t="n"/>
      <c r="D966" s="471" t="n"/>
      <c r="E966" s="471" t="n"/>
      <c r="F966" s="471" t="n"/>
      <c r="G966" s="471" t="n"/>
      <c r="H966" s="471" t="n"/>
      <c r="I966" s="476" t="n"/>
      <c r="J966" s="63">
        <f>A41</f>
        <v/>
      </c>
      <c r="K966" s="471" t="n"/>
      <c r="L966" s="471" t="n"/>
      <c r="M966" s="471" t="n"/>
      <c r="N966" s="471" t="n"/>
      <c r="O966" s="471" t="n"/>
      <c r="P966" s="471" t="n"/>
      <c r="Q966" s="471" t="n"/>
      <c r="R966" s="471" t="n"/>
      <c r="S966" s="476" t="n"/>
    </row>
    <row r="967" ht="22.2" customHeight="1" s="330">
      <c r="A96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68" ht="22.2" customHeight="1" s="330">
      <c r="A968" s="254">
        <f>A2</f>
        <v/>
      </c>
    </row>
    <row r="969" ht="22.2" customHeight="1" s="330">
      <c r="A969" s="253" t="inlineStr">
        <is>
          <t xml:space="preserve">    ระหว่างวันที่</t>
        </is>
      </c>
      <c r="D969" s="254">
        <f>D3</f>
        <v/>
      </c>
      <c r="E969" s="254" t="inlineStr">
        <is>
          <t xml:space="preserve">   เดือน  </t>
        </is>
      </c>
      <c r="F969" s="254">
        <f>F3</f>
        <v/>
      </c>
      <c r="H969" s="254">
        <f>H3</f>
        <v/>
      </c>
      <c r="I969" s="254" t="inlineStr">
        <is>
          <t xml:space="preserve">     ถึง วันที่</t>
        </is>
      </c>
      <c r="J969" s="254">
        <f>J3</f>
        <v/>
      </c>
      <c r="K969" s="254" t="inlineStr">
        <is>
          <t xml:space="preserve">   เดือน </t>
        </is>
      </c>
      <c r="L969" s="254">
        <f>L3</f>
        <v/>
      </c>
      <c r="N969" s="254">
        <f>N3</f>
        <v/>
      </c>
      <c r="P969" s="254" t="n"/>
      <c r="R969" s="254" t="n"/>
    </row>
    <row r="970" ht="22.2" customHeight="1" s="330">
      <c r="G970" s="58" t="inlineStr">
        <is>
          <t>ü</t>
        </is>
      </c>
      <c r="H970" s="8" t="inlineStr">
        <is>
          <t>ครูพิเศษ</t>
        </is>
      </c>
      <c r="I970" s="249" t="inlineStr">
        <is>
          <t>หน้าที่พิเศษ</t>
        </is>
      </c>
      <c r="K970" s="290" t="n"/>
    </row>
    <row r="971" ht="22.2" customHeight="1" s="330">
      <c r="A971" s="28" t="inlineStr">
        <is>
          <t>ที่</t>
        </is>
      </c>
      <c r="B971" s="28" t="inlineStr">
        <is>
          <t>ชื่อ-สกุล</t>
        </is>
      </c>
      <c r="C971" s="334" t="n"/>
      <c r="D971" s="335" t="n"/>
      <c r="E971" s="16" t="inlineStr">
        <is>
          <t>ตำแหน่ง</t>
        </is>
      </c>
      <c r="F971" s="17" t="inlineStr">
        <is>
          <t>ระยะเวลาที่สอน</t>
        </is>
      </c>
      <c r="G971" s="362" t="n"/>
      <c r="H971" s="17" t="inlineStr">
        <is>
          <t>รหัสวิชา</t>
        </is>
      </c>
      <c r="I971" s="275" t="inlineStr">
        <is>
          <t>ชั้น,แผนก,ห้อง</t>
        </is>
      </c>
      <c r="J971" s="17" t="inlineStr">
        <is>
          <t>เวลาสอน</t>
        </is>
      </c>
      <c r="K971" s="335" t="n"/>
      <c r="L971" s="17" t="inlineStr">
        <is>
          <t>ปวช.(คาบ)</t>
        </is>
      </c>
      <c r="M971" s="362" t="n"/>
      <c r="N971" s="244" t="inlineStr">
        <is>
          <t>เงิน</t>
        </is>
      </c>
      <c r="O971" s="275" t="inlineStr">
        <is>
          <t>ยอดเงิน</t>
        </is>
      </c>
      <c r="P971" s="473" t="inlineStr">
        <is>
          <t>ปวส.(คาบ)</t>
        </is>
      </c>
      <c r="Q971" s="362" t="n"/>
      <c r="R971" s="244" t="inlineStr">
        <is>
          <t>เงิน</t>
        </is>
      </c>
      <c r="S971" s="275" t="inlineStr">
        <is>
          <t>ยอดเงิน</t>
        </is>
      </c>
    </row>
    <row r="972" ht="22.2" customHeight="1" s="330">
      <c r="A972" s="60" t="n"/>
      <c r="B972" s="9" t="n"/>
      <c r="C972" s="10" t="n"/>
      <c r="D972" s="14" t="n"/>
      <c r="E972" s="11" t="n"/>
      <c r="F972" s="276" t="inlineStr">
        <is>
          <t>ส.</t>
        </is>
      </c>
      <c r="G972" s="276" t="inlineStr">
        <is>
          <t>วดป.</t>
        </is>
      </c>
      <c r="H972" s="474" t="n"/>
      <c r="I972" s="276" t="n"/>
      <c r="J972" s="475" t="n"/>
      <c r="K972" s="476" t="n"/>
      <c r="L972" s="276" t="inlineStr">
        <is>
          <t>ใน</t>
        </is>
      </c>
      <c r="M972" s="276" t="inlineStr">
        <is>
          <t>นอก</t>
        </is>
      </c>
      <c r="N972" s="276" t="inlineStr">
        <is>
          <t>ต่อ ชม.</t>
        </is>
      </c>
      <c r="O972" s="276" t="inlineStr">
        <is>
          <t>(บาท)</t>
        </is>
      </c>
      <c r="P972" s="60" t="inlineStr">
        <is>
          <t>ใน</t>
        </is>
      </c>
      <c r="Q972" s="60" t="inlineStr">
        <is>
          <t>นอก</t>
        </is>
      </c>
      <c r="R972" s="276" t="inlineStr">
        <is>
          <t>ต่อ ชม.</t>
        </is>
      </c>
      <c r="S972" s="276" t="inlineStr">
        <is>
          <t>(บาท)</t>
        </is>
      </c>
    </row>
    <row r="973" ht="22.2" customHeight="1" s="330">
      <c r="A973" s="275" t="n">
        <v>22</v>
      </c>
      <c r="B973" s="477">
        <f>AB24</f>
        <v/>
      </c>
      <c r="C973" s="334" t="n"/>
      <c r="D973" s="335" t="n"/>
      <c r="E973" s="275" t="inlineStr">
        <is>
          <t>ครู</t>
        </is>
      </c>
      <c r="F973" s="6">
        <f>F7</f>
        <v/>
      </c>
      <c r="G973" s="303" t="inlineStr">
        <is>
          <t>จันทร์</t>
        </is>
      </c>
      <c r="H973" s="332" t="inlineStr">
        <is>
          <t>20101-2104</t>
        </is>
      </c>
      <c r="I973" s="325" t="inlineStr">
        <is>
          <t>ปวช.3/1 ชย. (ปกติ)</t>
        </is>
      </c>
      <c r="J973" s="332" t="inlineStr">
        <is>
          <t>08.10-12.10</t>
        </is>
      </c>
      <c r="K973" s="335" t="n"/>
      <c r="L973" s="265" t="n"/>
      <c r="M973" s="332" t="n"/>
      <c r="N973" s="332" t="n"/>
      <c r="O973" s="244">
        <f>M973*N973</f>
        <v/>
      </c>
      <c r="P973" s="332" t="n"/>
      <c r="Q973" s="265" t="n"/>
      <c r="R973" s="332" t="n"/>
      <c r="S973" s="244">
        <f>Q973*R973</f>
        <v/>
      </c>
    </row>
    <row r="974" ht="22.2" customHeight="1" s="330">
      <c r="A974" s="4" t="n"/>
      <c r="E974" s="252" t="inlineStr">
        <is>
          <t>พิเศษ</t>
        </is>
      </c>
      <c r="F974" s="249" t="n"/>
      <c r="G974" s="308">
        <f>G928</f>
        <v/>
      </c>
      <c r="H974" s="325" t="inlineStr">
        <is>
          <t>20101-2104</t>
        </is>
      </c>
      <c r="I974" s="325" t="inlineStr">
        <is>
          <t>ปวช.3/1 ชย. (ปกติ)</t>
        </is>
      </c>
      <c r="J974" s="252" t="inlineStr">
        <is>
          <t>13.10-16.10</t>
        </is>
      </c>
      <c r="K974" s="331" t="n"/>
      <c r="L974" s="252" t="n"/>
      <c r="M974" s="252" t="n"/>
      <c r="N974" s="252" t="n"/>
      <c r="O974" s="244">
        <f>M974*N974</f>
        <v/>
      </c>
      <c r="P974" s="252" t="n"/>
      <c r="Q974" s="252" t="n"/>
      <c r="R974" s="252" t="n"/>
      <c r="S974" s="244">
        <f>Q974*R974</f>
        <v/>
      </c>
    </row>
    <row r="975" ht="22.2" customHeight="1" s="330">
      <c r="A975" s="4" t="n"/>
      <c r="E975" s="4" t="n"/>
      <c r="F975" s="249" t="n"/>
      <c r="G975" s="248" t="n"/>
      <c r="H975" s="252" t="n"/>
      <c r="I975" s="252" t="n"/>
      <c r="J975" s="252" t="n"/>
      <c r="K975" s="331" t="n"/>
      <c r="L975" s="252" t="n"/>
      <c r="M975" s="252" t="n"/>
      <c r="N975" s="252" t="n"/>
      <c r="O975" s="244">
        <f>M975*N975</f>
        <v/>
      </c>
      <c r="P975" s="252" t="n"/>
      <c r="Q975" s="252" t="n"/>
      <c r="R975" s="252" t="n"/>
      <c r="S975" s="244">
        <f>Q975*R975</f>
        <v/>
      </c>
    </row>
    <row r="976" ht="22.2" customHeight="1" s="330">
      <c r="A976" s="4" t="n"/>
      <c r="B976" s="5" t="n"/>
      <c r="E976" s="4" t="n"/>
      <c r="F976" s="249" t="n"/>
      <c r="G976" s="248" t="n"/>
      <c r="H976" s="252" t="n"/>
      <c r="I976" s="252" t="n"/>
      <c r="J976" s="252" t="n"/>
      <c r="K976" s="331" t="n"/>
      <c r="L976" s="252" t="n"/>
      <c r="M976" s="252" t="n"/>
      <c r="N976" s="252" t="n"/>
      <c r="O976" s="244">
        <f>M976*N976</f>
        <v/>
      </c>
      <c r="P976" s="252" t="n"/>
      <c r="Q976" s="252" t="n"/>
      <c r="R976" s="252" t="n"/>
      <c r="S976" s="244">
        <f>Q976*R976</f>
        <v/>
      </c>
    </row>
    <row r="977" ht="22.2" customHeight="1" s="330">
      <c r="A977" s="4" t="n"/>
      <c r="E977" s="4" t="n"/>
      <c r="G977" s="311" t="n"/>
      <c r="H977" s="276" t="n"/>
      <c r="I977" s="276" t="n"/>
      <c r="J977" s="276" t="n"/>
      <c r="K977" s="476" t="n"/>
      <c r="L977" s="252" t="n"/>
      <c r="M977" s="252" t="n"/>
      <c r="N977" s="252" t="n"/>
      <c r="O977" s="244">
        <f>M977*N977</f>
        <v/>
      </c>
      <c r="P977" s="252" t="n"/>
      <c r="Q977" s="252" t="n"/>
      <c r="R977" s="252" t="n"/>
      <c r="S977" s="244">
        <f>Q977*R977</f>
        <v/>
      </c>
    </row>
    <row r="978" ht="22.2" customHeight="1" s="330">
      <c r="A978" s="4" t="n"/>
      <c r="E978" s="4" t="n"/>
      <c r="G978" s="62" t="inlineStr">
        <is>
          <t>อังคาร</t>
        </is>
      </c>
      <c r="H978" s="332" t="inlineStr">
        <is>
          <t>20101-2104</t>
        </is>
      </c>
      <c r="I978" s="325" t="inlineStr">
        <is>
          <t>ปวช.3/2 ชย. (ปกติ)</t>
        </is>
      </c>
      <c r="J978" s="332" t="inlineStr">
        <is>
          <t>08.10-12.10</t>
        </is>
      </c>
      <c r="K978" s="335" t="n"/>
      <c r="L978" s="265" t="n"/>
      <c r="M978" s="332" t="n"/>
      <c r="N978" s="332" t="n"/>
      <c r="O978" s="244">
        <f>M978*N978</f>
        <v/>
      </c>
      <c r="P978" s="332" t="n"/>
      <c r="Q978" s="265" t="n"/>
      <c r="R978" s="332" t="n"/>
      <c r="S978" s="244">
        <f>Q978*R978</f>
        <v/>
      </c>
    </row>
    <row r="979" ht="22.2" customHeight="1" s="330">
      <c r="A979" s="4" t="n"/>
      <c r="E979" s="4" t="n"/>
      <c r="G979" s="308">
        <f>G933</f>
        <v/>
      </c>
      <c r="H979" s="325" t="inlineStr">
        <is>
          <t>20101-2104</t>
        </is>
      </c>
      <c r="I979" s="325" t="inlineStr">
        <is>
          <t>ปวช.3/2 ชย. (ปกติ)</t>
        </is>
      </c>
      <c r="J979" s="252" t="inlineStr">
        <is>
          <t>13.10-16.10</t>
        </is>
      </c>
      <c r="K979" s="331" t="n"/>
      <c r="L979" s="252" t="n"/>
      <c r="M979" s="252" t="n"/>
      <c r="N979" s="252" t="n"/>
      <c r="O979" s="244">
        <f>M979*N979</f>
        <v/>
      </c>
      <c r="P979" s="252" t="n"/>
      <c r="Q979" s="252" t="n"/>
      <c r="R979" s="252" t="n"/>
      <c r="S979" s="244">
        <f>Q979*R979</f>
        <v/>
      </c>
    </row>
    <row r="980" ht="22.2" customHeight="1" s="330">
      <c r="A980" s="4" t="n"/>
      <c r="B980" s="5" t="n"/>
      <c r="D980" s="3" t="n"/>
      <c r="E980" s="3" t="n"/>
      <c r="G980" s="252" t="n"/>
      <c r="H980" s="248" t="n"/>
      <c r="I980" s="252" t="n"/>
      <c r="J980" s="252" t="n"/>
      <c r="K980" s="331" t="n"/>
      <c r="L980" s="252" t="n"/>
      <c r="M980" s="252" t="n"/>
      <c r="N980" s="252" t="n"/>
      <c r="O980" s="244">
        <f>M980*N980</f>
        <v/>
      </c>
      <c r="P980" s="252" t="n"/>
      <c r="Q980" s="252" t="n"/>
      <c r="R980" s="252" t="n"/>
      <c r="S980" s="244">
        <f>Q980*R980</f>
        <v/>
      </c>
    </row>
    <row r="981" ht="22.2" customHeight="1" s="330">
      <c r="A981" s="4" t="n"/>
      <c r="E981" s="4" t="n"/>
      <c r="G981" s="62" t="n"/>
      <c r="H981" s="248" t="n"/>
      <c r="I981" s="252" t="n"/>
      <c r="J981" s="252" t="n"/>
      <c r="K981" s="331" t="n"/>
      <c r="L981" s="252" t="n"/>
      <c r="M981" s="252" t="n"/>
      <c r="N981" s="252" t="n"/>
      <c r="O981" s="244">
        <f>M981*N981</f>
        <v/>
      </c>
      <c r="P981" s="252" t="n"/>
      <c r="Q981" s="252" t="n"/>
      <c r="R981" s="252" t="n"/>
      <c r="S981" s="244">
        <f>Q981*R981</f>
        <v/>
      </c>
    </row>
    <row r="982" ht="22.2" customHeight="1" s="330">
      <c r="A982" s="4" t="n"/>
      <c r="D982" s="8" t="inlineStr">
        <is>
          <t> </t>
        </is>
      </c>
      <c r="E982" s="4" t="n"/>
      <c r="G982" s="63" t="n"/>
      <c r="H982" s="276" t="n"/>
      <c r="I982" s="276" t="n"/>
      <c r="J982" s="276" t="n"/>
      <c r="K982" s="476" t="n"/>
      <c r="L982" s="252" t="n"/>
      <c r="M982" s="252" t="n"/>
      <c r="N982" s="252" t="n"/>
      <c r="O982" s="244">
        <f>M982*N982</f>
        <v/>
      </c>
      <c r="P982" s="252" t="n"/>
      <c r="Q982" s="252" t="n"/>
      <c r="R982" s="252" t="n"/>
      <c r="S982" s="244">
        <f>Q982*R982</f>
        <v/>
      </c>
    </row>
    <row r="983" ht="22.2" customHeight="1" s="330">
      <c r="A983" s="4" t="n"/>
      <c r="E983" s="4" t="n"/>
      <c r="G983" s="308" t="inlineStr">
        <is>
          <t>พุธ</t>
        </is>
      </c>
      <c r="H983" s="332" t="inlineStr">
        <is>
          <t>20101-2104</t>
        </is>
      </c>
      <c r="I983" s="325" t="inlineStr">
        <is>
          <t>ปวช.3/3 ชย. (ปกติ)</t>
        </is>
      </c>
      <c r="J983" s="332" t="inlineStr">
        <is>
          <t>08.10-12.10</t>
        </is>
      </c>
      <c r="K983" s="335" t="n"/>
      <c r="L983" s="265" t="n"/>
      <c r="M983" s="332" t="n"/>
      <c r="N983" s="332" t="n"/>
      <c r="O983" s="244">
        <f>M983*N983</f>
        <v/>
      </c>
      <c r="P983" s="332" t="n"/>
      <c r="Q983" s="265" t="n"/>
      <c r="R983" s="332" t="n"/>
      <c r="S983" s="244">
        <f>Q983*R983</f>
        <v/>
      </c>
    </row>
    <row r="984" ht="22.2" customHeight="1" s="330">
      <c r="A984" s="4" t="n"/>
      <c r="B984" s="248" t="n"/>
      <c r="C984" s="249" t="n"/>
      <c r="D984" s="249" t="n"/>
      <c r="E984" s="252" t="n"/>
      <c r="G984" s="308">
        <f>G938</f>
        <v/>
      </c>
      <c r="H984" s="325" t="inlineStr">
        <is>
          <t>20101-2104</t>
        </is>
      </c>
      <c r="I984" s="325" t="inlineStr">
        <is>
          <t>ปวช.3/3 ชย. (ปกติ)</t>
        </is>
      </c>
      <c r="J984" s="252" t="inlineStr">
        <is>
          <t>13.10-16.10</t>
        </is>
      </c>
      <c r="K984" s="331" t="n"/>
      <c r="L984" s="252" t="n"/>
      <c r="M984" s="252" t="n"/>
      <c r="N984" s="252" t="n"/>
      <c r="O984" s="244">
        <f>M984*N984</f>
        <v/>
      </c>
      <c r="P984" s="252" t="n"/>
      <c r="Q984" s="252" t="n"/>
      <c r="R984" s="252" t="n"/>
      <c r="S984" s="244">
        <f>Q984*R984</f>
        <v/>
      </c>
    </row>
    <row r="985" ht="22.2" customHeight="1" s="330">
      <c r="A985" s="4" t="n"/>
      <c r="B985" s="5" t="n"/>
      <c r="D985" s="3" t="n"/>
      <c r="E985" s="3" t="n"/>
      <c r="G985" s="252" t="n"/>
      <c r="H985" s="252" t="n"/>
      <c r="I985" s="325" t="n"/>
      <c r="J985" s="252" t="n"/>
      <c r="K985" s="331" t="n"/>
      <c r="L985" s="252" t="n"/>
      <c r="M985" s="252" t="n"/>
      <c r="N985" s="252" t="n"/>
      <c r="O985" s="244">
        <f>M985*N985</f>
        <v/>
      </c>
      <c r="P985" s="252" t="n"/>
      <c r="Q985" s="252" t="n"/>
      <c r="R985" s="252" t="n"/>
      <c r="S985" s="244">
        <f>Q985*R985</f>
        <v/>
      </c>
    </row>
    <row r="986" ht="22.2" customHeight="1" s="330">
      <c r="A986" s="4" t="n"/>
      <c r="E986" s="4" t="n"/>
      <c r="G986" s="248" t="n"/>
      <c r="H986" s="248" t="n"/>
      <c r="I986" s="252" t="n"/>
      <c r="J986" s="252" t="n"/>
      <c r="K986" s="331" t="n"/>
      <c r="L986" s="252" t="n"/>
      <c r="M986" s="252" t="n"/>
      <c r="N986" s="252" t="n"/>
      <c r="O986" s="244">
        <f>M986*N986</f>
        <v/>
      </c>
      <c r="P986" s="252" t="n"/>
      <c r="Q986" s="252" t="n"/>
      <c r="R986" s="252" t="n"/>
      <c r="S986" s="244">
        <f>Q986*R986</f>
        <v/>
      </c>
    </row>
    <row r="987" ht="22.2" customHeight="1" s="330">
      <c r="A987" s="4" t="n"/>
      <c r="E987" s="4" t="n"/>
      <c r="G987" s="277" t="n"/>
      <c r="H987" s="277" t="n"/>
      <c r="I987" s="276" t="n"/>
      <c r="J987" s="276" t="n"/>
      <c r="K987" s="476" t="n"/>
      <c r="L987" s="276" t="n"/>
      <c r="M987" s="276" t="n"/>
      <c r="N987" s="276" t="n"/>
      <c r="O987" s="244">
        <f>M987*N987</f>
        <v/>
      </c>
      <c r="P987" s="276" t="n"/>
      <c r="Q987" s="276" t="n"/>
      <c r="R987" s="276" t="n"/>
      <c r="S987" s="244">
        <f>Q987*R987</f>
        <v/>
      </c>
    </row>
    <row r="988" ht="22.2" customHeight="1" s="330">
      <c r="A988" s="4" t="n"/>
      <c r="E988" s="4" t="n"/>
      <c r="G988" s="62" t="inlineStr">
        <is>
          <t>พฤหัส</t>
        </is>
      </c>
      <c r="H988" s="325" t="inlineStr">
        <is>
          <t>20101-2106</t>
        </is>
      </c>
      <c r="I988" s="325" t="inlineStr">
        <is>
          <t>ปวช.3/5 ชย. (ปกติ)</t>
        </is>
      </c>
      <c r="J988" s="332" t="inlineStr">
        <is>
          <t>08.10-12.10</t>
        </is>
      </c>
      <c r="K988" s="335" t="n"/>
      <c r="L988" s="265" t="n"/>
      <c r="M988" s="332" t="n"/>
      <c r="N988" s="332" t="n"/>
      <c r="O988" s="244">
        <f>M988*N988</f>
        <v/>
      </c>
      <c r="P988" s="332" t="n"/>
      <c r="Q988" s="265" t="n"/>
      <c r="R988" s="332" t="n"/>
      <c r="S988" s="244">
        <f>Q988*R988</f>
        <v/>
      </c>
    </row>
    <row r="989" ht="22.2" customHeight="1" s="330">
      <c r="A989" s="4" t="n"/>
      <c r="E989" s="4" t="n"/>
      <c r="G989" s="308">
        <f>G943</f>
        <v/>
      </c>
      <c r="H989" s="325" t="n"/>
      <c r="I989" s="325" t="n"/>
      <c r="J989" s="252" t="n"/>
      <c r="K989" s="331" t="n"/>
      <c r="L989" s="252" t="n"/>
      <c r="M989" s="252" t="n"/>
      <c r="N989" s="252" t="n"/>
      <c r="O989" s="244">
        <f>M989*N989</f>
        <v/>
      </c>
      <c r="P989" s="252" t="n"/>
      <c r="Q989" s="252" t="n"/>
      <c r="R989" s="252" t="n"/>
      <c r="S989" s="244">
        <f>Q989*R989</f>
        <v/>
      </c>
    </row>
    <row r="990" ht="22.2" customHeight="1" s="330">
      <c r="A990" s="4" t="n"/>
      <c r="B990" s="5" t="n"/>
      <c r="E990" s="4" t="n"/>
      <c r="G990" s="252" t="n"/>
      <c r="H990" s="325" t="n"/>
      <c r="I990" s="325" t="n"/>
      <c r="J990" s="252" t="n"/>
      <c r="K990" s="331" t="n"/>
      <c r="L990" s="252" t="n"/>
      <c r="M990" s="252" t="n"/>
      <c r="N990" s="252" t="n"/>
      <c r="O990" s="244">
        <f>M990*N990</f>
        <v/>
      </c>
      <c r="P990" s="252" t="n"/>
      <c r="Q990" s="252" t="n"/>
      <c r="R990" s="252" t="n"/>
      <c r="S990" s="244">
        <f>Q990*R990</f>
        <v/>
      </c>
    </row>
    <row r="991" ht="22.2" customHeight="1" s="330">
      <c r="A991" s="4" t="n"/>
      <c r="E991" s="4" t="n"/>
      <c r="G991" s="252" t="n"/>
      <c r="H991" s="252" t="n"/>
      <c r="I991" s="252" t="n"/>
      <c r="J991" s="252" t="n"/>
      <c r="K991" s="331" t="n"/>
      <c r="L991" s="252" t="n"/>
      <c r="M991" s="252" t="n"/>
      <c r="N991" s="252" t="n"/>
      <c r="O991" s="244">
        <f>M991*N991</f>
        <v/>
      </c>
      <c r="P991" s="252" t="n"/>
      <c r="Q991" s="252" t="n"/>
      <c r="R991" s="252" t="n"/>
      <c r="S991" s="244">
        <f>Q991*R991</f>
        <v/>
      </c>
    </row>
    <row r="992" ht="22.2" customHeight="1" s="330">
      <c r="A992" s="4" t="n"/>
      <c r="E992" s="4" t="n"/>
      <c r="G992" s="276" t="n"/>
      <c r="H992" s="301" t="n"/>
      <c r="I992" s="276" t="n"/>
      <c r="J992" s="276" t="n"/>
      <c r="K992" s="476" t="n"/>
      <c r="L992" s="276" t="n"/>
      <c r="M992" s="276" t="n"/>
      <c r="N992" s="276" t="n"/>
      <c r="O992" s="244">
        <f>M992*N992</f>
        <v/>
      </c>
      <c r="P992" s="276" t="n"/>
      <c r="Q992" s="276" t="n"/>
      <c r="R992" s="276" t="n"/>
      <c r="S992" s="244">
        <f>Q992*R992</f>
        <v/>
      </c>
    </row>
    <row r="993" ht="22.2" customHeight="1" s="330">
      <c r="A993" s="4" t="n"/>
      <c r="E993" s="4" t="n"/>
      <c r="G993" s="62" t="inlineStr">
        <is>
          <t>ศุกร์</t>
        </is>
      </c>
      <c r="H993" s="325" t="inlineStr">
        <is>
          <t>20101-2104</t>
        </is>
      </c>
      <c r="I993" s="325" t="inlineStr">
        <is>
          <t>ปวช.3/4 ชย. (ปกติ)</t>
        </is>
      </c>
      <c r="J993" s="332" t="inlineStr">
        <is>
          <t>09.10-12.10</t>
        </is>
      </c>
      <c r="K993" s="335" t="n"/>
      <c r="L993" s="265" t="n"/>
      <c r="M993" s="332" t="n"/>
      <c r="N993" s="332" t="n"/>
      <c r="O993" s="244">
        <f>M993*N993</f>
        <v/>
      </c>
      <c r="P993" s="332" t="n"/>
      <c r="Q993" s="265" t="n"/>
      <c r="R993" s="332" t="n"/>
      <c r="S993" s="244">
        <f>Q993*R993</f>
        <v/>
      </c>
    </row>
    <row r="994" ht="22.2" customHeight="1" s="330">
      <c r="A994" s="4" t="n"/>
      <c r="E994" s="4" t="n"/>
      <c r="G994" s="308">
        <f>G948</f>
        <v/>
      </c>
      <c r="H994" s="325" t="inlineStr">
        <is>
          <t>20101-2104</t>
        </is>
      </c>
      <c r="I994" s="325" t="inlineStr">
        <is>
          <t>ปวช.3/4 ชย. (ปกติ)</t>
        </is>
      </c>
      <c r="J994" s="252" t="inlineStr">
        <is>
          <t>13.10-17.10</t>
        </is>
      </c>
      <c r="K994" s="331" t="n"/>
      <c r="L994" s="252" t="n"/>
      <c r="M994" s="252" t="n"/>
      <c r="N994" s="252" t="n"/>
      <c r="O994" s="244">
        <f>M994*N994</f>
        <v/>
      </c>
      <c r="P994" s="252" t="n"/>
      <c r="Q994" s="252" t="n"/>
      <c r="R994" s="252" t="n"/>
      <c r="S994" s="244">
        <f>Q994*R994</f>
        <v/>
      </c>
    </row>
    <row r="995" ht="22.2" customHeight="1" s="330">
      <c r="A995" s="4" t="n"/>
      <c r="E995" s="4" t="n"/>
      <c r="G995" s="252" t="n"/>
      <c r="H995" s="252" t="n"/>
      <c r="I995" s="252" t="n"/>
      <c r="J995" s="325" t="n"/>
      <c r="K995" s="331" t="n"/>
      <c r="L995" s="285" t="n"/>
      <c r="M995" s="325" t="n"/>
      <c r="N995" s="325" t="n"/>
      <c r="O995" s="244">
        <f>M995*N995</f>
        <v/>
      </c>
      <c r="P995" s="325" t="n"/>
      <c r="Q995" s="285" t="n"/>
      <c r="R995" s="325" t="n"/>
      <c r="S995" s="244">
        <f>Q995*R995</f>
        <v/>
      </c>
    </row>
    <row r="996" ht="22.2" customHeight="1" s="330">
      <c r="A996" s="4" t="n"/>
      <c r="E996" s="4" t="n"/>
      <c r="G996" s="252" t="n"/>
      <c r="H996" s="252" t="n"/>
      <c r="I996" s="252" t="n"/>
      <c r="J996" s="252" t="n"/>
      <c r="K996" s="331" t="n"/>
      <c r="L996" s="252" t="n"/>
      <c r="M996" s="252" t="n"/>
      <c r="N996" s="252" t="n"/>
      <c r="O996" s="244">
        <f>M996*N996</f>
        <v/>
      </c>
      <c r="P996" s="252" t="n"/>
      <c r="Q996" s="252" t="n"/>
      <c r="R996" s="252" t="n"/>
      <c r="S996" s="244">
        <f>Q996*R996</f>
        <v/>
      </c>
    </row>
    <row r="997" ht="22.2" customHeight="1" s="330">
      <c r="A997" s="4" t="n"/>
      <c r="E997" s="4" t="n"/>
      <c r="F997" s="4" t="n"/>
      <c r="G997" s="278" t="n"/>
      <c r="H997" s="277" t="n"/>
      <c r="I997" s="276" t="n"/>
      <c r="J997" s="276" t="n"/>
      <c r="K997" s="476" t="n"/>
      <c r="L997" s="276" t="n"/>
      <c r="M997" s="276" t="n"/>
      <c r="N997" s="276" t="n"/>
      <c r="O997" s="244">
        <f>M997*N997</f>
        <v/>
      </c>
      <c r="P997" s="276" t="n"/>
      <c r="Q997" s="276" t="n"/>
      <c r="R997" s="276" t="n"/>
      <c r="S997" s="244">
        <f>Q997*R997</f>
        <v/>
      </c>
    </row>
    <row r="998" ht="22.2" customHeight="1" s="330">
      <c r="A998" s="4" t="n"/>
      <c r="E998" s="4" t="n"/>
      <c r="F998" s="4" t="n"/>
      <c r="G998" s="17" t="inlineStr">
        <is>
          <t>รวมขั่วโมงที่สอนแยก ภาระงาน/ เกินภาระงาน</t>
        </is>
      </c>
      <c r="H998" s="467" t="n"/>
      <c r="I998" s="467" t="n"/>
      <c r="J998" s="467" t="n"/>
      <c r="K998" s="362" t="n"/>
      <c r="L998" s="17">
        <f>SUM(L973:L997)</f>
        <v/>
      </c>
      <c r="M998" s="17">
        <f>SUM(M973:M997)</f>
        <v/>
      </c>
      <c r="N998" s="17" t="n"/>
      <c r="O998" s="17" t="n"/>
      <c r="P998" s="17">
        <f>SUM(P973:P997)</f>
        <v/>
      </c>
      <c r="Q998" s="17">
        <f>SUM(Q973:Q997)</f>
        <v/>
      </c>
      <c r="R998" s="279" t="n"/>
      <c r="S998" s="17" t="n"/>
      <c r="T998" s="25" t="n"/>
      <c r="U998" s="26" t="inlineStr">
        <is>
          <t xml:space="preserve">     PLC</t>
        </is>
      </c>
      <c r="V998" s="64" t="n"/>
      <c r="W998" s="27" t="n"/>
      <c r="X998" s="27" t="n"/>
    </row>
    <row r="999" ht="22.2" customHeight="1" s="330">
      <c r="A999" s="4" t="n"/>
      <c r="E999" s="4" t="n"/>
      <c r="F999" s="4" t="n"/>
      <c r="G999" s="17" t="inlineStr">
        <is>
          <t>รวมจำนวนชั่วโมงสอนคาบต่อสับดาห์</t>
        </is>
      </c>
      <c r="H999" s="467" t="n"/>
      <c r="I999" s="467" t="n"/>
      <c r="J999" s="467" t="n"/>
      <c r="K999" s="362" t="n"/>
      <c r="L999" s="17">
        <f>L998+M998</f>
        <v/>
      </c>
      <c r="M999" s="362" t="n"/>
      <c r="N999" s="298" t="n"/>
      <c r="O999" s="17" t="n"/>
      <c r="P999" s="17">
        <f>P998+Q998</f>
        <v/>
      </c>
      <c r="Q999" s="362" t="n"/>
      <c r="R999" s="278" t="n"/>
      <c r="S999" s="276" t="n"/>
      <c r="T999" s="27" t="inlineStr">
        <is>
          <t> </t>
        </is>
      </c>
      <c r="U999" s="26" t="inlineStr">
        <is>
          <t>17.10-19.10</t>
        </is>
      </c>
      <c r="V999" s="64" t="n"/>
      <c r="W999" s="27" t="n"/>
      <c r="X999" s="27" t="n"/>
    </row>
    <row r="1000" ht="22.2" customHeight="1" s="330">
      <c r="A1000" s="4" t="n"/>
      <c r="E1000" s="4" t="n"/>
      <c r="F1000" s="4" t="n"/>
      <c r="G1000" s="17" t="inlineStr">
        <is>
          <t>จำนวนชั่วโมงสอนตามภาระงานสอน</t>
        </is>
      </c>
      <c r="H1000" s="467" t="n"/>
      <c r="I1000" s="467" t="n"/>
      <c r="J1000" s="467" t="n"/>
      <c r="K1000" s="362" t="n"/>
      <c r="L1000" s="17" t="n">
        <v>18</v>
      </c>
      <c r="M1000" s="362" t="n"/>
      <c r="N1000" s="298" t="n"/>
      <c r="O1000" s="17" t="n"/>
      <c r="P1000" s="17" t="n">
        <v>0</v>
      </c>
      <c r="Q1000" s="362" t="n"/>
      <c r="R1000" s="249" t="n"/>
      <c r="S1000" s="252" t="n"/>
    </row>
    <row r="1001" ht="22.2" customHeight="1" s="330" thickBot="1">
      <c r="A1001" s="4" t="n"/>
      <c r="E1001" s="4" t="n"/>
      <c r="F1001" s="15" t="n"/>
      <c r="G1001" s="17" t="inlineStr">
        <is>
          <t>จำนวนชั่วโมงบิกเกินภาระงานสอน/ค่าสอน</t>
        </is>
      </c>
      <c r="H1001" s="467" t="n"/>
      <c r="I1001" s="467" t="n"/>
      <c r="J1001" s="467" t="n"/>
      <c r="K1001" s="362" t="n"/>
      <c r="L1001" s="18" t="n">
        <v>0</v>
      </c>
      <c r="M1001" s="18">
        <f>SUM(M973:M997)</f>
        <v/>
      </c>
      <c r="N1001" s="18" t="n"/>
      <c r="O1001" s="18">
        <f>SUM(O973:O997)</f>
        <v/>
      </c>
      <c r="P1001" s="18" t="n">
        <v>0</v>
      </c>
      <c r="Q1001" s="18">
        <f>SUM(Q973:Q997)</f>
        <v/>
      </c>
      <c r="R1001" s="19" t="n"/>
      <c r="S1001" s="18">
        <f>SUM(S973:S997)</f>
        <v/>
      </c>
    </row>
    <row r="1002" ht="22.2" customHeight="1" s="330" thickTop="1">
      <c r="A1002" s="299" t="inlineStr">
        <is>
          <t>รวมจำนวนหน่วยชั่วโมงที่ขอเบิกค่าสอน ….</t>
        </is>
      </c>
      <c r="B1002" s="467" t="n"/>
      <c r="C1002" s="467" t="n"/>
      <c r="D1002" s="467" t="n"/>
      <c r="E1002" s="467" t="n"/>
      <c r="F1002" s="467" t="n"/>
      <c r="G1002" s="467" t="n"/>
      <c r="H1002" s="298">
        <f>M1001+Q1001</f>
        <v/>
      </c>
      <c r="I1002" s="298" t="inlineStr">
        <is>
          <t>….ชั่วโมง</t>
        </is>
      </c>
      <c r="J1002" s="298" t="n"/>
      <c r="K1002" s="301" t="inlineStr">
        <is>
          <t>ยอดเงินรวม</t>
        </is>
      </c>
      <c r="L1002" s="471" t="n"/>
      <c r="M1002" s="471" t="n"/>
      <c r="N1002" s="301" t="n"/>
      <c r="O1002" s="301" t="n"/>
      <c r="P1002" s="302">
        <f>S1001+O1001</f>
        <v/>
      </c>
      <c r="Q1002" s="482" t="n"/>
      <c r="R1002" s="21" t="n"/>
      <c r="S1002" s="20" t="inlineStr">
        <is>
          <t>..บาท</t>
        </is>
      </c>
    </row>
    <row r="1003" ht="22.2" customHeight="1" s="330">
      <c r="A1003" s="207" t="inlineStr">
        <is>
          <t>ผู้ขอเบิก</t>
        </is>
      </c>
      <c r="B1003" s="334" t="n"/>
      <c r="C1003" s="334" t="n"/>
      <c r="D1003" s="334" t="n"/>
      <c r="E1003" s="334" t="n"/>
      <c r="F1003" s="334" t="n"/>
      <c r="G1003" s="335" t="n"/>
      <c r="H1003" s="207" t="inlineStr">
        <is>
          <t>ผู้รับรอง</t>
        </is>
      </c>
      <c r="I1003" s="334" t="n"/>
      <c r="J1003" s="334" t="n"/>
      <c r="K1003" s="334" t="n"/>
      <c r="L1003" s="335" t="n"/>
      <c r="M1003" s="207" t="inlineStr">
        <is>
          <t>ผู้ตรวจ</t>
        </is>
      </c>
      <c r="N1003" s="334" t="n"/>
      <c r="O1003" s="334" t="n"/>
      <c r="P1003" s="334" t="n"/>
      <c r="Q1003" s="334" t="n"/>
      <c r="R1003" s="334" t="n"/>
      <c r="S1003" s="335" t="n"/>
    </row>
    <row r="1004" ht="22.2" customHeight="1" s="330">
      <c r="A1004" s="252" t="inlineStr">
        <is>
          <t>ลงชื่อ……………………………………………</t>
        </is>
      </c>
      <c r="G1004" s="331" t="n"/>
      <c r="H1004" s="252" t="inlineStr">
        <is>
          <t>ลงชื่อ……………………………………………</t>
        </is>
      </c>
      <c r="L1004" s="331" t="n"/>
      <c r="M1004" s="252" t="inlineStr">
        <is>
          <t>ลงชื่อ……………………………………………</t>
        </is>
      </c>
      <c r="S1004" s="331" t="n"/>
    </row>
    <row r="1005" ht="22.2" customHeight="1" s="330">
      <c r="A1005" s="12" t="inlineStr">
        <is>
          <t>(</t>
        </is>
      </c>
      <c r="B1005" s="309">
        <f>B973</f>
        <v/>
      </c>
      <c r="G1005" s="310" t="inlineStr">
        <is>
          <t>)</t>
        </is>
      </c>
      <c r="H1005" s="309" t="inlineStr">
        <is>
          <t>(</t>
        </is>
      </c>
      <c r="I1005" s="314">
        <f>I959</f>
        <v/>
      </c>
      <c r="L1005" s="13" t="inlineStr">
        <is>
          <t>)</t>
        </is>
      </c>
      <c r="M1005" s="61" t="inlineStr">
        <is>
          <t>(</t>
        </is>
      </c>
      <c r="N1005" s="61" t="n"/>
      <c r="O1005" s="309" t="inlineStr">
        <is>
          <t>นายพิสุทธิศักดิ์  กล่อมนาค</t>
        </is>
      </c>
      <c r="R1005" s="29" t="n"/>
      <c r="S1005" s="310" t="inlineStr">
        <is>
          <t>)</t>
        </is>
      </c>
    </row>
    <row r="1006" ht="22.2" customHeight="1" s="330">
      <c r="A1006" s="483" t="inlineStr">
        <is>
          <t xml:space="preserve">                 ตำแหน่ง  ครูพิเศษ</t>
        </is>
      </c>
      <c r="G1006" s="331" t="n"/>
      <c r="H1006" s="62" t="inlineStr">
        <is>
          <t>ตำแหน่ง หัวหน้าแผนก</t>
        </is>
      </c>
      <c r="L1006" s="331" t="n"/>
      <c r="M1006" s="62" t="inlineStr">
        <is>
          <t>ตำแหน่ง   ผู้ตรวจสอบ</t>
        </is>
      </c>
      <c r="S1006" s="331" t="n"/>
    </row>
    <row r="1007" ht="22.2" customHeight="1" s="330">
      <c r="A1007" s="63">
        <f>A41</f>
        <v/>
      </c>
      <c r="B1007" s="471" t="n"/>
      <c r="C1007" s="471" t="n"/>
      <c r="D1007" s="471" t="n"/>
      <c r="E1007" s="471" t="n"/>
      <c r="F1007" s="471" t="n"/>
      <c r="G1007" s="476" t="n"/>
      <c r="H1007" s="62">
        <f>A41</f>
        <v/>
      </c>
      <c r="L1007" s="331" t="n"/>
      <c r="M1007" s="63">
        <f>A41</f>
        <v/>
      </c>
      <c r="N1007" s="471" t="n"/>
      <c r="O1007" s="471" t="n"/>
      <c r="P1007" s="471" t="n"/>
      <c r="Q1007" s="471" t="n"/>
      <c r="R1007" s="471" t="n"/>
      <c r="S1007" s="476" t="n"/>
    </row>
    <row r="1008" ht="22.2" customHeight="1" s="330">
      <c r="A1008" s="207" t="inlineStr">
        <is>
          <t>ผู้ตรวจ</t>
        </is>
      </c>
      <c r="B1008" s="334" t="n"/>
      <c r="C1008" s="334" t="n"/>
      <c r="D1008" s="334" t="n"/>
      <c r="E1008" s="334" t="n"/>
      <c r="F1008" s="334" t="n"/>
      <c r="G1008" s="334" t="n"/>
      <c r="H1008" s="334" t="n"/>
      <c r="I1008" s="335" t="n"/>
      <c r="J1008" s="207" t="inlineStr">
        <is>
          <t>ผู้เห็นชอบ</t>
        </is>
      </c>
      <c r="K1008" s="334" t="n"/>
      <c r="L1008" s="334" t="n"/>
      <c r="M1008" s="334" t="n"/>
      <c r="N1008" s="334" t="n"/>
      <c r="O1008" s="334" t="n"/>
      <c r="P1008" s="334" t="n"/>
      <c r="Q1008" s="334" t="n"/>
      <c r="R1008" s="334" t="n"/>
      <c r="S1008" s="335" t="n"/>
    </row>
    <row r="1009" ht="22.2" customHeight="1" s="330">
      <c r="A1009" s="252" t="inlineStr">
        <is>
          <t>ลงชื่อ……………………………………………</t>
        </is>
      </c>
      <c r="I1009" s="331" t="n"/>
      <c r="J1009" s="252" t="inlineStr">
        <is>
          <t>ลงชื่อ……………………………………………</t>
        </is>
      </c>
      <c r="S1009" s="331" t="n"/>
    </row>
    <row r="1010" ht="22.2" customHeight="1" s="330">
      <c r="A1010" s="12" t="n"/>
      <c r="B1010" s="309" t="inlineStr">
        <is>
          <t xml:space="preserve">          (นางศิวรักษ์   บุญประเสริฐ)</t>
        </is>
      </c>
      <c r="I1010" s="310" t="n"/>
      <c r="J1010" s="29" t="n"/>
      <c r="K1010" s="29" t="n"/>
      <c r="L1010" s="309" t="inlineStr">
        <is>
          <t>(นายปรีชา  โพธิ์เกิด)</t>
        </is>
      </c>
      <c r="R1010" s="29" t="n"/>
      <c r="S1010" s="13" t="n"/>
    </row>
    <row r="1011" ht="22.2" customHeight="1" s="330">
      <c r="A1011" s="62" t="inlineStr">
        <is>
          <t>ตำแหน่งครู  หัวหน้างานพัฒนาหลักสูตร ฯ</t>
        </is>
      </c>
      <c r="I1011" s="331" t="n"/>
      <c r="J1011" s="62" t="inlineStr">
        <is>
          <t>ตำแหน่ง  รองผู้อำนวยการฝ่ายวิชาการ</t>
        </is>
      </c>
      <c r="S1011" s="331" t="n"/>
    </row>
    <row r="1012" ht="22.2" customHeight="1" s="330">
      <c r="A1012" s="63">
        <f>A41</f>
        <v/>
      </c>
      <c r="B1012" s="471" t="n"/>
      <c r="C1012" s="471" t="n"/>
      <c r="D1012" s="471" t="n"/>
      <c r="E1012" s="471" t="n"/>
      <c r="F1012" s="471" t="n"/>
      <c r="G1012" s="471" t="n"/>
      <c r="H1012" s="471" t="n"/>
      <c r="I1012" s="476" t="n"/>
      <c r="J1012" s="63">
        <f>A41</f>
        <v/>
      </c>
      <c r="K1012" s="471" t="n"/>
      <c r="L1012" s="471" t="n"/>
      <c r="M1012" s="471" t="n"/>
      <c r="N1012" s="471" t="n"/>
      <c r="O1012" s="471" t="n"/>
      <c r="P1012" s="471" t="n"/>
      <c r="Q1012" s="471" t="n"/>
      <c r="R1012" s="471" t="n"/>
      <c r="S1012" s="476" t="n"/>
    </row>
    <row r="1013" ht="22.2" customHeight="1" s="330">
      <c r="A101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014" ht="22.2" customHeight="1" s="330">
      <c r="A1014" s="254">
        <f>A2</f>
        <v/>
      </c>
    </row>
    <row r="1015" ht="22.2" customHeight="1" s="330">
      <c r="A1015" s="253" t="inlineStr">
        <is>
          <t xml:space="preserve">    ระหว่างวันที่</t>
        </is>
      </c>
      <c r="D1015" s="254">
        <f>D3</f>
        <v/>
      </c>
      <c r="E1015" s="254" t="inlineStr">
        <is>
          <t xml:space="preserve">   เดือน  </t>
        </is>
      </c>
      <c r="F1015" s="254">
        <f>F3</f>
        <v/>
      </c>
      <c r="H1015" s="254">
        <f>H3</f>
        <v/>
      </c>
      <c r="I1015" s="254" t="inlineStr">
        <is>
          <t xml:space="preserve">     ถึง วันที่</t>
        </is>
      </c>
      <c r="J1015" s="254">
        <f>J3</f>
        <v/>
      </c>
      <c r="K1015" s="254" t="inlineStr">
        <is>
          <t xml:space="preserve">   เดือน </t>
        </is>
      </c>
      <c r="L1015" s="254">
        <f>L3</f>
        <v/>
      </c>
      <c r="N1015" s="254">
        <f>N3</f>
        <v/>
      </c>
      <c r="P1015" s="254" t="n"/>
      <c r="R1015" s="254" t="n"/>
    </row>
    <row r="1016" ht="22.2" customHeight="1" s="330">
      <c r="G1016" s="58" t="inlineStr">
        <is>
          <t>ü</t>
        </is>
      </c>
      <c r="H1016" s="8" t="inlineStr">
        <is>
          <t>ครูพิเศษ</t>
        </is>
      </c>
      <c r="I1016" s="249" t="inlineStr">
        <is>
          <t>หน้าที่พิเศษ</t>
        </is>
      </c>
      <c r="K1016" s="290" t="n"/>
    </row>
    <row r="1017" ht="22.2" customHeight="1" s="330">
      <c r="A1017" s="28" t="inlineStr">
        <is>
          <t>ที่</t>
        </is>
      </c>
      <c r="B1017" s="28" t="inlineStr">
        <is>
          <t>ชื่อ-สกุล</t>
        </is>
      </c>
      <c r="C1017" s="334" t="n"/>
      <c r="D1017" s="335" t="n"/>
      <c r="E1017" s="16" t="inlineStr">
        <is>
          <t>ตำแหน่ง</t>
        </is>
      </c>
      <c r="F1017" s="17" t="inlineStr">
        <is>
          <t>ระยะเวลาที่สอน</t>
        </is>
      </c>
      <c r="G1017" s="362" t="n"/>
      <c r="H1017" s="17" t="inlineStr">
        <is>
          <t>รหัสวิชา</t>
        </is>
      </c>
      <c r="I1017" s="275" t="inlineStr">
        <is>
          <t>ชั้น,แผนก,ห้อง</t>
        </is>
      </c>
      <c r="J1017" s="17" t="inlineStr">
        <is>
          <t>เวลาสอน</t>
        </is>
      </c>
      <c r="K1017" s="335" t="n"/>
      <c r="L1017" s="17" t="inlineStr">
        <is>
          <t>ปวช.(คาบ)</t>
        </is>
      </c>
      <c r="M1017" s="362" t="n"/>
      <c r="N1017" s="244" t="inlineStr">
        <is>
          <t>เงิน</t>
        </is>
      </c>
      <c r="O1017" s="275" t="inlineStr">
        <is>
          <t>ยอดเงิน</t>
        </is>
      </c>
      <c r="P1017" s="473" t="inlineStr">
        <is>
          <t>ปวส.(คาบ)</t>
        </is>
      </c>
      <c r="Q1017" s="362" t="n"/>
      <c r="R1017" s="244" t="inlineStr">
        <is>
          <t>เงิน</t>
        </is>
      </c>
      <c r="S1017" s="275" t="inlineStr">
        <is>
          <t>ยอดเงิน</t>
        </is>
      </c>
    </row>
    <row r="1018" ht="22.2" customHeight="1" s="330">
      <c r="A1018" s="60" t="n"/>
      <c r="B1018" s="9" t="n"/>
      <c r="C1018" s="10" t="n"/>
      <c r="D1018" s="14" t="n"/>
      <c r="E1018" s="11" t="n"/>
      <c r="F1018" s="276" t="inlineStr">
        <is>
          <t>ส.</t>
        </is>
      </c>
      <c r="G1018" s="276" t="inlineStr">
        <is>
          <t>วดป.</t>
        </is>
      </c>
      <c r="H1018" s="474" t="n"/>
      <c r="I1018" s="276" t="n"/>
      <c r="J1018" s="475" t="n"/>
      <c r="K1018" s="476" t="n"/>
      <c r="L1018" s="276" t="inlineStr">
        <is>
          <t>ใน</t>
        </is>
      </c>
      <c r="M1018" s="276" t="inlineStr">
        <is>
          <t>นอก</t>
        </is>
      </c>
      <c r="N1018" s="276" t="inlineStr">
        <is>
          <t>ต่อ ชม.</t>
        </is>
      </c>
      <c r="O1018" s="276" t="inlineStr">
        <is>
          <t>(บาท)</t>
        </is>
      </c>
      <c r="P1018" s="60" t="inlineStr">
        <is>
          <t>ใน</t>
        </is>
      </c>
      <c r="Q1018" s="60" t="inlineStr">
        <is>
          <t>นอก</t>
        </is>
      </c>
      <c r="R1018" s="276" t="inlineStr">
        <is>
          <t>ต่อ ชม.</t>
        </is>
      </c>
      <c r="S1018" s="276" t="inlineStr">
        <is>
          <t>(บาท)</t>
        </is>
      </c>
    </row>
    <row r="1019" ht="22.2" customHeight="1" s="330">
      <c r="A1019" s="275" t="n">
        <v>23</v>
      </c>
      <c r="B1019" s="477">
        <f>AB25</f>
        <v/>
      </c>
      <c r="C1019" s="334" t="n"/>
      <c r="D1019" s="335" t="n"/>
      <c r="E1019" s="275" t="inlineStr">
        <is>
          <t>ครู</t>
        </is>
      </c>
      <c r="F1019" s="6">
        <f>F7</f>
        <v/>
      </c>
      <c r="G1019" s="303" t="inlineStr">
        <is>
          <t>จันทร์</t>
        </is>
      </c>
      <c r="H1019" s="252" t="inlineStr">
        <is>
          <t>20101-8501</t>
        </is>
      </c>
      <c r="I1019" s="325" t="inlineStr">
        <is>
          <t>ปวช.3/9,10 ชย. (ทวิ)</t>
        </is>
      </c>
      <c r="J1019" s="332" t="inlineStr">
        <is>
          <t>08.10-12.10</t>
        </is>
      </c>
      <c r="K1019" s="335" t="n"/>
      <c r="L1019" s="265" t="n"/>
      <c r="M1019" s="332" t="n"/>
      <c r="N1019" s="332" t="n"/>
      <c r="O1019" s="244">
        <f>M1019*N1019</f>
        <v/>
      </c>
      <c r="P1019" s="332" t="n"/>
      <c r="Q1019" s="265" t="n"/>
      <c r="R1019" s="332" t="n"/>
      <c r="S1019" s="244">
        <f>Q1019*R1019</f>
        <v/>
      </c>
    </row>
    <row r="1020" ht="22.2" customHeight="1" s="330">
      <c r="A1020" s="4" t="n"/>
      <c r="B1020" s="478" t="n"/>
      <c r="D1020" s="331" t="n"/>
      <c r="E1020" s="252" t="inlineStr">
        <is>
          <t>พิเศษ</t>
        </is>
      </c>
      <c r="F1020" s="249" t="n"/>
      <c r="G1020" s="308">
        <f>G974</f>
        <v/>
      </c>
      <c r="H1020" s="252" t="n"/>
      <c r="I1020" s="325" t="n"/>
      <c r="J1020" s="325" t="n"/>
      <c r="K1020" s="331" t="n"/>
      <c r="L1020" s="252" t="n"/>
      <c r="M1020" s="252" t="n"/>
      <c r="N1020" s="252" t="n"/>
      <c r="O1020" s="244">
        <f>M1020*N1020</f>
        <v/>
      </c>
      <c r="P1020" s="252" t="n"/>
      <c r="Q1020" s="252" t="n"/>
      <c r="R1020" s="252" t="n"/>
      <c r="S1020" s="244">
        <f>Q1020*R1020</f>
        <v/>
      </c>
    </row>
    <row r="1021" ht="22.2" customHeight="1" s="330">
      <c r="A1021" s="4" t="n"/>
      <c r="B1021" s="5" t="n"/>
      <c r="D1021" s="3" t="n"/>
      <c r="E1021" s="3" t="n"/>
      <c r="F1021" s="249" t="n"/>
      <c r="G1021" s="248" t="n"/>
      <c r="H1021" s="252" t="n"/>
      <c r="I1021" s="252" t="n"/>
      <c r="J1021" s="252" t="n"/>
      <c r="K1021" s="331" t="n"/>
      <c r="L1021" s="252" t="n"/>
      <c r="M1021" s="252" t="n"/>
      <c r="N1021" s="252" t="n"/>
      <c r="O1021" s="244">
        <f>M1021*N1021</f>
        <v/>
      </c>
      <c r="P1021" s="252" t="n"/>
      <c r="Q1021" s="252" t="n"/>
      <c r="R1021" s="252" t="n"/>
      <c r="S1021" s="244">
        <f>Q1021*R1021</f>
        <v/>
      </c>
    </row>
    <row r="1022" ht="22.2" customHeight="1" s="330">
      <c r="A1022" s="4" t="n"/>
      <c r="B1022" s="5" t="n"/>
      <c r="E1022" s="4" t="n"/>
      <c r="F1022" s="249" t="n"/>
      <c r="G1022" s="248" t="n"/>
      <c r="H1022" s="252" t="n"/>
      <c r="I1022" s="252" t="n"/>
      <c r="J1022" s="252" t="n"/>
      <c r="K1022" s="331" t="n"/>
      <c r="L1022" s="252" t="n"/>
      <c r="M1022" s="252" t="n"/>
      <c r="N1022" s="252" t="n"/>
      <c r="O1022" s="244">
        <f>M1022*N1022</f>
        <v/>
      </c>
      <c r="P1022" s="252" t="n"/>
      <c r="Q1022" s="252" t="n"/>
      <c r="R1022" s="252" t="n"/>
      <c r="S1022" s="244">
        <f>Q1022*R1022</f>
        <v/>
      </c>
    </row>
    <row r="1023" ht="22.2" customHeight="1" s="330">
      <c r="A1023" s="4" t="n"/>
      <c r="E1023" s="4" t="n"/>
      <c r="G1023" s="311" t="n"/>
      <c r="H1023" s="276" t="n"/>
      <c r="I1023" s="276" t="n"/>
      <c r="J1023" s="276" t="n"/>
      <c r="K1023" s="476" t="n"/>
      <c r="L1023" s="252" t="n"/>
      <c r="M1023" s="252" t="n"/>
      <c r="N1023" s="252" t="n"/>
      <c r="O1023" s="244">
        <f>M1023*N1023</f>
        <v/>
      </c>
      <c r="P1023" s="252" t="n"/>
      <c r="Q1023" s="252" t="n"/>
      <c r="R1023" s="252" t="n"/>
      <c r="S1023" s="244">
        <f>Q1023*R1023</f>
        <v/>
      </c>
    </row>
    <row r="1024" ht="22.2" customHeight="1" s="330">
      <c r="A1024" s="4" t="n"/>
      <c r="E1024" s="4" t="n"/>
      <c r="G1024" s="62" t="inlineStr">
        <is>
          <t>อังคาร</t>
        </is>
      </c>
      <c r="H1024" s="252" t="inlineStr">
        <is>
          <t>20101-2001</t>
        </is>
      </c>
      <c r="I1024" s="325" t="inlineStr">
        <is>
          <t>ปวช.1/10 ชย. (ทวิ)</t>
        </is>
      </c>
      <c r="J1024" s="332" t="inlineStr">
        <is>
          <t>08.10-12.10</t>
        </is>
      </c>
      <c r="K1024" s="335" t="n"/>
      <c r="L1024" s="265" t="n"/>
      <c r="M1024" s="332" t="n"/>
      <c r="N1024" s="332" t="n"/>
      <c r="O1024" s="244">
        <f>M1024*N1024</f>
        <v/>
      </c>
      <c r="P1024" s="332" t="n"/>
      <c r="Q1024" s="265" t="n"/>
      <c r="R1024" s="332" t="n"/>
      <c r="S1024" s="244">
        <f>Q1024*R1024</f>
        <v/>
      </c>
    </row>
    <row r="1025" ht="22.2" customHeight="1" s="330">
      <c r="A1025" s="4" t="n"/>
      <c r="E1025" s="4" t="n"/>
      <c r="G1025" s="308">
        <f>G979</f>
        <v/>
      </c>
      <c r="H1025" s="252" t="inlineStr">
        <is>
          <t>20101-2001</t>
        </is>
      </c>
      <c r="I1025" s="325" t="inlineStr">
        <is>
          <t>ปวช.1/10 ชย. (ทวิ)</t>
        </is>
      </c>
      <c r="J1025" s="252" t="inlineStr">
        <is>
          <t>13.10-16.10</t>
        </is>
      </c>
      <c r="K1025" s="331" t="n"/>
      <c r="L1025" s="252" t="n"/>
      <c r="M1025" s="252" t="n"/>
      <c r="N1025" s="252" t="n"/>
      <c r="O1025" s="244">
        <f>M1025*N1025</f>
        <v/>
      </c>
      <c r="P1025" s="252" t="n"/>
      <c r="Q1025" s="252" t="n"/>
      <c r="R1025" s="252" t="n"/>
      <c r="S1025" s="244">
        <f>Q1025*R1025</f>
        <v/>
      </c>
    </row>
    <row r="1026" ht="22.2" customHeight="1" s="330">
      <c r="A1026" s="4" t="n"/>
      <c r="B1026" s="5" t="n"/>
      <c r="D1026" s="3" t="n"/>
      <c r="E1026" s="3" t="n"/>
      <c r="G1026" s="252" t="n"/>
      <c r="H1026" s="252" t="n"/>
      <c r="I1026" s="252" t="n"/>
      <c r="J1026" s="252" t="n"/>
      <c r="K1026" s="331" t="n"/>
      <c r="L1026" s="252" t="n"/>
      <c r="M1026" s="252" t="n"/>
      <c r="N1026" s="252" t="n"/>
      <c r="O1026" s="244">
        <f>M1026*N1026</f>
        <v/>
      </c>
      <c r="P1026" s="252" t="n"/>
      <c r="Q1026" s="252" t="n"/>
      <c r="R1026" s="252" t="n"/>
      <c r="S1026" s="244">
        <f>Q1026*R1026</f>
        <v/>
      </c>
    </row>
    <row r="1027" ht="22.2" customHeight="1" s="330">
      <c r="A1027" s="4" t="n"/>
      <c r="E1027" s="4" t="n"/>
      <c r="G1027" s="62" t="n"/>
      <c r="H1027" s="252" t="n"/>
      <c r="I1027" s="252" t="n"/>
      <c r="J1027" s="252" t="n"/>
      <c r="K1027" s="331" t="n"/>
      <c r="L1027" s="252" t="n"/>
      <c r="M1027" s="252" t="n"/>
      <c r="N1027" s="252" t="n"/>
      <c r="O1027" s="244">
        <f>M1027*N1027</f>
        <v/>
      </c>
      <c r="P1027" s="252" t="n"/>
      <c r="Q1027" s="252" t="n"/>
      <c r="R1027" s="252" t="n"/>
      <c r="S1027" s="244">
        <f>Q1027*R1027</f>
        <v/>
      </c>
    </row>
    <row r="1028" ht="22.2" customHeight="1" s="330">
      <c r="A1028" s="4" t="n"/>
      <c r="D1028" s="8" t="inlineStr">
        <is>
          <t> </t>
        </is>
      </c>
      <c r="E1028" s="4" t="n"/>
      <c r="G1028" s="63" t="n"/>
      <c r="H1028" s="276" t="n"/>
      <c r="I1028" s="276" t="n"/>
      <c r="J1028" s="276" t="n"/>
      <c r="K1028" s="476" t="n"/>
      <c r="L1028" s="252" t="n"/>
      <c r="M1028" s="252" t="n"/>
      <c r="N1028" s="252" t="n"/>
      <c r="O1028" s="244">
        <f>M1028*N1028</f>
        <v/>
      </c>
      <c r="P1028" s="252" t="n"/>
      <c r="Q1028" s="252" t="n"/>
      <c r="R1028" s="252" t="n"/>
      <c r="S1028" s="244">
        <f>Q1028*R1028</f>
        <v/>
      </c>
    </row>
    <row r="1029" ht="22.2" customHeight="1" s="330">
      <c r="A1029" s="4" t="n"/>
      <c r="E1029" s="4" t="n"/>
      <c r="G1029" s="308" t="inlineStr">
        <is>
          <t>พุธ</t>
        </is>
      </c>
      <c r="H1029" s="252" t="inlineStr">
        <is>
          <t>20101-2101</t>
        </is>
      </c>
      <c r="I1029" s="325" t="inlineStr">
        <is>
          <t>ปวช.1/4 ชย. (ปกติ)</t>
        </is>
      </c>
      <c r="J1029" s="332" t="inlineStr">
        <is>
          <t>08.10-12.10</t>
        </is>
      </c>
      <c r="K1029" s="335" t="n"/>
      <c r="L1029" s="265" t="n"/>
      <c r="M1029" s="332" t="n"/>
      <c r="N1029" s="332" t="n"/>
      <c r="O1029" s="244">
        <f>M1029*N1029</f>
        <v/>
      </c>
      <c r="P1029" s="332" t="n"/>
      <c r="Q1029" s="265" t="n"/>
      <c r="R1029" s="332" t="n"/>
      <c r="S1029" s="244">
        <f>Q1029*R1029</f>
        <v/>
      </c>
    </row>
    <row r="1030" ht="22.2" customHeight="1" s="330">
      <c r="A1030" s="4" t="n"/>
      <c r="B1030" s="248" t="n"/>
      <c r="C1030" s="249" t="n"/>
      <c r="D1030" s="249" t="n"/>
      <c r="E1030" s="252" t="n"/>
      <c r="G1030" s="308">
        <f>G984</f>
        <v/>
      </c>
      <c r="H1030" s="252" t="inlineStr">
        <is>
          <t>20101-2101</t>
        </is>
      </c>
      <c r="I1030" s="325" t="inlineStr">
        <is>
          <t>ปวช.1/4 ชย. (ปกติ)</t>
        </is>
      </c>
      <c r="J1030" s="252" t="inlineStr">
        <is>
          <t>13.10-16.10</t>
        </is>
      </c>
      <c r="K1030" s="331" t="n"/>
      <c r="L1030" s="252" t="n"/>
      <c r="M1030" s="252" t="n"/>
      <c r="N1030" s="252" t="n"/>
      <c r="O1030" s="244">
        <f>M1030*N1030</f>
        <v/>
      </c>
      <c r="P1030" s="252" t="n"/>
      <c r="Q1030" s="252" t="n"/>
      <c r="R1030" s="252" t="n"/>
      <c r="S1030" s="244">
        <f>Q1030*R1030</f>
        <v/>
      </c>
    </row>
    <row r="1031" ht="22.2" customHeight="1" s="330">
      <c r="A1031" s="4" t="n"/>
      <c r="B1031" s="5" t="n"/>
      <c r="D1031" s="3" t="n"/>
      <c r="E1031" s="3" t="n"/>
      <c r="G1031" s="252" t="n"/>
      <c r="H1031" s="252" t="n"/>
      <c r="I1031" s="325" t="n"/>
      <c r="J1031" s="252" t="n"/>
      <c r="K1031" s="331" t="n"/>
      <c r="L1031" s="252" t="n"/>
      <c r="M1031" s="252" t="n"/>
      <c r="N1031" s="252" t="n"/>
      <c r="O1031" s="244">
        <f>M1031*N1031</f>
        <v/>
      </c>
      <c r="P1031" s="252" t="n"/>
      <c r="Q1031" s="252" t="n"/>
      <c r="R1031" s="252" t="n"/>
      <c r="S1031" s="244">
        <f>Q1031*R1031</f>
        <v/>
      </c>
    </row>
    <row r="1032" ht="22.2" customHeight="1" s="330">
      <c r="A1032" s="4" t="n"/>
      <c r="E1032" s="4" t="n"/>
      <c r="G1032" s="248" t="n"/>
      <c r="H1032" s="248" t="n"/>
      <c r="I1032" s="252" t="n"/>
      <c r="J1032" s="252" t="n"/>
      <c r="K1032" s="331" t="n"/>
      <c r="L1032" s="252" t="n"/>
      <c r="M1032" s="252" t="n"/>
      <c r="N1032" s="252" t="n"/>
      <c r="O1032" s="244">
        <f>M1032*N1032</f>
        <v/>
      </c>
      <c r="P1032" s="252" t="n"/>
      <c r="Q1032" s="252" t="n"/>
      <c r="R1032" s="252" t="n"/>
      <c r="S1032" s="244">
        <f>Q1032*R1032</f>
        <v/>
      </c>
    </row>
    <row r="1033" ht="22.2" customHeight="1" s="330">
      <c r="A1033" s="4" t="n"/>
      <c r="E1033" s="4" t="n"/>
      <c r="G1033" s="277" t="n"/>
      <c r="H1033" s="277" t="n"/>
      <c r="I1033" s="276" t="n"/>
      <c r="J1033" s="276" t="n"/>
      <c r="K1033" s="476" t="n"/>
      <c r="L1033" s="276" t="n"/>
      <c r="M1033" s="276" t="n"/>
      <c r="N1033" s="276" t="n"/>
      <c r="O1033" s="244">
        <f>M1033*N1033</f>
        <v/>
      </c>
      <c r="P1033" s="276" t="n"/>
      <c r="Q1033" s="276" t="n"/>
      <c r="R1033" s="276" t="n"/>
      <c r="S1033" s="244">
        <f>Q1033*R1033</f>
        <v/>
      </c>
    </row>
    <row r="1034" ht="22.2" customHeight="1" s="330">
      <c r="A1034" s="4" t="n"/>
      <c r="E1034" s="4" t="n"/>
      <c r="G1034" s="62" t="inlineStr">
        <is>
          <t>พฤหัส</t>
        </is>
      </c>
      <c r="H1034" s="252" t="inlineStr">
        <is>
          <t>20101-2101</t>
        </is>
      </c>
      <c r="I1034" s="325" t="inlineStr">
        <is>
          <t>ปวช.1/1 ชย. (ปกติ)</t>
        </is>
      </c>
      <c r="J1034" s="332" t="inlineStr">
        <is>
          <t>08.10-12.10</t>
        </is>
      </c>
      <c r="K1034" s="335" t="n"/>
      <c r="L1034" s="325" t="n"/>
      <c r="M1034" s="275" t="n"/>
      <c r="N1034" s="275" t="n"/>
      <c r="O1034" s="244">
        <f>M1034*N1034</f>
        <v/>
      </c>
      <c r="P1034" s="275" t="n"/>
      <c r="Q1034" s="275" t="n"/>
      <c r="R1034" s="275" t="n"/>
      <c r="S1034" s="244">
        <f>Q1034*R1034</f>
        <v/>
      </c>
      <c r="T1034" s="25" t="n"/>
      <c r="U1034" s="26" t="inlineStr">
        <is>
          <t xml:space="preserve">     PLC</t>
        </is>
      </c>
      <c r="V1034" s="64" t="n"/>
      <c r="W1034" s="27" t="n"/>
      <c r="X1034" s="27" t="n"/>
    </row>
    <row r="1035" ht="22.2" customHeight="1" s="330">
      <c r="A1035" s="4" t="n"/>
      <c r="E1035" s="4" t="n"/>
      <c r="G1035" s="308">
        <f>G989</f>
        <v/>
      </c>
      <c r="H1035" s="252" t="inlineStr">
        <is>
          <t>20101-2101</t>
        </is>
      </c>
      <c r="I1035" s="325" t="inlineStr">
        <is>
          <t>ปวช.1/1 ชย. (ปกติ)</t>
        </is>
      </c>
      <c r="J1035" s="252" t="inlineStr">
        <is>
          <t>15.10-18.10</t>
        </is>
      </c>
      <c r="K1035" s="331" t="n"/>
      <c r="L1035" s="252" t="n"/>
      <c r="M1035" s="252" t="n"/>
      <c r="N1035" s="252" t="n"/>
      <c r="O1035" s="244">
        <f>M1035*N1035</f>
        <v/>
      </c>
      <c r="P1035" s="252" t="n"/>
      <c r="Q1035" s="252" t="n"/>
      <c r="R1035" s="252" t="n"/>
      <c r="S1035" s="244">
        <f>Q1035*R1035</f>
        <v/>
      </c>
      <c r="T1035" s="27" t="inlineStr">
        <is>
          <t> </t>
        </is>
      </c>
      <c r="U1035" s="26" t="inlineStr">
        <is>
          <t>17.10-19.10</t>
        </is>
      </c>
      <c r="V1035" s="64" t="n"/>
      <c r="W1035" s="27" t="n"/>
      <c r="X1035" s="27" t="n"/>
    </row>
    <row r="1036" ht="22.2" customHeight="1" s="330">
      <c r="A1036" s="4" t="n"/>
      <c r="B1036" s="5" t="n"/>
      <c r="E1036" s="4" t="n"/>
      <c r="G1036" s="252" t="n"/>
      <c r="H1036" s="252" t="n"/>
      <c r="I1036" s="325" t="n"/>
      <c r="J1036" s="252" t="n"/>
      <c r="K1036" s="331" t="n"/>
      <c r="L1036" s="252" t="n"/>
      <c r="M1036" s="325" t="n"/>
      <c r="N1036" s="325" t="n"/>
      <c r="O1036" s="244">
        <f>M1036*N1036</f>
        <v/>
      </c>
      <c r="P1036" s="325" t="n"/>
      <c r="Q1036" s="325" t="n"/>
      <c r="R1036" s="325" t="n"/>
      <c r="S1036" s="244">
        <f>Q1036*R1036</f>
        <v/>
      </c>
    </row>
    <row r="1037" ht="22.2" customHeight="1" s="330">
      <c r="A1037" s="4" t="n"/>
      <c r="E1037" s="4" t="n"/>
      <c r="G1037" s="252" t="n"/>
      <c r="H1037" s="252" t="n"/>
      <c r="I1037" s="252" t="n"/>
      <c r="J1037" s="252" t="n"/>
      <c r="K1037" s="331" t="n"/>
      <c r="L1037" s="252" t="n"/>
      <c r="M1037" s="252" t="n"/>
      <c r="N1037" s="252" t="n"/>
      <c r="O1037" s="244">
        <f>M1037*N1037</f>
        <v/>
      </c>
      <c r="P1037" s="252" t="n"/>
      <c r="Q1037" s="252" t="n"/>
      <c r="R1037" s="252" t="n"/>
      <c r="S1037" s="244">
        <f>Q1037*R1037</f>
        <v/>
      </c>
    </row>
    <row r="1038" ht="22.2" customHeight="1" s="330">
      <c r="A1038" s="4" t="n"/>
      <c r="E1038" s="4" t="n"/>
      <c r="G1038" s="276" t="n"/>
      <c r="H1038" s="277" t="n"/>
      <c r="I1038" s="276" t="n"/>
      <c r="J1038" s="276" t="n"/>
      <c r="K1038" s="476" t="n"/>
      <c r="L1038" s="276" t="n"/>
      <c r="M1038" s="276" t="n"/>
      <c r="N1038" s="276" t="n"/>
      <c r="O1038" s="244">
        <f>M1038*N1038</f>
        <v/>
      </c>
      <c r="P1038" s="276" t="n"/>
      <c r="Q1038" s="276" t="n"/>
      <c r="R1038" s="276" t="n"/>
      <c r="S1038" s="244">
        <f>Q1038*R1038</f>
        <v/>
      </c>
    </row>
    <row r="1039" ht="22.2" customHeight="1" s="330">
      <c r="A1039" s="4" t="n"/>
      <c r="E1039" s="4" t="n"/>
      <c r="G1039" s="62" t="inlineStr">
        <is>
          <t>ศุกร์</t>
        </is>
      </c>
      <c r="H1039" s="252" t="inlineStr">
        <is>
          <t>20101-2101</t>
        </is>
      </c>
      <c r="I1039" s="325" t="inlineStr">
        <is>
          <t>ปวช.1/3 ชย. (ปกติ)</t>
        </is>
      </c>
      <c r="J1039" s="332" t="inlineStr">
        <is>
          <t>08.10-12.10</t>
        </is>
      </c>
      <c r="K1039" s="335" t="n"/>
      <c r="L1039" s="252" t="n"/>
      <c r="M1039" s="252" t="n"/>
      <c r="N1039" s="252" t="n"/>
      <c r="O1039" s="244">
        <f>M1039*N1039</f>
        <v/>
      </c>
      <c r="P1039" s="332" t="n"/>
      <c r="Q1039" s="265" t="n"/>
      <c r="R1039" s="332" t="n"/>
      <c r="S1039" s="244">
        <f>Q1039*R1039</f>
        <v/>
      </c>
    </row>
    <row r="1040" ht="22.2" customHeight="1" s="330">
      <c r="A1040" s="4" t="n"/>
      <c r="E1040" s="4" t="n"/>
      <c r="G1040" s="308">
        <f>G994</f>
        <v/>
      </c>
      <c r="H1040" s="252" t="inlineStr">
        <is>
          <t>20101-2101</t>
        </is>
      </c>
      <c r="I1040" s="325" t="inlineStr">
        <is>
          <t>ปวช.1/3 ชย. (ปกติ)</t>
        </is>
      </c>
      <c r="J1040" s="252" t="inlineStr">
        <is>
          <t>13.10-16.10</t>
        </is>
      </c>
      <c r="K1040" s="331" t="n"/>
      <c r="L1040" s="252" t="n"/>
      <c r="M1040" s="252" t="n"/>
      <c r="N1040" s="252" t="n"/>
      <c r="O1040" s="244">
        <f>M1040*N1040</f>
        <v/>
      </c>
      <c r="P1040" s="252" t="n"/>
      <c r="Q1040" s="252" t="n"/>
      <c r="R1040" s="252" t="n"/>
      <c r="S1040" s="244">
        <f>Q1040*R1040</f>
        <v/>
      </c>
    </row>
    <row r="1041" ht="22.2" customHeight="1" s="330">
      <c r="A1041" s="4" t="n"/>
      <c r="E1041" s="4" t="n"/>
      <c r="G1041" s="252" t="n"/>
      <c r="H1041" s="252" t="n"/>
      <c r="I1041" s="252" t="n"/>
      <c r="J1041" s="252" t="n"/>
      <c r="K1041" s="331" t="n"/>
      <c r="L1041" s="252" t="n"/>
      <c r="M1041" s="252" t="n"/>
      <c r="N1041" s="252" t="n"/>
      <c r="O1041" s="244">
        <f>M1041*N1041</f>
        <v/>
      </c>
      <c r="P1041" s="252" t="n"/>
      <c r="Q1041" s="252" t="n"/>
      <c r="R1041" s="252" t="n"/>
      <c r="S1041" s="244">
        <f>Q1041*R1041</f>
        <v/>
      </c>
    </row>
    <row r="1042" ht="22.2" customHeight="1" s="330">
      <c r="A1042" s="4" t="n"/>
      <c r="E1042" s="4" t="n"/>
      <c r="G1042" s="252" t="n"/>
      <c r="H1042" s="252" t="n"/>
      <c r="I1042" s="252" t="n"/>
      <c r="J1042" s="252" t="n"/>
      <c r="K1042" s="331" t="n"/>
      <c r="L1042" s="252" t="n"/>
      <c r="M1042" s="252" t="n"/>
      <c r="N1042" s="252" t="n"/>
      <c r="O1042" s="244">
        <f>M1042*N1042</f>
        <v/>
      </c>
      <c r="P1042" s="252" t="n"/>
      <c r="Q1042" s="252" t="n"/>
      <c r="R1042" s="252" t="n"/>
      <c r="S1042" s="244">
        <f>Q1042*R1042</f>
        <v/>
      </c>
    </row>
    <row r="1043" ht="22.2" customHeight="1" s="330">
      <c r="A1043" s="4" t="n"/>
      <c r="E1043" s="4" t="n"/>
      <c r="F1043" s="4" t="n"/>
      <c r="G1043" s="278" t="n"/>
      <c r="H1043" s="301" t="n"/>
      <c r="I1043" s="276" t="n"/>
      <c r="J1043" s="276" t="n"/>
      <c r="K1043" s="476" t="n"/>
      <c r="L1043" s="276" t="n"/>
      <c r="M1043" s="276" t="n"/>
      <c r="N1043" s="276" t="n"/>
      <c r="O1043" s="244">
        <f>M1043*N1043</f>
        <v/>
      </c>
      <c r="P1043" s="276" t="n"/>
      <c r="Q1043" s="276" t="n"/>
      <c r="R1043" s="276" t="n"/>
      <c r="S1043" s="244">
        <f>Q1043*R1043</f>
        <v/>
      </c>
    </row>
    <row r="1044" ht="22.2" customHeight="1" s="330">
      <c r="A1044" s="4" t="n"/>
      <c r="E1044" s="4" t="n"/>
      <c r="F1044" s="4" t="n"/>
      <c r="G1044" s="17" t="inlineStr">
        <is>
          <t>รวมขั่วโมงที่สอนแยก ภาระงาน/ เกินภาระงาน</t>
        </is>
      </c>
      <c r="H1044" s="467" t="n"/>
      <c r="I1044" s="467" t="n"/>
      <c r="J1044" s="467" t="n"/>
      <c r="K1044" s="362" t="n"/>
      <c r="L1044" s="17">
        <f>SUM(L1019:L1043)</f>
        <v/>
      </c>
      <c r="M1044" s="17">
        <f>SUM(M1019:M1043)</f>
        <v/>
      </c>
      <c r="N1044" s="17" t="n"/>
      <c r="O1044" s="17" t="n"/>
      <c r="P1044" s="17">
        <f>SUM(P1019:P1043)</f>
        <v/>
      </c>
      <c r="Q1044" s="17">
        <f>SUM(Q1019:Q1043)</f>
        <v/>
      </c>
      <c r="R1044" s="279" t="n"/>
      <c r="S1044" s="17" t="n"/>
    </row>
    <row r="1045" ht="22.2" customHeight="1" s="330">
      <c r="A1045" s="4" t="n"/>
      <c r="E1045" s="4" t="n"/>
      <c r="F1045" s="4" t="n"/>
      <c r="G1045" s="17" t="inlineStr">
        <is>
          <t>รวมจำนวนชั่วโมงสอนคาบต่อสับดาห์</t>
        </is>
      </c>
      <c r="H1045" s="467" t="n"/>
      <c r="I1045" s="467" t="n"/>
      <c r="J1045" s="467" t="n"/>
      <c r="K1045" s="362" t="n"/>
      <c r="L1045" s="17">
        <f>L1044+M1044</f>
        <v/>
      </c>
      <c r="M1045" s="362" t="n"/>
      <c r="N1045" s="298" t="n"/>
      <c r="O1045" s="17" t="n"/>
      <c r="P1045" s="17">
        <f>P1044+Q1044</f>
        <v/>
      </c>
      <c r="Q1045" s="362" t="n"/>
      <c r="R1045" s="278" t="n"/>
      <c r="S1045" s="276" t="n"/>
    </row>
    <row r="1046" ht="22.2" customHeight="1" s="330">
      <c r="A1046" s="4" t="n"/>
      <c r="E1046" s="4" t="n"/>
      <c r="F1046" s="4" t="n"/>
      <c r="G1046" s="17" t="inlineStr">
        <is>
          <t>จำนวนชั่วโมงสอนตามภาระงานสอน</t>
        </is>
      </c>
      <c r="H1046" s="467" t="n"/>
      <c r="I1046" s="467" t="n"/>
      <c r="J1046" s="467" t="n"/>
      <c r="K1046" s="362" t="n"/>
      <c r="L1046" s="17" t="n">
        <v>18</v>
      </c>
      <c r="M1046" s="362" t="n"/>
      <c r="N1046" s="298" t="n"/>
      <c r="O1046" s="17" t="n"/>
      <c r="P1046" s="17" t="n">
        <v>0</v>
      </c>
      <c r="Q1046" s="362" t="n"/>
      <c r="R1046" s="249" t="n"/>
      <c r="S1046" s="252" t="n"/>
    </row>
    <row r="1047" ht="22.2" customHeight="1" s="330" thickBot="1">
      <c r="A1047" s="4" t="n"/>
      <c r="E1047" s="4" t="n"/>
      <c r="F1047" s="15" t="n"/>
      <c r="G1047" s="17" t="inlineStr">
        <is>
          <t>จำนวนชั่วโมงบิกเกินภาระงานสอน/ค่าสอน</t>
        </is>
      </c>
      <c r="H1047" s="467" t="n"/>
      <c r="I1047" s="467" t="n"/>
      <c r="J1047" s="467" t="n"/>
      <c r="K1047" s="362" t="n"/>
      <c r="L1047" s="18" t="n">
        <v>0</v>
      </c>
      <c r="M1047" s="18">
        <f>SUM(M1019:M1043)</f>
        <v/>
      </c>
      <c r="N1047" s="18" t="n"/>
      <c r="O1047" s="18">
        <f>SUM(O1019:O1043)</f>
        <v/>
      </c>
      <c r="P1047" s="18" t="n">
        <v>0</v>
      </c>
      <c r="Q1047" s="18">
        <f>SUM(Q1019:Q1043)</f>
        <v/>
      </c>
      <c r="R1047" s="19" t="n"/>
      <c r="S1047" s="18">
        <f>SUM(S1019:S1043)</f>
        <v/>
      </c>
    </row>
    <row r="1048" ht="22.2" customHeight="1" s="330" thickTop="1">
      <c r="A1048" s="299" t="inlineStr">
        <is>
          <t>รวมจำนวนหน่วยชั่วโมงที่ขอเบิกค่าสอน ….</t>
        </is>
      </c>
      <c r="B1048" s="467" t="n"/>
      <c r="C1048" s="467" t="n"/>
      <c r="D1048" s="467" t="n"/>
      <c r="E1048" s="467" t="n"/>
      <c r="F1048" s="467" t="n"/>
      <c r="G1048" s="467" t="n"/>
      <c r="H1048" s="298">
        <f>M1047+Q1047</f>
        <v/>
      </c>
      <c r="I1048" s="298" t="inlineStr">
        <is>
          <t>….ชั่วโมง</t>
        </is>
      </c>
      <c r="J1048" s="298" t="n"/>
      <c r="K1048" s="301" t="inlineStr">
        <is>
          <t>ยอดเงินรวม</t>
        </is>
      </c>
      <c r="L1048" s="471" t="n"/>
      <c r="M1048" s="471" t="n"/>
      <c r="N1048" s="301" t="n"/>
      <c r="O1048" s="301" t="n"/>
      <c r="P1048" s="302">
        <f>S1047+O1047</f>
        <v/>
      </c>
      <c r="Q1048" s="482" t="n"/>
      <c r="R1048" s="21" t="n"/>
      <c r="S1048" s="20" t="inlineStr">
        <is>
          <t>..บาท</t>
        </is>
      </c>
    </row>
    <row r="1049" ht="22.2" customHeight="1" s="330">
      <c r="A1049" s="207" t="inlineStr">
        <is>
          <t>ผู้ขอเบิก</t>
        </is>
      </c>
      <c r="B1049" s="334" t="n"/>
      <c r="C1049" s="334" t="n"/>
      <c r="D1049" s="334" t="n"/>
      <c r="E1049" s="334" t="n"/>
      <c r="F1049" s="334" t="n"/>
      <c r="G1049" s="335" t="n"/>
      <c r="H1049" s="207" t="inlineStr">
        <is>
          <t>ผู้รับรอง</t>
        </is>
      </c>
      <c r="I1049" s="334" t="n"/>
      <c r="J1049" s="334" t="n"/>
      <c r="K1049" s="334" t="n"/>
      <c r="L1049" s="335" t="n"/>
      <c r="M1049" s="207" t="inlineStr">
        <is>
          <t>ผู้ตรวจ</t>
        </is>
      </c>
      <c r="N1049" s="334" t="n"/>
      <c r="O1049" s="334" t="n"/>
      <c r="P1049" s="334" t="n"/>
      <c r="Q1049" s="334" t="n"/>
      <c r="R1049" s="334" t="n"/>
      <c r="S1049" s="335" t="n"/>
    </row>
    <row r="1050" ht="22.2" customHeight="1" s="330">
      <c r="A1050" s="252" t="inlineStr">
        <is>
          <t>ลงชื่อ……………………………………………</t>
        </is>
      </c>
      <c r="G1050" s="331" t="n"/>
      <c r="H1050" s="252" t="inlineStr">
        <is>
          <t>ลงชื่อ……………………………………………</t>
        </is>
      </c>
      <c r="L1050" s="331" t="n"/>
      <c r="M1050" s="252" t="inlineStr">
        <is>
          <t>ลงชื่อ……………………………………………</t>
        </is>
      </c>
      <c r="S1050" s="331" t="n"/>
    </row>
    <row r="1051" ht="22.2" customHeight="1" s="330">
      <c r="A1051" s="12" t="inlineStr">
        <is>
          <t>(</t>
        </is>
      </c>
      <c r="B1051" s="309">
        <f>B1019</f>
        <v/>
      </c>
      <c r="G1051" s="310" t="inlineStr">
        <is>
          <t>)</t>
        </is>
      </c>
      <c r="H1051" s="309" t="inlineStr">
        <is>
          <t>(</t>
        </is>
      </c>
      <c r="I1051" s="314">
        <f>I1005</f>
        <v/>
      </c>
      <c r="L1051" s="13" t="inlineStr">
        <is>
          <t>)</t>
        </is>
      </c>
      <c r="M1051" s="61" t="inlineStr">
        <is>
          <t>(</t>
        </is>
      </c>
      <c r="N1051" s="61" t="n"/>
      <c r="O1051" s="309" t="inlineStr">
        <is>
          <t>นายพิสุทธิศักดิ์  กล่อมนาค</t>
        </is>
      </c>
      <c r="R1051" s="29" t="n"/>
      <c r="S1051" s="310" t="inlineStr">
        <is>
          <t>)</t>
        </is>
      </c>
    </row>
    <row r="1052" ht="22.2" customHeight="1" s="330">
      <c r="A1052" s="483" t="inlineStr">
        <is>
          <t xml:space="preserve">                 ตำแหน่ง  ครูพิเศษ</t>
        </is>
      </c>
      <c r="G1052" s="331" t="n"/>
      <c r="H1052" s="62" t="inlineStr">
        <is>
          <t>ตำแหน่ง หัวหน้าแผนก</t>
        </is>
      </c>
      <c r="L1052" s="331" t="n"/>
      <c r="M1052" s="62" t="inlineStr">
        <is>
          <t>ตำแหน่ง   ผู้ตรวจสอบ</t>
        </is>
      </c>
      <c r="S1052" s="331" t="n"/>
    </row>
    <row r="1053" ht="22.2" customHeight="1" s="330">
      <c r="A1053" s="63">
        <f>A41</f>
        <v/>
      </c>
      <c r="B1053" s="471" t="n"/>
      <c r="C1053" s="471" t="n"/>
      <c r="D1053" s="471" t="n"/>
      <c r="E1053" s="471" t="n"/>
      <c r="F1053" s="471" t="n"/>
      <c r="G1053" s="476" t="n"/>
      <c r="H1053" s="62">
        <f>A41</f>
        <v/>
      </c>
      <c r="L1053" s="331" t="n"/>
      <c r="M1053" s="63">
        <f>A41</f>
        <v/>
      </c>
      <c r="N1053" s="471" t="n"/>
      <c r="O1053" s="471" t="n"/>
      <c r="P1053" s="471" t="n"/>
      <c r="Q1053" s="471" t="n"/>
      <c r="R1053" s="471" t="n"/>
      <c r="S1053" s="476" t="n"/>
    </row>
    <row r="1054" ht="22.2" customHeight="1" s="330">
      <c r="A1054" s="207" t="inlineStr">
        <is>
          <t>ผู้ตรวจ</t>
        </is>
      </c>
      <c r="B1054" s="334" t="n"/>
      <c r="C1054" s="334" t="n"/>
      <c r="D1054" s="334" t="n"/>
      <c r="E1054" s="334" t="n"/>
      <c r="F1054" s="334" t="n"/>
      <c r="G1054" s="334" t="n"/>
      <c r="H1054" s="334" t="n"/>
      <c r="I1054" s="335" t="n"/>
      <c r="J1054" s="207" t="inlineStr">
        <is>
          <t>ผู้เห็นชอบ</t>
        </is>
      </c>
      <c r="K1054" s="334" t="n"/>
      <c r="L1054" s="334" t="n"/>
      <c r="M1054" s="334" t="n"/>
      <c r="N1054" s="334" t="n"/>
      <c r="O1054" s="334" t="n"/>
      <c r="P1054" s="334" t="n"/>
      <c r="Q1054" s="334" t="n"/>
      <c r="R1054" s="334" t="n"/>
      <c r="S1054" s="335" t="n"/>
    </row>
    <row r="1055" ht="22.2" customHeight="1" s="330">
      <c r="A1055" s="252" t="inlineStr">
        <is>
          <t>ลงชื่อ……………………………………………</t>
        </is>
      </c>
      <c r="I1055" s="331" t="n"/>
      <c r="J1055" s="252" t="inlineStr">
        <is>
          <t>ลงชื่อ……………………………………………</t>
        </is>
      </c>
      <c r="S1055" s="331" t="n"/>
    </row>
    <row r="1056" ht="22.2" customHeight="1" s="330">
      <c r="A1056" s="12" t="n"/>
      <c r="B1056" s="309" t="inlineStr">
        <is>
          <t xml:space="preserve">          (นางศิวรักษ์   บุญประเสริฐ)</t>
        </is>
      </c>
      <c r="I1056" s="310" t="n"/>
      <c r="J1056" s="29" t="n"/>
      <c r="K1056" s="29" t="n"/>
      <c r="L1056" s="309" t="inlineStr">
        <is>
          <t>(นายปรีชา  โพธิ์เกิด)</t>
        </is>
      </c>
      <c r="R1056" s="29" t="n"/>
      <c r="S1056" s="13" t="n"/>
    </row>
    <row r="1057" ht="22.2" customHeight="1" s="330">
      <c r="A1057" s="62" t="inlineStr">
        <is>
          <t>ตำแหน่งครู  หัวหน้างานพัฒนาหลักสูตร ฯ</t>
        </is>
      </c>
      <c r="I1057" s="331" t="n"/>
      <c r="J1057" s="62" t="inlineStr">
        <is>
          <t>ตำแหน่ง  รองผู้อำนวยการฝ่ายวิชาการ</t>
        </is>
      </c>
      <c r="S1057" s="331" t="n"/>
    </row>
    <row r="1058" ht="22.2" customHeight="1" s="330">
      <c r="A1058" s="63">
        <f>A41</f>
        <v/>
      </c>
      <c r="B1058" s="471" t="n"/>
      <c r="C1058" s="471" t="n"/>
      <c r="D1058" s="471" t="n"/>
      <c r="E1058" s="471" t="n"/>
      <c r="F1058" s="471" t="n"/>
      <c r="G1058" s="471" t="n"/>
      <c r="H1058" s="471" t="n"/>
      <c r="I1058" s="476" t="n"/>
      <c r="J1058" s="63">
        <f>A41</f>
        <v/>
      </c>
      <c r="K1058" s="471" t="n"/>
      <c r="L1058" s="471" t="n"/>
      <c r="M1058" s="471" t="n"/>
      <c r="N1058" s="471" t="n"/>
      <c r="O1058" s="471" t="n"/>
      <c r="P1058" s="471" t="n"/>
      <c r="Q1058" s="471" t="n"/>
      <c r="R1058" s="471" t="n"/>
      <c r="S1058" s="476" t="n"/>
    </row>
    <row r="1059" ht="22.2" customHeight="1" s="330">
      <c r="A105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060" ht="22.2" customHeight="1" s="330">
      <c r="A1060" s="254">
        <f>A2</f>
        <v/>
      </c>
    </row>
    <row r="1061" ht="22.2" customHeight="1" s="330">
      <c r="A1061" s="253" t="inlineStr">
        <is>
          <t xml:space="preserve">    ระหว่างวันที่</t>
        </is>
      </c>
      <c r="D1061" s="254">
        <f>D3</f>
        <v/>
      </c>
      <c r="E1061" s="254" t="inlineStr">
        <is>
          <t xml:space="preserve">   เดือน  </t>
        </is>
      </c>
      <c r="F1061" s="254">
        <f>F3</f>
        <v/>
      </c>
      <c r="H1061" s="254">
        <f>H3</f>
        <v/>
      </c>
      <c r="I1061" s="254" t="inlineStr">
        <is>
          <t xml:space="preserve">     ถึง วันที่</t>
        </is>
      </c>
      <c r="J1061" s="254">
        <f>J3</f>
        <v/>
      </c>
      <c r="K1061" s="254" t="inlineStr">
        <is>
          <t xml:space="preserve">   เดือน </t>
        </is>
      </c>
      <c r="L1061" s="254">
        <f>L3</f>
        <v/>
      </c>
      <c r="N1061" s="254">
        <f>N3</f>
        <v/>
      </c>
      <c r="P1061" s="254" t="n"/>
      <c r="R1061" s="254" t="n"/>
    </row>
    <row r="1062" ht="22.2" customHeight="1" s="330">
      <c r="G1062" s="58" t="inlineStr">
        <is>
          <t>ü</t>
        </is>
      </c>
      <c r="H1062" s="8" t="inlineStr">
        <is>
          <t>ครูพิเศษ</t>
        </is>
      </c>
      <c r="I1062" s="249" t="inlineStr">
        <is>
          <t>หน้าที่พิเศษ</t>
        </is>
      </c>
      <c r="K1062" s="290" t="n"/>
    </row>
    <row r="1063" ht="22.2" customHeight="1" s="330">
      <c r="A1063" s="28" t="inlineStr">
        <is>
          <t>ที่</t>
        </is>
      </c>
      <c r="B1063" s="28" t="inlineStr">
        <is>
          <t>ชื่อ-สกุล</t>
        </is>
      </c>
      <c r="C1063" s="334" t="n"/>
      <c r="D1063" s="335" t="n"/>
      <c r="E1063" s="16" t="inlineStr">
        <is>
          <t>ตำแหน่ง</t>
        </is>
      </c>
      <c r="F1063" s="17" t="inlineStr">
        <is>
          <t>ระยะเวลาที่สอน</t>
        </is>
      </c>
      <c r="G1063" s="362" t="n"/>
      <c r="H1063" s="17" t="inlineStr">
        <is>
          <t>รหัสวิชา</t>
        </is>
      </c>
      <c r="I1063" s="275" t="inlineStr">
        <is>
          <t>ชั้น,แผนก,ห้อง</t>
        </is>
      </c>
      <c r="J1063" s="17" t="inlineStr">
        <is>
          <t>เวลาสอน</t>
        </is>
      </c>
      <c r="K1063" s="335" t="n"/>
      <c r="L1063" s="17" t="inlineStr">
        <is>
          <t>ปวช.(คาบ)</t>
        </is>
      </c>
      <c r="M1063" s="362" t="n"/>
      <c r="N1063" s="244" t="inlineStr">
        <is>
          <t>เงิน</t>
        </is>
      </c>
      <c r="O1063" s="275" t="inlineStr">
        <is>
          <t>ยอดเงิน</t>
        </is>
      </c>
      <c r="P1063" s="473" t="inlineStr">
        <is>
          <t>ปวส.(คาบ)</t>
        </is>
      </c>
      <c r="Q1063" s="362" t="n"/>
      <c r="R1063" s="244" t="inlineStr">
        <is>
          <t>เงิน</t>
        </is>
      </c>
      <c r="S1063" s="275" t="inlineStr">
        <is>
          <t>ยอดเงิน</t>
        </is>
      </c>
    </row>
    <row r="1064" ht="22.2" customHeight="1" s="330">
      <c r="A1064" s="60" t="n"/>
      <c r="B1064" s="9" t="n"/>
      <c r="C1064" s="10" t="n"/>
      <c r="D1064" s="14" t="n"/>
      <c r="E1064" s="11" t="n"/>
      <c r="F1064" s="276" t="inlineStr">
        <is>
          <t>ส.</t>
        </is>
      </c>
      <c r="G1064" s="276" t="inlineStr">
        <is>
          <t>วดป.</t>
        </is>
      </c>
      <c r="H1064" s="474" t="n"/>
      <c r="I1064" s="276" t="n"/>
      <c r="J1064" s="475" t="n"/>
      <c r="K1064" s="476" t="n"/>
      <c r="L1064" s="276" t="inlineStr">
        <is>
          <t>ใน</t>
        </is>
      </c>
      <c r="M1064" s="276" t="inlineStr">
        <is>
          <t>นอก</t>
        </is>
      </c>
      <c r="N1064" s="276" t="inlineStr">
        <is>
          <t>ต่อ ชม.</t>
        </is>
      </c>
      <c r="O1064" s="276" t="inlineStr">
        <is>
          <t>(บาท)</t>
        </is>
      </c>
      <c r="P1064" s="60" t="inlineStr">
        <is>
          <t>ใน</t>
        </is>
      </c>
      <c r="Q1064" s="60" t="inlineStr">
        <is>
          <t>นอก</t>
        </is>
      </c>
      <c r="R1064" s="276" t="inlineStr">
        <is>
          <t>ต่อ ชม.</t>
        </is>
      </c>
      <c r="S1064" s="276" t="inlineStr">
        <is>
          <t>(บาท)</t>
        </is>
      </c>
    </row>
    <row r="1065" ht="22.2" customHeight="1" s="330">
      <c r="A1065" s="275" t="n">
        <v>24</v>
      </c>
      <c r="B1065" s="477">
        <f>AB26</f>
        <v/>
      </c>
      <c r="C1065" s="334" t="n"/>
      <c r="D1065" s="335" t="n"/>
      <c r="E1065" s="275" t="inlineStr">
        <is>
          <t>ครู</t>
        </is>
      </c>
      <c r="F1065" s="6">
        <f>F7</f>
        <v/>
      </c>
      <c r="G1065" s="303" t="inlineStr">
        <is>
          <t>จันทร์</t>
        </is>
      </c>
      <c r="H1065" s="252" t="inlineStr">
        <is>
          <t>20101-5102</t>
        </is>
      </c>
      <c r="I1065" s="325" t="inlineStr">
        <is>
          <t>ปวช.2/9 ชย. (ทวิ)</t>
        </is>
      </c>
      <c r="J1065" s="332" t="inlineStr">
        <is>
          <t>08.10-12.10</t>
        </is>
      </c>
      <c r="K1065" s="335" t="n"/>
      <c r="L1065" s="265" t="n"/>
      <c r="M1065" s="332" t="n"/>
      <c r="N1065" s="332" t="n"/>
      <c r="O1065" s="244">
        <f>M1065*N1065</f>
        <v/>
      </c>
      <c r="P1065" s="332" t="n"/>
      <c r="Q1065" s="265" t="n"/>
      <c r="R1065" s="332" t="n"/>
      <c r="S1065" s="244">
        <f>Q1065*R1065</f>
        <v/>
      </c>
    </row>
    <row r="1066" ht="22.2" customHeight="1" s="330">
      <c r="A1066" s="4" t="n"/>
      <c r="B1066" s="478" t="n"/>
      <c r="D1066" s="331" t="n"/>
      <c r="E1066" s="252" t="inlineStr">
        <is>
          <t>พิเศษ</t>
        </is>
      </c>
      <c r="F1066" s="249" t="n"/>
      <c r="G1066" s="308">
        <f>G1020</f>
        <v/>
      </c>
      <c r="H1066" s="252" t="inlineStr">
        <is>
          <t>20101-5102</t>
        </is>
      </c>
      <c r="I1066" s="325" t="inlineStr">
        <is>
          <t>ปวช.2/9 ชย. (ทวิ)</t>
        </is>
      </c>
      <c r="J1066" s="325" t="inlineStr">
        <is>
          <t>13.10-16.10</t>
        </is>
      </c>
      <c r="K1066" s="331" t="n"/>
      <c r="L1066" s="252" t="n"/>
      <c r="M1066" s="252" t="n"/>
      <c r="N1066" s="252" t="n"/>
      <c r="O1066" s="244">
        <f>M1066*N1066</f>
        <v/>
      </c>
      <c r="P1066" s="252" t="n"/>
      <c r="Q1066" s="252" t="n"/>
      <c r="R1066" s="252" t="n"/>
      <c r="S1066" s="244">
        <f>Q1066*R1066</f>
        <v/>
      </c>
    </row>
    <row r="1067" ht="22.2" customHeight="1" s="330">
      <c r="A1067" s="4" t="n"/>
      <c r="B1067" s="5" t="n"/>
      <c r="D1067" s="3" t="n"/>
      <c r="E1067" s="3" t="n"/>
      <c r="F1067" s="249" t="n"/>
      <c r="G1067" s="248" t="n"/>
      <c r="H1067" s="252" t="inlineStr">
        <is>
          <t>20101-8501</t>
        </is>
      </c>
      <c r="I1067" s="325" t="inlineStr">
        <is>
          <t>ปวช.3/3,4 ชย. (ปกติ)</t>
        </is>
      </c>
      <c r="J1067" s="325" t="inlineStr">
        <is>
          <t>16.10-18.10</t>
        </is>
      </c>
      <c r="K1067" s="331" t="n"/>
      <c r="L1067" s="252" t="n"/>
      <c r="M1067" s="252" t="n"/>
      <c r="N1067" s="252" t="n"/>
      <c r="O1067" s="244">
        <f>M1067*N1067</f>
        <v/>
      </c>
      <c r="P1067" s="252" t="n"/>
      <c r="Q1067" s="252" t="n"/>
      <c r="R1067" s="252" t="n"/>
      <c r="S1067" s="244">
        <f>Q1067*R1067</f>
        <v/>
      </c>
    </row>
    <row r="1068" ht="22.2" customHeight="1" s="330">
      <c r="A1068" s="4" t="n"/>
      <c r="B1068" s="5" t="n"/>
      <c r="E1068" s="4" t="n"/>
      <c r="F1068" s="249" t="n"/>
      <c r="G1068" s="248" t="n"/>
      <c r="H1068" s="252" t="n"/>
      <c r="I1068" s="252" t="n"/>
      <c r="J1068" s="252" t="n"/>
      <c r="K1068" s="331" t="n"/>
      <c r="L1068" s="252" t="n"/>
      <c r="M1068" s="252" t="n"/>
      <c r="N1068" s="252" t="n"/>
      <c r="O1068" s="244">
        <f>M1068*N1068</f>
        <v/>
      </c>
      <c r="P1068" s="252" t="n"/>
      <c r="Q1068" s="252" t="n"/>
      <c r="R1068" s="252" t="n"/>
      <c r="S1068" s="244">
        <f>Q1068*R1068</f>
        <v/>
      </c>
    </row>
    <row r="1069" ht="22.2" customHeight="1" s="330">
      <c r="A1069" s="4" t="n"/>
      <c r="D1069" s="8" t="inlineStr">
        <is>
          <t> </t>
        </is>
      </c>
      <c r="E1069" s="4" t="n"/>
      <c r="G1069" s="311" t="n"/>
      <c r="H1069" s="276" t="n"/>
      <c r="I1069" s="57" t="n"/>
      <c r="J1069" s="276" t="n"/>
      <c r="K1069" s="476" t="n"/>
      <c r="L1069" s="252" t="n"/>
      <c r="M1069" s="252" t="n"/>
      <c r="N1069" s="252" t="n"/>
      <c r="O1069" s="244">
        <f>M1069*N1069</f>
        <v/>
      </c>
      <c r="P1069" s="252" t="n"/>
      <c r="Q1069" s="252" t="n"/>
      <c r="R1069" s="252" t="n"/>
      <c r="S1069" s="244">
        <f>Q1069*R1069</f>
        <v/>
      </c>
    </row>
    <row r="1070" ht="22.2" customHeight="1" s="330">
      <c r="A1070" s="4" t="n"/>
      <c r="E1070" s="4" t="n"/>
      <c r="G1070" s="62" t="inlineStr">
        <is>
          <t>อังคาร</t>
        </is>
      </c>
      <c r="H1070" s="252" t="inlineStr">
        <is>
          <t>20101-2001</t>
        </is>
      </c>
      <c r="I1070" s="325" t="inlineStr">
        <is>
          <t>ปวช.1/9 ชย. (ทวิ)</t>
        </is>
      </c>
      <c r="J1070" s="332" t="inlineStr">
        <is>
          <t>08.10-12.10</t>
        </is>
      </c>
      <c r="K1070" s="335" t="n"/>
      <c r="L1070" s="265" t="n"/>
      <c r="M1070" s="332" t="n"/>
      <c r="N1070" s="332" t="n"/>
      <c r="O1070" s="244">
        <f>M1070*N1070</f>
        <v/>
      </c>
      <c r="P1070" s="332" t="n"/>
      <c r="Q1070" s="265" t="n"/>
      <c r="R1070" s="332" t="n"/>
      <c r="S1070" s="244">
        <f>Q1070*R1070</f>
        <v/>
      </c>
    </row>
    <row r="1071" ht="22.2" customHeight="1" s="330">
      <c r="A1071" s="4" t="n"/>
      <c r="B1071" s="248" t="n"/>
      <c r="C1071" s="249" t="n"/>
      <c r="D1071" s="249" t="n"/>
      <c r="E1071" s="252" t="n"/>
      <c r="G1071" s="62">
        <f>G1025</f>
        <v/>
      </c>
      <c r="H1071" s="252" t="inlineStr">
        <is>
          <t>20101-2001</t>
        </is>
      </c>
      <c r="I1071" s="325" t="inlineStr">
        <is>
          <t>ปวช.1/9 ชย. (ทวิ)</t>
        </is>
      </c>
      <c r="J1071" s="325" t="inlineStr">
        <is>
          <t>13.10-16.10</t>
        </is>
      </c>
      <c r="K1071" s="331" t="n"/>
      <c r="L1071" s="252" t="n"/>
      <c r="M1071" s="252" t="n"/>
      <c r="N1071" s="252" t="n"/>
      <c r="O1071" s="244">
        <f>M1071*N1071</f>
        <v/>
      </c>
      <c r="P1071" s="252" t="n"/>
      <c r="Q1071" s="252" t="n"/>
      <c r="R1071" s="252" t="n"/>
      <c r="S1071" s="244">
        <f>Q1071*R1071</f>
        <v/>
      </c>
    </row>
    <row r="1072" ht="22.2" customHeight="1" s="330">
      <c r="A1072" s="4" t="n"/>
      <c r="B1072" s="5" t="n"/>
      <c r="D1072" s="3" t="n"/>
      <c r="E1072" s="3" t="n"/>
      <c r="G1072" s="252" t="n"/>
      <c r="H1072" s="325" t="n"/>
      <c r="I1072" s="286" t="n"/>
      <c r="J1072" s="325" t="n"/>
      <c r="K1072" s="331" t="n"/>
      <c r="L1072" s="252" t="n"/>
      <c r="M1072" s="252" t="n"/>
      <c r="N1072" s="252" t="n"/>
      <c r="O1072" s="244">
        <f>M1072*N1072</f>
        <v/>
      </c>
      <c r="P1072" s="252" t="n"/>
      <c r="Q1072" s="252" t="n"/>
      <c r="R1072" s="252" t="n"/>
      <c r="S1072" s="244">
        <f>Q1072*R1072</f>
        <v/>
      </c>
    </row>
    <row r="1073" ht="22.2" customHeight="1" s="330">
      <c r="A1073" s="4" t="n"/>
      <c r="E1073" s="4" t="n"/>
      <c r="G1073" s="62" t="n"/>
      <c r="H1073" s="249" t="n"/>
      <c r="I1073" s="252" t="n"/>
      <c r="J1073" s="252" t="n"/>
      <c r="K1073" s="331" t="n"/>
      <c r="L1073" s="252" t="n"/>
      <c r="M1073" s="252" t="n"/>
      <c r="N1073" s="252" t="n"/>
      <c r="O1073" s="244">
        <f>M1073*N1073</f>
        <v/>
      </c>
      <c r="P1073" s="252" t="n"/>
      <c r="Q1073" s="252" t="n"/>
      <c r="R1073" s="252" t="n"/>
      <c r="S1073" s="244">
        <f>Q1073*R1073</f>
        <v/>
      </c>
    </row>
    <row r="1074" ht="22.2" customHeight="1" s="330">
      <c r="A1074" s="4" t="n"/>
      <c r="D1074" s="8" t="inlineStr">
        <is>
          <t> </t>
        </is>
      </c>
      <c r="E1074" s="4" t="n"/>
      <c r="G1074" s="63" t="n"/>
      <c r="H1074" s="276" t="n"/>
      <c r="I1074" s="276" t="n"/>
      <c r="J1074" s="276" t="n"/>
      <c r="K1074" s="476" t="n"/>
      <c r="L1074" s="252" t="n"/>
      <c r="M1074" s="252" t="n"/>
      <c r="N1074" s="252" t="n"/>
      <c r="O1074" s="244">
        <f>M1074*N1074</f>
        <v/>
      </c>
      <c r="P1074" s="252" t="n"/>
      <c r="Q1074" s="252" t="n"/>
      <c r="R1074" s="252" t="n"/>
      <c r="S1074" s="244">
        <f>Q1074*R1074</f>
        <v/>
      </c>
    </row>
    <row r="1075" ht="22.2" customHeight="1" s="330">
      <c r="A1075" s="4" t="n"/>
      <c r="E1075" s="4" t="n"/>
      <c r="G1075" s="308" t="inlineStr">
        <is>
          <t>พุธ</t>
        </is>
      </c>
      <c r="H1075" s="252" t="inlineStr">
        <is>
          <t>20101-8501</t>
        </is>
      </c>
      <c r="I1075" s="325" t="inlineStr">
        <is>
          <t>ปวช.3/3,4 ชย. (ปกติ)</t>
        </is>
      </c>
      <c r="J1075" s="332" t="inlineStr">
        <is>
          <t>16.10-18.10</t>
        </is>
      </c>
      <c r="K1075" s="335" t="n"/>
      <c r="L1075" s="265" t="n"/>
      <c r="M1075" s="332" t="n"/>
      <c r="N1075" s="332" t="n"/>
      <c r="O1075" s="244">
        <f>M1075*N1075</f>
        <v/>
      </c>
      <c r="P1075" s="332" t="n"/>
      <c r="Q1075" s="265" t="n"/>
      <c r="R1075" s="332" t="n"/>
      <c r="S1075" s="244">
        <f>Q1075*R1075</f>
        <v/>
      </c>
    </row>
    <row r="1076" ht="22.2" customHeight="1" s="330">
      <c r="A1076" s="4" t="n"/>
      <c r="B1076" s="248" t="n"/>
      <c r="C1076" s="249" t="n"/>
      <c r="D1076" s="249" t="n"/>
      <c r="E1076" s="252" t="n"/>
      <c r="G1076" s="308">
        <f>G1030</f>
        <v/>
      </c>
      <c r="H1076" s="325" t="n"/>
      <c r="I1076" s="325" t="n"/>
      <c r="J1076" s="325" t="n"/>
      <c r="K1076" s="331" t="n"/>
      <c r="L1076" s="252" t="n"/>
      <c r="M1076" s="252" t="n"/>
      <c r="N1076" s="252" t="n"/>
      <c r="O1076" s="244">
        <f>M1076*N1076</f>
        <v/>
      </c>
      <c r="P1076" s="252" t="n"/>
      <c r="Q1076" s="252" t="n"/>
      <c r="R1076" s="252" t="n"/>
      <c r="S1076" s="244">
        <f>Q1076*R1076</f>
        <v/>
      </c>
    </row>
    <row r="1077" ht="22.2" customHeight="1" s="330">
      <c r="A1077" s="4" t="n"/>
      <c r="B1077" s="5" t="n"/>
      <c r="D1077" s="3" t="n"/>
      <c r="E1077" s="3" t="n"/>
      <c r="G1077" s="252" t="n"/>
      <c r="H1077" s="286" t="n"/>
      <c r="I1077" s="325" t="n"/>
      <c r="J1077" s="325" t="n"/>
      <c r="K1077" s="331" t="n"/>
      <c r="L1077" s="252" t="n"/>
      <c r="M1077" s="252" t="n"/>
      <c r="N1077" s="252" t="n"/>
      <c r="O1077" s="244">
        <f>M1077*N1077</f>
        <v/>
      </c>
      <c r="P1077" s="252" t="n"/>
      <c r="Q1077" s="252" t="n"/>
      <c r="R1077" s="252" t="n"/>
      <c r="S1077" s="244">
        <f>Q1077*R1077</f>
        <v/>
      </c>
    </row>
    <row r="1078" ht="22.2" customHeight="1" s="330">
      <c r="A1078" s="4" t="n"/>
      <c r="E1078" s="4" t="n"/>
      <c r="G1078" s="252" t="n"/>
      <c r="H1078" s="249" t="n"/>
      <c r="I1078" s="252" t="n"/>
      <c r="J1078" s="252" t="n"/>
      <c r="K1078" s="331" t="n"/>
      <c r="L1078" s="252" t="n"/>
      <c r="M1078" s="252" t="n"/>
      <c r="N1078" s="252" t="n"/>
      <c r="O1078" s="244">
        <f>M1078*N1078</f>
        <v/>
      </c>
      <c r="P1078" s="252" t="n"/>
      <c r="Q1078" s="252" t="n"/>
      <c r="R1078" s="252" t="n"/>
      <c r="S1078" s="244">
        <f>Q1078*R1078</f>
        <v/>
      </c>
    </row>
    <row r="1079" ht="22.2" customHeight="1" s="330">
      <c r="A1079" s="4" t="n"/>
      <c r="E1079" s="4" t="n"/>
      <c r="G1079" s="277" t="n"/>
      <c r="H1079" s="277" t="n"/>
      <c r="I1079" s="276" t="n"/>
      <c r="J1079" s="276" t="n"/>
      <c r="K1079" s="476" t="n"/>
      <c r="L1079" s="276" t="n"/>
      <c r="M1079" s="276" t="n"/>
      <c r="N1079" s="276" t="n"/>
      <c r="O1079" s="244">
        <f>M1079*N1079</f>
        <v/>
      </c>
      <c r="P1079" s="276" t="n"/>
      <c r="Q1079" s="276" t="n"/>
      <c r="R1079" s="276" t="n"/>
      <c r="S1079" s="244">
        <f>Q1079*R1079</f>
        <v/>
      </c>
    </row>
    <row r="1080" ht="22.2" customHeight="1" s="330">
      <c r="A1080" s="4" t="n"/>
      <c r="E1080" s="4" t="n"/>
      <c r="G1080" s="62" t="inlineStr">
        <is>
          <t>พฤหัส</t>
        </is>
      </c>
      <c r="H1080" s="252" t="inlineStr">
        <is>
          <t>20101-2001</t>
        </is>
      </c>
      <c r="I1080" s="325" t="inlineStr">
        <is>
          <t>ปวช.1/7 ชย. (ปกติ)</t>
        </is>
      </c>
      <c r="J1080" s="332" t="inlineStr">
        <is>
          <t>08.10-12.10</t>
        </is>
      </c>
      <c r="K1080" s="335" t="n"/>
      <c r="L1080" s="265" t="n"/>
      <c r="M1080" s="252" t="n"/>
      <c r="N1080" s="252" t="n"/>
      <c r="O1080" s="244">
        <f>M1080*N1080</f>
        <v/>
      </c>
      <c r="P1080" s="252" t="n"/>
      <c r="Q1080" s="275" t="n"/>
      <c r="R1080" s="275" t="n"/>
      <c r="S1080" s="244">
        <f>Q1080*R1080</f>
        <v/>
      </c>
    </row>
    <row r="1081" ht="22.2" customHeight="1" s="330">
      <c r="A1081" s="4" t="n"/>
      <c r="E1081" s="4" t="n"/>
      <c r="G1081" s="308">
        <f>G1035</f>
        <v/>
      </c>
      <c r="H1081" s="252" t="inlineStr">
        <is>
          <t>20101-2001</t>
        </is>
      </c>
      <c r="I1081" s="325" t="inlineStr">
        <is>
          <t>ปวช.1/7 ชย. (ปกติ)</t>
        </is>
      </c>
      <c r="J1081" s="325" t="inlineStr">
        <is>
          <t>15.10-18.10</t>
        </is>
      </c>
      <c r="K1081" s="331" t="n"/>
      <c r="L1081" s="252" t="n"/>
      <c r="M1081" s="252" t="n"/>
      <c r="N1081" s="252" t="n"/>
      <c r="O1081" s="244">
        <f>M1081*N1081</f>
        <v/>
      </c>
      <c r="P1081" s="252" t="n"/>
      <c r="Q1081" s="252" t="n"/>
      <c r="R1081" s="252" t="n"/>
      <c r="S1081" s="244">
        <f>Q1081*R1081</f>
        <v/>
      </c>
    </row>
    <row r="1082" ht="22.2" customHeight="1" s="330">
      <c r="A1082" s="4" t="n"/>
      <c r="B1082" s="5" t="n"/>
      <c r="E1082" s="4" t="n"/>
      <c r="G1082" s="252" t="n"/>
      <c r="H1082" s="325" t="n"/>
      <c r="I1082" s="325" t="n"/>
      <c r="J1082" s="325" t="n"/>
      <c r="K1082" s="331" t="n"/>
      <c r="L1082" s="252" t="n"/>
      <c r="M1082" s="325" t="n"/>
      <c r="N1082" s="325" t="n"/>
      <c r="O1082" s="244">
        <f>M1082*N1082</f>
        <v/>
      </c>
      <c r="P1082" s="325" t="n"/>
      <c r="Q1082" s="325" t="n"/>
      <c r="R1082" s="325" t="n"/>
      <c r="S1082" s="244">
        <f>Q1082*R1082</f>
        <v/>
      </c>
    </row>
    <row r="1083" ht="22.2" customHeight="1" s="330">
      <c r="A1083" s="4" t="n"/>
      <c r="E1083" s="4" t="n"/>
      <c r="G1083" s="252" t="n"/>
      <c r="H1083" s="252" t="n"/>
      <c r="I1083" s="252" t="n"/>
      <c r="J1083" s="252" t="n"/>
      <c r="K1083" s="331" t="n"/>
      <c r="L1083" s="252" t="n"/>
      <c r="M1083" s="252" t="n"/>
      <c r="N1083" s="252" t="n"/>
      <c r="O1083" s="244">
        <f>M1083*N1083</f>
        <v/>
      </c>
      <c r="P1083" s="252" t="n"/>
      <c r="Q1083" s="252" t="n"/>
      <c r="R1083" s="252" t="n"/>
      <c r="S1083" s="244">
        <f>Q1083*R1083</f>
        <v/>
      </c>
    </row>
    <row r="1084" ht="22.2" customHeight="1" s="330">
      <c r="A1084" s="4" t="n"/>
      <c r="E1084" s="4" t="n"/>
      <c r="G1084" s="276" t="n"/>
      <c r="H1084" s="301" t="n"/>
      <c r="I1084" s="276" t="n"/>
      <c r="J1084" s="276" t="n"/>
      <c r="K1084" s="476" t="n"/>
      <c r="L1084" s="276" t="n"/>
      <c r="M1084" s="276" t="n"/>
      <c r="N1084" s="276" t="n"/>
      <c r="O1084" s="244">
        <f>M1084*N1084</f>
        <v/>
      </c>
      <c r="P1084" s="276" t="n"/>
      <c r="Q1084" s="276" t="n"/>
      <c r="R1084" s="276" t="n"/>
      <c r="S1084" s="244">
        <f>Q1084*R1084</f>
        <v/>
      </c>
    </row>
    <row r="1085" ht="22.2" customHeight="1" s="330">
      <c r="A1085" s="4" t="n"/>
      <c r="E1085" s="4" t="n"/>
      <c r="G1085" s="62" t="inlineStr">
        <is>
          <t>ศุกร์</t>
        </is>
      </c>
      <c r="H1085" s="252" t="inlineStr">
        <is>
          <t>20101-2001</t>
        </is>
      </c>
      <c r="I1085" s="325" t="inlineStr">
        <is>
          <t>ปวช.1/8 ชย. (ปกติ)</t>
        </is>
      </c>
      <c r="J1085" s="332" t="inlineStr">
        <is>
          <t>08.10-12.10</t>
        </is>
      </c>
      <c r="K1085" s="335" t="n"/>
      <c r="L1085" s="265" t="n"/>
      <c r="M1085" s="252" t="n"/>
      <c r="N1085" s="252" t="n"/>
      <c r="O1085" s="244">
        <f>M1085*N1085</f>
        <v/>
      </c>
      <c r="P1085" s="332" t="n"/>
      <c r="Q1085" s="265" t="n"/>
      <c r="R1085" s="332" t="n"/>
      <c r="S1085" s="244">
        <f>Q1085*R1085</f>
        <v/>
      </c>
      <c r="T1085" s="25" t="n"/>
      <c r="U1085" s="26" t="inlineStr">
        <is>
          <t xml:space="preserve">     PLC</t>
        </is>
      </c>
      <c r="V1085" s="64" t="n"/>
      <c r="W1085" s="27" t="n"/>
      <c r="X1085" s="27" t="n"/>
    </row>
    <row r="1086" ht="22.2" customHeight="1" s="330">
      <c r="A1086" s="4" t="n"/>
      <c r="E1086" s="4" t="n"/>
      <c r="G1086" s="308">
        <f>G1040</f>
        <v/>
      </c>
      <c r="H1086" s="252" t="inlineStr">
        <is>
          <t>20101-2001</t>
        </is>
      </c>
      <c r="I1086" s="325" t="inlineStr">
        <is>
          <t>ปวช.1/8 ชย. (ปกติ)</t>
        </is>
      </c>
      <c r="J1086" s="325" t="inlineStr">
        <is>
          <t>13.10-16.10</t>
        </is>
      </c>
      <c r="K1086" s="331" t="n"/>
      <c r="L1086" s="252" t="n"/>
      <c r="M1086" s="252" t="n"/>
      <c r="N1086" s="252" t="n"/>
      <c r="O1086" s="244">
        <f>M1086*N1086</f>
        <v/>
      </c>
      <c r="P1086" s="252" t="n"/>
      <c r="Q1086" s="252" t="n"/>
      <c r="R1086" s="252" t="n"/>
      <c r="S1086" s="244">
        <f>Q1086*R1086</f>
        <v/>
      </c>
      <c r="T1086" s="27" t="inlineStr">
        <is>
          <t> </t>
        </is>
      </c>
      <c r="U1086" s="26" t="inlineStr">
        <is>
          <t>17.10-19.10</t>
        </is>
      </c>
      <c r="V1086" s="64" t="n"/>
      <c r="W1086" s="27" t="n"/>
      <c r="X1086" s="27" t="n"/>
    </row>
    <row r="1087" ht="22.2" customHeight="1" s="330">
      <c r="A1087" s="4" t="n"/>
      <c r="D1087" s="331" t="n"/>
      <c r="E1087" s="56" t="n"/>
      <c r="G1087" s="252" t="n"/>
      <c r="H1087" s="325" t="n"/>
      <c r="I1087" s="325" t="n"/>
      <c r="J1087" s="325" t="n"/>
      <c r="K1087" s="331" t="n"/>
      <c r="L1087" s="252" t="n"/>
      <c r="M1087" s="252" t="n"/>
      <c r="N1087" s="252" t="n"/>
      <c r="O1087" s="244">
        <f>M1087*N1087</f>
        <v/>
      </c>
      <c r="P1087" s="252" t="n"/>
      <c r="Q1087" s="252" t="n"/>
      <c r="R1087" s="252" t="n"/>
      <c r="S1087" s="244">
        <f>Q1087*R1087</f>
        <v/>
      </c>
    </row>
    <row r="1088" ht="22.2" customHeight="1" s="330">
      <c r="A1088" s="4" t="n"/>
      <c r="E1088" s="4" t="n"/>
      <c r="G1088" s="252" t="n"/>
      <c r="H1088" s="249" t="inlineStr">
        <is>
          <t> </t>
        </is>
      </c>
      <c r="I1088" s="252" t="n"/>
      <c r="J1088" s="252" t="n"/>
      <c r="K1088" s="331" t="n"/>
      <c r="L1088" s="252" t="n"/>
      <c r="M1088" s="252" t="n"/>
      <c r="N1088" s="252" t="n"/>
      <c r="O1088" s="244">
        <f>M1088*N1088</f>
        <v/>
      </c>
      <c r="P1088" s="252" t="n"/>
      <c r="Q1088" s="252" t="n"/>
      <c r="R1088" s="252" t="n"/>
      <c r="S1088" s="244">
        <f>Q1088*R1088</f>
        <v/>
      </c>
    </row>
    <row r="1089" ht="22.2" customHeight="1" s="330">
      <c r="A1089" s="4" t="n"/>
      <c r="E1089" s="4" t="n"/>
      <c r="F1089" s="4" t="n"/>
      <c r="G1089" s="278" t="n"/>
      <c r="H1089" s="301" t="n"/>
      <c r="I1089" s="276" t="n"/>
      <c r="J1089" s="276" t="n"/>
      <c r="K1089" s="476" t="n"/>
      <c r="L1089" s="276" t="n"/>
      <c r="M1089" s="276" t="n"/>
      <c r="N1089" s="276" t="n"/>
      <c r="O1089" s="244">
        <f>M1089*N1089</f>
        <v/>
      </c>
      <c r="P1089" s="276" t="n"/>
      <c r="Q1089" s="276" t="n"/>
      <c r="R1089" s="276" t="n"/>
      <c r="S1089" s="244">
        <f>Q1089*R1089</f>
        <v/>
      </c>
    </row>
    <row r="1090" ht="22.2" customHeight="1" s="330">
      <c r="A1090" s="4" t="n"/>
      <c r="E1090" s="4" t="n"/>
      <c r="F1090" s="4" t="n"/>
      <c r="G1090" s="17" t="inlineStr">
        <is>
          <t>รวมขั่วโมงที่สอนแยก ภาระงาน/ เกินภาระงาน</t>
        </is>
      </c>
      <c r="H1090" s="467" t="n"/>
      <c r="I1090" s="467" t="n"/>
      <c r="J1090" s="467" t="n"/>
      <c r="K1090" s="362" t="n"/>
      <c r="L1090" s="17">
        <f>SUM(L1065:L1089)</f>
        <v/>
      </c>
      <c r="M1090" s="17">
        <f>SUM(M1065:M1089)</f>
        <v/>
      </c>
      <c r="N1090" s="17" t="n"/>
      <c r="O1090" s="17" t="n"/>
      <c r="P1090" s="17">
        <f>SUM(P1065:P1089)</f>
        <v/>
      </c>
      <c r="Q1090" s="17">
        <f>SUM(Q1065:Q1089)</f>
        <v/>
      </c>
      <c r="R1090" s="279" t="n"/>
      <c r="S1090" s="17" t="n"/>
    </row>
    <row r="1091" ht="22.2" customHeight="1" s="330">
      <c r="A1091" s="4" t="n"/>
      <c r="E1091" s="4" t="n"/>
      <c r="F1091" s="4" t="n"/>
      <c r="G1091" s="17" t="inlineStr">
        <is>
          <t>รวมจำนวนชั่วโมงสอนคาบต่อสับดาห์</t>
        </is>
      </c>
      <c r="H1091" s="467" t="n"/>
      <c r="I1091" s="467" t="n"/>
      <c r="J1091" s="467" t="n"/>
      <c r="K1091" s="362" t="n"/>
      <c r="L1091" s="17">
        <f>L1090+M1090</f>
        <v/>
      </c>
      <c r="M1091" s="362" t="n"/>
      <c r="N1091" s="298" t="n"/>
      <c r="O1091" s="17" t="n"/>
      <c r="P1091" s="17">
        <f>P1090+Q1090</f>
        <v/>
      </c>
      <c r="Q1091" s="362" t="n"/>
      <c r="R1091" s="278" t="n"/>
      <c r="S1091" s="276" t="n"/>
    </row>
    <row r="1092" ht="22.2" customHeight="1" s="330">
      <c r="A1092" s="4" t="n"/>
      <c r="E1092" s="4" t="n"/>
      <c r="F1092" s="4" t="n"/>
      <c r="G1092" s="17" t="inlineStr">
        <is>
          <t>จำนวนชั่วโมงสอนตามภาระงานสอน</t>
        </is>
      </c>
      <c r="H1092" s="467" t="n"/>
      <c r="I1092" s="467" t="n"/>
      <c r="J1092" s="467" t="n"/>
      <c r="K1092" s="362" t="n"/>
      <c r="L1092" s="17" t="n">
        <v>18</v>
      </c>
      <c r="M1092" s="362" t="n"/>
      <c r="N1092" s="298" t="n"/>
      <c r="O1092" s="17" t="n"/>
      <c r="P1092" s="17" t="n">
        <v>0</v>
      </c>
      <c r="Q1092" s="362" t="n"/>
      <c r="R1092" s="249" t="n"/>
      <c r="S1092" s="252" t="n"/>
    </row>
    <row r="1093" ht="22.2" customHeight="1" s="330" thickBot="1">
      <c r="A1093" s="4" t="n"/>
      <c r="E1093" s="4" t="n"/>
      <c r="F1093" s="15" t="n"/>
      <c r="G1093" s="17" t="inlineStr">
        <is>
          <t>จำนวนชั่วโมงบิกเกินภาระงานสอน/ค่าสอน</t>
        </is>
      </c>
      <c r="H1093" s="467" t="n"/>
      <c r="I1093" s="467" t="n"/>
      <c r="J1093" s="467" t="n"/>
      <c r="K1093" s="362" t="n"/>
      <c r="L1093" s="18" t="n">
        <v>0</v>
      </c>
      <c r="M1093" s="18">
        <f>SUM(M1065:M1089)</f>
        <v/>
      </c>
      <c r="N1093" s="18" t="n"/>
      <c r="O1093" s="18">
        <f>SUM(O1065:O1089)</f>
        <v/>
      </c>
      <c r="P1093" s="18" t="n">
        <v>0</v>
      </c>
      <c r="Q1093" s="18">
        <f>SUM(Q1065:Q1089)</f>
        <v/>
      </c>
      <c r="R1093" s="19" t="n"/>
      <c r="S1093" s="18">
        <f>SUM(S1065:S1089)</f>
        <v/>
      </c>
    </row>
    <row r="1094" ht="22.2" customHeight="1" s="330" thickTop="1">
      <c r="A1094" s="299" t="inlineStr">
        <is>
          <t>รวมจำนวนหน่วยชั่วโมงที่ขอเบิกค่าสอน ….</t>
        </is>
      </c>
      <c r="B1094" s="467" t="n"/>
      <c r="C1094" s="467" t="n"/>
      <c r="D1094" s="467" t="n"/>
      <c r="E1094" s="467" t="n"/>
      <c r="F1094" s="467" t="n"/>
      <c r="G1094" s="467" t="n"/>
      <c r="H1094" s="298">
        <f>M1093+Q1093</f>
        <v/>
      </c>
      <c r="I1094" s="298" t="inlineStr">
        <is>
          <t>….ชั่วโมง</t>
        </is>
      </c>
      <c r="J1094" s="298" t="n"/>
      <c r="K1094" s="301" t="inlineStr">
        <is>
          <t>ยอดเงินรวม</t>
        </is>
      </c>
      <c r="L1094" s="471" t="n"/>
      <c r="M1094" s="471" t="n"/>
      <c r="N1094" s="301" t="n"/>
      <c r="O1094" s="301" t="n"/>
      <c r="P1094" s="302">
        <f>S1093+O1093</f>
        <v/>
      </c>
      <c r="Q1094" s="482" t="n"/>
      <c r="R1094" s="21" t="n"/>
      <c r="S1094" s="20" t="inlineStr">
        <is>
          <t>..บาท</t>
        </is>
      </c>
    </row>
    <row r="1095" ht="22.2" customHeight="1" s="330">
      <c r="A1095" s="207" t="inlineStr">
        <is>
          <t>ผู้ขอเบิก</t>
        </is>
      </c>
      <c r="B1095" s="334" t="n"/>
      <c r="C1095" s="334" t="n"/>
      <c r="D1095" s="334" t="n"/>
      <c r="E1095" s="334" t="n"/>
      <c r="F1095" s="334" t="n"/>
      <c r="G1095" s="335" t="n"/>
      <c r="H1095" s="207" t="inlineStr">
        <is>
          <t>ผู้รับรอง</t>
        </is>
      </c>
      <c r="I1095" s="334" t="n"/>
      <c r="J1095" s="334" t="n"/>
      <c r="K1095" s="334" t="n"/>
      <c r="L1095" s="335" t="n"/>
      <c r="M1095" s="207" t="inlineStr">
        <is>
          <t>ผู้ตรวจ</t>
        </is>
      </c>
      <c r="N1095" s="334" t="n"/>
      <c r="O1095" s="334" t="n"/>
      <c r="P1095" s="334" t="n"/>
      <c r="Q1095" s="334" t="n"/>
      <c r="R1095" s="334" t="n"/>
      <c r="S1095" s="335" t="n"/>
    </row>
    <row r="1096" ht="22.2" customHeight="1" s="330">
      <c r="A1096" s="252" t="inlineStr">
        <is>
          <t>ลงชื่อ……………………………………………</t>
        </is>
      </c>
      <c r="G1096" s="331" t="n"/>
      <c r="H1096" s="252" t="inlineStr">
        <is>
          <t>ลงชื่อ……………………………………………</t>
        </is>
      </c>
      <c r="L1096" s="331" t="n"/>
      <c r="M1096" s="252" t="inlineStr">
        <is>
          <t>ลงชื่อ……………………………………………</t>
        </is>
      </c>
      <c r="S1096" s="331" t="n"/>
    </row>
    <row r="1097" ht="22.2" customHeight="1" s="330">
      <c r="A1097" s="12" t="inlineStr">
        <is>
          <t>(</t>
        </is>
      </c>
      <c r="B1097" s="309">
        <f>B1065</f>
        <v/>
      </c>
      <c r="G1097" s="310" t="inlineStr">
        <is>
          <t>)</t>
        </is>
      </c>
      <c r="H1097" s="309" t="inlineStr">
        <is>
          <t>(</t>
        </is>
      </c>
      <c r="I1097" s="314">
        <f>I1051</f>
        <v/>
      </c>
      <c r="L1097" s="13" t="inlineStr">
        <is>
          <t>)</t>
        </is>
      </c>
      <c r="M1097" s="61" t="inlineStr">
        <is>
          <t>(</t>
        </is>
      </c>
      <c r="N1097" s="61" t="n"/>
      <c r="O1097" s="309" t="inlineStr">
        <is>
          <t>นายพิสุทธิศักดิ์  กล่อมนาค</t>
        </is>
      </c>
      <c r="R1097" s="29" t="n"/>
      <c r="S1097" s="310" t="inlineStr">
        <is>
          <t>)</t>
        </is>
      </c>
    </row>
    <row r="1098" ht="22.2" customHeight="1" s="330">
      <c r="A1098" s="483" t="inlineStr">
        <is>
          <t xml:space="preserve">                 ตำแหน่ง  ครูพิเศษ</t>
        </is>
      </c>
      <c r="G1098" s="331" t="n"/>
      <c r="H1098" s="62" t="inlineStr">
        <is>
          <t>ตำแหน่ง หัวหน้าแผนก</t>
        </is>
      </c>
      <c r="L1098" s="331" t="n"/>
      <c r="M1098" s="62" t="inlineStr">
        <is>
          <t>ตำแหน่ง   ผู้ตรวจสอบ</t>
        </is>
      </c>
      <c r="S1098" s="331" t="n"/>
    </row>
    <row r="1099" ht="22.2" customHeight="1" s="330">
      <c r="A1099" s="63">
        <f>A41</f>
        <v/>
      </c>
      <c r="B1099" s="471" t="n"/>
      <c r="C1099" s="471" t="n"/>
      <c r="D1099" s="471" t="n"/>
      <c r="E1099" s="471" t="n"/>
      <c r="F1099" s="471" t="n"/>
      <c r="G1099" s="476" t="n"/>
      <c r="H1099" s="62">
        <f>A41</f>
        <v/>
      </c>
      <c r="L1099" s="331" t="n"/>
      <c r="M1099" s="63">
        <f>A41</f>
        <v/>
      </c>
      <c r="N1099" s="471" t="n"/>
      <c r="O1099" s="471" t="n"/>
      <c r="P1099" s="471" t="n"/>
      <c r="Q1099" s="471" t="n"/>
      <c r="R1099" s="471" t="n"/>
      <c r="S1099" s="476" t="n"/>
    </row>
    <row r="1100" ht="22.2" customHeight="1" s="330">
      <c r="A1100" s="207" t="inlineStr">
        <is>
          <t>ผู้ตรวจ</t>
        </is>
      </c>
      <c r="B1100" s="334" t="n"/>
      <c r="C1100" s="334" t="n"/>
      <c r="D1100" s="334" t="n"/>
      <c r="E1100" s="334" t="n"/>
      <c r="F1100" s="334" t="n"/>
      <c r="G1100" s="334" t="n"/>
      <c r="H1100" s="334" t="n"/>
      <c r="I1100" s="335" t="n"/>
      <c r="J1100" s="207" t="inlineStr">
        <is>
          <t>ผู้เห็นชอบ</t>
        </is>
      </c>
      <c r="K1100" s="334" t="n"/>
      <c r="L1100" s="334" t="n"/>
      <c r="M1100" s="334" t="n"/>
      <c r="N1100" s="334" t="n"/>
      <c r="O1100" s="334" t="n"/>
      <c r="P1100" s="334" t="n"/>
      <c r="Q1100" s="334" t="n"/>
      <c r="R1100" s="334" t="n"/>
      <c r="S1100" s="335" t="n"/>
    </row>
    <row r="1101" ht="22.2" customHeight="1" s="330">
      <c r="A1101" s="252" t="inlineStr">
        <is>
          <t>ลงชื่อ……………………………………………</t>
        </is>
      </c>
      <c r="I1101" s="331" t="n"/>
      <c r="J1101" s="252" t="inlineStr">
        <is>
          <t>ลงชื่อ……………………………………………</t>
        </is>
      </c>
      <c r="S1101" s="331" t="n"/>
    </row>
    <row r="1102" ht="22.2" customHeight="1" s="330">
      <c r="A1102" s="12" t="n"/>
      <c r="B1102" s="309" t="inlineStr">
        <is>
          <t xml:space="preserve">          (นางศิวรักษ์   บุญประเสริฐ)</t>
        </is>
      </c>
      <c r="I1102" s="310" t="n"/>
      <c r="J1102" s="29" t="n"/>
      <c r="K1102" s="29" t="n"/>
      <c r="L1102" s="309" t="inlineStr">
        <is>
          <t>(นายปรีชา  โพธิ์เกิด)</t>
        </is>
      </c>
      <c r="R1102" s="29" t="n"/>
      <c r="S1102" s="13" t="n"/>
    </row>
    <row r="1103" ht="22.2" customHeight="1" s="330">
      <c r="A1103" s="62" t="inlineStr">
        <is>
          <t>ตำแหน่งครู  หัวหน้างานพัฒนาหลักสูตร ฯ</t>
        </is>
      </c>
      <c r="I1103" s="331" t="n"/>
      <c r="J1103" s="62" t="inlineStr">
        <is>
          <t>ตำแหน่ง  รองผู้อำนวยการฝ่ายวิชาการ</t>
        </is>
      </c>
      <c r="S1103" s="331" t="n"/>
    </row>
    <row r="1104" ht="22.2" customHeight="1" s="330">
      <c r="A1104" s="63">
        <f>A41</f>
        <v/>
      </c>
      <c r="B1104" s="471" t="n"/>
      <c r="C1104" s="471" t="n"/>
      <c r="D1104" s="471" t="n"/>
      <c r="E1104" s="471" t="n"/>
      <c r="F1104" s="471" t="n"/>
      <c r="G1104" s="471" t="n"/>
      <c r="H1104" s="471" t="n"/>
      <c r="I1104" s="476" t="n"/>
      <c r="J1104" s="63">
        <f>A41</f>
        <v/>
      </c>
      <c r="K1104" s="471" t="n"/>
      <c r="L1104" s="471" t="n"/>
      <c r="M1104" s="471" t="n"/>
      <c r="N1104" s="471" t="n"/>
      <c r="O1104" s="471" t="n"/>
      <c r="P1104" s="471" t="n"/>
      <c r="Q1104" s="471" t="n"/>
      <c r="R1104" s="471" t="n"/>
      <c r="S1104" s="476" t="n"/>
    </row>
    <row r="1105" ht="22.2" customHeight="1" s="330">
      <c r="A110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06" ht="22.2" customHeight="1" s="330">
      <c r="A1106" s="254">
        <f>A2</f>
        <v/>
      </c>
    </row>
    <row r="1107" ht="22.2" customHeight="1" s="330">
      <c r="A1107" s="253" t="inlineStr">
        <is>
          <t xml:space="preserve">    ระหว่างวันที่</t>
        </is>
      </c>
      <c r="D1107" s="254">
        <f>D3</f>
        <v/>
      </c>
      <c r="E1107" s="254" t="inlineStr">
        <is>
          <t xml:space="preserve">   เดือน  </t>
        </is>
      </c>
      <c r="F1107" s="254">
        <f>F3</f>
        <v/>
      </c>
      <c r="H1107" s="254">
        <f>H3</f>
        <v/>
      </c>
      <c r="I1107" s="254" t="inlineStr">
        <is>
          <t xml:space="preserve">     ถึง วันที่</t>
        </is>
      </c>
      <c r="J1107" s="254">
        <f>J3</f>
        <v/>
      </c>
      <c r="K1107" s="254" t="inlineStr">
        <is>
          <t xml:space="preserve">   เดือน </t>
        </is>
      </c>
      <c r="L1107" s="254">
        <f>L3</f>
        <v/>
      </c>
      <c r="N1107" s="254">
        <f>N3</f>
        <v/>
      </c>
      <c r="P1107" s="254" t="n"/>
      <c r="R1107" s="254" t="n"/>
    </row>
    <row r="1108" ht="22.2" customHeight="1" s="330">
      <c r="G1108" s="58" t="inlineStr">
        <is>
          <t>ü</t>
        </is>
      </c>
      <c r="H1108" s="8" t="inlineStr">
        <is>
          <t>ครูพิเศษ</t>
        </is>
      </c>
      <c r="I1108" s="249" t="inlineStr">
        <is>
          <t>หน้าที่พิเศษ</t>
        </is>
      </c>
      <c r="K1108" s="290" t="n"/>
    </row>
    <row r="1109" ht="22.2" customHeight="1" s="330">
      <c r="A1109" s="28" t="inlineStr">
        <is>
          <t>ที่</t>
        </is>
      </c>
      <c r="B1109" s="28" t="inlineStr">
        <is>
          <t>ชื่อ-สกุล</t>
        </is>
      </c>
      <c r="C1109" s="334" t="n"/>
      <c r="D1109" s="335" t="n"/>
      <c r="E1109" s="16" t="inlineStr">
        <is>
          <t>ตำแหน่ง</t>
        </is>
      </c>
      <c r="F1109" s="17" t="inlineStr">
        <is>
          <t>ระยะเวลาที่สอน</t>
        </is>
      </c>
      <c r="G1109" s="362" t="n"/>
      <c r="H1109" s="17" t="inlineStr">
        <is>
          <t>รหัสวิชา</t>
        </is>
      </c>
      <c r="I1109" s="275" t="inlineStr">
        <is>
          <t>ชั้น,แผนก,ห้อง</t>
        </is>
      </c>
      <c r="J1109" s="17" t="inlineStr">
        <is>
          <t>เวลาสอน</t>
        </is>
      </c>
      <c r="K1109" s="335" t="n"/>
      <c r="L1109" s="17" t="inlineStr">
        <is>
          <t>ปวช.(คาบ)</t>
        </is>
      </c>
      <c r="M1109" s="362" t="n"/>
      <c r="N1109" s="244" t="inlineStr">
        <is>
          <t>เงิน</t>
        </is>
      </c>
      <c r="O1109" s="275" t="inlineStr">
        <is>
          <t>ยอดเงิน</t>
        </is>
      </c>
      <c r="P1109" s="473" t="inlineStr">
        <is>
          <t>ปวส.(คาบ)</t>
        </is>
      </c>
      <c r="Q1109" s="362" t="n"/>
      <c r="R1109" s="244" t="inlineStr">
        <is>
          <t>เงิน</t>
        </is>
      </c>
      <c r="S1109" s="275" t="inlineStr">
        <is>
          <t>ยอดเงิน</t>
        </is>
      </c>
    </row>
    <row r="1110" ht="22.2" customHeight="1" s="330">
      <c r="A1110" s="60" t="n"/>
      <c r="B1110" s="9" t="n"/>
      <c r="C1110" s="10" t="n"/>
      <c r="D1110" s="14" t="n"/>
      <c r="E1110" s="11" t="n"/>
      <c r="F1110" s="276" t="inlineStr">
        <is>
          <t>ส.</t>
        </is>
      </c>
      <c r="G1110" s="276" t="inlineStr">
        <is>
          <t>วดป.</t>
        </is>
      </c>
      <c r="H1110" s="474" t="n"/>
      <c r="I1110" s="276" t="n"/>
      <c r="J1110" s="475" t="n"/>
      <c r="K1110" s="476" t="n"/>
      <c r="L1110" s="276" t="inlineStr">
        <is>
          <t>ใน</t>
        </is>
      </c>
      <c r="M1110" s="276" t="inlineStr">
        <is>
          <t>นอก</t>
        </is>
      </c>
      <c r="N1110" s="276" t="inlineStr">
        <is>
          <t>ต่อ ชม.</t>
        </is>
      </c>
      <c r="O1110" s="276" t="inlineStr">
        <is>
          <t>(บาท)</t>
        </is>
      </c>
      <c r="P1110" s="60" t="inlineStr">
        <is>
          <t>ใน</t>
        </is>
      </c>
      <c r="Q1110" s="60" t="inlineStr">
        <is>
          <t>นอก</t>
        </is>
      </c>
      <c r="R1110" s="276" t="inlineStr">
        <is>
          <t>ต่อ ชม.</t>
        </is>
      </c>
      <c r="S1110" s="276" t="inlineStr">
        <is>
          <t>(บาท)</t>
        </is>
      </c>
    </row>
    <row r="1111" ht="22.2" customHeight="1" s="330">
      <c r="A1111" s="275" t="n">
        <v>25</v>
      </c>
      <c r="B1111" s="477">
        <f>AB27</f>
        <v/>
      </c>
      <c r="C1111" s="334" t="n"/>
      <c r="D1111" s="335" t="n"/>
      <c r="E1111" s="275" t="inlineStr">
        <is>
          <t>ครู</t>
        </is>
      </c>
      <c r="F1111" s="6">
        <f>F7</f>
        <v/>
      </c>
      <c r="G1111" s="303" t="inlineStr">
        <is>
          <t>จันทร์</t>
        </is>
      </c>
      <c r="H1111" s="332" t="n"/>
      <c r="I1111" s="325" t="n"/>
      <c r="J1111" s="275" t="n"/>
      <c r="K1111" s="335" t="n"/>
      <c r="L1111" s="332" t="n"/>
      <c r="M1111" s="156" t="n"/>
      <c r="N1111" s="156" t="n"/>
      <c r="O1111" s="244">
        <f>M1111*N1111</f>
        <v/>
      </c>
      <c r="P1111" s="332" t="n"/>
      <c r="Q1111" s="265" t="n"/>
      <c r="R1111" s="332" t="n"/>
      <c r="S1111" s="244">
        <f>Q1111*R1111</f>
        <v/>
      </c>
    </row>
    <row r="1112" ht="22.2" customHeight="1" s="330">
      <c r="A1112" s="4" t="n"/>
      <c r="B1112" s="478" t="n"/>
      <c r="D1112" s="331" t="n"/>
      <c r="E1112" s="252" t="inlineStr">
        <is>
          <t>พิเศษ</t>
        </is>
      </c>
      <c r="F1112" s="249" t="n"/>
      <c r="G1112" s="308">
        <f>G1066</f>
        <v/>
      </c>
      <c r="H1112" s="325" t="n"/>
      <c r="I1112" s="325" t="n"/>
      <c r="J1112" s="252" t="n"/>
      <c r="K1112" s="331" t="n"/>
      <c r="L1112" s="252" t="n"/>
      <c r="M1112" s="56" t="n"/>
      <c r="N1112" s="56" t="n"/>
      <c r="O1112" s="244">
        <f>M1112*N1112</f>
        <v/>
      </c>
      <c r="P1112" s="252" t="n"/>
      <c r="Q1112" s="252" t="n"/>
      <c r="R1112" s="252" t="n"/>
      <c r="S1112" s="244">
        <f>Q1112*R1112</f>
        <v/>
      </c>
    </row>
    <row r="1113" ht="22.2" customHeight="1" s="330">
      <c r="A1113" s="4" t="n"/>
      <c r="B1113" s="5" t="n"/>
      <c r="D1113" s="3" t="n"/>
      <c r="E1113" s="3" t="n"/>
      <c r="F1113" s="249" t="n"/>
      <c r="G1113" s="248" t="n"/>
      <c r="H1113" s="325" t="n"/>
      <c r="I1113" s="325" t="n"/>
      <c r="J1113" s="252" t="n"/>
      <c r="K1113" s="331" t="n"/>
      <c r="L1113" s="252" t="n"/>
      <c r="M1113" s="252" t="n"/>
      <c r="N1113" s="252" t="n"/>
      <c r="O1113" s="244">
        <f>M1113*N1113</f>
        <v/>
      </c>
      <c r="P1113" s="252" t="n"/>
      <c r="Q1113" s="252" t="n"/>
      <c r="R1113" s="252" t="n"/>
      <c r="S1113" s="244">
        <f>Q1113*R1113</f>
        <v/>
      </c>
    </row>
    <row r="1114" ht="22.2" customHeight="1" s="330">
      <c r="A1114" s="4" t="n"/>
      <c r="B1114" s="5" t="n"/>
      <c r="E1114" s="4" t="n"/>
      <c r="F1114" s="249" t="n"/>
      <c r="G1114" s="248" t="n"/>
      <c r="H1114" s="252" t="n"/>
      <c r="I1114" s="252" t="n"/>
      <c r="J1114" s="252" t="n"/>
      <c r="K1114" s="331" t="n"/>
      <c r="L1114" s="252" t="n"/>
      <c r="M1114" s="252" t="n"/>
      <c r="N1114" s="252" t="n"/>
      <c r="O1114" s="244">
        <f>M1114*N1114</f>
        <v/>
      </c>
      <c r="P1114" s="252" t="n"/>
      <c r="Q1114" s="252" t="n"/>
      <c r="R1114" s="252" t="n"/>
      <c r="S1114" s="244">
        <f>Q1114*R1114</f>
        <v/>
      </c>
    </row>
    <row r="1115" ht="22.2" customHeight="1" s="330">
      <c r="A1115" s="4" t="n"/>
      <c r="E1115" s="4" t="n"/>
      <c r="G1115" s="311" t="n"/>
      <c r="H1115" s="276" t="n"/>
      <c r="I1115" s="276" t="n"/>
      <c r="J1115" s="276" t="n"/>
      <c r="K1115" s="476" t="n"/>
      <c r="L1115" s="252" t="n"/>
      <c r="M1115" s="276" t="n"/>
      <c r="N1115" s="276" t="n"/>
      <c r="O1115" s="244">
        <f>M1115*N1115</f>
        <v/>
      </c>
      <c r="P1115" s="252" t="n"/>
      <c r="Q1115" s="252" t="n"/>
      <c r="R1115" s="252" t="n"/>
      <c r="S1115" s="244">
        <f>Q1115*R1115</f>
        <v/>
      </c>
    </row>
    <row r="1116" ht="22.2" customHeight="1" s="330">
      <c r="A1116" s="4" t="n"/>
      <c r="E1116" s="4" t="n"/>
      <c r="G1116" s="62" t="inlineStr">
        <is>
          <t>อังคาร</t>
        </is>
      </c>
      <c r="H1116" s="332" t="inlineStr">
        <is>
          <t>30101-2605</t>
        </is>
      </c>
      <c r="I1116" s="325" t="inlineStr">
        <is>
          <t>ปวส.1/6 สย. (ม.6)</t>
        </is>
      </c>
      <c r="J1116" s="275" t="inlineStr">
        <is>
          <t>08.10-12.10</t>
        </is>
      </c>
      <c r="K1116" s="335" t="n"/>
      <c r="L1116" s="332" t="n"/>
      <c r="M1116" s="182" t="n"/>
      <c r="N1116" s="179" t="n"/>
      <c r="O1116" s="244">
        <f>M1116*N1116</f>
        <v/>
      </c>
      <c r="P1116" s="332" t="n"/>
      <c r="Q1116" s="265" t="n"/>
      <c r="R1116" s="332" t="n"/>
      <c r="S1116" s="244">
        <f>Q1116*R1116</f>
        <v/>
      </c>
    </row>
    <row r="1117" ht="22.2" customHeight="1" s="330">
      <c r="A1117" s="4" t="n"/>
      <c r="E1117" s="4" t="n"/>
      <c r="G1117" s="308">
        <f>G1071</f>
        <v/>
      </c>
      <c r="H1117" s="325" t="inlineStr">
        <is>
          <t>30101-2605</t>
        </is>
      </c>
      <c r="I1117" s="325" t="inlineStr">
        <is>
          <t>ปวส.1/6 สย. (ม.6)</t>
        </is>
      </c>
      <c r="J1117" s="252" t="inlineStr">
        <is>
          <t>13.10-14.10</t>
        </is>
      </c>
      <c r="K1117" s="331" t="n"/>
      <c r="L1117" s="252" t="n"/>
      <c r="M1117" s="250" t="n"/>
      <c r="N1117" s="252" t="n"/>
      <c r="O1117" s="244">
        <f>M1117*N1117</f>
        <v/>
      </c>
      <c r="P1117" s="252" t="n"/>
      <c r="Q1117" s="252" t="n"/>
      <c r="R1117" s="252" t="n"/>
      <c r="S1117" s="244">
        <f>Q1117*R1117</f>
        <v/>
      </c>
    </row>
    <row r="1118" ht="22.2" customHeight="1" s="330">
      <c r="A1118" s="4" t="n"/>
      <c r="B1118" s="5" t="n"/>
      <c r="D1118" s="3" t="n"/>
      <c r="E1118" s="3" t="n"/>
      <c r="G1118" s="252" t="n"/>
      <c r="H1118" s="325" t="inlineStr">
        <is>
          <t>30101-2605</t>
        </is>
      </c>
      <c r="I1118" s="325" t="inlineStr">
        <is>
          <t>ปวส.1/5 สย. (ม.6)</t>
        </is>
      </c>
      <c r="J1118" s="252" t="inlineStr">
        <is>
          <t>14.10-19.10</t>
        </is>
      </c>
      <c r="K1118" s="331" t="n"/>
      <c r="L1118" s="252" t="n"/>
      <c r="M1118" s="252" t="n"/>
      <c r="N1118" s="252" t="n"/>
      <c r="O1118" s="244">
        <f>M1118*N1118</f>
        <v/>
      </c>
      <c r="P1118" s="252" t="n"/>
      <c r="Q1118" s="252" t="n"/>
      <c r="R1118" s="252" t="n"/>
      <c r="S1118" s="244">
        <f>Q1118*R1118</f>
        <v/>
      </c>
    </row>
    <row r="1119" ht="22.2" customHeight="1" s="330">
      <c r="A1119" s="4" t="n"/>
      <c r="E1119" s="4" t="n"/>
      <c r="G1119" s="62" t="n"/>
      <c r="H1119" s="249" t="n"/>
      <c r="I1119" s="252" t="n"/>
      <c r="J1119" s="252" t="n"/>
      <c r="K1119" s="331" t="n"/>
      <c r="L1119" s="252" t="n"/>
      <c r="M1119" s="252" t="n"/>
      <c r="N1119" s="252" t="n"/>
      <c r="O1119" s="244">
        <f>M1119*N1119</f>
        <v/>
      </c>
      <c r="P1119" s="252" t="n"/>
      <c r="Q1119" s="252" t="n"/>
      <c r="R1119" s="252" t="n"/>
      <c r="S1119" s="244">
        <f>Q1119*R1119</f>
        <v/>
      </c>
    </row>
    <row r="1120" ht="22.2" customHeight="1" s="330">
      <c r="A1120" s="4" t="n"/>
      <c r="D1120" s="8" t="inlineStr">
        <is>
          <t> </t>
        </is>
      </c>
      <c r="E1120" s="4" t="n"/>
      <c r="G1120" s="63" t="n"/>
      <c r="H1120" s="276" t="n"/>
      <c r="I1120" s="276" t="n"/>
      <c r="J1120" s="276" t="n"/>
      <c r="K1120" s="476" t="n"/>
      <c r="L1120" s="252" t="n"/>
      <c r="M1120" s="276" t="n"/>
      <c r="N1120" s="276" t="n"/>
      <c r="O1120" s="244">
        <f>M1120*N1120</f>
        <v/>
      </c>
      <c r="P1120" s="252" t="n"/>
      <c r="Q1120" s="252" t="n"/>
      <c r="R1120" s="252" t="n"/>
      <c r="S1120" s="244">
        <f>Q1120*R1120</f>
        <v/>
      </c>
    </row>
    <row r="1121" ht="22.2" customHeight="1" s="330">
      <c r="A1121" s="4" t="n"/>
      <c r="E1121" s="4" t="n"/>
      <c r="G1121" s="308" t="inlineStr">
        <is>
          <t>พุธ</t>
        </is>
      </c>
      <c r="H1121" s="325" t="inlineStr">
        <is>
          <t>30101-2105</t>
        </is>
      </c>
      <c r="I1121" s="325" t="inlineStr">
        <is>
          <t>ปวส.1/2 สย. (ปกติ)</t>
        </is>
      </c>
      <c r="J1121" s="275" t="inlineStr">
        <is>
          <t>08.10-12.10</t>
        </is>
      </c>
      <c r="K1121" s="335" t="n"/>
      <c r="L1121" s="332" t="n"/>
      <c r="M1121" s="179" t="n"/>
      <c r="N1121" s="179" t="n"/>
      <c r="O1121" s="244">
        <f>M1121*N1121</f>
        <v/>
      </c>
      <c r="P1121" s="332" t="n"/>
      <c r="Q1121" s="265" t="n"/>
      <c r="R1121" s="332" t="n"/>
      <c r="S1121" s="244">
        <f>Q1121*R1121</f>
        <v/>
      </c>
    </row>
    <row r="1122" ht="22.2" customHeight="1" s="330">
      <c r="A1122" s="4" t="n"/>
      <c r="B1122" s="248" t="n"/>
      <c r="C1122" s="249" t="n"/>
      <c r="D1122" s="249" t="n"/>
      <c r="E1122" s="252" t="n"/>
      <c r="G1122" s="308">
        <f>G1076</f>
        <v/>
      </c>
      <c r="H1122" s="325" t="inlineStr">
        <is>
          <t>30101-2105</t>
        </is>
      </c>
      <c r="I1122" s="325" t="inlineStr">
        <is>
          <t>ปวส.1/2 สย. (ปกติ)</t>
        </is>
      </c>
      <c r="J1122" s="252" t="inlineStr">
        <is>
          <t>13.10-14.10</t>
        </is>
      </c>
      <c r="K1122" s="331" t="n"/>
      <c r="L1122" s="252" t="n"/>
      <c r="M1122" s="180" t="n"/>
      <c r="N1122" s="180" t="n"/>
      <c r="O1122" s="244">
        <f>M1122*N1122</f>
        <v/>
      </c>
      <c r="P1122" s="252" t="n"/>
      <c r="Q1122" s="252" t="n"/>
      <c r="R1122" s="252" t="n"/>
      <c r="S1122" s="244">
        <f>Q1122*R1122</f>
        <v/>
      </c>
    </row>
    <row r="1123" ht="22.2" customHeight="1" s="330">
      <c r="A1123" s="4" t="n"/>
      <c r="B1123" s="5" t="n"/>
      <c r="D1123" s="3" t="n"/>
      <c r="E1123" s="3" t="n"/>
      <c r="G1123" s="252" t="n"/>
      <c r="H1123" s="325" t="inlineStr">
        <is>
          <t>30101-2105</t>
        </is>
      </c>
      <c r="I1123" s="325" t="inlineStr">
        <is>
          <t>ปวส.1/1 สย. (ปกติ)</t>
        </is>
      </c>
      <c r="J1123" s="252" t="inlineStr">
        <is>
          <t>14.10-19.10</t>
        </is>
      </c>
      <c r="K1123" s="331" t="n"/>
      <c r="L1123" s="252" t="n"/>
      <c r="M1123" s="180" t="n"/>
      <c r="N1123" s="180" t="n"/>
      <c r="O1123" s="244">
        <f>M1123*N1123</f>
        <v/>
      </c>
      <c r="P1123" s="252" t="n"/>
      <c r="Q1123" s="252" t="n"/>
      <c r="R1123" s="252" t="n"/>
      <c r="S1123" s="244">
        <f>Q1123*R1123</f>
        <v/>
      </c>
    </row>
    <row r="1124" ht="22.2" customHeight="1" s="330">
      <c r="A1124" s="4" t="n"/>
      <c r="E1124" s="4" t="n"/>
      <c r="G1124" s="252" t="n"/>
      <c r="H1124" s="248" t="n"/>
      <c r="I1124" s="252" t="n"/>
      <c r="J1124" s="252" t="n"/>
      <c r="K1124" s="331" t="n"/>
      <c r="L1124" s="252" t="n"/>
      <c r="M1124" s="252" t="n"/>
      <c r="N1124" s="252" t="n"/>
      <c r="O1124" s="244">
        <f>M1124*N1124</f>
        <v/>
      </c>
      <c r="P1124" s="252" t="n"/>
      <c r="Q1124" s="252" t="n"/>
      <c r="R1124" s="252" t="n"/>
      <c r="S1124" s="244">
        <f>Q1124*R1124</f>
        <v/>
      </c>
    </row>
    <row r="1125" ht="22.2" customHeight="1" s="330">
      <c r="A1125" s="4" t="n"/>
      <c r="E1125" s="4" t="n"/>
      <c r="G1125" s="277" t="n"/>
      <c r="H1125" s="277" t="n"/>
      <c r="I1125" s="276" t="n"/>
      <c r="J1125" s="276" t="n"/>
      <c r="K1125" s="476" t="n"/>
      <c r="L1125" s="276" t="n"/>
      <c r="M1125" s="276" t="n"/>
      <c r="N1125" s="276" t="n"/>
      <c r="O1125" s="244">
        <f>M1125*N1125</f>
        <v/>
      </c>
      <c r="P1125" s="276" t="n"/>
      <c r="Q1125" s="276" t="n"/>
      <c r="R1125" s="276" t="n"/>
      <c r="S1125" s="244">
        <f>Q1125*R1125</f>
        <v/>
      </c>
    </row>
    <row r="1126" ht="22.2" customHeight="1" s="330">
      <c r="A1126" s="4" t="n"/>
      <c r="E1126" s="4" t="n"/>
      <c r="G1126" s="62" t="inlineStr">
        <is>
          <t>พฤหัส</t>
        </is>
      </c>
      <c r="H1126" s="325" t="inlineStr">
        <is>
          <t>30101-0001</t>
        </is>
      </c>
      <c r="I1126" s="325" t="inlineStr">
        <is>
          <t>ปวส.2/6 สย. (ม.6)</t>
        </is>
      </c>
      <c r="J1126" s="275" t="inlineStr">
        <is>
          <t>08.10-11.10</t>
        </is>
      </c>
      <c r="K1126" s="335" t="n"/>
      <c r="L1126" s="252" t="n"/>
      <c r="M1126" s="252" t="n"/>
      <c r="N1126" s="252" t="n"/>
      <c r="O1126" s="244">
        <f>M1126*N1126</f>
        <v/>
      </c>
      <c r="P1126" s="252" t="n"/>
      <c r="Q1126" s="275" t="n"/>
      <c r="R1126" s="275" t="n"/>
      <c r="S1126" s="244">
        <f>Q1126*R1126</f>
        <v/>
      </c>
      <c r="T1126" s="25" t="n"/>
      <c r="U1126" s="26" t="inlineStr">
        <is>
          <t xml:space="preserve">     PLC</t>
        </is>
      </c>
      <c r="V1126" s="64" t="n"/>
      <c r="W1126" s="27" t="n"/>
      <c r="X1126" s="27" t="n"/>
    </row>
    <row r="1127" ht="22.2" customHeight="1" s="330">
      <c r="A1127" s="4" t="n"/>
      <c r="E1127" s="4" t="n"/>
      <c r="G1127" s="308">
        <f>G1081</f>
        <v/>
      </c>
      <c r="H1127" s="325" t="inlineStr">
        <is>
          <t>30000-2002</t>
        </is>
      </c>
      <c r="I1127" s="325" t="inlineStr">
        <is>
          <t xml:space="preserve">ปวส.2/7 1/7 สย. </t>
        </is>
      </c>
      <c r="J1127" s="252" t="inlineStr">
        <is>
          <t>13.10-15.10</t>
        </is>
      </c>
      <c r="K1127" s="331" t="n"/>
      <c r="L1127" s="252" t="n"/>
      <c r="M1127" s="252" t="n"/>
      <c r="N1127" s="252" t="n"/>
      <c r="O1127" s="244">
        <f>M1127*N1127</f>
        <v/>
      </c>
      <c r="P1127" s="252" t="n"/>
      <c r="Q1127" s="252" t="n"/>
      <c r="R1127" s="252" t="n"/>
      <c r="S1127" s="244">
        <f>Q1127*R1127</f>
        <v/>
      </c>
      <c r="T1127" s="27" t="inlineStr">
        <is>
          <t> </t>
        </is>
      </c>
      <c r="U1127" s="26" t="inlineStr">
        <is>
          <t>17.10-19.10</t>
        </is>
      </c>
      <c r="V1127" s="64" t="n"/>
      <c r="W1127" s="27" t="n"/>
      <c r="X1127" s="27" t="n"/>
    </row>
    <row r="1128" ht="22.2" customHeight="1" s="330">
      <c r="A1128" s="4" t="n"/>
      <c r="B1128" s="5" t="n"/>
      <c r="E1128" s="4" t="n"/>
      <c r="G1128" s="252" t="n"/>
      <c r="H1128" s="325" t="n"/>
      <c r="I1128" s="325" t="n"/>
      <c r="J1128" s="252" t="n"/>
      <c r="K1128" s="331" t="n"/>
      <c r="L1128" s="325" t="n"/>
      <c r="M1128" s="325" t="n"/>
      <c r="N1128" s="325" t="n"/>
      <c r="O1128" s="244">
        <f>M1128*N1128</f>
        <v/>
      </c>
      <c r="P1128" s="325" t="n"/>
      <c r="Q1128" s="325" t="n"/>
      <c r="R1128" s="325" t="n"/>
      <c r="S1128" s="244">
        <f>Q1128*R1128</f>
        <v/>
      </c>
    </row>
    <row r="1129" ht="22.2" customHeight="1" s="330">
      <c r="A1129" s="4" t="n"/>
      <c r="E1129" s="4" t="n"/>
      <c r="G1129" s="252" t="n"/>
      <c r="H1129" s="252" t="n"/>
      <c r="I1129" s="252" t="n"/>
      <c r="J1129" s="252" t="n"/>
      <c r="K1129" s="331" t="n"/>
      <c r="L1129" s="252" t="n"/>
      <c r="M1129" s="252" t="n"/>
      <c r="N1129" s="252" t="n"/>
      <c r="O1129" s="244">
        <f>M1129*N1129</f>
        <v/>
      </c>
      <c r="P1129" s="252" t="n"/>
      <c r="Q1129" s="252" t="n"/>
      <c r="R1129" s="252" t="n"/>
      <c r="S1129" s="244">
        <f>Q1129*R1129</f>
        <v/>
      </c>
    </row>
    <row r="1130" ht="22.2" customHeight="1" s="330">
      <c r="A1130" s="4" t="n"/>
      <c r="E1130" s="4" t="n"/>
      <c r="G1130" s="276" t="n"/>
      <c r="H1130" s="301" t="n"/>
      <c r="I1130" s="276" t="n"/>
      <c r="J1130" s="276" t="n"/>
      <c r="K1130" s="476" t="n"/>
      <c r="L1130" s="276" t="n"/>
      <c r="M1130" s="276" t="n"/>
      <c r="N1130" s="276" t="n"/>
      <c r="O1130" s="244">
        <f>M1130*N1130</f>
        <v/>
      </c>
      <c r="P1130" s="276" t="n"/>
      <c r="Q1130" s="276" t="n"/>
      <c r="R1130" s="276" t="n"/>
      <c r="S1130" s="244">
        <f>Q1130*R1130</f>
        <v/>
      </c>
    </row>
    <row r="1131" ht="22.2" customHeight="1" s="330">
      <c r="A1131" s="4" t="n"/>
      <c r="E1131" s="4" t="n"/>
      <c r="G1131" s="62" t="inlineStr">
        <is>
          <t>ศุกร์</t>
        </is>
      </c>
      <c r="H1131" s="325" t="inlineStr">
        <is>
          <t>30101-2109</t>
        </is>
      </c>
      <c r="I1131" s="325" t="inlineStr">
        <is>
          <t>ปวส.2/6 สย. (ม.6)</t>
        </is>
      </c>
      <c r="J1131" s="275" t="inlineStr">
        <is>
          <t>08.10-12.10</t>
        </is>
      </c>
      <c r="K1131" s="335" t="n"/>
      <c r="L1131" s="252" t="n"/>
      <c r="M1131" s="252" t="n"/>
      <c r="N1131" s="252" t="n"/>
      <c r="O1131" s="244">
        <f>M1131*N1131</f>
        <v/>
      </c>
      <c r="P1131" s="332" t="n"/>
      <c r="Q1131" s="265" t="n"/>
      <c r="R1131" s="332" t="n"/>
      <c r="S1131" s="244">
        <f>Q1131*R1131</f>
        <v/>
      </c>
    </row>
    <row r="1132" ht="22.2" customHeight="1" s="330">
      <c r="A1132" s="4" t="n"/>
      <c r="E1132" s="4" t="n"/>
      <c r="G1132" s="308">
        <f>G1086</f>
        <v/>
      </c>
      <c r="H1132" s="325" t="inlineStr">
        <is>
          <t>30101-2109</t>
        </is>
      </c>
      <c r="I1132" s="325" t="inlineStr">
        <is>
          <t>ปวส.2/6 สย. (ม.6)</t>
        </is>
      </c>
      <c r="J1132" s="252" t="inlineStr">
        <is>
          <t>13.10-14.10</t>
        </is>
      </c>
      <c r="K1132" s="331" t="n"/>
      <c r="L1132" s="252" t="n"/>
      <c r="M1132" s="252" t="n"/>
      <c r="N1132" s="252" t="n"/>
      <c r="O1132" s="244">
        <f>M1132*N1132</f>
        <v/>
      </c>
      <c r="P1132" s="252" t="n"/>
      <c r="Q1132" s="252" t="n"/>
      <c r="R1132" s="252" t="n"/>
      <c r="S1132" s="244">
        <f>Q1132*R1132</f>
        <v/>
      </c>
    </row>
    <row r="1133" ht="22.2" customHeight="1" s="330">
      <c r="A1133" s="4" t="n"/>
      <c r="E1133" s="4" t="n"/>
      <c r="G1133" s="252" t="n"/>
      <c r="H1133" s="252" t="n"/>
      <c r="I1133" s="252" t="n"/>
      <c r="J1133" s="252" t="n"/>
      <c r="K1133" s="331" t="n"/>
      <c r="L1133" s="252" t="n"/>
      <c r="M1133" s="252" t="n"/>
      <c r="N1133" s="252" t="n"/>
      <c r="O1133" s="244">
        <f>M1133*N1133</f>
        <v/>
      </c>
      <c r="P1133" s="252" t="n"/>
      <c r="Q1133" s="252" t="n"/>
      <c r="R1133" s="252" t="n"/>
      <c r="S1133" s="244">
        <f>Q1133*R1133</f>
        <v/>
      </c>
    </row>
    <row r="1134" ht="22.2" customHeight="1" s="330">
      <c r="A1134" s="4" t="n"/>
      <c r="E1134" s="4" t="n"/>
      <c r="G1134" s="252" t="n"/>
      <c r="H1134" s="249" t="inlineStr">
        <is>
          <t> </t>
        </is>
      </c>
      <c r="I1134" s="252" t="n"/>
      <c r="J1134" s="252" t="n"/>
      <c r="K1134" s="331" t="n"/>
      <c r="L1134" s="252" t="n"/>
      <c r="M1134" s="252" t="n"/>
      <c r="N1134" s="252" t="n"/>
      <c r="O1134" s="244">
        <f>M1134*N1134</f>
        <v/>
      </c>
      <c r="P1134" s="252" t="n"/>
      <c r="Q1134" s="252" t="n"/>
      <c r="R1134" s="252" t="n"/>
      <c r="S1134" s="244">
        <f>Q1134*R1134</f>
        <v/>
      </c>
    </row>
    <row r="1135" ht="22.2" customHeight="1" s="330">
      <c r="A1135" s="4" t="n"/>
      <c r="E1135" s="4" t="n"/>
      <c r="F1135" s="4" t="n"/>
      <c r="G1135" s="278" t="n"/>
      <c r="H1135" s="301" t="n"/>
      <c r="I1135" s="276" t="n"/>
      <c r="J1135" s="276" t="n"/>
      <c r="K1135" s="476" t="n"/>
      <c r="L1135" s="276" t="n"/>
      <c r="M1135" s="276" t="n"/>
      <c r="N1135" s="276" t="n"/>
      <c r="O1135" s="244">
        <f>M1135*N1135</f>
        <v/>
      </c>
      <c r="P1135" s="276" t="n"/>
      <c r="Q1135" s="276" t="n"/>
      <c r="R1135" s="276" t="n"/>
      <c r="S1135" s="244">
        <f>Q1135*R1135</f>
        <v/>
      </c>
    </row>
    <row r="1136" ht="22.2" customHeight="1" s="330">
      <c r="A1136" s="4" t="n"/>
      <c r="E1136" s="4" t="n"/>
      <c r="F1136" s="4" t="n"/>
      <c r="G1136" s="17" t="inlineStr">
        <is>
          <t>รวมขั่วโมงที่สอนแยก ภาระงาน/ เกินภาระงาน</t>
        </is>
      </c>
      <c r="H1136" s="467" t="n"/>
      <c r="I1136" s="467" t="n"/>
      <c r="J1136" s="467" t="n"/>
      <c r="K1136" s="362" t="n"/>
      <c r="L1136" s="17">
        <f>SUM(L1111:L1135)</f>
        <v/>
      </c>
      <c r="M1136" s="17">
        <f>SUM(M1111:M1135)</f>
        <v/>
      </c>
      <c r="N1136" s="17" t="n"/>
      <c r="O1136" s="17" t="n"/>
      <c r="P1136" s="17">
        <f>SUM(P1111:P1135)</f>
        <v/>
      </c>
      <c r="Q1136" s="17">
        <f>SUM(Q1111:Q1135)</f>
        <v/>
      </c>
      <c r="R1136" s="279" t="n"/>
      <c r="S1136" s="17" t="n"/>
    </row>
    <row r="1137" ht="22.2" customHeight="1" s="330">
      <c r="A1137" s="4" t="n"/>
      <c r="E1137" s="4" t="n"/>
      <c r="F1137" s="4" t="n"/>
      <c r="G1137" s="17" t="inlineStr">
        <is>
          <t>รวมจำนวนชั่วโมงสอนคาบต่อสับดาห์</t>
        </is>
      </c>
      <c r="H1137" s="467" t="n"/>
      <c r="I1137" s="467" t="n"/>
      <c r="J1137" s="467" t="n"/>
      <c r="K1137" s="362" t="n"/>
      <c r="L1137" s="17">
        <f>L1136+M1136</f>
        <v/>
      </c>
      <c r="M1137" s="362" t="n"/>
      <c r="N1137" s="298" t="n"/>
      <c r="O1137" s="17" t="n"/>
      <c r="P1137" s="17">
        <f>P1136+Q1136</f>
        <v/>
      </c>
      <c r="Q1137" s="362" t="n"/>
      <c r="R1137" s="278" t="n"/>
      <c r="S1137" s="276" t="n"/>
    </row>
    <row r="1138" ht="22.2" customHeight="1" s="330">
      <c r="A1138" s="4" t="n"/>
      <c r="E1138" s="4" t="n"/>
      <c r="F1138" s="4" t="n"/>
      <c r="G1138" s="17" t="inlineStr">
        <is>
          <t>จำนวนชั่วโมงสอนตามภาระงานสอน</t>
        </is>
      </c>
      <c r="H1138" s="467" t="n"/>
      <c r="I1138" s="467" t="n"/>
      <c r="J1138" s="467" t="n"/>
      <c r="K1138" s="362" t="n"/>
      <c r="L1138" s="153" t="inlineStr">
        <is>
          <t>0</t>
        </is>
      </c>
      <c r="M1138" s="362" t="n"/>
      <c r="N1138" s="151" t="n"/>
      <c r="O1138" s="154" t="n"/>
      <c r="P1138" s="485" t="inlineStr">
        <is>
          <t>15</t>
        </is>
      </c>
      <c r="Q1138" s="362" t="n"/>
      <c r="R1138" s="249" t="n"/>
      <c r="S1138" s="252" t="n"/>
    </row>
    <row r="1139" ht="22.2" customHeight="1" s="330" thickBot="1">
      <c r="A1139" s="4" t="n"/>
      <c r="E1139" s="4" t="n"/>
      <c r="F1139" s="15" t="n"/>
      <c r="G1139" s="17" t="inlineStr">
        <is>
          <t>จำนวนชั่วโมงบิกเกินภาระงานสอน/ค่าสอน</t>
        </is>
      </c>
      <c r="H1139" s="467" t="n"/>
      <c r="I1139" s="467" t="n"/>
      <c r="J1139" s="467" t="n"/>
      <c r="K1139" s="362" t="n"/>
      <c r="L1139" s="18" t="n">
        <v>0</v>
      </c>
      <c r="M1139" s="18">
        <f>SUM(M1111:M1135)</f>
        <v/>
      </c>
      <c r="N1139" s="18" t="n"/>
      <c r="O1139" s="18">
        <f>SUM(O1111:O1135)</f>
        <v/>
      </c>
      <c r="P1139" s="18" t="n">
        <v>0</v>
      </c>
      <c r="Q1139" s="18">
        <f>SUM(Q1111:Q1135)</f>
        <v/>
      </c>
      <c r="R1139" s="19" t="n"/>
      <c r="S1139" s="18">
        <f>SUM(S1111:S1135)</f>
        <v/>
      </c>
    </row>
    <row r="1140" ht="22.2" customHeight="1" s="330" thickTop="1">
      <c r="A1140" s="299" t="inlineStr">
        <is>
          <t>รวมจำนวนหน่วยชั่วโมงที่ขอเบิกค่าสอน ….</t>
        </is>
      </c>
      <c r="B1140" s="467" t="n"/>
      <c r="C1140" s="467" t="n"/>
      <c r="D1140" s="467" t="n"/>
      <c r="E1140" s="467" t="n"/>
      <c r="F1140" s="467" t="n"/>
      <c r="G1140" s="467" t="n"/>
      <c r="H1140" s="298">
        <f>M1139+Q1139</f>
        <v/>
      </c>
      <c r="I1140" s="298" t="inlineStr">
        <is>
          <t>….ชั่วโมง</t>
        </is>
      </c>
      <c r="J1140" s="298" t="n"/>
      <c r="K1140" s="301" t="inlineStr">
        <is>
          <t>ยอดเงินรวม</t>
        </is>
      </c>
      <c r="L1140" s="471" t="n"/>
      <c r="M1140" s="471" t="n"/>
      <c r="N1140" s="301" t="n"/>
      <c r="O1140" s="301" t="n"/>
      <c r="P1140" s="302">
        <f>S1139+O1139</f>
        <v/>
      </c>
      <c r="Q1140" s="482" t="n"/>
      <c r="R1140" s="21" t="n"/>
      <c r="S1140" s="20" t="inlineStr">
        <is>
          <t>..บาท</t>
        </is>
      </c>
    </row>
    <row r="1141" ht="22.2" customHeight="1" s="330">
      <c r="A1141" s="207" t="inlineStr">
        <is>
          <t>ผู้ขอเบิก</t>
        </is>
      </c>
      <c r="B1141" s="334" t="n"/>
      <c r="C1141" s="334" t="n"/>
      <c r="D1141" s="334" t="n"/>
      <c r="E1141" s="334" t="n"/>
      <c r="F1141" s="334" t="n"/>
      <c r="G1141" s="335" t="n"/>
      <c r="H1141" s="207" t="inlineStr">
        <is>
          <t>ผู้รับรอง</t>
        </is>
      </c>
      <c r="I1141" s="334" t="n"/>
      <c r="J1141" s="334" t="n"/>
      <c r="K1141" s="334" t="n"/>
      <c r="L1141" s="335" t="n"/>
      <c r="M1141" s="207" t="inlineStr">
        <is>
          <t>ผู้ตรวจ</t>
        </is>
      </c>
      <c r="N1141" s="334" t="n"/>
      <c r="O1141" s="334" t="n"/>
      <c r="P1141" s="334" t="n"/>
      <c r="Q1141" s="334" t="n"/>
      <c r="R1141" s="334" t="n"/>
      <c r="S1141" s="335" t="n"/>
    </row>
    <row r="1142" ht="22.2" customHeight="1" s="330">
      <c r="A1142" s="252" t="inlineStr">
        <is>
          <t>ลงชื่อ……………………………………………</t>
        </is>
      </c>
      <c r="G1142" s="331" t="n"/>
      <c r="H1142" s="252" t="inlineStr">
        <is>
          <t>ลงชื่อ……………………………………………</t>
        </is>
      </c>
      <c r="L1142" s="331" t="n"/>
      <c r="M1142" s="252" t="inlineStr">
        <is>
          <t>ลงชื่อ……………………………………………</t>
        </is>
      </c>
      <c r="S1142" s="331" t="n"/>
    </row>
    <row r="1143" ht="22.2" customHeight="1" s="330">
      <c r="A1143" s="12" t="inlineStr">
        <is>
          <t>(</t>
        </is>
      </c>
      <c r="B1143" s="309">
        <f>B1111</f>
        <v/>
      </c>
      <c r="G1143" s="310" t="inlineStr">
        <is>
          <t>)</t>
        </is>
      </c>
      <c r="H1143" s="309" t="inlineStr">
        <is>
          <t>(</t>
        </is>
      </c>
      <c r="I1143" s="314">
        <f>I1097</f>
        <v/>
      </c>
      <c r="L1143" s="13" t="inlineStr">
        <is>
          <t>)</t>
        </is>
      </c>
      <c r="M1143" s="61" t="inlineStr">
        <is>
          <t>(</t>
        </is>
      </c>
      <c r="N1143" s="61" t="n"/>
      <c r="O1143" s="309" t="inlineStr">
        <is>
          <t>นายพิสุทธิศักดิ์  กล่อมนาค</t>
        </is>
      </c>
      <c r="R1143" s="29" t="n"/>
      <c r="S1143" s="310" t="inlineStr">
        <is>
          <t>)</t>
        </is>
      </c>
    </row>
    <row r="1144" ht="22.2" customHeight="1" s="330">
      <c r="A1144" s="483" t="inlineStr">
        <is>
          <t xml:space="preserve">                 ตำแหน่ง  ครูพิเศษ</t>
        </is>
      </c>
      <c r="G1144" s="331" t="n"/>
      <c r="H1144" s="62" t="inlineStr">
        <is>
          <t>ตำแหน่ง หัวหน้าแผนก</t>
        </is>
      </c>
      <c r="L1144" s="331" t="n"/>
      <c r="M1144" s="62" t="inlineStr">
        <is>
          <t>ตำแหน่ง   ผู้ตรวจสอบ</t>
        </is>
      </c>
      <c r="S1144" s="331" t="n"/>
    </row>
    <row r="1145" ht="22.2" customHeight="1" s="330">
      <c r="A1145" s="63">
        <f>A41</f>
        <v/>
      </c>
      <c r="B1145" s="471" t="n"/>
      <c r="C1145" s="471" t="n"/>
      <c r="D1145" s="471" t="n"/>
      <c r="E1145" s="471" t="n"/>
      <c r="F1145" s="471" t="n"/>
      <c r="G1145" s="476" t="n"/>
      <c r="H1145" s="62">
        <f>A41</f>
        <v/>
      </c>
      <c r="L1145" s="331" t="n"/>
      <c r="M1145" s="63">
        <f>A41</f>
        <v/>
      </c>
      <c r="N1145" s="471" t="n"/>
      <c r="O1145" s="471" t="n"/>
      <c r="P1145" s="471" t="n"/>
      <c r="Q1145" s="471" t="n"/>
      <c r="R1145" s="471" t="n"/>
      <c r="S1145" s="476" t="n"/>
    </row>
    <row r="1146" ht="22.2" customHeight="1" s="330">
      <c r="A1146" s="207" t="inlineStr">
        <is>
          <t>ผู้ตรวจ</t>
        </is>
      </c>
      <c r="B1146" s="334" t="n"/>
      <c r="C1146" s="334" t="n"/>
      <c r="D1146" s="334" t="n"/>
      <c r="E1146" s="334" t="n"/>
      <c r="F1146" s="334" t="n"/>
      <c r="G1146" s="334" t="n"/>
      <c r="H1146" s="334" t="n"/>
      <c r="I1146" s="335" t="n"/>
      <c r="J1146" s="207" t="inlineStr">
        <is>
          <t>ผู้เห็นชอบ</t>
        </is>
      </c>
      <c r="K1146" s="334" t="n"/>
      <c r="L1146" s="334" t="n"/>
      <c r="M1146" s="334" t="n"/>
      <c r="N1146" s="334" t="n"/>
      <c r="O1146" s="334" t="n"/>
      <c r="P1146" s="334" t="n"/>
      <c r="Q1146" s="334" t="n"/>
      <c r="R1146" s="334" t="n"/>
      <c r="S1146" s="335" t="n"/>
    </row>
    <row r="1147" ht="22.2" customHeight="1" s="330">
      <c r="A1147" s="252" t="inlineStr">
        <is>
          <t>ลงชื่อ……………………………………………</t>
        </is>
      </c>
      <c r="I1147" s="331" t="n"/>
      <c r="J1147" s="252" t="inlineStr">
        <is>
          <t>ลงชื่อ……………………………………………</t>
        </is>
      </c>
      <c r="S1147" s="331" t="n"/>
    </row>
    <row r="1148" ht="22.2" customHeight="1" s="330">
      <c r="A1148" s="12" t="n"/>
      <c r="B1148" s="309" t="inlineStr">
        <is>
          <t xml:space="preserve">          (นางศิวรักษ์   บุญประเสริฐ)</t>
        </is>
      </c>
      <c r="I1148" s="310" t="n"/>
      <c r="J1148" s="29" t="n"/>
      <c r="K1148" s="29" t="n"/>
      <c r="L1148" s="309" t="inlineStr">
        <is>
          <t>(นายปรีชา  โพธิ์เกิด)</t>
        </is>
      </c>
      <c r="R1148" s="29" t="n"/>
      <c r="S1148" s="13" t="n"/>
    </row>
    <row r="1149" ht="22.2" customHeight="1" s="330">
      <c r="A1149" s="62" t="inlineStr">
        <is>
          <t>ตำแหน่งครู  หัวหน้างานพัฒนาหลักสูตร ฯ</t>
        </is>
      </c>
      <c r="I1149" s="331" t="n"/>
      <c r="J1149" s="62" t="inlineStr">
        <is>
          <t>ตำแหน่ง  รองผู้อำนวยการฝ่ายวิชาการ</t>
        </is>
      </c>
      <c r="S1149" s="331" t="n"/>
    </row>
    <row r="1150" ht="22.2" customHeight="1" s="330">
      <c r="A1150" s="63">
        <f>A41</f>
        <v/>
      </c>
      <c r="B1150" s="471" t="n"/>
      <c r="C1150" s="471" t="n"/>
      <c r="D1150" s="471" t="n"/>
      <c r="E1150" s="471" t="n"/>
      <c r="F1150" s="471" t="n"/>
      <c r="G1150" s="471" t="n"/>
      <c r="H1150" s="471" t="n"/>
      <c r="I1150" s="476" t="n"/>
      <c r="J1150" s="63">
        <f>A41</f>
        <v/>
      </c>
      <c r="K1150" s="471" t="n"/>
      <c r="L1150" s="471" t="n"/>
      <c r="M1150" s="471" t="n"/>
      <c r="N1150" s="471" t="n"/>
      <c r="O1150" s="471" t="n"/>
      <c r="P1150" s="471" t="n"/>
      <c r="Q1150" s="471" t="n"/>
      <c r="R1150" s="471" t="n"/>
      <c r="S1150" s="476" t="n"/>
    </row>
    <row r="1151" ht="22.2" customHeight="1" s="330">
      <c r="A115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52" ht="22.2" customHeight="1" s="330">
      <c r="A1152" s="254">
        <f>A2</f>
        <v/>
      </c>
    </row>
    <row r="1153" ht="22.2" customHeight="1" s="330">
      <c r="A1153" s="253" t="inlineStr">
        <is>
          <t xml:space="preserve">    ระหว่างวันที่</t>
        </is>
      </c>
      <c r="D1153" s="254">
        <f>D3</f>
        <v/>
      </c>
      <c r="E1153" s="254" t="inlineStr">
        <is>
          <t xml:space="preserve">   เดือน  </t>
        </is>
      </c>
      <c r="F1153" s="254">
        <f>F3</f>
        <v/>
      </c>
      <c r="H1153" s="254">
        <f>H3</f>
        <v/>
      </c>
      <c r="I1153" s="254" t="inlineStr">
        <is>
          <t xml:space="preserve">     ถึง วันที่</t>
        </is>
      </c>
      <c r="J1153" s="254">
        <f>J3</f>
        <v/>
      </c>
      <c r="K1153" s="254" t="inlineStr">
        <is>
          <t xml:space="preserve">   เดือน </t>
        </is>
      </c>
      <c r="L1153" s="254">
        <f>L3</f>
        <v/>
      </c>
      <c r="N1153" s="254">
        <f>N3</f>
        <v/>
      </c>
      <c r="P1153" s="254" t="n"/>
      <c r="R1153" s="254" t="n"/>
    </row>
    <row r="1154" ht="22.2" customHeight="1" s="330">
      <c r="G1154" s="58" t="inlineStr">
        <is>
          <t>ü</t>
        </is>
      </c>
      <c r="H1154" s="8" t="inlineStr">
        <is>
          <t>ครูพิเศษ</t>
        </is>
      </c>
      <c r="I1154" s="249" t="inlineStr">
        <is>
          <t>หน้าที่พิเศษ</t>
        </is>
      </c>
      <c r="K1154" s="290" t="n"/>
    </row>
    <row r="1155" ht="22.2" customHeight="1" s="330">
      <c r="A1155" s="28" t="inlineStr">
        <is>
          <t>ที่</t>
        </is>
      </c>
      <c r="B1155" s="28" t="inlineStr">
        <is>
          <t>ชื่อ-สกุล</t>
        </is>
      </c>
      <c r="C1155" s="334" t="n"/>
      <c r="D1155" s="335" t="n"/>
      <c r="E1155" s="16" t="inlineStr">
        <is>
          <t>ตำแหน่ง</t>
        </is>
      </c>
      <c r="F1155" s="17" t="inlineStr">
        <is>
          <t>ระยะเวลาที่สอน</t>
        </is>
      </c>
      <c r="G1155" s="362" t="n"/>
      <c r="H1155" s="17" t="inlineStr">
        <is>
          <t>รหัสวิชา</t>
        </is>
      </c>
      <c r="I1155" s="275" t="inlineStr">
        <is>
          <t>ชั้น,แผนก,ห้อง</t>
        </is>
      </c>
      <c r="J1155" s="17" t="inlineStr">
        <is>
          <t>เวลาสอน</t>
        </is>
      </c>
      <c r="K1155" s="335" t="n"/>
      <c r="L1155" s="17" t="inlineStr">
        <is>
          <t>ปวช.(คาบ)</t>
        </is>
      </c>
      <c r="M1155" s="362" t="n"/>
      <c r="N1155" s="244" t="inlineStr">
        <is>
          <t>เงิน</t>
        </is>
      </c>
      <c r="O1155" s="275" t="inlineStr">
        <is>
          <t>ยอดเงิน</t>
        </is>
      </c>
      <c r="P1155" s="473" t="inlineStr">
        <is>
          <t>ปวส.(คาบ)</t>
        </is>
      </c>
      <c r="Q1155" s="362" t="n"/>
      <c r="R1155" s="244" t="inlineStr">
        <is>
          <t>เงิน</t>
        </is>
      </c>
      <c r="S1155" s="275" t="inlineStr">
        <is>
          <t>ยอดเงิน</t>
        </is>
      </c>
    </row>
    <row r="1156" ht="22.2" customHeight="1" s="330">
      <c r="A1156" s="60" t="n"/>
      <c r="B1156" s="9" t="n"/>
      <c r="C1156" s="10" t="n"/>
      <c r="D1156" s="14" t="n"/>
      <c r="E1156" s="11" t="n"/>
      <c r="F1156" s="276" t="inlineStr">
        <is>
          <t>ส.</t>
        </is>
      </c>
      <c r="G1156" s="276" t="inlineStr">
        <is>
          <t>วดป.</t>
        </is>
      </c>
      <c r="H1156" s="474" t="n"/>
      <c r="I1156" s="276" t="n"/>
      <c r="J1156" s="475" t="n"/>
      <c r="K1156" s="476" t="n"/>
      <c r="L1156" s="276" t="inlineStr">
        <is>
          <t>ใน</t>
        </is>
      </c>
      <c r="M1156" s="276" t="inlineStr">
        <is>
          <t>นอก</t>
        </is>
      </c>
      <c r="N1156" s="276" t="inlineStr">
        <is>
          <t>ต่อ ชม.</t>
        </is>
      </c>
      <c r="O1156" s="276" t="inlineStr">
        <is>
          <t>(บาท)</t>
        </is>
      </c>
      <c r="P1156" s="60" t="inlineStr">
        <is>
          <t>ใน</t>
        </is>
      </c>
      <c r="Q1156" s="60" t="inlineStr">
        <is>
          <t>นอก</t>
        </is>
      </c>
      <c r="R1156" s="276" t="inlineStr">
        <is>
          <t>ต่อ ชม.</t>
        </is>
      </c>
      <c r="S1156" s="276" t="inlineStr">
        <is>
          <t>(บาท)</t>
        </is>
      </c>
    </row>
    <row r="1157" ht="22.2" customHeight="1" s="330">
      <c r="A1157" s="275" t="n">
        <v>26</v>
      </c>
      <c r="B1157" s="477">
        <f>AB28</f>
        <v/>
      </c>
      <c r="C1157" s="334" t="n"/>
      <c r="D1157" s="335" t="n"/>
      <c r="E1157" s="275" t="inlineStr">
        <is>
          <t>ครู</t>
        </is>
      </c>
      <c r="F1157" s="6">
        <f>F7</f>
        <v/>
      </c>
      <c r="G1157" s="303" t="inlineStr">
        <is>
          <t>จันทร์</t>
        </is>
      </c>
      <c r="H1157" s="332" t="n"/>
      <c r="I1157" s="325" t="n"/>
      <c r="J1157" s="275" t="n"/>
      <c r="K1157" s="335" t="n"/>
      <c r="L1157" s="332" t="n"/>
      <c r="M1157" s="156" t="n"/>
      <c r="N1157" s="156" t="n"/>
      <c r="O1157" s="244">
        <f>M1157*N1157</f>
        <v/>
      </c>
      <c r="P1157" s="332" t="n"/>
      <c r="Q1157" s="265" t="n"/>
      <c r="R1157" s="332" t="n"/>
      <c r="S1157" s="244">
        <f>Q1157*R1157</f>
        <v/>
      </c>
    </row>
    <row r="1158" ht="22.2" customHeight="1" s="330">
      <c r="A1158" s="4" t="n"/>
      <c r="B1158" s="478" t="n"/>
      <c r="D1158" s="331" t="n"/>
      <c r="E1158" s="252" t="inlineStr">
        <is>
          <t>พิเศษ</t>
        </is>
      </c>
      <c r="F1158" s="249" t="n"/>
      <c r="G1158" s="308">
        <f>G1112</f>
        <v/>
      </c>
      <c r="H1158" s="325" t="n"/>
      <c r="I1158" s="325" t="n"/>
      <c r="J1158" s="252" t="n"/>
      <c r="K1158" s="331" t="n"/>
      <c r="L1158" s="252" t="n"/>
      <c r="M1158" s="56" t="n"/>
      <c r="N1158" s="56" t="n"/>
      <c r="O1158" s="244">
        <f>M1158*N1158</f>
        <v/>
      </c>
      <c r="P1158" s="252" t="n"/>
      <c r="Q1158" s="252" t="n"/>
      <c r="R1158" s="252" t="n"/>
      <c r="S1158" s="244">
        <f>Q1158*R1158</f>
        <v/>
      </c>
    </row>
    <row r="1159" ht="22.2" customHeight="1" s="330">
      <c r="A1159" s="4" t="n"/>
      <c r="B1159" s="5" t="n"/>
      <c r="D1159" s="3" t="n"/>
      <c r="E1159" s="3" t="n"/>
      <c r="F1159" s="249" t="n"/>
      <c r="G1159" s="248" t="n"/>
      <c r="H1159" s="252" t="n"/>
      <c r="I1159" s="252" t="n"/>
      <c r="J1159" s="252" t="n"/>
      <c r="K1159" s="331" t="n"/>
      <c r="L1159" s="252" t="n"/>
      <c r="M1159" s="252" t="n"/>
      <c r="N1159" s="252" t="n"/>
      <c r="O1159" s="244">
        <f>M1159*N1159</f>
        <v/>
      </c>
      <c r="P1159" s="252" t="n"/>
      <c r="Q1159" s="252" t="n"/>
      <c r="R1159" s="252" t="n"/>
      <c r="S1159" s="244">
        <f>Q1159*R1159</f>
        <v/>
      </c>
    </row>
    <row r="1160" ht="22.2" customHeight="1" s="330">
      <c r="A1160" s="4" t="n"/>
      <c r="B1160" s="5" t="n"/>
      <c r="E1160" s="4" t="n"/>
      <c r="F1160" s="249" t="n"/>
      <c r="G1160" s="248" t="n"/>
      <c r="H1160" s="252" t="n"/>
      <c r="I1160" s="252" t="n"/>
      <c r="J1160" s="252" t="n"/>
      <c r="K1160" s="331" t="n"/>
      <c r="L1160" s="252" t="n"/>
      <c r="M1160" s="252" t="n"/>
      <c r="N1160" s="252" t="n"/>
      <c r="O1160" s="244">
        <f>M1160*N1160</f>
        <v/>
      </c>
      <c r="P1160" s="252" t="n"/>
      <c r="Q1160" s="252" t="n"/>
      <c r="R1160" s="252" t="n"/>
      <c r="S1160" s="244">
        <f>Q1160*R1160</f>
        <v/>
      </c>
    </row>
    <row r="1161" ht="22.2" customHeight="1" s="330">
      <c r="A1161" s="4" t="n"/>
      <c r="E1161" s="4" t="n"/>
      <c r="G1161" s="311" t="n"/>
      <c r="H1161" s="276" t="n"/>
      <c r="I1161" s="276" t="n"/>
      <c r="J1161" s="276" t="n"/>
      <c r="K1161" s="476" t="n"/>
      <c r="L1161" s="252" t="n"/>
      <c r="M1161" s="276" t="n"/>
      <c r="N1161" s="276" t="n"/>
      <c r="O1161" s="244">
        <f>M1161*N1161</f>
        <v/>
      </c>
      <c r="P1161" s="252" t="n"/>
      <c r="Q1161" s="252" t="n"/>
      <c r="R1161" s="252" t="n"/>
      <c r="S1161" s="244">
        <f>Q1161*R1161</f>
        <v/>
      </c>
    </row>
    <row r="1162" ht="22.2" customHeight="1" s="330">
      <c r="A1162" s="4" t="n"/>
      <c r="E1162" s="4" t="n"/>
      <c r="G1162" s="62" t="inlineStr">
        <is>
          <t>อังคาร</t>
        </is>
      </c>
      <c r="H1162" s="325" t="inlineStr">
        <is>
          <t>20101-2004</t>
        </is>
      </c>
      <c r="I1162" s="325" t="inlineStr">
        <is>
          <t>ปวช.1/3 ชย. (ปกติ)</t>
        </is>
      </c>
      <c r="J1162" s="275" t="inlineStr">
        <is>
          <t>08.10-12.10</t>
        </is>
      </c>
      <c r="K1162" s="335" t="n"/>
      <c r="L1162" s="332" t="n"/>
      <c r="M1162" s="182" t="n"/>
      <c r="N1162" s="179" t="n"/>
      <c r="O1162" s="244">
        <f>M1162*N1162</f>
        <v/>
      </c>
      <c r="P1162" s="332" t="n"/>
      <c r="Q1162" s="265" t="n"/>
      <c r="R1162" s="332" t="n"/>
      <c r="S1162" s="244">
        <f>Q1162*R1162</f>
        <v/>
      </c>
      <c r="T1162" s="25" t="n"/>
      <c r="U1162" s="26" t="inlineStr">
        <is>
          <t xml:space="preserve">     PLC</t>
        </is>
      </c>
      <c r="V1162" s="64" t="n"/>
      <c r="W1162" s="27" t="n"/>
      <c r="X1162" s="27" t="n"/>
    </row>
    <row r="1163" ht="22.2" customHeight="1" s="330">
      <c r="A1163" s="4" t="n"/>
      <c r="E1163" s="4" t="n"/>
      <c r="G1163" s="308">
        <f>G1117</f>
        <v/>
      </c>
      <c r="H1163" s="325" t="inlineStr">
        <is>
          <t>20101-2004</t>
        </is>
      </c>
      <c r="I1163" s="325" t="inlineStr">
        <is>
          <t>ปวช.1/4 ชย. (ปกติ)</t>
        </is>
      </c>
      <c r="J1163" s="252" t="inlineStr">
        <is>
          <t>13.10-17.10</t>
        </is>
      </c>
      <c r="K1163" s="331" t="n"/>
      <c r="L1163" s="252" t="n"/>
      <c r="M1163" s="250" t="n"/>
      <c r="N1163" s="252" t="n"/>
      <c r="O1163" s="244">
        <f>M1163*N1163</f>
        <v/>
      </c>
      <c r="P1163" s="252" t="n"/>
      <c r="Q1163" s="252" t="n"/>
      <c r="R1163" s="252" t="n"/>
      <c r="S1163" s="244">
        <f>Q1163*R1163</f>
        <v/>
      </c>
      <c r="T1163" s="27" t="inlineStr">
        <is>
          <t> </t>
        </is>
      </c>
      <c r="U1163" s="26" t="inlineStr">
        <is>
          <t>17.10-19.10</t>
        </is>
      </c>
      <c r="V1163" s="64" t="n"/>
      <c r="W1163" s="27" t="n"/>
      <c r="X1163" s="27" t="n"/>
    </row>
    <row r="1164" ht="22.2" customHeight="1" s="330">
      <c r="A1164" s="4" t="n"/>
      <c r="B1164" s="5" t="n"/>
      <c r="D1164" s="3" t="n"/>
      <c r="E1164" s="3" t="n"/>
      <c r="G1164" s="252" t="n"/>
      <c r="H1164" s="252" t="n"/>
      <c r="I1164" s="252" t="n"/>
      <c r="J1164" s="252" t="n"/>
      <c r="K1164" s="331" t="n"/>
      <c r="L1164" s="252" t="n"/>
      <c r="M1164" s="252" t="n"/>
      <c r="N1164" s="252" t="n"/>
      <c r="O1164" s="244">
        <f>M1164*N1164</f>
        <v/>
      </c>
      <c r="P1164" s="252" t="n"/>
      <c r="Q1164" s="252" t="n"/>
      <c r="R1164" s="252" t="n"/>
      <c r="S1164" s="244">
        <f>Q1164*R1164</f>
        <v/>
      </c>
    </row>
    <row r="1165" ht="22.2" customHeight="1" s="330">
      <c r="A1165" s="4" t="n"/>
      <c r="E1165" s="4" t="n"/>
      <c r="G1165" s="62" t="n"/>
      <c r="H1165" s="249" t="n"/>
      <c r="I1165" s="252" t="n"/>
      <c r="J1165" s="252" t="n"/>
      <c r="K1165" s="331" t="n"/>
      <c r="L1165" s="252" t="n"/>
      <c r="M1165" s="252" t="n"/>
      <c r="N1165" s="252" t="n"/>
      <c r="O1165" s="244">
        <f>M1165*N1165</f>
        <v/>
      </c>
      <c r="P1165" s="252" t="n"/>
      <c r="Q1165" s="252" t="n"/>
      <c r="R1165" s="252" t="n"/>
      <c r="S1165" s="244">
        <f>Q1165*R1165</f>
        <v/>
      </c>
    </row>
    <row r="1166" ht="22.2" customHeight="1" s="330">
      <c r="A1166" s="4" t="n"/>
      <c r="D1166" s="8" t="inlineStr">
        <is>
          <t> </t>
        </is>
      </c>
      <c r="E1166" s="4" t="n"/>
      <c r="G1166" s="63" t="n"/>
      <c r="H1166" s="276" t="n"/>
      <c r="I1166" s="276" t="n"/>
      <c r="J1166" s="276" t="n"/>
      <c r="K1166" s="476" t="n"/>
      <c r="L1166" s="252" t="n"/>
      <c r="M1166" s="276" t="n"/>
      <c r="N1166" s="276" t="n"/>
      <c r="O1166" s="244">
        <f>M1166*N1166</f>
        <v/>
      </c>
      <c r="P1166" s="252" t="n"/>
      <c r="Q1166" s="252" t="n"/>
      <c r="R1166" s="252" t="n"/>
      <c r="S1166" s="244">
        <f>Q1166*R1166</f>
        <v/>
      </c>
    </row>
    <row r="1167" ht="22.2" customHeight="1" s="330">
      <c r="A1167" s="4" t="n"/>
      <c r="E1167" s="4" t="n"/>
      <c r="G1167" s="308" t="inlineStr">
        <is>
          <t>พุธ</t>
        </is>
      </c>
      <c r="H1167" s="325" t="inlineStr">
        <is>
          <t>20101-2001</t>
        </is>
      </c>
      <c r="I1167" s="325" t="inlineStr">
        <is>
          <t>ปวช.1/5 ชย. (ปกติ)</t>
        </is>
      </c>
      <c r="J1167" s="275" t="inlineStr">
        <is>
          <t>08.10-12.10</t>
        </is>
      </c>
      <c r="K1167" s="335" t="n"/>
      <c r="L1167" s="332" t="n"/>
      <c r="M1167" s="179" t="n"/>
      <c r="N1167" s="179" t="n"/>
      <c r="O1167" s="244">
        <f>M1167*N1167</f>
        <v/>
      </c>
      <c r="P1167" s="332" t="n"/>
      <c r="Q1167" s="265" t="n"/>
      <c r="R1167" s="332" t="n"/>
      <c r="S1167" s="244">
        <f>Q1167*R1167</f>
        <v/>
      </c>
    </row>
    <row r="1168" ht="22.2" customHeight="1" s="330">
      <c r="A1168" s="4" t="n"/>
      <c r="B1168" s="248" t="n"/>
      <c r="C1168" s="249" t="n"/>
      <c r="D1168" s="249" t="n"/>
      <c r="E1168" s="252" t="n"/>
      <c r="G1168" s="308">
        <f>G1122</f>
        <v/>
      </c>
      <c r="H1168" s="325" t="inlineStr">
        <is>
          <t>20101-2001</t>
        </is>
      </c>
      <c r="I1168" s="325" t="inlineStr">
        <is>
          <t>ปวช.1/5 ชย. (ปกติ)</t>
        </is>
      </c>
      <c r="J1168" s="252" t="inlineStr">
        <is>
          <t>13.10-16.10</t>
        </is>
      </c>
      <c r="K1168" s="331" t="n"/>
      <c r="L1168" s="252" t="n"/>
      <c r="M1168" s="180" t="n"/>
      <c r="N1168" s="180" t="n"/>
      <c r="O1168" s="244">
        <f>M1168*N1168</f>
        <v/>
      </c>
      <c r="P1168" s="252" t="n"/>
      <c r="Q1168" s="252" t="n"/>
      <c r="R1168" s="252" t="n"/>
      <c r="S1168" s="244">
        <f>Q1168*R1168</f>
        <v/>
      </c>
    </row>
    <row r="1169" ht="22.2" customHeight="1" s="330">
      <c r="A1169" s="4" t="n"/>
      <c r="B1169" s="5" t="n"/>
      <c r="D1169" s="3" t="n"/>
      <c r="E1169" s="3" t="n"/>
      <c r="G1169" s="252" t="n"/>
      <c r="H1169" s="325" t="n"/>
      <c r="I1169" s="325" t="n"/>
      <c r="J1169" s="252" t="n"/>
      <c r="K1169" s="331" t="n"/>
      <c r="L1169" s="252" t="n"/>
      <c r="M1169" s="180" t="n"/>
      <c r="N1169" s="180" t="n"/>
      <c r="O1169" s="244">
        <f>M1169*N1169</f>
        <v/>
      </c>
      <c r="P1169" s="252" t="n"/>
      <c r="Q1169" s="252" t="n"/>
      <c r="R1169" s="252" t="n"/>
      <c r="S1169" s="244">
        <f>Q1169*R1169</f>
        <v/>
      </c>
    </row>
    <row r="1170" ht="22.2" customHeight="1" s="330">
      <c r="A1170" s="4" t="n"/>
      <c r="E1170" s="4" t="n"/>
      <c r="G1170" s="248" t="n"/>
      <c r="H1170" s="248" t="n"/>
      <c r="I1170" s="252" t="n"/>
      <c r="J1170" s="252" t="n"/>
      <c r="K1170" s="331" t="n"/>
      <c r="L1170" s="252" t="n"/>
      <c r="M1170" s="252" t="n"/>
      <c r="N1170" s="252" t="n"/>
      <c r="O1170" s="244">
        <f>M1170*N1170</f>
        <v/>
      </c>
      <c r="P1170" s="252" t="n"/>
      <c r="Q1170" s="252" t="n"/>
      <c r="R1170" s="252" t="n"/>
      <c r="S1170" s="244">
        <f>Q1170*R1170</f>
        <v/>
      </c>
    </row>
    <row r="1171" ht="22.2" customHeight="1" s="330">
      <c r="A1171" s="4" t="n"/>
      <c r="E1171" s="4" t="n"/>
      <c r="G1171" s="277" t="n"/>
      <c r="H1171" s="277" t="n"/>
      <c r="I1171" s="276" t="n"/>
      <c r="J1171" s="276" t="n"/>
      <c r="K1171" s="476" t="n"/>
      <c r="L1171" s="276" t="n"/>
      <c r="M1171" s="276" t="n"/>
      <c r="N1171" s="276" t="n"/>
      <c r="O1171" s="244">
        <f>M1171*N1171</f>
        <v/>
      </c>
      <c r="P1171" s="276" t="n"/>
      <c r="Q1171" s="276" t="n"/>
      <c r="R1171" s="276" t="n"/>
      <c r="S1171" s="244">
        <f>Q1171*R1171</f>
        <v/>
      </c>
    </row>
    <row r="1172" ht="22.2" customHeight="1" s="330">
      <c r="A1172" s="4" t="n"/>
      <c r="E1172" s="4" t="n"/>
      <c r="G1172" s="62" t="inlineStr">
        <is>
          <t>พฤหัส</t>
        </is>
      </c>
      <c r="H1172" s="325" t="inlineStr">
        <is>
          <t>20101-2008</t>
        </is>
      </c>
      <c r="I1172" s="325" t="inlineStr">
        <is>
          <t>ปวช.3/9 ชย. (ทวิ)</t>
        </is>
      </c>
      <c r="J1172" s="275" t="inlineStr">
        <is>
          <t>08.10-12.10</t>
        </is>
      </c>
      <c r="K1172" s="335" t="n"/>
      <c r="L1172" s="252" t="n"/>
      <c r="M1172" s="252" t="n"/>
      <c r="N1172" s="252" t="n"/>
      <c r="O1172" s="244">
        <f>M1172*N1172</f>
        <v/>
      </c>
      <c r="P1172" s="252" t="n"/>
      <c r="Q1172" s="275" t="n"/>
      <c r="R1172" s="275" t="n"/>
      <c r="S1172" s="244">
        <f>Q1172*R1172</f>
        <v/>
      </c>
    </row>
    <row r="1173" ht="22.2" customHeight="1" s="330">
      <c r="A1173" s="4" t="n"/>
      <c r="E1173" s="4" t="n"/>
      <c r="G1173" s="308">
        <f>G1127</f>
        <v/>
      </c>
      <c r="H1173" s="325" t="inlineStr">
        <is>
          <t>20000-2002</t>
        </is>
      </c>
      <c r="I1173" s="325" t="inlineStr">
        <is>
          <t>ปวช.1/9,10 ชย. (ทวิ)</t>
        </is>
      </c>
      <c r="J1173" s="252" t="inlineStr">
        <is>
          <t>13.10-15.10</t>
        </is>
      </c>
      <c r="K1173" s="331" t="n"/>
      <c r="L1173" s="252" t="n"/>
      <c r="M1173" s="252" t="n"/>
      <c r="N1173" s="252" t="n"/>
      <c r="O1173" s="244">
        <f>M1173*N1173</f>
        <v/>
      </c>
      <c r="P1173" s="252" t="n"/>
      <c r="Q1173" s="252" t="n"/>
      <c r="R1173" s="252" t="n"/>
      <c r="S1173" s="244">
        <f>Q1173*R1173</f>
        <v/>
      </c>
    </row>
    <row r="1174" ht="22.2" customHeight="1" s="330">
      <c r="A1174" s="4" t="n"/>
      <c r="B1174" s="5" t="n"/>
      <c r="E1174" s="4" t="n"/>
      <c r="G1174" s="252" t="n"/>
      <c r="H1174" s="325" t="inlineStr">
        <is>
          <t>20101-2009</t>
        </is>
      </c>
      <c r="I1174" s="325" t="inlineStr">
        <is>
          <t>ปวช.1/10 ชย. (ทวิ)</t>
        </is>
      </c>
      <c r="J1174" s="252" t="inlineStr">
        <is>
          <t>15.10-19.10</t>
        </is>
      </c>
      <c r="K1174" s="331" t="n"/>
      <c r="L1174" s="325" t="n"/>
      <c r="M1174" s="325" t="n"/>
      <c r="N1174" s="325" t="n"/>
      <c r="O1174" s="244">
        <f>M1174*N1174</f>
        <v/>
      </c>
      <c r="P1174" s="325" t="n"/>
      <c r="Q1174" s="325" t="n"/>
      <c r="R1174" s="325" t="n"/>
      <c r="S1174" s="244">
        <f>Q1174*R1174</f>
        <v/>
      </c>
    </row>
    <row r="1175" ht="22.2" customHeight="1" s="330">
      <c r="A1175" s="4" t="n"/>
      <c r="E1175" s="4" t="n"/>
      <c r="G1175" s="252" t="n"/>
      <c r="H1175" s="252" t="n"/>
      <c r="I1175" s="252" t="n"/>
      <c r="J1175" s="252" t="n"/>
      <c r="K1175" s="331" t="n"/>
      <c r="L1175" s="252" t="n"/>
      <c r="M1175" s="252" t="n"/>
      <c r="N1175" s="252" t="n"/>
      <c r="O1175" s="244">
        <f>M1175*N1175</f>
        <v/>
      </c>
      <c r="P1175" s="252" t="n"/>
      <c r="Q1175" s="252" t="n"/>
      <c r="R1175" s="252" t="n"/>
      <c r="S1175" s="244">
        <f>Q1175*R1175</f>
        <v/>
      </c>
    </row>
    <row r="1176" ht="22.2" customHeight="1" s="330">
      <c r="A1176" s="4" t="n"/>
      <c r="E1176" s="4" t="n"/>
      <c r="G1176" s="276" t="n"/>
      <c r="H1176" s="301" t="n"/>
      <c r="I1176" s="276" t="n"/>
      <c r="J1176" s="276" t="n"/>
      <c r="K1176" s="476" t="n"/>
      <c r="L1176" s="276" t="n"/>
      <c r="M1176" s="276" t="n"/>
      <c r="N1176" s="276" t="n"/>
      <c r="O1176" s="244">
        <f>M1176*N1176</f>
        <v/>
      </c>
      <c r="P1176" s="276" t="n"/>
      <c r="Q1176" s="276" t="n"/>
      <c r="R1176" s="276" t="n"/>
      <c r="S1176" s="244">
        <f>Q1176*R1176</f>
        <v/>
      </c>
    </row>
    <row r="1177" ht="22.2" customHeight="1" s="330">
      <c r="A1177" s="4" t="n"/>
      <c r="E1177" s="4" t="n"/>
      <c r="G1177" s="62" t="inlineStr">
        <is>
          <t>ศุกร์</t>
        </is>
      </c>
      <c r="H1177" s="325" t="inlineStr">
        <is>
          <t>20101-2004</t>
        </is>
      </c>
      <c r="I1177" s="325" t="inlineStr">
        <is>
          <t>ปวช.1/2 ชย. (ปกติ)</t>
        </is>
      </c>
      <c r="J1177" s="275" t="inlineStr">
        <is>
          <t>08.10-12.10</t>
        </is>
      </c>
      <c r="K1177" s="335" t="n"/>
      <c r="L1177" s="252" t="n"/>
      <c r="M1177" s="252" t="n"/>
      <c r="N1177" s="252" t="n"/>
      <c r="O1177" s="244">
        <f>M1177*N1177</f>
        <v/>
      </c>
      <c r="P1177" s="332" t="n"/>
      <c r="Q1177" s="265" t="n"/>
      <c r="R1177" s="332" t="n"/>
      <c r="S1177" s="244">
        <f>Q1177*R1177</f>
        <v/>
      </c>
    </row>
    <row r="1178" ht="22.2" customHeight="1" s="330">
      <c r="A1178" s="4" t="n"/>
      <c r="E1178" s="4" t="n"/>
      <c r="G1178" s="308">
        <f>G1132</f>
        <v/>
      </c>
      <c r="H1178" s="325" t="inlineStr">
        <is>
          <t>20101-2004</t>
        </is>
      </c>
      <c r="I1178" s="325" t="inlineStr">
        <is>
          <t>ปวช.1/1 ชย. (ปกติ)</t>
        </is>
      </c>
      <c r="J1178" s="252" t="inlineStr">
        <is>
          <t>13.10-17.10</t>
        </is>
      </c>
      <c r="K1178" s="331" t="n"/>
      <c r="L1178" s="252" t="n"/>
      <c r="M1178" s="252" t="n"/>
      <c r="N1178" s="252" t="n"/>
      <c r="O1178" s="244">
        <f>M1178*N1178</f>
        <v/>
      </c>
      <c r="P1178" s="252" t="n"/>
      <c r="Q1178" s="252" t="n"/>
      <c r="R1178" s="252" t="n"/>
      <c r="S1178" s="244">
        <f>Q1178*R1178</f>
        <v/>
      </c>
    </row>
    <row r="1179" ht="22.2" customHeight="1" s="330">
      <c r="A1179" s="4" t="n"/>
      <c r="E1179" s="4" t="n"/>
      <c r="G1179" s="252" t="n"/>
      <c r="H1179" s="252" t="n"/>
      <c r="I1179" s="252" t="n"/>
      <c r="J1179" s="252" t="n"/>
      <c r="K1179" s="331" t="n"/>
      <c r="L1179" s="252" t="n"/>
      <c r="M1179" s="252" t="n"/>
      <c r="N1179" s="252" t="n"/>
      <c r="O1179" s="244">
        <f>M1179*N1179</f>
        <v/>
      </c>
      <c r="P1179" s="252" t="n"/>
      <c r="Q1179" s="252" t="n"/>
      <c r="R1179" s="252" t="n"/>
      <c r="S1179" s="244">
        <f>Q1179*R1179</f>
        <v/>
      </c>
    </row>
    <row r="1180" ht="22.2" customHeight="1" s="330">
      <c r="A1180" s="4" t="n"/>
      <c r="E1180" s="4" t="n"/>
      <c r="G1180" s="252" t="n"/>
      <c r="H1180" s="249" t="inlineStr">
        <is>
          <t> </t>
        </is>
      </c>
      <c r="I1180" s="252" t="n"/>
      <c r="J1180" s="252" t="n"/>
      <c r="K1180" s="331" t="n"/>
      <c r="L1180" s="252" t="n"/>
      <c r="M1180" s="252" t="n"/>
      <c r="N1180" s="252" t="n"/>
      <c r="O1180" s="244">
        <f>M1180*N1180</f>
        <v/>
      </c>
      <c r="P1180" s="252" t="n"/>
      <c r="Q1180" s="252" t="n"/>
      <c r="R1180" s="252" t="n"/>
      <c r="S1180" s="244">
        <f>Q1180*R1180</f>
        <v/>
      </c>
    </row>
    <row r="1181" ht="22.2" customHeight="1" s="330">
      <c r="A1181" s="4" t="n"/>
      <c r="E1181" s="4" t="n"/>
      <c r="F1181" s="4" t="n"/>
      <c r="G1181" s="278" t="n"/>
      <c r="H1181" s="301" t="n"/>
      <c r="I1181" s="276" t="n"/>
      <c r="J1181" s="276" t="n"/>
      <c r="K1181" s="476" t="n"/>
      <c r="L1181" s="276" t="n"/>
      <c r="M1181" s="276" t="n"/>
      <c r="N1181" s="276" t="n"/>
      <c r="O1181" s="244">
        <f>M1181*N1181</f>
        <v/>
      </c>
      <c r="P1181" s="276" t="n"/>
      <c r="Q1181" s="276" t="n"/>
      <c r="R1181" s="276" t="n"/>
      <c r="S1181" s="244">
        <f>Q1181*R1181</f>
        <v/>
      </c>
    </row>
    <row r="1182" ht="22.2" customHeight="1" s="330">
      <c r="A1182" s="4" t="n"/>
      <c r="E1182" s="4" t="n"/>
      <c r="F1182" s="4" t="n"/>
      <c r="G1182" s="17" t="inlineStr">
        <is>
          <t>รวมขั่วโมงที่สอนแยก ภาระงาน/ เกินภาระงาน</t>
        </is>
      </c>
      <c r="H1182" s="467" t="n"/>
      <c r="I1182" s="467" t="n"/>
      <c r="J1182" s="467" t="n"/>
      <c r="K1182" s="362" t="n"/>
      <c r="L1182" s="17">
        <f>SUM(L1157:L1181)</f>
        <v/>
      </c>
      <c r="M1182" s="17">
        <f>SUM(M1157:M1181)</f>
        <v/>
      </c>
      <c r="N1182" s="17" t="n"/>
      <c r="O1182" s="17" t="n"/>
      <c r="P1182" s="17">
        <f>SUM(P1157:P1181)</f>
        <v/>
      </c>
      <c r="Q1182" s="17">
        <f>SUM(Q1157:Q1181)</f>
        <v/>
      </c>
      <c r="R1182" s="279" t="n"/>
      <c r="S1182" s="17" t="n"/>
    </row>
    <row r="1183" ht="22.2" customHeight="1" s="330">
      <c r="A1183" s="4" t="n"/>
      <c r="E1183" s="4" t="n"/>
      <c r="F1183" s="4" t="n"/>
      <c r="G1183" s="17" t="inlineStr">
        <is>
          <t>รวมจำนวนชั่วโมงสอนคาบต่อสับดาห์</t>
        </is>
      </c>
      <c r="H1183" s="467" t="n"/>
      <c r="I1183" s="467" t="n"/>
      <c r="J1183" s="467" t="n"/>
      <c r="K1183" s="362" t="n"/>
      <c r="L1183" s="17">
        <f>L1182+M1182</f>
        <v/>
      </c>
      <c r="M1183" s="362" t="n"/>
      <c r="N1183" s="298" t="n"/>
      <c r="O1183" s="17" t="n"/>
      <c r="P1183" s="17">
        <f>P1182+Q1182</f>
        <v/>
      </c>
      <c r="Q1183" s="362" t="n"/>
      <c r="R1183" s="278" t="n"/>
      <c r="S1183" s="276" t="n"/>
    </row>
    <row r="1184" ht="22.2" customHeight="1" s="330">
      <c r="A1184" s="4" t="n"/>
      <c r="E1184" s="4" t="n"/>
      <c r="F1184" s="4" t="n"/>
      <c r="G1184" s="17" t="inlineStr">
        <is>
          <t>จำนวนชั่วโมงสอนตามภาระงานสอน</t>
        </is>
      </c>
      <c r="H1184" s="467" t="n"/>
      <c r="I1184" s="467" t="n"/>
      <c r="J1184" s="467" t="n"/>
      <c r="K1184" s="362" t="n"/>
      <c r="L1184" s="17" t="n">
        <v>18</v>
      </c>
      <c r="M1184" s="362" t="n"/>
      <c r="N1184" s="252" t="n"/>
      <c r="O1184" s="252" t="n"/>
      <c r="P1184" s="17" t="n">
        <v>0</v>
      </c>
      <c r="Q1184" s="362" t="n"/>
      <c r="R1184" s="249" t="n"/>
      <c r="S1184" s="252" t="n"/>
    </row>
    <row r="1185" ht="22.2" customHeight="1" s="330" thickBot="1">
      <c r="A1185" s="4" t="n"/>
      <c r="E1185" s="4" t="n"/>
      <c r="F1185" s="15" t="n"/>
      <c r="G1185" s="17" t="inlineStr">
        <is>
          <t>จำนวนชั่วโมงบิกเกินภาระงานสอน/ค่าสอน</t>
        </is>
      </c>
      <c r="H1185" s="467" t="n"/>
      <c r="I1185" s="467" t="n"/>
      <c r="J1185" s="467" t="n"/>
      <c r="K1185" s="362" t="n"/>
      <c r="L1185" s="18" t="n">
        <v>0</v>
      </c>
      <c r="M1185" s="18">
        <f>SUM(M1157:M1181)</f>
        <v/>
      </c>
      <c r="N1185" s="18" t="n"/>
      <c r="O1185" s="18">
        <f>SUM(O1157:O1181)</f>
        <v/>
      </c>
      <c r="P1185" s="18" t="n">
        <v>0</v>
      </c>
      <c r="Q1185" s="18">
        <f>SUM(Q1157:Q1181)</f>
        <v/>
      </c>
      <c r="R1185" s="19" t="n"/>
      <c r="S1185" s="18">
        <f>SUM(S1157:S1181)</f>
        <v/>
      </c>
    </row>
    <row r="1186" ht="22.2" customHeight="1" s="330" thickTop="1">
      <c r="A1186" s="299" t="inlineStr">
        <is>
          <t>รวมจำนวนหน่วยชั่วโมงที่ขอเบิกค่าสอน ….</t>
        </is>
      </c>
      <c r="B1186" s="467" t="n"/>
      <c r="C1186" s="467" t="n"/>
      <c r="D1186" s="467" t="n"/>
      <c r="E1186" s="467" t="n"/>
      <c r="F1186" s="467" t="n"/>
      <c r="G1186" s="467" t="n"/>
      <c r="H1186" s="298">
        <f>M1185+Q1185</f>
        <v/>
      </c>
      <c r="I1186" s="298" t="inlineStr">
        <is>
          <t>….ชั่วโมง</t>
        </is>
      </c>
      <c r="J1186" s="298" t="n"/>
      <c r="K1186" s="301" t="inlineStr">
        <is>
          <t>ยอดเงินรวม</t>
        </is>
      </c>
      <c r="L1186" s="471" t="n"/>
      <c r="M1186" s="471" t="n"/>
      <c r="N1186" s="301" t="n"/>
      <c r="O1186" s="301" t="n"/>
      <c r="P1186" s="302">
        <f>S1185+O1185</f>
        <v/>
      </c>
      <c r="Q1186" s="482" t="n"/>
      <c r="R1186" s="21" t="n"/>
      <c r="S1186" s="53" t="inlineStr">
        <is>
          <t>..บาท</t>
        </is>
      </c>
    </row>
    <row r="1187" ht="22.2" customHeight="1" s="330">
      <c r="A1187" s="207" t="inlineStr">
        <is>
          <t>ผู้ขอเบิก</t>
        </is>
      </c>
      <c r="B1187" s="334" t="n"/>
      <c r="C1187" s="334" t="n"/>
      <c r="D1187" s="334" t="n"/>
      <c r="E1187" s="334" t="n"/>
      <c r="F1187" s="334" t="n"/>
      <c r="G1187" s="335" t="n"/>
      <c r="H1187" s="207" t="inlineStr">
        <is>
          <t>ผู้รับรอง</t>
        </is>
      </c>
      <c r="I1187" s="334" t="n"/>
      <c r="J1187" s="334" t="n"/>
      <c r="K1187" s="334" t="n"/>
      <c r="L1187" s="335" t="n"/>
      <c r="M1187" s="207" t="inlineStr">
        <is>
          <t>ผู้ตรวจ</t>
        </is>
      </c>
      <c r="N1187" s="334" t="n"/>
      <c r="O1187" s="334" t="n"/>
      <c r="P1187" s="334" t="n"/>
      <c r="Q1187" s="334" t="n"/>
      <c r="R1187" s="334" t="n"/>
      <c r="S1187" s="335" t="n"/>
    </row>
    <row r="1188" ht="22.2" customHeight="1" s="330">
      <c r="A1188" s="252" t="inlineStr">
        <is>
          <t>ลงชื่อ……………………………………………</t>
        </is>
      </c>
      <c r="G1188" s="331" t="n"/>
      <c r="H1188" s="252" t="inlineStr">
        <is>
          <t>ลงชื่อ……………………………………………</t>
        </is>
      </c>
      <c r="L1188" s="331" t="n"/>
      <c r="M1188" s="252" t="inlineStr">
        <is>
          <t>ลงชื่อ……………………………………………</t>
        </is>
      </c>
      <c r="S1188" s="331" t="n"/>
    </row>
    <row r="1189" ht="22.2" customHeight="1" s="330">
      <c r="A1189" s="12" t="inlineStr">
        <is>
          <t>(</t>
        </is>
      </c>
      <c r="B1189" s="309">
        <f>B1157</f>
        <v/>
      </c>
      <c r="G1189" s="310" t="inlineStr">
        <is>
          <t>)</t>
        </is>
      </c>
      <c r="H1189" s="309" t="inlineStr">
        <is>
          <t>(</t>
        </is>
      </c>
      <c r="I1189" s="314">
        <f>I1143</f>
        <v/>
      </c>
      <c r="L1189" s="13" t="inlineStr">
        <is>
          <t>)</t>
        </is>
      </c>
      <c r="M1189" s="61" t="inlineStr">
        <is>
          <t>(</t>
        </is>
      </c>
      <c r="N1189" s="61" t="n"/>
      <c r="O1189" s="309" t="inlineStr">
        <is>
          <t>นายพิสุทธิศักดิ์  กล่อมนาค</t>
        </is>
      </c>
      <c r="R1189" s="29" t="n"/>
      <c r="S1189" s="310" t="inlineStr">
        <is>
          <t>)</t>
        </is>
      </c>
    </row>
    <row r="1190" ht="22.2" customHeight="1" s="330">
      <c r="A1190" s="483" t="inlineStr">
        <is>
          <t xml:space="preserve">                 ตำแหน่ง  ครูพิเศษ</t>
        </is>
      </c>
      <c r="G1190" s="331" t="n"/>
      <c r="H1190" s="62" t="inlineStr">
        <is>
          <t>ตำแหน่ง หัวหน้าแผนก</t>
        </is>
      </c>
      <c r="L1190" s="331" t="n"/>
      <c r="M1190" s="62" t="inlineStr">
        <is>
          <t>ตำแหน่ง   ผู้ตรวจสอบ</t>
        </is>
      </c>
      <c r="S1190" s="331" t="n"/>
    </row>
    <row r="1191" ht="22.2" customHeight="1" s="330">
      <c r="A1191" s="63">
        <f>A41</f>
        <v/>
      </c>
      <c r="B1191" s="471" t="n"/>
      <c r="C1191" s="471" t="n"/>
      <c r="D1191" s="471" t="n"/>
      <c r="E1191" s="471" t="n"/>
      <c r="F1191" s="471" t="n"/>
      <c r="G1191" s="476" t="n"/>
      <c r="H1191" s="62">
        <f>A41</f>
        <v/>
      </c>
      <c r="L1191" s="331" t="n"/>
      <c r="M1191" s="63">
        <f>A41</f>
        <v/>
      </c>
      <c r="N1191" s="471" t="n"/>
      <c r="O1191" s="471" t="n"/>
      <c r="P1191" s="471" t="n"/>
      <c r="Q1191" s="471" t="n"/>
      <c r="R1191" s="471" t="n"/>
      <c r="S1191" s="476" t="n"/>
    </row>
    <row r="1192" ht="22.2" customHeight="1" s="330">
      <c r="A1192" s="207" t="inlineStr">
        <is>
          <t>ผู้ตรวจ</t>
        </is>
      </c>
      <c r="B1192" s="334" t="n"/>
      <c r="C1192" s="334" t="n"/>
      <c r="D1192" s="334" t="n"/>
      <c r="E1192" s="334" t="n"/>
      <c r="F1192" s="334" t="n"/>
      <c r="G1192" s="334" t="n"/>
      <c r="H1192" s="334" t="n"/>
      <c r="I1192" s="335" t="n"/>
      <c r="J1192" s="207" t="inlineStr">
        <is>
          <t>ผู้เห็นชอบ</t>
        </is>
      </c>
      <c r="K1192" s="334" t="n"/>
      <c r="L1192" s="334" t="n"/>
      <c r="M1192" s="334" t="n"/>
      <c r="N1192" s="334" t="n"/>
      <c r="O1192" s="334" t="n"/>
      <c r="P1192" s="334" t="n"/>
      <c r="Q1192" s="334" t="n"/>
      <c r="R1192" s="334" t="n"/>
      <c r="S1192" s="335" t="n"/>
    </row>
    <row r="1193" ht="22.2" customHeight="1" s="330">
      <c r="A1193" s="252" t="inlineStr">
        <is>
          <t>ลงชื่อ……………………………………………</t>
        </is>
      </c>
      <c r="I1193" s="331" t="n"/>
      <c r="J1193" s="252" t="inlineStr">
        <is>
          <t>ลงชื่อ……………………………………………</t>
        </is>
      </c>
      <c r="S1193" s="331" t="n"/>
    </row>
    <row r="1194" ht="22.2" customHeight="1" s="330">
      <c r="A1194" s="12" t="n"/>
      <c r="B1194" s="309" t="inlineStr">
        <is>
          <t xml:space="preserve">          (นางศิวรักษ์   บุญประเสริฐ)</t>
        </is>
      </c>
      <c r="I1194" s="310" t="n"/>
      <c r="J1194" s="29" t="n"/>
      <c r="K1194" s="29" t="n"/>
      <c r="L1194" s="309" t="inlineStr">
        <is>
          <t>(นายปรีชา  โพธิ์เกิด)</t>
        </is>
      </c>
      <c r="R1194" s="29" t="n"/>
      <c r="S1194" s="13" t="n"/>
    </row>
    <row r="1195" ht="22.2" customHeight="1" s="330">
      <c r="A1195" s="62" t="inlineStr">
        <is>
          <t>ตำแหน่งครู  หัวหน้างานพัฒนาหลักสูตร ฯ</t>
        </is>
      </c>
      <c r="I1195" s="331" t="n"/>
      <c r="J1195" s="62" t="inlineStr">
        <is>
          <t>ตำแหน่ง  รองผู้อำนวยการฝ่ายวิชาการ</t>
        </is>
      </c>
      <c r="S1195" s="331" t="n"/>
    </row>
    <row r="1196" ht="22.2" customHeight="1" s="330">
      <c r="A1196" s="63">
        <f>A41</f>
        <v/>
      </c>
      <c r="B1196" s="471" t="n"/>
      <c r="C1196" s="471" t="n"/>
      <c r="D1196" s="471" t="n"/>
      <c r="E1196" s="471" t="n"/>
      <c r="F1196" s="471" t="n"/>
      <c r="G1196" s="471" t="n"/>
      <c r="H1196" s="471" t="n"/>
      <c r="I1196" s="476" t="n"/>
      <c r="J1196" s="63">
        <f>A41</f>
        <v/>
      </c>
      <c r="K1196" s="471" t="n"/>
      <c r="L1196" s="471" t="n"/>
      <c r="M1196" s="471" t="n"/>
      <c r="N1196" s="471" t="n"/>
      <c r="O1196" s="471" t="n"/>
      <c r="P1196" s="471" t="n"/>
      <c r="Q1196" s="471" t="n"/>
      <c r="R1196" s="471" t="n"/>
      <c r="S1196" s="476" t="n"/>
    </row>
    <row r="1197" ht="22.2" customHeight="1" s="330">
      <c r="A119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98" ht="22.2" customHeight="1" s="330">
      <c r="A1198" s="254">
        <f>A2</f>
        <v/>
      </c>
    </row>
    <row r="1199" ht="22.2" customHeight="1" s="330">
      <c r="A1199" s="253" t="inlineStr">
        <is>
          <t xml:space="preserve">    ระหว่างวันที่</t>
        </is>
      </c>
      <c r="D1199" s="254">
        <f>D3</f>
        <v/>
      </c>
      <c r="E1199" s="254" t="inlineStr">
        <is>
          <t xml:space="preserve">   เดือน  </t>
        </is>
      </c>
      <c r="F1199" s="254">
        <f>F3</f>
        <v/>
      </c>
      <c r="H1199" s="254">
        <f>H3</f>
        <v/>
      </c>
      <c r="I1199" s="254" t="inlineStr">
        <is>
          <t xml:space="preserve">     ถึง วันที่</t>
        </is>
      </c>
      <c r="J1199" s="254">
        <f>J3</f>
        <v/>
      </c>
      <c r="K1199" s="254" t="inlineStr">
        <is>
          <t xml:space="preserve">   เดือน </t>
        </is>
      </c>
      <c r="L1199" s="254">
        <f>L3</f>
        <v/>
      </c>
      <c r="N1199" s="254">
        <f>N3</f>
        <v/>
      </c>
      <c r="P1199" s="254" t="n"/>
      <c r="R1199" s="254" t="n"/>
    </row>
    <row r="1200" ht="22.2" customHeight="1" s="330">
      <c r="H1200" s="290" t="inlineStr">
        <is>
          <t>ครู</t>
        </is>
      </c>
      <c r="I1200" s="249" t="inlineStr">
        <is>
          <t>หน้าที่พิเศษ</t>
        </is>
      </c>
      <c r="J1200" s="290" t="n"/>
    </row>
    <row r="1201" ht="22.2" customHeight="1" s="330">
      <c r="G1201" s="58" t="inlineStr">
        <is>
          <t>ü</t>
        </is>
      </c>
      <c r="H1201" s="8" t="inlineStr">
        <is>
          <t>ครูพิเศษ</t>
        </is>
      </c>
      <c r="I1201" s="249" t="inlineStr">
        <is>
          <t>หน้าที่พิเศษ</t>
        </is>
      </c>
      <c r="K1201" s="290" t="n"/>
    </row>
    <row r="1202" ht="22.2" customHeight="1" s="330">
      <c r="A1202" s="28" t="inlineStr">
        <is>
          <t>ที่</t>
        </is>
      </c>
      <c r="B1202" s="28" t="inlineStr">
        <is>
          <t>ชื่อ-สกุล</t>
        </is>
      </c>
      <c r="C1202" s="334" t="n"/>
      <c r="D1202" s="335" t="n"/>
      <c r="E1202" s="16" t="inlineStr">
        <is>
          <t>ตำแหน่ง</t>
        </is>
      </c>
      <c r="F1202" s="17" t="inlineStr">
        <is>
          <t>ระยะเวลาที่สอน</t>
        </is>
      </c>
      <c r="G1202" s="362" t="n"/>
      <c r="H1202" s="17" t="inlineStr">
        <is>
          <t>รหัสวิชา</t>
        </is>
      </c>
      <c r="I1202" s="275" t="inlineStr">
        <is>
          <t>ชั้น,แผนก,ห้อง</t>
        </is>
      </c>
      <c r="J1202" s="17" t="inlineStr">
        <is>
          <t>เวลาสอน</t>
        </is>
      </c>
      <c r="K1202" s="335" t="n"/>
      <c r="L1202" s="17" t="inlineStr">
        <is>
          <t>ปวช.(คาบ)</t>
        </is>
      </c>
      <c r="M1202" s="362" t="n"/>
      <c r="N1202" s="244" t="inlineStr">
        <is>
          <t>เงิน</t>
        </is>
      </c>
      <c r="O1202" s="275" t="inlineStr">
        <is>
          <t>ยอดเงิน</t>
        </is>
      </c>
      <c r="P1202" s="473" t="inlineStr">
        <is>
          <t>ปวส.(คาบ)</t>
        </is>
      </c>
      <c r="Q1202" s="362" t="n"/>
      <c r="R1202" s="244" t="inlineStr">
        <is>
          <t>เงิน</t>
        </is>
      </c>
      <c r="S1202" s="275" t="inlineStr">
        <is>
          <t>ยอดเงิน</t>
        </is>
      </c>
    </row>
    <row r="1203" ht="22.2" customHeight="1" s="330">
      <c r="A1203" s="60" t="n"/>
      <c r="B1203" s="9" t="n"/>
      <c r="C1203" s="10" t="n"/>
      <c r="D1203" s="14" t="n"/>
      <c r="E1203" s="11" t="n"/>
      <c r="F1203" s="276" t="inlineStr">
        <is>
          <t>ส.</t>
        </is>
      </c>
      <c r="G1203" s="276" t="inlineStr">
        <is>
          <t>วดป.</t>
        </is>
      </c>
      <c r="H1203" s="474" t="n"/>
      <c r="I1203" s="276" t="n"/>
      <c r="J1203" s="475" t="n"/>
      <c r="K1203" s="476" t="n"/>
      <c r="L1203" s="276" t="inlineStr">
        <is>
          <t>ใน</t>
        </is>
      </c>
      <c r="M1203" s="276" t="inlineStr">
        <is>
          <t>นอก</t>
        </is>
      </c>
      <c r="N1203" s="276" t="inlineStr">
        <is>
          <t>ต่อ ชม.</t>
        </is>
      </c>
      <c r="O1203" s="276" t="inlineStr">
        <is>
          <t>(บาท)</t>
        </is>
      </c>
      <c r="P1203" s="60" t="inlineStr">
        <is>
          <t>ใน</t>
        </is>
      </c>
      <c r="Q1203" s="60" t="inlineStr">
        <is>
          <t>นอก</t>
        </is>
      </c>
      <c r="R1203" s="276" t="inlineStr">
        <is>
          <t>ต่อ ชม.</t>
        </is>
      </c>
      <c r="S1203" s="276" t="inlineStr">
        <is>
          <t>(บาท)</t>
        </is>
      </c>
    </row>
    <row r="1204" ht="22.2" customHeight="1" s="330">
      <c r="A1204" s="275" t="n">
        <v>27</v>
      </c>
      <c r="B1204" s="477">
        <f>AB29</f>
        <v/>
      </c>
      <c r="C1204" s="334" t="n"/>
      <c r="D1204" s="335" t="n"/>
      <c r="E1204" s="275" t="inlineStr">
        <is>
          <t>ครู</t>
        </is>
      </c>
      <c r="F1204" s="6">
        <f>F7</f>
        <v/>
      </c>
      <c r="G1204" s="303" t="inlineStr">
        <is>
          <t>จันทร์</t>
        </is>
      </c>
      <c r="H1204" s="332" t="n"/>
      <c r="I1204" s="332" t="n"/>
      <c r="J1204" s="332" t="n"/>
      <c r="K1204" s="335" t="n"/>
      <c r="L1204" s="265" t="n"/>
      <c r="M1204" s="332" t="n"/>
      <c r="N1204" s="332" t="n"/>
      <c r="O1204" s="244">
        <f>M1204*N1204</f>
        <v/>
      </c>
      <c r="P1204" s="332" t="n"/>
      <c r="Q1204" s="265" t="n"/>
      <c r="R1204" s="332" t="n"/>
      <c r="S1204" s="244">
        <f>Q1204*R1204</f>
        <v/>
      </c>
    </row>
    <row r="1205" ht="22.2" customHeight="1" s="330">
      <c r="A1205" s="4" t="n"/>
      <c r="B1205" s="478" t="n"/>
      <c r="D1205" s="331" t="n"/>
      <c r="E1205" s="252" t="inlineStr">
        <is>
          <t>พิเศษ</t>
        </is>
      </c>
      <c r="F1205" s="249" t="n"/>
      <c r="G1205" s="308">
        <f>G1158</f>
        <v/>
      </c>
      <c r="H1205" s="252" t="n"/>
      <c r="I1205" s="252" t="n"/>
      <c r="J1205" s="252" t="n"/>
      <c r="K1205" s="331" t="n"/>
      <c r="L1205" s="252" t="n"/>
      <c r="M1205" s="252" t="n"/>
      <c r="N1205" s="252" t="n"/>
      <c r="O1205" s="244">
        <f>M1205*N1205</f>
        <v/>
      </c>
      <c r="P1205" s="252" t="n"/>
      <c r="Q1205" s="252" t="n"/>
      <c r="R1205" s="252" t="n"/>
      <c r="S1205" s="244">
        <f>Q1205*R1205</f>
        <v/>
      </c>
    </row>
    <row r="1206" ht="22.2" customHeight="1" s="330">
      <c r="A1206" s="4" t="n"/>
      <c r="B1206" s="5" t="n"/>
      <c r="D1206" s="3" t="n"/>
      <c r="E1206" s="3" t="n"/>
      <c r="F1206" s="249" t="n"/>
      <c r="G1206" s="248" t="n"/>
      <c r="H1206" s="252" t="n"/>
      <c r="I1206" s="252" t="n"/>
      <c r="J1206" s="252" t="n"/>
      <c r="K1206" s="331" t="n"/>
      <c r="L1206" s="252" t="n"/>
      <c r="M1206" s="252" t="n"/>
      <c r="N1206" s="252" t="n"/>
      <c r="O1206" s="244">
        <f>M1206*N1206</f>
        <v/>
      </c>
      <c r="P1206" s="252" t="n"/>
      <c r="Q1206" s="252" t="n"/>
      <c r="R1206" s="252" t="n"/>
      <c r="S1206" s="244">
        <f>Q1206*R1206</f>
        <v/>
      </c>
    </row>
    <row r="1207" ht="22.2" customHeight="1" s="330">
      <c r="A1207" s="4" t="n"/>
      <c r="B1207" s="5" t="n"/>
      <c r="E1207" s="4" t="n"/>
      <c r="F1207" s="249" t="n"/>
      <c r="G1207" s="248" t="n"/>
      <c r="H1207" s="252" t="n"/>
      <c r="I1207" s="252" t="n"/>
      <c r="J1207" s="252" t="n"/>
      <c r="K1207" s="331" t="n"/>
      <c r="L1207" s="252" t="n"/>
      <c r="M1207" s="252" t="n"/>
      <c r="N1207" s="252" t="n"/>
      <c r="O1207" s="244">
        <f>M1207*N1207</f>
        <v/>
      </c>
      <c r="P1207" s="252" t="n"/>
      <c r="Q1207" s="252" t="n"/>
      <c r="R1207" s="252" t="n"/>
      <c r="S1207" s="244">
        <f>Q1207*R1207</f>
        <v/>
      </c>
    </row>
    <row r="1208" ht="22.2" customHeight="1" s="330">
      <c r="A1208" s="4" t="n"/>
      <c r="E1208" s="4" t="n"/>
      <c r="G1208" s="311" t="n"/>
      <c r="H1208" s="276" t="n"/>
      <c r="I1208" s="252" t="n"/>
      <c r="J1208" s="276" t="n"/>
      <c r="K1208" s="476" t="n"/>
      <c r="L1208" s="252" t="n"/>
      <c r="M1208" s="252" t="n"/>
      <c r="N1208" s="252" t="n"/>
      <c r="O1208" s="244">
        <f>M1208*N1208</f>
        <v/>
      </c>
      <c r="P1208" s="252" t="n"/>
      <c r="Q1208" s="252" t="n"/>
      <c r="R1208" s="252" t="n"/>
      <c r="S1208" s="244">
        <f>Q1208*R1208</f>
        <v/>
      </c>
    </row>
    <row r="1209" ht="22.2" customHeight="1" s="330">
      <c r="A1209" s="4" t="n"/>
      <c r="E1209" s="4" t="n"/>
      <c r="G1209" s="62" t="inlineStr">
        <is>
          <t>อังคาร</t>
        </is>
      </c>
      <c r="H1209" s="332" t="n"/>
      <c r="I1209" s="332" t="n"/>
      <c r="J1209" s="332" t="n"/>
      <c r="K1209" s="335" t="n"/>
      <c r="L1209" s="265" t="n"/>
      <c r="M1209" s="332" t="n"/>
      <c r="N1209" s="332" t="n"/>
      <c r="O1209" s="244">
        <f>M1209*N1209</f>
        <v/>
      </c>
      <c r="P1209" s="332" t="n"/>
      <c r="Q1209" s="265" t="n"/>
      <c r="R1209" s="332" t="n"/>
      <c r="S1209" s="244">
        <f>Q1209*R1209</f>
        <v/>
      </c>
    </row>
    <row r="1210" ht="22.2" customHeight="1" s="330">
      <c r="A1210" s="4" t="n"/>
      <c r="E1210" s="4" t="n"/>
      <c r="G1210" s="308">
        <f>G1163</f>
        <v/>
      </c>
      <c r="H1210" s="252" t="n"/>
      <c r="I1210" s="252" t="n"/>
      <c r="J1210" s="252" t="n"/>
      <c r="K1210" s="331" t="n"/>
      <c r="L1210" s="252" t="n"/>
      <c r="M1210" s="252" t="n"/>
      <c r="N1210" s="252" t="n"/>
      <c r="O1210" s="244">
        <f>M1210*N1210</f>
        <v/>
      </c>
      <c r="P1210" s="252" t="n"/>
      <c r="Q1210" s="252" t="n"/>
      <c r="R1210" s="252" t="n"/>
      <c r="S1210" s="244">
        <f>Q1210*R1210</f>
        <v/>
      </c>
    </row>
    <row r="1211" ht="22.2" customHeight="1" s="330">
      <c r="A1211" s="4" t="n"/>
      <c r="B1211" s="5" t="n"/>
      <c r="D1211" s="3" t="n"/>
      <c r="E1211" s="3" t="n"/>
      <c r="G1211" s="252" t="n"/>
      <c r="H1211" s="252" t="n"/>
      <c r="I1211" s="252" t="n"/>
      <c r="J1211" s="252" t="n"/>
      <c r="K1211" s="331" t="n"/>
      <c r="L1211" s="252" t="n"/>
      <c r="M1211" s="252" t="n"/>
      <c r="N1211" s="252" t="n"/>
      <c r="O1211" s="244">
        <f>M1211*N1211</f>
        <v/>
      </c>
      <c r="P1211" s="252" t="n"/>
      <c r="Q1211" s="252" t="n"/>
      <c r="R1211" s="252" t="n"/>
      <c r="S1211" s="244">
        <f>Q1211*R1211</f>
        <v/>
      </c>
    </row>
    <row r="1212" ht="22.2" customHeight="1" s="330">
      <c r="A1212" s="4" t="n"/>
      <c r="E1212" s="4" t="n"/>
      <c r="G1212" s="62" t="n"/>
      <c r="H1212" s="249" t="n"/>
      <c r="I1212" s="252" t="n"/>
      <c r="J1212" s="252" t="n"/>
      <c r="K1212" s="331" t="n"/>
      <c r="L1212" s="252" t="n"/>
      <c r="M1212" s="252" t="n"/>
      <c r="N1212" s="252" t="n"/>
      <c r="O1212" s="244">
        <f>M1212*N1212</f>
        <v/>
      </c>
      <c r="P1212" s="252" t="n"/>
      <c r="Q1212" s="252" t="n"/>
      <c r="R1212" s="252" t="n"/>
      <c r="S1212" s="244">
        <f>Q1212*R1212</f>
        <v/>
      </c>
    </row>
    <row r="1213" ht="22.2" customHeight="1" s="330">
      <c r="A1213" s="4" t="n"/>
      <c r="D1213" s="8" t="inlineStr">
        <is>
          <t> </t>
        </is>
      </c>
      <c r="E1213" s="4" t="n"/>
      <c r="G1213" s="63" t="n"/>
      <c r="H1213" s="249" t="n"/>
      <c r="I1213" s="252" t="n"/>
      <c r="J1213" s="276" t="n"/>
      <c r="K1213" s="476" t="n"/>
      <c r="L1213" s="252" t="n"/>
      <c r="M1213" s="252" t="n"/>
      <c r="N1213" s="252" t="n"/>
      <c r="O1213" s="244">
        <f>M1213*N1213</f>
        <v/>
      </c>
      <c r="P1213" s="252" t="n"/>
      <c r="Q1213" s="252" t="n"/>
      <c r="R1213" s="252" t="n"/>
      <c r="S1213" s="244">
        <f>Q1213*R1213</f>
        <v/>
      </c>
    </row>
    <row r="1214" ht="22.2" customHeight="1" s="330">
      <c r="A1214" s="4" t="n"/>
      <c r="E1214" s="4" t="n"/>
      <c r="G1214" s="308" t="inlineStr">
        <is>
          <t>พุธ</t>
        </is>
      </c>
      <c r="H1214" s="332" t="n"/>
      <c r="I1214" s="332" t="n"/>
      <c r="J1214" s="332" t="n"/>
      <c r="K1214" s="335" t="n"/>
      <c r="L1214" s="265" t="n"/>
      <c r="M1214" s="332" t="n"/>
      <c r="N1214" s="332" t="n"/>
      <c r="O1214" s="244">
        <f>M1214*N1214</f>
        <v/>
      </c>
      <c r="P1214" s="332" t="n"/>
      <c r="Q1214" s="265" t="n"/>
      <c r="R1214" s="332" t="n"/>
      <c r="S1214" s="244">
        <f>Q1214*R1214</f>
        <v/>
      </c>
      <c r="T1214" s="25" t="n"/>
      <c r="U1214" s="26" t="inlineStr">
        <is>
          <t xml:space="preserve">     PLC</t>
        </is>
      </c>
      <c r="V1214" s="64" t="n"/>
      <c r="W1214" s="27" t="n"/>
      <c r="X1214" s="27" t="n"/>
    </row>
    <row r="1215" ht="22.2" customHeight="1" s="330">
      <c r="A1215" s="4" t="n"/>
      <c r="B1215" s="248" t="n"/>
      <c r="C1215" s="249" t="n"/>
      <c r="D1215" s="249" t="n"/>
      <c r="E1215" s="252" t="n"/>
      <c r="G1215" s="308">
        <f>G1168</f>
        <v/>
      </c>
      <c r="H1215" s="252" t="n"/>
      <c r="I1215" s="325" t="n"/>
      <c r="J1215" s="252" t="n"/>
      <c r="K1215" s="331" t="n"/>
      <c r="L1215" s="252" t="n"/>
      <c r="M1215" s="252" t="n"/>
      <c r="N1215" s="252" t="n"/>
      <c r="O1215" s="244">
        <f>M1215*N1215</f>
        <v/>
      </c>
      <c r="P1215" s="252" t="n"/>
      <c r="Q1215" s="252" t="n"/>
      <c r="R1215" s="252" t="n"/>
      <c r="S1215" s="244">
        <f>Q1215*R1215</f>
        <v/>
      </c>
      <c r="T1215" s="27" t="inlineStr">
        <is>
          <t> </t>
        </is>
      </c>
      <c r="U1215" s="26" t="inlineStr">
        <is>
          <t>17.10-19.10</t>
        </is>
      </c>
      <c r="V1215" s="64" t="n"/>
      <c r="W1215" s="27" t="n"/>
      <c r="X1215" s="27" t="n"/>
    </row>
    <row r="1216" ht="22.2" customHeight="1" s="330">
      <c r="A1216" s="4" t="n"/>
      <c r="B1216" s="5" t="n"/>
      <c r="D1216" s="3" t="n"/>
      <c r="E1216" s="3" t="n"/>
      <c r="G1216" s="252" t="n"/>
      <c r="H1216" s="252" t="n"/>
      <c r="I1216" s="325" t="n"/>
      <c r="J1216" s="252" t="n"/>
      <c r="K1216" s="331" t="n"/>
      <c r="L1216" s="252" t="n"/>
      <c r="M1216" s="252" t="n"/>
      <c r="N1216" s="252" t="n"/>
      <c r="O1216" s="244">
        <f>M1216*N1216</f>
        <v/>
      </c>
      <c r="P1216" s="252" t="n"/>
      <c r="Q1216" s="252" t="n"/>
      <c r="R1216" s="252" t="n"/>
      <c r="S1216" s="244">
        <f>Q1216*R1216</f>
        <v/>
      </c>
    </row>
    <row r="1217" ht="22.2" customHeight="1" s="330">
      <c r="A1217" s="4" t="n"/>
      <c r="E1217" s="4" t="n"/>
      <c r="G1217" s="248" t="n"/>
      <c r="H1217" s="248" t="n"/>
      <c r="I1217" s="252" t="n"/>
      <c r="J1217" s="252" t="n"/>
      <c r="K1217" s="331" t="n"/>
      <c r="L1217" s="252" t="n"/>
      <c r="M1217" s="252" t="n"/>
      <c r="N1217" s="252" t="n"/>
      <c r="O1217" s="244">
        <f>M1217*N1217</f>
        <v/>
      </c>
      <c r="P1217" s="252" t="n"/>
      <c r="Q1217" s="252" t="n"/>
      <c r="R1217" s="252" t="n"/>
      <c r="S1217" s="244">
        <f>Q1217*R1217</f>
        <v/>
      </c>
    </row>
    <row r="1218" ht="22.2" customHeight="1" s="330">
      <c r="A1218" s="4" t="n"/>
      <c r="E1218" s="4" t="n"/>
      <c r="G1218" s="277" t="n"/>
      <c r="H1218" s="277" t="n"/>
      <c r="I1218" s="276" t="n"/>
      <c r="J1218" s="276" t="n"/>
      <c r="K1218" s="476" t="n"/>
      <c r="L1218" s="276" t="n"/>
      <c r="M1218" s="276" t="n"/>
      <c r="N1218" s="276" t="n"/>
      <c r="O1218" s="244">
        <f>M1218*N1218</f>
        <v/>
      </c>
      <c r="P1218" s="276" t="n"/>
      <c r="Q1218" s="276" t="n"/>
      <c r="R1218" s="276" t="n"/>
      <c r="S1218" s="244">
        <f>Q1218*R1218</f>
        <v/>
      </c>
    </row>
    <row r="1219" ht="22.2" customHeight="1" s="330">
      <c r="A1219" s="4" t="n"/>
      <c r="E1219" s="4" t="n"/>
      <c r="G1219" s="62" t="inlineStr">
        <is>
          <t>พฤหัส</t>
        </is>
      </c>
      <c r="H1219" s="332" t="n"/>
      <c r="I1219" s="332" t="n"/>
      <c r="J1219" s="275" t="n"/>
      <c r="K1219" s="335" t="n"/>
      <c r="L1219" s="252" t="n"/>
      <c r="M1219" s="252" t="n"/>
      <c r="N1219" s="252" t="n"/>
      <c r="O1219" s="244">
        <f>M1219*N1219</f>
        <v/>
      </c>
      <c r="P1219" s="252" t="n"/>
      <c r="Q1219" s="275" t="n"/>
      <c r="R1219" s="275" t="n"/>
      <c r="S1219" s="244">
        <f>Q1219*R1219</f>
        <v/>
      </c>
    </row>
    <row r="1220" ht="22.2" customHeight="1" s="330">
      <c r="A1220" s="4" t="n"/>
      <c r="E1220" s="4" t="n"/>
      <c r="G1220" s="308">
        <f>G1173</f>
        <v/>
      </c>
      <c r="H1220" s="252" t="n"/>
      <c r="I1220" s="325" t="n"/>
      <c r="J1220" s="252" t="n"/>
      <c r="K1220" s="331" t="n"/>
      <c r="L1220" s="252" t="n"/>
      <c r="M1220" s="252" t="n"/>
      <c r="N1220" s="252" t="n"/>
      <c r="O1220" s="244">
        <f>M1220*N1220</f>
        <v/>
      </c>
      <c r="P1220" s="252" t="n"/>
      <c r="Q1220" s="252" t="n"/>
      <c r="R1220" s="252" t="n"/>
      <c r="S1220" s="244">
        <f>Q1220*R1220</f>
        <v/>
      </c>
    </row>
    <row r="1221" ht="22.2" customHeight="1" s="330">
      <c r="A1221" s="4" t="n"/>
      <c r="B1221" s="5" t="n"/>
      <c r="E1221" s="4" t="n"/>
      <c r="G1221" s="252" t="n"/>
      <c r="H1221" s="252" t="n"/>
      <c r="I1221" s="325" t="n"/>
      <c r="J1221" s="252" t="n"/>
      <c r="K1221" s="331" t="n"/>
      <c r="L1221" s="325" t="n"/>
      <c r="M1221" s="325" t="n"/>
      <c r="N1221" s="325" t="n"/>
      <c r="O1221" s="244">
        <f>M1221*N1221</f>
        <v/>
      </c>
      <c r="P1221" s="325" t="n"/>
      <c r="Q1221" s="325" t="n"/>
      <c r="R1221" s="325" t="n"/>
      <c r="S1221" s="244">
        <f>Q1221*R1221</f>
        <v/>
      </c>
    </row>
    <row r="1222" ht="22.2" customHeight="1" s="330">
      <c r="A1222" s="4" t="n"/>
      <c r="E1222" s="4" t="n"/>
      <c r="G1222" s="252" t="n"/>
      <c r="H1222" s="252" t="n"/>
      <c r="I1222" s="252" t="n"/>
      <c r="J1222" s="252" t="n"/>
      <c r="K1222" s="331" t="n"/>
      <c r="L1222" s="252" t="n"/>
      <c r="M1222" s="252" t="n"/>
      <c r="N1222" s="252" t="n"/>
      <c r="O1222" s="244">
        <f>M1222*N1222</f>
        <v/>
      </c>
      <c r="P1222" s="252" t="n"/>
      <c r="Q1222" s="252" t="n"/>
      <c r="R1222" s="252" t="n"/>
      <c r="S1222" s="244">
        <f>Q1222*R1222</f>
        <v/>
      </c>
    </row>
    <row r="1223" ht="22.2" customHeight="1" s="330">
      <c r="A1223" s="4" t="n"/>
      <c r="E1223" s="4" t="n"/>
      <c r="G1223" s="276" t="n"/>
      <c r="H1223" s="301" t="n"/>
      <c r="I1223" s="276" t="n"/>
      <c r="J1223" s="276" t="n"/>
      <c r="K1223" s="476" t="n"/>
      <c r="L1223" s="276" t="n"/>
      <c r="M1223" s="276" t="n"/>
      <c r="N1223" s="276" t="n"/>
      <c r="O1223" s="244">
        <f>M1223*N1223</f>
        <v/>
      </c>
      <c r="P1223" s="276" t="n"/>
      <c r="Q1223" s="276" t="n"/>
      <c r="R1223" s="276" t="n"/>
      <c r="S1223" s="244">
        <f>Q1223*R1223</f>
        <v/>
      </c>
    </row>
    <row r="1224" ht="22.2" customHeight="1" s="330">
      <c r="A1224" s="4" t="n"/>
      <c r="E1224" s="4" t="n"/>
      <c r="G1224" s="62" t="inlineStr">
        <is>
          <t>ศุกร์</t>
        </is>
      </c>
      <c r="H1224" s="332" t="n"/>
      <c r="I1224" s="252" t="n"/>
      <c r="J1224" s="332" t="n"/>
      <c r="K1224" s="335" t="n"/>
      <c r="L1224" s="252" t="n"/>
      <c r="M1224" s="252" t="n"/>
      <c r="N1224" s="252" t="n"/>
      <c r="O1224" s="244">
        <f>M1224*N1224</f>
        <v/>
      </c>
      <c r="P1224" s="332" t="n"/>
      <c r="Q1224" s="265" t="n"/>
      <c r="R1224" s="332" t="n"/>
      <c r="S1224" s="244">
        <f>Q1224*R1224</f>
        <v/>
      </c>
    </row>
    <row r="1225" ht="22.2" customHeight="1" s="330">
      <c r="A1225" s="4" t="n"/>
      <c r="E1225" s="4" t="n"/>
      <c r="G1225" s="308">
        <f>G1178</f>
        <v/>
      </c>
      <c r="H1225" s="252" t="n"/>
      <c r="I1225" s="252" t="n"/>
      <c r="J1225" s="252" t="n"/>
      <c r="K1225" s="331" t="n"/>
      <c r="L1225" s="252" t="n"/>
      <c r="M1225" s="252" t="n"/>
      <c r="N1225" s="252" t="n"/>
      <c r="O1225" s="244">
        <f>M1225*N1225</f>
        <v/>
      </c>
      <c r="P1225" s="252" t="n"/>
      <c r="Q1225" s="252" t="n"/>
      <c r="R1225" s="252" t="n"/>
      <c r="S1225" s="244">
        <f>Q1225*R1225</f>
        <v/>
      </c>
    </row>
    <row r="1226" ht="22.2" customHeight="1" s="330">
      <c r="A1226" s="4" t="n"/>
      <c r="E1226" s="4" t="n"/>
      <c r="G1226" s="252" t="n"/>
      <c r="H1226" s="252" t="n"/>
      <c r="I1226" s="252" t="n"/>
      <c r="J1226" s="252" t="n"/>
      <c r="K1226" s="331" t="n"/>
      <c r="L1226" s="252" t="n"/>
      <c r="M1226" s="252" t="n"/>
      <c r="N1226" s="252" t="n"/>
      <c r="O1226" s="244">
        <f>M1226*N1226</f>
        <v/>
      </c>
      <c r="P1226" s="252" t="n"/>
      <c r="Q1226" s="252" t="n"/>
      <c r="R1226" s="252" t="n"/>
      <c r="S1226" s="244">
        <f>Q1226*R1226</f>
        <v/>
      </c>
    </row>
    <row r="1227" ht="22.2" customHeight="1" s="330">
      <c r="A1227" s="4" t="n"/>
      <c r="E1227" s="4" t="n"/>
      <c r="G1227" s="252" t="n"/>
      <c r="H1227" s="249" t="inlineStr">
        <is>
          <t> </t>
        </is>
      </c>
      <c r="I1227" s="252" t="n"/>
      <c r="J1227" s="252" t="n"/>
      <c r="K1227" s="331" t="n"/>
      <c r="L1227" s="252" t="n"/>
      <c r="M1227" s="252" t="n"/>
      <c r="N1227" s="252" t="n"/>
      <c r="O1227" s="244">
        <f>M1227*N1227</f>
        <v/>
      </c>
      <c r="P1227" s="252" t="n"/>
      <c r="Q1227" s="252" t="n"/>
      <c r="R1227" s="252" t="n"/>
      <c r="S1227" s="244">
        <f>Q1227*R1227</f>
        <v/>
      </c>
    </row>
    <row r="1228" ht="22.2" customHeight="1" s="330">
      <c r="A1228" s="4" t="n"/>
      <c r="E1228" s="4" t="n"/>
      <c r="F1228" s="4" t="n"/>
      <c r="G1228" s="278" t="n"/>
      <c r="H1228" s="301" t="n"/>
      <c r="I1228" s="276" t="n"/>
      <c r="J1228" s="276" t="n"/>
      <c r="K1228" s="476" t="n"/>
      <c r="L1228" s="276" t="n"/>
      <c r="M1228" s="276" t="n"/>
      <c r="N1228" s="276" t="n"/>
      <c r="O1228" s="244">
        <f>M1228*N1228</f>
        <v/>
      </c>
      <c r="P1228" s="276" t="n"/>
      <c r="Q1228" s="276" t="n"/>
      <c r="R1228" s="276" t="n"/>
      <c r="S1228" s="244">
        <f>Q1228*R1228</f>
        <v/>
      </c>
    </row>
    <row r="1229" ht="22.2" customHeight="1" s="330">
      <c r="A1229" s="4" t="n"/>
      <c r="E1229" s="4" t="n"/>
      <c r="F1229" s="4" t="n"/>
      <c r="G1229" s="17" t="inlineStr">
        <is>
          <t>รวมขั่วโมงที่สอนแยก ภาระงาน/ เกินภาระงาน</t>
        </is>
      </c>
      <c r="H1229" s="467" t="n"/>
      <c r="I1229" s="467" t="n"/>
      <c r="J1229" s="467" t="n"/>
      <c r="K1229" s="362" t="n"/>
      <c r="L1229" s="17">
        <f>SUM(L1204:L1228)</f>
        <v/>
      </c>
      <c r="M1229" s="17">
        <f>SUM(M1204:M1228)</f>
        <v/>
      </c>
      <c r="N1229" s="17" t="n"/>
      <c r="O1229" s="17" t="n"/>
      <c r="P1229" s="17">
        <f>SUM(P1204:P1228)</f>
        <v/>
      </c>
      <c r="Q1229" s="17">
        <f>SUM(Q1204:Q1228)</f>
        <v/>
      </c>
      <c r="R1229" s="279" t="n"/>
      <c r="S1229" s="17" t="n"/>
    </row>
    <row r="1230" ht="22.2" customHeight="1" s="330">
      <c r="A1230" s="4" t="n"/>
      <c r="E1230" s="4" t="n"/>
      <c r="F1230" s="4" t="n"/>
      <c r="G1230" s="17" t="inlineStr">
        <is>
          <t>รวมจำนวนชั่วโมงสอนคาบต่อสับดาห์</t>
        </is>
      </c>
      <c r="H1230" s="467" t="n"/>
      <c r="I1230" s="467" t="n"/>
      <c r="J1230" s="467" t="n"/>
      <c r="K1230" s="362" t="n"/>
      <c r="L1230" s="17">
        <f>L1229+M1229</f>
        <v/>
      </c>
      <c r="M1230" s="362" t="n"/>
      <c r="N1230" s="298" t="n"/>
      <c r="O1230" s="17" t="n"/>
      <c r="P1230" s="17">
        <f>P1229+Q1229</f>
        <v/>
      </c>
      <c r="Q1230" s="362" t="n"/>
      <c r="R1230" s="278" t="n"/>
      <c r="S1230" s="276" t="n"/>
    </row>
    <row r="1231" ht="22.2" customHeight="1" s="330">
      <c r="A1231" s="4" t="n"/>
      <c r="E1231" s="4" t="n"/>
      <c r="F1231" s="4" t="n"/>
      <c r="G1231" s="17" t="inlineStr">
        <is>
          <t>จำนวนชั่วโมงสอนตามภาระงานสอน</t>
        </is>
      </c>
      <c r="H1231" s="467" t="n"/>
      <c r="I1231" s="467" t="n"/>
      <c r="J1231" s="467" t="n"/>
      <c r="K1231" s="362" t="n"/>
      <c r="L1231" s="252" t="n">
        <v>18</v>
      </c>
      <c r="M1231" s="252" t="inlineStr">
        <is>
          <t>ปวช.</t>
        </is>
      </c>
      <c r="N1231" s="252" t="n"/>
      <c r="O1231" s="252" t="n"/>
      <c r="P1231" s="252" t="n"/>
      <c r="Q1231" s="252" t="inlineStr">
        <is>
          <t>ปวส.</t>
        </is>
      </c>
      <c r="R1231" s="249" t="n"/>
      <c r="S1231" s="252" t="n"/>
    </row>
    <row r="1232" ht="22.2" customHeight="1" s="330" thickBot="1">
      <c r="A1232" s="4" t="n"/>
      <c r="E1232" s="4" t="n"/>
      <c r="F1232" s="15" t="n"/>
      <c r="G1232" s="17" t="inlineStr">
        <is>
          <t>จำนวนชั่วโมงบิกเกินภาระงานสอน/ค่าสอน</t>
        </is>
      </c>
      <c r="H1232" s="467" t="n"/>
      <c r="I1232" s="467" t="n"/>
      <c r="J1232" s="467" t="n"/>
      <c r="K1232" s="362" t="n"/>
      <c r="L1232" s="18" t="n">
        <v>0</v>
      </c>
      <c r="M1232" s="18">
        <f>SUM(M1204:M1228)</f>
        <v/>
      </c>
      <c r="N1232" s="18" t="n"/>
      <c r="O1232" s="18">
        <f>SUM(O1204:O1228)</f>
        <v/>
      </c>
      <c r="P1232" s="18" t="n">
        <v>0</v>
      </c>
      <c r="Q1232" s="18">
        <f>SUM(Q1204:Q1228)</f>
        <v/>
      </c>
      <c r="R1232" s="19" t="n"/>
      <c r="S1232" s="18">
        <f>SUM(S1204:S1228)</f>
        <v/>
      </c>
    </row>
    <row r="1233" ht="22.2" customHeight="1" s="330" thickTop="1">
      <c r="A1233" s="299" t="inlineStr">
        <is>
          <t>รวมจำนวนหน่วยชั่วโมงที่ขอเบิกค่าสอน ….</t>
        </is>
      </c>
      <c r="B1233" s="467" t="n"/>
      <c r="C1233" s="467" t="n"/>
      <c r="D1233" s="467" t="n"/>
      <c r="E1233" s="467" t="n"/>
      <c r="F1233" s="467" t="n"/>
      <c r="G1233" s="467" t="n"/>
      <c r="H1233" s="298">
        <f>M1232+Q1232</f>
        <v/>
      </c>
      <c r="I1233" s="298" t="inlineStr">
        <is>
          <t>….ชั่วโมง</t>
        </is>
      </c>
      <c r="J1233" s="298" t="n"/>
      <c r="K1233" s="301" t="inlineStr">
        <is>
          <t>ยอดเงินรวม</t>
        </is>
      </c>
      <c r="L1233" s="471" t="n"/>
      <c r="M1233" s="471" t="n"/>
      <c r="N1233" s="301" t="n"/>
      <c r="O1233" s="301" t="n"/>
      <c r="P1233" s="302">
        <f>S1232+O1232</f>
        <v/>
      </c>
      <c r="Q1233" s="482" t="n"/>
      <c r="R1233" s="21" t="n"/>
      <c r="S1233" s="20" t="inlineStr">
        <is>
          <t>..บาท</t>
        </is>
      </c>
    </row>
    <row r="1234" ht="22.2" customHeight="1" s="330">
      <c r="A1234" s="207" t="inlineStr">
        <is>
          <t>ผู้ขอเบิก</t>
        </is>
      </c>
      <c r="B1234" s="334" t="n"/>
      <c r="C1234" s="334" t="n"/>
      <c r="D1234" s="334" t="n"/>
      <c r="E1234" s="334" t="n"/>
      <c r="F1234" s="334" t="n"/>
      <c r="G1234" s="335" t="n"/>
      <c r="H1234" s="207" t="inlineStr">
        <is>
          <t>ผู้รับรอง</t>
        </is>
      </c>
      <c r="I1234" s="334" t="n"/>
      <c r="J1234" s="334" t="n"/>
      <c r="K1234" s="334" t="n"/>
      <c r="L1234" s="335" t="n"/>
      <c r="M1234" s="207" t="inlineStr">
        <is>
          <t>ผู้ตรวจ</t>
        </is>
      </c>
      <c r="N1234" s="334" t="n"/>
      <c r="O1234" s="334" t="n"/>
      <c r="P1234" s="334" t="n"/>
      <c r="Q1234" s="334" t="n"/>
      <c r="R1234" s="334" t="n"/>
      <c r="S1234" s="335" t="n"/>
    </row>
    <row r="1235" ht="22.2" customHeight="1" s="330">
      <c r="A1235" s="252" t="inlineStr">
        <is>
          <t>ลงชื่อ……………………………………………</t>
        </is>
      </c>
      <c r="G1235" s="331" t="n"/>
      <c r="H1235" s="252" t="inlineStr">
        <is>
          <t>ลงชื่อ……………………………………………</t>
        </is>
      </c>
      <c r="L1235" s="331" t="n"/>
      <c r="M1235" s="252" t="inlineStr">
        <is>
          <t>ลงชื่อ……………………………………………</t>
        </is>
      </c>
      <c r="S1235" s="331" t="n"/>
    </row>
    <row r="1236" ht="22.2" customHeight="1" s="330">
      <c r="A1236" s="12" t="inlineStr">
        <is>
          <t>(</t>
        </is>
      </c>
      <c r="B1236" s="309">
        <f>AB27</f>
        <v/>
      </c>
      <c r="G1236" s="310" t="inlineStr">
        <is>
          <t>)</t>
        </is>
      </c>
      <c r="H1236" s="309" t="inlineStr">
        <is>
          <t>(</t>
        </is>
      </c>
      <c r="I1236" s="314" t="inlineStr">
        <is>
          <t>นายไพรัช  อินทุรัตน์</t>
        </is>
      </c>
      <c r="L1236" s="13" t="inlineStr">
        <is>
          <t>)</t>
        </is>
      </c>
      <c r="M1236" s="61" t="inlineStr">
        <is>
          <t>(</t>
        </is>
      </c>
      <c r="N1236" s="61" t="n"/>
      <c r="O1236" s="309" t="inlineStr">
        <is>
          <t>นายพิสุทธิศักดิ์  กล่อมนาค</t>
        </is>
      </c>
      <c r="R1236" s="29" t="n"/>
      <c r="S1236" s="310" t="inlineStr">
        <is>
          <t>)</t>
        </is>
      </c>
    </row>
    <row r="1237" ht="22.2" customHeight="1" s="330">
      <c r="A1237" s="483" t="inlineStr">
        <is>
          <t xml:space="preserve">                 ตำแหน่ง  ครูพิเศษ</t>
        </is>
      </c>
      <c r="G1237" s="331" t="n"/>
      <c r="H1237" s="62" t="inlineStr">
        <is>
          <t>ตำแหน่ง หัวหน้าแผนก</t>
        </is>
      </c>
      <c r="L1237" s="331" t="n"/>
      <c r="M1237" s="62" t="inlineStr">
        <is>
          <t>ตำแหน่ง   ผู้ตรวจสอบ</t>
        </is>
      </c>
      <c r="S1237" s="331" t="n"/>
    </row>
    <row r="1238" ht="22.2" customHeight="1" s="330">
      <c r="A1238" s="63">
        <f>A41</f>
        <v/>
      </c>
      <c r="B1238" s="471" t="n"/>
      <c r="C1238" s="471" t="n"/>
      <c r="D1238" s="471" t="n"/>
      <c r="E1238" s="471" t="n"/>
      <c r="F1238" s="471" t="n"/>
      <c r="G1238" s="476" t="n"/>
      <c r="H1238" s="62">
        <f>A41</f>
        <v/>
      </c>
      <c r="L1238" s="331" t="n"/>
      <c r="M1238" s="63">
        <f>A41</f>
        <v/>
      </c>
      <c r="N1238" s="471" t="n"/>
      <c r="O1238" s="471" t="n"/>
      <c r="P1238" s="471" t="n"/>
      <c r="Q1238" s="471" t="n"/>
      <c r="R1238" s="471" t="n"/>
      <c r="S1238" s="476" t="n"/>
    </row>
    <row r="1239" ht="22.2" customHeight="1" s="330">
      <c r="A1239" s="207" t="inlineStr">
        <is>
          <t>ผู้ตรวจ</t>
        </is>
      </c>
      <c r="B1239" s="334" t="n"/>
      <c r="C1239" s="334" t="n"/>
      <c r="D1239" s="334" t="n"/>
      <c r="E1239" s="334" t="n"/>
      <c r="F1239" s="334" t="n"/>
      <c r="G1239" s="334" t="n"/>
      <c r="H1239" s="334" t="n"/>
      <c r="I1239" s="335" t="n"/>
      <c r="J1239" s="207" t="inlineStr">
        <is>
          <t>ผู้เห็นชอบ</t>
        </is>
      </c>
      <c r="K1239" s="334" t="n"/>
      <c r="L1239" s="334" t="n"/>
      <c r="M1239" s="334" t="n"/>
      <c r="N1239" s="334" t="n"/>
      <c r="O1239" s="334" t="n"/>
      <c r="P1239" s="334" t="n"/>
      <c r="Q1239" s="334" t="n"/>
      <c r="R1239" s="334" t="n"/>
      <c r="S1239" s="335" t="n"/>
    </row>
    <row r="1240" ht="22.2" customHeight="1" s="330">
      <c r="A1240" s="252" t="inlineStr">
        <is>
          <t>ลงชื่อ……………………………………………</t>
        </is>
      </c>
      <c r="I1240" s="331" t="n"/>
      <c r="J1240" s="252" t="inlineStr">
        <is>
          <t>ลงชื่อ……………………………………………</t>
        </is>
      </c>
      <c r="S1240" s="331" t="n"/>
    </row>
    <row r="1241" ht="22.2" customHeight="1" s="330">
      <c r="A1241" s="12" t="n"/>
      <c r="B1241" s="309" t="inlineStr">
        <is>
          <t xml:space="preserve">          (นางศิวรักษ์   บุญประเสริฐ)</t>
        </is>
      </c>
      <c r="I1241" s="310" t="n"/>
      <c r="J1241" s="29" t="n"/>
      <c r="K1241" s="29" t="n"/>
      <c r="L1241" s="309" t="inlineStr">
        <is>
          <t>(นายปรีชา  โพธิ์เกิด)</t>
        </is>
      </c>
      <c r="R1241" s="29" t="n"/>
      <c r="S1241" s="13" t="n"/>
    </row>
    <row r="1242" ht="22.2" customHeight="1" s="330">
      <c r="A1242" s="62" t="inlineStr">
        <is>
          <t>ตำแหน่งครู  หัวหน้างานพัฒนาหลักสูตร ฯ</t>
        </is>
      </c>
      <c r="I1242" s="331" t="n"/>
      <c r="J1242" s="62" t="inlineStr">
        <is>
          <t>ตำแหน่ง  รองผู้อำนวยการฝ่ายวิชาการ</t>
        </is>
      </c>
      <c r="S1242" s="331" t="n"/>
    </row>
    <row r="1243" ht="22.2" customHeight="1" s="330">
      <c r="A1243" s="63">
        <f>A41</f>
        <v/>
      </c>
      <c r="B1243" s="471" t="n"/>
      <c r="C1243" s="471" t="n"/>
      <c r="D1243" s="471" t="n"/>
      <c r="E1243" s="471" t="n"/>
      <c r="F1243" s="471" t="n"/>
      <c r="G1243" s="471" t="n"/>
      <c r="H1243" s="471" t="n"/>
      <c r="I1243" s="476" t="n"/>
      <c r="J1243" s="63">
        <f>A41</f>
        <v/>
      </c>
      <c r="K1243" s="471" t="n"/>
      <c r="L1243" s="471" t="n"/>
      <c r="M1243" s="471" t="n"/>
      <c r="N1243" s="471" t="n"/>
      <c r="O1243" s="471" t="n"/>
      <c r="P1243" s="471" t="n"/>
      <c r="Q1243" s="471" t="n"/>
      <c r="R1243" s="471" t="n"/>
      <c r="S1243" s="476" t="n"/>
    </row>
  </sheetData>
  <mergeCells count="2174">
    <mergeCell ref="H451:L451"/>
    <mergeCell ref="H961:L961"/>
    <mergeCell ref="P496:Q496"/>
    <mergeCell ref="J933:K933"/>
    <mergeCell ref="M221:S221"/>
    <mergeCell ref="AH27:AJ27"/>
    <mergeCell ref="J288:K288"/>
    <mergeCell ref="J207:K207"/>
    <mergeCell ref="L263:M263"/>
    <mergeCell ref="B1005:F1005"/>
    <mergeCell ref="J5:K6"/>
    <mergeCell ref="J824:S824"/>
    <mergeCell ref="B734:H734"/>
    <mergeCell ref="J1147:S1147"/>
    <mergeCell ref="J934:K934"/>
    <mergeCell ref="J928:K928"/>
    <mergeCell ref="J805:K805"/>
    <mergeCell ref="AH22:AJ22"/>
    <mergeCell ref="J963:S963"/>
    <mergeCell ref="H593:L593"/>
    <mergeCell ref="N785:O785"/>
    <mergeCell ref="O269:Q269"/>
    <mergeCell ref="A776:G776"/>
    <mergeCell ref="K1233:M1233"/>
    <mergeCell ref="B882:D882"/>
    <mergeCell ref="G492:K492"/>
    <mergeCell ref="J347:K347"/>
    <mergeCell ref="P1183:Q1183"/>
    <mergeCell ref="K1048:M1048"/>
    <mergeCell ref="A963:I963"/>
    <mergeCell ref="A1199:C1199"/>
    <mergeCell ref="J349:K349"/>
    <mergeCell ref="P511:Q511"/>
    <mergeCell ref="J981:K981"/>
    <mergeCell ref="L412:Q412"/>
    <mergeCell ref="J518:K518"/>
    <mergeCell ref="H911:L911"/>
    <mergeCell ref="P542:Q542"/>
    <mergeCell ref="J947:K947"/>
    <mergeCell ref="L741:M741"/>
    <mergeCell ref="A83:G83"/>
    <mergeCell ref="J344:K344"/>
    <mergeCell ref="J520:K520"/>
    <mergeCell ref="A186:S186"/>
    <mergeCell ref="J976:K976"/>
    <mergeCell ref="J375:K375"/>
    <mergeCell ref="G539:K539"/>
    <mergeCell ref="B1051:F1051"/>
    <mergeCell ref="P141:Q141"/>
    <mergeCell ref="J1193:S1193"/>
    <mergeCell ref="J246:K246"/>
    <mergeCell ref="J459:S459"/>
    <mergeCell ref="J675:K675"/>
    <mergeCell ref="I453:K453"/>
    <mergeCell ref="J973:K973"/>
    <mergeCell ref="P1202:Q1202"/>
    <mergeCell ref="P143:Q143"/>
    <mergeCell ref="J248:K248"/>
    <mergeCell ref="A45:I45"/>
    <mergeCell ref="J975:K975"/>
    <mergeCell ref="L1092:M1092"/>
    <mergeCell ref="J1029:K1029"/>
    <mergeCell ref="L642:Q642"/>
    <mergeCell ref="M914:S914"/>
    <mergeCell ref="B606:D606"/>
    <mergeCell ref="M313:S313"/>
    <mergeCell ref="O683:Q683"/>
    <mergeCell ref="A1190:G1190"/>
    <mergeCell ref="F925:G925"/>
    <mergeCell ref="H1003:L1003"/>
    <mergeCell ref="M911:S911"/>
    <mergeCell ref="J747:K747"/>
    <mergeCell ref="H787:H788"/>
    <mergeCell ref="J180:S180"/>
    <mergeCell ref="J1176:K1176"/>
    <mergeCell ref="J292:K292"/>
    <mergeCell ref="J286:K286"/>
    <mergeCell ref="J302:K302"/>
    <mergeCell ref="N877:O877"/>
    <mergeCell ref="A732:I732"/>
    <mergeCell ref="A275:I275"/>
    <mergeCell ref="B550:H550"/>
    <mergeCell ref="J287:K287"/>
    <mergeCell ref="I499:K499"/>
    <mergeCell ref="J1073:K1073"/>
    <mergeCell ref="J14:K14"/>
    <mergeCell ref="J610:K610"/>
    <mergeCell ref="AH9:AJ9"/>
    <mergeCell ref="AE8:AG8"/>
    <mergeCell ref="I223:K223"/>
    <mergeCell ref="J13:K13"/>
    <mergeCell ref="A450:G450"/>
    <mergeCell ref="J1075:K1075"/>
    <mergeCell ref="J618:K618"/>
    <mergeCell ref="J1202:K1203"/>
    <mergeCell ref="AE10:AG10"/>
    <mergeCell ref="AH11:AJ11"/>
    <mergeCell ref="J15:K15"/>
    <mergeCell ref="J1068:K1068"/>
    <mergeCell ref="G494:K494"/>
    <mergeCell ref="H129:L129"/>
    <mergeCell ref="M1003:S1003"/>
    <mergeCell ref="A589:G589"/>
    <mergeCell ref="J51:K52"/>
    <mergeCell ref="B695:D695"/>
    <mergeCell ref="G34:K34"/>
    <mergeCell ref="L1045:M1045"/>
    <mergeCell ref="H727:L727"/>
    <mergeCell ref="A962:I962"/>
    <mergeCell ref="A501:G501"/>
    <mergeCell ref="A279:C279"/>
    <mergeCell ref="F509:G509"/>
    <mergeCell ref="J974:K974"/>
    <mergeCell ref="J1215:K1215"/>
    <mergeCell ref="P264:Q264"/>
    <mergeCell ref="A592:G592"/>
    <mergeCell ref="B315:F315"/>
    <mergeCell ref="AE21:AG21"/>
    <mergeCell ref="L1061:M1061"/>
    <mergeCell ref="J244:K244"/>
    <mergeCell ref="J1119:K1119"/>
    <mergeCell ref="J700:K700"/>
    <mergeCell ref="A690:I690"/>
    <mergeCell ref="AE23:AG23"/>
    <mergeCell ref="L1063:M1063"/>
    <mergeCell ref="J28:K28"/>
    <mergeCell ref="O591:Q591"/>
    <mergeCell ref="L3:M3"/>
    <mergeCell ref="A1060:S1060"/>
    <mergeCell ref="J272:S272"/>
    <mergeCell ref="A819:G819"/>
    <mergeCell ref="L5:M5"/>
    <mergeCell ref="P1015:Q1015"/>
    <mergeCell ref="B281:D281"/>
    <mergeCell ref="A599:S599"/>
    <mergeCell ref="K358:M358"/>
    <mergeCell ref="J384:K384"/>
    <mergeCell ref="M129:S129"/>
    <mergeCell ref="A87:G87"/>
    <mergeCell ref="P125:Q125"/>
    <mergeCell ref="J989:K989"/>
    <mergeCell ref="J255:K255"/>
    <mergeCell ref="M638:S638"/>
    <mergeCell ref="K956:M956"/>
    <mergeCell ref="B913:F913"/>
    <mergeCell ref="H684:L684"/>
    <mergeCell ref="B642:H642"/>
    <mergeCell ref="J982:K982"/>
    <mergeCell ref="J842:K842"/>
    <mergeCell ref="M727:S727"/>
    <mergeCell ref="J713:K713"/>
    <mergeCell ref="G217:K217"/>
    <mergeCell ref="J511:K512"/>
    <mergeCell ref="J110:K110"/>
    <mergeCell ref="H1098:L1098"/>
    <mergeCell ref="H501:L501"/>
    <mergeCell ref="J715:K715"/>
    <mergeCell ref="M1238:S1238"/>
    <mergeCell ref="L356:M356"/>
    <mergeCell ref="H38:L38"/>
    <mergeCell ref="A961:G961"/>
    <mergeCell ref="A542:G542"/>
    <mergeCell ref="Z27:AA27"/>
    <mergeCell ref="B790:D790"/>
    <mergeCell ref="G400:K400"/>
    <mergeCell ref="H40:L40"/>
    <mergeCell ref="J1069:K1069"/>
    <mergeCell ref="A544:G544"/>
    <mergeCell ref="J99:K99"/>
    <mergeCell ref="G402:K402"/>
    <mergeCell ref="J397:K397"/>
    <mergeCell ref="A1107:C1107"/>
    <mergeCell ref="A414:I414"/>
    <mergeCell ref="J1071:K1071"/>
    <mergeCell ref="P1233:Q1233"/>
    <mergeCell ref="Z22:AA22"/>
    <mergeCell ref="AE6:AG6"/>
    <mergeCell ref="J101:K101"/>
    <mergeCell ref="J1160:K1160"/>
    <mergeCell ref="A1054:I1054"/>
    <mergeCell ref="J100:K100"/>
    <mergeCell ref="B872:H872"/>
    <mergeCell ref="F601:G601"/>
    <mergeCell ref="J1066:K1066"/>
    <mergeCell ref="A1055:I1055"/>
    <mergeCell ref="G32:K32"/>
    <mergeCell ref="J1101:S1101"/>
    <mergeCell ref="M37:S37"/>
    <mergeCell ref="H97:H98"/>
    <mergeCell ref="O407:Q407"/>
    <mergeCell ref="J29:K29"/>
    <mergeCell ref="J1082:K1082"/>
    <mergeCell ref="P51:Q51"/>
    <mergeCell ref="A588:G588"/>
    <mergeCell ref="G630:K630"/>
    <mergeCell ref="J1213:K1213"/>
    <mergeCell ref="M1098:S1098"/>
    <mergeCell ref="AE17:AG17"/>
    <mergeCell ref="P954:Q954"/>
    <mergeCell ref="M38:S38"/>
    <mergeCell ref="J1084:K1084"/>
    <mergeCell ref="J329:K329"/>
    <mergeCell ref="G632:K632"/>
    <mergeCell ref="J627:K627"/>
    <mergeCell ref="P649:Q649"/>
    <mergeCell ref="AE19:AG19"/>
    <mergeCell ref="J481:K481"/>
    <mergeCell ref="J552:S552"/>
    <mergeCell ref="M1004:S1004"/>
    <mergeCell ref="J24:K24"/>
    <mergeCell ref="J1208:K1208"/>
    <mergeCell ref="P680:Q680"/>
    <mergeCell ref="L1183:M1183"/>
    <mergeCell ref="J1085:K1085"/>
    <mergeCell ref="J26:K26"/>
    <mergeCell ref="L126:M126"/>
    <mergeCell ref="N601:O601"/>
    <mergeCell ref="A43:I43"/>
    <mergeCell ref="J482:K482"/>
    <mergeCell ref="P1094:Q1094"/>
    <mergeCell ref="A914:G914"/>
    <mergeCell ref="B1189:F1189"/>
    <mergeCell ref="J813:K813"/>
    <mergeCell ref="I591:K591"/>
    <mergeCell ref="J807:K807"/>
    <mergeCell ref="J1111:K1111"/>
    <mergeCell ref="J350:K350"/>
    <mergeCell ref="J386:K386"/>
    <mergeCell ref="A738:S738"/>
    <mergeCell ref="J352:K352"/>
    <mergeCell ref="J711:K711"/>
    <mergeCell ref="I407:K407"/>
    <mergeCell ref="L1202:M1202"/>
    <mergeCell ref="L780:Q780"/>
    <mergeCell ref="P693:Q693"/>
    <mergeCell ref="B419:D419"/>
    <mergeCell ref="K680:M680"/>
    <mergeCell ref="M451:S451"/>
    <mergeCell ref="A1003:G1003"/>
    <mergeCell ref="P726:Q726"/>
    <mergeCell ref="P263:Q263"/>
    <mergeCell ref="J70:K70"/>
    <mergeCell ref="J235:K236"/>
    <mergeCell ref="K1094:M1094"/>
    <mergeCell ref="J63:K63"/>
    <mergeCell ref="H925:H926"/>
    <mergeCell ref="AB49:AD49"/>
    <mergeCell ref="J422:K422"/>
    <mergeCell ref="J1166:K1166"/>
    <mergeCell ref="J851:K851"/>
    <mergeCell ref="J833:K834"/>
    <mergeCell ref="B743:D743"/>
    <mergeCell ref="J424:K424"/>
    <mergeCell ref="H823:L823"/>
    <mergeCell ref="J1037:K1037"/>
    <mergeCell ref="L1230:M1230"/>
    <mergeCell ref="J853:K853"/>
    <mergeCell ref="AB50:AD50"/>
    <mergeCell ref="O499:Q499"/>
    <mergeCell ref="A870:I870"/>
    <mergeCell ref="G1185:K1185"/>
    <mergeCell ref="Z9:AA9"/>
    <mergeCell ref="A784:S784"/>
    <mergeCell ref="H362:L362"/>
    <mergeCell ref="P1046:Q1046"/>
    <mergeCell ref="I637:K637"/>
    <mergeCell ref="Z11:AA11"/>
    <mergeCell ref="J421:K421"/>
    <mergeCell ref="G724:K724"/>
    <mergeCell ref="J579:K579"/>
    <mergeCell ref="P923:Q923"/>
    <mergeCell ref="J755:K755"/>
    <mergeCell ref="B223:F223"/>
    <mergeCell ref="J152:K152"/>
    <mergeCell ref="J748:K748"/>
    <mergeCell ref="J1177:K1177"/>
    <mergeCell ref="A135:I135"/>
    <mergeCell ref="J750:K750"/>
    <mergeCell ref="J1100:S1100"/>
    <mergeCell ref="J1204:K1204"/>
    <mergeCell ref="J1179:K1179"/>
    <mergeCell ref="J147:K147"/>
    <mergeCell ref="O131:Q131"/>
    <mergeCell ref="A727:G727"/>
    <mergeCell ref="H409:L409"/>
    <mergeCell ref="P678:Q678"/>
    <mergeCell ref="H235:H236"/>
    <mergeCell ref="O729:Q729"/>
    <mergeCell ref="J468:K468"/>
    <mergeCell ref="P373:Q373"/>
    <mergeCell ref="A417:C417"/>
    <mergeCell ref="P33:Q33"/>
    <mergeCell ref="L511:M511"/>
    <mergeCell ref="H1049:L1049"/>
    <mergeCell ref="J163:K163"/>
    <mergeCell ref="M823:S823"/>
    <mergeCell ref="J294:K294"/>
    <mergeCell ref="A1238:G1238"/>
    <mergeCell ref="J365:S365"/>
    <mergeCell ref="J890:K890"/>
    <mergeCell ref="A364:I364"/>
    <mergeCell ref="J165:K165"/>
    <mergeCell ref="A1239:I1239"/>
    <mergeCell ref="J382:K382"/>
    <mergeCell ref="L872:Q872"/>
    <mergeCell ref="J892:K892"/>
    <mergeCell ref="J811:K811"/>
    <mergeCell ref="AB2:AD2"/>
    <mergeCell ref="J77:K77"/>
    <mergeCell ref="J348:K348"/>
    <mergeCell ref="J1223:K1223"/>
    <mergeCell ref="L264:M264"/>
    <mergeCell ref="A1240:I1240"/>
    <mergeCell ref="A181:I181"/>
    <mergeCell ref="M820:S820"/>
    <mergeCell ref="L141:M141"/>
    <mergeCell ref="J522:K522"/>
    <mergeCell ref="J735:S735"/>
    <mergeCell ref="A505:I505"/>
    <mergeCell ref="J524:K524"/>
    <mergeCell ref="M409:S409"/>
    <mergeCell ref="B780:H780"/>
    <mergeCell ref="J61:K61"/>
    <mergeCell ref="A876:S876"/>
    <mergeCell ref="H175:L175"/>
    <mergeCell ref="A1098:G1098"/>
    <mergeCell ref="M1049:S1049"/>
    <mergeCell ref="J1122:K1122"/>
    <mergeCell ref="L125:M125"/>
    <mergeCell ref="B741:D741"/>
    <mergeCell ref="P831:Q831"/>
    <mergeCell ref="A38:G38"/>
    <mergeCell ref="J519:K519"/>
    <mergeCell ref="AB48:AD48"/>
    <mergeCell ref="P404:Q404"/>
    <mergeCell ref="H176:L176"/>
    <mergeCell ref="Z7:AA7"/>
    <mergeCell ref="A40:G40"/>
    <mergeCell ref="A680:G680"/>
    <mergeCell ref="G538:K538"/>
    <mergeCell ref="J1192:S1192"/>
    <mergeCell ref="J664:K664"/>
    <mergeCell ref="H178:L178"/>
    <mergeCell ref="L310:M310"/>
    <mergeCell ref="J237:K237"/>
    <mergeCell ref="G540:K540"/>
    <mergeCell ref="Z8:AA8"/>
    <mergeCell ref="J535:K535"/>
    <mergeCell ref="J1173:K1173"/>
    <mergeCell ref="Z2:AA2"/>
    <mergeCell ref="G1136:K1136"/>
    <mergeCell ref="F141:G141"/>
    <mergeCell ref="P1045:Q1045"/>
    <mergeCell ref="A736:I736"/>
    <mergeCell ref="J239:K239"/>
    <mergeCell ref="J537:K537"/>
    <mergeCell ref="J1175:K1175"/>
    <mergeCell ref="J118:K118"/>
    <mergeCell ref="A1192:I1192"/>
    <mergeCell ref="O637:Q637"/>
    <mergeCell ref="F739:G739"/>
    <mergeCell ref="A1106:S1106"/>
    <mergeCell ref="I775:K775"/>
    <mergeCell ref="F741:G741"/>
    <mergeCell ref="P1061:Q1061"/>
    <mergeCell ref="F1153:G1153"/>
    <mergeCell ref="M175:S175"/>
    <mergeCell ref="J563:K563"/>
    <mergeCell ref="J167:K167"/>
    <mergeCell ref="G768:K768"/>
    <mergeCell ref="A726:G726"/>
    <mergeCell ref="J894:K894"/>
    <mergeCell ref="J932:K932"/>
    <mergeCell ref="J888:K888"/>
    <mergeCell ref="H133:L133"/>
    <mergeCell ref="M176:S176"/>
    <mergeCell ref="G770:K770"/>
    <mergeCell ref="P787:Q787"/>
    <mergeCell ref="J690:S690"/>
    <mergeCell ref="J162:K162"/>
    <mergeCell ref="L51:M51"/>
    <mergeCell ref="H547:L547"/>
    <mergeCell ref="AH13:AJ13"/>
    <mergeCell ref="P818:Q818"/>
    <mergeCell ref="L954:M954"/>
    <mergeCell ref="J164:K164"/>
    <mergeCell ref="H1109:H1110"/>
    <mergeCell ref="A739:C739"/>
    <mergeCell ref="G909:K909"/>
    <mergeCell ref="B836:D836"/>
    <mergeCell ref="P171:Q171"/>
    <mergeCell ref="L649:M649"/>
    <mergeCell ref="J616:K616"/>
    <mergeCell ref="F785:G785"/>
    <mergeCell ref="K1186:M1186"/>
    <mergeCell ref="J372:S372"/>
    <mergeCell ref="J487:K487"/>
    <mergeCell ref="A1052:G1052"/>
    <mergeCell ref="AH8:AJ8"/>
    <mergeCell ref="H1191:L1191"/>
    <mergeCell ref="AB16:AD16"/>
    <mergeCell ref="J1214:K1214"/>
    <mergeCell ref="J410:S410"/>
    <mergeCell ref="AH10:AJ10"/>
    <mergeCell ref="AB9:AD9"/>
    <mergeCell ref="J609:K609"/>
    <mergeCell ref="J945:K945"/>
    <mergeCell ref="J146:K146"/>
    <mergeCell ref="G449:K449"/>
    <mergeCell ref="J488:K488"/>
    <mergeCell ref="A503:I503"/>
    <mergeCell ref="J1008:S1008"/>
    <mergeCell ref="AB11:AD11"/>
    <mergeCell ref="J515:K515"/>
    <mergeCell ref="J92:S92"/>
    <mergeCell ref="I545:K545"/>
    <mergeCell ref="B557:D557"/>
    <mergeCell ref="J331:K331"/>
    <mergeCell ref="I1143:K1143"/>
    <mergeCell ref="J629:K629"/>
    <mergeCell ref="AH28:AJ28"/>
    <mergeCell ref="P97:Q97"/>
    <mergeCell ref="P401:Q401"/>
    <mergeCell ref="J736:S736"/>
    <mergeCell ref="J208:K208"/>
    <mergeCell ref="G79:K79"/>
    <mergeCell ref="J373:K374"/>
    <mergeCell ref="M547:S547"/>
    <mergeCell ref="AH21:AJ21"/>
    <mergeCell ref="J89:S89"/>
    <mergeCell ref="L693:M693"/>
    <mergeCell ref="J201:K201"/>
    <mergeCell ref="A823:G823"/>
    <mergeCell ref="AH23:AJ23"/>
    <mergeCell ref="O39:Q39"/>
    <mergeCell ref="A179:G179"/>
    <mergeCell ref="J971:K972"/>
    <mergeCell ref="L596:Q596"/>
    <mergeCell ref="J203:K203"/>
    <mergeCell ref="B881:D881"/>
    <mergeCell ref="K174:M174"/>
    <mergeCell ref="A89:I89"/>
    <mergeCell ref="H1202:H1203"/>
    <mergeCell ref="J259:K259"/>
    <mergeCell ref="A818:G818"/>
    <mergeCell ref="H957:L957"/>
    <mergeCell ref="H500:L500"/>
    <mergeCell ref="B458:H458"/>
    <mergeCell ref="P1184:Q1184"/>
    <mergeCell ref="J261:K261"/>
    <mergeCell ref="H741:H742"/>
    <mergeCell ref="J559:K559"/>
    <mergeCell ref="A820:G820"/>
    <mergeCell ref="G862:K862"/>
    <mergeCell ref="F5:G5"/>
    <mergeCell ref="J254:K254"/>
    <mergeCell ref="M270:S270"/>
    <mergeCell ref="J561:K561"/>
    <mergeCell ref="J859:K859"/>
    <mergeCell ref="P126:Q126"/>
    <mergeCell ref="J256:K256"/>
    <mergeCell ref="A229:I229"/>
    <mergeCell ref="F877:G877"/>
    <mergeCell ref="A409:G409"/>
    <mergeCell ref="J502:S502"/>
    <mergeCell ref="M497:S497"/>
    <mergeCell ref="P816:Q816"/>
    <mergeCell ref="H373:H374"/>
    <mergeCell ref="A404:G404"/>
    <mergeCell ref="H1187:L1187"/>
    <mergeCell ref="G906:K906"/>
    <mergeCell ref="J281:K282"/>
    <mergeCell ref="J432:K432"/>
    <mergeCell ref="B191:D191"/>
    <mergeCell ref="J503:S503"/>
    <mergeCell ref="H271:L271"/>
    <mergeCell ref="P1230:Q1230"/>
    <mergeCell ref="AH6:AJ6"/>
    <mergeCell ref="L678:M678"/>
    <mergeCell ref="G908:K908"/>
    <mergeCell ref="J941:K941"/>
    <mergeCell ref="J1212:K1212"/>
    <mergeCell ref="M957:S957"/>
    <mergeCell ref="L373:M373"/>
    <mergeCell ref="L1010:Q1010"/>
    <mergeCell ref="J1030:K1030"/>
    <mergeCell ref="L33:M33"/>
    <mergeCell ref="A130:G130"/>
    <mergeCell ref="B649:D649"/>
    <mergeCell ref="H869:L869"/>
    <mergeCell ref="B192:D192"/>
    <mergeCell ref="J486:K486"/>
    <mergeCell ref="A916:I916"/>
    <mergeCell ref="A132:G132"/>
    <mergeCell ref="P493:Q493"/>
    <mergeCell ref="J300:K300"/>
    <mergeCell ref="J644:S644"/>
    <mergeCell ref="M639:S639"/>
    <mergeCell ref="H268:L268"/>
    <mergeCell ref="F1109:G1109"/>
    <mergeCell ref="G1232:K1232"/>
    <mergeCell ref="AH24:AJ24"/>
    <mergeCell ref="J879:K880"/>
    <mergeCell ref="AH17:AJ17"/>
    <mergeCell ref="J931:K931"/>
    <mergeCell ref="P953:Q953"/>
    <mergeCell ref="A644:I644"/>
    <mergeCell ref="J1083:K1083"/>
    <mergeCell ref="J626:K626"/>
    <mergeCell ref="M1099:S1099"/>
    <mergeCell ref="A643:I643"/>
    <mergeCell ref="AH19:AJ19"/>
    <mergeCell ref="J662:K662"/>
    <mergeCell ref="J199:K199"/>
    <mergeCell ref="A1014:S1014"/>
    <mergeCell ref="J628:K628"/>
    <mergeCell ref="I867:K867"/>
    <mergeCell ref="F95:G95"/>
    <mergeCell ref="B879:D879"/>
    <mergeCell ref="P969:Q969"/>
    <mergeCell ref="A176:G176"/>
    <mergeCell ref="J657:K657"/>
    <mergeCell ref="F97:G97"/>
    <mergeCell ref="P971:Q971"/>
    <mergeCell ref="A178:G178"/>
    <mergeCell ref="F693:G693"/>
    <mergeCell ref="J874:S874"/>
    <mergeCell ref="J346:K346"/>
    <mergeCell ref="M869:S869"/>
    <mergeCell ref="J340:K340"/>
    <mergeCell ref="J252:K252"/>
    <mergeCell ref="J944:K944"/>
    <mergeCell ref="J804:K804"/>
    <mergeCell ref="M268:S268"/>
    <mergeCell ref="J1109:K1110"/>
    <mergeCell ref="J341:K341"/>
    <mergeCell ref="A1145:G1145"/>
    <mergeCell ref="B1019:D1019"/>
    <mergeCell ref="J377:K377"/>
    <mergeCell ref="G861:K861"/>
    <mergeCell ref="L1046:M1046"/>
    <mergeCell ref="N49:O49"/>
    <mergeCell ref="O775:Q775"/>
    <mergeCell ref="M866:S866"/>
    <mergeCell ref="A185:S185"/>
    <mergeCell ref="H1095:L1095"/>
    <mergeCell ref="I913:K913"/>
    <mergeCell ref="J59:K59"/>
    <mergeCell ref="J672:K672"/>
    <mergeCell ref="G1000:K1000"/>
    <mergeCell ref="F1202:G1202"/>
    <mergeCell ref="F143:G143"/>
    <mergeCell ref="P1199:Q1199"/>
    <mergeCell ref="A42:I42"/>
    <mergeCell ref="A411:I411"/>
    <mergeCell ref="A1103:I1103"/>
    <mergeCell ref="J97:K98"/>
    <mergeCell ref="J1026:K1026"/>
    <mergeCell ref="J184:S184"/>
    <mergeCell ref="J1028:K1028"/>
    <mergeCell ref="A128:G128"/>
    <mergeCell ref="G1047:K1047"/>
    <mergeCell ref="P309:Q309"/>
    <mergeCell ref="G584:K584"/>
    <mergeCell ref="A129:G129"/>
    <mergeCell ref="L787:M787"/>
    <mergeCell ref="J754:K754"/>
    <mergeCell ref="J439:K439"/>
    <mergeCell ref="K542:M542"/>
    <mergeCell ref="J510:S510"/>
    <mergeCell ref="H224:L224"/>
    <mergeCell ref="J710:K710"/>
    <mergeCell ref="J291:K291"/>
    <mergeCell ref="A1191:G1191"/>
    <mergeCell ref="J293:K293"/>
    <mergeCell ref="M1095:S1095"/>
    <mergeCell ref="A272:I272"/>
    <mergeCell ref="G587:K587"/>
    <mergeCell ref="F189:G189"/>
    <mergeCell ref="A270:G270"/>
    <mergeCell ref="J230:S230"/>
    <mergeCell ref="J11:K11"/>
    <mergeCell ref="J467:K467"/>
    <mergeCell ref="T76:X76"/>
    <mergeCell ref="B1143:F1143"/>
    <mergeCell ref="P233:Q233"/>
    <mergeCell ref="AE7:AG7"/>
    <mergeCell ref="J469:K469"/>
    <mergeCell ref="J767:K767"/>
    <mergeCell ref="J12:K12"/>
    <mergeCell ref="J1065:K1065"/>
    <mergeCell ref="P235:Q235"/>
    <mergeCell ref="J978:K978"/>
    <mergeCell ref="B85:F85"/>
    <mergeCell ref="M685:S685"/>
    <mergeCell ref="J227:S227"/>
    <mergeCell ref="L831:M831"/>
    <mergeCell ref="A1152:S1152"/>
    <mergeCell ref="O1051:Q1051"/>
    <mergeCell ref="AE2:AG2"/>
    <mergeCell ref="L833:M833"/>
    <mergeCell ref="J339:K339"/>
    <mergeCell ref="L401:M401"/>
    <mergeCell ref="B283:D283"/>
    <mergeCell ref="P864:Q864"/>
    <mergeCell ref="H1155:H1156"/>
    <mergeCell ref="A957:G957"/>
    <mergeCell ref="A500:G500"/>
    <mergeCell ref="L1194:Q1194"/>
    <mergeCell ref="J65:K65"/>
    <mergeCell ref="H638:L638"/>
    <mergeCell ref="J480:K480"/>
    <mergeCell ref="J551:S551"/>
    <mergeCell ref="J399:K399"/>
    <mergeCell ref="J670:K670"/>
    <mergeCell ref="J697:K697"/>
    <mergeCell ref="A958:G958"/>
    <mergeCell ref="J1126:K1126"/>
    <mergeCell ref="J1120:K1120"/>
    <mergeCell ref="J392:K392"/>
    <mergeCell ref="J25:K25"/>
    <mergeCell ref="J663:K663"/>
    <mergeCell ref="J699:K699"/>
    <mergeCell ref="J997:K997"/>
    <mergeCell ref="H777:L777"/>
    <mergeCell ref="L1184:M1184"/>
    <mergeCell ref="N187:O187"/>
    <mergeCell ref="J394:K394"/>
    <mergeCell ref="J665:K665"/>
    <mergeCell ref="A1101:I1101"/>
    <mergeCell ref="P279:Q279"/>
    <mergeCell ref="L879:M879"/>
    <mergeCell ref="J1121:K1121"/>
    <mergeCell ref="F1015:G1015"/>
    <mergeCell ref="A1099:G1099"/>
    <mergeCell ref="F1017:G1017"/>
    <mergeCell ref="Z6:AA6"/>
    <mergeCell ref="G81:K81"/>
    <mergeCell ref="J640:S640"/>
    <mergeCell ref="J112:K112"/>
    <mergeCell ref="J383:K383"/>
    <mergeCell ref="M635:S635"/>
    <mergeCell ref="J839:K839"/>
    <mergeCell ref="J376:K376"/>
    <mergeCell ref="G679:K679"/>
    <mergeCell ref="J419:K420"/>
    <mergeCell ref="J534:K534"/>
    <mergeCell ref="J841:K841"/>
    <mergeCell ref="B329:D329"/>
    <mergeCell ref="J597:S597"/>
    <mergeCell ref="J107:K107"/>
    <mergeCell ref="J378:K378"/>
    <mergeCell ref="L816:M816"/>
    <mergeCell ref="L172:M172"/>
    <mergeCell ref="J712:K712"/>
    <mergeCell ref="L171:M171"/>
    <mergeCell ref="B787:D787"/>
    <mergeCell ref="H1007:L1007"/>
    <mergeCell ref="B330:D330"/>
    <mergeCell ref="A461:S461"/>
    <mergeCell ref="H37:L37"/>
    <mergeCell ref="A268:G268"/>
    <mergeCell ref="P631:Q631"/>
    <mergeCell ref="A864:G864"/>
    <mergeCell ref="B1112:D1112"/>
    <mergeCell ref="J438:K438"/>
    <mergeCell ref="J782:S782"/>
    <mergeCell ref="B177:F177"/>
    <mergeCell ref="M777:S777"/>
    <mergeCell ref="H406:L406"/>
    <mergeCell ref="J319:S319"/>
    <mergeCell ref="Z19:AA19"/>
    <mergeCell ref="A866:G866"/>
    <mergeCell ref="AE3:AG3"/>
    <mergeCell ref="J763:K763"/>
    <mergeCell ref="J8:K8"/>
    <mergeCell ref="G311:K311"/>
    <mergeCell ref="F603:G603"/>
    <mergeCell ref="J852:K852"/>
    <mergeCell ref="M1235:S1235"/>
    <mergeCell ref="J1017:K1018"/>
    <mergeCell ref="J765:K765"/>
    <mergeCell ref="J10:K10"/>
    <mergeCell ref="J606:K606"/>
    <mergeCell ref="J1221:K1221"/>
    <mergeCell ref="A456:I456"/>
    <mergeCell ref="M774:S774"/>
    <mergeCell ref="A93:S93"/>
    <mergeCell ref="J766:K766"/>
    <mergeCell ref="H546:L546"/>
    <mergeCell ref="L953:M953"/>
    <mergeCell ref="N1015:O1015"/>
    <mergeCell ref="A1050:G1050"/>
    <mergeCell ref="A371:C371"/>
    <mergeCell ref="P1107:Q1107"/>
    <mergeCell ref="A691:S691"/>
    <mergeCell ref="J607:K607"/>
    <mergeCell ref="J905:K905"/>
    <mergeCell ref="P1109:Q1109"/>
    <mergeCell ref="A316:G316"/>
    <mergeCell ref="A1193:I1193"/>
    <mergeCell ref="J1012:S1012"/>
    <mergeCell ref="M1007:S1007"/>
    <mergeCell ref="H636:L636"/>
    <mergeCell ref="AE16:AG16"/>
    <mergeCell ref="AB15:AD15"/>
    <mergeCell ref="J478:K478"/>
    <mergeCell ref="J549:S549"/>
    <mergeCell ref="J21:K21"/>
    <mergeCell ref="J1211:K1211"/>
    <mergeCell ref="L969:M969"/>
    <mergeCell ref="J1205:K1205"/>
    <mergeCell ref="AE18:AG18"/>
    <mergeCell ref="I361:K361"/>
    <mergeCell ref="J23:K23"/>
    <mergeCell ref="M406:S406"/>
    <mergeCell ref="A313:G313"/>
    <mergeCell ref="L971:M971"/>
    <mergeCell ref="J479:K479"/>
    <mergeCell ref="B1157:D1157"/>
    <mergeCell ref="J1206:K1206"/>
    <mergeCell ref="J91:S91"/>
    <mergeCell ref="L448:M448"/>
    <mergeCell ref="O913:Q913"/>
    <mergeCell ref="A3:C3"/>
    <mergeCell ref="A911:G911"/>
    <mergeCell ref="G769:K769"/>
    <mergeCell ref="A323:S323"/>
    <mergeCell ref="K450:M450"/>
    <mergeCell ref="J689:S689"/>
    <mergeCell ref="H1017:H1018"/>
    <mergeCell ref="A601:C601"/>
    <mergeCell ref="J810:K810"/>
    <mergeCell ref="J835:K835"/>
    <mergeCell ref="G1138:K1138"/>
    <mergeCell ref="M1187:S1187"/>
    <mergeCell ref="A91:I91"/>
    <mergeCell ref="M546:S546"/>
    <mergeCell ref="A180:I180"/>
    <mergeCell ref="J837:K837"/>
    <mergeCell ref="P999:Q999"/>
    <mergeCell ref="J1135:K1135"/>
    <mergeCell ref="AB28:AD28"/>
    <mergeCell ref="J103:K103"/>
    <mergeCell ref="P417:Q417"/>
    <mergeCell ref="M1144:S1144"/>
    <mergeCell ref="AB29:AD29"/>
    <mergeCell ref="J778:S778"/>
    <mergeCell ref="A2:S2"/>
    <mergeCell ref="J321:S321"/>
    <mergeCell ref="J436:K436"/>
    <mergeCell ref="J848:K848"/>
    <mergeCell ref="J919:S919"/>
    <mergeCell ref="J429:K429"/>
    <mergeCell ref="J858:K858"/>
    <mergeCell ref="L494:M494"/>
    <mergeCell ref="J850:K850"/>
    <mergeCell ref="J431:K431"/>
    <mergeCell ref="L44:Q44"/>
    <mergeCell ref="L493:M493"/>
    <mergeCell ref="F325:G325"/>
    <mergeCell ref="L309:M309"/>
    <mergeCell ref="A783:S783"/>
    <mergeCell ref="H822:L822"/>
    <mergeCell ref="B925:D925"/>
    <mergeCell ref="J1158:K1158"/>
    <mergeCell ref="H359:L359"/>
    <mergeCell ref="H1063:H1064"/>
    <mergeCell ref="F327:G327"/>
    <mergeCell ref="A408:G408"/>
    <mergeCell ref="J576:K576"/>
    <mergeCell ref="G124:K124"/>
    <mergeCell ref="J113:K113"/>
    <mergeCell ref="J149:K149"/>
    <mergeCell ref="P448:Q448"/>
    <mergeCell ref="H5:H6"/>
    <mergeCell ref="A1006:G1006"/>
    <mergeCell ref="J121:K121"/>
    <mergeCell ref="J1174:K1174"/>
    <mergeCell ref="J115:K115"/>
    <mergeCell ref="Z28:AA28"/>
    <mergeCell ref="A138:I138"/>
    <mergeCell ref="M498:S498"/>
    <mergeCell ref="J571:K571"/>
    <mergeCell ref="J150:K150"/>
    <mergeCell ref="A920:I920"/>
    <mergeCell ref="N95:O95"/>
    <mergeCell ref="J573:K573"/>
    <mergeCell ref="J116:K116"/>
    <mergeCell ref="A231:S231"/>
    <mergeCell ref="H868:L868"/>
    <mergeCell ref="N693:O693"/>
    <mergeCell ref="J477:K477"/>
    <mergeCell ref="L235:M235"/>
    <mergeCell ref="M87:S87"/>
    <mergeCell ref="A829:S829"/>
    <mergeCell ref="A638:G638"/>
    <mergeCell ref="J284:K284"/>
    <mergeCell ref="J800:K800"/>
    <mergeCell ref="J1150:S1150"/>
    <mergeCell ref="J364:S364"/>
    <mergeCell ref="M359:S359"/>
    <mergeCell ref="B237:D237"/>
    <mergeCell ref="J808:K808"/>
    <mergeCell ref="J1228:K1228"/>
    <mergeCell ref="J1220:K1220"/>
    <mergeCell ref="J801:K801"/>
    <mergeCell ref="AB26:AD26"/>
    <mergeCell ref="J76:K76"/>
    <mergeCell ref="N325:O325"/>
    <mergeCell ref="J803:K803"/>
    <mergeCell ref="M1142:S1142"/>
    <mergeCell ref="L1017:M1017"/>
    <mergeCell ref="H1188:L1188"/>
    <mergeCell ref="H454:L454"/>
    <mergeCell ref="AB27:AD27"/>
    <mergeCell ref="A1237:G1237"/>
    <mergeCell ref="N923:O923"/>
    <mergeCell ref="A774:G774"/>
    <mergeCell ref="J948:K948"/>
    <mergeCell ref="G219:K219"/>
    <mergeCell ref="J942:K942"/>
    <mergeCell ref="M868:S868"/>
    <mergeCell ref="J521:K521"/>
    <mergeCell ref="M224:S224"/>
    <mergeCell ref="L279:M279"/>
    <mergeCell ref="J673:K673"/>
    <mergeCell ref="P80:Q80"/>
    <mergeCell ref="J977:K977"/>
    <mergeCell ref="J514:K514"/>
    <mergeCell ref="G817:K817"/>
    <mergeCell ref="J943:K943"/>
    <mergeCell ref="J979:K979"/>
    <mergeCell ref="J516:K516"/>
    <mergeCell ref="A1:S1"/>
    <mergeCell ref="J460:S460"/>
    <mergeCell ref="A506:I506"/>
    <mergeCell ref="A37:G37"/>
    <mergeCell ref="I729:K729"/>
    <mergeCell ref="G448:K448"/>
    <mergeCell ref="A406:G406"/>
    <mergeCell ref="J58:K58"/>
    <mergeCell ref="J574:K574"/>
    <mergeCell ref="A1002:G1002"/>
    <mergeCell ref="J920:S920"/>
    <mergeCell ref="M915:S915"/>
    <mergeCell ref="K818:M818"/>
    <mergeCell ref="J457:S457"/>
    <mergeCell ref="J567:K567"/>
    <mergeCell ref="A1004:G1004"/>
    <mergeCell ref="J656:K656"/>
    <mergeCell ref="M1188:S1188"/>
    <mergeCell ref="J569:K569"/>
    <mergeCell ref="M454:S454"/>
    <mergeCell ref="L631:M631"/>
    <mergeCell ref="J658:K658"/>
    <mergeCell ref="J440:K440"/>
    <mergeCell ref="F465:G465"/>
    <mergeCell ref="A546:G546"/>
    <mergeCell ref="M912:S912"/>
    <mergeCell ref="F1061:G1061"/>
    <mergeCell ref="F1063:G1063"/>
    <mergeCell ref="A1144:G1144"/>
    <mergeCell ref="A509:C509"/>
    <mergeCell ref="A873:I873"/>
    <mergeCell ref="A276:I276"/>
    <mergeCell ref="J885:K885"/>
    <mergeCell ref="A1242:I1242"/>
    <mergeCell ref="J745:K745"/>
    <mergeCell ref="P907:Q907"/>
    <mergeCell ref="J1043:K1043"/>
    <mergeCell ref="J687:S687"/>
    <mergeCell ref="B361:F361"/>
    <mergeCell ref="J159:K159"/>
    <mergeCell ref="B235:D235"/>
    <mergeCell ref="A553:S553"/>
    <mergeCell ref="J153:K153"/>
    <mergeCell ref="J290:K290"/>
    <mergeCell ref="L1107:M1107"/>
    <mergeCell ref="J582:K582"/>
    <mergeCell ref="A273:I273"/>
    <mergeCell ref="L217:M217"/>
    <mergeCell ref="A451:G451"/>
    <mergeCell ref="L1109:M1109"/>
    <mergeCell ref="B833:D833"/>
    <mergeCell ref="B376:D376"/>
    <mergeCell ref="J613:K613"/>
    <mergeCell ref="P1140:Q1140"/>
    <mergeCell ref="J285:K285"/>
    <mergeCell ref="A141:C141"/>
    <mergeCell ref="J828:S828"/>
    <mergeCell ref="P49:Q49"/>
    <mergeCell ref="K588:M588"/>
    <mergeCell ref="J614:K614"/>
    <mergeCell ref="J827:S827"/>
    <mergeCell ref="J608:K608"/>
    <mergeCell ref="AH7:AJ7"/>
    <mergeCell ref="M222:S222"/>
    <mergeCell ref="J1063:K1064"/>
    <mergeCell ref="J301:K301"/>
    <mergeCell ref="J939:K939"/>
    <mergeCell ref="P1137:Q1137"/>
    <mergeCell ref="B136:H136"/>
    <mergeCell ref="B973:D973"/>
    <mergeCell ref="G815:K815"/>
    <mergeCell ref="H267:L267"/>
    <mergeCell ref="A502:I502"/>
    <mergeCell ref="N463:O463"/>
    <mergeCell ref="F49:G49"/>
    <mergeCell ref="H592:L592"/>
    <mergeCell ref="N1061:O1061"/>
    <mergeCell ref="P1153:Q1153"/>
    <mergeCell ref="A140:S140"/>
    <mergeCell ref="P1155:Q1155"/>
    <mergeCell ref="J652:K652"/>
    <mergeCell ref="G955:K955"/>
    <mergeCell ref="P95:Q95"/>
    <mergeCell ref="J986:K986"/>
    <mergeCell ref="J1057:S1057"/>
    <mergeCell ref="J654:K654"/>
    <mergeCell ref="J996:K996"/>
    <mergeCell ref="J988:K988"/>
    <mergeCell ref="A359:G359"/>
    <mergeCell ref="A1100:I1100"/>
    <mergeCell ref="L182:Q182"/>
    <mergeCell ref="J525:K525"/>
    <mergeCell ref="T104:X104"/>
    <mergeCell ref="J456:S456"/>
    <mergeCell ref="A921:S921"/>
    <mergeCell ref="J873:S873"/>
    <mergeCell ref="H497:L497"/>
    <mergeCell ref="J380:K380"/>
    <mergeCell ref="B1205:D1205"/>
    <mergeCell ref="J714:K714"/>
    <mergeCell ref="J985:K985"/>
    <mergeCell ref="B453:F453"/>
    <mergeCell ref="J251:K251"/>
    <mergeCell ref="B182:H182"/>
    <mergeCell ref="J595:S595"/>
    <mergeCell ref="M267:S267"/>
    <mergeCell ref="L1199:M1199"/>
    <mergeCell ref="H143:H144"/>
    <mergeCell ref="J253:K253"/>
    <mergeCell ref="M636:S636"/>
    <mergeCell ref="G676:K676"/>
    <mergeCell ref="M592:S592"/>
    <mergeCell ref="J709:K709"/>
    <mergeCell ref="J980:K980"/>
    <mergeCell ref="H41:L41"/>
    <mergeCell ref="G126:K126"/>
    <mergeCell ref="N233:O233"/>
    <mergeCell ref="J598:S598"/>
    <mergeCell ref="H1096:L1096"/>
    <mergeCell ref="H639:L639"/>
    <mergeCell ref="N831:O831"/>
    <mergeCell ref="J698:K698"/>
    <mergeCell ref="G1001:K1001"/>
    <mergeCell ref="B928:D928"/>
    <mergeCell ref="A225:G225"/>
    <mergeCell ref="J393:K393"/>
    <mergeCell ref="A967:S967"/>
    <mergeCell ref="J1067:K1067"/>
    <mergeCell ref="AH3:AJ3"/>
    <mergeCell ref="J395:K395"/>
    <mergeCell ref="B683:F683"/>
    <mergeCell ref="J1027:K1027"/>
    <mergeCell ref="AH5:AJ5"/>
    <mergeCell ref="G173:K173"/>
    <mergeCell ref="A1188:G1188"/>
    <mergeCell ref="A454:G454"/>
    <mergeCell ref="G170:K170"/>
    <mergeCell ref="P187:Q187"/>
    <mergeCell ref="J1209:K1209"/>
    <mergeCell ref="P494:Q494"/>
    <mergeCell ref="K726:M726"/>
    <mergeCell ref="J965:S965"/>
    <mergeCell ref="L999:M999"/>
    <mergeCell ref="AE13:AG13"/>
    <mergeCell ref="G1231:K1231"/>
    <mergeCell ref="G172:K172"/>
    <mergeCell ref="A912:G912"/>
    <mergeCell ref="A641:I641"/>
    <mergeCell ref="J1086:K1086"/>
    <mergeCell ref="A877:C877"/>
    <mergeCell ref="A455:G455"/>
    <mergeCell ref="J27:K27"/>
    <mergeCell ref="P189:Q189"/>
    <mergeCell ref="A184:I184"/>
    <mergeCell ref="J1080:K1080"/>
    <mergeCell ref="M1096:S1096"/>
    <mergeCell ref="AH16:AJ16"/>
    <mergeCell ref="AE15:AG15"/>
    <mergeCell ref="L90:Q90"/>
    <mergeCell ref="J20:K20"/>
    <mergeCell ref="B1010:H1010"/>
    <mergeCell ref="J196:K196"/>
    <mergeCell ref="P218:Q218"/>
    <mergeCell ref="J625:K625"/>
    <mergeCell ref="B269:F269"/>
    <mergeCell ref="J1081:K1081"/>
    <mergeCell ref="J22:K22"/>
    <mergeCell ref="A1013:S1013"/>
    <mergeCell ref="P1091:Q1091"/>
    <mergeCell ref="L80:M80"/>
    <mergeCell ref="F971:G971"/>
    <mergeCell ref="A175:G175"/>
    <mergeCell ref="A781:I781"/>
    <mergeCell ref="J137:S137"/>
    <mergeCell ref="J793:K793"/>
    <mergeCell ref="J1222:K1222"/>
    <mergeCell ref="J338:K338"/>
    <mergeCell ref="J138:S138"/>
    <mergeCell ref="L770:M770"/>
    <mergeCell ref="AE28:AG28"/>
    <mergeCell ref="J794:K794"/>
    <mergeCell ref="A956:G956"/>
    <mergeCell ref="J707:K707"/>
    <mergeCell ref="L320:Q320"/>
    <mergeCell ref="B596:H596"/>
    <mergeCell ref="A1059:S1059"/>
    <mergeCell ref="B284:D284"/>
    <mergeCell ref="H635:L635"/>
    <mergeCell ref="A923:C923"/>
    <mergeCell ref="F1199:G1199"/>
    <mergeCell ref="A221:G221"/>
    <mergeCell ref="J66:K66"/>
    <mergeCell ref="H360:L360"/>
    <mergeCell ref="J389:K389"/>
    <mergeCell ref="H465:H466"/>
    <mergeCell ref="G999:K999"/>
    <mergeCell ref="G265:K265"/>
    <mergeCell ref="A647:C647"/>
    <mergeCell ref="A1011:I1011"/>
    <mergeCell ref="G998:K998"/>
    <mergeCell ref="J1023:K1023"/>
    <mergeCell ref="J122:K122"/>
    <mergeCell ref="H879:H880"/>
    <mergeCell ref="A410:I410"/>
    <mergeCell ref="J718:K718"/>
    <mergeCell ref="J849:K849"/>
    <mergeCell ref="J1025:K1025"/>
    <mergeCell ref="A324:S324"/>
    <mergeCell ref="J720:K720"/>
    <mergeCell ref="I1236:K1236"/>
    <mergeCell ref="I177:K177"/>
    <mergeCell ref="L1091:M1091"/>
    <mergeCell ref="A1008:I1008"/>
    <mergeCell ref="N969:O969"/>
    <mergeCell ref="J1178:K1178"/>
    <mergeCell ref="J751:K751"/>
    <mergeCell ref="A48:S48"/>
    <mergeCell ref="J148:K148"/>
    <mergeCell ref="J104:K104"/>
    <mergeCell ref="J966:S966"/>
    <mergeCell ref="J1165:K1165"/>
    <mergeCell ref="J752:K752"/>
    <mergeCell ref="J746:K746"/>
    <mergeCell ref="J105:K105"/>
    <mergeCell ref="M360:S360"/>
    <mergeCell ref="A267:G267"/>
    <mergeCell ref="L49:M49"/>
    <mergeCell ref="B1111:D1111"/>
    <mergeCell ref="H405:L405"/>
    <mergeCell ref="F187:G187"/>
    <mergeCell ref="J143:K144"/>
    <mergeCell ref="K404:M404"/>
    <mergeCell ref="H730:L730"/>
    <mergeCell ref="B53:D53"/>
    <mergeCell ref="J430:K430"/>
    <mergeCell ref="P634:Q634"/>
    <mergeCell ref="L1137:M1137"/>
    <mergeCell ref="N1199:O1199"/>
    <mergeCell ref="A1234:G1234"/>
    <mergeCell ref="J46:S46"/>
    <mergeCell ref="J764:K764"/>
    <mergeCell ref="J9:K9"/>
    <mergeCell ref="A779:I779"/>
    <mergeCell ref="A593:G593"/>
    <mergeCell ref="J1218:K1218"/>
    <mergeCell ref="J161:K161"/>
    <mergeCell ref="M684:S684"/>
    <mergeCell ref="H1190:L1190"/>
    <mergeCell ref="P356:Q356"/>
    <mergeCell ref="AE24:AG24"/>
    <mergeCell ref="G1093:K1093"/>
    <mergeCell ref="A1151:S1151"/>
    <mergeCell ref="A94:S94"/>
    <mergeCell ref="AE26:AG26"/>
    <mergeCell ref="J792:K792"/>
    <mergeCell ref="A782:I782"/>
    <mergeCell ref="J31:K31"/>
    <mergeCell ref="A319:I319"/>
    <mergeCell ref="O867:Q867"/>
    <mergeCell ref="A497:G497"/>
    <mergeCell ref="K36:M36"/>
    <mergeCell ref="J1011:S1011"/>
    <mergeCell ref="J62:K62"/>
    <mergeCell ref="I1005:K1005"/>
    <mergeCell ref="J1123:K1123"/>
    <mergeCell ref="J64:K64"/>
    <mergeCell ref="M316:S316"/>
    <mergeCell ref="J1117:K1117"/>
    <mergeCell ref="K634:M634"/>
    <mergeCell ref="B591:F591"/>
    <mergeCell ref="J660:K660"/>
    <mergeCell ref="J733:S733"/>
    <mergeCell ref="B8:D8"/>
    <mergeCell ref="M405:S405"/>
    <mergeCell ref="J276:S276"/>
    <mergeCell ref="J57:K57"/>
    <mergeCell ref="J391:K391"/>
    <mergeCell ref="J189:K190"/>
    <mergeCell ref="M730:S730"/>
    <mergeCell ref="B918:H918"/>
    <mergeCell ref="J1118:K1118"/>
    <mergeCell ref="T114:X114"/>
    <mergeCell ref="H776:L776"/>
    <mergeCell ref="B99:D99"/>
    <mergeCell ref="P586:Q586"/>
    <mergeCell ref="G264:K264"/>
    <mergeCell ref="A639:G639"/>
    <mergeCell ref="Z3:AA3"/>
    <mergeCell ref="G78:K78"/>
    <mergeCell ref="A36:G36"/>
    <mergeCell ref="B5:D5"/>
    <mergeCell ref="H1234:L1234"/>
    <mergeCell ref="P402:Q402"/>
    <mergeCell ref="Z5:AA5"/>
    <mergeCell ref="G80:K80"/>
    <mergeCell ref="G1139:K1139"/>
    <mergeCell ref="J75:K75"/>
    <mergeCell ref="A785:C785"/>
    <mergeCell ref="B1066:D1066"/>
    <mergeCell ref="A363:G363"/>
    <mergeCell ref="A634:G634"/>
    <mergeCell ref="A92:I92"/>
    <mergeCell ref="J531:K531"/>
    <mergeCell ref="J444:K444"/>
    <mergeCell ref="G1045:K1045"/>
    <mergeCell ref="L1241:Q1241"/>
    <mergeCell ref="J533:K533"/>
    <mergeCell ref="J1171:K1171"/>
    <mergeCell ref="A548:I548"/>
    <mergeCell ref="J856:K856"/>
    <mergeCell ref="O1236:Q1236"/>
    <mergeCell ref="J744:K744"/>
    <mergeCell ref="B145:D145"/>
    <mergeCell ref="A1146:I1146"/>
    <mergeCell ref="J889:K889"/>
    <mergeCell ref="J322:S322"/>
    <mergeCell ref="Z16:AA16"/>
    <mergeCell ref="I39:K39"/>
    <mergeCell ref="J760:K760"/>
    <mergeCell ref="G308:K308"/>
    <mergeCell ref="A266:G266"/>
    <mergeCell ref="B499:F499"/>
    <mergeCell ref="P325:Q325"/>
    <mergeCell ref="Z18:AA18"/>
    <mergeCell ref="B51:D51"/>
    <mergeCell ref="J4:N4"/>
    <mergeCell ref="P632:Q632"/>
    <mergeCell ref="H189:H190"/>
    <mergeCell ref="G310:K310"/>
    <mergeCell ref="J762:K762"/>
    <mergeCell ref="Z17:AA17"/>
    <mergeCell ref="A874:I874"/>
    <mergeCell ref="M1145:S1145"/>
    <mergeCell ref="J884:K884"/>
    <mergeCell ref="P327:Q327"/>
    <mergeCell ref="M682:S682"/>
    <mergeCell ref="G722:K722"/>
    <mergeCell ref="M1234:S1234"/>
    <mergeCell ref="L228:Q228"/>
    <mergeCell ref="J886:K886"/>
    <mergeCell ref="H87:L87"/>
    <mergeCell ref="L861:M861"/>
    <mergeCell ref="N279:O279"/>
    <mergeCell ref="H543:L543"/>
    <mergeCell ref="J757:K757"/>
    <mergeCell ref="L826:Q826"/>
    <mergeCell ref="J887:K887"/>
    <mergeCell ref="A1049:G1049"/>
    <mergeCell ref="P772:Q772"/>
    <mergeCell ref="L218:M218"/>
    <mergeCell ref="J902:K902"/>
    <mergeCell ref="AB12:AD12"/>
    <mergeCell ref="J475:K475"/>
    <mergeCell ref="J904:K904"/>
    <mergeCell ref="J605:K605"/>
    <mergeCell ref="F51:G51"/>
    <mergeCell ref="J897:K897"/>
    <mergeCell ref="AB13:AD13"/>
    <mergeCell ref="J55:K55"/>
    <mergeCell ref="A232:S232"/>
    <mergeCell ref="AB7:AD7"/>
    <mergeCell ref="J476:K476"/>
    <mergeCell ref="A1104:I1104"/>
    <mergeCell ref="J1114:K1114"/>
    <mergeCell ref="J899:K899"/>
    <mergeCell ref="J88:S88"/>
    <mergeCell ref="A459:I459"/>
    <mergeCell ref="L458:Q458"/>
    <mergeCell ref="P371:Q371"/>
    <mergeCell ref="J1116:K1116"/>
    <mergeCell ref="L417:M417"/>
    <mergeCell ref="B97:D97"/>
    <mergeCell ref="A1197:S1197"/>
    <mergeCell ref="J1149:S1149"/>
    <mergeCell ref="J930:K930"/>
    <mergeCell ref="H773:L773"/>
    <mergeCell ref="AH18:AJ18"/>
    <mergeCell ref="A88:I88"/>
    <mergeCell ref="J204:K204"/>
    <mergeCell ref="J1055:S1055"/>
    <mergeCell ref="J198:K198"/>
    <mergeCell ref="J548:S548"/>
    <mergeCell ref="M543:S543"/>
    <mergeCell ref="G1137:K1137"/>
    <mergeCell ref="A1095:G1095"/>
    <mergeCell ref="AB25:AD25"/>
    <mergeCell ref="J529:K529"/>
    <mergeCell ref="J802:K802"/>
    <mergeCell ref="J327:K328"/>
    <mergeCell ref="B1056:H1056"/>
    <mergeCell ref="J1146:S1146"/>
    <mergeCell ref="H914:L914"/>
    <mergeCell ref="O177:Q177"/>
    <mergeCell ref="J1127:K1127"/>
    <mergeCell ref="J68:K68"/>
    <mergeCell ref="B1202:D1202"/>
    <mergeCell ref="B143:D143"/>
    <mergeCell ref="P724:Q724"/>
    <mergeCell ref="H915:L915"/>
    <mergeCell ref="J1129:K1129"/>
    <mergeCell ref="I315:K315"/>
    <mergeCell ref="H281:H282"/>
    <mergeCell ref="N1107:O1107"/>
    <mergeCell ref="J257:K257"/>
    <mergeCell ref="P419:Q419"/>
    <mergeCell ref="B1204:D1204"/>
    <mergeCell ref="A230:I230"/>
    <mergeCell ref="H498:L498"/>
    <mergeCell ref="J242:K242"/>
    <mergeCell ref="J855:K855"/>
    <mergeCell ref="Z13:AA13"/>
    <mergeCell ref="J428:K428"/>
    <mergeCell ref="B44:H44"/>
    <mergeCell ref="J857:K857"/>
    <mergeCell ref="Z15:AA15"/>
    <mergeCell ref="J840:K840"/>
    <mergeCell ref="A227:I227"/>
    <mergeCell ref="A405:G405"/>
    <mergeCell ref="M41:S41"/>
    <mergeCell ref="L187:M187"/>
    <mergeCell ref="A508:S508"/>
    <mergeCell ref="A95:C95"/>
    <mergeCell ref="L189:M189"/>
    <mergeCell ref="P34:Q34"/>
    <mergeCell ref="Z25:AA25"/>
    <mergeCell ref="P463:Q463"/>
    <mergeCell ref="H511:H512"/>
    <mergeCell ref="J568:K568"/>
    <mergeCell ref="P770:Q770"/>
    <mergeCell ref="J781:S781"/>
    <mergeCell ref="P36:Q36"/>
    <mergeCell ref="A693:C693"/>
    <mergeCell ref="P465:Q465"/>
    <mergeCell ref="L550:Q550"/>
    <mergeCell ref="J570:K570"/>
    <mergeCell ref="J893:K893"/>
    <mergeCell ref="B189:D189"/>
    <mergeCell ref="L366:Q366"/>
    <mergeCell ref="B826:H826"/>
    <mergeCell ref="G1046:K1046"/>
    <mergeCell ref="AB3:AD3"/>
    <mergeCell ref="H865:L865"/>
    <mergeCell ref="J901:K901"/>
    <mergeCell ref="J895:K895"/>
    <mergeCell ref="A547:G547"/>
    <mergeCell ref="L964:Q964"/>
    <mergeCell ref="AB5:AD5"/>
    <mergeCell ref="J169:K169"/>
    <mergeCell ref="T19:X19"/>
    <mergeCell ref="J1224:K1224"/>
    <mergeCell ref="A457:I457"/>
    <mergeCell ref="O1005:Q1005"/>
    <mergeCell ref="A1057:I1057"/>
    <mergeCell ref="AH20:AJ20"/>
    <mergeCell ref="J200:K200"/>
    <mergeCell ref="J1226:K1226"/>
    <mergeCell ref="A1243:I1243"/>
    <mergeCell ref="J623:K623"/>
    <mergeCell ref="J927:K927"/>
    <mergeCell ref="G1230:K1230"/>
    <mergeCell ref="A640:I640"/>
    <mergeCell ref="J202:K202"/>
    <mergeCell ref="J798:K798"/>
    <mergeCell ref="A554:S554"/>
    <mergeCell ref="AH15:AJ15"/>
    <mergeCell ref="J929:K929"/>
    <mergeCell ref="J1227:K1227"/>
    <mergeCell ref="J950:K950"/>
    <mergeCell ref="J195:K195"/>
    <mergeCell ref="J624:K624"/>
    <mergeCell ref="A597:I597"/>
    <mergeCell ref="P509:Q509"/>
    <mergeCell ref="J197:K197"/>
    <mergeCell ref="B560:D560"/>
    <mergeCell ref="P82:Q82"/>
    <mergeCell ref="I821:K821"/>
    <mergeCell ref="AB18:AD18"/>
    <mergeCell ref="A777:G777"/>
    <mergeCell ref="G216:K216"/>
    <mergeCell ref="A174:G174"/>
    <mergeCell ref="J870:S870"/>
    <mergeCell ref="J342:K342"/>
    <mergeCell ref="M865:S865"/>
    <mergeCell ref="P540:Q540"/>
    <mergeCell ref="G218:K218"/>
    <mergeCell ref="A1235:G1235"/>
    <mergeCell ref="G541:K541"/>
    <mergeCell ref="J213:K213"/>
    <mergeCell ref="G814:K814"/>
    <mergeCell ref="A772:G772"/>
    <mergeCell ref="J649:K650"/>
    <mergeCell ref="J940:K940"/>
    <mergeCell ref="M133:S133"/>
    <mergeCell ref="H179:L179"/>
    <mergeCell ref="J215:K215"/>
    <mergeCell ref="L95:M95"/>
    <mergeCell ref="J337:K337"/>
    <mergeCell ref="J513:K513"/>
    <mergeCell ref="L402:M402"/>
    <mergeCell ref="J671:K671"/>
    <mergeCell ref="O315:Q315"/>
    <mergeCell ref="L97:M97"/>
    <mergeCell ref="F233:G233"/>
    <mergeCell ref="B1017:D1017"/>
    <mergeCell ref="J210:K210"/>
    <mergeCell ref="P739:Q739"/>
    <mergeCell ref="F235:G235"/>
    <mergeCell ref="P217:Q217"/>
    <mergeCell ref="F831:G831"/>
    <mergeCell ref="J564:K564"/>
    <mergeCell ref="F833:G833"/>
    <mergeCell ref="B637:F637"/>
    <mergeCell ref="J566:K566"/>
    <mergeCell ref="J109:K109"/>
    <mergeCell ref="H327:H328"/>
    <mergeCell ref="J1022:K1022"/>
    <mergeCell ref="A1012:I1012"/>
    <mergeCell ref="A549:I549"/>
    <mergeCell ref="A543:G543"/>
    <mergeCell ref="J1024:K1024"/>
    <mergeCell ref="L325:M325"/>
    <mergeCell ref="H225:L225"/>
    <mergeCell ref="H681:L681"/>
    <mergeCell ref="A233:C233"/>
    <mergeCell ref="L327:M327"/>
    <mergeCell ref="F463:G463"/>
    <mergeCell ref="M179:S179"/>
    <mergeCell ref="B603:D603"/>
    <mergeCell ref="A1187:G1187"/>
    <mergeCell ref="P910:Q910"/>
    <mergeCell ref="A831:C831"/>
    <mergeCell ref="J1040:K1040"/>
    <mergeCell ref="P447:Q447"/>
    <mergeCell ref="G125:K125"/>
    <mergeCell ref="J437:K437"/>
    <mergeCell ref="L688:Q688"/>
    <mergeCell ref="M960:S960"/>
    <mergeCell ref="H222:L222"/>
    <mergeCell ref="B964:H964"/>
    <mergeCell ref="J1042:K1042"/>
    <mergeCell ref="J1164:K1164"/>
    <mergeCell ref="G127:K127"/>
    <mergeCell ref="A869:G869"/>
    <mergeCell ref="O85:Q85"/>
    <mergeCell ref="J1035:K1035"/>
    <mergeCell ref="J193:K193"/>
    <mergeCell ref="A370:S370"/>
    <mergeCell ref="J226:S226"/>
    <mergeCell ref="J305:K305"/>
    <mergeCell ref="A1015:C1015"/>
    <mergeCell ref="A968:S968"/>
    <mergeCell ref="J307:K307"/>
    <mergeCell ref="AH4:AJ4"/>
    <mergeCell ref="P79:Q79"/>
    <mergeCell ref="M225:S225"/>
    <mergeCell ref="K910:M910"/>
    <mergeCell ref="L371:M371"/>
    <mergeCell ref="J936:K936"/>
    <mergeCell ref="M681:S681"/>
    <mergeCell ref="J1195:S1195"/>
    <mergeCell ref="J938:K938"/>
    <mergeCell ref="L274:Q274"/>
    <mergeCell ref="J465:K466"/>
    <mergeCell ref="B1194:H1194"/>
    <mergeCell ref="F923:G923"/>
    <mergeCell ref="J335:K335"/>
    <mergeCell ref="H1052:L1052"/>
    <mergeCell ref="B375:D375"/>
    <mergeCell ref="AH26:AJ26"/>
    <mergeCell ref="P220:Q220"/>
    <mergeCell ref="J368:S368"/>
    <mergeCell ref="J669:K669"/>
    <mergeCell ref="H1238:L1238"/>
    <mergeCell ref="J206:K206"/>
    <mergeCell ref="A915:G915"/>
    <mergeCell ref="A496:G496"/>
    <mergeCell ref="M1006:S1006"/>
    <mergeCell ref="G354:K354"/>
    <mergeCell ref="P555:Q555"/>
    <mergeCell ref="P862:Q862"/>
    <mergeCell ref="H419:H420"/>
    <mergeCell ref="J992:K992"/>
    <mergeCell ref="A498:G498"/>
    <mergeCell ref="G356:K356"/>
    <mergeCell ref="P557:Q557"/>
    <mergeCell ref="J351:K351"/>
    <mergeCell ref="J326:K326"/>
    <mergeCell ref="G952:K952"/>
    <mergeCell ref="A910:G910"/>
    <mergeCell ref="A368:I368"/>
    <mergeCell ref="M271:S271"/>
    <mergeCell ref="A1096:G1096"/>
    <mergeCell ref="J353:K353"/>
    <mergeCell ref="L724:M724"/>
    <mergeCell ref="J651:K651"/>
    <mergeCell ref="G954:K954"/>
    <mergeCell ref="J993:K993"/>
    <mergeCell ref="J987:K987"/>
    <mergeCell ref="O1189:Q1189"/>
    <mergeCell ref="L419:M419"/>
    <mergeCell ref="F555:G555"/>
    <mergeCell ref="J653:K653"/>
    <mergeCell ref="J995:K995"/>
    <mergeCell ref="P1002:Q1002"/>
    <mergeCell ref="F557:G557"/>
    <mergeCell ref="A365:I365"/>
    <mergeCell ref="H314:L314"/>
    <mergeCell ref="H51:H52"/>
    <mergeCell ref="J379:K379"/>
    <mergeCell ref="F1155:G1155"/>
    <mergeCell ref="A82:G82"/>
    <mergeCell ref="J74:K74"/>
    <mergeCell ref="J250:K250"/>
    <mergeCell ref="J594:S594"/>
    <mergeCell ref="H649:H650"/>
    <mergeCell ref="J706:K706"/>
    <mergeCell ref="A462:S462"/>
    <mergeCell ref="P908:Q908"/>
    <mergeCell ref="G586:K586"/>
    <mergeCell ref="A865:G865"/>
    <mergeCell ref="J708:K708"/>
    <mergeCell ref="J1031:K1031"/>
    <mergeCell ref="B327:D327"/>
    <mergeCell ref="Z20:AA20"/>
    <mergeCell ref="J674:K674"/>
    <mergeCell ref="N555:O555"/>
    <mergeCell ref="J1033:K1033"/>
    <mergeCell ref="A685:G685"/>
    <mergeCell ref="L1102:Q1102"/>
    <mergeCell ref="M317:S317"/>
    <mergeCell ref="M773:S773"/>
    <mergeCell ref="N1153:O1153"/>
    <mergeCell ref="P1048:Q1048"/>
    <mergeCell ref="J303:K303"/>
    <mergeCell ref="A868:G868"/>
    <mergeCell ref="A224:G224"/>
    <mergeCell ref="H544:L544"/>
    <mergeCell ref="J557:K558"/>
    <mergeCell ref="B467:D467"/>
    <mergeCell ref="J123:K123"/>
    <mergeCell ref="J761:K761"/>
    <mergeCell ref="J304:K304"/>
    <mergeCell ref="A321:I321"/>
    <mergeCell ref="M314:S314"/>
    <mergeCell ref="J1155:K1156"/>
    <mergeCell ref="A692:S692"/>
    <mergeCell ref="B1065:D1065"/>
    <mergeCell ref="J423:K423"/>
    <mergeCell ref="J306:K306"/>
    <mergeCell ref="G907:K907"/>
    <mergeCell ref="O821:Q821"/>
    <mergeCell ref="A735:I735"/>
    <mergeCell ref="P647:Q647"/>
    <mergeCell ref="I959:K959"/>
    <mergeCell ref="J1077:K1077"/>
    <mergeCell ref="J18:K18"/>
    <mergeCell ref="AE12:AG12"/>
    <mergeCell ref="J474:K474"/>
    <mergeCell ref="J17:K17"/>
    <mergeCell ref="J903:K903"/>
    <mergeCell ref="J1079:K1079"/>
    <mergeCell ref="AE14:AG14"/>
    <mergeCell ref="J787:K788"/>
    <mergeCell ref="L1148:Q1148"/>
    <mergeCell ref="J1078:K1078"/>
    <mergeCell ref="J19:K19"/>
    <mergeCell ref="J1072:K1072"/>
    <mergeCell ref="B697:D697"/>
    <mergeCell ref="J991:K991"/>
    <mergeCell ref="L233:M233"/>
    <mergeCell ref="L540:M540"/>
    <mergeCell ref="O453:Q453"/>
    <mergeCell ref="M544:S544"/>
    <mergeCell ref="H316:L316"/>
    <mergeCell ref="H731:L731"/>
    <mergeCell ref="P1000:Q1000"/>
    <mergeCell ref="H557:H558"/>
    <mergeCell ref="G678:K678"/>
    <mergeCell ref="P695:Q695"/>
    <mergeCell ref="F373:G373"/>
    <mergeCell ref="P355:Q355"/>
    <mergeCell ref="J1219:K1219"/>
    <mergeCell ref="F969:G969"/>
    <mergeCell ref="G33:K33"/>
    <mergeCell ref="J702:K702"/>
    <mergeCell ref="J1131:K1131"/>
    <mergeCell ref="AE25:AG25"/>
    <mergeCell ref="AB24:AD24"/>
    <mergeCell ref="G35:K35"/>
    <mergeCell ref="B775:F775"/>
    <mergeCell ref="M1141:S1141"/>
    <mergeCell ref="L739:M739"/>
    <mergeCell ref="J704:K704"/>
    <mergeCell ref="J1133:K1133"/>
    <mergeCell ref="A1150:I1150"/>
    <mergeCell ref="A687:I687"/>
    <mergeCell ref="H1099:L1099"/>
    <mergeCell ref="J243:K243"/>
    <mergeCell ref="A681:G681"/>
    <mergeCell ref="A46:I46"/>
    <mergeCell ref="L463:M463"/>
    <mergeCell ref="H363:L363"/>
    <mergeCell ref="G262:K262"/>
    <mergeCell ref="A220:G220"/>
    <mergeCell ref="L465:M465"/>
    <mergeCell ref="J916:S916"/>
    <mergeCell ref="J117:K117"/>
    <mergeCell ref="J388:K388"/>
    <mergeCell ref="J844:K844"/>
    <mergeCell ref="A222:G222"/>
    <mergeCell ref="P925:Q925"/>
    <mergeCell ref="A969:C969"/>
    <mergeCell ref="P585:Q585"/>
    <mergeCell ref="J119:K119"/>
    <mergeCell ref="P281:Q281"/>
    <mergeCell ref="J390:K390"/>
    <mergeCell ref="G263:K263"/>
    <mergeCell ref="A827:I827"/>
    <mergeCell ref="J846:K846"/>
    <mergeCell ref="M731:S731"/>
    <mergeCell ref="J917:S917"/>
    <mergeCell ref="J427:K427"/>
    <mergeCell ref="B1102:H1102"/>
    <mergeCell ref="A1198:S1198"/>
    <mergeCell ref="P312:Q312"/>
    <mergeCell ref="H603:H604"/>
    <mergeCell ref="J717:K717"/>
    <mergeCell ref="H84:L84"/>
    <mergeCell ref="P741:Q741"/>
    <mergeCell ref="A1007:G1007"/>
    <mergeCell ref="J114:K114"/>
    <mergeCell ref="J385:K385"/>
    <mergeCell ref="L447:M447"/>
    <mergeCell ref="Z4:AA4"/>
    <mergeCell ref="F279:G279"/>
    <mergeCell ref="B1063:D1063"/>
    <mergeCell ref="J719:K719"/>
    <mergeCell ref="J572:K572"/>
    <mergeCell ref="H86:L86"/>
    <mergeCell ref="J145:K145"/>
    <mergeCell ref="F281:G281"/>
    <mergeCell ref="A733:I733"/>
    <mergeCell ref="J443:K443"/>
    <mergeCell ref="B821:F821"/>
    <mergeCell ref="H1145:L1145"/>
    <mergeCell ref="G860:K860"/>
    <mergeCell ref="A47:S47"/>
    <mergeCell ref="J111:K111"/>
    <mergeCell ref="J445:K445"/>
    <mergeCell ref="J743:K743"/>
    <mergeCell ref="L632:M632"/>
    <mergeCell ref="J1172:K1172"/>
    <mergeCell ref="Z26:AA26"/>
    <mergeCell ref="L509:M509"/>
    <mergeCell ref="A830:S830"/>
    <mergeCell ref="A1058:I1058"/>
    <mergeCell ref="I683:K683"/>
    <mergeCell ref="J1070:K1070"/>
    <mergeCell ref="P785:Q785"/>
    <mergeCell ref="AE5:AG5"/>
    <mergeCell ref="H833:H834"/>
    <mergeCell ref="J1103:S1103"/>
    <mergeCell ref="P358:Q358"/>
    <mergeCell ref="J686:S686"/>
    <mergeCell ref="J158:K158"/>
    <mergeCell ref="A1233:G1233"/>
    <mergeCell ref="P956:Q956"/>
    <mergeCell ref="J45:S45"/>
    <mergeCell ref="M84:S84"/>
    <mergeCell ref="G1091:K1091"/>
    <mergeCell ref="A636:G636"/>
    <mergeCell ref="J1217:K1217"/>
    <mergeCell ref="J489:K489"/>
    <mergeCell ref="J160:K160"/>
    <mergeCell ref="G1090:K1090"/>
    <mergeCell ref="A1048:G1048"/>
    <mergeCell ref="M86:S86"/>
    <mergeCell ref="J1210:K1210"/>
    <mergeCell ref="L555:M555"/>
    <mergeCell ref="H455:L455"/>
    <mergeCell ref="J491:K491"/>
    <mergeCell ref="L862:M862"/>
    <mergeCell ref="AB22:AD22"/>
    <mergeCell ref="J72:K72"/>
    <mergeCell ref="J789:K789"/>
    <mergeCell ref="G1092:K1092"/>
    <mergeCell ref="J799:K799"/>
    <mergeCell ref="L557:M557"/>
    <mergeCell ref="J484:K484"/>
    <mergeCell ref="A416:S416"/>
    <mergeCell ref="H1053:L1053"/>
    <mergeCell ref="J30:K30"/>
    <mergeCell ref="I269:K269"/>
    <mergeCell ref="A314:G314"/>
    <mergeCell ref="F695:G695"/>
    <mergeCell ref="P677:Q677"/>
    <mergeCell ref="B1158:D1158"/>
    <mergeCell ref="F1107:G1107"/>
    <mergeCell ref="H452:L452"/>
    <mergeCell ref="G171:K171"/>
    <mergeCell ref="J517:K517"/>
    <mergeCell ref="J809:K809"/>
    <mergeCell ref="J54:K54"/>
    <mergeCell ref="G357:K357"/>
    <mergeCell ref="J212:K212"/>
    <mergeCell ref="A919:I919"/>
    <mergeCell ref="J732:S732"/>
    <mergeCell ref="B7:D7"/>
    <mergeCell ref="J1115:K1115"/>
    <mergeCell ref="J56:K56"/>
    <mergeCell ref="J214:K214"/>
    <mergeCell ref="A825:I825"/>
    <mergeCell ref="B465:D465"/>
    <mergeCell ref="H685:L685"/>
    <mergeCell ref="B421:D421"/>
    <mergeCell ref="A139:S139"/>
    <mergeCell ref="P310:Q310"/>
    <mergeCell ref="J812:K812"/>
    <mergeCell ref="J414:S414"/>
    <mergeCell ref="A1094:G1094"/>
    <mergeCell ref="M455:S455"/>
    <mergeCell ref="K1140:M1140"/>
    <mergeCell ref="J441:K441"/>
    <mergeCell ref="A362:G362"/>
    <mergeCell ref="P723:Q723"/>
    <mergeCell ref="J1058:S1058"/>
    <mergeCell ref="J530:K530"/>
    <mergeCell ref="M1053:S1053"/>
    <mergeCell ref="H682:L682"/>
    <mergeCell ref="G401:K401"/>
    <mergeCell ref="J1168:K1168"/>
    <mergeCell ref="J695:K696"/>
    <mergeCell ref="B605:D605"/>
    <mergeCell ref="J1039:K1039"/>
    <mergeCell ref="J532:K532"/>
    <mergeCell ref="J1170:K1170"/>
    <mergeCell ref="G403:K403"/>
    <mergeCell ref="O361:Q361"/>
    <mergeCell ref="P539:Q539"/>
    <mergeCell ref="M452:S452"/>
    <mergeCell ref="O959:Q959"/>
    <mergeCell ref="A49:C49"/>
    <mergeCell ref="B959:F959"/>
    <mergeCell ref="A1140:G1140"/>
    <mergeCell ref="A369:S369"/>
    <mergeCell ref="J154:K154"/>
    <mergeCell ref="I1097:K1097"/>
    <mergeCell ref="J583:K583"/>
    <mergeCell ref="J881:K881"/>
    <mergeCell ref="A1142:G1142"/>
    <mergeCell ref="G1184:K1184"/>
    <mergeCell ref="A871:I871"/>
    <mergeCell ref="J120:K120"/>
    <mergeCell ref="A137:I137"/>
    <mergeCell ref="L136:Q136"/>
    <mergeCell ref="J156:K156"/>
    <mergeCell ref="J43:S43"/>
    <mergeCell ref="L647:M647"/>
    <mergeCell ref="J883:K883"/>
    <mergeCell ref="J155:K155"/>
    <mergeCell ref="J426:K426"/>
    <mergeCell ref="J1181:K1181"/>
    <mergeCell ref="J1041:K1041"/>
    <mergeCell ref="J578:K578"/>
    <mergeCell ref="J925:K926"/>
    <mergeCell ref="J157:K157"/>
    <mergeCell ref="J641:S641"/>
    <mergeCell ref="J151:K151"/>
    <mergeCell ref="B835:D835"/>
    <mergeCell ref="A1153:C1153"/>
    <mergeCell ref="AH2:AJ2"/>
    <mergeCell ref="A731:G731"/>
    <mergeCell ref="P769:Q769"/>
    <mergeCell ref="G447:K447"/>
    <mergeCell ref="J611:K611"/>
    <mergeCell ref="K128:M128"/>
    <mergeCell ref="J296:K296"/>
    <mergeCell ref="M819:S819"/>
    <mergeCell ref="J367:S367"/>
    <mergeCell ref="P1138:Q1138"/>
    <mergeCell ref="H695:H696"/>
    <mergeCell ref="G816:K816"/>
    <mergeCell ref="J298:K298"/>
    <mergeCell ref="J603:K604"/>
    <mergeCell ref="T83:Z83"/>
    <mergeCell ref="B513:D513"/>
    <mergeCell ref="J825:S825"/>
    <mergeCell ref="J297:K297"/>
    <mergeCell ref="AB4:AD4"/>
    <mergeCell ref="A367:I367"/>
    <mergeCell ref="A183:I183"/>
    <mergeCell ref="A1186:G1186"/>
    <mergeCell ref="J299:K299"/>
    <mergeCell ref="F371:G371"/>
    <mergeCell ref="M822:S822"/>
    <mergeCell ref="J1113:K1113"/>
    <mergeCell ref="L355:M355"/>
    <mergeCell ref="B971:D971"/>
    <mergeCell ref="B514:D514"/>
    <mergeCell ref="H1237:L1237"/>
    <mergeCell ref="J381:K381"/>
    <mergeCell ref="J622:K622"/>
    <mergeCell ref="H590:L590"/>
    <mergeCell ref="J655:K655"/>
    <mergeCell ref="A358:G358"/>
    <mergeCell ref="J983:K983"/>
    <mergeCell ref="J1054:S1054"/>
    <mergeCell ref="J526:K526"/>
    <mergeCell ref="J949:K949"/>
    <mergeCell ref="A360:G360"/>
    <mergeCell ref="A966:I966"/>
    <mergeCell ref="J528:K528"/>
    <mergeCell ref="G953:K953"/>
    <mergeCell ref="J1124:K1124"/>
    <mergeCell ref="A965:I965"/>
    <mergeCell ref="J984:K984"/>
    <mergeCell ref="P877:Q877"/>
    <mergeCell ref="A84:G84"/>
    <mergeCell ref="A277:S277"/>
    <mergeCell ref="I1189:K1189"/>
    <mergeCell ref="P879:Q879"/>
    <mergeCell ref="A86:G86"/>
    <mergeCell ref="L925:M925"/>
    <mergeCell ref="J523:K523"/>
    <mergeCell ref="L281:M281"/>
    <mergeCell ref="L585:M585"/>
    <mergeCell ref="F417:G417"/>
    <mergeCell ref="M593:S593"/>
    <mergeCell ref="A278:S278"/>
    <mergeCell ref="J247:K247"/>
    <mergeCell ref="A684:G684"/>
    <mergeCell ref="I131:K131"/>
    <mergeCell ref="F419:G419"/>
    <mergeCell ref="J1196:S1196"/>
    <mergeCell ref="J668:K668"/>
    <mergeCell ref="H820:L820"/>
    <mergeCell ref="J249:K249"/>
    <mergeCell ref="J241:K241"/>
    <mergeCell ref="J854:K854"/>
    <mergeCell ref="A598:I598"/>
    <mergeCell ref="G725:K725"/>
    <mergeCell ref="M1237:S1237"/>
    <mergeCell ref="A1196:I1196"/>
    <mergeCell ref="G1183:K1183"/>
    <mergeCell ref="N371:O371"/>
    <mergeCell ref="O1097:Q1097"/>
    <mergeCell ref="A507:S507"/>
    <mergeCell ref="H971:H972"/>
    <mergeCell ref="J994:K994"/>
    <mergeCell ref="J183:S183"/>
    <mergeCell ref="B1148:H1148"/>
    <mergeCell ref="J289:K289"/>
    <mergeCell ref="L1000:M1000"/>
    <mergeCell ref="H130:L130"/>
    <mergeCell ref="N3:O3"/>
    <mergeCell ref="A1053:G1053"/>
    <mergeCell ref="J166:K166"/>
    <mergeCell ref="L695:M695"/>
    <mergeCell ref="H866:L866"/>
    <mergeCell ref="H132:L132"/>
    <mergeCell ref="B90:H90"/>
    <mergeCell ref="M363:S363"/>
    <mergeCell ref="T9:X9"/>
    <mergeCell ref="A1105:S1105"/>
    <mergeCell ref="J191:K191"/>
    <mergeCell ref="A452:G452"/>
    <mergeCell ref="N417:O417"/>
    <mergeCell ref="J620:K620"/>
    <mergeCell ref="G493:K493"/>
    <mergeCell ref="J1076:K1076"/>
    <mergeCell ref="M961:S961"/>
    <mergeCell ref="L79:M79"/>
    <mergeCell ref="G309:K309"/>
    <mergeCell ref="K864:M864"/>
    <mergeCell ref="AH12:AJ12"/>
    <mergeCell ref="G1229:K1229"/>
    <mergeCell ref="J192:K192"/>
    <mergeCell ref="G495:K495"/>
    <mergeCell ref="O1143:Q1143"/>
    <mergeCell ref="J621:K621"/>
    <mergeCell ref="J615:K615"/>
    <mergeCell ref="L677:M677"/>
    <mergeCell ref="AH14:AJ14"/>
    <mergeCell ref="J194:K194"/>
    <mergeCell ref="F511:G511"/>
    <mergeCell ref="B559:D559"/>
    <mergeCell ref="J333:K333"/>
    <mergeCell ref="AE29:AG29"/>
    <mergeCell ref="L918:Q918"/>
    <mergeCell ref="A322:I322"/>
    <mergeCell ref="J135:S135"/>
    <mergeCell ref="J245:K245"/>
    <mergeCell ref="M130:S130"/>
    <mergeCell ref="A682:G682"/>
    <mergeCell ref="J791:K791"/>
    <mergeCell ref="J1089:K1089"/>
    <mergeCell ref="J334:K334"/>
    <mergeCell ref="AH25:AJ25"/>
    <mergeCell ref="M132:S132"/>
    <mergeCell ref="B407:F407"/>
    <mergeCell ref="J205:K205"/>
    <mergeCell ref="J336:K336"/>
    <mergeCell ref="L1153:M1153"/>
    <mergeCell ref="J659:K659"/>
    <mergeCell ref="P588:Q588"/>
    <mergeCell ref="P1017:Q1017"/>
    <mergeCell ref="M590:S590"/>
    <mergeCell ref="L1155:M1155"/>
    <mergeCell ref="L723:M723"/>
    <mergeCell ref="V5:X5"/>
    <mergeCell ref="P1186:Q1186"/>
    <mergeCell ref="J275:S275"/>
    <mergeCell ref="A822:G822"/>
    <mergeCell ref="A187:C187"/>
    <mergeCell ref="A551:I551"/>
    <mergeCell ref="J990:K990"/>
    <mergeCell ref="B1097:F1097"/>
    <mergeCell ref="J1020:K1020"/>
    <mergeCell ref="H960:L960"/>
    <mergeCell ref="J721:K721"/>
    <mergeCell ref="P128:Q128"/>
    <mergeCell ref="J1019:K1019"/>
    <mergeCell ref="A1009:I1009"/>
    <mergeCell ref="J258:K258"/>
    <mergeCell ref="L908:M908"/>
    <mergeCell ref="J565:K565"/>
    <mergeCell ref="B39:F39"/>
    <mergeCell ref="J181:S181"/>
    <mergeCell ref="A646:S646"/>
    <mergeCell ref="L785:M785"/>
    <mergeCell ref="J1021:K1021"/>
    <mergeCell ref="J260:K260"/>
    <mergeCell ref="J716:K716"/>
    <mergeCell ref="B511:D511"/>
    <mergeCell ref="P601:Q601"/>
    <mergeCell ref="P603:Q603"/>
    <mergeCell ref="J506:S506"/>
    <mergeCell ref="G585:K585"/>
    <mergeCell ref="A1149:I1149"/>
    <mergeCell ref="J1239:S1239"/>
    <mergeCell ref="J962:S962"/>
    <mergeCell ref="K266:M266"/>
    <mergeCell ref="J434:K434"/>
    <mergeCell ref="J705:K705"/>
    <mergeCell ref="J505:S505"/>
    <mergeCell ref="J1161:K1161"/>
    <mergeCell ref="J1074:K1074"/>
    <mergeCell ref="L769:M769"/>
    <mergeCell ref="J741:K742"/>
    <mergeCell ref="J617:K617"/>
    <mergeCell ref="J1032:K1032"/>
    <mergeCell ref="P815:Q815"/>
    <mergeCell ref="B651:D651"/>
    <mergeCell ref="J1163:K1163"/>
    <mergeCell ref="J951:K951"/>
    <mergeCell ref="L1138:M1138"/>
    <mergeCell ref="N141:O141"/>
    <mergeCell ref="J619:K619"/>
    <mergeCell ref="J1034:K1034"/>
    <mergeCell ref="H1006:L1006"/>
    <mergeCell ref="B1109:D1109"/>
    <mergeCell ref="H270:L270"/>
    <mergeCell ref="B652:D652"/>
    <mergeCell ref="N739:O739"/>
    <mergeCell ref="J946:K946"/>
    <mergeCell ref="A590:G590"/>
    <mergeCell ref="G631:K631"/>
    <mergeCell ref="J1104:S1104"/>
    <mergeCell ref="A318:I318"/>
    <mergeCell ref="H728:L728"/>
    <mergeCell ref="AE27:AG27"/>
    <mergeCell ref="P833:Q833"/>
    <mergeCell ref="J7:K7"/>
    <mergeCell ref="J330:K330"/>
    <mergeCell ref="G633:K633"/>
    <mergeCell ref="AE20:AG20"/>
    <mergeCell ref="J1087:K1087"/>
    <mergeCell ref="J332:K332"/>
    <mergeCell ref="AE22:AG22"/>
    <mergeCell ref="A778:I778"/>
    <mergeCell ref="A415:S415"/>
    <mergeCell ref="J790:K790"/>
    <mergeCell ref="J1088:K1088"/>
    <mergeCell ref="J661:K661"/>
    <mergeCell ref="B131:F131"/>
    <mergeCell ref="J60:K60"/>
    <mergeCell ref="J273:S273"/>
    <mergeCell ref="L877:M877"/>
    <mergeCell ref="J53:K53"/>
    <mergeCell ref="B729:F729"/>
    <mergeCell ref="J806:K806"/>
    <mergeCell ref="H958:L958"/>
    <mergeCell ref="J387:K387"/>
    <mergeCell ref="J871:S871"/>
    <mergeCell ref="J343:K343"/>
    <mergeCell ref="G863:K863"/>
    <mergeCell ref="J345:K345"/>
    <mergeCell ref="G677:K677"/>
    <mergeCell ref="A635:G635"/>
    <mergeCell ref="M728:S728"/>
    <mergeCell ref="H774:L774"/>
    <mergeCell ref="H317:L317"/>
    <mergeCell ref="N509:O509"/>
    <mergeCell ref="B1241:H1241"/>
    <mergeCell ref="A325:C325"/>
    <mergeCell ref="J71:K71"/>
    <mergeCell ref="A645:S645"/>
    <mergeCell ref="K772:M772"/>
    <mergeCell ref="J1157:K1157"/>
    <mergeCell ref="J1132:K1132"/>
    <mergeCell ref="J73:K73"/>
    <mergeCell ref="A1147:I1147"/>
    <mergeCell ref="B1020:D1020"/>
    <mergeCell ref="A413:I413"/>
    <mergeCell ref="M1052:S1052"/>
    <mergeCell ref="J1159:K1159"/>
    <mergeCell ref="J1134:K1134"/>
    <mergeCell ref="J102:K102"/>
    <mergeCell ref="J425:K425"/>
    <mergeCell ref="J318:S318"/>
    <mergeCell ref="Z12:AA12"/>
    <mergeCell ref="H1004:L1004"/>
    <mergeCell ref="G723:K723"/>
    <mergeCell ref="J756:K756"/>
    <mergeCell ref="B228:H228"/>
    <mergeCell ref="P172:Q172"/>
    <mergeCell ref="J643:S643"/>
    <mergeCell ref="Z14:AA14"/>
    <mergeCell ref="A555:C555"/>
    <mergeCell ref="A133:G133"/>
    <mergeCell ref="J758:K758"/>
    <mergeCell ref="J295:K295"/>
    <mergeCell ref="J847:K847"/>
    <mergeCell ref="M40:S40"/>
    <mergeCell ref="K1002:M1002"/>
    <mergeCell ref="B688:H688"/>
    <mergeCell ref="B789:D789"/>
    <mergeCell ref="J882:K882"/>
    <mergeCell ref="J1180:K1180"/>
    <mergeCell ref="J1216:K1216"/>
    <mergeCell ref="J759:K759"/>
    <mergeCell ref="J1243:S1243"/>
    <mergeCell ref="J753:K753"/>
    <mergeCell ref="F647:G647"/>
    <mergeCell ref="H1144:L1144"/>
    <mergeCell ref="F649:G649"/>
    <mergeCell ref="O223:Q223"/>
    <mergeCell ref="A730:G730"/>
    <mergeCell ref="J898:K898"/>
    <mergeCell ref="G446:K446"/>
    <mergeCell ref="H1050:L1050"/>
    <mergeCell ref="B373:D373"/>
    <mergeCell ref="AE9:AG9"/>
    <mergeCell ref="AB8:AD8"/>
    <mergeCell ref="J471:K471"/>
    <mergeCell ref="J900:K900"/>
    <mergeCell ref="L1056:Q1056"/>
    <mergeCell ref="G1044:K1044"/>
    <mergeCell ref="A460:I460"/>
    <mergeCell ref="H1141:L1141"/>
    <mergeCell ref="AB10:AD10"/>
    <mergeCell ref="AE11:AG11"/>
    <mergeCell ref="J473:K473"/>
    <mergeCell ref="J16:K16"/>
    <mergeCell ref="J229:S229"/>
    <mergeCell ref="J1200:K1200"/>
    <mergeCell ref="J168:K168"/>
    <mergeCell ref="J472:K472"/>
    <mergeCell ref="AE4:AG4"/>
    <mergeCell ref="L143:M143"/>
    <mergeCell ref="B545:F545"/>
    <mergeCell ref="B274:H274"/>
    <mergeCell ref="A737:S737"/>
    <mergeCell ref="J1112:K1112"/>
    <mergeCell ref="J797:K797"/>
    <mergeCell ref="H313:L313"/>
    <mergeCell ref="J67:K67"/>
    <mergeCell ref="J413:S413"/>
    <mergeCell ref="F879:G879"/>
    <mergeCell ref="A960:G960"/>
    <mergeCell ref="A689:I689"/>
    <mergeCell ref="J1128:K1128"/>
    <mergeCell ref="J69:K69"/>
    <mergeCell ref="AB21:AD21"/>
    <mergeCell ref="G355:K355"/>
    <mergeCell ref="J701:K701"/>
    <mergeCell ref="P266:Q266"/>
    <mergeCell ref="J1130:K1130"/>
    <mergeCell ref="AB23:AD23"/>
    <mergeCell ref="J396:K396"/>
    <mergeCell ref="J667:K667"/>
    <mergeCell ref="J527:K527"/>
    <mergeCell ref="M1050:S1050"/>
    <mergeCell ref="J703:K703"/>
    <mergeCell ref="J485:K485"/>
    <mergeCell ref="B320:H320"/>
    <mergeCell ref="K496:M496"/>
    <mergeCell ref="J398:K398"/>
    <mergeCell ref="A686:I686"/>
    <mergeCell ref="N647:O647"/>
    <mergeCell ref="J1125:K1125"/>
    <mergeCell ref="B744:D744"/>
    <mergeCell ref="A41:G41"/>
    <mergeCell ref="AB51:AD51"/>
    <mergeCell ref="A226:I226"/>
    <mergeCell ref="Z10:AA10"/>
    <mergeCell ref="L586:M586"/>
    <mergeCell ref="J238:K238"/>
    <mergeCell ref="J843:K843"/>
    <mergeCell ref="L601:M601"/>
    <mergeCell ref="J240:K240"/>
    <mergeCell ref="J845:K845"/>
    <mergeCell ref="L603:M603"/>
    <mergeCell ref="J749:K749"/>
    <mergeCell ref="A600:S600"/>
    <mergeCell ref="J838:K838"/>
    <mergeCell ref="A1195:I1195"/>
    <mergeCell ref="H83:L83"/>
    <mergeCell ref="A828:I828"/>
    <mergeCell ref="P1063:Q1063"/>
    <mergeCell ref="H1142:L1142"/>
    <mergeCell ref="K82:M82"/>
    <mergeCell ref="B366:H366"/>
    <mergeCell ref="H408:L408"/>
    <mergeCell ref="J108:K108"/>
    <mergeCell ref="Z21:AA21"/>
    <mergeCell ref="P1092:Q1092"/>
    <mergeCell ref="L815:M815"/>
    <mergeCell ref="J1240:S1240"/>
    <mergeCell ref="I1051:K1051"/>
    <mergeCell ref="J442:K442"/>
    <mergeCell ref="A728:G728"/>
    <mergeCell ref="A271:G271"/>
    <mergeCell ref="J896:K896"/>
    <mergeCell ref="Z29:AA29"/>
    <mergeCell ref="J1169:K1169"/>
    <mergeCell ref="M362:S362"/>
    <mergeCell ref="Z23:AA23"/>
    <mergeCell ref="J1242:S1242"/>
    <mergeCell ref="M178:S178"/>
    <mergeCell ref="AB6:AD6"/>
    <mergeCell ref="J779:S779"/>
    <mergeCell ref="B54:D54"/>
    <mergeCell ref="G771:K771"/>
    <mergeCell ref="J891:K891"/>
    <mergeCell ref="M776:S776"/>
    <mergeCell ref="Z24:AA24"/>
    <mergeCell ref="J1225:K1225"/>
    <mergeCell ref="J470:K470"/>
    <mergeCell ref="B468:D468"/>
    <mergeCell ref="O545:Q545"/>
    <mergeCell ref="F787:G787"/>
    <mergeCell ref="J42:S42"/>
    <mergeCell ref="P174:Q174"/>
    <mergeCell ref="J795:K795"/>
    <mergeCell ref="K312:M312"/>
    <mergeCell ref="AB17:AD17"/>
    <mergeCell ref="J411:S411"/>
    <mergeCell ref="M83:S83"/>
    <mergeCell ref="L1015:M1015"/>
    <mergeCell ref="J1207:K1207"/>
    <mergeCell ref="J490:K490"/>
    <mergeCell ref="AB19:AD19"/>
    <mergeCell ref="A594:I594"/>
    <mergeCell ref="B867:F867"/>
    <mergeCell ref="M408:S408"/>
    <mergeCell ref="J796:K796"/>
    <mergeCell ref="J1009:S1009"/>
    <mergeCell ref="B412:H412"/>
    <mergeCell ref="J612:K612"/>
    <mergeCell ref="B100:D100"/>
    <mergeCell ref="A317:G317"/>
    <mergeCell ref="AB20:AD20"/>
    <mergeCell ref="J483:K483"/>
    <mergeCell ref="L734:Q734"/>
    <mergeCell ref="AB14:AD14"/>
    <mergeCell ref="L539:M539"/>
    <mergeCell ref="A595:I595"/>
    <mergeCell ref="A773:G773"/>
    <mergeCell ref="B1155:D1155"/>
    <mergeCell ref="H912:L912"/>
    <mergeCell ref="B698:D698"/>
    <mergeCell ref="H1235:L1235"/>
    <mergeCell ref="J935:K935"/>
    <mergeCell ref="I85:K85"/>
    <mergeCell ref="A463:C463"/>
    <mergeCell ref="AH29:AJ29"/>
    <mergeCell ref="A312:G312"/>
    <mergeCell ref="J666:K666"/>
    <mergeCell ref="J937:K937"/>
    <mergeCell ref="J209:K209"/>
    <mergeCell ref="P861:Q861"/>
    <mergeCell ref="M1191:S1191"/>
    <mergeCell ref="A1061:C1061"/>
    <mergeCell ref="J211:K211"/>
    <mergeCell ref="M1190:S1190"/>
    <mergeCell ref="A922:S922"/>
    <mergeCell ref="J536:K536"/>
    <mergeCell ref="L907:M907"/>
    <mergeCell ref="H589:L589"/>
    <mergeCell ref="A824:I824"/>
    <mergeCell ref="J836:K836"/>
    <mergeCell ref="J560:K560"/>
    <mergeCell ref="B1236:F1236"/>
    <mergeCell ref="P3:Q3"/>
    <mergeCell ref="J106:K106"/>
    <mergeCell ref="L923:M923"/>
    <mergeCell ref="J562:K562"/>
    <mergeCell ref="A552:I552"/>
    <mergeCell ref="P5:Q5"/>
    <mergeCell ref="J1167:K1167"/>
    <mergeCell ref="J433:K433"/>
    <mergeCell ref="B927:D927"/>
    <mergeCell ref="H221:L221"/>
    <mergeCell ref="J435:K435"/>
    <mergeCell ref="J134:S134"/>
    <mergeCell ref="L504:Q504"/>
    <mergeCell ref="J1162:K1162"/>
    <mergeCell ref="F3:G3"/>
    <mergeCell ref="K220:M220"/>
    <mergeCell ref="H819:L819"/>
    <mergeCell ref="P450:Q450"/>
    <mergeCell ref="J580:K580"/>
    <mergeCell ref="J1036:K1036"/>
    <mergeCell ref="M500:S500"/>
    <mergeCell ref="A134:I134"/>
    <mergeCell ref="B504:H504"/>
    <mergeCell ref="M589:S589"/>
    <mergeCell ref="A1141:G1141"/>
    <mergeCell ref="J1038:K1038"/>
    <mergeCell ref="J283:K283"/>
    <mergeCell ref="J581:K581"/>
    <mergeCell ref="J575:K575"/>
    <mergeCell ref="G1182:K1182"/>
    <mergeCell ref="M958:S958"/>
    <mergeCell ref="M501:S501"/>
    <mergeCell ref="L34:M34"/>
    <mergeCell ref="J577:K577"/>
    <mergeCell ref="A917:I917"/>
    <mergeCell ref="A875:S875"/>
  </mergeCells>
  <printOptions horizontalCentered="1"/>
  <pageMargins left="0.1574803149606299" right="0.1574803149606299" top="0.1968503937007874" bottom="0.1968503937007874" header="0.3149606299212598" footer="0.3149606299212598"/>
  <pageSetup orientation="portrait" paperSize="9" scale="73" horizontalDpi="4294967293" verticalDpi="360"/>
  <rowBreaks count="26" manualBreakCount="26">
    <brk id="46" min="0" max="34" man="1"/>
    <brk id="92" min="0" max="34" man="1"/>
    <brk id="138" min="0" max="34" man="1"/>
    <brk id="184" min="0" max="34" man="1"/>
    <brk id="230" min="0" max="34" man="1"/>
    <brk id="276" min="0" max="34" man="1"/>
    <brk id="322" min="0" max="36" man="1"/>
    <brk id="368" min="0" max="36" man="1"/>
    <brk id="414" min="0" max="34" man="1"/>
    <brk id="460" min="0" max="34" man="1"/>
    <brk id="506" min="0" max="36" man="1"/>
    <brk id="552" min="0" max="34" man="1"/>
    <brk id="598" min="0" max="36" man="1"/>
    <brk id="644" min="0" max="36" man="1"/>
    <brk id="690" min="0" max="36" man="1"/>
    <brk id="736" min="0" max="36" man="1"/>
    <brk id="782" min="0" max="36" man="1"/>
    <brk id="828" min="0" max="34" man="1"/>
    <brk id="874" min="0" max="34" man="1"/>
    <brk id="920" min="0" max="34" man="1"/>
    <brk id="966" min="0" max="34" man="1"/>
    <brk id="1012" min="0" max="34" man="1"/>
    <brk id="1058" min="0" max="34" man="1"/>
    <brk id="1104" min="0" max="34" man="1"/>
    <brk id="1150" min="0" max="34" man="1"/>
    <brk id="1196" min="0" max="34" man="1"/>
  </rowBreaks>
  <colBreaks count="1" manualBreakCount="1">
    <brk id="19" min="0" max="1199" man="1"/>
  </col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243"/>
  <sheetViews>
    <sheetView view="pageBreakPreview" topLeftCell="A60" zoomScaleNormal="115" zoomScaleSheetLayoutView="100" workbookViewId="0">
      <selection activeCell="A86" sqref="A86:G86"/>
    </sheetView>
  </sheetViews>
  <sheetFormatPr baseColWidth="8" defaultColWidth="9.109375" defaultRowHeight="18"/>
  <cols>
    <col width="3.33203125" customWidth="1" style="8" min="1" max="1"/>
    <col width="5" customWidth="1" style="8" min="2" max="2"/>
    <col width="3.6640625" customWidth="1" style="8" min="3" max="3"/>
    <col width="11.5546875" customWidth="1" style="8" min="4" max="4"/>
    <col width="6.5546875" customWidth="1" style="8" min="5" max="5"/>
    <col width="3.44140625" customWidth="1" style="8" min="6" max="6"/>
    <col width="11.88671875" customWidth="1" style="8" min="7" max="7"/>
    <col width="10.44140625" customWidth="1" style="8" min="8" max="8"/>
    <col width="16.109375" customWidth="1" style="249" min="9" max="9"/>
    <col width="4.44140625" customWidth="1" style="8" min="10" max="10"/>
    <col width="6.5546875" customWidth="1" style="8" min="11" max="11"/>
    <col width="6.6640625" customWidth="1" style="8" min="12" max="13"/>
    <col width="8.6640625" customWidth="1" style="8" min="14" max="14"/>
    <col width="9.5546875" customWidth="1" style="8" min="15" max="15"/>
    <col width="6.6640625" customWidth="1" style="8" min="16" max="17"/>
    <col width="8.6640625" customWidth="1" style="8" min="18" max="18"/>
    <col width="9.6640625" customWidth="1" style="8" min="19" max="19"/>
    <col width="8.6640625" customWidth="1" style="8" min="20" max="20"/>
    <col width="3" customWidth="1" style="8" min="21" max="21"/>
    <col width="8.6640625" customWidth="1" style="8" min="22" max="22"/>
    <col width="3" customWidth="1" style="8" min="23" max="23"/>
    <col width="8.6640625" customWidth="1" style="8" min="24" max="24"/>
    <col width="3" customWidth="1" style="8" min="25" max="25"/>
    <col width="8.6640625" customWidth="1" style="8" min="26" max="26"/>
    <col width="3" customWidth="1" style="8" min="27" max="27"/>
    <col width="9.109375" customWidth="1" style="8" min="28" max="16384"/>
  </cols>
  <sheetData>
    <row r="1" ht="22.2" customHeight="1" s="330">
      <c r="A1" s="254" t="inlineStr">
        <is>
          <t>ใบเบิกจ่ายเงินค่าสอนพิเศษและค่าสอนเกินภาระงานสอนในสถานศึกษา</t>
        </is>
      </c>
      <c r="Z1" s="261" t="n"/>
      <c r="AA1" s="261" t="n"/>
    </row>
    <row r="2" ht="22.2" customHeight="1" s="330">
      <c r="A2" s="254" t="inlineStr">
        <is>
          <t>แผนกวิชายานยนต์ไฟฟ้า</t>
        </is>
      </c>
      <c r="Y2" s="331" t="n"/>
      <c r="Z2" s="260" t="inlineStr">
        <is>
          <t>ลำดับ</t>
        </is>
      </c>
      <c r="AA2" s="362" t="n"/>
      <c r="AB2" s="257" t="inlineStr">
        <is>
          <t>รายชื่อ</t>
        </is>
      </c>
      <c r="AC2" s="467" t="n"/>
      <c r="AD2" s="467" t="n"/>
      <c r="AE2" s="260" t="inlineStr">
        <is>
          <t>รวม ชม./ ส.</t>
        </is>
      </c>
      <c r="AF2" s="467" t="n"/>
      <c r="AG2" s="362" t="n"/>
      <c r="AH2" s="260" t="inlineStr">
        <is>
          <t>รวม ค่าสอน / สัปดาห์</t>
        </is>
      </c>
      <c r="AI2" s="467" t="n"/>
      <c r="AJ2" s="362" t="n"/>
    </row>
    <row r="3" ht="22.2" customHeight="1" s="330">
      <c r="A3" s="253" t="inlineStr">
        <is>
          <t xml:space="preserve">    ระหว่างวันที่</t>
        </is>
      </c>
      <c r="D3" s="254" t="n">
        <v>25</v>
      </c>
      <c r="E3" s="254" t="inlineStr">
        <is>
          <t xml:space="preserve">   เดือน  </t>
        </is>
      </c>
      <c r="F3" s="254" t="inlineStr">
        <is>
          <t>ธันวาคม</t>
        </is>
      </c>
      <c r="H3" s="254" t="inlineStr">
        <is>
          <t>พ.ศ. 2566</t>
        </is>
      </c>
      <c r="I3" s="254" t="inlineStr">
        <is>
          <t xml:space="preserve">     ถึง วันที่</t>
        </is>
      </c>
      <c r="J3" s="254" t="n">
        <v>29</v>
      </c>
      <c r="K3" s="254" t="inlineStr">
        <is>
          <t xml:space="preserve">   เดือน </t>
        </is>
      </c>
      <c r="L3" s="254" t="inlineStr">
        <is>
          <t>ธันวาคม</t>
        </is>
      </c>
      <c r="N3" s="254" t="inlineStr">
        <is>
          <t>พ.ศ. 2566</t>
        </is>
      </c>
      <c r="P3" s="254" t="n"/>
      <c r="R3" s="254" t="n"/>
      <c r="Y3" s="331" t="n"/>
      <c r="Z3" s="468" t="n">
        <v>1</v>
      </c>
      <c r="AA3" s="335" t="n"/>
      <c r="AB3" s="469" t="inlineStr">
        <is>
          <t>นายอาทิตย์  แก้วแดง</t>
        </is>
      </c>
      <c r="AD3" s="331" t="n"/>
      <c r="AE3" s="275">
        <f>H36</f>
        <v/>
      </c>
      <c r="AF3" s="334" t="n"/>
      <c r="AG3" s="335" t="n"/>
      <c r="AH3" s="470">
        <f>P36</f>
        <v/>
      </c>
      <c r="AI3" s="334" t="n"/>
      <c r="AJ3" s="335" t="n"/>
    </row>
    <row r="4" ht="22.2" customHeight="1" s="330">
      <c r="G4" s="58" t="inlineStr">
        <is>
          <t>ü</t>
        </is>
      </c>
      <c r="H4" s="290" t="inlineStr">
        <is>
          <t>ครู</t>
        </is>
      </c>
      <c r="I4" s="249" t="inlineStr">
        <is>
          <t>หน้าที่พิเศษ</t>
        </is>
      </c>
      <c r="J4" s="261" t="inlineStr">
        <is>
          <t>หัวหน้าแผนกยานยนต์ไฟฟ้า</t>
        </is>
      </c>
      <c r="K4" s="471" t="n"/>
      <c r="L4" s="471" t="n"/>
      <c r="M4" s="471" t="n"/>
      <c r="N4" s="471" t="n"/>
      <c r="Y4" s="331" t="n"/>
      <c r="Z4" s="472" t="n">
        <v>2</v>
      </c>
      <c r="AA4" s="331" t="n"/>
      <c r="AB4" s="240" t="inlineStr">
        <is>
          <t>นางสาวปาจารีย์  กฐินทอง</t>
        </is>
      </c>
      <c r="AE4" s="252">
        <f>H82</f>
        <v/>
      </c>
      <c r="AG4" s="331" t="n"/>
      <c r="AH4" s="251">
        <f>P82</f>
        <v/>
      </c>
      <c r="AJ4" s="331" t="n"/>
    </row>
    <row r="5" ht="22.2" customHeight="1" s="330">
      <c r="A5" s="28" t="inlineStr">
        <is>
          <t>ที่</t>
        </is>
      </c>
      <c r="B5" s="28" t="inlineStr">
        <is>
          <t>ชื่อ-สกุล</t>
        </is>
      </c>
      <c r="C5" s="334" t="n"/>
      <c r="D5" s="335" t="n"/>
      <c r="E5" s="16" t="inlineStr">
        <is>
          <t>ตำแหน่ง</t>
        </is>
      </c>
      <c r="F5" s="17" t="inlineStr">
        <is>
          <t>ระยะเวลาที่สอน</t>
        </is>
      </c>
      <c r="G5" s="362" t="n"/>
      <c r="H5" s="17" t="inlineStr">
        <is>
          <t>รหัสวิชา</t>
        </is>
      </c>
      <c r="I5" s="275" t="inlineStr">
        <is>
          <t>ชั้น,แผนก,ห้อง</t>
        </is>
      </c>
      <c r="J5" s="17" t="inlineStr">
        <is>
          <t>เวลาสอน</t>
        </is>
      </c>
      <c r="K5" s="335" t="n"/>
      <c r="L5" s="17" t="inlineStr">
        <is>
          <t>ปวช.(คาบ)</t>
        </is>
      </c>
      <c r="M5" s="362" t="n"/>
      <c r="N5" s="244" t="inlineStr">
        <is>
          <t>เงิน</t>
        </is>
      </c>
      <c r="O5" s="275" t="inlineStr">
        <is>
          <t>ยอดเงิน</t>
        </is>
      </c>
      <c r="P5" s="473" t="inlineStr">
        <is>
          <t>ปวส.(คาบ)</t>
        </is>
      </c>
      <c r="Q5" s="362" t="n"/>
      <c r="R5" s="244" t="inlineStr">
        <is>
          <t>เงิน</t>
        </is>
      </c>
      <c r="S5" s="275" t="inlineStr">
        <is>
          <t>ยอดเงิน</t>
        </is>
      </c>
      <c r="V5" s="240" t="n"/>
      <c r="Y5" s="331" t="n"/>
      <c r="Z5" s="472" t="n">
        <v>3</v>
      </c>
      <c r="AA5" s="331" t="n"/>
      <c r="AB5" s="240" t="n"/>
      <c r="AE5" s="252">
        <f>H128</f>
        <v/>
      </c>
      <c r="AG5" s="331" t="n"/>
      <c r="AH5" s="251">
        <f>P128</f>
        <v/>
      </c>
      <c r="AJ5" s="331" t="n"/>
    </row>
    <row r="6" ht="22.2" customHeight="1" s="330">
      <c r="A6" s="60" t="n"/>
      <c r="B6" s="9" t="n"/>
      <c r="C6" s="10" t="n"/>
      <c r="D6" s="14" t="n"/>
      <c r="E6" s="11" t="n"/>
      <c r="F6" s="276" t="inlineStr">
        <is>
          <t>ส.</t>
        </is>
      </c>
      <c r="G6" s="276" t="inlineStr">
        <is>
          <t>วดป.</t>
        </is>
      </c>
      <c r="H6" s="474" t="n"/>
      <c r="I6" s="276" t="n"/>
      <c r="J6" s="475" t="n"/>
      <c r="K6" s="476" t="n"/>
      <c r="L6" s="276" t="inlineStr">
        <is>
          <t>ใน</t>
        </is>
      </c>
      <c r="M6" s="276" t="inlineStr">
        <is>
          <t>นอก</t>
        </is>
      </c>
      <c r="N6" s="276" t="inlineStr">
        <is>
          <t>ต่อ ชม.</t>
        </is>
      </c>
      <c r="O6" s="276" t="inlineStr">
        <is>
          <t>(บาท)</t>
        </is>
      </c>
      <c r="P6" s="60" t="inlineStr">
        <is>
          <t>ใน</t>
        </is>
      </c>
      <c r="Q6" s="60" t="inlineStr">
        <is>
          <t>นอก</t>
        </is>
      </c>
      <c r="R6" s="276" t="inlineStr">
        <is>
          <t>ต่อ ชม.</t>
        </is>
      </c>
      <c r="S6" s="276" t="inlineStr">
        <is>
          <t>(บาท)</t>
        </is>
      </c>
      <c r="Y6" s="331" t="n"/>
      <c r="Z6" s="472" t="n">
        <v>4</v>
      </c>
      <c r="AA6" s="331" t="n"/>
      <c r="AB6" s="241" t="n"/>
      <c r="AD6" s="331" t="n"/>
      <c r="AE6" s="252">
        <f>H174</f>
        <v/>
      </c>
      <c r="AG6" s="331" t="n"/>
      <c r="AH6" s="251">
        <f>P174</f>
        <v/>
      </c>
      <c r="AJ6" s="331" t="n"/>
    </row>
    <row r="7" ht="22.2" customHeight="1" s="330">
      <c r="A7" s="275" t="n">
        <v>1</v>
      </c>
      <c r="B7" s="477">
        <f>AB3</f>
        <v/>
      </c>
      <c r="C7" s="334" t="n"/>
      <c r="D7" s="335" t="n"/>
      <c r="E7" s="275" t="inlineStr">
        <is>
          <t>ครู</t>
        </is>
      </c>
      <c r="F7" s="6" t="n">
        <v>11</v>
      </c>
      <c r="G7" s="303" t="inlineStr">
        <is>
          <t>จันทร์</t>
        </is>
      </c>
      <c r="H7" s="489" t="inlineStr">
        <is>
          <t>ไปราชการ</t>
        </is>
      </c>
      <c r="I7" s="334" t="n"/>
      <c r="J7" s="334" t="n"/>
      <c r="K7" s="335" t="n"/>
      <c r="L7" s="265" t="n"/>
      <c r="M7" s="332" t="n"/>
      <c r="N7" s="332" t="n"/>
      <c r="O7" s="244">
        <f>M7*N7</f>
        <v/>
      </c>
      <c r="P7" s="332" t="n"/>
      <c r="Q7" s="265" t="n"/>
      <c r="R7" s="332" t="n"/>
      <c r="S7" s="244">
        <f>Q7*R7</f>
        <v/>
      </c>
      <c r="Y7" s="3" t="n"/>
      <c r="Z7" s="472" t="n">
        <v>5</v>
      </c>
      <c r="AA7" s="331" t="n"/>
      <c r="AB7" s="241" t="n"/>
      <c r="AD7" s="331" t="n"/>
      <c r="AE7" s="252">
        <f>H220</f>
        <v/>
      </c>
      <c r="AG7" s="331" t="n"/>
      <c r="AH7" s="251">
        <f>P220</f>
        <v/>
      </c>
      <c r="AJ7" s="331" t="n"/>
    </row>
    <row r="8" ht="22.2" customHeight="1" s="330">
      <c r="A8" s="4" t="n"/>
      <c r="B8" s="478" t="n"/>
      <c r="D8" s="331" t="n"/>
      <c r="E8" s="252" t="n"/>
      <c r="F8" s="249" t="n"/>
      <c r="G8" s="74" t="inlineStr">
        <is>
          <t>25 ธ.ค.66</t>
        </is>
      </c>
      <c r="H8" s="475" t="n"/>
      <c r="I8" s="471" t="n"/>
      <c r="J8" s="471" t="n"/>
      <c r="K8" s="476" t="n"/>
      <c r="L8" s="252" t="n"/>
      <c r="M8" s="252" t="n"/>
      <c r="N8" s="252" t="n"/>
      <c r="O8" s="244">
        <f>M8*N8</f>
        <v/>
      </c>
      <c r="P8" s="252" t="n"/>
      <c r="Q8" s="252" t="n"/>
      <c r="R8" s="252" t="n"/>
      <c r="S8" s="244">
        <f>Q8*R8</f>
        <v/>
      </c>
      <c r="Z8" s="472" t="n">
        <v>6</v>
      </c>
      <c r="AA8" s="331" t="n"/>
      <c r="AB8" s="469" t="n"/>
      <c r="AD8" s="331" t="n"/>
      <c r="AE8" s="252">
        <f>H266</f>
        <v/>
      </c>
      <c r="AG8" s="331" t="n"/>
      <c r="AH8" s="251">
        <f>P266</f>
        <v/>
      </c>
      <c r="AJ8" s="331" t="n"/>
    </row>
    <row r="9" ht="22.2" customHeight="1" s="330">
      <c r="A9" s="4" t="n"/>
      <c r="B9" s="5" t="n"/>
      <c r="D9" s="3" t="n"/>
      <c r="E9" s="3" t="n"/>
      <c r="F9" s="249" t="n"/>
      <c r="G9" s="248" t="n"/>
      <c r="H9" s="490" t="inlineStr">
        <is>
          <t>นายสุริยา คำอุดม สอนแทน (9 ชม.)</t>
        </is>
      </c>
      <c r="I9" s="467" t="n"/>
      <c r="J9" s="467" t="n"/>
      <c r="K9" s="362" t="n"/>
      <c r="L9" s="252" t="n"/>
      <c r="M9" s="252" t="n"/>
      <c r="N9" s="252" t="n"/>
      <c r="O9" s="244">
        <f>M9*N9</f>
        <v/>
      </c>
      <c r="P9" s="252" t="n"/>
      <c r="Q9" s="252" t="n"/>
      <c r="R9" s="252" t="n"/>
      <c r="S9" s="244">
        <f>Q9*R9</f>
        <v/>
      </c>
      <c r="T9" s="287" t="inlineStr">
        <is>
          <t>สอน ป.ตรี</t>
        </is>
      </c>
      <c r="Y9" s="71" t="n"/>
      <c r="Z9" s="472" t="n">
        <v>7</v>
      </c>
      <c r="AA9" s="331" t="n"/>
      <c r="AB9" s="469" t="n"/>
      <c r="AD9" s="331" t="n"/>
      <c r="AE9" s="252">
        <f>H312</f>
        <v/>
      </c>
      <c r="AG9" s="331" t="n"/>
      <c r="AH9" s="251">
        <f>P312</f>
        <v/>
      </c>
      <c r="AJ9" s="331" t="n"/>
    </row>
    <row r="10" ht="22.2" customHeight="1" s="330">
      <c r="A10" s="4" t="n"/>
      <c r="B10" s="5" t="n"/>
      <c r="E10" s="4" t="n"/>
      <c r="F10" s="249" t="n"/>
      <c r="G10" s="248" t="n"/>
      <c r="H10" s="252" t="n"/>
      <c r="I10" s="252" t="n"/>
      <c r="J10" s="252" t="n"/>
      <c r="K10" s="331" t="n"/>
      <c r="L10" s="252" t="n"/>
      <c r="M10" s="252" t="n"/>
      <c r="N10" s="252" t="n"/>
      <c r="O10" s="244">
        <f>M10*N10</f>
        <v/>
      </c>
      <c r="P10" s="252" t="n"/>
      <c r="Q10" s="252" t="n"/>
      <c r="R10" s="252" t="n"/>
      <c r="S10" s="244">
        <f>Q10*R10</f>
        <v/>
      </c>
      <c r="T10" s="24" t="n"/>
      <c r="U10" s="24" t="inlineStr">
        <is>
          <t>19.10-20.10</t>
        </is>
      </c>
      <c r="V10" s="65" t="n"/>
      <c r="W10" s="24" t="n"/>
      <c r="X10" s="24" t="n"/>
      <c r="Y10" s="72" t="n"/>
      <c r="Z10" s="472" t="n">
        <v>8</v>
      </c>
      <c r="AA10" s="331" t="n"/>
      <c r="AB10" s="469" t="n"/>
      <c r="AD10" s="331" t="n"/>
      <c r="AE10" s="252">
        <f>H358</f>
        <v/>
      </c>
      <c r="AG10" s="331" t="n"/>
      <c r="AH10" s="251">
        <f>P358</f>
        <v/>
      </c>
      <c r="AJ10" s="331" t="n"/>
    </row>
    <row r="11" ht="22.2" customHeight="1" s="330">
      <c r="A11" s="4" t="n"/>
      <c r="D11" s="70" t="n"/>
      <c r="E11" s="4" t="n"/>
      <c r="G11" s="311" t="n"/>
      <c r="H11" s="276" t="n"/>
      <c r="I11" s="276" t="n"/>
      <c r="J11" s="276" t="n"/>
      <c r="K11" s="476" t="n"/>
      <c r="L11" s="252" t="n"/>
      <c r="M11" s="252" t="n"/>
      <c r="N11" s="252" t="n"/>
      <c r="O11" s="244">
        <f>M11*N11</f>
        <v/>
      </c>
      <c r="P11" s="252" t="n"/>
      <c r="Q11" s="252" t="n"/>
      <c r="R11" s="252" t="n"/>
      <c r="S11" s="244">
        <f>Q11*R11</f>
        <v/>
      </c>
      <c r="W11" s="72" t="n"/>
      <c r="X11" s="72" t="n"/>
      <c r="Y11" s="290" t="n"/>
      <c r="Z11" s="472" t="n">
        <v>9</v>
      </c>
      <c r="AA11" s="331" t="n"/>
      <c r="AB11" s="479" t="n"/>
      <c r="AD11" s="331" t="n"/>
      <c r="AE11" s="252">
        <f>H404</f>
        <v/>
      </c>
      <c r="AG11" s="331" t="n"/>
      <c r="AH11" s="251">
        <f>P404</f>
        <v/>
      </c>
      <c r="AJ11" s="331" t="n"/>
    </row>
    <row r="12" ht="22.2" customHeight="1" s="330">
      <c r="A12" s="4" t="n"/>
      <c r="E12" s="4" t="n"/>
      <c r="G12" s="62" t="inlineStr">
        <is>
          <t>อังคาร</t>
        </is>
      </c>
      <c r="H12" s="325" t="n"/>
      <c r="I12" s="325" t="n"/>
      <c r="J12" s="332" t="n"/>
      <c r="K12" s="335" t="n"/>
      <c r="L12" s="265" t="n"/>
      <c r="M12" s="332" t="n"/>
      <c r="N12" s="332" t="n"/>
      <c r="O12" s="244">
        <f>M12*N12</f>
        <v/>
      </c>
      <c r="P12" s="332" t="n"/>
      <c r="Q12" s="265" t="n"/>
      <c r="R12" s="332" t="n"/>
      <c r="S12" s="244">
        <f>Q12*R12</f>
        <v/>
      </c>
      <c r="W12" s="71" t="n"/>
      <c r="X12" s="71" t="n"/>
      <c r="Y12" s="71" t="n"/>
      <c r="Z12" s="472" t="n">
        <v>10</v>
      </c>
      <c r="AA12" s="331" t="n"/>
      <c r="AB12" s="469" t="n"/>
      <c r="AD12" s="331" t="n"/>
      <c r="AE12" s="251">
        <f>H450</f>
        <v/>
      </c>
      <c r="AG12" s="331" t="n"/>
      <c r="AH12" s="251">
        <f>P450</f>
        <v/>
      </c>
      <c r="AJ12" s="331" t="n"/>
    </row>
    <row r="13" ht="22.2" customHeight="1" s="330">
      <c r="A13" s="4" t="n"/>
      <c r="E13" s="4" t="n"/>
      <c r="G13" s="74" t="inlineStr">
        <is>
          <t>26 ธ.ค.66</t>
        </is>
      </c>
      <c r="H13" s="325" t="n"/>
      <c r="I13" s="325" t="n"/>
      <c r="J13" s="252" t="n"/>
      <c r="K13" s="331" t="n"/>
      <c r="L13" s="252" t="n"/>
      <c r="M13" s="252" t="n"/>
      <c r="N13" s="252" t="n"/>
      <c r="O13" s="244">
        <f>M13*N13</f>
        <v/>
      </c>
      <c r="P13" s="252" t="n"/>
      <c r="Q13" s="252" t="n"/>
      <c r="R13" s="252" t="n"/>
      <c r="S13" s="244">
        <f>Q13*R13</f>
        <v/>
      </c>
      <c r="W13" s="71" t="n"/>
      <c r="X13" s="71" t="n"/>
      <c r="Y13" s="71" t="n"/>
      <c r="Z13" s="472" t="n">
        <v>11</v>
      </c>
      <c r="AA13" s="331" t="n"/>
      <c r="AB13" s="240" t="n"/>
      <c r="AE13" s="251">
        <f>H496</f>
        <v/>
      </c>
      <c r="AG13" s="331" t="n"/>
      <c r="AH13" s="251">
        <f>P496</f>
        <v/>
      </c>
      <c r="AJ13" s="331" t="n"/>
    </row>
    <row r="14" ht="22.2" customHeight="1" s="330">
      <c r="A14" s="4" t="n"/>
      <c r="B14" s="5" t="n"/>
      <c r="D14" s="3" t="n"/>
      <c r="E14" s="3" t="n"/>
      <c r="G14" s="252" t="n"/>
      <c r="H14" s="252" t="n"/>
      <c r="I14" s="325" t="n"/>
      <c r="J14" s="252" t="n"/>
      <c r="K14" s="331" t="n"/>
      <c r="L14" s="252" t="n"/>
      <c r="M14" s="252" t="n"/>
      <c r="N14" s="252" t="n"/>
      <c r="O14" s="244">
        <f>M14*N14</f>
        <v/>
      </c>
      <c r="P14" s="252" t="n"/>
      <c r="Q14" s="252" t="n"/>
      <c r="R14" s="252" t="n"/>
      <c r="S14" s="244">
        <f>Q14*R14</f>
        <v/>
      </c>
      <c r="Y14" s="71" t="n"/>
      <c r="Z14" s="472" t="n">
        <v>12</v>
      </c>
      <c r="AA14" s="331" t="n"/>
      <c r="AB14" s="240" t="n"/>
      <c r="AE14" s="251">
        <f>H542</f>
        <v/>
      </c>
      <c r="AG14" s="331" t="n"/>
      <c r="AH14" s="251">
        <f>P542</f>
        <v/>
      </c>
      <c r="AJ14" s="331" t="n"/>
    </row>
    <row r="15" ht="22.2" customHeight="1" s="330">
      <c r="A15" s="4" t="n"/>
      <c r="E15" s="4" t="n"/>
      <c r="G15" s="62" t="n"/>
      <c r="H15" s="249" t="n"/>
      <c r="I15" s="252" t="n"/>
      <c r="J15" s="252" t="n"/>
      <c r="K15" s="331" t="n"/>
      <c r="L15" s="252" t="n"/>
      <c r="M15" s="252" t="n"/>
      <c r="N15" s="252" t="n"/>
      <c r="O15" s="244">
        <f>M15*N15</f>
        <v/>
      </c>
      <c r="P15" s="252" t="n"/>
      <c r="Q15" s="252" t="n"/>
      <c r="R15" s="252" t="n"/>
      <c r="S15" s="244">
        <f>Q15*R15</f>
        <v/>
      </c>
      <c r="W15" s="71" t="n"/>
      <c r="X15" s="71" t="n"/>
      <c r="Y15" s="71" t="n"/>
      <c r="Z15" s="472" t="n">
        <v>13</v>
      </c>
      <c r="AA15" s="331" t="n"/>
      <c r="AB15" s="480" t="n"/>
      <c r="AD15" s="331" t="n"/>
      <c r="AE15" s="251">
        <f>H588</f>
        <v/>
      </c>
      <c r="AG15" s="331" t="n"/>
      <c r="AH15" s="251">
        <f>P588</f>
        <v/>
      </c>
      <c r="AJ15" s="331" t="n"/>
    </row>
    <row r="16" ht="22.2" customHeight="1" s="330">
      <c r="A16" s="4" t="n"/>
      <c r="D16" s="8" t="inlineStr">
        <is>
          <t> </t>
        </is>
      </c>
      <c r="E16" s="4" t="n"/>
      <c r="G16" s="63" t="n"/>
      <c r="H16" s="276" t="n"/>
      <c r="I16" s="276" t="n"/>
      <c r="J16" s="276" t="n"/>
      <c r="K16" s="476" t="n"/>
      <c r="L16" s="252" t="n"/>
      <c r="M16" s="252" t="n"/>
      <c r="N16" s="252" t="n"/>
      <c r="O16" s="244">
        <f>M16*N16</f>
        <v/>
      </c>
      <c r="P16" s="252" t="n"/>
      <c r="Q16" s="252" t="n"/>
      <c r="R16" s="252" t="n"/>
      <c r="S16" s="244">
        <f>Q16*R16</f>
        <v/>
      </c>
      <c r="Y16" s="71" t="n"/>
      <c r="Z16" s="472" t="n">
        <v>14</v>
      </c>
      <c r="AA16" s="331" t="n"/>
      <c r="AB16" s="480" t="n"/>
      <c r="AD16" s="331" t="n"/>
      <c r="AE16" s="251">
        <f>H634</f>
        <v/>
      </c>
      <c r="AG16" s="331" t="n"/>
      <c r="AH16" s="251">
        <f>P634</f>
        <v/>
      </c>
      <c r="AJ16" s="331" t="n"/>
    </row>
    <row r="17" ht="22.2" customHeight="1" s="330">
      <c r="A17" s="4" t="n"/>
      <c r="E17" s="4" t="n"/>
      <c r="G17" s="308" t="inlineStr">
        <is>
          <t>พุธ</t>
        </is>
      </c>
      <c r="H17" s="325" t="inlineStr">
        <is>
          <t>30143-2004</t>
        </is>
      </c>
      <c r="I17" s="325" t="inlineStr">
        <is>
          <t>ปวส.1/1 สยฟ. (ทวิ)</t>
        </is>
      </c>
      <c r="J17" s="332" t="inlineStr">
        <is>
          <t>08.10-12.10</t>
        </is>
      </c>
      <c r="K17" s="335" t="n"/>
      <c r="L17" s="265" t="n"/>
      <c r="M17" s="332" t="n"/>
      <c r="N17" s="332" t="n"/>
      <c r="O17" s="244">
        <f>M17*N17</f>
        <v/>
      </c>
      <c r="P17" s="332" t="n">
        <v>1</v>
      </c>
      <c r="Q17" s="265" t="n">
        <v>3</v>
      </c>
      <c r="R17" s="332" t="n">
        <v>270</v>
      </c>
      <c r="S17" s="244">
        <f>Q17*R17</f>
        <v/>
      </c>
      <c r="Y17" s="71" t="n"/>
      <c r="Z17" s="472" t="n">
        <v>15</v>
      </c>
      <c r="AA17" s="331" t="n"/>
      <c r="AB17" s="469" t="n"/>
      <c r="AD17" s="331" t="n"/>
      <c r="AE17" s="251">
        <f>H680</f>
        <v/>
      </c>
      <c r="AG17" s="331" t="n"/>
      <c r="AH17" s="251">
        <f>P680</f>
        <v/>
      </c>
      <c r="AJ17" s="331" t="n"/>
    </row>
    <row r="18" ht="22.2" customHeight="1" s="330">
      <c r="A18" s="4" t="n"/>
      <c r="B18" s="248" t="n"/>
      <c r="C18" s="249" t="n"/>
      <c r="D18" s="249" t="n"/>
      <c r="E18" s="252" t="n"/>
      <c r="G18" s="74" t="inlineStr">
        <is>
          <t>27 ธ.ค.66</t>
        </is>
      </c>
      <c r="H18" s="325" t="inlineStr">
        <is>
          <t>30143-2004</t>
        </is>
      </c>
      <c r="I18" s="325" t="inlineStr">
        <is>
          <t>ปวส.1/1 สยฟ. (ทวิ)</t>
        </is>
      </c>
      <c r="J18" s="252" t="inlineStr">
        <is>
          <t>13.10-14.10</t>
        </is>
      </c>
      <c r="K18" s="331" t="n"/>
      <c r="L18" s="252" t="n"/>
      <c r="M18" s="252" t="n"/>
      <c r="N18" s="252" t="n"/>
      <c r="O18" s="244">
        <f>M18*N18</f>
        <v/>
      </c>
      <c r="P18" s="252" t="n">
        <v>1</v>
      </c>
      <c r="Q18" s="252" t="n"/>
      <c r="R18" s="252" t="n"/>
      <c r="S18" s="244">
        <f>Q18*R18</f>
        <v/>
      </c>
      <c r="W18" s="71" t="n"/>
      <c r="X18" s="71" t="n"/>
      <c r="Z18" s="472" t="n">
        <v>16</v>
      </c>
      <c r="AA18" s="331" t="n"/>
      <c r="AB18" s="469" t="n"/>
      <c r="AD18" s="331" t="n"/>
      <c r="AE18" s="251">
        <f>H726</f>
        <v/>
      </c>
      <c r="AG18" s="331" t="n"/>
      <c r="AH18" s="251">
        <f>P726</f>
        <v/>
      </c>
      <c r="AJ18" s="331" t="n"/>
    </row>
    <row r="19" ht="22.2" customHeight="1" s="330">
      <c r="A19" s="4" t="n"/>
      <c r="B19" s="5" t="n"/>
      <c r="D19" s="3" t="n"/>
      <c r="E19" s="3" t="n"/>
      <c r="G19" s="252" t="n"/>
      <c r="H19" s="325" t="inlineStr">
        <is>
          <t>30143-2004</t>
        </is>
      </c>
      <c r="I19" s="325" t="inlineStr">
        <is>
          <t>ปวส.1/2 สยฟ. (ทวิ)</t>
        </is>
      </c>
      <c r="J19" s="325" t="inlineStr">
        <is>
          <t>14.10-19.10</t>
        </is>
      </c>
      <c r="K19" s="331" t="n"/>
      <c r="L19" s="252" t="n"/>
      <c r="M19" s="252" t="n"/>
      <c r="N19" s="252" t="n"/>
      <c r="O19" s="244">
        <f>M19*N19</f>
        <v/>
      </c>
      <c r="P19" s="252" t="n">
        <v>5</v>
      </c>
      <c r="Q19" s="252" t="n"/>
      <c r="R19" s="252" t="n"/>
      <c r="S19" s="244">
        <f>Q19*R19</f>
        <v/>
      </c>
      <c r="T19" s="287" t="inlineStr">
        <is>
          <t>สอน ป.ตรี</t>
        </is>
      </c>
      <c r="Z19" s="472" t="n">
        <v>17</v>
      </c>
      <c r="AA19" s="331" t="n"/>
      <c r="AB19" s="479" t="n"/>
      <c r="AD19" s="331" t="n"/>
      <c r="AE19" s="251">
        <f>H772</f>
        <v/>
      </c>
      <c r="AG19" s="331" t="n"/>
      <c r="AH19" s="251">
        <f>P772</f>
        <v/>
      </c>
      <c r="AJ19" s="331" t="n"/>
    </row>
    <row r="20" ht="22.2" customHeight="1" s="330">
      <c r="A20" s="4" t="n"/>
      <c r="E20" s="4" t="n"/>
      <c r="G20" s="248" t="n"/>
      <c r="H20" s="252" t="n"/>
      <c r="I20" s="325" t="n"/>
      <c r="J20" s="252" t="n"/>
      <c r="K20" s="331" t="n"/>
      <c r="L20" s="252" t="n"/>
      <c r="M20" s="252" t="n"/>
      <c r="N20" s="252" t="n"/>
      <c r="O20" s="244">
        <f>M20*N20</f>
        <v/>
      </c>
      <c r="P20" s="252" t="n"/>
      <c r="Q20" s="252" t="n"/>
      <c r="R20" s="252" t="n"/>
      <c r="S20" s="244">
        <f>Q20*R20</f>
        <v/>
      </c>
      <c r="T20" s="24" t="n"/>
      <c r="U20" s="24" t="inlineStr">
        <is>
          <t>19.10-20.10</t>
        </is>
      </c>
      <c r="V20" s="65" t="n"/>
      <c r="W20" s="24" t="n"/>
      <c r="X20" s="24" t="n"/>
      <c r="Y20" s="249" t="n"/>
      <c r="Z20" s="472" t="n">
        <v>18</v>
      </c>
      <c r="AA20" s="331" t="n"/>
      <c r="AB20" s="479" t="n"/>
      <c r="AD20" s="331" t="n"/>
      <c r="AE20" s="251">
        <f>H818</f>
        <v/>
      </c>
      <c r="AG20" s="331" t="n"/>
      <c r="AH20" s="251">
        <f>P818</f>
        <v/>
      </c>
      <c r="AJ20" s="331" t="n"/>
    </row>
    <row r="21" ht="22.2" customHeight="1" s="330">
      <c r="A21" s="4" t="n"/>
      <c r="E21" s="4" t="n"/>
      <c r="G21" s="277" t="n"/>
      <c r="H21" s="277" t="n"/>
      <c r="I21" s="276" t="n"/>
      <c r="J21" s="276" t="n"/>
      <c r="K21" s="476" t="n"/>
      <c r="L21" s="276" t="n"/>
      <c r="M21" s="276" t="n"/>
      <c r="N21" s="276" t="n"/>
      <c r="O21" s="244">
        <f>M21*N21</f>
        <v/>
      </c>
      <c r="P21" s="276" t="n"/>
      <c r="Q21" s="276" t="n"/>
      <c r="R21" s="276" t="n"/>
      <c r="S21" s="244">
        <f>Q21*R21</f>
        <v/>
      </c>
      <c r="Y21" s="249" t="n"/>
      <c r="Z21" s="472" t="n">
        <v>19</v>
      </c>
      <c r="AA21" s="331" t="n"/>
      <c r="AB21" s="469" t="n"/>
      <c r="AD21" s="331" t="n"/>
      <c r="AE21" s="251">
        <f>H864</f>
        <v/>
      </c>
      <c r="AG21" s="331" t="n"/>
      <c r="AH21" s="251">
        <f>P864</f>
        <v/>
      </c>
      <c r="AJ21" s="331" t="n"/>
    </row>
    <row r="22" ht="22.2" customHeight="1" s="330">
      <c r="A22" s="4" t="n"/>
      <c r="E22" s="4" t="n"/>
      <c r="G22" s="62" t="inlineStr">
        <is>
          <t>พฤหัส</t>
        </is>
      </c>
      <c r="H22" s="325" t="inlineStr">
        <is>
          <t>30101-2607</t>
        </is>
      </c>
      <c r="I22" s="325" t="inlineStr">
        <is>
          <t>ปวส. 2/6 สยฟ. (ม.6)</t>
        </is>
      </c>
      <c r="J22" s="332" t="inlineStr">
        <is>
          <t>08.10-12.10</t>
        </is>
      </c>
      <c r="K22" s="335" t="n"/>
      <c r="L22" s="252" t="n"/>
      <c r="M22" s="252" t="n"/>
      <c r="N22" s="252" t="n"/>
      <c r="O22" s="244">
        <f>M22*N22</f>
        <v/>
      </c>
      <c r="P22" s="252" t="n">
        <v>4</v>
      </c>
      <c r="Q22" s="275" t="n"/>
      <c r="R22" s="275" t="n"/>
      <c r="S22" s="244">
        <f>Q22*R22</f>
        <v/>
      </c>
      <c r="Y22" s="249" t="n"/>
      <c r="Z22" s="472" t="n">
        <v>20</v>
      </c>
      <c r="AA22" s="331" t="n"/>
      <c r="AB22" s="469" t="n"/>
      <c r="AD22" s="331" t="n"/>
      <c r="AE22" s="251">
        <f>H910</f>
        <v/>
      </c>
      <c r="AG22" s="331" t="n"/>
      <c r="AH22" s="251">
        <f>P910</f>
        <v/>
      </c>
      <c r="AJ22" s="331" t="n"/>
    </row>
    <row r="23" ht="22.2" customHeight="1" s="330">
      <c r="A23" s="4" t="n"/>
      <c r="E23" s="4" t="n"/>
      <c r="G23" s="74" t="inlineStr">
        <is>
          <t>28 ธ.ค.66</t>
        </is>
      </c>
      <c r="H23" s="325" t="inlineStr">
        <is>
          <t>30000-2002</t>
        </is>
      </c>
      <c r="I23" s="325" t="inlineStr">
        <is>
          <t>ปวส.1/1,2 สยฟ. (ทวิ)</t>
        </is>
      </c>
      <c r="J23" s="252" t="inlineStr">
        <is>
          <t>13.10-15.10</t>
        </is>
      </c>
      <c r="K23" s="331" t="n"/>
      <c r="L23" s="252" t="n"/>
      <c r="M23" s="252" t="n"/>
      <c r="N23" s="252" t="n"/>
      <c r="O23" s="244">
        <f>M23*N23</f>
        <v/>
      </c>
      <c r="P23" s="252" t="n">
        <v>2</v>
      </c>
      <c r="Q23" s="252" t="n"/>
      <c r="R23" s="252" t="n"/>
      <c r="S23" s="244">
        <f>Q23*R23</f>
        <v/>
      </c>
      <c r="U23" s="249" t="n"/>
      <c r="V23" s="249" t="n"/>
      <c r="W23" s="249" t="n"/>
      <c r="X23" s="249" t="n"/>
      <c r="Y23" s="249" t="n"/>
      <c r="Z23" s="472" t="n">
        <v>21</v>
      </c>
      <c r="AA23" s="331" t="n"/>
      <c r="AB23" s="469" t="n"/>
      <c r="AD23" s="331" t="n"/>
      <c r="AE23" s="251">
        <f>H956</f>
        <v/>
      </c>
      <c r="AG23" s="331" t="n"/>
      <c r="AH23" s="251">
        <f>P956</f>
        <v/>
      </c>
      <c r="AJ23" s="331" t="n"/>
    </row>
    <row r="24" ht="22.2" customHeight="1" s="330">
      <c r="A24" s="4" t="n"/>
      <c r="B24" s="5" t="n"/>
      <c r="E24" s="4" t="n"/>
      <c r="G24" s="252" t="n"/>
      <c r="H24" s="325" t="n"/>
      <c r="I24" s="325" t="n"/>
      <c r="J24" s="252" t="n"/>
      <c r="K24" s="331" t="n"/>
      <c r="L24" s="325" t="n"/>
      <c r="M24" s="325" t="n"/>
      <c r="N24" s="325" t="n"/>
      <c r="O24" s="244">
        <f>M24*N24</f>
        <v/>
      </c>
      <c r="P24" s="325" t="n"/>
      <c r="Q24" s="325" t="n"/>
      <c r="R24" s="325" t="n"/>
      <c r="S24" s="244">
        <f>Q24*R24</f>
        <v/>
      </c>
      <c r="T24" s="25" t="n"/>
      <c r="U24" s="26" t="inlineStr">
        <is>
          <t xml:space="preserve">     PLC</t>
        </is>
      </c>
      <c r="V24" s="64" t="n"/>
      <c r="W24" s="27" t="n"/>
      <c r="X24" s="27" t="n"/>
      <c r="Y24" s="249" t="n"/>
      <c r="Z24" s="472" t="n">
        <v>22</v>
      </c>
      <c r="AA24" s="331" t="n"/>
      <c r="AB24" s="469" t="n"/>
      <c r="AD24" s="331" t="n"/>
      <c r="AE24" s="251">
        <f>H1002</f>
        <v/>
      </c>
      <c r="AG24" s="331" t="n"/>
      <c r="AH24" s="251">
        <f>P1002</f>
        <v/>
      </c>
      <c r="AJ24" s="331" t="n"/>
    </row>
    <row r="25" ht="22.2" customHeight="1" s="330">
      <c r="A25" s="4" t="n"/>
      <c r="E25" s="4" t="n"/>
      <c r="G25" s="252" t="n"/>
      <c r="H25" s="252" t="n"/>
      <c r="I25" s="252" t="n"/>
      <c r="J25" s="252" t="n"/>
      <c r="K25" s="331" t="n"/>
      <c r="L25" s="252" t="n"/>
      <c r="M25" s="252" t="n"/>
      <c r="N25" s="252" t="n"/>
      <c r="O25" s="244">
        <f>M25*N25</f>
        <v/>
      </c>
      <c r="P25" s="252" t="n"/>
      <c r="Q25" s="252" t="n"/>
      <c r="R25" s="252" t="n"/>
      <c r="S25" s="244">
        <f>Q25*R25</f>
        <v/>
      </c>
      <c r="T25" s="27" t="inlineStr">
        <is>
          <t> </t>
        </is>
      </c>
      <c r="U25" s="26" t="inlineStr">
        <is>
          <t>17.10-19.10</t>
        </is>
      </c>
      <c r="V25" s="64" t="n"/>
      <c r="W25" s="27" t="n"/>
      <c r="X25" s="27" t="n"/>
      <c r="Y25" s="249" t="n"/>
      <c r="Z25" s="472" t="n">
        <v>23</v>
      </c>
      <c r="AA25" s="331" t="n"/>
      <c r="AB25" s="469" t="n"/>
      <c r="AD25" s="331" t="n"/>
      <c r="AE25" s="251">
        <f>H1048</f>
        <v/>
      </c>
      <c r="AG25" s="331" t="n"/>
      <c r="AH25" s="251">
        <f>P1048</f>
        <v/>
      </c>
      <c r="AJ25" s="331" t="n"/>
    </row>
    <row r="26" ht="22.2" customHeight="1" s="330">
      <c r="A26" s="4" t="n"/>
      <c r="E26" s="4" t="n"/>
      <c r="G26" s="276" t="n"/>
      <c r="H26" s="301" t="n"/>
      <c r="I26" s="276" t="n"/>
      <c r="J26" s="276" t="n"/>
      <c r="K26" s="476" t="n"/>
      <c r="L26" s="276" t="n"/>
      <c r="M26" s="276" t="n"/>
      <c r="N26" s="276" t="n"/>
      <c r="O26" s="244">
        <f>M26*N26</f>
        <v/>
      </c>
      <c r="P26" s="276" t="n"/>
      <c r="Q26" s="276" t="n"/>
      <c r="R26" s="276" t="n"/>
      <c r="S26" s="244">
        <f>Q26*R26</f>
        <v/>
      </c>
      <c r="T26" s="249" t="n"/>
      <c r="U26" s="249" t="n"/>
      <c r="V26" s="249" t="n"/>
      <c r="W26" s="249" t="n"/>
      <c r="X26" s="249" t="n"/>
      <c r="Y26" s="249" t="n"/>
      <c r="Z26" s="472" t="n">
        <v>24</v>
      </c>
      <c r="AA26" s="331" t="n"/>
      <c r="AB26" s="481" t="n"/>
      <c r="AD26" s="331" t="n"/>
      <c r="AE26" s="251">
        <f>H1094</f>
        <v/>
      </c>
      <c r="AG26" s="331" t="n"/>
      <c r="AH26" s="251">
        <f>P1094</f>
        <v/>
      </c>
      <c r="AJ26" s="331" t="n"/>
    </row>
    <row r="27" ht="22.2" customHeight="1" s="330">
      <c r="A27" s="4" t="n"/>
      <c r="E27" s="4" t="n"/>
      <c r="G27" s="62" t="inlineStr">
        <is>
          <t>ศุกร์</t>
        </is>
      </c>
      <c r="H27" s="486" t="inlineStr">
        <is>
          <t>หยุด</t>
        </is>
      </c>
      <c r="I27" s="334" t="n"/>
      <c r="J27" s="334" t="n"/>
      <c r="K27" s="335" t="n"/>
      <c r="L27" s="265" t="n"/>
      <c r="M27" s="252" t="n"/>
      <c r="N27" s="252" t="n"/>
      <c r="O27" s="244">
        <f>M27*N27</f>
        <v/>
      </c>
      <c r="P27" s="332" t="n"/>
      <c r="Q27" s="265" t="n"/>
      <c r="R27" s="332" t="n"/>
      <c r="S27" s="244">
        <f>Q27*R27</f>
        <v/>
      </c>
      <c r="W27" s="249" t="n"/>
      <c r="X27" s="249" t="n"/>
      <c r="Y27" s="249" t="n"/>
      <c r="Z27" s="252" t="n">
        <v>25</v>
      </c>
      <c r="AA27" s="331" t="n"/>
      <c r="AB27" s="481" t="n"/>
      <c r="AD27" s="331" t="n"/>
      <c r="AE27" s="251">
        <f>H1140</f>
        <v/>
      </c>
      <c r="AG27" s="331" t="n"/>
      <c r="AH27" s="251">
        <f>P1140</f>
        <v/>
      </c>
      <c r="AJ27" s="331" t="n"/>
    </row>
    <row r="28" ht="22.2" customHeight="1" s="330">
      <c r="A28" s="4" t="n"/>
      <c r="E28" s="4" t="n"/>
      <c r="G28" s="74" t="inlineStr">
        <is>
          <t>29 ธ.ค.66</t>
        </is>
      </c>
      <c r="H28" s="487" t="n"/>
      <c r="K28" s="331" t="n"/>
      <c r="L28" s="252" t="n"/>
      <c r="M28" s="252" t="n"/>
      <c r="N28" s="252" t="n"/>
      <c r="O28" s="244">
        <f>M28*N28</f>
        <v/>
      </c>
      <c r="P28" s="252" t="n"/>
      <c r="Q28" s="252" t="n"/>
      <c r="R28" s="252" t="n"/>
      <c r="S28" s="244">
        <f>Q28*R28</f>
        <v/>
      </c>
      <c r="T28" s="249" t="n"/>
      <c r="U28" s="249" t="n"/>
      <c r="V28" s="249" t="n"/>
      <c r="W28" s="249" t="n"/>
      <c r="X28" s="249" t="n"/>
      <c r="Y28" s="250" t="n"/>
      <c r="Z28" s="252" t="n">
        <v>26</v>
      </c>
      <c r="AA28" s="331" t="n"/>
      <c r="AB28" s="469" t="n"/>
      <c r="AD28" s="331" t="n"/>
      <c r="AE28" s="251">
        <f>H1186</f>
        <v/>
      </c>
      <c r="AG28" s="331" t="n"/>
      <c r="AH28" s="251">
        <f>P1186</f>
        <v/>
      </c>
      <c r="AJ28" s="331" t="n"/>
    </row>
    <row r="29" ht="22.2" customHeight="1" s="330">
      <c r="A29" s="4" t="n"/>
      <c r="E29" s="4" t="n"/>
      <c r="G29" s="252" t="n"/>
      <c r="H29" s="252" t="n"/>
      <c r="I29" s="252" t="n"/>
      <c r="J29" s="252" t="n"/>
      <c r="K29" s="331" t="n"/>
      <c r="L29" s="252" t="n"/>
      <c r="M29" s="252" t="n"/>
      <c r="N29" s="252" t="n"/>
      <c r="O29" s="244">
        <f>M29*N29</f>
        <v/>
      </c>
      <c r="P29" s="252" t="n"/>
      <c r="Q29" s="252" t="n"/>
      <c r="R29" s="252" t="n"/>
      <c r="S29" s="244">
        <f>Q29*R29</f>
        <v/>
      </c>
      <c r="T29" s="7" t="n"/>
      <c r="U29" s="23" t="inlineStr">
        <is>
          <t>เบิก ธุรการ</t>
        </is>
      </c>
      <c r="V29" s="66" t="n"/>
      <c r="W29" s="22" t="n"/>
      <c r="X29" s="22" t="n"/>
      <c r="Y29" s="3" t="n"/>
      <c r="Z29" s="276" t="n">
        <v>27</v>
      </c>
      <c r="AA29" s="476" t="n"/>
      <c r="AB29" s="469" t="n"/>
      <c r="AD29" s="331" t="n"/>
      <c r="AE29" s="251">
        <f>H1232</f>
        <v/>
      </c>
      <c r="AG29" s="331" t="n"/>
      <c r="AH29" s="251">
        <f>P1232</f>
        <v/>
      </c>
      <c r="AJ29" s="331" t="n"/>
    </row>
    <row r="30" ht="22.2" customHeight="1" s="330">
      <c r="A30" s="4" t="n"/>
      <c r="E30" s="4" t="n"/>
      <c r="G30" s="252" t="n"/>
      <c r="H30" s="252" t="n"/>
      <c r="I30" s="252" t="n"/>
      <c r="J30" s="252" t="n"/>
      <c r="K30" s="331" t="n"/>
      <c r="L30" s="252" t="n"/>
      <c r="M30" s="252" t="n"/>
      <c r="N30" s="252" t="n"/>
      <c r="O30" s="244">
        <f>M30*N30</f>
        <v/>
      </c>
      <c r="P30" s="252" t="n"/>
      <c r="Q30" s="252" t="n"/>
      <c r="R30" s="252" t="n"/>
      <c r="S30" s="244">
        <f>Q30*R30</f>
        <v/>
      </c>
      <c r="T30" s="22" t="inlineStr">
        <is>
          <t> </t>
        </is>
      </c>
      <c r="U30" s="23" t="inlineStr">
        <is>
          <t>16.10-19.10</t>
        </is>
      </c>
      <c r="V30" s="66" t="n"/>
      <c r="W30" s="22" t="n"/>
      <c r="X30" s="22" t="n"/>
      <c r="AA30" s="334" t="n"/>
      <c r="AB30" s="334" t="n"/>
      <c r="AC30" s="334" t="n"/>
      <c r="AD30" s="334" t="n"/>
      <c r="AE30" s="334" t="n"/>
      <c r="AF30" s="206" t="n"/>
      <c r="AG30" s="206" t="n"/>
      <c r="AH30" s="206" t="n"/>
      <c r="AI30" s="206" t="n"/>
      <c r="AJ30" s="206" t="n"/>
    </row>
    <row r="31" ht="22.2" customHeight="1" s="330">
      <c r="A31" s="4" t="n"/>
      <c r="E31" s="4" t="n"/>
      <c r="F31" s="4" t="n"/>
      <c r="G31" s="278" t="n"/>
      <c r="H31" s="252" t="n"/>
      <c r="I31" s="252" t="n"/>
      <c r="J31" s="276" t="n"/>
      <c r="K31" s="476" t="n"/>
      <c r="L31" s="276" t="n"/>
      <c r="M31" s="276" t="n"/>
      <c r="N31" s="276" t="n"/>
      <c r="O31" s="244">
        <f>M31*N31</f>
        <v/>
      </c>
      <c r="P31" s="276" t="n"/>
      <c r="Q31" s="276" t="n"/>
      <c r="R31" s="276" t="n"/>
      <c r="S31" s="244">
        <f>Q31*R31</f>
        <v/>
      </c>
    </row>
    <row r="32" ht="22.2" customHeight="1" s="330">
      <c r="A32" s="4" t="n"/>
      <c r="E32" s="4" t="n"/>
      <c r="F32" s="4" t="n"/>
      <c r="G32" s="17" t="inlineStr">
        <is>
          <t>รวมขั่วโมงที่สอนแยก ภาระงาน/ เกินภาระงาน</t>
        </is>
      </c>
      <c r="H32" s="467" t="n"/>
      <c r="I32" s="467" t="n"/>
      <c r="J32" s="467" t="n"/>
      <c r="K32" s="362" t="n"/>
      <c r="L32" s="17">
        <f>SUM(L7:L31)</f>
        <v/>
      </c>
      <c r="M32" s="17">
        <f>SUM(M7:M31)</f>
        <v/>
      </c>
      <c r="N32" s="17" t="n"/>
      <c r="O32" s="17" t="n"/>
      <c r="P32" s="17">
        <f>SUM(P7:P31)</f>
        <v/>
      </c>
      <c r="Q32" s="17">
        <f>SUM(Q7:Q31)</f>
        <v/>
      </c>
      <c r="R32" s="279" t="n"/>
      <c r="S32" s="17" t="n"/>
    </row>
    <row r="33" ht="22.2" customHeight="1" s="330">
      <c r="A33" s="4" t="n"/>
      <c r="E33" s="4" t="n"/>
      <c r="F33" s="4" t="n"/>
      <c r="G33" s="17" t="inlineStr">
        <is>
          <t>รวมจำนวนชั่วโมงสอนคาบต่อสับดาห์</t>
        </is>
      </c>
      <c r="H33" s="467" t="n"/>
      <c r="I33" s="467" t="n"/>
      <c r="J33" s="467" t="n"/>
      <c r="K33" s="362" t="n"/>
      <c r="L33" s="17">
        <f>L32+M32</f>
        <v/>
      </c>
      <c r="M33" s="362" t="n"/>
      <c r="N33" s="17" t="n"/>
      <c r="O33" s="298" t="n"/>
      <c r="P33" s="17">
        <f>P32+Q32</f>
        <v/>
      </c>
      <c r="Q33" s="362" t="n"/>
      <c r="R33" s="278" t="n"/>
      <c r="S33" s="276" t="n"/>
    </row>
    <row r="34" ht="22.2" customHeight="1" s="330">
      <c r="A34" s="4" t="n"/>
      <c r="E34" s="4" t="n"/>
      <c r="F34" s="4" t="n"/>
      <c r="G34" s="17" t="inlineStr">
        <is>
          <t>จำนวนชั่วโมงสอนตามภาระงานสอน</t>
        </is>
      </c>
      <c r="H34" s="467" t="n"/>
      <c r="I34" s="467" t="n"/>
      <c r="J34" s="467" t="n"/>
      <c r="K34" s="362" t="n"/>
      <c r="L34" s="153" t="inlineStr">
        <is>
          <t>0</t>
        </is>
      </c>
      <c r="M34" s="362" t="n"/>
      <c r="N34" s="153" t="n"/>
      <c r="O34" s="152" t="n"/>
      <c r="P34" s="153" t="inlineStr">
        <is>
          <t>10</t>
        </is>
      </c>
      <c r="Q34" s="362" t="n"/>
      <c r="R34" s="249" t="n"/>
      <c r="S34" s="252" t="n"/>
    </row>
    <row r="35" ht="22.2" customHeight="1" s="330" thickBot="1">
      <c r="A35" s="4" t="n"/>
      <c r="E35" s="4" t="n"/>
      <c r="F35" s="15" t="n"/>
      <c r="G35" s="17" t="inlineStr">
        <is>
          <t>จำนวนชั่วโมงบิกเกินภาระงานสอน/ค่าสอน</t>
        </is>
      </c>
      <c r="H35" s="467" t="n"/>
      <c r="I35" s="467" t="n"/>
      <c r="J35" s="467" t="n"/>
      <c r="K35" s="362" t="n"/>
      <c r="L35" s="18" t="n">
        <v>0</v>
      </c>
      <c r="M35" s="18">
        <f>SUM(M7:M31)</f>
        <v/>
      </c>
      <c r="N35" s="18" t="n"/>
      <c r="O35" s="18">
        <f>SUM(O7:O31)</f>
        <v/>
      </c>
      <c r="P35" s="18" t="n">
        <v>0</v>
      </c>
      <c r="Q35" s="18">
        <f>SUM(Q7:Q31)</f>
        <v/>
      </c>
      <c r="R35" s="19" t="n"/>
      <c r="S35" s="18">
        <f>SUM(S7:S31)</f>
        <v/>
      </c>
    </row>
    <row r="36" ht="22.2" customHeight="1" s="330" thickTop="1">
      <c r="A36" s="299" t="inlineStr">
        <is>
          <t>รวมจำนวนหน่วยชั่วโมงที่ขอเบิกค่าสอน ….</t>
        </is>
      </c>
      <c r="B36" s="467" t="n"/>
      <c r="C36" s="467" t="n"/>
      <c r="D36" s="467" t="n"/>
      <c r="E36" s="467" t="n"/>
      <c r="F36" s="467" t="n"/>
      <c r="G36" s="467" t="n"/>
      <c r="H36" s="298">
        <f>M35+Q35</f>
        <v/>
      </c>
      <c r="I36" s="298" t="inlineStr">
        <is>
          <t>….ชั่วโมง</t>
        </is>
      </c>
      <c r="J36" s="298" t="n"/>
      <c r="K36" s="301" t="inlineStr">
        <is>
          <t>ยอดเงินรวม</t>
        </is>
      </c>
      <c r="L36" s="471" t="n"/>
      <c r="M36" s="471" t="n"/>
      <c r="N36" s="301" t="n"/>
      <c r="O36" s="301" t="n"/>
      <c r="P36" s="302">
        <f>S35+O35</f>
        <v/>
      </c>
      <c r="Q36" s="482" t="n"/>
      <c r="R36" s="21" t="n"/>
      <c r="S36" s="20" t="inlineStr">
        <is>
          <t>..บาท</t>
        </is>
      </c>
    </row>
    <row r="37" ht="22.2" customHeight="1" s="330">
      <c r="A37" s="207" t="inlineStr">
        <is>
          <t>ผู้ขอเบิก</t>
        </is>
      </c>
      <c r="B37" s="334" t="n"/>
      <c r="C37" s="334" t="n"/>
      <c r="D37" s="334" t="n"/>
      <c r="E37" s="334" t="n"/>
      <c r="F37" s="334" t="n"/>
      <c r="G37" s="335" t="n"/>
      <c r="H37" s="207" t="inlineStr">
        <is>
          <t>ผู้รับรอง</t>
        </is>
      </c>
      <c r="I37" s="334" t="n"/>
      <c r="J37" s="334" t="n"/>
      <c r="K37" s="334" t="n"/>
      <c r="L37" s="335" t="n"/>
      <c r="M37" s="207" t="inlineStr">
        <is>
          <t>ผู้ตรวจ</t>
        </is>
      </c>
      <c r="N37" s="334" t="n"/>
      <c r="O37" s="334" t="n"/>
      <c r="P37" s="334" t="n"/>
      <c r="Q37" s="334" t="n"/>
      <c r="R37" s="334" t="n"/>
      <c r="S37" s="335" t="n"/>
    </row>
    <row r="38" ht="22.2" customHeight="1" s="330">
      <c r="A38" s="252" t="inlineStr">
        <is>
          <t>ลงชื่อ……………………………………………</t>
        </is>
      </c>
      <c r="G38" s="331" t="n"/>
      <c r="H38" s="252" t="inlineStr">
        <is>
          <t>ลงชื่อ……………………………………………</t>
        </is>
      </c>
      <c r="L38" s="331" t="n"/>
      <c r="M38" s="252" t="inlineStr">
        <is>
          <t>ลงชื่อ……………………………………………</t>
        </is>
      </c>
      <c r="S38" s="331" t="n"/>
    </row>
    <row r="39" ht="22.2" customHeight="1" s="330">
      <c r="A39" s="12" t="inlineStr">
        <is>
          <t>(</t>
        </is>
      </c>
      <c r="B39" s="309">
        <f>B7</f>
        <v/>
      </c>
      <c r="G39" s="310" t="inlineStr">
        <is>
          <t>)</t>
        </is>
      </c>
      <c r="H39" s="309" t="inlineStr">
        <is>
          <t>(</t>
        </is>
      </c>
      <c r="I39" s="314" t="inlineStr">
        <is>
          <t xml:space="preserve">       นายอาทิตย์  แก้วแดง</t>
        </is>
      </c>
      <c r="L39" s="13" t="inlineStr">
        <is>
          <t>)</t>
        </is>
      </c>
      <c r="M39" s="61" t="inlineStr">
        <is>
          <t>(</t>
        </is>
      </c>
      <c r="N39" s="61" t="n"/>
      <c r="O39" s="309" t="inlineStr">
        <is>
          <t>นายทศวรรษ  คำสม</t>
        </is>
      </c>
      <c r="R39" s="29" t="n"/>
      <c r="S39" s="310" t="inlineStr">
        <is>
          <t>)</t>
        </is>
      </c>
    </row>
    <row r="40" ht="22.2" customHeight="1" s="330">
      <c r="A40" s="62" t="inlineStr">
        <is>
          <t>ตำแหน่ง  ครู</t>
        </is>
      </c>
      <c r="G40" s="331" t="n"/>
      <c r="H40" s="62" t="inlineStr">
        <is>
          <t>ตำแหน่ง หัวหน้าแผนก</t>
        </is>
      </c>
      <c r="L40" s="331" t="n"/>
      <c r="M40" s="62" t="inlineStr">
        <is>
          <t>ตำแหน่ง   ผู้ตรวจสอบ</t>
        </is>
      </c>
      <c r="S40" s="331" t="n"/>
    </row>
    <row r="41" ht="22.2" customHeight="1" s="330">
      <c r="A41" s="63" t="inlineStr">
        <is>
          <t>วันที่ 2  เดือน มกราคม  พ.ศ.2567</t>
        </is>
      </c>
      <c r="B41" s="471" t="n"/>
      <c r="C41" s="471" t="n"/>
      <c r="D41" s="471" t="n"/>
      <c r="E41" s="471" t="n"/>
      <c r="F41" s="471" t="n"/>
      <c r="G41" s="476" t="n"/>
      <c r="H41" s="62">
        <f>A41</f>
        <v/>
      </c>
      <c r="L41" s="331" t="n"/>
      <c r="M41" s="63">
        <f>A41</f>
        <v/>
      </c>
      <c r="N41" s="471" t="n"/>
      <c r="O41" s="471" t="n"/>
      <c r="P41" s="471" t="n"/>
      <c r="Q41" s="471" t="n"/>
      <c r="R41" s="471" t="n"/>
      <c r="S41" s="476" t="n"/>
    </row>
    <row r="42" ht="22.2" customHeight="1" s="330">
      <c r="A42" s="207" t="inlineStr">
        <is>
          <t>ผู้ตรวจ</t>
        </is>
      </c>
      <c r="B42" s="334" t="n"/>
      <c r="C42" s="334" t="n"/>
      <c r="D42" s="334" t="n"/>
      <c r="E42" s="334" t="n"/>
      <c r="F42" s="334" t="n"/>
      <c r="G42" s="334" t="n"/>
      <c r="H42" s="334" t="n"/>
      <c r="I42" s="335" t="n"/>
      <c r="J42" s="207" t="inlineStr">
        <is>
          <t>ผู้เห็นชอบ</t>
        </is>
      </c>
      <c r="K42" s="334" t="n"/>
      <c r="L42" s="334" t="n"/>
      <c r="M42" s="334" t="n"/>
      <c r="N42" s="334" t="n"/>
      <c r="O42" s="334" t="n"/>
      <c r="P42" s="334" t="n"/>
      <c r="Q42" s="334" t="n"/>
      <c r="R42" s="334" t="n"/>
      <c r="S42" s="335" t="n"/>
    </row>
    <row r="43" ht="22.2" customHeight="1" s="330">
      <c r="A43" s="252" t="inlineStr">
        <is>
          <t>ลงชื่อ……………………………………………</t>
        </is>
      </c>
      <c r="I43" s="331" t="n"/>
      <c r="J43" s="252" t="inlineStr">
        <is>
          <t>ลงชื่อ……………………………………………</t>
        </is>
      </c>
      <c r="S43" s="331" t="n"/>
    </row>
    <row r="44" ht="22.2" customHeight="1" s="330">
      <c r="A44" s="12" t="n"/>
      <c r="B44" s="309" t="inlineStr">
        <is>
          <t xml:space="preserve">                     (นายชัยณรงค์  สุขอิ่ม)</t>
        </is>
      </c>
      <c r="I44" s="310" t="n"/>
      <c r="J44" s="29" t="n"/>
      <c r="K44" s="29" t="n"/>
      <c r="L44" s="309" t="inlineStr">
        <is>
          <t xml:space="preserve">            (นายปรีชา  โพธิ์เกิด)</t>
        </is>
      </c>
      <c r="R44" s="29" t="n"/>
      <c r="S44" s="13" t="n"/>
    </row>
    <row r="45" ht="22.2" customHeight="1" s="330">
      <c r="A45" s="62" t="inlineStr">
        <is>
          <t>ตำแหน่งครู  หัวหน้างานพัฒนาหลักสูตร ฯ</t>
        </is>
      </c>
      <c r="I45" s="331" t="n"/>
      <c r="J45" s="62" t="inlineStr">
        <is>
          <t>ตำแหน่ง  รองผู้อำนวยการฝ่ายวิชาการ</t>
        </is>
      </c>
      <c r="S45" s="331" t="n"/>
    </row>
    <row r="46" ht="22.2" customHeight="1" s="330">
      <c r="A46" s="276" t="inlineStr">
        <is>
          <t>วันที่.......เดือน..........................พ.ศ..............</t>
        </is>
      </c>
      <c r="B46" s="471" t="n"/>
      <c r="C46" s="471" t="n"/>
      <c r="D46" s="471" t="n"/>
      <c r="E46" s="471" t="n"/>
      <c r="F46" s="471" t="n"/>
      <c r="G46" s="471" t="n"/>
      <c r="H46" s="471" t="n"/>
      <c r="I46" s="476" t="n"/>
      <c r="J46" s="276" t="inlineStr">
        <is>
          <t>วันที่.......เดือน..........................พ.ศ..............</t>
        </is>
      </c>
      <c r="K46" s="471" t="n"/>
      <c r="L46" s="471" t="n"/>
      <c r="M46" s="471" t="n"/>
      <c r="N46" s="471" t="n"/>
      <c r="O46" s="471" t="n"/>
      <c r="P46" s="471" t="n"/>
      <c r="Q46" s="471" t="n"/>
      <c r="R46" s="471" t="n"/>
      <c r="S46" s="476" t="n"/>
    </row>
    <row r="47" ht="22.2" customHeight="1" s="330">
      <c r="A47" s="254" t="inlineStr">
        <is>
          <t>ใบเบิกจ่ายเงินค่าสอนพิเศษและค่าสอนเกินภาระงานสอนในสถานศึกษา</t>
        </is>
      </c>
      <c r="AB47" s="240" t="n"/>
      <c r="AC47" s="240" t="n"/>
      <c r="AD47" s="240" t="n"/>
    </row>
    <row r="48" ht="22.2" customHeight="1" s="330">
      <c r="A48" s="254">
        <f>A2</f>
        <v/>
      </c>
      <c r="AB48" s="296" t="n"/>
    </row>
    <row r="49" ht="22.2" customHeight="1" s="330">
      <c r="A49" s="253" t="inlineStr">
        <is>
          <t xml:space="preserve">    ระหว่างวันที่</t>
        </is>
      </c>
      <c r="D49" s="254">
        <f>D3</f>
        <v/>
      </c>
      <c r="E49" s="254" t="inlineStr">
        <is>
          <t xml:space="preserve">   เดือน  </t>
        </is>
      </c>
      <c r="F49" s="254">
        <f>F3</f>
        <v/>
      </c>
      <c r="H49" s="254">
        <f>H3</f>
        <v/>
      </c>
      <c r="I49" s="254" t="inlineStr">
        <is>
          <t xml:space="preserve">     ถึง วันที่</t>
        </is>
      </c>
      <c r="J49" s="254">
        <f>J3</f>
        <v/>
      </c>
      <c r="K49" s="254" t="inlineStr">
        <is>
          <t xml:space="preserve">   เดือน </t>
        </is>
      </c>
      <c r="L49" s="254">
        <f>L3</f>
        <v/>
      </c>
      <c r="N49" s="254">
        <f>N3</f>
        <v/>
      </c>
      <c r="P49" s="254" t="n"/>
      <c r="R49" s="254" t="n"/>
      <c r="AB49" s="296" t="n"/>
    </row>
    <row r="50" ht="22.2" customHeight="1" s="330">
      <c r="G50" s="58" t="inlineStr">
        <is>
          <t>ü</t>
        </is>
      </c>
      <c r="H50" s="301" t="inlineStr">
        <is>
          <t>พนง.ราชการ</t>
        </is>
      </c>
      <c r="I50" s="249" t="inlineStr">
        <is>
          <t>หน้าที่พิเศษ</t>
        </is>
      </c>
      <c r="AB50" s="293" t="n"/>
    </row>
    <row r="51" ht="22.2" customHeight="1" s="330">
      <c r="A51" s="28" t="inlineStr">
        <is>
          <t>ที่</t>
        </is>
      </c>
      <c r="B51" s="28" t="inlineStr">
        <is>
          <t>ชื่อ-สกุล</t>
        </is>
      </c>
      <c r="C51" s="334" t="n"/>
      <c r="D51" s="335" t="n"/>
      <c r="E51" s="16" t="inlineStr">
        <is>
          <t>ตำแหน่ง</t>
        </is>
      </c>
      <c r="F51" s="17" t="inlineStr">
        <is>
          <t>ระยะเวลาที่สอน</t>
        </is>
      </c>
      <c r="G51" s="362" t="n"/>
      <c r="H51" s="17" t="inlineStr">
        <is>
          <t>รหัสวิชา</t>
        </is>
      </c>
      <c r="I51" s="275" t="inlineStr">
        <is>
          <t>ชั้น,แผนก,ห้อง</t>
        </is>
      </c>
      <c r="J51" s="17" t="inlineStr">
        <is>
          <t>เวลาสอน</t>
        </is>
      </c>
      <c r="K51" s="335" t="n"/>
      <c r="L51" s="17" t="inlineStr">
        <is>
          <t>ปวช.(คาบ)</t>
        </is>
      </c>
      <c r="M51" s="362" t="n"/>
      <c r="N51" s="275" t="inlineStr">
        <is>
          <t>เงิน</t>
        </is>
      </c>
      <c r="O51" s="275" t="inlineStr">
        <is>
          <t>ยอดเงิน</t>
        </is>
      </c>
      <c r="P51" s="473" t="inlineStr">
        <is>
          <t>ปวส.(คาบ)</t>
        </is>
      </c>
      <c r="Q51" s="362" t="n"/>
      <c r="R51" s="244" t="inlineStr">
        <is>
          <t>เงิน</t>
        </is>
      </c>
      <c r="S51" s="275" t="inlineStr">
        <is>
          <t>ยอดเงิน</t>
        </is>
      </c>
      <c r="AB51" s="296" t="n"/>
    </row>
    <row r="52" ht="22.2" customHeight="1" s="330">
      <c r="A52" s="60" t="n"/>
      <c r="B52" s="9" t="n"/>
      <c r="C52" s="10" t="n"/>
      <c r="D52" s="14" t="n"/>
      <c r="E52" s="11" t="n"/>
      <c r="F52" s="276" t="inlineStr">
        <is>
          <t>ส.</t>
        </is>
      </c>
      <c r="G52" s="276" t="inlineStr">
        <is>
          <t>วดป.</t>
        </is>
      </c>
      <c r="H52" s="474" t="n"/>
      <c r="I52" s="276" t="n"/>
      <c r="J52" s="475" t="n"/>
      <c r="K52" s="476" t="n"/>
      <c r="L52" s="276" t="inlineStr">
        <is>
          <t>ใน</t>
        </is>
      </c>
      <c r="M52" s="276" t="inlineStr">
        <is>
          <t>นอก</t>
        </is>
      </c>
      <c r="N52" s="276" t="inlineStr">
        <is>
          <t>ต่อ ชม.</t>
        </is>
      </c>
      <c r="O52" s="276" t="inlineStr">
        <is>
          <t>(บาท)</t>
        </is>
      </c>
      <c r="P52" s="60" t="inlineStr">
        <is>
          <t>ใน</t>
        </is>
      </c>
      <c r="Q52" s="60" t="inlineStr">
        <is>
          <t>นอก</t>
        </is>
      </c>
      <c r="R52" s="276" t="inlineStr">
        <is>
          <t>ต่อ ชม.</t>
        </is>
      </c>
      <c r="S52" s="276" t="inlineStr">
        <is>
          <t>(บาท)</t>
        </is>
      </c>
    </row>
    <row r="53" ht="22.2" customHeight="1" s="330">
      <c r="A53" s="275" t="n">
        <v>2</v>
      </c>
      <c r="B53" s="477">
        <f>AB4</f>
        <v/>
      </c>
      <c r="C53" s="334" t="n"/>
      <c r="D53" s="335" t="n"/>
      <c r="E53" s="275" t="inlineStr">
        <is>
          <t>พนักงาน</t>
        </is>
      </c>
      <c r="F53" s="6">
        <f>F7</f>
        <v/>
      </c>
      <c r="G53" s="303" t="inlineStr">
        <is>
          <t>จันทร์</t>
        </is>
      </c>
      <c r="H53" s="489" t="inlineStr">
        <is>
          <t>ไปราชการ</t>
        </is>
      </c>
      <c r="I53" s="334" t="n"/>
      <c r="J53" s="334" t="n"/>
      <c r="K53" s="335" t="n"/>
      <c r="L53" s="265" t="n"/>
      <c r="M53" s="332" t="n"/>
      <c r="N53" s="332" t="n"/>
      <c r="O53" s="244">
        <f>M53*N53</f>
        <v/>
      </c>
      <c r="P53" s="332" t="n"/>
      <c r="Q53" s="265" t="n"/>
      <c r="R53" s="332" t="n"/>
      <c r="S53" s="244">
        <f>Q53*R53</f>
        <v/>
      </c>
    </row>
    <row r="54" ht="22.2" customHeight="1" s="330">
      <c r="A54" s="4" t="n"/>
      <c r="B54" s="478" t="n"/>
      <c r="D54" s="331" t="n"/>
      <c r="E54" s="252" t="inlineStr">
        <is>
          <t>ราชการ</t>
        </is>
      </c>
      <c r="F54" s="249" t="n"/>
      <c r="G54" s="308">
        <f>G8</f>
        <v/>
      </c>
      <c r="H54" s="475" t="n"/>
      <c r="I54" s="471" t="n"/>
      <c r="J54" s="471" t="n"/>
      <c r="K54" s="476" t="n"/>
      <c r="L54" s="252" t="n"/>
      <c r="M54" s="252" t="n"/>
      <c r="N54" s="252" t="n"/>
      <c r="O54" s="244">
        <f>M54*N54</f>
        <v/>
      </c>
      <c r="P54" s="252" t="n"/>
      <c r="Q54" s="252" t="n"/>
      <c r="R54" s="325" t="n"/>
      <c r="S54" s="244">
        <f>Q54*R54</f>
        <v/>
      </c>
    </row>
    <row r="55" ht="22.2" customHeight="1" s="330">
      <c r="A55" s="4" t="n"/>
      <c r="B55" s="5" t="n"/>
      <c r="D55" s="3" t="n"/>
      <c r="E55" s="3" t="n"/>
      <c r="F55" s="249" t="n"/>
      <c r="G55" s="248" t="n"/>
      <c r="H55" s="490" t="inlineStr">
        <is>
          <t>นายวัชรัศนิ์ ไชยศาสตร์ สอนแทน (4 ชม.)</t>
        </is>
      </c>
      <c r="I55" s="467" t="n"/>
      <c r="J55" s="467" t="n"/>
      <c r="K55" s="362" t="n"/>
      <c r="L55" s="252" t="n"/>
      <c r="M55" s="252" t="n"/>
      <c r="N55" s="252" t="n"/>
      <c r="O55" s="244">
        <f>M55*N55</f>
        <v/>
      </c>
      <c r="P55" s="252" t="n"/>
      <c r="Q55" s="252" t="n"/>
      <c r="R55" s="252" t="n"/>
      <c r="S55" s="244">
        <f>Q55*R55</f>
        <v/>
      </c>
    </row>
    <row r="56" ht="22.2" customHeight="1" s="330">
      <c r="A56" s="4" t="n"/>
      <c r="B56" s="5" t="n"/>
      <c r="E56" s="4" t="n"/>
      <c r="F56" s="249" t="n"/>
      <c r="G56" s="248" t="n"/>
      <c r="H56" s="1" t="n"/>
      <c r="I56" s="1" t="n"/>
      <c r="J56" s="252" t="n"/>
      <c r="K56" s="331" t="n"/>
      <c r="L56" s="252" t="n"/>
      <c r="M56" s="252" t="n"/>
      <c r="N56" s="252" t="n"/>
      <c r="O56" s="244">
        <f>M56*N56</f>
        <v/>
      </c>
      <c r="P56" s="252" t="n"/>
      <c r="Q56" s="252" t="n"/>
      <c r="R56" s="252" t="n"/>
      <c r="S56" s="244">
        <f>Q56*R56</f>
        <v/>
      </c>
      <c r="Y56" s="71" t="n"/>
      <c r="Z56" s="71" t="n"/>
      <c r="AA56" s="71" t="n"/>
      <c r="AB56" s="71" t="n"/>
    </row>
    <row r="57" ht="22.2" customHeight="1" s="330">
      <c r="A57" s="4" t="n"/>
      <c r="E57" s="4" t="n"/>
      <c r="G57" s="311" t="n"/>
      <c r="H57" s="276" t="n"/>
      <c r="I57" s="276" t="n"/>
      <c r="J57" s="276" t="n"/>
      <c r="K57" s="476" t="n"/>
      <c r="L57" s="252" t="n"/>
      <c r="M57" s="252" t="n"/>
      <c r="N57" s="252" t="n"/>
      <c r="O57" s="244">
        <f>M57*N57</f>
        <v/>
      </c>
      <c r="P57" s="252" t="n"/>
      <c r="Q57" s="252" t="n"/>
      <c r="R57" s="252" t="n"/>
      <c r="S57" s="244">
        <f>Q57*R57</f>
        <v/>
      </c>
      <c r="Y57" s="72" t="n"/>
      <c r="Z57" s="72" t="n"/>
      <c r="AA57" s="72" t="n"/>
      <c r="AB57" s="72" t="n"/>
    </row>
    <row r="58" ht="22.2" customHeight="1" s="330">
      <c r="A58" s="4" t="n"/>
      <c r="E58" s="4" t="n"/>
      <c r="G58" s="62" t="inlineStr">
        <is>
          <t>อังคาร</t>
        </is>
      </c>
      <c r="H58" s="332" t="inlineStr">
        <is>
          <t>20143-2002</t>
        </is>
      </c>
      <c r="I58" s="325" t="inlineStr">
        <is>
          <t>ปวช.1/1 ชยฟ. (ปกติ)</t>
        </is>
      </c>
      <c r="J58" s="332" t="inlineStr">
        <is>
          <t>08.10-12.10</t>
        </is>
      </c>
      <c r="K58" s="335" t="n"/>
      <c r="L58" s="265" t="n">
        <v>4</v>
      </c>
      <c r="M58" s="332" t="n"/>
      <c r="N58" s="332" t="n"/>
      <c r="O58" s="244">
        <f>M58*N58</f>
        <v/>
      </c>
      <c r="P58" s="332" t="n"/>
      <c r="Q58" s="265" t="n"/>
      <c r="R58" s="332" t="n"/>
      <c r="S58" s="244">
        <f>Q58*R58</f>
        <v/>
      </c>
      <c r="W58" s="72" t="n"/>
      <c r="X58" s="72" t="n"/>
      <c r="Y58" s="290" t="n"/>
      <c r="Z58" s="72" t="n"/>
      <c r="AA58" s="290" t="n"/>
      <c r="AB58" s="72" t="n"/>
    </row>
    <row r="59" ht="22.2" customHeight="1" s="330">
      <c r="A59" s="4" t="n"/>
      <c r="E59" s="4" t="n"/>
      <c r="G59" s="308">
        <f>G13</f>
        <v/>
      </c>
      <c r="H59" s="325" t="inlineStr">
        <is>
          <t>20143-2002</t>
        </is>
      </c>
      <c r="I59" s="325" t="inlineStr">
        <is>
          <t>ปวช.1/1 ชยฟ. (ปกติ)</t>
        </is>
      </c>
      <c r="J59" s="488" t="inlineStr">
        <is>
          <t>13.10-16.10</t>
        </is>
      </c>
      <c r="K59" s="331" t="n"/>
      <c r="L59" s="252" t="n">
        <v>3</v>
      </c>
      <c r="M59" s="252" t="n"/>
      <c r="N59" s="252" t="n"/>
      <c r="O59" s="244">
        <f>M59*N59</f>
        <v/>
      </c>
      <c r="P59" s="252" t="n"/>
      <c r="Q59" s="252" t="n"/>
      <c r="R59" s="325" t="n"/>
      <c r="S59" s="244">
        <f>Q59*R59</f>
        <v/>
      </c>
      <c r="W59" s="71" t="n"/>
      <c r="X59" s="71" t="n"/>
      <c r="Y59" s="71" t="n"/>
      <c r="Z59" s="72" t="n"/>
      <c r="AA59" s="73" t="n"/>
      <c r="AB59" s="72" t="n"/>
    </row>
    <row r="60" ht="22.2" customHeight="1" s="330">
      <c r="A60" s="4" t="n"/>
      <c r="B60" s="5" t="n"/>
      <c r="D60" s="3" t="n"/>
      <c r="E60" s="3" t="n"/>
      <c r="G60" s="252" t="n"/>
      <c r="H60" s="325" t="n"/>
      <c r="I60" s="325" t="n"/>
      <c r="J60" s="252" t="n"/>
      <c r="K60" s="331" t="n"/>
      <c r="L60" s="252" t="n"/>
      <c r="M60" s="252" t="n"/>
      <c r="N60" s="252" t="n"/>
      <c r="O60" s="244">
        <f>M60*N60</f>
        <v/>
      </c>
      <c r="P60" s="252" t="n"/>
      <c r="Q60" s="252" t="n"/>
      <c r="R60" s="252" t="n"/>
      <c r="S60" s="244">
        <f>Q60*R60</f>
        <v/>
      </c>
      <c r="W60" s="71" t="n"/>
      <c r="X60" s="71" t="n"/>
      <c r="Y60" s="71" t="n"/>
      <c r="Z60" s="72" t="n"/>
      <c r="AA60" s="73" t="n"/>
      <c r="AB60" s="72" t="n"/>
    </row>
    <row r="61" ht="22.2" customHeight="1" s="330">
      <c r="A61" s="4" t="n"/>
      <c r="E61" s="4" t="n"/>
      <c r="G61" s="62" t="n"/>
      <c r="H61" s="249" t="n"/>
      <c r="I61" s="252" t="n"/>
      <c r="J61" s="252" t="n"/>
      <c r="K61" s="331" t="n"/>
      <c r="L61" s="252" t="n"/>
      <c r="M61" s="252" t="n"/>
      <c r="N61" s="252" t="n"/>
      <c r="O61" s="244">
        <f>M61*N61</f>
        <v/>
      </c>
      <c r="P61" s="252" t="n"/>
      <c r="Q61" s="252" t="n"/>
      <c r="R61" s="252" t="n"/>
      <c r="S61" s="244">
        <f>Q61*R61</f>
        <v/>
      </c>
      <c r="T61" s="7" t="n"/>
      <c r="U61" s="23" t="inlineStr">
        <is>
          <t>เบิก ธุรการ</t>
        </is>
      </c>
      <c r="V61" s="66" t="n"/>
      <c r="W61" s="22" t="n"/>
      <c r="X61" s="22" t="n"/>
      <c r="Y61" s="71" t="n"/>
      <c r="Z61" s="72" t="n"/>
      <c r="AA61" s="73" t="n"/>
      <c r="AB61" s="72" t="n"/>
    </row>
    <row r="62" ht="22.2" customHeight="1" s="330">
      <c r="A62" s="4" t="n"/>
      <c r="D62" s="8" t="inlineStr">
        <is>
          <t> </t>
        </is>
      </c>
      <c r="E62" s="4" t="n"/>
      <c r="G62" s="63" t="n"/>
      <c r="H62" s="277" t="n"/>
      <c r="I62" s="276" t="n"/>
      <c r="J62" s="276" t="n"/>
      <c r="K62" s="476" t="n"/>
      <c r="L62" s="252" t="n"/>
      <c r="M62" s="252" t="n"/>
      <c r="N62" s="252" t="n"/>
      <c r="O62" s="244">
        <f>M62*N62</f>
        <v/>
      </c>
      <c r="P62" s="252" t="n"/>
      <c r="Q62" s="252" t="n"/>
      <c r="R62" s="252" t="n"/>
      <c r="S62" s="244">
        <f>Q62*R62</f>
        <v/>
      </c>
      <c r="T62" s="22" t="inlineStr">
        <is>
          <t> </t>
        </is>
      </c>
      <c r="U62" s="23" t="inlineStr">
        <is>
          <t>16.10-19.10</t>
        </is>
      </c>
      <c r="V62" s="66" t="n"/>
      <c r="W62" s="22" t="n"/>
      <c r="X62" s="22" t="n"/>
      <c r="Y62" s="71" t="n"/>
      <c r="Z62" s="71" t="n"/>
      <c r="AA62" s="71" t="n"/>
      <c r="AB62" s="71" t="n"/>
    </row>
    <row r="63" ht="22.2" customHeight="1" s="330">
      <c r="A63" s="4" t="n"/>
      <c r="D63" s="331" t="n"/>
      <c r="E63" s="56" t="n"/>
      <c r="G63" s="207" t="inlineStr">
        <is>
          <t>พุธ</t>
        </is>
      </c>
      <c r="H63" s="286" t="inlineStr">
        <is>
          <t>20101-2008</t>
        </is>
      </c>
      <c r="I63" s="325" t="inlineStr">
        <is>
          <t>ปวช.3/10 ชย. (ทวิ)</t>
        </is>
      </c>
      <c r="J63" s="332" t="inlineStr">
        <is>
          <t>08.10-12.10</t>
        </is>
      </c>
      <c r="K63" s="335" t="n"/>
      <c r="L63" s="332" t="n">
        <v>1</v>
      </c>
      <c r="M63" s="332" t="n">
        <v>3</v>
      </c>
      <c r="N63" s="332" t="n">
        <v>200</v>
      </c>
      <c r="O63" s="244">
        <f>M63*N63</f>
        <v/>
      </c>
      <c r="P63" s="332" t="n"/>
      <c r="Q63" s="332" t="n"/>
      <c r="R63" s="332" t="n"/>
      <c r="S63" s="244">
        <f>Q63*R63</f>
        <v/>
      </c>
      <c r="Y63" s="71" t="n"/>
      <c r="Z63" s="71" t="n"/>
      <c r="AA63" s="71" t="n"/>
      <c r="AB63" s="71" t="n"/>
    </row>
    <row r="64" ht="22.2" customHeight="1" s="330">
      <c r="A64" s="4" t="n"/>
      <c r="B64" s="248" t="n"/>
      <c r="C64" s="249" t="n"/>
      <c r="D64" s="249" t="n"/>
      <c r="E64" s="252" t="n"/>
      <c r="G64" s="62">
        <f>G18</f>
        <v/>
      </c>
      <c r="H64" s="286" t="n"/>
      <c r="I64" s="325" t="n"/>
      <c r="J64" s="252" t="n"/>
      <c r="K64" s="331" t="n"/>
      <c r="L64" s="252" t="n"/>
      <c r="M64" s="252" t="n"/>
      <c r="N64" s="252" t="n"/>
      <c r="O64" s="244">
        <f>M64*N64</f>
        <v/>
      </c>
      <c r="P64" s="252" t="n"/>
      <c r="Q64" s="252" t="n"/>
      <c r="R64" s="252" t="n"/>
      <c r="S64" s="244">
        <f>Q64*R64</f>
        <v/>
      </c>
      <c r="Y64" s="71" t="n"/>
      <c r="Z64" s="71" t="n"/>
      <c r="AA64" s="71" t="n"/>
      <c r="AB64" s="71" t="n"/>
    </row>
    <row r="65" ht="22.2" customHeight="1" s="330">
      <c r="A65" s="4" t="n"/>
      <c r="B65" s="5" t="n"/>
      <c r="D65" s="3" t="n"/>
      <c r="E65" s="3" t="n"/>
      <c r="G65" s="252" t="n"/>
      <c r="H65" s="325" t="n"/>
      <c r="I65" s="325" t="n"/>
      <c r="J65" s="252" t="n"/>
      <c r="K65" s="331" t="n"/>
      <c r="L65" s="252" t="n"/>
      <c r="M65" s="252" t="n"/>
      <c r="N65" s="252" t="n"/>
      <c r="O65" s="244">
        <f>M65*N65</f>
        <v/>
      </c>
      <c r="P65" s="252" t="n"/>
      <c r="Q65" s="252" t="n"/>
      <c r="R65" s="252" t="n"/>
      <c r="S65" s="244">
        <f>Q65*R65</f>
        <v/>
      </c>
      <c r="W65" s="71" t="n"/>
      <c r="X65" s="71" t="n"/>
    </row>
    <row r="66" ht="22.2" customHeight="1" s="330">
      <c r="A66" s="4" t="n"/>
      <c r="E66" s="4" t="n"/>
      <c r="G66" s="248" t="n"/>
      <c r="H66" s="252" t="n"/>
      <c r="I66" s="325" t="n"/>
      <c r="J66" s="252" t="n"/>
      <c r="K66" s="331" t="n"/>
      <c r="L66" s="252" t="n"/>
      <c r="M66" s="252" t="n"/>
      <c r="N66" s="252" t="n"/>
      <c r="O66" s="244">
        <f>M66*N66</f>
        <v/>
      </c>
      <c r="P66" s="252" t="n"/>
      <c r="Q66" s="252" t="n"/>
      <c r="R66" s="252" t="n"/>
      <c r="S66" s="244">
        <f>Q66*R66</f>
        <v/>
      </c>
      <c r="T66" s="25" t="n"/>
      <c r="U66" s="26" t="inlineStr">
        <is>
          <t xml:space="preserve">     PLC</t>
        </is>
      </c>
      <c r="V66" s="64" t="n"/>
      <c r="W66" s="27" t="n"/>
      <c r="X66" s="27" t="n"/>
      <c r="Z66" s="249" t="n"/>
      <c r="AA66" s="249" t="n"/>
      <c r="AB66" s="249" t="n"/>
    </row>
    <row r="67" ht="22.2" customHeight="1" s="330">
      <c r="A67" s="4" t="n"/>
      <c r="E67" s="4" t="n"/>
      <c r="G67" s="277" t="n"/>
      <c r="H67" s="276" t="n"/>
      <c r="I67" s="276" t="n"/>
      <c r="J67" s="276" t="n"/>
      <c r="K67" s="476" t="n"/>
      <c r="L67" s="276" t="n"/>
      <c r="M67" s="276" t="n"/>
      <c r="N67" s="276" t="n"/>
      <c r="O67" s="244">
        <f>M67*N67</f>
        <v/>
      </c>
      <c r="P67" s="276" t="n"/>
      <c r="Q67" s="276" t="n"/>
      <c r="R67" s="276" t="n"/>
      <c r="S67" s="244">
        <f>Q67*R67</f>
        <v/>
      </c>
      <c r="T67" s="27" t="inlineStr">
        <is>
          <t> </t>
        </is>
      </c>
      <c r="U67" s="26" t="inlineStr">
        <is>
          <t>17.10-19.10</t>
        </is>
      </c>
      <c r="V67" s="64" t="n"/>
      <c r="W67" s="27" t="n"/>
      <c r="X67" s="27" t="n"/>
      <c r="Y67" s="249" t="n"/>
      <c r="Z67" s="249" t="n"/>
      <c r="AA67" s="249" t="n"/>
      <c r="AB67" s="249" t="n"/>
    </row>
    <row r="68" ht="22.2" customHeight="1" s="330">
      <c r="A68" s="4" t="n"/>
      <c r="E68" s="4" t="n"/>
      <c r="G68" s="62" t="inlineStr">
        <is>
          <t>พฤหัส</t>
        </is>
      </c>
      <c r="H68" s="325" t="inlineStr">
        <is>
          <t>20101-2008</t>
        </is>
      </c>
      <c r="I68" s="325" t="inlineStr">
        <is>
          <t>ปวช.1/8 ชย. (ปกติ)</t>
        </is>
      </c>
      <c r="J68" s="332" t="inlineStr">
        <is>
          <t>08.10-12.10</t>
        </is>
      </c>
      <c r="K68" s="335" t="n"/>
      <c r="L68" s="252" t="n">
        <v>4</v>
      </c>
      <c r="M68" s="252" t="n"/>
      <c r="N68" s="252" t="n"/>
      <c r="O68" s="244">
        <f>M68*N68</f>
        <v/>
      </c>
      <c r="P68" s="252" t="n"/>
      <c r="Q68" s="275" t="n"/>
      <c r="R68" s="275" t="n"/>
      <c r="S68" s="244">
        <f>Q68*R68</f>
        <v/>
      </c>
      <c r="U68" s="249" t="n"/>
      <c r="V68" s="249" t="n"/>
      <c r="W68" s="249" t="n"/>
      <c r="X68" s="249" t="n"/>
      <c r="Y68" s="249" t="n"/>
      <c r="Z68" s="249" t="n"/>
      <c r="AA68" s="249" t="n"/>
      <c r="AB68" s="249" t="n"/>
    </row>
    <row r="69" ht="22.2" customHeight="1" s="330">
      <c r="A69" s="4" t="n"/>
      <c r="E69" s="4" t="n"/>
      <c r="G69" s="308">
        <f>G23</f>
        <v/>
      </c>
      <c r="H69" s="325" t="inlineStr">
        <is>
          <t>20000-2002</t>
        </is>
      </c>
      <c r="I69" s="325" t="inlineStr">
        <is>
          <t>ปวช.1/7,8 ชย. (ปกติ)</t>
        </is>
      </c>
      <c r="J69" s="488" t="inlineStr">
        <is>
          <t>13.10-15.10</t>
        </is>
      </c>
      <c r="K69" s="331" t="n"/>
      <c r="L69" s="252" t="n">
        <v>2</v>
      </c>
      <c r="M69" s="252" t="n"/>
      <c r="N69" s="252" t="n"/>
      <c r="O69" s="244">
        <f>M69*N69</f>
        <v/>
      </c>
      <c r="P69" s="252" t="n"/>
      <c r="Q69" s="252" t="n"/>
      <c r="R69" s="252" t="n"/>
      <c r="S69" s="244">
        <f>Q69*R69</f>
        <v/>
      </c>
      <c r="U69" s="249" t="n"/>
      <c r="V69" s="249" t="n"/>
      <c r="X69" s="249" t="n"/>
      <c r="Y69" s="249" t="n"/>
      <c r="Z69" s="249" t="n"/>
    </row>
    <row r="70" ht="22.2" customHeight="1" s="330">
      <c r="A70" s="4" t="n"/>
      <c r="B70" s="5" t="n"/>
      <c r="E70" s="4" t="n"/>
      <c r="G70" s="252" t="n"/>
      <c r="H70" s="325" t="inlineStr">
        <is>
          <t>20143-2004</t>
        </is>
      </c>
      <c r="I70" s="325" t="inlineStr">
        <is>
          <t>ปวช.1/1 ชยฟ. (ปกติ)</t>
        </is>
      </c>
      <c r="J70" s="488" t="inlineStr">
        <is>
          <t>15.10-19.10</t>
        </is>
      </c>
      <c r="K70" s="331" t="n"/>
      <c r="L70" s="325" t="n">
        <v>4</v>
      </c>
      <c r="M70" s="325" t="n"/>
      <c r="N70" s="325" t="n"/>
      <c r="O70" s="244">
        <f>M70*N70</f>
        <v/>
      </c>
      <c r="P70" s="325" t="n"/>
      <c r="Q70" s="325" t="n"/>
      <c r="R70" s="325" t="n"/>
      <c r="S70" s="244">
        <f>Q70*R70</f>
        <v/>
      </c>
      <c r="U70" s="249" t="n"/>
      <c r="V70" s="249" t="n"/>
      <c r="W70" s="249" t="n"/>
      <c r="X70" s="249" t="n"/>
      <c r="Y70" s="249" t="n"/>
      <c r="Z70" s="249" t="n"/>
    </row>
    <row r="71" ht="22.2" customHeight="1" s="330">
      <c r="A71" s="4" t="n"/>
      <c r="E71" s="4" t="n"/>
      <c r="G71" s="252" t="n"/>
      <c r="H71" s="252" t="n"/>
      <c r="I71" s="325" t="n"/>
      <c r="J71" s="325" t="n"/>
      <c r="K71" s="331" t="n"/>
      <c r="L71" s="252" t="n"/>
      <c r="M71" s="252" t="n"/>
      <c r="N71" s="252" t="n"/>
      <c r="O71" s="244">
        <f>M71*N71</f>
        <v/>
      </c>
      <c r="P71" s="325" t="n"/>
      <c r="Q71" s="252" t="n"/>
      <c r="R71" s="252" t="n"/>
      <c r="S71" s="244">
        <f>Q71*R71</f>
        <v/>
      </c>
      <c r="U71" s="249" t="n"/>
      <c r="V71" s="249" t="n"/>
      <c r="W71" s="249" t="n"/>
      <c r="X71" s="249" t="n"/>
      <c r="Y71" s="249" t="n"/>
      <c r="Z71" s="249" t="n"/>
    </row>
    <row r="72" ht="22.2" customHeight="1" s="330">
      <c r="A72" s="4" t="n"/>
      <c r="E72" s="4" t="n"/>
      <c r="G72" s="276" t="n"/>
      <c r="H72" s="276" t="n"/>
      <c r="I72" s="158" t="n"/>
      <c r="J72" s="276" t="n"/>
      <c r="K72" s="476" t="n"/>
      <c r="L72" s="276" t="n"/>
      <c r="M72" s="276" t="n"/>
      <c r="N72" s="276" t="n"/>
      <c r="O72" s="244">
        <f>M72*N72</f>
        <v/>
      </c>
      <c r="P72" s="252" t="n"/>
      <c r="Q72" s="276" t="n"/>
      <c r="R72" s="276" t="n"/>
      <c r="S72" s="244">
        <f>Q72*R72</f>
        <v/>
      </c>
      <c r="T72" s="249" t="n"/>
      <c r="U72" s="249" t="n"/>
      <c r="V72" s="249" t="n"/>
      <c r="W72" s="249" t="n"/>
      <c r="X72" s="249" t="n"/>
      <c r="Y72" s="249" t="n"/>
    </row>
    <row r="73" ht="22.2" customHeight="1" s="330">
      <c r="A73" s="4" t="n"/>
      <c r="B73" s="170" t="n"/>
      <c r="C73" s="171" t="n"/>
      <c r="D73" s="172" t="n"/>
      <c r="E73" s="173" t="n"/>
      <c r="F73" s="172" t="n"/>
      <c r="G73" s="62" t="inlineStr">
        <is>
          <t>ศุกร์</t>
        </is>
      </c>
      <c r="H73" s="486" t="inlineStr">
        <is>
          <t>หยุด</t>
        </is>
      </c>
      <c r="I73" s="334" t="n"/>
      <c r="J73" s="334" t="n"/>
      <c r="K73" s="335" t="n"/>
      <c r="L73" s="252" t="n"/>
      <c r="M73" s="252" t="n"/>
      <c r="N73" s="252" t="n"/>
      <c r="O73" s="244">
        <f>M73*N73</f>
        <v/>
      </c>
      <c r="P73" s="275" t="n"/>
      <c r="Q73" s="265" t="n"/>
      <c r="R73" s="332" t="n"/>
      <c r="S73" s="244">
        <f>Q73*R73</f>
        <v/>
      </c>
      <c r="T73" s="249" t="n"/>
      <c r="U73" s="249" t="n"/>
      <c r="V73" s="249" t="n"/>
      <c r="W73" s="249" t="n"/>
      <c r="X73" s="249" t="n"/>
      <c r="Y73" s="249" t="n"/>
    </row>
    <row r="74" ht="22.2" customHeight="1" s="330">
      <c r="A74" s="4" t="n"/>
      <c r="D74" s="3" t="n"/>
      <c r="E74" s="4" t="n"/>
      <c r="G74" s="308">
        <f>G28</f>
        <v/>
      </c>
      <c r="H74" s="487" t="n"/>
      <c r="K74" s="331" t="n"/>
      <c r="L74" s="252" t="n"/>
      <c r="M74" s="252" t="n"/>
      <c r="N74" s="252" t="n"/>
      <c r="O74" s="244">
        <f>M74*N74</f>
        <v/>
      </c>
      <c r="P74" s="252" t="n"/>
      <c r="Q74" s="252" t="n"/>
      <c r="R74" s="252" t="n"/>
      <c r="S74" s="244">
        <f>Q74*R74</f>
        <v/>
      </c>
      <c r="W74" s="249" t="n"/>
      <c r="X74" s="249" t="n"/>
      <c r="Y74" s="249" t="n"/>
    </row>
    <row r="75" ht="22.2" customHeight="1" s="330">
      <c r="A75" s="4" t="n"/>
      <c r="B75" s="170" t="n"/>
      <c r="C75" s="171" t="n"/>
      <c r="D75" s="172" t="n"/>
      <c r="E75" s="173" t="n"/>
      <c r="F75" s="172" t="n"/>
      <c r="G75" s="252" t="n"/>
      <c r="H75" s="325" t="n"/>
      <c r="I75" s="325" t="n"/>
      <c r="J75" s="252" t="n"/>
      <c r="K75" s="331" t="n"/>
      <c r="L75" s="252" t="n"/>
      <c r="M75" s="252" t="n"/>
      <c r="N75" s="252" t="n"/>
      <c r="O75" s="244">
        <f>M75*N75</f>
        <v/>
      </c>
      <c r="P75" s="252" t="n"/>
      <c r="Q75" s="252" t="n"/>
      <c r="R75" s="252" t="n"/>
      <c r="S75" s="244">
        <f>Q75*R75</f>
        <v/>
      </c>
      <c r="T75" s="249" t="n"/>
      <c r="U75" s="249" t="n"/>
      <c r="V75" s="249" t="n"/>
      <c r="W75" s="249" t="n"/>
      <c r="X75" s="249" t="n"/>
      <c r="Y75" s="249" t="n"/>
    </row>
    <row r="76" ht="22.2" customHeight="1" s="330">
      <c r="A76" s="4" t="n"/>
      <c r="E76" s="4" t="n"/>
      <c r="G76" s="252" t="n"/>
      <c r="H76" s="252" t="n"/>
      <c r="I76" s="325" t="n"/>
      <c r="J76" s="325" t="n"/>
      <c r="K76" s="331" t="n"/>
      <c r="L76" s="252" t="n"/>
      <c r="M76" s="252" t="n"/>
      <c r="N76" s="252" t="n"/>
      <c r="O76" s="244">
        <f>M76*N76</f>
        <v/>
      </c>
      <c r="P76" s="252" t="n"/>
      <c r="Q76" s="252" t="n"/>
      <c r="R76" s="252" t="n"/>
      <c r="S76" s="244">
        <f>Q76*R76</f>
        <v/>
      </c>
      <c r="T76" s="287" t="inlineStr">
        <is>
          <t>สอน ป.ตรี</t>
        </is>
      </c>
    </row>
    <row r="77" ht="22.2" customHeight="1" s="330">
      <c r="A77" s="4" t="n"/>
      <c r="E77" s="4" t="n"/>
      <c r="F77" s="4" t="n"/>
      <c r="G77" s="278" t="n"/>
      <c r="H77" s="252" t="n"/>
      <c r="I77" s="325" t="n"/>
      <c r="J77" s="252" t="n"/>
      <c r="K77" s="331" t="n"/>
      <c r="L77" s="276" t="n"/>
      <c r="M77" s="276" t="n"/>
      <c r="N77" s="276" t="n"/>
      <c r="O77" s="244">
        <f>M77*N77</f>
        <v/>
      </c>
      <c r="P77" s="252" t="n"/>
      <c r="Q77" s="276" t="n"/>
      <c r="R77" s="276" t="n"/>
      <c r="S77" s="244">
        <f>Q77*R77</f>
        <v/>
      </c>
      <c r="T77" s="24" t="n"/>
      <c r="U77" s="24" t="inlineStr">
        <is>
          <t>17.10-20.10</t>
        </is>
      </c>
      <c r="V77" s="65" t="n"/>
      <c r="W77" s="24" t="n"/>
      <c r="X77" s="24" t="n"/>
    </row>
    <row r="78" ht="22.2" customHeight="1" s="330">
      <c r="A78" s="4" t="n"/>
      <c r="E78" s="4" t="n"/>
      <c r="F78" s="4" t="n"/>
      <c r="G78" s="17" t="inlineStr">
        <is>
          <t>รวมขั่วโมงที่สอนแยก ภาระงาน/ เกินภาระงาน</t>
        </is>
      </c>
      <c r="H78" s="467" t="n"/>
      <c r="I78" s="467" t="n"/>
      <c r="J78" s="467" t="n"/>
      <c r="K78" s="362" t="n"/>
      <c r="L78" s="17">
        <f>SUM(L53:L77)</f>
        <v/>
      </c>
      <c r="M78" s="17">
        <f>SUM(M53:M77)</f>
        <v/>
      </c>
      <c r="N78" s="17" t="n"/>
      <c r="O78" s="17" t="n"/>
      <c r="P78" s="17">
        <f>SUM(P53:P77)</f>
        <v/>
      </c>
      <c r="Q78" s="17">
        <f>SUM(Q53:Q77)</f>
        <v/>
      </c>
      <c r="R78" s="279" t="n"/>
      <c r="S78" s="17" t="n"/>
    </row>
    <row r="79" ht="22.2" customHeight="1" s="330">
      <c r="A79" s="4" t="n"/>
      <c r="E79" s="4" t="n"/>
      <c r="F79" s="4" t="n"/>
      <c r="G79" s="17" t="inlineStr">
        <is>
          <t>รวมจำนวนชั่วโมงสอนคาบต่อสับดาห์</t>
        </is>
      </c>
      <c r="H79" s="467" t="n"/>
      <c r="I79" s="467" t="n"/>
      <c r="J79" s="467" t="n"/>
      <c r="K79" s="362" t="n"/>
      <c r="L79" s="17">
        <f>L78+M78</f>
        <v/>
      </c>
      <c r="M79" s="362" t="n"/>
      <c r="N79" s="17" t="n"/>
      <c r="O79" s="298" t="n"/>
      <c r="P79" s="17">
        <f>P78+Q78</f>
        <v/>
      </c>
      <c r="Q79" s="362" t="n"/>
      <c r="R79" s="278" t="n"/>
      <c r="S79" s="276" t="n"/>
    </row>
    <row r="80" ht="22.2" customHeight="1" s="330">
      <c r="A80" s="4" t="n"/>
      <c r="E80" s="4" t="n"/>
      <c r="F80" s="4" t="n"/>
      <c r="G80" s="17" t="inlineStr">
        <is>
          <t>จำนวนชั่วโมงสอนตามภาระงานสอน</t>
        </is>
      </c>
      <c r="H80" s="467" t="n"/>
      <c r="I80" s="467" t="n"/>
      <c r="J80" s="467" t="n"/>
      <c r="K80" s="362" t="n"/>
      <c r="L80" s="17" t="n">
        <v>18</v>
      </c>
      <c r="M80" s="362" t="n"/>
      <c r="N80" s="298" t="n"/>
      <c r="O80" s="17" t="n"/>
      <c r="P80" s="17" t="n">
        <v>0</v>
      </c>
      <c r="Q80" s="362" t="n"/>
      <c r="R80" s="249" t="n"/>
      <c r="S80" s="252" t="n"/>
    </row>
    <row r="81" ht="22.2" customHeight="1" s="330" thickBot="1">
      <c r="A81" s="4" t="n"/>
      <c r="E81" s="4" t="n"/>
      <c r="F81" s="15" t="n"/>
      <c r="G81" s="17" t="inlineStr">
        <is>
          <t>จำนวนชั่วโมงบิกเกินภาระงานสอน/ค่าสอน</t>
        </is>
      </c>
      <c r="H81" s="467" t="n"/>
      <c r="I81" s="467" t="n"/>
      <c r="J81" s="467" t="n"/>
      <c r="K81" s="362" t="n"/>
      <c r="L81" s="18" t="n">
        <v>0</v>
      </c>
      <c r="M81" s="18">
        <f>SUM(M53:M77)</f>
        <v/>
      </c>
      <c r="N81" s="18" t="n"/>
      <c r="O81" s="18">
        <f>SUM(O53:O77)</f>
        <v/>
      </c>
      <c r="P81" s="18" t="n">
        <v>0</v>
      </c>
      <c r="Q81" s="18">
        <f>SUM(Q53:Q77)</f>
        <v/>
      </c>
      <c r="R81" s="19" t="n"/>
      <c r="S81" s="18">
        <f>SUM(S53:S77)</f>
        <v/>
      </c>
    </row>
    <row r="82" ht="22.2" customHeight="1" s="330" thickTop="1">
      <c r="A82" s="299" t="inlineStr">
        <is>
          <t>รวมจำนวนหน่วยชั่วโมงที่ขอเบิกค่าสอน ….</t>
        </is>
      </c>
      <c r="B82" s="467" t="n"/>
      <c r="C82" s="467" t="n"/>
      <c r="D82" s="467" t="n"/>
      <c r="E82" s="467" t="n"/>
      <c r="F82" s="467" t="n"/>
      <c r="G82" s="467" t="n"/>
      <c r="H82" s="298">
        <f>M81+Q81</f>
        <v/>
      </c>
      <c r="I82" s="298" t="inlineStr">
        <is>
          <t>….ชั่วโมง</t>
        </is>
      </c>
      <c r="J82" s="298" t="n"/>
      <c r="K82" s="301" t="inlineStr">
        <is>
          <t>ยอดเงินรวม</t>
        </is>
      </c>
      <c r="L82" s="471" t="n"/>
      <c r="M82" s="471" t="n"/>
      <c r="N82" s="301" t="n"/>
      <c r="O82" s="301" t="n"/>
      <c r="P82" s="302">
        <f>S81+O81</f>
        <v/>
      </c>
      <c r="Q82" s="482" t="n"/>
      <c r="R82" s="21" t="n"/>
      <c r="S82" s="20" t="inlineStr">
        <is>
          <t>..บาท</t>
        </is>
      </c>
    </row>
    <row r="83" ht="22.2" customHeight="1" s="330">
      <c r="A83" s="207" t="inlineStr">
        <is>
          <t>ผู้ขอเบิก</t>
        </is>
      </c>
      <c r="B83" s="334" t="n"/>
      <c r="C83" s="334" t="n"/>
      <c r="D83" s="334" t="n"/>
      <c r="E83" s="334" t="n"/>
      <c r="F83" s="334" t="n"/>
      <c r="G83" s="335" t="n"/>
      <c r="H83" s="207" t="inlineStr">
        <is>
          <t>ผู้รับรอง</t>
        </is>
      </c>
      <c r="I83" s="334" t="n"/>
      <c r="J83" s="334" t="n"/>
      <c r="K83" s="334" t="n"/>
      <c r="L83" s="335" t="n"/>
      <c r="M83" s="207" t="inlineStr">
        <is>
          <t>ผู้ตรวจ</t>
        </is>
      </c>
      <c r="N83" s="334" t="n"/>
      <c r="O83" s="334" t="n"/>
      <c r="P83" s="334" t="n"/>
      <c r="Q83" s="334" t="n"/>
      <c r="R83" s="334" t="n"/>
      <c r="S83" s="335" t="n"/>
      <c r="T83" s="317" t="n"/>
    </row>
    <row r="84" ht="22.2" customHeight="1" s="330">
      <c r="A84" s="252" t="inlineStr">
        <is>
          <t>ลงชื่อ……………………………………………</t>
        </is>
      </c>
      <c r="G84" s="331" t="n"/>
      <c r="H84" s="252" t="inlineStr">
        <is>
          <t>ลงชื่อ……………………………………………</t>
        </is>
      </c>
      <c r="L84" s="331" t="n"/>
      <c r="M84" s="252" t="inlineStr">
        <is>
          <t>ลงชื่อ……………………………………………</t>
        </is>
      </c>
      <c r="S84" s="331" t="n"/>
    </row>
    <row r="85" ht="22.2" customHeight="1" s="330">
      <c r="A85" s="12" t="inlineStr">
        <is>
          <t>(</t>
        </is>
      </c>
      <c r="B85" s="309">
        <f>B53</f>
        <v/>
      </c>
      <c r="G85" s="310" t="inlineStr">
        <is>
          <t>)</t>
        </is>
      </c>
      <c r="H85" s="309" t="inlineStr">
        <is>
          <t>(</t>
        </is>
      </c>
      <c r="I85" s="314">
        <f>I39</f>
        <v/>
      </c>
      <c r="L85" s="13" t="inlineStr">
        <is>
          <t>)</t>
        </is>
      </c>
      <c r="M85" s="61" t="inlineStr">
        <is>
          <t>(</t>
        </is>
      </c>
      <c r="N85" s="61" t="n"/>
      <c r="O85" s="309" t="inlineStr">
        <is>
          <t>นายทศวรรษ  คำสม</t>
        </is>
      </c>
      <c r="R85" s="29" t="n"/>
      <c r="S85" s="310" t="inlineStr">
        <is>
          <t>)</t>
        </is>
      </c>
    </row>
    <row r="86" ht="22.2" customHeight="1" s="330">
      <c r="A86" s="483" t="inlineStr">
        <is>
          <t xml:space="preserve">                    ตำแหน่ง  พนักงานราชการ</t>
        </is>
      </c>
      <c r="G86" s="331" t="n"/>
      <c r="H86" s="62" t="inlineStr">
        <is>
          <t>ตำแหน่ง หัวหน้าแผนก</t>
        </is>
      </c>
      <c r="L86" s="331" t="n"/>
      <c r="M86" s="62" t="inlineStr">
        <is>
          <t>ตำแหน่ง   ผู้ตรวจสอบ</t>
        </is>
      </c>
      <c r="S86" s="331" t="n"/>
    </row>
    <row r="87" ht="22.2" customHeight="1" s="330">
      <c r="A87" s="63">
        <f>A41</f>
        <v/>
      </c>
      <c r="B87" s="471" t="n"/>
      <c r="C87" s="471" t="n"/>
      <c r="D87" s="471" t="n"/>
      <c r="E87" s="471" t="n"/>
      <c r="F87" s="471" t="n"/>
      <c r="G87" s="476" t="n"/>
      <c r="H87" s="62">
        <f>A41</f>
        <v/>
      </c>
      <c r="L87" s="331" t="n"/>
      <c r="M87" s="63">
        <f>A41</f>
        <v/>
      </c>
      <c r="N87" s="471" t="n"/>
      <c r="O87" s="471" t="n"/>
      <c r="P87" s="471" t="n"/>
      <c r="Q87" s="471" t="n"/>
      <c r="R87" s="471" t="n"/>
      <c r="S87" s="476" t="n"/>
    </row>
    <row r="88" ht="22.2" customHeight="1" s="330">
      <c r="A88" s="207" t="inlineStr">
        <is>
          <t>ผู้ตรวจ</t>
        </is>
      </c>
      <c r="B88" s="334" t="n"/>
      <c r="C88" s="334" t="n"/>
      <c r="D88" s="334" t="n"/>
      <c r="E88" s="334" t="n"/>
      <c r="F88" s="334" t="n"/>
      <c r="G88" s="334" t="n"/>
      <c r="H88" s="334" t="n"/>
      <c r="I88" s="335" t="n"/>
      <c r="J88" s="207" t="inlineStr">
        <is>
          <t>ผู้เห็นชอบ</t>
        </is>
      </c>
      <c r="K88" s="334" t="n"/>
      <c r="L88" s="334" t="n"/>
      <c r="M88" s="334" t="n"/>
      <c r="N88" s="334" t="n"/>
      <c r="O88" s="334" t="n"/>
      <c r="P88" s="334" t="n"/>
      <c r="Q88" s="334" t="n"/>
      <c r="R88" s="334" t="n"/>
      <c r="S88" s="335" t="n"/>
    </row>
    <row r="89" ht="22.2" customHeight="1" s="330">
      <c r="A89" s="252" t="inlineStr">
        <is>
          <t>ลงชื่อ……………………………………………</t>
        </is>
      </c>
      <c r="I89" s="331" t="n"/>
      <c r="J89" s="252" t="inlineStr">
        <is>
          <t>ลงชื่อ……………………………………………</t>
        </is>
      </c>
      <c r="S89" s="331" t="n"/>
    </row>
    <row r="90" ht="22.2" customHeight="1" s="330">
      <c r="A90" s="12" t="n"/>
      <c r="B90" s="309" t="inlineStr">
        <is>
          <t xml:space="preserve">                     (นายชัยณรงค์  สุขอิ่ม)</t>
        </is>
      </c>
      <c r="I90" s="310" t="n"/>
      <c r="J90" s="29" t="n"/>
      <c r="K90" s="29" t="n"/>
      <c r="L90" s="309" t="inlineStr">
        <is>
          <t xml:space="preserve">           (นายปรีชา  โพธิ์เกิด)</t>
        </is>
      </c>
      <c r="R90" s="29" t="n"/>
      <c r="S90" s="13" t="n"/>
    </row>
    <row r="91" ht="22.2" customHeight="1" s="330">
      <c r="A91" s="62" t="inlineStr">
        <is>
          <t>ตำแหน่งครู  หัวหน้างานพัฒนาหลักสูตร ฯ</t>
        </is>
      </c>
      <c r="I91" s="331" t="n"/>
      <c r="J91" s="62" t="inlineStr">
        <is>
          <t>ตำแหน่ง  รองผู้อำนวยการฝ่ายวิชาการ</t>
        </is>
      </c>
      <c r="S91" s="331" t="n"/>
    </row>
    <row r="92" ht="22.2" customHeight="1" s="330">
      <c r="A92" s="276" t="inlineStr">
        <is>
          <t>วันที่.......เดือน..........................พ.ศ..............</t>
        </is>
      </c>
      <c r="B92" s="471" t="n"/>
      <c r="C92" s="471" t="n"/>
      <c r="D92" s="471" t="n"/>
      <c r="E92" s="471" t="n"/>
      <c r="F92" s="471" t="n"/>
      <c r="G92" s="471" t="n"/>
      <c r="H92" s="471" t="n"/>
      <c r="I92" s="476" t="n"/>
      <c r="J92" s="276" t="inlineStr">
        <is>
          <t>วันที่.......เดือน..........................พ.ศ..............</t>
        </is>
      </c>
      <c r="K92" s="471" t="n"/>
      <c r="L92" s="471" t="n"/>
      <c r="M92" s="471" t="n"/>
      <c r="N92" s="471" t="n"/>
      <c r="O92" s="471" t="n"/>
      <c r="P92" s="471" t="n"/>
      <c r="Q92" s="471" t="n"/>
      <c r="R92" s="471" t="n"/>
      <c r="S92" s="476" t="n"/>
    </row>
    <row r="93" ht="22.2" customHeight="1" s="330">
      <c r="A9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4" ht="22.2" customHeight="1" s="330">
      <c r="A94" s="254">
        <f>A2</f>
        <v/>
      </c>
    </row>
    <row r="95" ht="22.2" customHeight="1" s="330">
      <c r="A95" s="253" t="inlineStr">
        <is>
          <t xml:space="preserve">    ระหว่างวันที่</t>
        </is>
      </c>
      <c r="D95" s="254">
        <f>D3</f>
        <v/>
      </c>
      <c r="E95" s="254" t="inlineStr">
        <is>
          <t xml:space="preserve">   เดือน  </t>
        </is>
      </c>
      <c r="F95" s="254">
        <f>F3</f>
        <v/>
      </c>
      <c r="H95" s="254">
        <f>H3</f>
        <v/>
      </c>
      <c r="I95" s="254" t="inlineStr">
        <is>
          <t xml:space="preserve">     ถึง วันที่</t>
        </is>
      </c>
      <c r="J95" s="254">
        <f>J3</f>
        <v/>
      </c>
      <c r="K95" s="254" t="inlineStr">
        <is>
          <t xml:space="preserve">   เดือน </t>
        </is>
      </c>
      <c r="L95" s="254">
        <f>L3</f>
        <v/>
      </c>
      <c r="N95" s="254">
        <f>N3</f>
        <v/>
      </c>
      <c r="P95" s="254" t="n"/>
      <c r="R95" s="254" t="n"/>
    </row>
    <row r="96" ht="22.2" customHeight="1" s="330">
      <c r="G96" s="58" t="inlineStr">
        <is>
          <t>ü</t>
        </is>
      </c>
      <c r="H96" s="290" t="inlineStr">
        <is>
          <t>ครู</t>
        </is>
      </c>
      <c r="I96" s="249" t="inlineStr">
        <is>
          <t>หน้าที่พิเศษ</t>
        </is>
      </c>
      <c r="J96" s="8" t="inlineStr">
        <is>
          <t>หัวหน้างานบุคลากร</t>
        </is>
      </c>
    </row>
    <row r="97" ht="22.2" customHeight="1" s="330">
      <c r="A97" s="28" t="inlineStr">
        <is>
          <t>ที่</t>
        </is>
      </c>
      <c r="B97" s="28" t="inlineStr">
        <is>
          <t>ชื่อ-สกุล</t>
        </is>
      </c>
      <c r="C97" s="334" t="n"/>
      <c r="D97" s="335" t="n"/>
      <c r="E97" s="16" t="inlineStr">
        <is>
          <t>ตำแหน่ง</t>
        </is>
      </c>
      <c r="F97" s="17" t="inlineStr">
        <is>
          <t>ระยะเวลาที่สอน</t>
        </is>
      </c>
      <c r="G97" s="362" t="n"/>
      <c r="H97" s="17" t="inlineStr">
        <is>
          <t>รหัสวิชา</t>
        </is>
      </c>
      <c r="I97" s="275" t="inlineStr">
        <is>
          <t>ชั้น,แผนก,ห้อง</t>
        </is>
      </c>
      <c r="J97" s="17" t="inlineStr">
        <is>
          <t>เวลาสอน</t>
        </is>
      </c>
      <c r="K97" s="335" t="n"/>
      <c r="L97" s="17" t="inlineStr">
        <is>
          <t>ปวช.(คาบ)</t>
        </is>
      </c>
      <c r="M97" s="362" t="n"/>
      <c r="N97" s="244" t="inlineStr">
        <is>
          <t>เงิน</t>
        </is>
      </c>
      <c r="O97" s="275" t="inlineStr">
        <is>
          <t>ยอดเงิน</t>
        </is>
      </c>
      <c r="P97" s="473" t="inlineStr">
        <is>
          <t>ปวส.(คาบ)</t>
        </is>
      </c>
      <c r="Q97" s="362" t="n"/>
      <c r="R97" s="244" t="inlineStr">
        <is>
          <t>เงิน</t>
        </is>
      </c>
      <c r="S97" s="275" t="inlineStr">
        <is>
          <t>ยอดเงิน</t>
        </is>
      </c>
    </row>
    <row r="98" ht="22.2" customHeight="1" s="330">
      <c r="A98" s="60" t="n"/>
      <c r="B98" s="9" t="n"/>
      <c r="C98" s="10" t="n"/>
      <c r="D98" s="14" t="n"/>
      <c r="E98" s="11" t="n"/>
      <c r="F98" s="276" t="inlineStr">
        <is>
          <t>ส.</t>
        </is>
      </c>
      <c r="G98" s="276" t="inlineStr">
        <is>
          <t>วดป.</t>
        </is>
      </c>
      <c r="H98" s="474" t="n"/>
      <c r="I98" s="276" t="n"/>
      <c r="J98" s="475" t="n"/>
      <c r="K98" s="476" t="n"/>
      <c r="L98" s="276" t="inlineStr">
        <is>
          <t>ใน</t>
        </is>
      </c>
      <c r="M98" s="276" t="inlineStr">
        <is>
          <t>นอก</t>
        </is>
      </c>
      <c r="N98" s="276" t="inlineStr">
        <is>
          <t>ต่อ ชม.</t>
        </is>
      </c>
      <c r="O98" s="276" t="inlineStr">
        <is>
          <t>(บาท)</t>
        </is>
      </c>
      <c r="P98" s="60" t="inlineStr">
        <is>
          <t>ใน</t>
        </is>
      </c>
      <c r="Q98" s="60" t="inlineStr">
        <is>
          <t>นอก</t>
        </is>
      </c>
      <c r="R98" s="276" t="inlineStr">
        <is>
          <t>ต่อ ชม.</t>
        </is>
      </c>
      <c r="S98" s="276" t="inlineStr">
        <is>
          <t>(บาท)</t>
        </is>
      </c>
    </row>
    <row r="99" ht="22.2" customHeight="1" s="330">
      <c r="A99" s="275" t="n">
        <v>3</v>
      </c>
      <c r="B99" s="477">
        <f>AB5</f>
        <v/>
      </c>
      <c r="C99" s="334" t="n"/>
      <c r="D99" s="335" t="n"/>
      <c r="E99" s="275" t="inlineStr">
        <is>
          <t>ครู</t>
        </is>
      </c>
      <c r="F99" s="6">
        <f>F7</f>
        <v/>
      </c>
      <c r="G99" s="303" t="inlineStr">
        <is>
          <t>จันทร์</t>
        </is>
      </c>
      <c r="H99" s="332" t="inlineStr">
        <is>
          <t>20101-2010</t>
        </is>
      </c>
      <c r="I99" s="325" t="inlineStr">
        <is>
          <t>ปวช.2/2 ชย. (ปกติ)</t>
        </is>
      </c>
      <c r="J99" s="252" t="inlineStr">
        <is>
          <t>13.10-17.10</t>
        </is>
      </c>
      <c r="K99" s="331" t="n"/>
      <c r="L99" s="265" t="n"/>
      <c r="M99" s="332" t="n"/>
      <c r="N99" s="332" t="n"/>
      <c r="O99" s="244">
        <f>M99*N99</f>
        <v/>
      </c>
      <c r="P99" s="332" t="n"/>
      <c r="Q99" s="265" t="n"/>
      <c r="R99" s="332" t="n"/>
      <c r="S99" s="244">
        <f>Q99*R99</f>
        <v/>
      </c>
    </row>
    <row r="100" ht="22.2" customHeight="1" s="330">
      <c r="A100" s="4" t="n"/>
      <c r="B100" s="478" t="n"/>
      <c r="D100" s="331" t="n"/>
      <c r="E100" s="252" t="n"/>
      <c r="F100" s="249" t="n"/>
      <c r="G100" s="308">
        <f>G54</f>
        <v/>
      </c>
      <c r="H100" s="210" t="n"/>
      <c r="I100" s="210" t="n"/>
      <c r="J100" s="210" t="n"/>
      <c r="K100" s="331" t="n"/>
      <c r="L100" s="252" t="n"/>
      <c r="M100" s="252" t="n"/>
      <c r="N100" s="252" t="n"/>
      <c r="O100" s="244">
        <f>M100*N100</f>
        <v/>
      </c>
      <c r="P100" s="252" t="n"/>
      <c r="Q100" s="252" t="n"/>
      <c r="R100" s="252" t="n"/>
      <c r="S100" s="244">
        <f>Q100*R100</f>
        <v/>
      </c>
    </row>
    <row r="101" ht="22.2" customHeight="1" s="330">
      <c r="A101" s="4" t="n"/>
      <c r="B101" s="5" t="n"/>
      <c r="D101" s="52" t="n"/>
      <c r="E101" s="3" t="n"/>
      <c r="F101" s="249" t="n"/>
      <c r="G101" s="308" t="n"/>
      <c r="H101" s="1" t="n"/>
      <c r="I101" s="1" t="n"/>
      <c r="J101" s="1" t="n"/>
      <c r="K101" s="331" t="n"/>
      <c r="L101" s="252" t="n"/>
      <c r="M101" s="252" t="n"/>
      <c r="N101" s="252" t="n"/>
      <c r="O101" s="244">
        <f>M101*N101</f>
        <v/>
      </c>
      <c r="P101" s="252" t="n"/>
      <c r="Q101" s="252" t="n"/>
      <c r="R101" s="252" t="n"/>
      <c r="S101" s="244">
        <f>Q101*R101</f>
        <v/>
      </c>
    </row>
    <row r="102" ht="22.2" customHeight="1" s="330">
      <c r="A102" s="4" t="n"/>
      <c r="B102" s="5" t="n"/>
      <c r="D102" s="70" t="n"/>
      <c r="E102" s="4" t="n"/>
      <c r="F102" s="249" t="n"/>
      <c r="G102" s="308" t="n"/>
      <c r="H102" s="252" t="n"/>
      <c r="I102" s="1" t="n"/>
      <c r="J102" s="1" t="n"/>
      <c r="K102" s="331" t="n"/>
      <c r="L102" s="252" t="n"/>
      <c r="M102" s="252" t="n"/>
      <c r="N102" s="252" t="n"/>
      <c r="O102" s="244">
        <f>M102*N102</f>
        <v/>
      </c>
      <c r="P102" s="252" t="n"/>
      <c r="Q102" s="252" t="n"/>
      <c r="R102" s="252" t="n"/>
      <c r="S102" s="244">
        <f>Q102*R102</f>
        <v/>
      </c>
    </row>
    <row r="103" ht="22.2" customHeight="1" s="330">
      <c r="A103" s="4" t="n"/>
      <c r="E103" s="4" t="n"/>
      <c r="G103" s="63" t="n"/>
      <c r="H103" s="276" t="n"/>
      <c r="I103" s="276" t="n"/>
      <c r="J103" s="276" t="n"/>
      <c r="K103" s="476" t="n"/>
      <c r="L103" s="252" t="n"/>
      <c r="M103" s="252" t="n"/>
      <c r="N103" s="252" t="n"/>
      <c r="O103" s="244">
        <f>M103*N103</f>
        <v/>
      </c>
      <c r="P103" s="252" t="n"/>
      <c r="Q103" s="252" t="n"/>
      <c r="R103" s="252" t="n"/>
      <c r="S103" s="244">
        <f>Q103*R103</f>
        <v/>
      </c>
    </row>
    <row r="104" ht="22.2" customHeight="1" s="330">
      <c r="A104" s="4" t="n"/>
      <c r="E104" s="4" t="n"/>
      <c r="G104" s="62" t="inlineStr">
        <is>
          <t>อังคาร</t>
        </is>
      </c>
      <c r="H104" s="332" t="inlineStr">
        <is>
          <t>20101-2010</t>
        </is>
      </c>
      <c r="I104" s="325" t="inlineStr">
        <is>
          <t>ปวช.2/3 ชย. (ปกติ)</t>
        </is>
      </c>
      <c r="J104" s="332" t="inlineStr">
        <is>
          <t>08.10-12.10</t>
        </is>
      </c>
      <c r="K104" s="335" t="n"/>
      <c r="L104" s="265" t="n"/>
      <c r="M104" s="332" t="n"/>
      <c r="N104" s="332" t="n"/>
      <c r="O104" s="244">
        <f>M104*N104</f>
        <v/>
      </c>
      <c r="P104" s="332" t="n"/>
      <c r="Q104" s="265" t="n"/>
      <c r="R104" s="332" t="n"/>
      <c r="S104" s="244">
        <f>Q104*R104</f>
        <v/>
      </c>
      <c r="T104" s="287" t="inlineStr">
        <is>
          <t>สอน ป.ตรี</t>
        </is>
      </c>
    </row>
    <row r="105" ht="22.2" customHeight="1" s="330">
      <c r="A105" s="4" t="n"/>
      <c r="E105" s="4" t="n"/>
      <c r="G105" s="308">
        <f>G59</f>
        <v/>
      </c>
      <c r="H105" s="325" t="n"/>
      <c r="I105" s="325" t="n"/>
      <c r="J105" s="252" t="n"/>
      <c r="K105" s="331" t="n"/>
      <c r="L105" s="252" t="n"/>
      <c r="M105" s="252" t="n"/>
      <c r="N105" s="252" t="n"/>
      <c r="O105" s="244">
        <f>M105*N105</f>
        <v/>
      </c>
      <c r="P105" s="252" t="n"/>
      <c r="Q105" s="252" t="n"/>
      <c r="R105" s="252" t="n"/>
      <c r="S105" s="244">
        <f>Q105*R105</f>
        <v/>
      </c>
      <c r="T105" s="24" t="n"/>
      <c r="U105" s="24" t="inlineStr">
        <is>
          <t>17.10-20.10</t>
        </is>
      </c>
      <c r="V105" s="65" t="n"/>
      <c r="W105" s="24" t="n"/>
      <c r="X105" s="24" t="n"/>
    </row>
    <row r="106" ht="22.2" customHeight="1" s="330">
      <c r="A106" s="4" t="n"/>
      <c r="B106" s="5" t="n"/>
      <c r="D106" s="3" t="n"/>
      <c r="E106" s="3" t="n"/>
      <c r="G106" s="252" t="n"/>
      <c r="H106" s="325" t="n"/>
      <c r="I106" s="325" t="n"/>
      <c r="J106" s="252" t="n"/>
      <c r="K106" s="331" t="n"/>
      <c r="L106" s="252" t="n"/>
      <c r="M106" s="252" t="n"/>
      <c r="N106" s="252" t="n"/>
      <c r="O106" s="244">
        <f>M106*N106</f>
        <v/>
      </c>
      <c r="P106" s="252" t="n"/>
      <c r="Q106" s="252" t="n"/>
      <c r="R106" s="252" t="n"/>
      <c r="S106" s="244">
        <f>Q106*R106</f>
        <v/>
      </c>
    </row>
    <row r="107" ht="22.2" customHeight="1" s="330">
      <c r="A107" s="4" t="n"/>
      <c r="B107" s="5" t="n"/>
      <c r="D107" s="3" t="n"/>
      <c r="E107" s="3" t="n"/>
      <c r="G107" s="62" t="n"/>
      <c r="H107" s="252" t="n"/>
      <c r="I107" s="252" t="n"/>
      <c r="J107" s="252" t="n"/>
      <c r="K107" s="331" t="n"/>
      <c r="L107" s="252" t="n"/>
      <c r="M107" s="252" t="n"/>
      <c r="N107" s="252" t="n"/>
      <c r="O107" s="244">
        <f>M107*N107</f>
        <v/>
      </c>
      <c r="P107" s="252" t="n"/>
      <c r="Q107" s="252" t="n"/>
      <c r="R107" s="252" t="n"/>
      <c r="S107" s="244">
        <f>Q107*R107</f>
        <v/>
      </c>
    </row>
    <row r="108" ht="22.2" customHeight="1" s="330">
      <c r="A108" s="4" t="n"/>
      <c r="B108" s="5" t="n"/>
      <c r="E108" s="4" t="n"/>
      <c r="G108" s="63" t="n"/>
      <c r="H108" s="276" t="n"/>
      <c r="I108" s="276" t="n"/>
      <c r="J108" s="276" t="n"/>
      <c r="K108" s="476" t="n"/>
      <c r="L108" s="252" t="n"/>
      <c r="M108" s="252" t="n"/>
      <c r="N108" s="252" t="n"/>
      <c r="O108" s="244">
        <f>M108*N108</f>
        <v/>
      </c>
      <c r="P108" s="252" t="n"/>
      <c r="Q108" s="252" t="n"/>
      <c r="R108" s="252" t="n"/>
      <c r="S108" s="244">
        <f>Q108*R108</f>
        <v/>
      </c>
    </row>
    <row r="109" ht="22.2" customHeight="1" s="330">
      <c r="A109" s="4" t="n"/>
      <c r="E109" s="4" t="n"/>
      <c r="G109" s="308" t="inlineStr">
        <is>
          <t>พุธ</t>
        </is>
      </c>
      <c r="H109" s="332" t="inlineStr">
        <is>
          <t>20101-2010</t>
        </is>
      </c>
      <c r="I109" s="325" t="inlineStr">
        <is>
          <t>ปวช.3/9 ชย. (ทวิ)</t>
        </is>
      </c>
      <c r="J109" s="332" t="inlineStr">
        <is>
          <t>08.10-12.10</t>
        </is>
      </c>
      <c r="K109" s="335" t="n"/>
      <c r="L109" s="265" t="n"/>
      <c r="M109" s="332" t="n"/>
      <c r="N109" s="332" t="n"/>
      <c r="O109" s="244">
        <f>M109*N109</f>
        <v/>
      </c>
      <c r="P109" s="332" t="n"/>
      <c r="Q109" s="265" t="n"/>
      <c r="R109" s="332" t="n"/>
      <c r="S109" s="244">
        <f>Q109*R109</f>
        <v/>
      </c>
    </row>
    <row r="110" ht="22.2" customHeight="1" s="330">
      <c r="A110" s="4" t="n"/>
      <c r="E110" s="4" t="n"/>
      <c r="G110" s="308">
        <f>G64</f>
        <v/>
      </c>
      <c r="H110" s="325" t="inlineStr">
        <is>
          <t>20101-2010</t>
        </is>
      </c>
      <c r="I110" s="325" t="inlineStr">
        <is>
          <t>ปวช.3/10 ชย. (ทวิ)</t>
        </is>
      </c>
      <c r="J110" s="252" t="inlineStr">
        <is>
          <t>13.10-17.10</t>
        </is>
      </c>
      <c r="K110" s="331" t="n"/>
      <c r="L110" s="252" t="n"/>
      <c r="M110" s="252" t="n"/>
      <c r="N110" s="252" t="n"/>
      <c r="O110" s="244">
        <f>M110*N110</f>
        <v/>
      </c>
      <c r="P110" s="252" t="n"/>
      <c r="Q110" s="252" t="n"/>
      <c r="R110" s="252" t="n"/>
      <c r="S110" s="244">
        <f>Q110*R110</f>
        <v/>
      </c>
    </row>
    <row r="111" ht="22.2" customHeight="1" s="330">
      <c r="A111" s="4" t="n"/>
      <c r="E111" s="4" t="n"/>
      <c r="G111" s="252" t="n"/>
      <c r="H111" s="325" t="n"/>
      <c r="I111" s="325" t="n"/>
      <c r="J111" s="325" t="n"/>
      <c r="K111" s="331" t="n"/>
      <c r="L111" s="252" t="n"/>
      <c r="M111" s="252" t="n"/>
      <c r="N111" s="252" t="n"/>
      <c r="O111" s="244">
        <f>M111*N111</f>
        <v/>
      </c>
      <c r="P111" s="252" t="n"/>
      <c r="Q111" s="252" t="n"/>
      <c r="R111" s="252" t="n"/>
      <c r="S111" s="244">
        <f>Q111*R111</f>
        <v/>
      </c>
    </row>
    <row r="112" ht="22.2" customHeight="1" s="330">
      <c r="A112" s="4" t="n"/>
      <c r="B112" s="5" t="n"/>
      <c r="D112" s="3" t="n"/>
      <c r="E112" s="3" t="n"/>
      <c r="G112" s="248" t="n"/>
      <c r="H112" s="252" t="n"/>
      <c r="I112" s="325" t="n"/>
      <c r="J112" s="252" t="n"/>
      <c r="K112" s="331" t="n"/>
      <c r="L112" s="252" t="n"/>
      <c r="M112" s="252" t="n"/>
      <c r="N112" s="252" t="n"/>
      <c r="O112" s="244">
        <f>M112*N112</f>
        <v/>
      </c>
      <c r="P112" s="252" t="n"/>
      <c r="Q112" s="252" t="n"/>
      <c r="R112" s="252" t="n"/>
      <c r="S112" s="244">
        <f>Q112*R112</f>
        <v/>
      </c>
    </row>
    <row r="113" ht="22.2" customHeight="1" s="330">
      <c r="A113" s="4" t="n"/>
      <c r="E113" s="4" t="n"/>
      <c r="G113" s="277" t="n"/>
      <c r="H113" s="277" t="n"/>
      <c r="I113" s="276" t="n"/>
      <c r="J113" s="276" t="n"/>
      <c r="K113" s="476" t="n"/>
      <c r="L113" s="276" t="n"/>
      <c r="M113" s="276" t="n"/>
      <c r="N113" s="276" t="n"/>
      <c r="O113" s="244">
        <f>M113*N113</f>
        <v/>
      </c>
      <c r="P113" s="276" t="n"/>
      <c r="Q113" s="276" t="n"/>
      <c r="R113" s="276" t="n"/>
      <c r="S113" s="244">
        <f>Q113*R113</f>
        <v/>
      </c>
    </row>
    <row r="114" ht="22.2" customHeight="1" s="330">
      <c r="A114" s="4" t="n"/>
      <c r="D114" s="8" t="inlineStr">
        <is>
          <t> </t>
        </is>
      </c>
      <c r="E114" s="4" t="n"/>
      <c r="G114" s="62" t="inlineStr">
        <is>
          <t>พฤหัส</t>
        </is>
      </c>
      <c r="H114" s="325" t="inlineStr">
        <is>
          <t>20101-5102</t>
        </is>
      </c>
      <c r="I114" s="325" t="inlineStr">
        <is>
          <t>ปวช.2/10 ชย. (ทวิ)</t>
        </is>
      </c>
      <c r="J114" s="275" t="inlineStr">
        <is>
          <t>08.10-12.10</t>
        </is>
      </c>
      <c r="K114" s="335" t="n"/>
      <c r="L114" s="252" t="n"/>
      <c r="M114" s="252" t="n"/>
      <c r="N114" s="252" t="n"/>
      <c r="O114" s="244">
        <f>M114*N114</f>
        <v/>
      </c>
      <c r="P114" s="252" t="n"/>
      <c r="Q114" s="275" t="n"/>
      <c r="R114" s="275" t="n"/>
      <c r="S114" s="244">
        <f>Q114*R114</f>
        <v/>
      </c>
      <c r="T114" s="287" t="inlineStr">
        <is>
          <t>สอน ป.ตรี</t>
        </is>
      </c>
    </row>
    <row r="115" ht="22.2" customHeight="1" s="330">
      <c r="A115" s="4" t="n"/>
      <c r="E115" s="4" t="n"/>
      <c r="G115" s="308">
        <f>G69</f>
        <v/>
      </c>
      <c r="H115" s="325" t="inlineStr">
        <is>
          <t>20000*2005</t>
        </is>
      </c>
      <c r="I115" s="325" t="inlineStr">
        <is>
          <t>ปวช.3/1,2 ชย. (ปกติ)</t>
        </is>
      </c>
      <c r="J115" s="252" t="inlineStr">
        <is>
          <t>13.10-15.10</t>
        </is>
      </c>
      <c r="K115" s="331" t="n"/>
      <c r="L115" s="252" t="n"/>
      <c r="M115" s="252" t="n"/>
      <c r="N115" s="252" t="n"/>
      <c r="O115" s="244">
        <f>M115*N115</f>
        <v/>
      </c>
      <c r="P115" s="252" t="n"/>
      <c r="Q115" s="252" t="n"/>
      <c r="R115" s="252" t="n"/>
      <c r="S115" s="244">
        <f>Q115*R115</f>
        <v/>
      </c>
      <c r="T115" s="24" t="n"/>
      <c r="U115" s="24" t="inlineStr">
        <is>
          <t>17.10-20.10</t>
        </is>
      </c>
      <c r="V115" s="65" t="n"/>
      <c r="W115" s="24" t="n"/>
      <c r="X115" s="24" t="n"/>
    </row>
    <row r="116" ht="22.2" customHeight="1" s="330">
      <c r="A116" s="4" t="n"/>
      <c r="B116" s="5" t="n"/>
      <c r="E116" s="4" t="n"/>
      <c r="G116" s="252" t="n"/>
      <c r="H116" s="325" t="inlineStr">
        <is>
          <t>20101-5102</t>
        </is>
      </c>
      <c r="I116" s="325" t="inlineStr">
        <is>
          <t>ปวช.2/10 ชย. (ทวิ)</t>
        </is>
      </c>
      <c r="J116" s="252" t="inlineStr">
        <is>
          <t>15.10-18.10</t>
        </is>
      </c>
      <c r="K116" s="331" t="n"/>
      <c r="L116" s="325" t="n"/>
      <c r="M116" s="325" t="n"/>
      <c r="N116" s="325" t="n"/>
      <c r="O116" s="244">
        <f>M116*N116</f>
        <v/>
      </c>
      <c r="P116" s="325" t="n"/>
      <c r="Q116" s="325" t="n"/>
      <c r="R116" s="325" t="n"/>
      <c r="S116" s="244">
        <f>Q116*R116</f>
        <v/>
      </c>
    </row>
    <row r="117" ht="22.2" customHeight="1" s="330">
      <c r="A117" s="4" t="n"/>
      <c r="E117" s="4" t="n"/>
      <c r="G117" s="252" t="n"/>
      <c r="H117" s="252" t="n"/>
      <c r="I117" s="252" t="n"/>
      <c r="J117" s="252" t="n"/>
      <c r="K117" s="331" t="n"/>
      <c r="L117" s="252" t="n"/>
      <c r="M117" s="252" t="n"/>
      <c r="N117" s="252" t="n"/>
      <c r="O117" s="244">
        <f>M117*N117</f>
        <v/>
      </c>
      <c r="P117" s="252" t="n"/>
      <c r="Q117" s="252" t="n"/>
      <c r="R117" s="252" t="n"/>
      <c r="S117" s="244">
        <f>Q117*R117</f>
        <v/>
      </c>
    </row>
    <row r="118" ht="22.2" customHeight="1" s="330">
      <c r="A118" s="4" t="n"/>
      <c r="E118" s="4" t="n"/>
      <c r="G118" s="276" t="n"/>
      <c r="H118" s="301" t="n"/>
      <c r="I118" s="276" t="n"/>
      <c r="J118" s="276" t="n"/>
      <c r="K118" s="476" t="n"/>
      <c r="L118" s="276" t="n"/>
      <c r="M118" s="276" t="n"/>
      <c r="N118" s="276" t="n"/>
      <c r="O118" s="244">
        <f>M118*N118</f>
        <v/>
      </c>
      <c r="P118" s="276" t="n"/>
      <c r="Q118" s="276" t="n"/>
      <c r="R118" s="276" t="n"/>
      <c r="S118" s="244">
        <f>Q118*R118</f>
        <v/>
      </c>
    </row>
    <row r="119" ht="22.2" customHeight="1" s="330">
      <c r="A119" s="4" t="n"/>
      <c r="E119" s="4" t="n"/>
      <c r="G119" s="62" t="inlineStr">
        <is>
          <t>ศุกร์</t>
        </is>
      </c>
      <c r="H119" s="325" t="n"/>
      <c r="I119" s="325" t="n"/>
      <c r="J119" s="325" t="n"/>
      <c r="K119" s="331" t="n"/>
      <c r="L119" s="332" t="n"/>
      <c r="M119" s="275" t="n"/>
      <c r="N119" s="275" t="n"/>
      <c r="O119" s="244">
        <f>M119*N119</f>
        <v/>
      </c>
      <c r="P119" s="332" t="n"/>
      <c r="Q119" s="332" t="n"/>
      <c r="R119" s="332" t="n"/>
      <c r="S119" s="244">
        <f>Q119*R119</f>
        <v/>
      </c>
      <c r="T119" s="25" t="n"/>
      <c r="U119" s="26" t="inlineStr">
        <is>
          <t xml:space="preserve">     PLC</t>
        </is>
      </c>
      <c r="V119" s="64" t="n"/>
      <c r="W119" s="27" t="n"/>
      <c r="X119" s="27" t="n"/>
    </row>
    <row r="120" ht="22.2" customHeight="1" s="330">
      <c r="A120" s="4" t="n"/>
      <c r="E120" s="4" t="n"/>
      <c r="G120" s="308">
        <f>G74</f>
        <v/>
      </c>
      <c r="H120" s="325" t="n"/>
      <c r="I120" s="325" t="n"/>
      <c r="J120" s="325" t="n"/>
      <c r="K120" s="331" t="n"/>
      <c r="L120" s="252" t="n"/>
      <c r="M120" s="252" t="n"/>
      <c r="N120" s="252" t="n"/>
      <c r="O120" s="244">
        <f>M120*N120</f>
        <v/>
      </c>
      <c r="P120" s="252" t="n"/>
      <c r="Q120" s="252" t="n"/>
      <c r="R120" s="252" t="n"/>
      <c r="S120" s="244">
        <f>Q120*R120</f>
        <v/>
      </c>
      <c r="T120" s="27" t="inlineStr">
        <is>
          <t> </t>
        </is>
      </c>
      <c r="U120" s="26" t="inlineStr">
        <is>
          <t>17.10-19.10</t>
        </is>
      </c>
      <c r="V120" s="64" t="n"/>
      <c r="W120" s="27" t="n"/>
      <c r="X120" s="27" t="n"/>
    </row>
    <row r="121" ht="22.2" customHeight="1" s="330">
      <c r="A121" s="4" t="n"/>
      <c r="E121" s="4" t="n"/>
      <c r="G121" s="252" t="n"/>
      <c r="H121" s="56" t="n"/>
      <c r="I121" s="331" t="n"/>
      <c r="J121" s="484" t="n"/>
      <c r="K121" s="331" t="n"/>
      <c r="L121" s="252" t="n"/>
      <c r="M121" s="252" t="n"/>
      <c r="N121" s="252" t="n"/>
      <c r="O121" s="244">
        <f>M121*N121</f>
        <v/>
      </c>
      <c r="P121" s="252" t="n"/>
      <c r="Q121" s="252" t="n"/>
      <c r="R121" s="252" t="n"/>
      <c r="S121" s="244">
        <f>Q121*R121</f>
        <v/>
      </c>
    </row>
    <row r="122" ht="22.2" customHeight="1" s="330">
      <c r="A122" s="4" t="n"/>
      <c r="E122" s="4" t="n"/>
      <c r="G122" s="252" t="n"/>
      <c r="H122" s="252" t="inlineStr">
        <is>
          <t> </t>
        </is>
      </c>
      <c r="I122" s="252" t="n"/>
      <c r="J122" s="250" t="n"/>
      <c r="K122" s="331" t="n"/>
      <c r="L122" s="252" t="n"/>
      <c r="M122" s="252" t="n"/>
      <c r="N122" s="252" t="n"/>
      <c r="O122" s="244">
        <f>M122*N122</f>
        <v/>
      </c>
      <c r="P122" s="252" t="n"/>
      <c r="Q122" s="252" t="n"/>
      <c r="R122" s="252" t="n"/>
      <c r="S122" s="244">
        <f>Q122*R122</f>
        <v/>
      </c>
    </row>
    <row r="123" ht="22.2" customHeight="1" s="330">
      <c r="A123" s="4" t="n"/>
      <c r="E123" s="4" t="n"/>
      <c r="F123" s="4" t="n"/>
      <c r="G123" s="278" t="n"/>
      <c r="H123" s="276" t="n"/>
      <c r="I123" s="276" t="n"/>
      <c r="J123" s="276" t="n"/>
      <c r="K123" s="476" t="n"/>
      <c r="L123" s="276" t="n"/>
      <c r="M123" s="276" t="n"/>
      <c r="N123" s="276" t="n"/>
      <c r="O123" s="244">
        <f>M123*N123</f>
        <v/>
      </c>
      <c r="P123" s="276" t="n"/>
      <c r="Q123" s="276" t="n"/>
      <c r="R123" s="276" t="n"/>
      <c r="S123" s="244">
        <f>Q123*R123</f>
        <v/>
      </c>
    </row>
    <row r="124" ht="22.2" customHeight="1" s="330">
      <c r="A124" s="4" t="n"/>
      <c r="E124" s="4" t="n"/>
      <c r="F124" s="4" t="n"/>
      <c r="G124" s="17" t="inlineStr">
        <is>
          <t>รวมขั่วโมงที่สอนแยก ภาระงาน/ เกินภาระงาน</t>
        </is>
      </c>
      <c r="H124" s="467" t="n"/>
      <c r="I124" s="467" t="n"/>
      <c r="J124" s="467" t="n"/>
      <c r="K124" s="362" t="n"/>
      <c r="L124" s="17">
        <f>SUM(L99:L123)</f>
        <v/>
      </c>
      <c r="M124" s="17">
        <f>SUM(M99:M123)</f>
        <v/>
      </c>
      <c r="N124" s="17" t="n"/>
      <c r="O124" s="17" t="n"/>
      <c r="P124" s="17">
        <f>SUM(P99:P123)</f>
        <v/>
      </c>
      <c r="Q124" s="17">
        <f>SUM(Q99:Q123)</f>
        <v/>
      </c>
      <c r="R124" s="279" t="n"/>
      <c r="S124" s="17" t="n"/>
    </row>
    <row r="125" ht="22.2" customHeight="1" s="330">
      <c r="A125" s="4" t="n"/>
      <c r="E125" s="4" t="n"/>
      <c r="F125" s="4" t="n"/>
      <c r="G125" s="17" t="inlineStr">
        <is>
          <t>รวมจำนวนชั่วโมงสอนคาบต่อสับดาห์</t>
        </is>
      </c>
      <c r="H125" s="467" t="n"/>
      <c r="I125" s="467" t="n"/>
      <c r="J125" s="467" t="n"/>
      <c r="K125" s="362" t="n"/>
      <c r="L125" s="17">
        <f>L124+M124</f>
        <v/>
      </c>
      <c r="M125" s="362" t="n"/>
      <c r="N125" s="298" t="n"/>
      <c r="O125" s="17" t="n"/>
      <c r="P125" s="17">
        <f>P124+Q124</f>
        <v/>
      </c>
      <c r="Q125" s="362" t="n"/>
      <c r="R125" s="278" t="n"/>
      <c r="S125" s="276" t="n"/>
    </row>
    <row r="126" ht="22.2" customHeight="1" s="330">
      <c r="A126" s="4" t="n"/>
      <c r="E126" s="4" t="n"/>
      <c r="F126" s="4" t="n"/>
      <c r="G126" s="17" t="inlineStr">
        <is>
          <t>จำนวนชั่วโมงสอนตามภาระงานสอน</t>
        </is>
      </c>
      <c r="H126" s="467" t="n"/>
      <c r="I126" s="467" t="n"/>
      <c r="J126" s="467" t="n"/>
      <c r="K126" s="362" t="n"/>
      <c r="L126" s="17" t="n">
        <v>12</v>
      </c>
      <c r="M126" s="362" t="n"/>
      <c r="N126" s="17" t="n"/>
      <c r="O126" s="298" t="n"/>
      <c r="P126" s="153" t="inlineStr">
        <is>
          <t>0</t>
        </is>
      </c>
      <c r="Q126" s="362" t="n"/>
      <c r="R126" s="249" t="n"/>
      <c r="S126" s="252" t="n"/>
    </row>
    <row r="127" ht="22.2" customHeight="1" s="330" thickBot="1">
      <c r="A127" s="4" t="n"/>
      <c r="E127" s="4" t="n"/>
      <c r="F127" s="15" t="n"/>
      <c r="G127" s="17" t="inlineStr">
        <is>
          <t>จำนวนชั่วโมงบิกเกินภาระงานสอน/ค่าสอน</t>
        </is>
      </c>
      <c r="H127" s="467" t="n"/>
      <c r="I127" s="467" t="n"/>
      <c r="J127" s="467" t="n"/>
      <c r="K127" s="362" t="n"/>
      <c r="L127" s="18" t="n">
        <v>0</v>
      </c>
      <c r="M127" s="18">
        <f>SUM(M99:M123)</f>
        <v/>
      </c>
      <c r="N127" s="18" t="n"/>
      <c r="O127" s="18">
        <f>SUM(O99:O123)</f>
        <v/>
      </c>
      <c r="P127" s="18" t="n">
        <v>0</v>
      </c>
      <c r="Q127" s="18">
        <f>SUM(Q99:Q123)</f>
        <v/>
      </c>
      <c r="R127" s="19" t="n"/>
      <c r="S127" s="18">
        <f>SUM(S99:S123)</f>
        <v/>
      </c>
    </row>
    <row r="128" ht="22.2" customHeight="1" s="330" thickTop="1">
      <c r="A128" s="299" t="inlineStr">
        <is>
          <t>รวมจำนวนหน่วยชั่วโมงที่ขอเบิกค่าสอน ….</t>
        </is>
      </c>
      <c r="B128" s="467" t="n"/>
      <c r="C128" s="467" t="n"/>
      <c r="D128" s="467" t="n"/>
      <c r="E128" s="467" t="n"/>
      <c r="F128" s="467" t="n"/>
      <c r="G128" s="467" t="n"/>
      <c r="H128" s="298">
        <f>M127+Q127</f>
        <v/>
      </c>
      <c r="I128" s="298" t="inlineStr">
        <is>
          <t>….ชั่วโมง</t>
        </is>
      </c>
      <c r="J128" s="298" t="n"/>
      <c r="K128" s="301" t="inlineStr">
        <is>
          <t>ยอดเงินรวม</t>
        </is>
      </c>
      <c r="L128" s="471" t="n"/>
      <c r="M128" s="471" t="n"/>
      <c r="N128" s="301" t="n"/>
      <c r="O128" s="301" t="n"/>
      <c r="P128" s="302">
        <f>S127+O127</f>
        <v/>
      </c>
      <c r="Q128" s="482" t="n"/>
      <c r="R128" s="21" t="n"/>
      <c r="S128" s="20" t="inlineStr">
        <is>
          <t>..บาท</t>
        </is>
      </c>
    </row>
    <row r="129" ht="22.2" customHeight="1" s="330">
      <c r="A129" s="207" t="inlineStr">
        <is>
          <t>ผู้ขอเบิก</t>
        </is>
      </c>
      <c r="B129" s="334" t="n"/>
      <c r="C129" s="334" t="n"/>
      <c r="D129" s="334" t="n"/>
      <c r="E129" s="334" t="n"/>
      <c r="F129" s="334" t="n"/>
      <c r="G129" s="335" t="n"/>
      <c r="H129" s="207" t="inlineStr">
        <is>
          <t>ผู้รับรอง</t>
        </is>
      </c>
      <c r="I129" s="334" t="n"/>
      <c r="J129" s="334" t="n"/>
      <c r="K129" s="334" t="n"/>
      <c r="L129" s="335" t="n"/>
      <c r="M129" s="207" t="inlineStr">
        <is>
          <t>ผู้ตรวจ</t>
        </is>
      </c>
      <c r="N129" s="334" t="n"/>
      <c r="O129" s="334" t="n"/>
      <c r="P129" s="334" t="n"/>
      <c r="Q129" s="334" t="n"/>
      <c r="R129" s="334" t="n"/>
      <c r="S129" s="335" t="n"/>
    </row>
    <row r="130" ht="22.2" customHeight="1" s="330">
      <c r="A130" s="252" t="inlineStr">
        <is>
          <t>ลงชื่อ……………………………………………</t>
        </is>
      </c>
      <c r="G130" s="331" t="n"/>
      <c r="H130" s="252" t="inlineStr">
        <is>
          <t>ลงชื่อ……………………………………………</t>
        </is>
      </c>
      <c r="L130" s="331" t="n"/>
      <c r="M130" s="252" t="inlineStr">
        <is>
          <t>ลงชื่อ……………………………………………</t>
        </is>
      </c>
      <c r="S130" s="331" t="n"/>
    </row>
    <row r="131" ht="22.2" customHeight="1" s="330">
      <c r="A131" s="12" t="inlineStr">
        <is>
          <t>(</t>
        </is>
      </c>
      <c r="B131" s="309">
        <f>B99</f>
        <v/>
      </c>
      <c r="G131" s="310" t="inlineStr">
        <is>
          <t>)</t>
        </is>
      </c>
      <c r="H131" s="309" t="inlineStr">
        <is>
          <t>(</t>
        </is>
      </c>
      <c r="I131" s="314">
        <f>I85</f>
        <v/>
      </c>
      <c r="L131" s="13" t="inlineStr">
        <is>
          <t>)</t>
        </is>
      </c>
      <c r="M131" s="61" t="inlineStr">
        <is>
          <t>(</t>
        </is>
      </c>
      <c r="N131" s="61" t="n"/>
      <c r="O131" s="309" t="inlineStr">
        <is>
          <t>นายพิสุทธิศักดิ์  กล่อมนาค</t>
        </is>
      </c>
      <c r="R131" s="29" t="n"/>
      <c r="S131" s="310" t="inlineStr">
        <is>
          <t>)</t>
        </is>
      </c>
    </row>
    <row r="132" ht="22.2" customHeight="1" s="330">
      <c r="A132" s="483" t="inlineStr">
        <is>
          <t xml:space="preserve">                    ตำแหน่ง  ครู</t>
        </is>
      </c>
      <c r="G132" s="331" t="n"/>
      <c r="H132" s="62" t="inlineStr">
        <is>
          <t>ตำแหน่ง หัวหน้าแผนก</t>
        </is>
      </c>
      <c r="L132" s="331" t="n"/>
      <c r="M132" s="62" t="inlineStr">
        <is>
          <t>ตำแหน่ง   ผู้ตรวจสอบ</t>
        </is>
      </c>
      <c r="S132" s="331" t="n"/>
    </row>
    <row r="133" ht="22.2" customHeight="1" s="330">
      <c r="A133" s="63">
        <f>A41</f>
        <v/>
      </c>
      <c r="B133" s="471" t="n"/>
      <c r="C133" s="471" t="n"/>
      <c r="D133" s="471" t="n"/>
      <c r="E133" s="471" t="n"/>
      <c r="F133" s="471" t="n"/>
      <c r="G133" s="476" t="n"/>
      <c r="H133" s="62">
        <f>A41</f>
        <v/>
      </c>
      <c r="L133" s="331" t="n"/>
      <c r="M133" s="63">
        <f>A41</f>
        <v/>
      </c>
      <c r="N133" s="471" t="n"/>
      <c r="O133" s="471" t="n"/>
      <c r="P133" s="471" t="n"/>
      <c r="Q133" s="471" t="n"/>
      <c r="R133" s="471" t="n"/>
      <c r="S133" s="476" t="n"/>
    </row>
    <row r="134" ht="22.2" customHeight="1" s="330">
      <c r="A134" s="207" t="inlineStr">
        <is>
          <t>ผู้ตรวจ</t>
        </is>
      </c>
      <c r="B134" s="334" t="n"/>
      <c r="C134" s="334" t="n"/>
      <c r="D134" s="334" t="n"/>
      <c r="E134" s="334" t="n"/>
      <c r="F134" s="334" t="n"/>
      <c r="G134" s="334" t="n"/>
      <c r="H134" s="334" t="n"/>
      <c r="I134" s="335" t="n"/>
      <c r="J134" s="207" t="inlineStr">
        <is>
          <t>ผู้เห็นชอบ</t>
        </is>
      </c>
      <c r="K134" s="334" t="n"/>
      <c r="L134" s="334" t="n"/>
      <c r="M134" s="334" t="n"/>
      <c r="N134" s="334" t="n"/>
      <c r="O134" s="334" t="n"/>
      <c r="P134" s="334" t="n"/>
      <c r="Q134" s="334" t="n"/>
      <c r="R134" s="334" t="n"/>
      <c r="S134" s="335" t="n"/>
    </row>
    <row r="135" ht="22.2" customHeight="1" s="330">
      <c r="A135" s="252" t="inlineStr">
        <is>
          <t>ลงชื่อ……………………………………………</t>
        </is>
      </c>
      <c r="I135" s="331" t="n"/>
      <c r="J135" s="252" t="inlineStr">
        <is>
          <t>ลงชื่อ……………………………………………</t>
        </is>
      </c>
      <c r="S135" s="331" t="n"/>
    </row>
    <row r="136" ht="22.2" customHeight="1" s="330">
      <c r="A136" s="12" t="n"/>
      <c r="B136" s="309" t="inlineStr">
        <is>
          <t xml:space="preserve">          (นางศิวรักษ์   บุญประเสริฐ)</t>
        </is>
      </c>
      <c r="I136" s="310" t="n"/>
      <c r="J136" s="29" t="n"/>
      <c r="K136" s="29" t="n"/>
      <c r="L136" s="309" t="inlineStr">
        <is>
          <t>(นายปรีชา  โพธิ์เกิด)</t>
        </is>
      </c>
      <c r="R136" s="29" t="n"/>
      <c r="S136" s="13" t="n"/>
    </row>
    <row r="137" ht="22.2" customHeight="1" s="330">
      <c r="A137" s="62" t="inlineStr">
        <is>
          <t>ตำแหน่งครู  หัวหน้างานพัฒนาหลักสูตร ฯ</t>
        </is>
      </c>
      <c r="I137" s="331" t="n"/>
      <c r="J137" s="62" t="inlineStr">
        <is>
          <t>ตำแหน่ง  รองผู้อำนวยการฝ่ายวิชาการ</t>
        </is>
      </c>
      <c r="S137" s="331" t="n"/>
    </row>
    <row r="138" ht="22.2" customHeight="1" s="330">
      <c r="A138" s="63">
        <f>A41</f>
        <v/>
      </c>
      <c r="B138" s="471" t="n"/>
      <c r="C138" s="471" t="n"/>
      <c r="D138" s="471" t="n"/>
      <c r="E138" s="471" t="n"/>
      <c r="F138" s="471" t="n"/>
      <c r="G138" s="471" t="n"/>
      <c r="H138" s="471" t="n"/>
      <c r="I138" s="476" t="n"/>
      <c r="J138" s="63">
        <f>A41</f>
        <v/>
      </c>
      <c r="K138" s="471" t="n"/>
      <c r="L138" s="471" t="n"/>
      <c r="M138" s="471" t="n"/>
      <c r="N138" s="471" t="n"/>
      <c r="O138" s="471" t="n"/>
      <c r="P138" s="471" t="n"/>
      <c r="Q138" s="471" t="n"/>
      <c r="R138" s="471" t="n"/>
      <c r="S138" s="476" t="n"/>
    </row>
    <row r="139" ht="22.2" customHeight="1" s="330">
      <c r="A13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40" ht="22.2" customHeight="1" s="330">
      <c r="A140" s="254">
        <f>A2</f>
        <v/>
      </c>
    </row>
    <row r="141" ht="22.2" customHeight="1" s="330">
      <c r="A141" s="253" t="inlineStr">
        <is>
          <t xml:space="preserve">    ระหว่างวันที่</t>
        </is>
      </c>
      <c r="D141" s="254">
        <f>D3</f>
        <v/>
      </c>
      <c r="E141" s="254" t="inlineStr">
        <is>
          <t xml:space="preserve">   เดือน  </t>
        </is>
      </c>
      <c r="F141" s="254">
        <f>F3</f>
        <v/>
      </c>
      <c r="H141" s="254">
        <f>H3</f>
        <v/>
      </c>
      <c r="I141" s="254" t="inlineStr">
        <is>
          <t xml:space="preserve">     ถึง วันที่</t>
        </is>
      </c>
      <c r="J141" s="254">
        <f>J3</f>
        <v/>
      </c>
      <c r="K141" s="254" t="inlineStr">
        <is>
          <t xml:space="preserve">   เดือน </t>
        </is>
      </c>
      <c r="L141" s="254">
        <f>L3</f>
        <v/>
      </c>
      <c r="N141" s="254">
        <f>N3</f>
        <v/>
      </c>
      <c r="P141" s="254" t="n"/>
      <c r="R141" s="254" t="n"/>
    </row>
    <row r="142" ht="22.2" customHeight="1" s="330">
      <c r="G142" s="58" t="inlineStr">
        <is>
          <t>ü</t>
        </is>
      </c>
      <c r="H142" s="290" t="inlineStr">
        <is>
          <t>ครู</t>
        </is>
      </c>
      <c r="I142" s="249" t="inlineStr">
        <is>
          <t>หน้าที่พิเศษ</t>
        </is>
      </c>
    </row>
    <row r="143" ht="22.2" customHeight="1" s="330">
      <c r="A143" s="28" t="inlineStr">
        <is>
          <t>ที่</t>
        </is>
      </c>
      <c r="B143" s="28" t="inlineStr">
        <is>
          <t>ชื่อ-สกุล</t>
        </is>
      </c>
      <c r="C143" s="334" t="n"/>
      <c r="D143" s="335" t="n"/>
      <c r="E143" s="16" t="inlineStr">
        <is>
          <t>ตำแหน่ง</t>
        </is>
      </c>
      <c r="F143" s="17" t="inlineStr">
        <is>
          <t>ระยะเวลาที่สอน</t>
        </is>
      </c>
      <c r="G143" s="362" t="n"/>
      <c r="H143" s="17" t="inlineStr">
        <is>
          <t>รหัสวิชา</t>
        </is>
      </c>
      <c r="I143" s="275" t="inlineStr">
        <is>
          <t>ชั้น,แผนก,ห้อง</t>
        </is>
      </c>
      <c r="J143" s="17" t="inlineStr">
        <is>
          <t>เวลาสอน</t>
        </is>
      </c>
      <c r="K143" s="335" t="n"/>
      <c r="L143" s="17" t="inlineStr">
        <is>
          <t>ปวช.(คาบ)</t>
        </is>
      </c>
      <c r="M143" s="362" t="n"/>
      <c r="N143" s="244" t="inlineStr">
        <is>
          <t>เงิน</t>
        </is>
      </c>
      <c r="O143" s="275" t="inlineStr">
        <is>
          <t>ยอดเงิน</t>
        </is>
      </c>
      <c r="P143" s="473" t="inlineStr">
        <is>
          <t>ปวส.(คาบ)</t>
        </is>
      </c>
      <c r="Q143" s="362" t="n"/>
      <c r="R143" s="244" t="inlineStr">
        <is>
          <t>เงิน</t>
        </is>
      </c>
      <c r="S143" s="275" t="inlineStr">
        <is>
          <t>ยอดเงิน</t>
        </is>
      </c>
    </row>
    <row r="144" ht="22.2" customHeight="1" s="330">
      <c r="A144" s="60" t="n"/>
      <c r="B144" s="9" t="n"/>
      <c r="C144" s="10" t="n"/>
      <c r="D144" s="14" t="n"/>
      <c r="E144" s="11" t="n"/>
      <c r="F144" s="276" t="inlineStr">
        <is>
          <t>ส.</t>
        </is>
      </c>
      <c r="G144" s="276" t="inlineStr">
        <is>
          <t>วดป.</t>
        </is>
      </c>
      <c r="H144" s="474" t="n"/>
      <c r="I144" s="276" t="n"/>
      <c r="J144" s="475" t="n"/>
      <c r="K144" s="476" t="n"/>
      <c r="L144" s="276" t="inlineStr">
        <is>
          <t>ใน</t>
        </is>
      </c>
      <c r="M144" s="276" t="inlineStr">
        <is>
          <t>นอก</t>
        </is>
      </c>
      <c r="N144" s="276" t="inlineStr">
        <is>
          <t>ต่อ ชม.</t>
        </is>
      </c>
      <c r="O144" s="276" t="inlineStr">
        <is>
          <t>(บาท)</t>
        </is>
      </c>
      <c r="P144" s="60" t="inlineStr">
        <is>
          <t>ใน</t>
        </is>
      </c>
      <c r="Q144" s="2" t="inlineStr">
        <is>
          <t>นอก</t>
        </is>
      </c>
      <c r="R144" s="276" t="inlineStr">
        <is>
          <t>ต่อ ชม.</t>
        </is>
      </c>
      <c r="S144" s="276" t="inlineStr">
        <is>
          <t>(บาท)</t>
        </is>
      </c>
    </row>
    <row r="145" ht="22.2" customHeight="1" s="330">
      <c r="A145" s="275" t="n">
        <v>4</v>
      </c>
      <c r="B145" s="477">
        <f>AB6</f>
        <v/>
      </c>
      <c r="C145" s="334" t="n"/>
      <c r="D145" s="335" t="n"/>
      <c r="E145" s="275" t="inlineStr">
        <is>
          <t>ครู</t>
        </is>
      </c>
      <c r="F145" s="6">
        <f>F7</f>
        <v/>
      </c>
      <c r="G145" s="303" t="inlineStr">
        <is>
          <t>จันทร์</t>
        </is>
      </c>
      <c r="H145" s="332" t="inlineStr">
        <is>
          <t>30101-2006</t>
        </is>
      </c>
      <c r="I145" s="325" t="inlineStr">
        <is>
          <t>ปวส.2/5 สย. (ม.6)</t>
        </is>
      </c>
      <c r="J145" s="332" t="inlineStr">
        <is>
          <t>08.10-12.10</t>
        </is>
      </c>
      <c r="K145" s="335" t="n"/>
      <c r="L145" s="265" t="n"/>
      <c r="M145" s="332" t="n"/>
      <c r="N145" s="332" t="n"/>
      <c r="O145" s="244">
        <f>M145*N145</f>
        <v/>
      </c>
      <c r="P145" s="332" t="n"/>
      <c r="Q145" s="265" t="n"/>
      <c r="R145" s="332" t="n"/>
      <c r="S145" s="244">
        <f>Q145*R145</f>
        <v/>
      </c>
    </row>
    <row r="146" ht="22.2" customHeight="1" s="330">
      <c r="A146" s="4" t="n"/>
      <c r="E146" s="252" t="n"/>
      <c r="F146" s="249" t="n"/>
      <c r="G146" s="308">
        <f>G100</f>
        <v/>
      </c>
      <c r="H146" s="325" t="inlineStr">
        <is>
          <t>30101-2006</t>
        </is>
      </c>
      <c r="I146" s="325" t="inlineStr">
        <is>
          <t>ปวส.2/5 สย. (ม.6)</t>
        </is>
      </c>
      <c r="J146" s="252" t="inlineStr">
        <is>
          <t>13.10-14.10</t>
        </is>
      </c>
      <c r="K146" s="331" t="n"/>
      <c r="L146" s="252" t="n"/>
      <c r="M146" s="252" t="n"/>
      <c r="N146" s="252" t="n"/>
      <c r="O146" s="244">
        <f>M146*N146</f>
        <v/>
      </c>
      <c r="P146" s="252" t="n"/>
      <c r="Q146" s="252" t="n"/>
      <c r="R146" s="252" t="n"/>
      <c r="S146" s="244">
        <f>Q146*R146</f>
        <v/>
      </c>
    </row>
    <row r="147" ht="22.2" customHeight="1" s="330">
      <c r="A147" s="4" t="n"/>
      <c r="B147" s="5" t="n"/>
      <c r="D147" s="3" t="n"/>
      <c r="E147" s="3" t="n"/>
      <c r="F147" s="249" t="n"/>
      <c r="G147" s="248" t="n"/>
      <c r="H147" s="325" t="inlineStr">
        <is>
          <t>30101-2006</t>
        </is>
      </c>
      <c r="I147" s="325" t="inlineStr">
        <is>
          <t>ปวส.2/6 สย. (ม.6)</t>
        </is>
      </c>
      <c r="J147" s="252" t="inlineStr">
        <is>
          <t>14.10-19.10</t>
        </is>
      </c>
      <c r="K147" s="331" t="n"/>
      <c r="L147" s="252" t="n"/>
      <c r="M147" s="252" t="n"/>
      <c r="N147" s="252" t="n"/>
      <c r="O147" s="244">
        <f>M147*N147</f>
        <v/>
      </c>
      <c r="P147" s="252" t="n"/>
      <c r="Q147" s="252" t="n"/>
      <c r="R147" s="252" t="n"/>
      <c r="S147" s="244">
        <f>Q147*R147</f>
        <v/>
      </c>
    </row>
    <row r="148" ht="22.2" customHeight="1" s="330">
      <c r="A148" s="4" t="n"/>
      <c r="B148" s="5" t="n"/>
      <c r="E148" s="4" t="n"/>
      <c r="F148" s="249" t="n"/>
      <c r="G148" s="248" t="n"/>
      <c r="H148" s="252" t="n"/>
      <c r="I148" s="252" t="n"/>
      <c r="J148" s="252" t="n"/>
      <c r="K148" s="331" t="n"/>
      <c r="L148" s="252" t="n"/>
      <c r="M148" s="252" t="n"/>
      <c r="N148" s="252" t="n"/>
      <c r="O148" s="244">
        <f>M148*N148</f>
        <v/>
      </c>
      <c r="P148" s="252" t="n"/>
      <c r="Q148" s="252" t="n"/>
      <c r="R148" s="252" t="n"/>
      <c r="S148" s="244">
        <f>Q148*R148</f>
        <v/>
      </c>
    </row>
    <row r="149" ht="22.2" customHeight="1" s="330">
      <c r="A149" s="4" t="n"/>
      <c r="E149" s="4" t="n"/>
      <c r="G149" s="311" t="n"/>
      <c r="H149" s="276" t="n"/>
      <c r="I149" s="276" t="n"/>
      <c r="J149" s="276" t="n"/>
      <c r="K149" s="476" t="n"/>
      <c r="L149" s="252" t="n"/>
      <c r="M149" s="252" t="n"/>
      <c r="N149" s="252" t="n"/>
      <c r="O149" s="244">
        <f>M149*N149</f>
        <v/>
      </c>
      <c r="P149" s="252" t="n"/>
      <c r="Q149" s="252" t="n"/>
      <c r="R149" s="252" t="n"/>
      <c r="S149" s="244">
        <f>Q149*R149</f>
        <v/>
      </c>
    </row>
    <row r="150" ht="22.2" customHeight="1" s="330">
      <c r="A150" s="4" t="n"/>
      <c r="E150" s="4" t="n"/>
      <c r="G150" s="62" t="inlineStr">
        <is>
          <t>อังคาร</t>
        </is>
      </c>
      <c r="H150" s="332" t="inlineStr">
        <is>
          <t>30101-2004</t>
        </is>
      </c>
      <c r="I150" s="332" t="inlineStr">
        <is>
          <t>ปวส.1/7 สย. (ทวิ)</t>
        </is>
      </c>
      <c r="J150" s="332" t="inlineStr">
        <is>
          <t>11.10-12.10</t>
        </is>
      </c>
      <c r="K150" s="335" t="n"/>
      <c r="L150" s="265" t="n"/>
      <c r="M150" s="332" t="n"/>
      <c r="N150" s="332" t="n"/>
      <c r="O150" s="244">
        <f>M150*N150</f>
        <v/>
      </c>
      <c r="P150" s="332" t="n"/>
      <c r="Q150" s="265" t="n"/>
      <c r="R150" s="332" t="n"/>
      <c r="S150" s="244">
        <f>Q150*R150</f>
        <v/>
      </c>
      <c r="T150" s="7" t="n"/>
      <c r="U150" s="23" t="inlineStr">
        <is>
          <t>เบิก ธุรการ</t>
        </is>
      </c>
      <c r="V150" s="66" t="n"/>
      <c r="W150" s="22" t="n"/>
      <c r="X150" s="22" t="n"/>
    </row>
    <row r="151" ht="22.2" customHeight="1" s="330">
      <c r="A151" s="4" t="n"/>
      <c r="E151" s="4" t="n"/>
      <c r="G151" s="308">
        <f>G105</f>
        <v/>
      </c>
      <c r="H151" s="325" t="inlineStr">
        <is>
          <t>30101-2004</t>
        </is>
      </c>
      <c r="I151" s="325" t="inlineStr">
        <is>
          <t>ปวส.1/7 สย. (ทวิ)</t>
        </is>
      </c>
      <c r="J151" s="252" t="inlineStr">
        <is>
          <t>13.10-17.10</t>
        </is>
      </c>
      <c r="K151" s="331" t="n"/>
      <c r="L151" s="252" t="n"/>
      <c r="M151" s="252" t="n"/>
      <c r="N151" s="252" t="n"/>
      <c r="O151" s="244">
        <f>M151*N151</f>
        <v/>
      </c>
      <c r="P151" s="252" t="n"/>
      <c r="Q151" s="252" t="n"/>
      <c r="R151" s="252" t="n"/>
      <c r="S151" s="244">
        <f>Q151*R151</f>
        <v/>
      </c>
      <c r="T151" s="22" t="inlineStr">
        <is>
          <t> </t>
        </is>
      </c>
      <c r="U151" s="23" t="inlineStr">
        <is>
          <t>16.10-19.10</t>
        </is>
      </c>
      <c r="V151" s="66" t="n"/>
      <c r="W151" s="22" t="n"/>
      <c r="X151" s="22" t="n"/>
    </row>
    <row r="152" ht="22.2" customHeight="1" s="330">
      <c r="A152" s="4" t="n"/>
      <c r="B152" s="5" t="n"/>
      <c r="D152" s="3" t="n"/>
      <c r="E152" s="3" t="n"/>
      <c r="G152" s="252" t="n"/>
      <c r="H152" s="325" t="n"/>
      <c r="I152" s="325" t="n"/>
      <c r="J152" s="252" t="n"/>
      <c r="K152" s="331" t="n"/>
      <c r="L152" s="252" t="n"/>
      <c r="M152" s="252" t="n"/>
      <c r="N152" s="252" t="n"/>
      <c r="O152" s="244">
        <f>M152*N152</f>
        <v/>
      </c>
      <c r="P152" s="252" t="n"/>
      <c r="Q152" s="252" t="n"/>
      <c r="R152" s="252" t="n"/>
      <c r="S152" s="244">
        <f>Q152*R152</f>
        <v/>
      </c>
    </row>
    <row r="153" ht="22.2" customHeight="1" s="330">
      <c r="A153" s="4" t="n"/>
      <c r="E153" s="4" t="n"/>
      <c r="G153" s="62" t="n"/>
      <c r="H153" s="252" t="n"/>
      <c r="I153" s="252" t="n"/>
      <c r="J153" s="252" t="n"/>
      <c r="K153" s="331" t="n"/>
      <c r="L153" s="252" t="n"/>
      <c r="M153" s="252" t="n"/>
      <c r="N153" s="252" t="n"/>
      <c r="O153" s="244">
        <f>M153*N153</f>
        <v/>
      </c>
      <c r="P153" s="252" t="n"/>
      <c r="Q153" s="252" t="n"/>
      <c r="R153" s="252" t="n"/>
      <c r="S153" s="244">
        <f>Q153*R153</f>
        <v/>
      </c>
    </row>
    <row r="154" ht="22.2" customHeight="1" s="330">
      <c r="A154" s="4" t="n"/>
      <c r="D154" s="8" t="inlineStr">
        <is>
          <t> </t>
        </is>
      </c>
      <c r="E154" s="4" t="n"/>
      <c r="G154" s="63" t="n"/>
      <c r="H154" s="276" t="n"/>
      <c r="I154" s="276" t="n"/>
      <c r="J154" s="276" t="n"/>
      <c r="K154" s="476" t="n"/>
      <c r="L154" s="252" t="n"/>
      <c r="M154" s="252" t="n"/>
      <c r="N154" s="252" t="n"/>
      <c r="O154" s="244">
        <f>M154*N154</f>
        <v/>
      </c>
      <c r="P154" s="252" t="n"/>
      <c r="Q154" s="252" t="n"/>
      <c r="R154" s="252" t="n"/>
      <c r="S154" s="244">
        <f>Q154*R154</f>
        <v/>
      </c>
    </row>
    <row r="155" ht="22.2" customHeight="1" s="330">
      <c r="A155" s="4" t="n"/>
      <c r="E155" s="4" t="n"/>
      <c r="G155" s="308" t="inlineStr">
        <is>
          <t>พุธ</t>
        </is>
      </c>
      <c r="H155" s="325" t="inlineStr">
        <is>
          <t>30101-0003</t>
        </is>
      </c>
      <c r="I155" s="325" t="inlineStr">
        <is>
          <t>ปวส.1/3 สย. (ม.6)</t>
        </is>
      </c>
      <c r="J155" s="252" t="inlineStr">
        <is>
          <t>13.10-18.10</t>
        </is>
      </c>
      <c r="K155" s="331" t="n"/>
      <c r="L155" s="265" t="n"/>
      <c r="M155" s="332" t="n"/>
      <c r="N155" s="332" t="n"/>
      <c r="O155" s="244">
        <f>M155*N155</f>
        <v/>
      </c>
      <c r="P155" s="332" t="n"/>
      <c r="Q155" s="265" t="n"/>
      <c r="R155" s="332" t="n"/>
      <c r="S155" s="244">
        <f>Q155*R155</f>
        <v/>
      </c>
    </row>
    <row r="156" ht="22.2" customHeight="1" s="330">
      <c r="A156" s="4" t="n"/>
      <c r="E156" s="4" t="n"/>
      <c r="G156" s="308">
        <f>G110</f>
        <v/>
      </c>
      <c r="H156" s="252" t="n"/>
      <c r="I156" s="252" t="n"/>
      <c r="J156" s="252" t="n"/>
      <c r="K156" s="331" t="n"/>
      <c r="L156" s="252" t="n"/>
      <c r="M156" s="252" t="n"/>
      <c r="N156" s="252" t="n"/>
      <c r="O156" s="244">
        <f>M156*N156</f>
        <v/>
      </c>
      <c r="P156" s="252" t="n"/>
      <c r="Q156" s="252" t="n"/>
      <c r="R156" s="252" t="n"/>
      <c r="S156" s="244">
        <f>Q156*R156</f>
        <v/>
      </c>
    </row>
    <row r="157" ht="22.2" customHeight="1" s="330">
      <c r="A157" s="4" t="n"/>
      <c r="B157" s="5" t="n"/>
      <c r="D157" s="3" t="n"/>
      <c r="E157" s="3" t="n"/>
      <c r="G157" s="252" t="n"/>
      <c r="H157" s="252" t="n"/>
      <c r="I157" s="252" t="n"/>
      <c r="J157" s="252" t="n"/>
      <c r="K157" s="331" t="n"/>
      <c r="L157" s="252" t="n"/>
      <c r="M157" s="252" t="n"/>
      <c r="N157" s="252" t="n"/>
      <c r="O157" s="244">
        <f>M157*N157</f>
        <v/>
      </c>
      <c r="P157" s="252" t="n"/>
      <c r="Q157" s="252" t="n"/>
      <c r="R157" s="252" t="n"/>
      <c r="S157" s="244">
        <f>Q157*R157</f>
        <v/>
      </c>
    </row>
    <row r="158" ht="22.2" customHeight="1" s="330">
      <c r="A158" s="4" t="n"/>
      <c r="E158" s="4" t="n"/>
      <c r="G158" s="248" t="n"/>
      <c r="H158" s="252" t="n"/>
      <c r="I158" s="252" t="n"/>
      <c r="J158" s="252" t="n"/>
      <c r="K158" s="331" t="n"/>
      <c r="L158" s="252" t="n"/>
      <c r="M158" s="252" t="n"/>
      <c r="N158" s="252" t="n"/>
      <c r="O158" s="244">
        <f>M158*N158</f>
        <v/>
      </c>
      <c r="P158" s="252" t="n"/>
      <c r="Q158" s="252" t="n"/>
      <c r="R158" s="252" t="n"/>
      <c r="S158" s="244">
        <f>Q158*R158</f>
        <v/>
      </c>
    </row>
    <row r="159" ht="22.2" customHeight="1" s="330">
      <c r="A159" s="4" t="n"/>
      <c r="E159" s="4" t="n"/>
      <c r="G159" s="277" t="n"/>
      <c r="H159" s="276" t="n"/>
      <c r="I159" s="276" t="n"/>
      <c r="J159" s="276" t="n"/>
      <c r="K159" s="476" t="n"/>
      <c r="L159" s="276" t="n"/>
      <c r="M159" s="276" t="n"/>
      <c r="N159" s="276" t="n"/>
      <c r="O159" s="244">
        <f>M159*N159</f>
        <v/>
      </c>
      <c r="P159" s="276" t="n"/>
      <c r="Q159" s="276" t="n"/>
      <c r="R159" s="276" t="n"/>
      <c r="S159" s="17">
        <f>Q159*R159</f>
        <v/>
      </c>
    </row>
    <row r="160" ht="22.2" customHeight="1" s="330">
      <c r="A160" s="4" t="n"/>
      <c r="E160" s="4" t="n"/>
      <c r="G160" s="62" t="inlineStr">
        <is>
          <t>พฤหัส</t>
        </is>
      </c>
      <c r="H160" s="325" t="inlineStr">
        <is>
          <t>30101-2006</t>
        </is>
      </c>
      <c r="I160" s="325" t="inlineStr">
        <is>
          <t>ปวส.2/7 สย. (ม.6)</t>
        </is>
      </c>
      <c r="J160" s="275" t="inlineStr">
        <is>
          <t>08.10-12.10</t>
        </is>
      </c>
      <c r="K160" s="335" t="n"/>
      <c r="L160" s="252" t="n"/>
      <c r="M160" s="179" t="n"/>
      <c r="N160" s="179" t="n"/>
      <c r="O160" s="244">
        <f>M160*N160</f>
        <v/>
      </c>
      <c r="P160" s="179" t="n"/>
      <c r="Q160" s="179" t="n"/>
      <c r="R160" s="179" t="n"/>
      <c r="S160" s="17">
        <f>Q160*R160</f>
        <v/>
      </c>
      <c r="T160" s="25" t="n"/>
      <c r="U160" s="26" t="inlineStr">
        <is>
          <t xml:space="preserve">     PLC</t>
        </is>
      </c>
      <c r="V160" s="64" t="n"/>
      <c r="W160" s="27" t="n"/>
      <c r="X160" s="27" t="n"/>
    </row>
    <row r="161" ht="22.2" customHeight="1" s="330">
      <c r="A161" s="4" t="n"/>
      <c r="E161" s="4" t="n"/>
      <c r="G161" s="308">
        <f>G115</f>
        <v/>
      </c>
      <c r="H161" s="325" t="inlineStr">
        <is>
          <t>30101-2006</t>
        </is>
      </c>
      <c r="I161" s="325" t="inlineStr">
        <is>
          <t>ปวส.2/7 สย. (ม.6)</t>
        </is>
      </c>
      <c r="J161" s="252" t="inlineStr">
        <is>
          <t>15.10-16.10</t>
        </is>
      </c>
      <c r="K161" s="331" t="n"/>
      <c r="L161" s="252" t="n"/>
      <c r="M161" s="56" t="n"/>
      <c r="N161" s="56" t="n"/>
      <c r="O161" s="244">
        <f>M161*N161</f>
        <v/>
      </c>
      <c r="P161" s="180" t="n"/>
      <c r="Q161" s="180" t="n"/>
      <c r="R161" s="180" t="n"/>
      <c r="S161" s="17">
        <f>Q161*R161</f>
        <v/>
      </c>
      <c r="T161" s="27" t="inlineStr">
        <is>
          <t> </t>
        </is>
      </c>
      <c r="U161" s="26" t="inlineStr">
        <is>
          <t>17.10-19.10</t>
        </is>
      </c>
      <c r="V161" s="64" t="n"/>
      <c r="W161" s="27" t="n"/>
      <c r="X161" s="27" t="n"/>
    </row>
    <row r="162" ht="22.2" customHeight="1" s="330">
      <c r="A162" s="4" t="n"/>
      <c r="B162" s="5" t="n"/>
      <c r="E162" s="4" t="n"/>
      <c r="G162" s="252" t="n"/>
      <c r="H162" s="325" t="n"/>
      <c r="I162" s="325" t="n"/>
      <c r="J162" s="252" t="n"/>
      <c r="K162" s="331" t="n"/>
      <c r="L162" s="325" t="n"/>
      <c r="M162" s="56" t="n"/>
      <c r="N162" s="56" t="n"/>
      <c r="O162" s="244">
        <f>M162*N162</f>
        <v/>
      </c>
      <c r="P162" s="56" t="n"/>
      <c r="Q162" s="180" t="n"/>
      <c r="R162" s="180" t="n"/>
      <c r="S162" s="17">
        <f>Q162*R162</f>
        <v/>
      </c>
    </row>
    <row r="163" ht="22.2" customHeight="1" s="330">
      <c r="A163" s="4" t="n"/>
      <c r="E163" s="4" t="n"/>
      <c r="G163" s="252" t="n"/>
      <c r="H163" s="252" t="n"/>
      <c r="I163" s="252" t="n"/>
      <c r="J163" s="252" t="n"/>
      <c r="K163" s="331" t="n"/>
      <c r="L163" s="252" t="n"/>
      <c r="M163" s="252" t="n"/>
      <c r="N163" s="252" t="n"/>
      <c r="O163" s="244">
        <f>M163*N163</f>
        <v/>
      </c>
      <c r="P163" s="252" t="n"/>
      <c r="Q163" s="252" t="n"/>
      <c r="R163" s="252" t="n"/>
      <c r="S163" s="244">
        <f>Q163*R163</f>
        <v/>
      </c>
    </row>
    <row r="164" ht="22.2" customHeight="1" s="330">
      <c r="A164" s="4" t="n"/>
      <c r="E164" s="4" t="n"/>
      <c r="G164" s="276" t="n"/>
      <c r="H164" s="301" t="n"/>
      <c r="I164" s="276" t="n"/>
      <c r="J164" s="276" t="n"/>
      <c r="K164" s="476" t="n"/>
      <c r="L164" s="276" t="n"/>
      <c r="M164" s="276" t="n"/>
      <c r="N164" s="276" t="n"/>
      <c r="O164" s="244">
        <f>M164*N164</f>
        <v/>
      </c>
      <c r="P164" s="276" t="n"/>
      <c r="Q164" s="276" t="n"/>
      <c r="R164" s="276" t="n"/>
      <c r="S164" s="244">
        <f>Q164*R164</f>
        <v/>
      </c>
    </row>
    <row r="165" ht="22.2" customHeight="1" s="330">
      <c r="A165" s="4" t="n"/>
      <c r="D165" s="331" t="n"/>
      <c r="E165" s="56" t="n"/>
      <c r="G165" s="62" t="inlineStr">
        <is>
          <t>ศุกร์</t>
        </is>
      </c>
      <c r="H165" s="325" t="inlineStr">
        <is>
          <t>30100-0104</t>
        </is>
      </c>
      <c r="I165" s="325" t="inlineStr">
        <is>
          <t>ปวส.1/1 สย. (ปกติ)</t>
        </is>
      </c>
      <c r="J165" s="332" t="inlineStr">
        <is>
          <t>08.10-12.10</t>
        </is>
      </c>
      <c r="K165" s="335" t="n"/>
      <c r="L165" s="252" t="n"/>
      <c r="M165" s="28" t="n"/>
      <c r="N165" s="272" t="n"/>
      <c r="O165" s="244">
        <f>M165*N165</f>
        <v/>
      </c>
      <c r="P165" s="275" t="n"/>
      <c r="Q165" s="275" t="n"/>
      <c r="R165" s="244" t="n"/>
      <c r="S165" s="17">
        <f>Q165*R165</f>
        <v/>
      </c>
    </row>
    <row r="166" ht="22.2" customHeight="1" s="330">
      <c r="A166" s="4" t="n"/>
      <c r="D166" s="3" t="n"/>
      <c r="E166" s="4" t="n"/>
      <c r="G166" s="308">
        <f>G120</f>
        <v/>
      </c>
      <c r="H166" s="325" t="n"/>
      <c r="I166" s="325" t="n"/>
      <c r="J166" s="252" t="n"/>
      <c r="K166" s="331" t="n"/>
      <c r="L166" s="252" t="n"/>
      <c r="M166" s="56" t="n"/>
      <c r="N166" s="331" t="n"/>
      <c r="O166" s="244">
        <f>M166*N166</f>
        <v/>
      </c>
      <c r="P166" s="180" t="n"/>
      <c r="Q166" s="56" t="n"/>
      <c r="R166" s="56" t="n"/>
      <c r="S166" s="17">
        <f>Q166*R166</f>
        <v/>
      </c>
    </row>
    <row r="167" ht="22.2" customHeight="1" s="330">
      <c r="A167" s="4" t="n"/>
      <c r="E167" s="4" t="n"/>
      <c r="G167" s="252" t="n"/>
      <c r="H167" s="252" t="n"/>
      <c r="I167" s="252" t="n"/>
      <c r="J167" s="252" t="n"/>
      <c r="K167" s="331" t="n"/>
      <c r="L167" s="252" t="n"/>
      <c r="M167" s="252" t="n"/>
      <c r="N167" s="252" t="n"/>
      <c r="O167" s="244">
        <f>M167*N167</f>
        <v/>
      </c>
      <c r="P167" s="252" t="n"/>
      <c r="Q167" s="252" t="n"/>
      <c r="R167" s="252" t="n"/>
      <c r="S167" s="244">
        <f>Q167*R167</f>
        <v/>
      </c>
    </row>
    <row r="168" ht="22.2" customHeight="1" s="330">
      <c r="A168" s="4" t="n"/>
      <c r="E168" s="4" t="n"/>
      <c r="G168" s="252" t="n"/>
      <c r="H168" s="252" t="n"/>
      <c r="I168" s="252" t="n"/>
      <c r="J168" s="252" t="n"/>
      <c r="K168" s="331" t="n"/>
      <c r="L168" s="252" t="n"/>
      <c r="M168" s="252" t="n"/>
      <c r="N168" s="252" t="n"/>
      <c r="O168" s="244">
        <f>M168*N168</f>
        <v/>
      </c>
      <c r="P168" s="252" t="n"/>
      <c r="Q168" s="252" t="n"/>
      <c r="R168" s="252" t="n"/>
      <c r="S168" s="244">
        <f>Q168*R168</f>
        <v/>
      </c>
    </row>
    <row r="169" ht="22.2" customHeight="1" s="330">
      <c r="A169" s="4" t="n"/>
      <c r="E169" s="4" t="n"/>
      <c r="F169" s="4" t="n"/>
      <c r="G169" s="278" t="n"/>
      <c r="H169" s="301" t="n"/>
      <c r="I169" s="276" t="n"/>
      <c r="J169" s="276" t="n"/>
      <c r="K169" s="476" t="n"/>
      <c r="L169" s="276" t="n"/>
      <c r="M169" s="276" t="n"/>
      <c r="N169" s="276" t="n"/>
      <c r="O169" s="244">
        <f>M169*N169</f>
        <v/>
      </c>
      <c r="P169" s="276" t="n"/>
      <c r="Q169" s="276" t="n"/>
      <c r="R169" s="276" t="n"/>
      <c r="S169" s="244">
        <f>Q169*R169</f>
        <v/>
      </c>
    </row>
    <row r="170" ht="22.2" customHeight="1" s="330">
      <c r="A170" s="4" t="n"/>
      <c r="E170" s="4" t="n"/>
      <c r="F170" s="4" t="n"/>
      <c r="G170" s="17" t="inlineStr">
        <is>
          <t>รวมขั่วโมงที่สอนแยก ภาระงาน/ เกินภาระงาน</t>
        </is>
      </c>
      <c r="H170" s="467" t="n"/>
      <c r="I170" s="467" t="n"/>
      <c r="J170" s="467" t="n"/>
      <c r="K170" s="362" t="n"/>
      <c r="L170" s="17">
        <f>SUM(L145:L169)</f>
        <v/>
      </c>
      <c r="M170" s="17">
        <f>SUM(M145:M169)</f>
        <v/>
      </c>
      <c r="N170" s="17" t="n"/>
      <c r="O170" s="17" t="n"/>
      <c r="P170" s="17">
        <f>SUM(P145:P169)</f>
        <v/>
      </c>
      <c r="Q170" s="17">
        <f>SUM(Q145:Q169)</f>
        <v/>
      </c>
      <c r="R170" s="279" t="n"/>
      <c r="S170" s="17" t="n"/>
      <c r="T170" s="24" t="n"/>
      <c r="U170" s="24" t="inlineStr">
        <is>
          <t>สอน ป.ตรี</t>
        </is>
      </c>
      <c r="V170" s="65" t="n"/>
      <c r="W170" s="24" t="n"/>
      <c r="X170" s="24" t="n"/>
    </row>
    <row r="171" ht="22.2" customHeight="1" s="330">
      <c r="A171" s="4" t="n"/>
      <c r="E171" s="4" t="n"/>
      <c r="F171" s="4" t="n"/>
      <c r="G171" s="17" t="inlineStr">
        <is>
          <t>รวมจำนวนชั่วโมงสอนคาบต่อสับดาห์</t>
        </is>
      </c>
      <c r="H171" s="467" t="n"/>
      <c r="I171" s="467" t="n"/>
      <c r="J171" s="467" t="n"/>
      <c r="K171" s="362" t="n"/>
      <c r="L171" s="17">
        <f>L170+M170</f>
        <v/>
      </c>
      <c r="M171" s="362" t="n"/>
      <c r="N171" s="17" t="n"/>
      <c r="O171" s="298" t="n"/>
      <c r="P171" s="17">
        <f>P170+Q170</f>
        <v/>
      </c>
      <c r="Q171" s="362" t="n"/>
      <c r="R171" s="278" t="n"/>
      <c r="S171" s="276" t="n"/>
      <c r="T171" s="24" t="n"/>
      <c r="U171" s="24" t="inlineStr">
        <is>
          <t>17.10-20.10</t>
        </is>
      </c>
      <c r="V171" s="65" t="n"/>
      <c r="W171" s="24" t="n"/>
      <c r="X171" s="24" t="n"/>
    </row>
    <row r="172" ht="22.2" customHeight="1" s="330">
      <c r="A172" s="4" t="n"/>
      <c r="E172" s="4" t="n"/>
      <c r="F172" s="4" t="n"/>
      <c r="G172" s="17" t="inlineStr">
        <is>
          <t>จำนวนชั่วโมงสอนตามภาระงานสอน</t>
        </is>
      </c>
      <c r="H172" s="467" t="n"/>
      <c r="I172" s="467" t="n"/>
      <c r="J172" s="467" t="n"/>
      <c r="K172" s="362" t="n"/>
      <c r="L172" s="485" t="inlineStr">
        <is>
          <t>0</t>
        </is>
      </c>
      <c r="M172" s="362" t="n"/>
      <c r="N172" s="151" t="n"/>
      <c r="O172" s="154" t="n"/>
      <c r="P172" s="485" t="inlineStr">
        <is>
          <t>15</t>
        </is>
      </c>
      <c r="Q172" s="362" t="n"/>
      <c r="R172" s="249" t="n"/>
      <c r="S172" s="252" t="n"/>
    </row>
    <row r="173" ht="22.2" customHeight="1" s="330" thickBot="1">
      <c r="A173" s="4" t="n"/>
      <c r="E173" s="4" t="n"/>
      <c r="F173" s="15" t="n"/>
      <c r="G173" s="17" t="inlineStr">
        <is>
          <t>จำนวนชั่วโมงบิกเกินภาระงานสอน/ค่าสอน</t>
        </is>
      </c>
      <c r="H173" s="467" t="n"/>
      <c r="I173" s="467" t="n"/>
      <c r="J173" s="467" t="n"/>
      <c r="K173" s="362" t="n"/>
      <c r="L173" s="18" t="n">
        <v>0</v>
      </c>
      <c r="M173" s="18">
        <f>SUM(M145:M169)</f>
        <v/>
      </c>
      <c r="N173" s="18" t="n"/>
      <c r="O173" s="18">
        <f>SUM(O145:O169)</f>
        <v/>
      </c>
      <c r="P173" s="18" t="n">
        <v>0</v>
      </c>
      <c r="Q173" s="18">
        <f>SUM(Q145:Q169)</f>
        <v/>
      </c>
      <c r="R173" s="19" t="n"/>
      <c r="S173" s="18">
        <f>SUM(S145:S169)</f>
        <v/>
      </c>
    </row>
    <row r="174" ht="22.2" customHeight="1" s="330" thickTop="1">
      <c r="A174" s="299" t="inlineStr">
        <is>
          <t>รวมจำนวนหน่วยชั่วโมงที่ขอเบิกค่าสอน ….</t>
        </is>
      </c>
      <c r="B174" s="467" t="n"/>
      <c r="C174" s="467" t="n"/>
      <c r="D174" s="467" t="n"/>
      <c r="E174" s="467" t="n"/>
      <c r="F174" s="467" t="n"/>
      <c r="G174" s="467" t="n"/>
      <c r="H174" s="298">
        <f>M173+Q173</f>
        <v/>
      </c>
      <c r="I174" s="298" t="inlineStr">
        <is>
          <t>….ชั่วโมง</t>
        </is>
      </c>
      <c r="J174" s="298" t="n"/>
      <c r="K174" s="301" t="inlineStr">
        <is>
          <t>ยอดเงินรวม</t>
        </is>
      </c>
      <c r="L174" s="471" t="n"/>
      <c r="M174" s="471" t="n"/>
      <c r="N174" s="301" t="n"/>
      <c r="O174" s="301" t="n"/>
      <c r="P174" s="302">
        <f>S173+O173</f>
        <v/>
      </c>
      <c r="Q174" s="482" t="n"/>
      <c r="R174" s="21" t="n"/>
      <c r="S174" s="20" t="inlineStr">
        <is>
          <t>..บาท</t>
        </is>
      </c>
    </row>
    <row r="175" ht="22.2" customHeight="1" s="330">
      <c r="A175" s="207" t="inlineStr">
        <is>
          <t>ผู้ขอเบิก</t>
        </is>
      </c>
      <c r="B175" s="334" t="n"/>
      <c r="C175" s="334" t="n"/>
      <c r="D175" s="334" t="n"/>
      <c r="E175" s="334" t="n"/>
      <c r="F175" s="334" t="n"/>
      <c r="G175" s="335" t="n"/>
      <c r="H175" s="207" t="inlineStr">
        <is>
          <t>ผู้รับรอง</t>
        </is>
      </c>
      <c r="I175" s="334" t="n"/>
      <c r="J175" s="334" t="n"/>
      <c r="K175" s="334" t="n"/>
      <c r="L175" s="335" t="n"/>
      <c r="M175" s="207" t="inlineStr">
        <is>
          <t>ผู้ตรวจ</t>
        </is>
      </c>
      <c r="N175" s="334" t="n"/>
      <c r="O175" s="334" t="n"/>
      <c r="P175" s="334" t="n"/>
      <c r="Q175" s="334" t="n"/>
      <c r="R175" s="334" t="n"/>
      <c r="S175" s="335" t="n"/>
    </row>
    <row r="176" ht="22.2" customHeight="1" s="330">
      <c r="A176" s="252" t="inlineStr">
        <is>
          <t>ลงชื่อ……………………………………………</t>
        </is>
      </c>
      <c r="G176" s="331" t="n"/>
      <c r="H176" s="252" t="inlineStr">
        <is>
          <t>ลงชื่อ……………………………………………</t>
        </is>
      </c>
      <c r="L176" s="331" t="n"/>
      <c r="M176" s="252" t="inlineStr">
        <is>
          <t>ลงชื่อ……………………………………………</t>
        </is>
      </c>
      <c r="S176" s="331" t="n"/>
    </row>
    <row r="177" ht="22.2" customHeight="1" s="330">
      <c r="A177" s="12" t="inlineStr">
        <is>
          <t>(</t>
        </is>
      </c>
      <c r="B177" s="309">
        <f>B145</f>
        <v/>
      </c>
      <c r="G177" s="310" t="inlineStr">
        <is>
          <t>)</t>
        </is>
      </c>
      <c r="H177" s="309" t="inlineStr">
        <is>
          <t>(</t>
        </is>
      </c>
      <c r="I177" s="314">
        <f>I131</f>
        <v/>
      </c>
      <c r="L177" s="13" t="inlineStr">
        <is>
          <t>)</t>
        </is>
      </c>
      <c r="M177" s="61" t="inlineStr">
        <is>
          <t>(</t>
        </is>
      </c>
      <c r="N177" s="61" t="n"/>
      <c r="O177" s="309" t="inlineStr">
        <is>
          <t>นายพิสุทธิศักดิ์  กล่อมนาค</t>
        </is>
      </c>
      <c r="R177" s="29" t="n"/>
      <c r="S177" s="310" t="inlineStr">
        <is>
          <t>)</t>
        </is>
      </c>
    </row>
    <row r="178" ht="22.2" customHeight="1" s="330">
      <c r="A178" s="483" t="inlineStr">
        <is>
          <t xml:space="preserve">                    ตำแหน่ง  ครู</t>
        </is>
      </c>
      <c r="G178" s="331" t="n"/>
      <c r="H178" s="62" t="inlineStr">
        <is>
          <t>ตำแหน่ง หัวหน้าแผนก</t>
        </is>
      </c>
      <c r="L178" s="331" t="n"/>
      <c r="M178" s="62" t="inlineStr">
        <is>
          <t>ตำแหน่ง   ผู้ตรวจสอบ</t>
        </is>
      </c>
      <c r="S178" s="331" t="n"/>
    </row>
    <row r="179" ht="22.2" customHeight="1" s="330">
      <c r="A179" s="63">
        <f>A41</f>
        <v/>
      </c>
      <c r="B179" s="471" t="n"/>
      <c r="C179" s="471" t="n"/>
      <c r="D179" s="471" t="n"/>
      <c r="E179" s="471" t="n"/>
      <c r="F179" s="471" t="n"/>
      <c r="G179" s="476" t="n"/>
      <c r="H179" s="62">
        <f>A41</f>
        <v/>
      </c>
      <c r="L179" s="331" t="n"/>
      <c r="M179" s="63">
        <f>A41</f>
        <v/>
      </c>
      <c r="N179" s="471" t="n"/>
      <c r="O179" s="471" t="n"/>
      <c r="P179" s="471" t="n"/>
      <c r="Q179" s="471" t="n"/>
      <c r="R179" s="471" t="n"/>
      <c r="S179" s="476" t="n"/>
    </row>
    <row r="180" ht="22.2" customHeight="1" s="330">
      <c r="A180" s="207" t="inlineStr">
        <is>
          <t>ผู้ตรวจ</t>
        </is>
      </c>
      <c r="B180" s="334" t="n"/>
      <c r="C180" s="334" t="n"/>
      <c r="D180" s="334" t="n"/>
      <c r="E180" s="334" t="n"/>
      <c r="F180" s="334" t="n"/>
      <c r="G180" s="334" t="n"/>
      <c r="H180" s="334" t="n"/>
      <c r="I180" s="335" t="n"/>
      <c r="J180" s="207" t="inlineStr">
        <is>
          <t>ผู้เห็นชอบ</t>
        </is>
      </c>
      <c r="K180" s="334" t="n"/>
      <c r="L180" s="334" t="n"/>
      <c r="M180" s="334" t="n"/>
      <c r="N180" s="334" t="n"/>
      <c r="O180" s="334" t="n"/>
      <c r="P180" s="334" t="n"/>
      <c r="Q180" s="334" t="n"/>
      <c r="R180" s="334" t="n"/>
      <c r="S180" s="335" t="n"/>
    </row>
    <row r="181" ht="22.2" customHeight="1" s="330">
      <c r="A181" s="252" t="inlineStr">
        <is>
          <t>ลงชื่อ……………………………………………</t>
        </is>
      </c>
      <c r="I181" s="331" t="n"/>
      <c r="J181" s="252" t="inlineStr">
        <is>
          <t>ลงชื่อ……………………………………………</t>
        </is>
      </c>
      <c r="S181" s="331" t="n"/>
    </row>
    <row r="182" ht="22.2" customHeight="1" s="330">
      <c r="A182" s="12" t="n"/>
      <c r="B182" s="309" t="inlineStr">
        <is>
          <t xml:space="preserve">          (นางศิวรักษ์   บุญประเสริฐ)</t>
        </is>
      </c>
      <c r="I182" s="310" t="n"/>
      <c r="J182" s="29" t="n"/>
      <c r="K182" s="29" t="n"/>
      <c r="L182" s="309" t="inlineStr">
        <is>
          <t>(นายปรีชา  โพธิ์เกิด)</t>
        </is>
      </c>
      <c r="R182" s="29" t="n"/>
      <c r="S182" s="13" t="n"/>
    </row>
    <row r="183" ht="22.2" customHeight="1" s="330">
      <c r="A183" s="62" t="inlineStr">
        <is>
          <t>ตำแหน่งครู  หัวหน้างานพัฒนาหลักสูตร ฯ</t>
        </is>
      </c>
      <c r="I183" s="331" t="n"/>
      <c r="J183" s="62" t="inlineStr">
        <is>
          <t>ตำแหน่ง  รองผู้อำนวยการฝ่ายวิชาการ</t>
        </is>
      </c>
      <c r="S183" s="331" t="n"/>
    </row>
    <row r="184" ht="22.2" customHeight="1" s="330">
      <c r="A184" s="63">
        <f>A41</f>
        <v/>
      </c>
      <c r="B184" s="471" t="n"/>
      <c r="C184" s="471" t="n"/>
      <c r="D184" s="471" t="n"/>
      <c r="E184" s="471" t="n"/>
      <c r="F184" s="471" t="n"/>
      <c r="G184" s="471" t="n"/>
      <c r="H184" s="471" t="n"/>
      <c r="I184" s="476" t="n"/>
      <c r="J184" s="63">
        <f>A41</f>
        <v/>
      </c>
      <c r="K184" s="471" t="n"/>
      <c r="L184" s="471" t="n"/>
      <c r="M184" s="471" t="n"/>
      <c r="N184" s="471" t="n"/>
      <c r="O184" s="471" t="n"/>
      <c r="P184" s="471" t="n"/>
      <c r="Q184" s="471" t="n"/>
      <c r="R184" s="471" t="n"/>
      <c r="S184" s="476" t="n"/>
    </row>
    <row r="185" ht="22.2" customHeight="1" s="330">
      <c r="A18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86" ht="22.2" customHeight="1" s="330">
      <c r="A186" s="254">
        <f>A2</f>
        <v/>
      </c>
    </row>
    <row r="187" ht="22.2" customHeight="1" s="330">
      <c r="A187" s="253" t="inlineStr">
        <is>
          <t xml:space="preserve">    ระหว่างวันที่</t>
        </is>
      </c>
      <c r="D187" s="254">
        <f>D3</f>
        <v/>
      </c>
      <c r="E187" s="254" t="inlineStr">
        <is>
          <t xml:space="preserve">   เดือน  </t>
        </is>
      </c>
      <c r="F187" s="254">
        <f>F3</f>
        <v/>
      </c>
      <c r="H187" s="254">
        <f>H3</f>
        <v/>
      </c>
      <c r="I187" s="254" t="inlineStr">
        <is>
          <t xml:space="preserve">     ถึง วันที่</t>
        </is>
      </c>
      <c r="J187" s="254">
        <f>J3</f>
        <v/>
      </c>
      <c r="K187" s="254" t="inlineStr">
        <is>
          <t xml:space="preserve">   เดือน </t>
        </is>
      </c>
      <c r="L187" s="254">
        <f>L3</f>
        <v/>
      </c>
      <c r="N187" s="254">
        <f>N3</f>
        <v/>
      </c>
      <c r="P187" s="254" t="n"/>
      <c r="R187" s="254" t="n"/>
    </row>
    <row r="188" ht="22.2" customHeight="1" s="330">
      <c r="G188" s="58" t="inlineStr">
        <is>
          <t>ü</t>
        </is>
      </c>
      <c r="H188" s="290" t="inlineStr">
        <is>
          <t>ครู</t>
        </is>
      </c>
      <c r="I188" s="249" t="inlineStr">
        <is>
          <t>หน้าที่พิเศษ</t>
        </is>
      </c>
      <c r="J188" s="8" t="inlineStr">
        <is>
          <t>หัวหน้างานศูนย์ข้อมูล และสารสนเทศ</t>
        </is>
      </c>
    </row>
    <row r="189" ht="22.2" customHeight="1" s="330">
      <c r="A189" s="28" t="inlineStr">
        <is>
          <t>ที่</t>
        </is>
      </c>
      <c r="B189" s="28" t="inlineStr">
        <is>
          <t>ชื่อ-สกุล</t>
        </is>
      </c>
      <c r="C189" s="334" t="n"/>
      <c r="D189" s="335" t="n"/>
      <c r="E189" s="16" t="inlineStr">
        <is>
          <t>ตำแหน่ง</t>
        </is>
      </c>
      <c r="F189" s="17" t="inlineStr">
        <is>
          <t>ระยะเวลาที่สอน</t>
        </is>
      </c>
      <c r="G189" s="362" t="n"/>
      <c r="H189" s="17" t="inlineStr">
        <is>
          <t>รหัสวิชา</t>
        </is>
      </c>
      <c r="I189" s="275" t="inlineStr">
        <is>
          <t>ชั้น,แผนก,ห้อง</t>
        </is>
      </c>
      <c r="J189" s="17" t="inlineStr">
        <is>
          <t>เวลาสอน</t>
        </is>
      </c>
      <c r="K189" s="335" t="n"/>
      <c r="L189" s="17" t="inlineStr">
        <is>
          <t>ปวช.(คาบ)</t>
        </is>
      </c>
      <c r="M189" s="362" t="n"/>
      <c r="N189" s="244" t="inlineStr">
        <is>
          <t>เงิน</t>
        </is>
      </c>
      <c r="O189" s="275" t="inlineStr">
        <is>
          <t>ยอดเงิน</t>
        </is>
      </c>
      <c r="P189" s="473" t="inlineStr">
        <is>
          <t>ปวส.(คาบ)</t>
        </is>
      </c>
      <c r="Q189" s="362" t="n"/>
      <c r="R189" s="244" t="inlineStr">
        <is>
          <t>เงิน</t>
        </is>
      </c>
      <c r="S189" s="275" t="inlineStr">
        <is>
          <t>ยอดเงิน</t>
        </is>
      </c>
    </row>
    <row r="190" ht="22.2" customHeight="1" s="330">
      <c r="A190" s="60" t="n"/>
      <c r="B190" s="9" t="n"/>
      <c r="C190" s="10" t="n"/>
      <c r="D190" s="14" t="n"/>
      <c r="E190" s="11" t="n"/>
      <c r="F190" s="276" t="inlineStr">
        <is>
          <t>ส.</t>
        </is>
      </c>
      <c r="G190" s="276" t="inlineStr">
        <is>
          <t>วดป.</t>
        </is>
      </c>
      <c r="H190" s="474" t="n"/>
      <c r="I190" s="276" t="n"/>
      <c r="J190" s="475" t="n"/>
      <c r="K190" s="476" t="n"/>
      <c r="L190" s="276" t="inlineStr">
        <is>
          <t>ใน</t>
        </is>
      </c>
      <c r="M190" s="276" t="inlineStr">
        <is>
          <t>นอก</t>
        </is>
      </c>
      <c r="N190" s="276" t="inlineStr">
        <is>
          <t>ต่อ ชม.</t>
        </is>
      </c>
      <c r="O190" s="276" t="inlineStr">
        <is>
          <t>(บาท)</t>
        </is>
      </c>
      <c r="P190" s="60" t="inlineStr">
        <is>
          <t>ใน</t>
        </is>
      </c>
      <c r="Q190" s="60" t="inlineStr">
        <is>
          <t>นอก</t>
        </is>
      </c>
      <c r="R190" s="276" t="inlineStr">
        <is>
          <t>ต่อ ชม.</t>
        </is>
      </c>
      <c r="S190" s="276" t="inlineStr">
        <is>
          <t>(บาท)</t>
        </is>
      </c>
    </row>
    <row r="191" ht="22.2" customHeight="1" s="330">
      <c r="A191" s="275" t="n">
        <v>5</v>
      </c>
      <c r="B191" s="477">
        <f>AB7</f>
        <v/>
      </c>
      <c r="C191" s="334" t="n"/>
      <c r="D191" s="335" t="n"/>
      <c r="E191" s="275" t="inlineStr">
        <is>
          <t>ครู</t>
        </is>
      </c>
      <c r="F191" s="6">
        <f>F7</f>
        <v/>
      </c>
      <c r="G191" s="303" t="inlineStr">
        <is>
          <t>จันทร์</t>
        </is>
      </c>
      <c r="H191" s="332" t="inlineStr">
        <is>
          <t>30101-2101</t>
        </is>
      </c>
      <c r="I191" s="325" t="inlineStr">
        <is>
          <t>ปวส.2/6 สย. (ม.6)</t>
        </is>
      </c>
      <c r="J191" s="332" t="inlineStr">
        <is>
          <t>08.10-12.10</t>
        </is>
      </c>
      <c r="K191" s="335" t="n"/>
      <c r="L191" s="265" t="n"/>
      <c r="M191" s="332" t="n"/>
      <c r="N191" s="332" t="n"/>
      <c r="O191" s="244">
        <f>M191*N191</f>
        <v/>
      </c>
      <c r="P191" s="332" t="n"/>
      <c r="Q191" s="265" t="n"/>
      <c r="R191" s="332" t="n"/>
      <c r="S191" s="244">
        <f>Q191*R191</f>
        <v/>
      </c>
    </row>
    <row r="192" ht="22.2" customHeight="1" s="330">
      <c r="A192" s="4" t="n"/>
      <c r="B192" s="478" t="n"/>
      <c r="D192" s="331" t="n"/>
      <c r="E192" s="252" t="n"/>
      <c r="F192" s="249" t="n"/>
      <c r="G192" s="308">
        <f>G146</f>
        <v/>
      </c>
      <c r="H192" s="325" t="inlineStr">
        <is>
          <t>30101-2101</t>
        </is>
      </c>
      <c r="I192" s="325" t="inlineStr">
        <is>
          <t>ปวส.2/6 สย. (ม.6)</t>
        </is>
      </c>
      <c r="J192" s="252" t="inlineStr">
        <is>
          <t>13.10-14.10</t>
        </is>
      </c>
      <c r="K192" s="331" t="n"/>
      <c r="L192" s="252" t="n"/>
      <c r="M192" s="252" t="n"/>
      <c r="N192" s="252" t="n"/>
      <c r="O192" s="244">
        <f>M192*N192</f>
        <v/>
      </c>
      <c r="P192" s="252" t="n"/>
      <c r="Q192" s="252" t="n"/>
      <c r="R192" s="252" t="n"/>
      <c r="S192" s="244">
        <f>Q192*R192</f>
        <v/>
      </c>
    </row>
    <row r="193" ht="22.2" customHeight="1" s="330">
      <c r="A193" s="4" t="n"/>
      <c r="B193" s="5" t="n"/>
      <c r="D193" s="3" t="n"/>
      <c r="E193" s="3" t="n"/>
      <c r="F193" s="249" t="n"/>
      <c r="G193" s="248" t="n"/>
      <c r="H193" s="325" t="inlineStr">
        <is>
          <t>30101-2101</t>
        </is>
      </c>
      <c r="I193" s="325" t="inlineStr">
        <is>
          <t>ปวส.2/5 สย. (ม.6)</t>
        </is>
      </c>
      <c r="J193" s="252" t="inlineStr">
        <is>
          <t>14.10-19.10</t>
        </is>
      </c>
      <c r="K193" s="331" t="n"/>
      <c r="L193" s="252" t="n"/>
      <c r="M193" s="252" t="n"/>
      <c r="N193" s="252" t="n"/>
      <c r="O193" s="244">
        <f>M193*N193</f>
        <v/>
      </c>
      <c r="P193" s="252" t="n"/>
      <c r="Q193" s="252" t="n"/>
      <c r="R193" s="252" t="n"/>
      <c r="S193" s="244">
        <f>Q193*R193</f>
        <v/>
      </c>
    </row>
    <row r="194" ht="22.2" customHeight="1" s="330">
      <c r="A194" s="4" t="n"/>
      <c r="B194" s="5" t="n"/>
      <c r="E194" s="4" t="n"/>
      <c r="F194" s="249" t="n"/>
      <c r="G194" s="248" t="n"/>
      <c r="H194" s="252" t="n"/>
      <c r="I194" s="252" t="n"/>
      <c r="J194" s="252" t="n"/>
      <c r="K194" s="331" t="n"/>
      <c r="L194" s="252" t="n"/>
      <c r="M194" s="252" t="n"/>
      <c r="N194" s="252" t="n"/>
      <c r="O194" s="244">
        <f>M194*N194</f>
        <v/>
      </c>
      <c r="P194" s="252" t="n"/>
      <c r="Q194" s="252" t="n"/>
      <c r="R194" s="252" t="n"/>
      <c r="S194" s="244">
        <f>Q194*R194</f>
        <v/>
      </c>
    </row>
    <row r="195" ht="22.2" customHeight="1" s="330">
      <c r="A195" s="4" t="n"/>
      <c r="E195" s="4" t="n"/>
      <c r="G195" s="311" t="n"/>
      <c r="H195" s="276" t="n"/>
      <c r="I195" s="276" t="n"/>
      <c r="J195" s="276" t="n"/>
      <c r="K195" s="476" t="n"/>
      <c r="L195" s="252" t="n"/>
      <c r="M195" s="252" t="n"/>
      <c r="N195" s="252" t="n"/>
      <c r="O195" s="244">
        <f>M195*N195</f>
        <v/>
      </c>
      <c r="P195" s="252" t="n"/>
      <c r="Q195" s="252" t="n"/>
      <c r="R195" s="252" t="n"/>
      <c r="S195" s="244">
        <f>Q195*R195</f>
        <v/>
      </c>
    </row>
    <row r="196" ht="22.2" customHeight="1" s="330">
      <c r="A196" s="4" t="n"/>
      <c r="B196" s="170" t="n"/>
      <c r="C196" s="171" t="n"/>
      <c r="D196" s="172" t="n"/>
      <c r="E196" s="173" t="n"/>
      <c r="F196" s="172" t="n"/>
      <c r="G196" s="62" t="inlineStr">
        <is>
          <t>อังคาร</t>
        </is>
      </c>
      <c r="H196" s="332" t="inlineStr">
        <is>
          <t>30101-2101</t>
        </is>
      </c>
      <c r="I196" s="325" t="inlineStr">
        <is>
          <t>ปวส.2/7 สย. (ม.6)</t>
        </is>
      </c>
      <c r="J196" s="332" t="inlineStr">
        <is>
          <t>08.10-12.10</t>
        </is>
      </c>
      <c r="K196" s="335" t="n"/>
      <c r="L196" s="265" t="n"/>
      <c r="M196" s="332" t="n"/>
      <c r="N196" s="332" t="n"/>
      <c r="O196" s="244">
        <f>M196*N196</f>
        <v/>
      </c>
      <c r="P196" s="332" t="n"/>
      <c r="Q196" s="265" t="n"/>
      <c r="R196" s="332" t="n"/>
      <c r="S196" s="244">
        <f>Q196*R196</f>
        <v/>
      </c>
    </row>
    <row r="197" ht="22.2" customHeight="1" s="330">
      <c r="A197" s="4" t="n"/>
      <c r="D197" s="3" t="n"/>
      <c r="E197" s="4" t="n"/>
      <c r="G197" s="308">
        <f>G151</f>
        <v/>
      </c>
      <c r="H197" s="325" t="inlineStr">
        <is>
          <t>30101-2101</t>
        </is>
      </c>
      <c r="I197" s="325" t="inlineStr">
        <is>
          <t>ปวส.2/7 สย. (ม.6)</t>
        </is>
      </c>
      <c r="J197" s="252" t="inlineStr">
        <is>
          <t>13.10-14.10</t>
        </is>
      </c>
      <c r="K197" s="331" t="n"/>
      <c r="L197" s="252" t="n"/>
      <c r="M197" s="252" t="n"/>
      <c r="N197" s="252" t="n"/>
      <c r="O197" s="244">
        <f>M197*N197</f>
        <v/>
      </c>
      <c r="P197" s="252" t="n"/>
      <c r="Q197" s="252" t="n"/>
      <c r="R197" s="252" t="n"/>
      <c r="S197" s="244">
        <f>Q197*R197</f>
        <v/>
      </c>
    </row>
    <row r="198" ht="22.2" customHeight="1" s="330">
      <c r="A198" s="4" t="n"/>
      <c r="B198" s="5" t="n"/>
      <c r="D198" s="3" t="n"/>
      <c r="E198" s="3" t="n"/>
      <c r="G198" s="252" t="n"/>
      <c r="H198" s="252" t="n"/>
      <c r="I198" s="325" t="n"/>
      <c r="J198" s="252" t="n"/>
      <c r="K198" s="331" t="n"/>
      <c r="L198" s="252" t="n"/>
      <c r="M198" s="252" t="n"/>
      <c r="N198" s="252" t="n"/>
      <c r="O198" s="244">
        <f>M198*N198</f>
        <v/>
      </c>
      <c r="P198" s="252" t="n"/>
      <c r="Q198" s="252" t="n"/>
      <c r="R198" s="252" t="n"/>
      <c r="S198" s="244">
        <f>Q198*R198</f>
        <v/>
      </c>
    </row>
    <row r="199" ht="22.2" customHeight="1" s="330">
      <c r="A199" s="4" t="n"/>
      <c r="E199" s="4" t="n"/>
      <c r="G199" s="62" t="n"/>
      <c r="H199" s="252" t="n"/>
      <c r="I199" s="252" t="n"/>
      <c r="J199" s="252" t="n"/>
      <c r="K199" s="331" t="n"/>
      <c r="L199" s="252" t="n"/>
      <c r="M199" s="252" t="n"/>
      <c r="N199" s="252" t="n"/>
      <c r="O199" s="244">
        <f>M199*N199</f>
        <v/>
      </c>
      <c r="P199" s="252" t="n"/>
      <c r="Q199" s="252" t="n"/>
      <c r="R199" s="252" t="n"/>
      <c r="S199" s="244">
        <f>Q199*R199</f>
        <v/>
      </c>
    </row>
    <row r="200" ht="22.2" customHeight="1" s="330">
      <c r="A200" s="4" t="n"/>
      <c r="D200" s="8" t="inlineStr">
        <is>
          <t> </t>
        </is>
      </c>
      <c r="E200" s="4" t="n"/>
      <c r="G200" s="63" t="n"/>
      <c r="H200" s="276" t="n"/>
      <c r="I200" s="276" t="n"/>
      <c r="J200" s="276" t="n"/>
      <c r="K200" s="476" t="n"/>
      <c r="L200" s="252" t="n"/>
      <c r="M200" s="252" t="n"/>
      <c r="N200" s="252" t="n"/>
      <c r="O200" s="244">
        <f>M200*N200</f>
        <v/>
      </c>
      <c r="P200" s="252" t="n"/>
      <c r="Q200" s="252" t="n"/>
      <c r="R200" s="252" t="n"/>
      <c r="S200" s="244">
        <f>Q200*R200</f>
        <v/>
      </c>
    </row>
    <row r="201" ht="22.2" customHeight="1" s="330">
      <c r="A201" s="4" t="n"/>
      <c r="E201" s="4" t="n"/>
      <c r="G201" s="308" t="inlineStr">
        <is>
          <t>พุธ</t>
        </is>
      </c>
      <c r="H201" s="252" t="inlineStr">
        <is>
          <t>30101-8001</t>
        </is>
      </c>
      <c r="I201" s="325" t="inlineStr">
        <is>
          <t>ปวส.2/2 สย. (ปกติ)</t>
        </is>
      </c>
      <c r="J201" s="332" t="inlineStr">
        <is>
          <t>08.10-12.10</t>
        </is>
      </c>
      <c r="K201" s="335" t="n"/>
      <c r="L201" s="265" t="n"/>
      <c r="M201" s="332" t="n"/>
      <c r="N201" s="332" t="n"/>
      <c r="O201" s="244">
        <f>M201*N201</f>
        <v/>
      </c>
      <c r="P201" s="332" t="n"/>
      <c r="Q201" s="265" t="n"/>
      <c r="R201" s="332" t="n"/>
      <c r="S201" s="244">
        <f>Q201*R201</f>
        <v/>
      </c>
      <c r="T201" s="24" t="n"/>
      <c r="U201" s="24" t="inlineStr">
        <is>
          <t>สอน ป.ตรี</t>
        </is>
      </c>
      <c r="V201" s="65" t="n"/>
      <c r="W201" s="24" t="n"/>
      <c r="X201" s="24" t="n"/>
    </row>
    <row r="202" ht="22.2" customHeight="1" s="330">
      <c r="A202" s="4" t="n"/>
      <c r="B202" s="248" t="n"/>
      <c r="C202" s="249" t="n"/>
      <c r="D202" s="249" t="n"/>
      <c r="E202" s="252" t="n"/>
      <c r="G202" s="308">
        <f>G156</f>
        <v/>
      </c>
      <c r="H202" s="252" t="n"/>
      <c r="I202" s="325" t="n"/>
      <c r="J202" s="252" t="n"/>
      <c r="K202" s="331" t="n"/>
      <c r="L202" s="252" t="n"/>
      <c r="M202" s="252" t="n"/>
      <c r="N202" s="252" t="n"/>
      <c r="O202" s="244">
        <f>M202*N202</f>
        <v/>
      </c>
      <c r="P202" s="252" t="n"/>
      <c r="Q202" s="252" t="n"/>
      <c r="R202" s="252" t="n"/>
      <c r="S202" s="244">
        <f>Q202*R202</f>
        <v/>
      </c>
      <c r="T202" s="24" t="n"/>
      <c r="U202" s="24" t="inlineStr">
        <is>
          <t>17.10-20.10</t>
        </is>
      </c>
      <c r="V202" s="65" t="n"/>
      <c r="W202" s="24" t="n"/>
      <c r="X202" s="24" t="n"/>
    </row>
    <row r="203" ht="22.2" customHeight="1" s="330">
      <c r="A203" s="4" t="n"/>
      <c r="B203" s="5" t="n"/>
      <c r="D203" s="3" t="n"/>
      <c r="E203" s="3" t="n"/>
      <c r="G203" s="252" t="n"/>
      <c r="H203" s="252" t="n"/>
      <c r="I203" s="325" t="n"/>
      <c r="J203" s="252" t="n"/>
      <c r="K203" s="331" t="n"/>
      <c r="L203" s="252" t="n"/>
      <c r="M203" s="252" t="n"/>
      <c r="N203" s="252" t="n"/>
      <c r="O203" s="244">
        <f>M203*N203</f>
        <v/>
      </c>
      <c r="P203" s="252" t="n"/>
      <c r="Q203" s="252" t="n"/>
      <c r="R203" s="252" t="n"/>
      <c r="S203" s="244">
        <f>Q203*R203</f>
        <v/>
      </c>
    </row>
    <row r="204" ht="22.2" customHeight="1" s="330">
      <c r="A204" s="4" t="n"/>
      <c r="E204" s="4" t="n"/>
      <c r="G204" s="248" t="n"/>
      <c r="H204" s="248" t="n"/>
      <c r="I204" s="252" t="n"/>
      <c r="J204" s="252" t="n"/>
      <c r="K204" s="331" t="n"/>
      <c r="L204" s="252" t="n"/>
      <c r="M204" s="252" t="n"/>
      <c r="N204" s="252" t="n"/>
      <c r="O204" s="244">
        <f>M204*N204</f>
        <v/>
      </c>
      <c r="P204" s="252" t="n"/>
      <c r="Q204" s="252" t="n"/>
      <c r="R204" s="252" t="n"/>
      <c r="S204" s="244">
        <f>Q204*R204</f>
        <v/>
      </c>
    </row>
    <row r="205" ht="22.2" customHeight="1" s="330">
      <c r="A205" s="4" t="n"/>
      <c r="E205" s="4" t="n"/>
      <c r="G205" s="277" t="n"/>
      <c r="H205" s="277" t="n"/>
      <c r="I205" s="276" t="n"/>
      <c r="J205" s="276" t="n"/>
      <c r="K205" s="476" t="n"/>
      <c r="L205" s="276" t="n"/>
      <c r="M205" s="276" t="n"/>
      <c r="N205" s="276" t="n"/>
      <c r="O205" s="244">
        <f>M205*N205</f>
        <v/>
      </c>
      <c r="P205" s="276" t="n"/>
      <c r="Q205" s="276" t="n"/>
      <c r="R205" s="276" t="n"/>
      <c r="S205" s="244">
        <f>Q205*R205</f>
        <v/>
      </c>
    </row>
    <row r="206" ht="22.2" customHeight="1" s="330">
      <c r="A206" s="4" t="n"/>
      <c r="E206" s="4" t="n"/>
      <c r="G206" s="62" t="inlineStr">
        <is>
          <t>พฤหัส</t>
        </is>
      </c>
      <c r="H206" s="252" t="n"/>
      <c r="I206" s="325" t="n"/>
      <c r="J206" s="332" t="n"/>
      <c r="K206" s="335" t="n"/>
      <c r="L206" s="252" t="n"/>
      <c r="M206" s="252" t="n"/>
      <c r="N206" s="252" t="n"/>
      <c r="O206" s="244">
        <f>M206*N206</f>
        <v/>
      </c>
      <c r="P206" s="252" t="n"/>
      <c r="Q206" s="275" t="n"/>
      <c r="R206" s="275" t="n"/>
      <c r="S206" s="244">
        <f>Q206*R206</f>
        <v/>
      </c>
    </row>
    <row r="207" ht="22.2" customHeight="1" s="330">
      <c r="A207" s="4" t="n"/>
      <c r="E207" s="4" t="n"/>
      <c r="G207" s="308">
        <f>G161</f>
        <v/>
      </c>
      <c r="H207" s="252" t="n"/>
      <c r="I207" s="325" t="n"/>
      <c r="J207" s="252" t="n"/>
      <c r="K207" s="331" t="n"/>
      <c r="L207" s="252" t="n"/>
      <c r="M207" s="252" t="n"/>
      <c r="N207" s="252" t="n"/>
      <c r="O207" s="244">
        <f>M207*N207</f>
        <v/>
      </c>
      <c r="P207" s="252" t="n"/>
      <c r="Q207" s="252" t="n"/>
      <c r="R207" s="252" t="n"/>
      <c r="S207" s="244">
        <f>Q207*R207</f>
        <v/>
      </c>
    </row>
    <row r="208" ht="22.2" customHeight="1" s="330">
      <c r="A208" s="4" t="n"/>
      <c r="E208" s="4" t="n"/>
      <c r="G208" s="252" t="n"/>
      <c r="H208" s="325" t="n"/>
      <c r="I208" s="325" t="n"/>
      <c r="J208" s="252" t="n"/>
      <c r="K208" s="331" t="n"/>
      <c r="L208" s="325" t="n"/>
      <c r="M208" s="325" t="n"/>
      <c r="N208" s="325" t="n"/>
      <c r="O208" s="244">
        <f>M208*N208</f>
        <v/>
      </c>
      <c r="P208" s="325" t="n"/>
      <c r="Q208" s="325" t="n"/>
      <c r="R208" s="325" t="n"/>
      <c r="S208" s="244">
        <f>Q208*R208</f>
        <v/>
      </c>
    </row>
    <row r="209" ht="22.2" customHeight="1" s="330">
      <c r="A209" s="4" t="n"/>
      <c r="E209" s="4" t="n"/>
      <c r="G209" s="252" t="n"/>
      <c r="H209" s="252" t="n"/>
      <c r="I209" s="252" t="n"/>
      <c r="J209" s="252" t="n"/>
      <c r="K209" s="331" t="n"/>
      <c r="L209" s="252" t="n"/>
      <c r="M209" s="252" t="n"/>
      <c r="N209" s="252" t="n"/>
      <c r="O209" s="244">
        <f>M209*N209</f>
        <v/>
      </c>
      <c r="P209" s="252" t="n"/>
      <c r="Q209" s="252" t="n"/>
      <c r="R209" s="252" t="n"/>
      <c r="S209" s="244">
        <f>Q209*R209</f>
        <v/>
      </c>
    </row>
    <row r="210" ht="22.2" customHeight="1" s="330">
      <c r="A210" s="4" t="n"/>
      <c r="E210" s="4" t="n"/>
      <c r="G210" s="276" t="n"/>
      <c r="H210" s="301" t="n"/>
      <c r="I210" s="276" t="n"/>
      <c r="J210" s="276" t="n"/>
      <c r="K210" s="476" t="n"/>
      <c r="L210" s="276" t="n"/>
      <c r="M210" s="276" t="n"/>
      <c r="N210" s="276" t="n"/>
      <c r="O210" s="244">
        <f>M210*N210</f>
        <v/>
      </c>
      <c r="P210" s="276" t="n"/>
      <c r="Q210" s="276" t="n"/>
      <c r="R210" s="276" t="n"/>
      <c r="S210" s="244">
        <f>Q210*R210</f>
        <v/>
      </c>
    </row>
    <row r="211" ht="22.2" customHeight="1" s="330">
      <c r="A211" s="4" t="n"/>
      <c r="E211" s="4" t="n"/>
      <c r="G211" s="62" t="inlineStr">
        <is>
          <t>ศุกร์</t>
        </is>
      </c>
      <c r="H211" s="332" t="inlineStr">
        <is>
          <t>30101-2109</t>
        </is>
      </c>
      <c r="I211" s="325" t="inlineStr">
        <is>
          <t>ปวส.2/5 สย. (ม.6)</t>
        </is>
      </c>
      <c r="J211" s="332" t="inlineStr">
        <is>
          <t>08.10-12.10</t>
        </is>
      </c>
      <c r="K211" s="335" t="n"/>
      <c r="L211" s="252" t="n"/>
      <c r="M211" s="252" t="n"/>
      <c r="N211" s="252" t="n"/>
      <c r="O211" s="244">
        <f>M211*N211</f>
        <v/>
      </c>
      <c r="P211" s="332" t="n"/>
      <c r="Q211" s="265" t="n"/>
      <c r="R211" s="332" t="n"/>
      <c r="S211" s="244">
        <f>Q211*R211</f>
        <v/>
      </c>
    </row>
    <row r="212" ht="22.2" customHeight="1" s="330">
      <c r="A212" s="4" t="n"/>
      <c r="B212" s="170" t="n"/>
      <c r="C212" s="171" t="n"/>
      <c r="D212" s="172" t="n"/>
      <c r="E212" s="173" t="n"/>
      <c r="F212" s="172" t="n"/>
      <c r="G212" s="308">
        <f>G166</f>
        <v/>
      </c>
      <c r="H212" s="325" t="inlineStr">
        <is>
          <t>30101-2109</t>
        </is>
      </c>
      <c r="I212" s="325" t="inlineStr">
        <is>
          <t>ปวส.2/5 สย. (ม.6)</t>
        </is>
      </c>
      <c r="J212" s="252" t="inlineStr">
        <is>
          <t>13.10-14.10</t>
        </is>
      </c>
      <c r="K212" s="331" t="n"/>
      <c r="L212" s="252" t="n"/>
      <c r="M212" s="252" t="n"/>
      <c r="N212" s="252" t="n"/>
      <c r="O212" s="244">
        <f>M212*N212</f>
        <v/>
      </c>
      <c r="P212" s="252" t="n"/>
      <c r="Q212" s="252" t="n"/>
      <c r="R212" s="252" t="n"/>
      <c r="S212" s="244">
        <f>Q212*R212</f>
        <v/>
      </c>
    </row>
    <row r="213" ht="22.2" customHeight="1" s="330">
      <c r="A213" s="4" t="n"/>
      <c r="E213" s="4" t="n"/>
      <c r="G213" s="252" t="n"/>
      <c r="H213" s="325" t="n"/>
      <c r="I213" s="325" t="n"/>
      <c r="J213" s="252" t="n"/>
      <c r="K213" s="331" t="n"/>
      <c r="L213" s="252" t="n"/>
      <c r="M213" s="252" t="n"/>
      <c r="N213" s="252" t="n"/>
      <c r="O213" s="244">
        <f>M213*N213</f>
        <v/>
      </c>
      <c r="P213" s="252" t="n"/>
      <c r="Q213" s="252" t="n"/>
      <c r="R213" s="252" t="n"/>
      <c r="S213" s="244">
        <f>Q213*R213</f>
        <v/>
      </c>
    </row>
    <row r="214" ht="22.2" customHeight="1" s="330">
      <c r="A214" s="4" t="n"/>
      <c r="E214" s="4" t="n"/>
      <c r="G214" s="252" t="n"/>
      <c r="H214" s="252" t="n"/>
      <c r="I214" s="252" t="n"/>
      <c r="J214" s="252" t="n"/>
      <c r="K214" s="331" t="n"/>
      <c r="L214" s="252" t="n"/>
      <c r="M214" s="252" t="n"/>
      <c r="N214" s="252" t="n"/>
      <c r="O214" s="244">
        <f>M214*N214</f>
        <v/>
      </c>
      <c r="P214" s="252" t="n"/>
      <c r="Q214" s="252" t="n"/>
      <c r="R214" s="252" t="n"/>
      <c r="S214" s="244">
        <f>Q214*R214</f>
        <v/>
      </c>
    </row>
    <row r="215" ht="22.2" customHeight="1" s="330">
      <c r="A215" s="4" t="n"/>
      <c r="E215" s="4" t="n"/>
      <c r="F215" s="4" t="n"/>
      <c r="G215" s="278" t="n"/>
      <c r="H215" s="301" t="n"/>
      <c r="I215" s="276" t="n"/>
      <c r="J215" s="276" t="n"/>
      <c r="K215" s="476" t="n"/>
      <c r="L215" s="276" t="n"/>
      <c r="M215" s="276" t="n"/>
      <c r="N215" s="276" t="n"/>
      <c r="O215" s="244">
        <f>M215*N215</f>
        <v/>
      </c>
      <c r="P215" s="276" t="n"/>
      <c r="Q215" s="276" t="n"/>
      <c r="R215" s="276" t="n"/>
      <c r="S215" s="244">
        <f>Q215*R215</f>
        <v/>
      </c>
    </row>
    <row r="216" ht="22.2" customHeight="1" s="330">
      <c r="A216" s="4" t="n"/>
      <c r="E216" s="4" t="n"/>
      <c r="F216" s="4" t="n"/>
      <c r="G216" s="17" t="inlineStr">
        <is>
          <t>รวมขั่วโมงที่สอนแยก ภาระงาน/ เกินภาระงาน</t>
        </is>
      </c>
      <c r="H216" s="467" t="n"/>
      <c r="I216" s="467" t="n"/>
      <c r="J216" s="467" t="n"/>
      <c r="K216" s="362" t="n"/>
      <c r="L216" s="17">
        <f>SUM(L191:L215)</f>
        <v/>
      </c>
      <c r="M216" s="17">
        <f>SUM(M191:M215)</f>
        <v/>
      </c>
      <c r="N216" s="17" t="n"/>
      <c r="O216" s="17" t="n"/>
      <c r="P216" s="17">
        <f>SUM(P191:P215)</f>
        <v/>
      </c>
      <c r="Q216" s="17">
        <f>SUM(Q191:Q215)</f>
        <v/>
      </c>
      <c r="R216" s="279" t="n"/>
      <c r="S216" s="17" t="n"/>
      <c r="T216" s="25" t="n"/>
      <c r="U216" s="26" t="inlineStr">
        <is>
          <t xml:space="preserve">     PLC</t>
        </is>
      </c>
      <c r="V216" s="64" t="n"/>
      <c r="W216" s="27" t="n"/>
      <c r="X216" s="27" t="n"/>
    </row>
    <row r="217" ht="22.2" customHeight="1" s="330">
      <c r="A217" s="4" t="n"/>
      <c r="E217" s="4" t="n"/>
      <c r="F217" s="4" t="n"/>
      <c r="G217" s="17" t="inlineStr">
        <is>
          <t>รวมจำนวนชั่วโมงสอนคาบต่อสับดาห์</t>
        </is>
      </c>
      <c r="H217" s="467" t="n"/>
      <c r="I217" s="467" t="n"/>
      <c r="J217" s="467" t="n"/>
      <c r="K217" s="362" t="n"/>
      <c r="L217" s="17">
        <f>L216+M216</f>
        <v/>
      </c>
      <c r="M217" s="362" t="n"/>
      <c r="N217" s="17" t="n"/>
      <c r="O217" s="298" t="n"/>
      <c r="P217" s="17">
        <f>P216+Q216</f>
        <v/>
      </c>
      <c r="Q217" s="362" t="n"/>
      <c r="R217" s="278" t="n"/>
      <c r="S217" s="276" t="n"/>
      <c r="T217" s="27" t="inlineStr">
        <is>
          <t> </t>
        </is>
      </c>
      <c r="U217" s="26" t="inlineStr">
        <is>
          <t>17.10-19.10</t>
        </is>
      </c>
      <c r="V217" s="64" t="n"/>
      <c r="W217" s="27" t="n"/>
      <c r="X217" s="27" t="n"/>
    </row>
    <row r="218" ht="22.2" customHeight="1" s="330">
      <c r="A218" s="4" t="n"/>
      <c r="E218" s="4" t="n"/>
      <c r="F218" s="4" t="n"/>
      <c r="G218" s="17" t="inlineStr">
        <is>
          <t>จำนวนชั่วโมงสอนตามภาระงานสอน</t>
        </is>
      </c>
      <c r="H218" s="467" t="n"/>
      <c r="I218" s="467" t="n"/>
      <c r="J218" s="467" t="n"/>
      <c r="K218" s="362" t="n"/>
      <c r="L218" s="17" t="n">
        <v>0</v>
      </c>
      <c r="M218" s="362" t="n"/>
      <c r="N218" s="298" t="n"/>
      <c r="O218" s="17" t="n"/>
      <c r="P218" s="17" t="n">
        <v>10</v>
      </c>
      <c r="Q218" s="362" t="n"/>
      <c r="R218" s="249" t="n"/>
      <c r="S218" s="252" t="n"/>
    </row>
    <row r="219" ht="22.2" customHeight="1" s="330" thickBot="1">
      <c r="A219" s="4" t="n"/>
      <c r="E219" s="4" t="n"/>
      <c r="F219" s="15" t="n"/>
      <c r="G219" s="17" t="inlineStr">
        <is>
          <t>จำนวนชั่วโมงบิกเกินภาระงานสอน/ค่าสอน</t>
        </is>
      </c>
      <c r="H219" s="467" t="n"/>
      <c r="I219" s="467" t="n"/>
      <c r="J219" s="467" t="n"/>
      <c r="K219" s="362" t="n"/>
      <c r="L219" s="18" t="n">
        <v>0</v>
      </c>
      <c r="M219" s="18">
        <f>SUM(M191:M215)</f>
        <v/>
      </c>
      <c r="N219" s="18" t="n"/>
      <c r="O219" s="18">
        <f>SUM(O191:O215)</f>
        <v/>
      </c>
      <c r="P219" s="18" t="n">
        <v>0</v>
      </c>
      <c r="Q219" s="18">
        <f>SUM(Q191:Q215)</f>
        <v/>
      </c>
      <c r="R219" s="19" t="n"/>
      <c r="S219" s="18">
        <f>SUM(S191:S215)</f>
        <v/>
      </c>
    </row>
    <row r="220" ht="22.2" customHeight="1" s="330" thickTop="1">
      <c r="A220" s="299" t="inlineStr">
        <is>
          <t>รวมจำนวนหน่วยชั่วโมงที่ขอเบิกค่าสอน ….</t>
        </is>
      </c>
      <c r="B220" s="467" t="n"/>
      <c r="C220" s="467" t="n"/>
      <c r="D220" s="467" t="n"/>
      <c r="E220" s="467" t="n"/>
      <c r="F220" s="467" t="n"/>
      <c r="G220" s="467" t="n"/>
      <c r="H220" s="298">
        <f>M219+Q219</f>
        <v/>
      </c>
      <c r="I220" s="298" t="inlineStr">
        <is>
          <t>….ชั่วโมง</t>
        </is>
      </c>
      <c r="J220" s="298" t="n"/>
      <c r="K220" s="301" t="inlineStr">
        <is>
          <t>ยอดเงินรวม</t>
        </is>
      </c>
      <c r="L220" s="471" t="n"/>
      <c r="M220" s="471" t="n"/>
      <c r="N220" s="301" t="n"/>
      <c r="O220" s="301" t="n"/>
      <c r="P220" s="302">
        <f>S219+O219</f>
        <v/>
      </c>
      <c r="Q220" s="482" t="n"/>
      <c r="R220" s="21" t="n"/>
      <c r="S220" s="20" t="inlineStr">
        <is>
          <t>..บาท</t>
        </is>
      </c>
    </row>
    <row r="221" ht="22.2" customHeight="1" s="330">
      <c r="A221" s="207" t="inlineStr">
        <is>
          <t>ผู้ขอเบิก</t>
        </is>
      </c>
      <c r="B221" s="334" t="n"/>
      <c r="C221" s="334" t="n"/>
      <c r="D221" s="334" t="n"/>
      <c r="E221" s="334" t="n"/>
      <c r="F221" s="334" t="n"/>
      <c r="G221" s="335" t="n"/>
      <c r="H221" s="207" t="inlineStr">
        <is>
          <t>ผู้รับรอง</t>
        </is>
      </c>
      <c r="I221" s="334" t="n"/>
      <c r="J221" s="334" t="n"/>
      <c r="K221" s="334" t="n"/>
      <c r="L221" s="335" t="n"/>
      <c r="M221" s="207" t="inlineStr">
        <is>
          <t>ผู้ตรวจ</t>
        </is>
      </c>
      <c r="N221" s="334" t="n"/>
      <c r="O221" s="334" t="n"/>
      <c r="P221" s="334" t="n"/>
      <c r="Q221" s="334" t="n"/>
      <c r="R221" s="334" t="n"/>
      <c r="S221" s="335" t="n"/>
    </row>
    <row r="222" ht="22.2" customHeight="1" s="330">
      <c r="A222" s="252" t="inlineStr">
        <is>
          <t>ลงชื่อ……………………………………………</t>
        </is>
      </c>
      <c r="G222" s="331" t="n"/>
      <c r="H222" s="252" t="inlineStr">
        <is>
          <t>ลงชื่อ……………………………………………</t>
        </is>
      </c>
      <c r="L222" s="331" t="n"/>
      <c r="M222" s="252" t="inlineStr">
        <is>
          <t>ลงชื่อ……………………………………………</t>
        </is>
      </c>
      <c r="S222" s="331" t="n"/>
    </row>
    <row r="223" ht="22.2" customHeight="1" s="330">
      <c r="A223" s="12" t="inlineStr">
        <is>
          <t>(</t>
        </is>
      </c>
      <c r="B223" s="309">
        <f>B191</f>
        <v/>
      </c>
      <c r="G223" s="310" t="inlineStr">
        <is>
          <t>)</t>
        </is>
      </c>
      <c r="H223" s="309" t="inlineStr">
        <is>
          <t>(</t>
        </is>
      </c>
      <c r="I223" s="314">
        <f>I177</f>
        <v/>
      </c>
      <c r="L223" s="13" t="inlineStr">
        <is>
          <t>)</t>
        </is>
      </c>
      <c r="M223" s="61" t="inlineStr">
        <is>
          <t>(</t>
        </is>
      </c>
      <c r="N223" s="61" t="n"/>
      <c r="O223" s="309" t="inlineStr">
        <is>
          <t>นายพิสุทธิศักดิ์  กล่อมนาค</t>
        </is>
      </c>
      <c r="R223" s="29" t="n"/>
      <c r="S223" s="310" t="inlineStr">
        <is>
          <t>)</t>
        </is>
      </c>
    </row>
    <row r="224" ht="22.2" customHeight="1" s="330">
      <c r="A224" s="483" t="inlineStr">
        <is>
          <t xml:space="preserve">                    ตำแหน่ง  ครู</t>
        </is>
      </c>
      <c r="G224" s="331" t="n"/>
      <c r="H224" s="62" t="inlineStr">
        <is>
          <t>ตำแหน่ง หัวหน้าแผนก</t>
        </is>
      </c>
      <c r="L224" s="331" t="n"/>
      <c r="M224" s="62" t="inlineStr">
        <is>
          <t>ตำแหน่ง   ผู้ตรวจสอบ</t>
        </is>
      </c>
      <c r="S224" s="331" t="n"/>
    </row>
    <row r="225" ht="22.2" customHeight="1" s="330">
      <c r="A225" s="63">
        <f>A41</f>
        <v/>
      </c>
      <c r="B225" s="471" t="n"/>
      <c r="C225" s="471" t="n"/>
      <c r="D225" s="471" t="n"/>
      <c r="E225" s="471" t="n"/>
      <c r="F225" s="471" t="n"/>
      <c r="G225" s="476" t="n"/>
      <c r="H225" s="62">
        <f>A41</f>
        <v/>
      </c>
      <c r="L225" s="331" t="n"/>
      <c r="M225" s="63">
        <f>A41</f>
        <v/>
      </c>
      <c r="N225" s="471" t="n"/>
      <c r="O225" s="471" t="n"/>
      <c r="P225" s="471" t="n"/>
      <c r="Q225" s="471" t="n"/>
      <c r="R225" s="471" t="n"/>
      <c r="S225" s="476" t="n"/>
    </row>
    <row r="226" ht="22.2" customHeight="1" s="330">
      <c r="A226" s="207" t="inlineStr">
        <is>
          <t>ผู้ตรวจ</t>
        </is>
      </c>
      <c r="B226" s="334" t="n"/>
      <c r="C226" s="334" t="n"/>
      <c r="D226" s="334" t="n"/>
      <c r="E226" s="334" t="n"/>
      <c r="F226" s="334" t="n"/>
      <c r="G226" s="334" t="n"/>
      <c r="H226" s="334" t="n"/>
      <c r="I226" s="335" t="n"/>
      <c r="J226" s="207" t="inlineStr">
        <is>
          <t>ผู้เห็นชอบ</t>
        </is>
      </c>
      <c r="K226" s="334" t="n"/>
      <c r="L226" s="334" t="n"/>
      <c r="M226" s="334" t="n"/>
      <c r="N226" s="334" t="n"/>
      <c r="O226" s="334" t="n"/>
      <c r="P226" s="334" t="n"/>
      <c r="Q226" s="334" t="n"/>
      <c r="R226" s="334" t="n"/>
      <c r="S226" s="335" t="n"/>
    </row>
    <row r="227" ht="22.2" customHeight="1" s="330">
      <c r="A227" s="252" t="inlineStr">
        <is>
          <t>ลงชื่อ……………………………………………</t>
        </is>
      </c>
      <c r="I227" s="331" t="n"/>
      <c r="J227" s="252" t="inlineStr">
        <is>
          <t>ลงชื่อ……………………………………………</t>
        </is>
      </c>
      <c r="S227" s="331" t="n"/>
    </row>
    <row r="228" ht="22.2" customHeight="1" s="330">
      <c r="A228" s="12" t="n"/>
      <c r="B228" s="309" t="inlineStr">
        <is>
          <t xml:space="preserve">          (นางศิวรักษ์   บุญประเสริฐ)</t>
        </is>
      </c>
      <c r="I228" s="310" t="n"/>
      <c r="J228" s="29" t="n"/>
      <c r="K228" s="29" t="n"/>
      <c r="L228" s="309" t="inlineStr">
        <is>
          <t>(นายปรีชา  โพธิ์เกิด)</t>
        </is>
      </c>
      <c r="R228" s="29" t="n"/>
      <c r="S228" s="13" t="n"/>
    </row>
    <row r="229" ht="22.2" customHeight="1" s="330">
      <c r="A229" s="62" t="inlineStr">
        <is>
          <t>ตำแหน่งครู  หัวหน้างานพัฒนาหลักสูตร ฯ</t>
        </is>
      </c>
      <c r="I229" s="331" t="n"/>
      <c r="J229" s="62" t="inlineStr">
        <is>
          <t>ตำแหน่ง  รองผู้อำนวยการฝ่ายวิชาการ</t>
        </is>
      </c>
      <c r="S229" s="331" t="n"/>
    </row>
    <row r="230" ht="22.2" customHeight="1" s="330">
      <c r="A230" s="63">
        <f>A41</f>
        <v/>
      </c>
      <c r="B230" s="471" t="n"/>
      <c r="C230" s="471" t="n"/>
      <c r="D230" s="471" t="n"/>
      <c r="E230" s="471" t="n"/>
      <c r="F230" s="471" t="n"/>
      <c r="G230" s="471" t="n"/>
      <c r="H230" s="471" t="n"/>
      <c r="I230" s="476" t="n"/>
      <c r="J230" s="63">
        <f>A41</f>
        <v/>
      </c>
      <c r="K230" s="471" t="n"/>
      <c r="L230" s="471" t="n"/>
      <c r="M230" s="471" t="n"/>
      <c r="N230" s="471" t="n"/>
      <c r="O230" s="471" t="n"/>
      <c r="P230" s="471" t="n"/>
      <c r="Q230" s="471" t="n"/>
      <c r="R230" s="471" t="n"/>
      <c r="S230" s="476" t="n"/>
    </row>
    <row r="231" ht="22.2" customHeight="1" s="330">
      <c r="A23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232" ht="22.2" customHeight="1" s="330">
      <c r="A232" s="254">
        <f>A2</f>
        <v/>
      </c>
    </row>
    <row r="233" ht="22.2" customHeight="1" s="330">
      <c r="A233" s="253" t="inlineStr">
        <is>
          <t xml:space="preserve">    ระหว่างวันที่</t>
        </is>
      </c>
      <c r="D233" s="254">
        <f>D3</f>
        <v/>
      </c>
      <c r="E233" s="254" t="inlineStr">
        <is>
          <t xml:space="preserve">   เดือน  </t>
        </is>
      </c>
      <c r="F233" s="254">
        <f>F3</f>
        <v/>
      </c>
      <c r="H233" s="254">
        <f>H3</f>
        <v/>
      </c>
      <c r="I233" s="254" t="inlineStr">
        <is>
          <t xml:space="preserve">     ถึง วันที่</t>
        </is>
      </c>
      <c r="J233" s="254">
        <f>J3</f>
        <v/>
      </c>
      <c r="K233" s="254" t="inlineStr">
        <is>
          <t xml:space="preserve">   เดือน </t>
        </is>
      </c>
      <c r="L233" s="254">
        <f>L3</f>
        <v/>
      </c>
      <c r="N233" s="254">
        <f>N3</f>
        <v/>
      </c>
      <c r="P233" s="254" t="n"/>
      <c r="R233" s="254" t="n"/>
    </row>
    <row r="234" ht="22.2" customHeight="1" s="330">
      <c r="G234" s="58" t="inlineStr">
        <is>
          <t>ü</t>
        </is>
      </c>
      <c r="H234" s="290" t="inlineStr">
        <is>
          <t>ครู</t>
        </is>
      </c>
      <c r="I234" s="249" t="inlineStr">
        <is>
          <t>หน้าที่พิเศษ</t>
        </is>
      </c>
    </row>
    <row r="235" ht="22.2" customHeight="1" s="330">
      <c r="A235" s="28" t="inlineStr">
        <is>
          <t>ที่</t>
        </is>
      </c>
      <c r="B235" s="28" t="inlineStr">
        <is>
          <t>ชื่อ-สกุล</t>
        </is>
      </c>
      <c r="C235" s="334" t="n"/>
      <c r="D235" s="335" t="n"/>
      <c r="E235" s="16" t="inlineStr">
        <is>
          <t>ตำแหน่ง</t>
        </is>
      </c>
      <c r="F235" s="17" t="inlineStr">
        <is>
          <t>ระยะเวลาที่สอน</t>
        </is>
      </c>
      <c r="G235" s="362" t="n"/>
      <c r="H235" s="17" t="inlineStr">
        <is>
          <t>รหัสวิชา</t>
        </is>
      </c>
      <c r="I235" s="275" t="inlineStr">
        <is>
          <t>ชั้น,แผนก,ห้อง</t>
        </is>
      </c>
      <c r="J235" s="17" t="inlineStr">
        <is>
          <t>เวลาสอน</t>
        </is>
      </c>
      <c r="K235" s="335" t="n"/>
      <c r="L235" s="17" t="inlineStr">
        <is>
          <t>ปวช.(คาบ)</t>
        </is>
      </c>
      <c r="M235" s="362" t="n"/>
      <c r="N235" s="244" t="inlineStr">
        <is>
          <t>เงิน</t>
        </is>
      </c>
      <c r="O235" s="275" t="inlineStr">
        <is>
          <t>ยอดเงิน</t>
        </is>
      </c>
      <c r="P235" s="473" t="inlineStr">
        <is>
          <t>ปวส.(คาบ)</t>
        </is>
      </c>
      <c r="Q235" s="362" t="n"/>
      <c r="R235" s="244" t="inlineStr">
        <is>
          <t>เงิน</t>
        </is>
      </c>
      <c r="S235" s="275" t="inlineStr">
        <is>
          <t>ยอดเงิน</t>
        </is>
      </c>
    </row>
    <row r="236" ht="22.2" customHeight="1" s="330">
      <c r="A236" s="60" t="n"/>
      <c r="B236" s="9" t="n"/>
      <c r="C236" s="10" t="n"/>
      <c r="D236" s="14" t="n"/>
      <c r="E236" s="11" t="n"/>
      <c r="F236" s="276" t="inlineStr">
        <is>
          <t>ส.</t>
        </is>
      </c>
      <c r="G236" s="276" t="inlineStr">
        <is>
          <t>วดป.</t>
        </is>
      </c>
      <c r="H236" s="474" t="n"/>
      <c r="I236" s="276" t="n"/>
      <c r="J236" s="475" t="n"/>
      <c r="K236" s="476" t="n"/>
      <c r="L236" s="276" t="inlineStr">
        <is>
          <t>ใน</t>
        </is>
      </c>
      <c r="M236" s="276" t="inlineStr">
        <is>
          <t>นอก</t>
        </is>
      </c>
      <c r="N236" s="276" t="inlineStr">
        <is>
          <t>ต่อ ชม.</t>
        </is>
      </c>
      <c r="O236" s="276" t="inlineStr">
        <is>
          <t>(บาท)</t>
        </is>
      </c>
      <c r="P236" s="60" t="inlineStr">
        <is>
          <t>ใน</t>
        </is>
      </c>
      <c r="Q236" s="60" t="inlineStr">
        <is>
          <t>นอก</t>
        </is>
      </c>
      <c r="R236" s="276" t="inlineStr">
        <is>
          <t>ต่อ ชม.</t>
        </is>
      </c>
      <c r="S236" s="276" t="inlineStr">
        <is>
          <t>(บาท)</t>
        </is>
      </c>
    </row>
    <row r="237" ht="22.2" customHeight="1" s="330">
      <c r="A237" s="275" t="n">
        <v>6</v>
      </c>
      <c r="B237" s="477">
        <f>AB8</f>
        <v/>
      </c>
      <c r="C237" s="334" t="n"/>
      <c r="D237" s="335" t="n"/>
      <c r="E237" s="275" t="inlineStr">
        <is>
          <t>ครู</t>
        </is>
      </c>
      <c r="F237" s="6">
        <f>F7</f>
        <v/>
      </c>
      <c r="G237" s="207" t="inlineStr">
        <is>
          <t>จันทร์</t>
        </is>
      </c>
      <c r="H237" s="156" t="n"/>
      <c r="I237" s="156" t="n"/>
      <c r="J237" s="335" t="n"/>
      <c r="K237" s="335" t="n"/>
      <c r="L237" s="265" t="n"/>
      <c r="M237" s="332" t="n"/>
      <c r="N237" s="332" t="n"/>
      <c r="O237" s="244">
        <f>M237*N237</f>
        <v/>
      </c>
      <c r="P237" s="332" t="n"/>
      <c r="Q237" s="265" t="n"/>
      <c r="R237" s="332" t="n"/>
      <c r="S237" s="244">
        <f>Q237*R237</f>
        <v/>
      </c>
    </row>
    <row r="238" ht="22.2" customHeight="1" s="330">
      <c r="A238" s="4" t="n"/>
      <c r="B238" s="5" t="n"/>
      <c r="D238" s="3" t="n"/>
      <c r="E238" s="3" t="n"/>
      <c r="F238" s="249" t="n"/>
      <c r="G238" s="62">
        <f>G192</f>
        <v/>
      </c>
      <c r="H238" s="56" t="n"/>
      <c r="I238" s="56" t="n"/>
      <c r="J238" s="331" t="n"/>
      <c r="K238" s="331" t="n"/>
      <c r="L238" s="252" t="n"/>
      <c r="M238" s="252" t="n"/>
      <c r="N238" s="252" t="n"/>
      <c r="O238" s="244">
        <f>M238*N238</f>
        <v/>
      </c>
      <c r="P238" s="252" t="n"/>
      <c r="Q238" s="252" t="n"/>
      <c r="R238" s="252" t="n"/>
      <c r="S238" s="244">
        <f>Q238*R238</f>
        <v/>
      </c>
    </row>
    <row r="239" ht="22.2" customHeight="1" s="330">
      <c r="A239" s="4" t="n"/>
      <c r="B239" s="5" t="n"/>
      <c r="D239" s="3" t="n"/>
      <c r="E239" s="3" t="n"/>
      <c r="F239" s="249" t="n"/>
      <c r="G239" s="252" t="n"/>
      <c r="H239" s="250" t="n"/>
      <c r="I239" s="252" t="n"/>
      <c r="J239" s="252" t="n"/>
      <c r="K239" s="331" t="n"/>
      <c r="L239" s="252" t="n"/>
      <c r="M239" s="252" t="n"/>
      <c r="N239" s="252" t="n"/>
      <c r="O239" s="244">
        <f>M239*N239</f>
        <v/>
      </c>
      <c r="P239" s="252" t="n"/>
      <c r="Q239" s="252" t="n"/>
      <c r="R239" s="252" t="n"/>
      <c r="S239" s="244">
        <f>Q239*R239</f>
        <v/>
      </c>
    </row>
    <row r="240" ht="22.2" customHeight="1" s="330">
      <c r="A240" s="4" t="n"/>
      <c r="B240" s="5" t="n"/>
      <c r="E240" s="4" t="n"/>
      <c r="F240" s="249" t="n"/>
      <c r="G240" s="248" t="n"/>
      <c r="H240" s="252" t="n"/>
      <c r="I240" s="252" t="n"/>
      <c r="J240" s="252" t="n"/>
      <c r="K240" s="331" t="n"/>
      <c r="L240" s="252" t="n"/>
      <c r="M240" s="252" t="n"/>
      <c r="N240" s="252" t="n"/>
      <c r="O240" s="244">
        <f>M240*N240</f>
        <v/>
      </c>
      <c r="P240" s="252" t="n"/>
      <c r="Q240" s="252" t="n"/>
      <c r="R240" s="252" t="n"/>
      <c r="S240" s="244">
        <f>Q240*R240</f>
        <v/>
      </c>
    </row>
    <row r="241" ht="22.2" customHeight="1" s="330">
      <c r="A241" s="4" t="n"/>
      <c r="E241" s="4" t="n"/>
      <c r="G241" s="311" t="n"/>
      <c r="H241" s="276" t="n"/>
      <c r="I241" s="276" t="n"/>
      <c r="J241" s="276" t="n"/>
      <c r="K241" s="476" t="n"/>
      <c r="L241" s="252" t="n"/>
      <c r="M241" s="252" t="n"/>
      <c r="N241" s="252" t="n"/>
      <c r="O241" s="244">
        <f>M241*N241</f>
        <v/>
      </c>
      <c r="P241" s="252" t="n"/>
      <c r="Q241" s="252" t="n"/>
      <c r="R241" s="252" t="n"/>
      <c r="S241" s="244">
        <f>Q241*R241</f>
        <v/>
      </c>
    </row>
    <row r="242" ht="22.2" customHeight="1" s="330">
      <c r="A242" s="4" t="n"/>
      <c r="E242" s="4" t="n"/>
      <c r="G242" s="207" t="inlineStr">
        <is>
          <t>อังคาร</t>
        </is>
      </c>
      <c r="H242" s="325" t="inlineStr">
        <is>
          <t>30101-0001</t>
        </is>
      </c>
      <c r="I242" s="325" t="inlineStr">
        <is>
          <t>ปวส.2/5 สย. (ปกติ)</t>
        </is>
      </c>
      <c r="J242" s="332" t="inlineStr">
        <is>
          <t>08.10-11.10</t>
        </is>
      </c>
      <c r="K242" s="335" t="n"/>
      <c r="L242" s="265" t="n"/>
      <c r="M242" s="332" t="n"/>
      <c r="N242" s="332" t="n"/>
      <c r="O242" s="244">
        <f>M242*N242</f>
        <v/>
      </c>
      <c r="P242" s="332" t="n"/>
      <c r="Q242" s="265" t="n"/>
      <c r="R242" s="332" t="n"/>
      <c r="S242" s="244">
        <f>Q242*R242</f>
        <v/>
      </c>
      <c r="T242" s="7" t="n"/>
      <c r="U242" s="23" t="inlineStr">
        <is>
          <t>เบิก ธุรการ</t>
        </is>
      </c>
      <c r="V242" s="66" t="n"/>
      <c r="W242" s="22" t="n"/>
      <c r="X242" s="22" t="n"/>
    </row>
    <row r="243" ht="22.2" customHeight="1" s="330">
      <c r="A243" s="4" t="n"/>
      <c r="E243" s="4" t="n"/>
      <c r="G243" s="62">
        <f>G197</f>
        <v/>
      </c>
      <c r="H243" s="325" t="inlineStr">
        <is>
          <t>30101-0001</t>
        </is>
      </c>
      <c r="I243" s="325" t="inlineStr">
        <is>
          <t>ปวส.2/7 สย. (ปกติ)</t>
        </is>
      </c>
      <c r="J243" s="252" t="inlineStr">
        <is>
          <t>14.10-17.10</t>
        </is>
      </c>
      <c r="K243" s="331" t="n"/>
      <c r="L243" s="252" t="n"/>
      <c r="M243" s="252" t="n"/>
      <c r="N243" s="252" t="n"/>
      <c r="O243" s="244">
        <f>M243*N243</f>
        <v/>
      </c>
      <c r="P243" s="252" t="n"/>
      <c r="Q243" s="252" t="n"/>
      <c r="R243" s="252" t="n"/>
      <c r="S243" s="244">
        <f>Q243*R243</f>
        <v/>
      </c>
      <c r="T243" s="22" t="inlineStr">
        <is>
          <t> </t>
        </is>
      </c>
      <c r="U243" s="23" t="inlineStr">
        <is>
          <t>16.10-19.10</t>
        </is>
      </c>
      <c r="V243" s="66" t="n"/>
      <c r="W243" s="22" t="n"/>
      <c r="X243" s="22" t="n"/>
    </row>
    <row r="244" ht="22.2" customHeight="1" s="330">
      <c r="A244" s="4" t="n"/>
      <c r="B244" s="5" t="n"/>
      <c r="D244" s="3" t="n"/>
      <c r="E244" s="3" t="n"/>
      <c r="G244" s="252" t="n"/>
      <c r="H244" s="56" t="n"/>
      <c r="I244" s="331" t="n"/>
      <c r="J244" s="331" t="n"/>
      <c r="K244" s="331" t="n"/>
      <c r="L244" s="252" t="n"/>
      <c r="M244" s="252" t="n"/>
      <c r="N244" s="252" t="n"/>
      <c r="O244" s="244">
        <f>M244*N244</f>
        <v/>
      </c>
      <c r="P244" s="252" t="n"/>
      <c r="Q244" s="252" t="n"/>
      <c r="R244" s="252" t="n"/>
      <c r="S244" s="244">
        <f>Q244*R244</f>
        <v/>
      </c>
    </row>
    <row r="245" ht="22.2" customHeight="1" s="330">
      <c r="A245" s="4" t="n"/>
      <c r="E245" s="4" t="n"/>
      <c r="G245" s="62" t="n"/>
      <c r="H245" s="252" t="n"/>
      <c r="I245" s="250" t="n"/>
      <c r="J245" s="250" t="n"/>
      <c r="K245" s="331" t="n"/>
      <c r="L245" s="252" t="n"/>
      <c r="M245" s="252" t="n"/>
      <c r="N245" s="252" t="n"/>
      <c r="O245" s="244">
        <f>M245*N245</f>
        <v/>
      </c>
      <c r="P245" s="252" t="n"/>
      <c r="Q245" s="252" t="n"/>
      <c r="R245" s="252" t="n"/>
      <c r="S245" s="244">
        <f>Q245*R245</f>
        <v/>
      </c>
    </row>
    <row r="246" ht="22.2" customHeight="1" s="330">
      <c r="A246" s="4" t="n"/>
      <c r="D246" s="8" t="inlineStr">
        <is>
          <t> </t>
        </is>
      </c>
      <c r="E246" s="4" t="n"/>
      <c r="G246" s="63" t="n"/>
      <c r="H246" s="276" t="n"/>
      <c r="I246" s="276" t="n"/>
      <c r="J246" s="276" t="n"/>
      <c r="K246" s="476" t="n"/>
      <c r="L246" s="252" t="n"/>
      <c r="M246" s="252" t="n"/>
      <c r="N246" s="252" t="n"/>
      <c r="O246" s="244">
        <f>M246*N246</f>
        <v/>
      </c>
      <c r="P246" s="252" t="n"/>
      <c r="Q246" s="252" t="n"/>
      <c r="R246" s="252" t="n"/>
      <c r="S246" s="244">
        <f>Q246*R246</f>
        <v/>
      </c>
    </row>
    <row r="247" ht="22.2" customHeight="1" s="330">
      <c r="A247" s="4" t="n"/>
      <c r="E247" s="4" t="n"/>
      <c r="G247" s="207" t="inlineStr">
        <is>
          <t>พุธ</t>
        </is>
      </c>
      <c r="H247" s="147" t="inlineStr">
        <is>
          <t>30101-2102</t>
        </is>
      </c>
      <c r="I247" s="325" t="inlineStr">
        <is>
          <t>ปวส.1/1 สย. (ปกติ)</t>
        </is>
      </c>
      <c r="J247" s="332" t="inlineStr">
        <is>
          <t>08.10-12.10</t>
        </is>
      </c>
      <c r="K247" s="335" t="n"/>
      <c r="L247" s="265" t="n"/>
      <c r="M247" s="332" t="n"/>
      <c r="N247" s="332" t="n"/>
      <c r="O247" s="244">
        <f>M247*N247</f>
        <v/>
      </c>
      <c r="P247" s="332" t="n"/>
      <c r="Q247" s="265" t="n"/>
      <c r="R247" s="332" t="n"/>
      <c r="S247" s="244">
        <f>Q247*R247</f>
        <v/>
      </c>
    </row>
    <row r="248" ht="22.2" customHeight="1" s="330">
      <c r="A248" s="4" t="n"/>
      <c r="B248" s="248" t="n"/>
      <c r="C248" s="249" t="n"/>
      <c r="D248" s="249" t="n"/>
      <c r="E248" s="252" t="n"/>
      <c r="G248" s="62">
        <f>G202</f>
        <v/>
      </c>
      <c r="H248" s="148" t="inlineStr">
        <is>
          <t>30101-2102</t>
        </is>
      </c>
      <c r="I248" s="286" t="inlineStr">
        <is>
          <t>ปวส.1/1 สย. (ปกติ)</t>
        </is>
      </c>
      <c r="J248" s="325" t="inlineStr">
        <is>
          <t>13.10-14.10</t>
        </is>
      </c>
      <c r="K248" s="331" t="n"/>
      <c r="L248" s="252" t="n"/>
      <c r="M248" s="252" t="n"/>
      <c r="N248" s="252" t="n"/>
      <c r="O248" s="244">
        <f>M248*N248</f>
        <v/>
      </c>
      <c r="P248" s="252" t="n"/>
      <c r="Q248" s="252" t="n"/>
      <c r="R248" s="252" t="n"/>
      <c r="S248" s="244">
        <f>Q248*R248</f>
        <v/>
      </c>
    </row>
    <row r="249" ht="22.2" customHeight="1" s="330">
      <c r="A249" s="4" t="n"/>
      <c r="B249" s="5" t="n"/>
      <c r="D249" s="3" t="n"/>
      <c r="E249" s="3" t="n"/>
      <c r="G249" s="252" t="n"/>
      <c r="H249" s="148" t="inlineStr">
        <is>
          <t>30101-2102</t>
        </is>
      </c>
      <c r="I249" s="325" t="inlineStr">
        <is>
          <t>ปวส.1/2 สย. (ปกติ)</t>
        </is>
      </c>
      <c r="J249" s="252" t="inlineStr">
        <is>
          <t>14.10-19.10</t>
        </is>
      </c>
      <c r="K249" s="331" t="n"/>
      <c r="L249" s="252" t="n"/>
      <c r="M249" s="252" t="n"/>
      <c r="N249" s="252" t="n"/>
      <c r="O249" s="244">
        <f>M249*N249</f>
        <v/>
      </c>
      <c r="P249" s="252" t="n"/>
      <c r="Q249" s="252" t="n"/>
      <c r="R249" s="252" t="n"/>
      <c r="S249" s="244">
        <f>Q249*R249</f>
        <v/>
      </c>
    </row>
    <row r="250" ht="22.2" customHeight="1" s="330">
      <c r="A250" s="4" t="n"/>
      <c r="E250" s="4" t="n"/>
      <c r="G250" s="248" t="n"/>
      <c r="H250" s="252" t="n"/>
      <c r="I250" s="325" t="n"/>
      <c r="J250" s="250" t="n"/>
      <c r="K250" s="331" t="n"/>
      <c r="L250" s="252" t="n"/>
      <c r="M250" s="252" t="n"/>
      <c r="N250" s="252" t="n"/>
      <c r="O250" s="244">
        <f>M250*N250</f>
        <v/>
      </c>
      <c r="P250" s="252" t="n"/>
      <c r="Q250" s="252" t="n"/>
      <c r="R250" s="252" t="n"/>
      <c r="S250" s="244">
        <f>Q250*R250</f>
        <v/>
      </c>
    </row>
    <row r="251" ht="22.2" customHeight="1" s="330">
      <c r="A251" s="4" t="n"/>
      <c r="E251" s="4" t="n"/>
      <c r="G251" s="277" t="n"/>
      <c r="H251" s="276" t="n"/>
      <c r="I251" s="276" t="n"/>
      <c r="J251" s="276" t="n"/>
      <c r="K251" s="476" t="n"/>
      <c r="L251" s="276" t="n"/>
      <c r="M251" s="276" t="n"/>
      <c r="N251" s="276" t="n"/>
      <c r="O251" s="244">
        <f>M251*N251</f>
        <v/>
      </c>
      <c r="P251" s="276" t="n"/>
      <c r="Q251" s="276" t="n"/>
      <c r="R251" s="276" t="n"/>
      <c r="S251" s="244">
        <f>Q251*R251</f>
        <v/>
      </c>
    </row>
    <row r="252" ht="22.2" customHeight="1" s="330">
      <c r="A252" s="4" t="n"/>
      <c r="E252" s="4" t="n"/>
      <c r="G252" s="62" t="inlineStr">
        <is>
          <t>พฤหัส</t>
        </is>
      </c>
      <c r="H252" s="325" t="inlineStr">
        <is>
          <t>30000-2004</t>
        </is>
      </c>
      <c r="I252" s="325" t="inlineStr">
        <is>
          <t>ปวส.2/5,6 สย. (ม.6)</t>
        </is>
      </c>
      <c r="J252" s="332" t="inlineStr">
        <is>
          <t>13.10-15.10</t>
        </is>
      </c>
      <c r="K252" s="335" t="n"/>
      <c r="L252" s="252" t="n"/>
      <c r="M252" s="252" t="n"/>
      <c r="N252" s="252" t="n"/>
      <c r="O252" s="244">
        <f>M252*N252</f>
        <v/>
      </c>
      <c r="P252" s="252" t="n"/>
      <c r="Q252" s="275" t="n"/>
      <c r="R252" s="275" t="n"/>
      <c r="S252" s="244">
        <f>Q252*R252</f>
        <v/>
      </c>
    </row>
    <row r="253" ht="22.2" customHeight="1" s="330">
      <c r="A253" s="4" t="n"/>
      <c r="E253" s="4" t="n"/>
      <c r="G253" s="308">
        <f>G207</f>
        <v/>
      </c>
      <c r="H253" s="325" t="inlineStr">
        <is>
          <t>30100-0101</t>
        </is>
      </c>
      <c r="I253" s="325" t="inlineStr">
        <is>
          <t>ปวส.1/5,6 สย. (ม.5)</t>
        </is>
      </c>
      <c r="J253" s="325" t="inlineStr">
        <is>
          <t>15.10-18.10</t>
        </is>
      </c>
      <c r="K253" s="331" t="n"/>
      <c r="L253" s="252" t="n"/>
      <c r="M253" s="252" t="n"/>
      <c r="N253" s="252" t="n"/>
      <c r="O253" s="244">
        <f>M253*N253</f>
        <v/>
      </c>
      <c r="P253" s="252" t="n"/>
      <c r="Q253" s="252" t="n"/>
      <c r="R253" s="252" t="n"/>
      <c r="S253" s="244">
        <f>Q253*R253</f>
        <v/>
      </c>
    </row>
    <row r="254" ht="22.2" customHeight="1" s="330">
      <c r="A254" s="4" t="n"/>
      <c r="B254" s="5" t="n"/>
      <c r="E254" s="4" t="n"/>
      <c r="G254" s="252" t="n"/>
      <c r="H254" s="325" t="n"/>
      <c r="I254" s="325" t="n"/>
      <c r="J254" s="252" t="n"/>
      <c r="K254" s="331" t="n"/>
      <c r="L254" s="325" t="n"/>
      <c r="M254" s="325" t="n"/>
      <c r="N254" s="325" t="n"/>
      <c r="O254" s="244">
        <f>M254*N254</f>
        <v/>
      </c>
      <c r="P254" s="325" t="n"/>
      <c r="Q254" s="325" t="n"/>
      <c r="R254" s="325" t="n"/>
      <c r="S254" s="244">
        <f>Q254*R254</f>
        <v/>
      </c>
    </row>
    <row r="255" ht="22.2" customHeight="1" s="330">
      <c r="A255" s="4" t="n"/>
      <c r="E255" s="4" t="n"/>
      <c r="G255" s="252" t="n"/>
      <c r="H255" s="252" t="n"/>
      <c r="I255" s="252" t="n"/>
      <c r="J255" s="252" t="n"/>
      <c r="K255" s="331" t="n"/>
      <c r="L255" s="252" t="n"/>
      <c r="M255" s="252" t="n"/>
      <c r="N255" s="252" t="n"/>
      <c r="O255" s="244">
        <f>M255*N255</f>
        <v/>
      </c>
      <c r="P255" s="252" t="n"/>
      <c r="Q255" s="252" t="n"/>
      <c r="R255" s="252" t="n"/>
      <c r="S255" s="244">
        <f>Q255*R255</f>
        <v/>
      </c>
    </row>
    <row r="256" ht="22.2" customHeight="1" s="330">
      <c r="A256" s="4" t="n"/>
      <c r="E256" s="4" t="n"/>
      <c r="G256" s="276" t="n"/>
      <c r="H256" s="252" t="n"/>
      <c r="I256" s="276" t="n"/>
      <c r="J256" s="276" t="n"/>
      <c r="K256" s="476" t="n"/>
      <c r="L256" s="276" t="n"/>
      <c r="M256" s="276" t="n"/>
      <c r="N256" s="276" t="n"/>
      <c r="O256" s="244">
        <f>M256*N256</f>
        <v/>
      </c>
      <c r="P256" s="276" t="n"/>
      <c r="Q256" s="276" t="n"/>
      <c r="R256" s="276" t="n"/>
      <c r="S256" s="244">
        <f>Q256*R256</f>
        <v/>
      </c>
    </row>
    <row r="257" ht="22.2" customHeight="1" s="330">
      <c r="A257" s="4" t="n"/>
      <c r="D257" s="331" t="n"/>
      <c r="E257" s="56" t="n"/>
      <c r="G257" s="62" t="inlineStr">
        <is>
          <t>ศุกร์</t>
        </is>
      </c>
      <c r="H257" s="147" t="inlineStr">
        <is>
          <t>30100-0101</t>
        </is>
      </c>
      <c r="I257" s="325" t="inlineStr">
        <is>
          <t>ปวส.1/3,4 สย. (ม.6)</t>
        </is>
      </c>
      <c r="J257" s="332" t="inlineStr">
        <is>
          <t>08.10-11.10</t>
        </is>
      </c>
      <c r="K257" s="335" t="n"/>
      <c r="L257" s="149" t="n"/>
      <c r="M257" s="69" t="n"/>
      <c r="N257" s="69" t="n"/>
      <c r="O257" s="244">
        <f>M257*N257</f>
        <v/>
      </c>
      <c r="P257" s="147" t="n"/>
      <c r="Q257" s="149" t="n"/>
      <c r="R257" s="147" t="n"/>
      <c r="S257" s="244">
        <f>Q257*R257</f>
        <v/>
      </c>
      <c r="T257" s="24" t="n"/>
      <c r="U257" s="24" t="inlineStr">
        <is>
          <t>สอน ป.ตรี</t>
        </is>
      </c>
      <c r="V257" s="65" t="n"/>
      <c r="W257" s="24" t="n"/>
      <c r="X257" s="24" t="n"/>
    </row>
    <row r="258" ht="22.2" customHeight="1" s="330">
      <c r="A258" s="4" t="n"/>
      <c r="E258" s="4" t="n"/>
      <c r="G258" s="308">
        <f>G212</f>
        <v/>
      </c>
      <c r="H258" s="148" t="inlineStr">
        <is>
          <t>30101-8001</t>
        </is>
      </c>
      <c r="I258" s="325" t="inlineStr">
        <is>
          <t>ปวส.2/1 สย. (ปกติ)</t>
        </is>
      </c>
      <c r="J258" s="325" t="inlineStr">
        <is>
          <t>13.10-17.10</t>
        </is>
      </c>
      <c r="K258" s="331" t="n"/>
      <c r="L258" s="150" t="n"/>
      <c r="M258" s="68" t="n"/>
      <c r="N258" s="68" t="n"/>
      <c r="O258" s="244">
        <f>M258*N258</f>
        <v/>
      </c>
      <c r="P258" s="150" t="n"/>
      <c r="Q258" s="150" t="n"/>
      <c r="R258" s="150" t="n"/>
      <c r="S258" s="244">
        <f>Q258*R258</f>
        <v/>
      </c>
      <c r="T258" s="24" t="n"/>
      <c r="U258" s="24" t="inlineStr">
        <is>
          <t>17.10-21.10</t>
        </is>
      </c>
      <c r="V258" s="65" t="n"/>
      <c r="W258" s="24" t="n"/>
      <c r="X258" s="24" t="n"/>
    </row>
    <row r="259" ht="22.2" customHeight="1" s="330">
      <c r="A259" s="4" t="n"/>
      <c r="E259" s="4" t="n"/>
      <c r="G259" s="252" t="n"/>
      <c r="H259" s="148" t="n"/>
      <c r="I259" s="325" t="n"/>
      <c r="J259" s="252" t="n"/>
      <c r="K259" s="331" t="n"/>
      <c r="L259" s="68" t="n"/>
      <c r="M259" s="68" t="n"/>
      <c r="N259" s="68" t="n"/>
      <c r="O259" s="244">
        <f>M259*N259</f>
        <v/>
      </c>
      <c r="P259" s="150" t="n"/>
      <c r="Q259" s="68" t="n"/>
      <c r="R259" s="68" t="n"/>
      <c r="S259" s="244">
        <f>Q259*R259</f>
        <v/>
      </c>
    </row>
    <row r="260" ht="22.2" customHeight="1" s="330">
      <c r="A260" s="4" t="n"/>
      <c r="E260" s="4" t="n"/>
      <c r="G260" s="252" t="n"/>
      <c r="H260" s="252" t="n"/>
      <c r="I260" s="252" t="n"/>
      <c r="J260" s="252" t="n"/>
      <c r="K260" s="331" t="n"/>
      <c r="L260" s="252" t="n"/>
      <c r="N260" s="252" t="n"/>
      <c r="O260" s="244">
        <f>L260*N260</f>
        <v/>
      </c>
      <c r="P260" s="252" t="n"/>
      <c r="Q260" s="252" t="n"/>
      <c r="R260" s="252" t="n"/>
      <c r="S260" s="244">
        <f>Q260*R260</f>
        <v/>
      </c>
    </row>
    <row r="261" ht="22.2" customHeight="1" s="330">
      <c r="A261" s="4" t="n"/>
      <c r="E261" s="4" t="n"/>
      <c r="F261" s="4" t="n"/>
      <c r="G261" s="278" t="n"/>
      <c r="H261" s="301" t="n"/>
      <c r="I261" s="276" t="n"/>
      <c r="J261" s="276" t="n"/>
      <c r="K261" s="476" t="n"/>
      <c r="L261" s="276" t="n"/>
      <c r="M261" s="276" t="n"/>
      <c r="N261" s="276" t="n"/>
      <c r="O261" s="244">
        <f>M261*N261</f>
        <v/>
      </c>
      <c r="P261" s="276" t="n"/>
      <c r="Q261" s="276" t="n"/>
      <c r="R261" s="276" t="n"/>
      <c r="S261" s="244">
        <f>Q261*R261</f>
        <v/>
      </c>
    </row>
    <row r="262" ht="22.2" customHeight="1" s="330">
      <c r="A262" s="4" t="n"/>
      <c r="E262" s="4" t="n"/>
      <c r="F262" s="4" t="n"/>
      <c r="G262" s="17" t="inlineStr">
        <is>
          <t>รวมขั่วโมงที่สอนแยก ภาระงาน/ เกินภาระงาน</t>
        </is>
      </c>
      <c r="H262" s="467" t="n"/>
      <c r="I262" s="467" t="n"/>
      <c r="J262" s="467" t="n"/>
      <c r="K262" s="362" t="n"/>
      <c r="L262" s="17">
        <f>SUM(L237:L261)</f>
        <v/>
      </c>
      <c r="M262" s="17">
        <f>SUM(M237:M261)</f>
        <v/>
      </c>
      <c r="N262" s="17" t="n"/>
      <c r="O262" s="17" t="n"/>
      <c r="P262" s="17">
        <f>SUM(P237:P261)</f>
        <v/>
      </c>
      <c r="Q262" s="17">
        <f>SUM(Q237:Q261)</f>
        <v/>
      </c>
      <c r="R262" s="279" t="n"/>
      <c r="S262" s="17" t="n"/>
      <c r="T262" s="25" t="n"/>
      <c r="U262" s="26" t="inlineStr">
        <is>
          <t xml:space="preserve">     PLC</t>
        </is>
      </c>
      <c r="V262" s="64" t="n"/>
      <c r="W262" s="27" t="n"/>
      <c r="X262" s="27" t="n"/>
    </row>
    <row r="263" ht="22.2" customHeight="1" s="330">
      <c r="A263" s="4" t="n"/>
      <c r="E263" s="4" t="n"/>
      <c r="F263" s="4" t="n"/>
      <c r="G263" s="17" t="inlineStr">
        <is>
          <t>รวมจำนวนชั่วโมงสอนคาบต่อสับดาห์</t>
        </is>
      </c>
      <c r="H263" s="467" t="n"/>
      <c r="I263" s="467" t="n"/>
      <c r="J263" s="467" t="n"/>
      <c r="K263" s="362" t="n"/>
      <c r="L263" s="17">
        <f>L262+M262</f>
        <v/>
      </c>
      <c r="M263" s="362" t="n"/>
      <c r="N263" s="298" t="n"/>
      <c r="O263" s="17" t="n"/>
      <c r="P263" s="17">
        <f>P262+Q262</f>
        <v/>
      </c>
      <c r="Q263" s="362" t="n"/>
      <c r="R263" s="278" t="n"/>
      <c r="S263" s="276" t="n"/>
      <c r="T263" s="27" t="inlineStr">
        <is>
          <t> </t>
        </is>
      </c>
      <c r="U263" s="26" t="inlineStr">
        <is>
          <t>17.10-19.10</t>
        </is>
      </c>
      <c r="V263" s="64" t="n"/>
      <c r="W263" s="27" t="n"/>
      <c r="X263" s="27" t="n"/>
    </row>
    <row r="264" ht="22.2" customHeight="1" s="330">
      <c r="A264" s="4" t="n"/>
      <c r="E264" s="4" t="n"/>
      <c r="F264" s="4" t="n"/>
      <c r="G264" s="17" t="inlineStr">
        <is>
          <t>จำนวนชั่วโมงสอนตามภาระงานสอน</t>
        </is>
      </c>
      <c r="H264" s="467" t="n"/>
      <c r="I264" s="467" t="n"/>
      <c r="J264" s="467" t="n"/>
      <c r="K264" s="362" t="n"/>
      <c r="L264" s="153" t="inlineStr">
        <is>
          <t>0</t>
        </is>
      </c>
      <c r="M264" s="362" t="n"/>
      <c r="N264" s="152" t="n"/>
      <c r="O264" s="153" t="n"/>
      <c r="P264" s="153" t="inlineStr">
        <is>
          <t>15</t>
        </is>
      </c>
      <c r="Q264" s="362" t="n"/>
      <c r="R264" s="249" t="n"/>
      <c r="S264" s="252" t="n"/>
    </row>
    <row r="265" ht="22.2" customHeight="1" s="330" thickBot="1">
      <c r="A265" s="4" t="n"/>
      <c r="E265" s="4" t="n"/>
      <c r="F265" s="15" t="n"/>
      <c r="G265" s="17" t="inlineStr">
        <is>
          <t>จำนวนชั่วโมงบิกเกินภาระงานสอน/ค่าสอน</t>
        </is>
      </c>
      <c r="H265" s="467" t="n"/>
      <c r="I265" s="467" t="n"/>
      <c r="J265" s="467" t="n"/>
      <c r="K265" s="362" t="n"/>
      <c r="L265" s="18" t="n">
        <v>0</v>
      </c>
      <c r="M265" s="18">
        <f>SUM(M237:M261)</f>
        <v/>
      </c>
      <c r="N265" s="18" t="n"/>
      <c r="O265" s="18">
        <f>SUM(O237:O261)</f>
        <v/>
      </c>
      <c r="P265" s="18" t="n">
        <v>0</v>
      </c>
      <c r="Q265" s="18">
        <f>SUM(Q237:Q261)</f>
        <v/>
      </c>
      <c r="R265" s="19" t="n"/>
      <c r="S265" s="18">
        <f>SUM(S237:S261)</f>
        <v/>
      </c>
    </row>
    <row r="266" ht="22.2" customHeight="1" s="330" thickTop="1">
      <c r="A266" s="299" t="inlineStr">
        <is>
          <t>รวมจำนวนหน่วยชั่วโมงที่ขอเบิกค่าสอน ….</t>
        </is>
      </c>
      <c r="B266" s="467" t="n"/>
      <c r="C266" s="467" t="n"/>
      <c r="D266" s="467" t="n"/>
      <c r="E266" s="467" t="n"/>
      <c r="F266" s="467" t="n"/>
      <c r="G266" s="467" t="n"/>
      <c r="H266" s="298">
        <f>M265+Q265</f>
        <v/>
      </c>
      <c r="I266" s="298" t="inlineStr">
        <is>
          <t>….ชั่วโมง</t>
        </is>
      </c>
      <c r="J266" s="298" t="n"/>
      <c r="K266" s="301" t="inlineStr">
        <is>
          <t>ยอดเงินรวม</t>
        </is>
      </c>
      <c r="L266" s="471" t="n"/>
      <c r="M266" s="471" t="n"/>
      <c r="N266" s="301" t="n"/>
      <c r="O266" s="301" t="n"/>
      <c r="P266" s="302">
        <f>S265+O265</f>
        <v/>
      </c>
      <c r="Q266" s="482" t="n"/>
      <c r="R266" s="21" t="n"/>
      <c r="S266" s="20" t="inlineStr">
        <is>
          <t>..บาท</t>
        </is>
      </c>
    </row>
    <row r="267" ht="22.2" customHeight="1" s="330">
      <c r="A267" s="207" t="inlineStr">
        <is>
          <t>ผู้ขอเบิก</t>
        </is>
      </c>
      <c r="B267" s="334" t="n"/>
      <c r="C267" s="334" t="n"/>
      <c r="D267" s="334" t="n"/>
      <c r="E267" s="334" t="n"/>
      <c r="F267" s="334" t="n"/>
      <c r="G267" s="335" t="n"/>
      <c r="H267" s="207" t="inlineStr">
        <is>
          <t>ผู้รับรอง</t>
        </is>
      </c>
      <c r="I267" s="334" t="n"/>
      <c r="J267" s="334" t="n"/>
      <c r="K267" s="334" t="n"/>
      <c r="L267" s="335" t="n"/>
      <c r="M267" s="207" t="inlineStr">
        <is>
          <t>ผู้ตรวจ</t>
        </is>
      </c>
      <c r="N267" s="334" t="n"/>
      <c r="O267" s="334" t="n"/>
      <c r="P267" s="334" t="n"/>
      <c r="Q267" s="334" t="n"/>
      <c r="R267" s="334" t="n"/>
      <c r="S267" s="335" t="n"/>
    </row>
    <row r="268" ht="22.2" customHeight="1" s="330">
      <c r="A268" s="252" t="inlineStr">
        <is>
          <t>ลงชื่อ……………………………………………</t>
        </is>
      </c>
      <c r="G268" s="331" t="n"/>
      <c r="H268" s="252" t="inlineStr">
        <is>
          <t>ลงชื่อ……………………………………………</t>
        </is>
      </c>
      <c r="L268" s="331" t="n"/>
      <c r="M268" s="252" t="inlineStr">
        <is>
          <t>ลงชื่อ……………………………………………</t>
        </is>
      </c>
      <c r="S268" s="331" t="n"/>
    </row>
    <row r="269" ht="22.2" customHeight="1" s="330">
      <c r="A269" s="12" t="inlineStr">
        <is>
          <t>(</t>
        </is>
      </c>
      <c r="B269" s="309">
        <f>B237</f>
        <v/>
      </c>
      <c r="G269" s="310" t="inlineStr">
        <is>
          <t>)</t>
        </is>
      </c>
      <c r="H269" s="309" t="inlineStr">
        <is>
          <t>(</t>
        </is>
      </c>
      <c r="I269" s="314">
        <f>I223</f>
        <v/>
      </c>
      <c r="L269" s="13" t="inlineStr">
        <is>
          <t>)</t>
        </is>
      </c>
      <c r="M269" s="61" t="inlineStr">
        <is>
          <t>(</t>
        </is>
      </c>
      <c r="N269" s="61" t="n"/>
      <c r="O269" s="309" t="inlineStr">
        <is>
          <t>นายพิสุทธิศักดิ์  กล่อมนาค</t>
        </is>
      </c>
      <c r="R269" s="29" t="n"/>
      <c r="S269" s="310" t="inlineStr">
        <is>
          <t>)</t>
        </is>
      </c>
    </row>
    <row r="270" ht="22.2" customHeight="1" s="330">
      <c r="A270" s="483" t="inlineStr">
        <is>
          <t xml:space="preserve">                    ตำแหน่ง  ครู</t>
        </is>
      </c>
      <c r="G270" s="331" t="n"/>
      <c r="H270" s="62" t="inlineStr">
        <is>
          <t>ตำแหน่ง หัวหน้าแผนก</t>
        </is>
      </c>
      <c r="L270" s="331" t="n"/>
      <c r="M270" s="62" t="inlineStr">
        <is>
          <t>ตำแหน่ง   ผู้ตรวจสอบ</t>
        </is>
      </c>
      <c r="S270" s="331" t="n"/>
    </row>
    <row r="271" ht="22.2" customHeight="1" s="330">
      <c r="A271" s="63">
        <f>A41</f>
        <v/>
      </c>
      <c r="B271" s="471" t="n"/>
      <c r="C271" s="471" t="n"/>
      <c r="D271" s="471" t="n"/>
      <c r="E271" s="471" t="n"/>
      <c r="F271" s="471" t="n"/>
      <c r="G271" s="476" t="n"/>
      <c r="H271" s="62">
        <f>A41</f>
        <v/>
      </c>
      <c r="L271" s="331" t="n"/>
      <c r="M271" s="63">
        <f>A41</f>
        <v/>
      </c>
      <c r="N271" s="471" t="n"/>
      <c r="O271" s="471" t="n"/>
      <c r="P271" s="471" t="n"/>
      <c r="Q271" s="471" t="n"/>
      <c r="R271" s="471" t="n"/>
      <c r="S271" s="476" t="n"/>
    </row>
    <row r="272" ht="22.2" customHeight="1" s="330">
      <c r="A272" s="207" t="inlineStr">
        <is>
          <t>ผู้ตรวจ</t>
        </is>
      </c>
      <c r="B272" s="334" t="n"/>
      <c r="C272" s="334" t="n"/>
      <c r="D272" s="334" t="n"/>
      <c r="E272" s="334" t="n"/>
      <c r="F272" s="334" t="n"/>
      <c r="G272" s="334" t="n"/>
      <c r="H272" s="334" t="n"/>
      <c r="I272" s="335" t="n"/>
      <c r="J272" s="207" t="inlineStr">
        <is>
          <t>ผู้เห็นชอบ</t>
        </is>
      </c>
      <c r="K272" s="334" t="n"/>
      <c r="L272" s="334" t="n"/>
      <c r="M272" s="334" t="n"/>
      <c r="N272" s="334" t="n"/>
      <c r="O272" s="334" t="n"/>
      <c r="P272" s="334" t="n"/>
      <c r="Q272" s="334" t="n"/>
      <c r="R272" s="334" t="n"/>
      <c r="S272" s="335" t="n"/>
    </row>
    <row r="273" ht="22.2" customHeight="1" s="330">
      <c r="A273" s="252" t="inlineStr">
        <is>
          <t>ลงชื่อ……………………………………………</t>
        </is>
      </c>
      <c r="I273" s="331" t="n"/>
      <c r="J273" s="252" t="inlineStr">
        <is>
          <t>ลงชื่อ……………………………………………</t>
        </is>
      </c>
      <c r="S273" s="331" t="n"/>
    </row>
    <row r="274" ht="22.2" customHeight="1" s="330">
      <c r="A274" s="12" t="n"/>
      <c r="B274" s="309" t="inlineStr">
        <is>
          <t xml:space="preserve">          (นางศิวรักษ์   บุญประเสริฐ)</t>
        </is>
      </c>
      <c r="I274" s="310" t="n"/>
      <c r="J274" s="29" t="n"/>
      <c r="K274" s="29" t="n"/>
      <c r="L274" s="309" t="inlineStr">
        <is>
          <t>(นายปรีชา  โพธิ์เกิด)</t>
        </is>
      </c>
      <c r="R274" s="29" t="n"/>
      <c r="S274" s="13" t="n"/>
    </row>
    <row r="275" ht="22.2" customHeight="1" s="330">
      <c r="A275" s="62" t="inlineStr">
        <is>
          <t>ตำแหน่งครู  หัวหน้างานพัฒนาหลักสูตร ฯ</t>
        </is>
      </c>
      <c r="I275" s="331" t="n"/>
      <c r="J275" s="62" t="inlineStr">
        <is>
          <t>ตำแหน่ง  รองผู้อำนวยการฝ่ายวิชาการ</t>
        </is>
      </c>
      <c r="S275" s="331" t="n"/>
    </row>
    <row r="276" ht="22.2" customHeight="1" s="330">
      <c r="A276" s="63">
        <f>A41</f>
        <v/>
      </c>
      <c r="B276" s="471" t="n"/>
      <c r="C276" s="471" t="n"/>
      <c r="D276" s="471" t="n"/>
      <c r="E276" s="471" t="n"/>
      <c r="F276" s="471" t="n"/>
      <c r="G276" s="471" t="n"/>
      <c r="H276" s="471" t="n"/>
      <c r="I276" s="476" t="n"/>
      <c r="J276" s="63">
        <f>A41</f>
        <v/>
      </c>
      <c r="K276" s="471" t="n"/>
      <c r="L276" s="471" t="n"/>
      <c r="M276" s="471" t="n"/>
      <c r="N276" s="471" t="n"/>
      <c r="O276" s="471" t="n"/>
      <c r="P276" s="471" t="n"/>
      <c r="Q276" s="471" t="n"/>
      <c r="R276" s="471" t="n"/>
      <c r="S276" s="476" t="n"/>
    </row>
    <row r="277" ht="22.2" customHeight="1" s="330">
      <c r="A27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278" ht="22.2" customHeight="1" s="330">
      <c r="A278" s="254">
        <f>A2</f>
        <v/>
      </c>
    </row>
    <row r="279" ht="22.2" customHeight="1" s="330">
      <c r="A279" s="253" t="inlineStr">
        <is>
          <t xml:space="preserve">    ระหว่างวันที่</t>
        </is>
      </c>
      <c r="D279" s="254">
        <f>D3</f>
        <v/>
      </c>
      <c r="E279" s="254" t="inlineStr">
        <is>
          <t xml:space="preserve">   เดือน  </t>
        </is>
      </c>
      <c r="F279" s="254">
        <f>F3</f>
        <v/>
      </c>
      <c r="H279" s="254">
        <f>H3</f>
        <v/>
      </c>
      <c r="I279" s="254" t="inlineStr">
        <is>
          <t xml:space="preserve">     ถึง วันที่</t>
        </is>
      </c>
      <c r="J279" s="254">
        <f>J3</f>
        <v/>
      </c>
      <c r="K279" s="254" t="inlineStr">
        <is>
          <t xml:space="preserve">   เดือน </t>
        </is>
      </c>
      <c r="L279" s="254">
        <f>L3</f>
        <v/>
      </c>
      <c r="N279" s="254">
        <f>N3</f>
        <v/>
      </c>
      <c r="P279" s="254" t="n"/>
      <c r="R279" s="254" t="n"/>
    </row>
    <row r="280" ht="25.5" customHeight="1" s="330">
      <c r="G280" s="58" t="inlineStr">
        <is>
          <t>ü</t>
        </is>
      </c>
      <c r="H280" s="290" t="inlineStr">
        <is>
          <t>ครู</t>
        </is>
      </c>
      <c r="I280" s="249" t="inlineStr">
        <is>
          <t>หน้าที่พิเศษ</t>
        </is>
      </c>
    </row>
    <row r="281" ht="22.2" customHeight="1" s="330">
      <c r="A281" s="28" t="inlineStr">
        <is>
          <t>ที่</t>
        </is>
      </c>
      <c r="B281" s="28" t="inlineStr">
        <is>
          <t>ชื่อ-สกุล</t>
        </is>
      </c>
      <c r="C281" s="334" t="n"/>
      <c r="D281" s="335" t="n"/>
      <c r="E281" s="16" t="inlineStr">
        <is>
          <t>ตำแหน่ง</t>
        </is>
      </c>
      <c r="F281" s="17" t="inlineStr">
        <is>
          <t>ระยะเวลาที่สอน</t>
        </is>
      </c>
      <c r="G281" s="362" t="n"/>
      <c r="H281" s="17" t="inlineStr">
        <is>
          <t>รหัสวิชา</t>
        </is>
      </c>
      <c r="I281" s="275" t="inlineStr">
        <is>
          <t>ชั้น,แผนก,ห้อง</t>
        </is>
      </c>
      <c r="J281" s="17" t="inlineStr">
        <is>
          <t>เวลาสอน</t>
        </is>
      </c>
      <c r="K281" s="335" t="n"/>
      <c r="L281" s="17" t="inlineStr">
        <is>
          <t>ปวช.(คาบ)</t>
        </is>
      </c>
      <c r="M281" s="362" t="n"/>
      <c r="N281" s="244" t="inlineStr">
        <is>
          <t>เงิน</t>
        </is>
      </c>
      <c r="O281" s="275" t="inlineStr">
        <is>
          <t>ยอดเงิน</t>
        </is>
      </c>
      <c r="P281" s="473" t="inlineStr">
        <is>
          <t>ปวส.(คาบ)</t>
        </is>
      </c>
      <c r="Q281" s="362" t="n"/>
      <c r="R281" s="244" t="inlineStr">
        <is>
          <t>เงิน</t>
        </is>
      </c>
      <c r="S281" s="275" t="inlineStr">
        <is>
          <t>ยอดเงิน</t>
        </is>
      </c>
    </row>
    <row r="282" ht="22.2" customHeight="1" s="330">
      <c r="A282" s="60" t="n"/>
      <c r="B282" s="9" t="n"/>
      <c r="C282" s="10" t="n"/>
      <c r="D282" s="14" t="n"/>
      <c r="E282" s="11" t="n"/>
      <c r="F282" s="276" t="inlineStr">
        <is>
          <t>ส.</t>
        </is>
      </c>
      <c r="G282" s="276" t="inlineStr">
        <is>
          <t>วดป.</t>
        </is>
      </c>
      <c r="H282" s="474" t="n"/>
      <c r="I282" s="276" t="n"/>
      <c r="J282" s="475" t="n"/>
      <c r="K282" s="476" t="n"/>
      <c r="L282" s="276" t="inlineStr">
        <is>
          <t>ใน</t>
        </is>
      </c>
      <c r="M282" s="276" t="inlineStr">
        <is>
          <t>นอก</t>
        </is>
      </c>
      <c r="N282" s="276" t="inlineStr">
        <is>
          <t>ต่อ ชม.</t>
        </is>
      </c>
      <c r="O282" s="276" t="inlineStr">
        <is>
          <t>(บาท)</t>
        </is>
      </c>
      <c r="P282" s="60" t="inlineStr">
        <is>
          <t>ใน</t>
        </is>
      </c>
      <c r="Q282" s="60" t="inlineStr">
        <is>
          <t>นอก</t>
        </is>
      </c>
      <c r="R282" s="276" t="inlineStr">
        <is>
          <t>ต่อ ชม.</t>
        </is>
      </c>
      <c r="S282" s="276" t="inlineStr">
        <is>
          <t>(บาท)</t>
        </is>
      </c>
    </row>
    <row r="283" ht="22.2" customHeight="1" s="330">
      <c r="A283" s="275" t="n">
        <v>7</v>
      </c>
      <c r="B283" s="477">
        <f>AB9</f>
        <v/>
      </c>
      <c r="C283" s="334" t="n"/>
      <c r="D283" s="335" t="n"/>
      <c r="E283" s="275" t="inlineStr">
        <is>
          <t>ครู</t>
        </is>
      </c>
      <c r="F283" s="6">
        <f>F7</f>
        <v/>
      </c>
      <c r="G283" s="303" t="inlineStr">
        <is>
          <t>จันทร์</t>
        </is>
      </c>
      <c r="H283" s="332" t="inlineStr">
        <is>
          <t>20101-8001</t>
        </is>
      </c>
      <c r="I283" s="325" t="inlineStr">
        <is>
          <t>ปวช.3/5 ชย. (ปกติ)</t>
        </is>
      </c>
      <c r="J283" s="332" t="inlineStr">
        <is>
          <t>08.10-12.10</t>
        </is>
      </c>
      <c r="K283" s="335" t="n"/>
      <c r="L283" s="265" t="n"/>
      <c r="M283" s="332" t="n"/>
      <c r="N283" s="332" t="n"/>
      <c r="O283" s="244">
        <f>M283*N283</f>
        <v/>
      </c>
      <c r="P283" s="332" t="n"/>
      <c r="Q283" s="265" t="n"/>
      <c r="R283" s="332" t="n"/>
      <c r="S283" s="244">
        <f>Q283*R283</f>
        <v/>
      </c>
    </row>
    <row r="284" ht="22.2" customHeight="1" s="330">
      <c r="A284" s="4" t="n"/>
      <c r="B284" s="478" t="n"/>
      <c r="D284" s="331" t="n"/>
      <c r="E284" s="252" t="n"/>
      <c r="F284" s="249" t="n"/>
      <c r="G284" s="308">
        <f>G238</f>
        <v/>
      </c>
      <c r="H284" s="325" t="n"/>
      <c r="I284" s="325" t="n"/>
      <c r="J284" s="252" t="n"/>
      <c r="K284" s="331" t="n"/>
      <c r="L284" s="252" t="n"/>
      <c r="M284" s="252" t="n"/>
      <c r="N284" s="252" t="n"/>
      <c r="O284" s="244">
        <f>M284*N284</f>
        <v/>
      </c>
      <c r="P284" s="252" t="n"/>
      <c r="Q284" s="252" t="n"/>
      <c r="R284" s="252" t="n"/>
      <c r="S284" s="244">
        <f>Q284*R284</f>
        <v/>
      </c>
    </row>
    <row r="285" ht="22.2" customHeight="1" s="330">
      <c r="A285" s="4" t="n"/>
      <c r="B285" s="5" t="n"/>
      <c r="D285" s="3" t="n"/>
      <c r="E285" s="3" t="n"/>
      <c r="F285" s="249" t="n"/>
      <c r="G285" s="248" t="n"/>
      <c r="H285" s="325" t="n"/>
      <c r="I285" s="325" t="n"/>
      <c r="J285" s="325" t="n"/>
      <c r="K285" s="331" t="n"/>
      <c r="L285" s="252" t="n"/>
      <c r="M285" s="252" t="n"/>
      <c r="N285" s="252" t="n"/>
      <c r="O285" s="244">
        <f>M285*N285</f>
        <v/>
      </c>
      <c r="P285" s="252" t="n"/>
      <c r="Q285" s="252" t="n"/>
      <c r="R285" s="252" t="n"/>
      <c r="S285" s="244">
        <f>Q285*R285</f>
        <v/>
      </c>
    </row>
    <row r="286" ht="22.2" customHeight="1" s="330">
      <c r="A286" s="4" t="n"/>
      <c r="B286" s="5" t="n"/>
      <c r="E286" s="4" t="n"/>
      <c r="F286" s="249" t="n"/>
      <c r="G286" s="248" t="n"/>
      <c r="H286" s="252" t="n"/>
      <c r="I286" s="252" t="n"/>
      <c r="J286" s="252" t="n"/>
      <c r="K286" s="331" t="n"/>
      <c r="L286" s="252" t="n"/>
      <c r="M286" s="252" t="n"/>
      <c r="N286" s="252" t="n"/>
      <c r="O286" s="244">
        <f>M286*N286</f>
        <v/>
      </c>
      <c r="P286" s="252" t="n"/>
      <c r="Q286" s="252" t="n"/>
      <c r="R286" s="252" t="n"/>
      <c r="S286" s="244">
        <f>Q286*R286</f>
        <v/>
      </c>
    </row>
    <row r="287" ht="22.2" customHeight="1" s="330">
      <c r="A287" s="4" t="n"/>
      <c r="E287" s="4" t="n"/>
      <c r="G287" s="311" t="n"/>
      <c r="H287" s="276" t="n"/>
      <c r="I287" s="276" t="n"/>
      <c r="J287" s="276" t="n"/>
      <c r="K287" s="476" t="n"/>
      <c r="L287" s="252" t="n"/>
      <c r="M287" s="252" t="n"/>
      <c r="N287" s="252" t="n"/>
      <c r="O287" s="244">
        <f>M287*N287</f>
        <v/>
      </c>
      <c r="P287" s="252" t="n"/>
      <c r="Q287" s="252" t="n"/>
      <c r="R287" s="252" t="n"/>
      <c r="S287" s="244">
        <f>Q287*R287</f>
        <v/>
      </c>
    </row>
    <row r="288" ht="22.2" customHeight="1" s="330">
      <c r="A288" s="4" t="n"/>
      <c r="E288" s="4" t="n"/>
      <c r="G288" s="62" t="inlineStr">
        <is>
          <t>อังคาร</t>
        </is>
      </c>
      <c r="H288" s="325" t="inlineStr">
        <is>
          <t>20101-2003</t>
        </is>
      </c>
      <c r="I288" s="325" t="inlineStr">
        <is>
          <t>ปวช.1/1 ชย. (ปกติ)</t>
        </is>
      </c>
      <c r="J288" s="332" t="inlineStr">
        <is>
          <t>08.10-12.10</t>
        </is>
      </c>
      <c r="K288" s="335" t="n"/>
      <c r="L288" s="265" t="n"/>
      <c r="M288" s="332" t="n"/>
      <c r="N288" s="332" t="n"/>
      <c r="O288" s="244">
        <f>M288*N288</f>
        <v/>
      </c>
      <c r="P288" s="332" t="n"/>
      <c r="Q288" s="265" t="n"/>
      <c r="R288" s="332" t="n"/>
      <c r="S288" s="244">
        <f>Q288*R288</f>
        <v/>
      </c>
    </row>
    <row r="289" ht="22.2" customHeight="1" s="330">
      <c r="A289" s="4" t="n"/>
      <c r="E289" s="4" t="n"/>
      <c r="G289" s="308">
        <f>G243</f>
        <v/>
      </c>
      <c r="H289" s="325" t="inlineStr">
        <is>
          <t>20101-2003</t>
        </is>
      </c>
      <c r="I289" s="325" t="inlineStr">
        <is>
          <t>ปวช.1/1 ชย. (ปกติ)</t>
        </is>
      </c>
      <c r="J289" s="252" t="inlineStr">
        <is>
          <t>13.10-16.10</t>
        </is>
      </c>
      <c r="K289" s="331" t="n"/>
      <c r="L289" s="252" t="n"/>
      <c r="M289" s="252" t="n"/>
      <c r="N289" s="252" t="n"/>
      <c r="O289" s="244">
        <f>M289*N289</f>
        <v/>
      </c>
      <c r="P289" s="252" t="n"/>
      <c r="Q289" s="252" t="n"/>
      <c r="R289" s="252" t="n"/>
      <c r="S289" s="244">
        <f>Q289*R289</f>
        <v/>
      </c>
    </row>
    <row r="290" ht="22.2" customHeight="1" s="330">
      <c r="A290" s="4" t="n"/>
      <c r="B290" s="5" t="n"/>
      <c r="D290" s="3" t="n"/>
      <c r="E290" s="3" t="n"/>
      <c r="G290" s="252" t="n"/>
      <c r="H290" s="252" t="n"/>
      <c r="I290" s="325" t="n"/>
      <c r="J290" s="252" t="n"/>
      <c r="K290" s="331" t="n"/>
      <c r="L290" s="252" t="n"/>
      <c r="M290" s="252" t="n"/>
      <c r="N290" s="252" t="n"/>
      <c r="O290" s="244">
        <f>M290*N290</f>
        <v/>
      </c>
      <c r="P290" s="252" t="n"/>
      <c r="Q290" s="252" t="n"/>
      <c r="R290" s="252" t="n"/>
      <c r="S290" s="244">
        <f>Q290*R290</f>
        <v/>
      </c>
    </row>
    <row r="291" ht="22.2" customHeight="1" s="330">
      <c r="A291" s="4" t="n"/>
      <c r="E291" s="4" t="n"/>
      <c r="G291" s="62" t="n"/>
      <c r="H291" s="249" t="n"/>
      <c r="I291" s="252" t="n"/>
      <c r="J291" s="252" t="n"/>
      <c r="K291" s="331" t="n"/>
      <c r="L291" s="252" t="n"/>
      <c r="M291" s="252" t="n"/>
      <c r="N291" s="252" t="n"/>
      <c r="O291" s="244">
        <f>M291*N291</f>
        <v/>
      </c>
      <c r="P291" s="252" t="n"/>
      <c r="Q291" s="252" t="n"/>
      <c r="R291" s="252" t="n"/>
      <c r="S291" s="244">
        <f>Q291*R291</f>
        <v/>
      </c>
    </row>
    <row r="292" ht="22.2" customHeight="1" s="330">
      <c r="A292" s="4" t="n"/>
      <c r="D292" s="8" t="inlineStr">
        <is>
          <t> </t>
        </is>
      </c>
      <c r="E292" s="4" t="n"/>
      <c r="G292" s="63" t="n"/>
      <c r="H292" s="276" t="n"/>
      <c r="I292" s="276" t="n"/>
      <c r="J292" s="276" t="n"/>
      <c r="K292" s="476" t="n"/>
      <c r="L292" s="252" t="n"/>
      <c r="M292" s="252" t="n"/>
      <c r="N292" s="252" t="n"/>
      <c r="O292" s="244">
        <f>M292*N292</f>
        <v/>
      </c>
      <c r="P292" s="252" t="n"/>
      <c r="Q292" s="252" t="n"/>
      <c r="R292" s="252" t="n"/>
      <c r="S292" s="244">
        <f>Q292*R292</f>
        <v/>
      </c>
    </row>
    <row r="293" ht="22.2" customHeight="1" s="330">
      <c r="A293" s="4" t="n"/>
      <c r="E293" s="4" t="n"/>
      <c r="G293" s="308" t="inlineStr">
        <is>
          <t>พุธ</t>
        </is>
      </c>
      <c r="H293" s="325" t="inlineStr">
        <is>
          <t>20101-2003</t>
        </is>
      </c>
      <c r="I293" s="325" t="inlineStr">
        <is>
          <t>ปวช.1/3 ชย. (ปกติ)</t>
        </is>
      </c>
      <c r="J293" s="332" t="inlineStr">
        <is>
          <t>08.10-12.10</t>
        </is>
      </c>
      <c r="K293" s="335" t="n"/>
      <c r="L293" s="265" t="n"/>
      <c r="M293" s="332" t="n"/>
      <c r="N293" s="332" t="n"/>
      <c r="O293" s="244">
        <f>M293*N293</f>
        <v/>
      </c>
      <c r="P293" s="332" t="n"/>
      <c r="Q293" s="265" t="n"/>
      <c r="R293" s="332" t="n"/>
      <c r="S293" s="244">
        <f>Q293*R293</f>
        <v/>
      </c>
      <c r="T293" s="24" t="n"/>
      <c r="U293" s="24" t="inlineStr">
        <is>
          <t>สอน ป.ตรี</t>
        </is>
      </c>
      <c r="V293" s="65" t="n"/>
      <c r="W293" s="24" t="n"/>
      <c r="X293" s="24" t="n"/>
    </row>
    <row r="294" ht="22.2" customHeight="1" s="330">
      <c r="A294" s="4" t="n"/>
      <c r="B294" s="54" t="n"/>
      <c r="C294" s="67" t="n"/>
      <c r="D294" s="55" t="n"/>
      <c r="E294" s="55" t="n"/>
      <c r="G294" s="308">
        <f>G248</f>
        <v/>
      </c>
      <c r="H294" s="325" t="inlineStr">
        <is>
          <t>20101-2003</t>
        </is>
      </c>
      <c r="I294" s="325" t="inlineStr">
        <is>
          <t>ปวช.1/3 ชย. (ปกติ)</t>
        </is>
      </c>
      <c r="J294" s="252" t="inlineStr">
        <is>
          <t>13.10-16.10</t>
        </is>
      </c>
      <c r="K294" s="331" t="n"/>
      <c r="L294" s="252" t="n"/>
      <c r="M294" s="252" t="n"/>
      <c r="N294" s="252" t="n"/>
      <c r="O294" s="244">
        <f>M294*N294</f>
        <v/>
      </c>
      <c r="P294" s="252" t="n"/>
      <c r="Q294" s="252" t="n"/>
      <c r="R294" s="252" t="n"/>
      <c r="S294" s="244">
        <f>Q294*R294</f>
        <v/>
      </c>
      <c r="T294" s="24" t="n"/>
      <c r="U294" s="24" t="inlineStr">
        <is>
          <t>17.10-21.10</t>
        </is>
      </c>
      <c r="V294" s="65" t="n"/>
      <c r="W294" s="24" t="n"/>
      <c r="X294" s="24" t="n"/>
    </row>
    <row r="295" ht="22.2" customHeight="1" s="330">
      <c r="A295" s="4" t="n"/>
      <c r="B295" s="54" t="n"/>
      <c r="C295" s="67" t="n"/>
      <c r="D295" s="55" t="n"/>
      <c r="E295" s="55" t="n"/>
      <c r="G295" s="252" t="n"/>
      <c r="H295" s="325" t="n"/>
      <c r="I295" s="325" t="n"/>
      <c r="J295" s="325" t="n"/>
      <c r="K295" s="331" t="n"/>
      <c r="L295" s="252" t="n"/>
      <c r="M295" s="252" t="n"/>
      <c r="N295" s="252" t="n"/>
      <c r="O295" s="244">
        <f>M295*N295</f>
        <v/>
      </c>
      <c r="P295" s="252" t="n"/>
      <c r="Q295" s="252" t="n"/>
      <c r="R295" s="252" t="n"/>
      <c r="S295" s="244">
        <f>Q295*R295</f>
        <v/>
      </c>
    </row>
    <row r="296" ht="22.2" customHeight="1" s="330">
      <c r="A296" s="4" t="n"/>
      <c r="B296" s="54" t="n"/>
      <c r="C296" s="67" t="n"/>
      <c r="D296" s="55" t="n"/>
      <c r="E296" s="55" t="n"/>
      <c r="G296" s="248" t="n"/>
      <c r="H296" s="252" t="n"/>
      <c r="I296" s="325" t="n"/>
      <c r="J296" s="252" t="n"/>
      <c r="K296" s="331" t="n"/>
      <c r="L296" s="252" t="n"/>
      <c r="M296" s="252" t="n"/>
      <c r="N296" s="252" t="n"/>
      <c r="O296" s="244">
        <f>M296*N296</f>
        <v/>
      </c>
      <c r="P296" s="252" t="n"/>
      <c r="Q296" s="252" t="n"/>
      <c r="R296" s="252" t="n"/>
      <c r="S296" s="244">
        <f>Q296*R296</f>
        <v/>
      </c>
    </row>
    <row r="297" ht="22.2" customHeight="1" s="330">
      <c r="A297" s="4" t="n"/>
      <c r="D297" s="3" t="n"/>
      <c r="E297" s="3" t="n"/>
      <c r="G297" s="277" t="n"/>
      <c r="H297" s="277" t="n"/>
      <c r="I297" s="276" t="n"/>
      <c r="J297" s="276" t="n"/>
      <c r="K297" s="476" t="n"/>
      <c r="L297" s="276" t="n"/>
      <c r="M297" s="276" t="n"/>
      <c r="N297" s="276" t="n"/>
      <c r="O297" s="244">
        <f>M297*N297</f>
        <v/>
      </c>
      <c r="P297" s="276" t="n"/>
      <c r="Q297" s="276" t="n"/>
      <c r="R297" s="276" t="n"/>
      <c r="S297" s="244">
        <f>Q297*R297</f>
        <v/>
      </c>
    </row>
    <row r="298" ht="22.2" customHeight="1" s="330">
      <c r="A298" s="4" t="n"/>
      <c r="E298" s="4" t="n"/>
      <c r="G298" s="62" t="inlineStr">
        <is>
          <t>พฤหัส</t>
        </is>
      </c>
      <c r="H298" s="325" t="inlineStr">
        <is>
          <t>20101-2003</t>
        </is>
      </c>
      <c r="I298" s="325" t="inlineStr">
        <is>
          <t>ปวช.1/2 ชย. (ปกติ)</t>
        </is>
      </c>
      <c r="J298" s="332" t="inlineStr">
        <is>
          <t>08.10-12.10</t>
        </is>
      </c>
      <c r="K298" s="335" t="n"/>
      <c r="L298" s="252" t="n"/>
      <c r="M298" s="252" t="n"/>
      <c r="N298" s="252" t="n"/>
      <c r="O298" s="244">
        <f>M298*N298</f>
        <v/>
      </c>
      <c r="P298" s="252" t="n"/>
      <c r="Q298" s="275" t="n"/>
      <c r="R298" s="275" t="n"/>
      <c r="S298" s="244">
        <f>Q298*R298</f>
        <v/>
      </c>
      <c r="T298" s="25" t="n"/>
      <c r="U298" s="26" t="inlineStr">
        <is>
          <t xml:space="preserve">     PLC</t>
        </is>
      </c>
      <c r="V298" s="64" t="n"/>
      <c r="W298" s="27" t="n"/>
      <c r="X298" s="27" t="n"/>
    </row>
    <row r="299" ht="22.2" customHeight="1" s="330">
      <c r="A299" s="4" t="n"/>
      <c r="E299" s="4" t="n"/>
      <c r="G299" s="308">
        <f>G253</f>
        <v/>
      </c>
      <c r="H299" s="325" t="inlineStr">
        <is>
          <t>20101-2003</t>
        </is>
      </c>
      <c r="I299" s="325" t="inlineStr">
        <is>
          <t>ปวช.1/2 ชย. (ปกติ)</t>
        </is>
      </c>
      <c r="J299" s="252" t="inlineStr">
        <is>
          <t>15.10-18.10</t>
        </is>
      </c>
      <c r="K299" s="331" t="n"/>
      <c r="L299" s="252" t="n"/>
      <c r="M299" s="252" t="n"/>
      <c r="N299" s="252" t="n"/>
      <c r="O299" s="244">
        <f>M299*N299</f>
        <v/>
      </c>
      <c r="P299" s="252" t="n"/>
      <c r="Q299" s="252" t="n"/>
      <c r="R299" s="252" t="n"/>
      <c r="S299" s="244">
        <f>Q299*R299</f>
        <v/>
      </c>
      <c r="T299" s="27" t="inlineStr">
        <is>
          <t> </t>
        </is>
      </c>
      <c r="U299" s="26" t="inlineStr">
        <is>
          <t>17.10-19.10</t>
        </is>
      </c>
      <c r="V299" s="64" t="n"/>
      <c r="W299" s="27" t="n"/>
      <c r="X299" s="27" t="n"/>
    </row>
    <row r="300" ht="22.2" customHeight="1" s="330">
      <c r="A300" s="4" t="n"/>
      <c r="B300" s="5" t="n"/>
      <c r="E300" s="4" t="n"/>
      <c r="G300" s="252" t="n"/>
      <c r="H300" s="325" t="n"/>
      <c r="I300" s="325" t="n"/>
      <c r="J300" s="252" t="n"/>
      <c r="K300" s="331" t="n"/>
      <c r="L300" s="325" t="n"/>
      <c r="M300" s="325" t="n"/>
      <c r="N300" s="325" t="n"/>
      <c r="O300" s="244">
        <f>M300*N300</f>
        <v/>
      </c>
      <c r="P300" s="325" t="n"/>
      <c r="Q300" s="325" t="n"/>
      <c r="R300" s="325" t="n"/>
      <c r="S300" s="244">
        <f>Q300*R300</f>
        <v/>
      </c>
    </row>
    <row r="301" ht="22.2" customHeight="1" s="330">
      <c r="A301" s="4" t="n"/>
      <c r="E301" s="4" t="n"/>
      <c r="G301" s="252" t="n"/>
      <c r="H301" s="252" t="n"/>
      <c r="I301" s="252" t="n"/>
      <c r="J301" s="252" t="n"/>
      <c r="K301" s="331" t="n"/>
      <c r="L301" s="252" t="n"/>
      <c r="M301" s="252" t="n"/>
      <c r="N301" s="252" t="n"/>
      <c r="O301" s="244">
        <f>M301*N301</f>
        <v/>
      </c>
      <c r="P301" s="252" t="n"/>
      <c r="Q301" s="252" t="n"/>
      <c r="R301" s="252" t="n"/>
      <c r="S301" s="244">
        <f>Q301*R301</f>
        <v/>
      </c>
    </row>
    <row r="302" ht="22.2" customHeight="1" s="330">
      <c r="A302" s="4" t="n"/>
      <c r="E302" s="4" t="n"/>
      <c r="G302" s="276" t="n"/>
      <c r="H302" s="301" t="n"/>
      <c r="I302" s="276" t="n"/>
      <c r="J302" s="276" t="n"/>
      <c r="K302" s="476" t="n"/>
      <c r="L302" s="276" t="n"/>
      <c r="M302" s="276" t="n"/>
      <c r="N302" s="276" t="n"/>
      <c r="O302" s="244">
        <f>M302*N302</f>
        <v/>
      </c>
      <c r="P302" s="276" t="n"/>
      <c r="Q302" s="276" t="n"/>
      <c r="R302" s="276" t="n"/>
      <c r="S302" s="244">
        <f>Q302*R302</f>
        <v/>
      </c>
    </row>
    <row r="303" ht="22.2" customHeight="1" s="330">
      <c r="A303" s="4" t="n"/>
      <c r="E303" s="4" t="n"/>
      <c r="G303" s="62" t="inlineStr">
        <is>
          <t>ศุกร์</t>
        </is>
      </c>
      <c r="H303" s="325" t="inlineStr">
        <is>
          <t>20101-2003</t>
        </is>
      </c>
      <c r="I303" s="325" t="inlineStr">
        <is>
          <t>ปวช.1/4 ชย. (ปกติ)</t>
        </is>
      </c>
      <c r="J303" s="332" t="inlineStr">
        <is>
          <t>08.10-12.10</t>
        </is>
      </c>
      <c r="K303" s="335" t="n"/>
      <c r="L303" s="265" t="n"/>
      <c r="M303" s="252" t="n"/>
      <c r="N303" s="252" t="n"/>
      <c r="O303" s="244">
        <f>M303*N303</f>
        <v/>
      </c>
      <c r="P303" s="332" t="n"/>
      <c r="Q303" s="265" t="n"/>
      <c r="R303" s="332" t="n"/>
      <c r="S303" s="244">
        <f>Q303*R303</f>
        <v/>
      </c>
      <c r="T303" s="24" t="n"/>
      <c r="U303" s="24" t="inlineStr">
        <is>
          <t>สอน ป.ตรี</t>
        </is>
      </c>
      <c r="V303" s="65" t="n"/>
      <c r="W303" s="24" t="n"/>
      <c r="X303" s="24" t="n"/>
    </row>
    <row r="304" ht="22.2" customHeight="1" s="330">
      <c r="A304" s="4" t="n"/>
      <c r="E304" s="4" t="n"/>
      <c r="G304" s="308">
        <f>G258</f>
        <v/>
      </c>
      <c r="H304" s="325" t="inlineStr">
        <is>
          <t>20101-2003</t>
        </is>
      </c>
      <c r="I304" s="325" t="inlineStr">
        <is>
          <t>ปวช.1/4 ชย. (ปกติ)</t>
        </is>
      </c>
      <c r="J304" s="252" t="inlineStr">
        <is>
          <t>13.10-16.10</t>
        </is>
      </c>
      <c r="K304" s="331" t="n"/>
      <c r="L304" s="252" t="n"/>
      <c r="M304" s="252" t="n"/>
      <c r="N304" s="252" t="n"/>
      <c r="O304" s="244">
        <f>M304*N304</f>
        <v/>
      </c>
      <c r="P304" s="252" t="n"/>
      <c r="Q304" s="252" t="n"/>
      <c r="R304" s="252" t="n"/>
      <c r="S304" s="244">
        <f>Q304*R304</f>
        <v/>
      </c>
      <c r="T304" s="24" t="n"/>
      <c r="U304" s="24" t="inlineStr">
        <is>
          <t>17.10-21.10</t>
        </is>
      </c>
      <c r="V304" s="65" t="n"/>
      <c r="W304" s="24" t="n"/>
      <c r="X304" s="24" t="n"/>
    </row>
    <row r="305" ht="22.2" customHeight="1" s="330">
      <c r="A305" s="4" t="n"/>
      <c r="E305" s="4" t="n"/>
      <c r="G305" s="252" t="n"/>
      <c r="H305" s="252" t="n"/>
      <c r="I305" s="252" t="n"/>
      <c r="J305" s="252" t="n"/>
      <c r="K305" s="331" t="n"/>
      <c r="L305" s="252" t="n"/>
      <c r="M305" s="252" t="n"/>
      <c r="N305" s="252" t="n"/>
      <c r="O305" s="244">
        <f>M305*N305</f>
        <v/>
      </c>
      <c r="P305" s="252" t="n"/>
      <c r="Q305" s="252" t="n"/>
      <c r="R305" s="252" t="n"/>
      <c r="S305" s="244">
        <f>Q305*R305</f>
        <v/>
      </c>
    </row>
    <row r="306" ht="22.2" customHeight="1" s="330">
      <c r="A306" s="4" t="n"/>
      <c r="E306" s="4" t="n"/>
      <c r="G306" s="252" t="n"/>
      <c r="H306" s="252" t="n"/>
      <c r="I306" s="252" t="n"/>
      <c r="J306" s="252" t="n"/>
      <c r="K306" s="331" t="n"/>
      <c r="L306" s="252" t="n"/>
      <c r="M306" s="252" t="n"/>
      <c r="N306" s="252" t="n"/>
      <c r="O306" s="244">
        <f>M306*N306</f>
        <v/>
      </c>
      <c r="P306" s="252" t="n"/>
      <c r="Q306" s="252" t="n"/>
      <c r="R306" s="252" t="n"/>
      <c r="S306" s="244">
        <f>Q306*R306</f>
        <v/>
      </c>
    </row>
    <row r="307" ht="22.2" customHeight="1" s="330">
      <c r="A307" s="4" t="n"/>
      <c r="E307" s="4" t="n"/>
      <c r="F307" s="4" t="n"/>
      <c r="G307" s="278" t="n"/>
      <c r="H307" s="252" t="n"/>
      <c r="I307" s="252" t="n"/>
      <c r="J307" s="276" t="n"/>
      <c r="K307" s="476" t="n"/>
      <c r="L307" s="276" t="n"/>
      <c r="M307" s="276" t="n"/>
      <c r="N307" s="276" t="n"/>
      <c r="O307" s="244">
        <f>M307*N307</f>
        <v/>
      </c>
      <c r="P307" s="276" t="n"/>
      <c r="Q307" s="276" t="n"/>
      <c r="R307" s="276" t="n"/>
      <c r="S307" s="244">
        <f>Q307*R307</f>
        <v/>
      </c>
    </row>
    <row r="308" ht="22.2" customHeight="1" s="330">
      <c r="A308" s="4" t="n"/>
      <c r="E308" s="4" t="n"/>
      <c r="F308" s="4" t="n"/>
      <c r="G308" s="17" t="inlineStr">
        <is>
          <t>รวมขั่วโมงที่สอนแยก ภาระงาน/ เกินภาระงาน</t>
        </is>
      </c>
      <c r="H308" s="467" t="n"/>
      <c r="I308" s="467" t="n"/>
      <c r="J308" s="467" t="n"/>
      <c r="K308" s="362" t="n"/>
      <c r="L308" s="17">
        <f>SUM(L283:L307)</f>
        <v/>
      </c>
      <c r="M308" s="17">
        <f>SUM(M283:M307)</f>
        <v/>
      </c>
      <c r="N308" s="17" t="n"/>
      <c r="O308" s="17" t="n"/>
      <c r="P308" s="17">
        <f>SUM(P283:P307)</f>
        <v/>
      </c>
      <c r="Q308" s="17">
        <f>SUM(Q283:Q307)</f>
        <v/>
      </c>
      <c r="R308" s="279" t="n"/>
      <c r="S308" s="17" t="n"/>
    </row>
    <row r="309" ht="22.2" customHeight="1" s="330">
      <c r="A309" s="4" t="n"/>
      <c r="E309" s="4" t="n"/>
      <c r="F309" s="4" t="n"/>
      <c r="G309" s="17" t="inlineStr">
        <is>
          <t>รวมจำนวนชั่วโมงสอนคาบต่อสับดาห์</t>
        </is>
      </c>
      <c r="H309" s="467" t="n"/>
      <c r="I309" s="467" t="n"/>
      <c r="J309" s="467" t="n"/>
      <c r="K309" s="362" t="n"/>
      <c r="L309" s="17">
        <f>L308+M308</f>
        <v/>
      </c>
      <c r="M309" s="362" t="n"/>
      <c r="N309" s="17" t="n"/>
      <c r="O309" s="298" t="n"/>
      <c r="P309" s="17">
        <f>P308+Q308</f>
        <v/>
      </c>
      <c r="Q309" s="362" t="n"/>
      <c r="R309" s="278" t="n"/>
      <c r="S309" s="276" t="n"/>
    </row>
    <row r="310" ht="22.2" customHeight="1" s="330">
      <c r="A310" s="4" t="n"/>
      <c r="E310" s="4" t="n"/>
      <c r="F310" s="4" t="n"/>
      <c r="G310" s="17" t="inlineStr">
        <is>
          <t>จำนวนชั่วโมงสอนตามภาระงานสอน</t>
        </is>
      </c>
      <c r="H310" s="467" t="n"/>
      <c r="I310" s="467" t="n"/>
      <c r="J310" s="467" t="n"/>
      <c r="K310" s="362" t="n"/>
      <c r="L310" s="17" t="n">
        <v>18</v>
      </c>
      <c r="M310" s="362" t="n"/>
      <c r="N310" s="298" t="n"/>
      <c r="O310" s="17" t="n"/>
      <c r="P310" s="17" t="n">
        <v>0</v>
      </c>
      <c r="Q310" s="362" t="n"/>
      <c r="R310" s="249" t="n"/>
      <c r="S310" s="252" t="n"/>
    </row>
    <row r="311" ht="22.2" customHeight="1" s="330" thickBot="1">
      <c r="A311" s="4" t="n"/>
      <c r="E311" s="4" t="n"/>
      <c r="F311" s="15" t="n"/>
      <c r="G311" s="17" t="inlineStr">
        <is>
          <t>จำนวนชั่วโมงบิกเกินภาระงานสอน/ค่าสอน</t>
        </is>
      </c>
      <c r="H311" s="467" t="n"/>
      <c r="I311" s="467" t="n"/>
      <c r="J311" s="467" t="n"/>
      <c r="K311" s="362" t="n"/>
      <c r="L311" s="18" t="n">
        <v>0</v>
      </c>
      <c r="M311" s="18">
        <f>SUM(M283:M307)</f>
        <v/>
      </c>
      <c r="N311" s="18" t="n"/>
      <c r="O311" s="18">
        <f>SUM(O283:O307)</f>
        <v/>
      </c>
      <c r="P311" s="18" t="n">
        <v>0</v>
      </c>
      <c r="Q311" s="18">
        <f>SUM(Q283:Q307)</f>
        <v/>
      </c>
      <c r="R311" s="19" t="n"/>
      <c r="S311" s="18">
        <f>SUM(S283:S307)</f>
        <v/>
      </c>
    </row>
    <row r="312" ht="22.2" customHeight="1" s="330" thickTop="1">
      <c r="A312" s="299" t="inlineStr">
        <is>
          <t>รวมจำนวนหน่วยชั่วโมงที่ขอเบิกค่าสอน ….</t>
        </is>
      </c>
      <c r="B312" s="467" t="n"/>
      <c r="C312" s="467" t="n"/>
      <c r="D312" s="467" t="n"/>
      <c r="E312" s="467" t="n"/>
      <c r="F312" s="467" t="n"/>
      <c r="G312" s="467" t="n"/>
      <c r="H312" s="298">
        <f>M311+Q311</f>
        <v/>
      </c>
      <c r="I312" s="298" t="inlineStr">
        <is>
          <t>….ชั่วโมง</t>
        </is>
      </c>
      <c r="J312" s="298" t="n"/>
      <c r="K312" s="301" t="inlineStr">
        <is>
          <t>ยอดเงินรวม</t>
        </is>
      </c>
      <c r="L312" s="471" t="n"/>
      <c r="M312" s="471" t="n"/>
      <c r="N312" s="301" t="n"/>
      <c r="O312" s="301" t="n"/>
      <c r="P312" s="302">
        <f>S311+O311</f>
        <v/>
      </c>
      <c r="Q312" s="482" t="n"/>
      <c r="R312" s="21" t="n"/>
      <c r="S312" s="20" t="inlineStr">
        <is>
          <t>..บาท</t>
        </is>
      </c>
    </row>
    <row r="313" ht="22.2" customHeight="1" s="330">
      <c r="A313" s="207" t="inlineStr">
        <is>
          <t>ผู้ขอเบิก</t>
        </is>
      </c>
      <c r="B313" s="334" t="n"/>
      <c r="C313" s="334" t="n"/>
      <c r="D313" s="334" t="n"/>
      <c r="E313" s="334" t="n"/>
      <c r="F313" s="334" t="n"/>
      <c r="G313" s="335" t="n"/>
      <c r="H313" s="207" t="inlineStr">
        <is>
          <t>ผู้รับรอง</t>
        </is>
      </c>
      <c r="I313" s="334" t="n"/>
      <c r="J313" s="334" t="n"/>
      <c r="K313" s="334" t="n"/>
      <c r="L313" s="335" t="n"/>
      <c r="M313" s="207" t="inlineStr">
        <is>
          <t>ผู้ตรวจ</t>
        </is>
      </c>
      <c r="N313" s="334" t="n"/>
      <c r="O313" s="334" t="n"/>
      <c r="P313" s="334" t="n"/>
      <c r="Q313" s="334" t="n"/>
      <c r="R313" s="334" t="n"/>
      <c r="S313" s="335" t="n"/>
    </row>
    <row r="314" ht="22.2" customHeight="1" s="330">
      <c r="A314" s="252" t="inlineStr">
        <is>
          <t>ลงชื่อ……………………………………………</t>
        </is>
      </c>
      <c r="G314" s="331" t="n"/>
      <c r="H314" s="252" t="inlineStr">
        <is>
          <t>ลงชื่อ……………………………………………</t>
        </is>
      </c>
      <c r="L314" s="331" t="n"/>
      <c r="M314" s="252" t="inlineStr">
        <is>
          <t>ลงชื่อ……………………………………………</t>
        </is>
      </c>
      <c r="S314" s="331" t="n"/>
    </row>
    <row r="315" ht="22.2" customHeight="1" s="330">
      <c r="A315" s="12" t="inlineStr">
        <is>
          <t>(</t>
        </is>
      </c>
      <c r="B315" s="309">
        <f>B283</f>
        <v/>
      </c>
      <c r="G315" s="310" t="inlineStr">
        <is>
          <t>)</t>
        </is>
      </c>
      <c r="H315" s="309" t="inlineStr">
        <is>
          <t>(</t>
        </is>
      </c>
      <c r="I315" s="314">
        <f>I269</f>
        <v/>
      </c>
      <c r="L315" s="13" t="inlineStr">
        <is>
          <t>)</t>
        </is>
      </c>
      <c r="M315" s="61" t="inlineStr">
        <is>
          <t>(</t>
        </is>
      </c>
      <c r="N315" s="61" t="n"/>
      <c r="O315" s="309" t="inlineStr">
        <is>
          <t>นายพิสุทธิศักดิ์  กล่อมนาค</t>
        </is>
      </c>
      <c r="R315" s="29" t="n"/>
      <c r="S315" s="310" t="inlineStr">
        <is>
          <t>)</t>
        </is>
      </c>
    </row>
    <row r="316" ht="22.2" customHeight="1" s="330">
      <c r="A316" s="483" t="inlineStr">
        <is>
          <t xml:space="preserve">                    ตำแหน่ง  ครู</t>
        </is>
      </c>
      <c r="G316" s="331" t="n"/>
      <c r="H316" s="62" t="inlineStr">
        <is>
          <t>ตำแหน่ง หัวหน้าแผนก</t>
        </is>
      </c>
      <c r="L316" s="331" t="n"/>
      <c r="M316" s="62" t="inlineStr">
        <is>
          <t>ตำแหน่ง   ผู้ตรวจสอบ</t>
        </is>
      </c>
      <c r="S316" s="331" t="n"/>
    </row>
    <row r="317" ht="22.2" customHeight="1" s="330">
      <c r="A317" s="63">
        <f>A41</f>
        <v/>
      </c>
      <c r="B317" s="471" t="n"/>
      <c r="C317" s="471" t="n"/>
      <c r="D317" s="471" t="n"/>
      <c r="E317" s="471" t="n"/>
      <c r="F317" s="471" t="n"/>
      <c r="G317" s="476" t="n"/>
      <c r="H317" s="62">
        <f>A41</f>
        <v/>
      </c>
      <c r="L317" s="331" t="n"/>
      <c r="M317" s="63">
        <f>A41</f>
        <v/>
      </c>
      <c r="N317" s="471" t="n"/>
      <c r="O317" s="471" t="n"/>
      <c r="P317" s="471" t="n"/>
      <c r="Q317" s="471" t="n"/>
      <c r="R317" s="471" t="n"/>
      <c r="S317" s="476" t="n"/>
    </row>
    <row r="318" ht="22.2" customHeight="1" s="330">
      <c r="A318" s="207" t="inlineStr">
        <is>
          <t>ผู้ตรวจ</t>
        </is>
      </c>
      <c r="B318" s="334" t="n"/>
      <c r="C318" s="334" t="n"/>
      <c r="D318" s="334" t="n"/>
      <c r="E318" s="334" t="n"/>
      <c r="F318" s="334" t="n"/>
      <c r="G318" s="334" t="n"/>
      <c r="H318" s="334" t="n"/>
      <c r="I318" s="335" t="n"/>
      <c r="J318" s="207" t="inlineStr">
        <is>
          <t>ผู้เห็นชอบ</t>
        </is>
      </c>
      <c r="K318" s="334" t="n"/>
      <c r="L318" s="334" t="n"/>
      <c r="M318" s="334" t="n"/>
      <c r="N318" s="334" t="n"/>
      <c r="O318" s="334" t="n"/>
      <c r="P318" s="334" t="n"/>
      <c r="Q318" s="334" t="n"/>
      <c r="R318" s="334" t="n"/>
      <c r="S318" s="335" t="n"/>
    </row>
    <row r="319" ht="22.2" customHeight="1" s="330">
      <c r="A319" s="252" t="inlineStr">
        <is>
          <t>ลงชื่อ……………………………………………</t>
        </is>
      </c>
      <c r="I319" s="331" t="n"/>
      <c r="J319" s="252" t="inlineStr">
        <is>
          <t>ลงชื่อ……………………………………………</t>
        </is>
      </c>
      <c r="S319" s="331" t="n"/>
    </row>
    <row r="320" ht="22.2" customHeight="1" s="330">
      <c r="A320" s="12" t="n"/>
      <c r="B320" s="309" t="inlineStr">
        <is>
          <t xml:space="preserve">          (นางศิวรักษ์   บุญประเสริฐ)</t>
        </is>
      </c>
      <c r="I320" s="310" t="n"/>
      <c r="J320" s="29" t="n"/>
      <c r="K320" s="29" t="n"/>
      <c r="L320" s="309" t="inlineStr">
        <is>
          <t>(นายปรีชา  โพธิ์เกิด)</t>
        </is>
      </c>
      <c r="R320" s="29" t="n"/>
      <c r="S320" s="13" t="n"/>
    </row>
    <row r="321" ht="22.2" customHeight="1" s="330">
      <c r="A321" s="62" t="inlineStr">
        <is>
          <t>ตำแหน่งครู  หัวหน้างานพัฒนาหลักสูตร ฯ</t>
        </is>
      </c>
      <c r="I321" s="331" t="n"/>
      <c r="J321" s="62" t="inlineStr">
        <is>
          <t>ตำแหน่ง  รองผู้อำนวยการฝ่ายวิชาการ</t>
        </is>
      </c>
      <c r="S321" s="331" t="n"/>
    </row>
    <row r="322" ht="22.2" customHeight="1" s="330">
      <c r="A322" s="63">
        <f>A41</f>
        <v/>
      </c>
      <c r="B322" s="471" t="n"/>
      <c r="C322" s="471" t="n"/>
      <c r="D322" s="471" t="n"/>
      <c r="E322" s="471" t="n"/>
      <c r="F322" s="471" t="n"/>
      <c r="G322" s="471" t="n"/>
      <c r="H322" s="471" t="n"/>
      <c r="I322" s="476" t="n"/>
      <c r="J322" s="63">
        <f>A41</f>
        <v/>
      </c>
      <c r="K322" s="471" t="n"/>
      <c r="L322" s="471" t="n"/>
      <c r="M322" s="471" t="n"/>
      <c r="N322" s="471" t="n"/>
      <c r="O322" s="471" t="n"/>
      <c r="P322" s="471" t="n"/>
      <c r="Q322" s="471" t="n"/>
      <c r="R322" s="471" t="n"/>
      <c r="S322" s="476" t="n"/>
    </row>
    <row r="323" ht="22.2" customHeight="1" s="330">
      <c r="A32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324" ht="22.2" customHeight="1" s="330">
      <c r="A324" s="254">
        <f>A2</f>
        <v/>
      </c>
    </row>
    <row r="325" ht="22.2" customHeight="1" s="330">
      <c r="A325" s="253" t="inlineStr">
        <is>
          <t xml:space="preserve">    ระหว่างวันที่</t>
        </is>
      </c>
      <c r="D325" s="254">
        <f>D3</f>
        <v/>
      </c>
      <c r="E325" s="254" t="inlineStr">
        <is>
          <t xml:space="preserve">   เดือน  </t>
        </is>
      </c>
      <c r="F325" s="254">
        <f>F3</f>
        <v/>
      </c>
      <c r="H325" s="254">
        <f>H3</f>
        <v/>
      </c>
      <c r="I325" s="254" t="inlineStr">
        <is>
          <t xml:space="preserve">     ถึง วันที่</t>
        </is>
      </c>
      <c r="J325" s="254">
        <f>J3</f>
        <v/>
      </c>
      <c r="K325" s="254" t="inlineStr">
        <is>
          <t xml:space="preserve">   เดือน </t>
        </is>
      </c>
      <c r="L325" s="254">
        <f>L3</f>
        <v/>
      </c>
      <c r="N325" s="254">
        <f>N3</f>
        <v/>
      </c>
      <c r="P325" s="254" t="n"/>
      <c r="R325" s="254" t="n"/>
    </row>
    <row r="326" ht="22.2" customHeight="1" s="330">
      <c r="G326" s="58" t="inlineStr">
        <is>
          <t>ü</t>
        </is>
      </c>
      <c r="H326" s="290" t="inlineStr">
        <is>
          <t>ครู</t>
        </is>
      </c>
      <c r="I326" s="249" t="inlineStr">
        <is>
          <t>หน้าที่พิเศษ</t>
        </is>
      </c>
      <c r="J326" s="290" t="n"/>
    </row>
    <row r="327" ht="22.2" customHeight="1" s="330">
      <c r="A327" s="28" t="inlineStr">
        <is>
          <t>ที่</t>
        </is>
      </c>
      <c r="B327" s="28" t="inlineStr">
        <is>
          <t>ชื่อ-สกุล</t>
        </is>
      </c>
      <c r="C327" s="334" t="n"/>
      <c r="D327" s="335" t="n"/>
      <c r="E327" s="16" t="inlineStr">
        <is>
          <t>ตำแหน่ง</t>
        </is>
      </c>
      <c r="F327" s="17" t="inlineStr">
        <is>
          <t>ระยะเวลาที่สอน</t>
        </is>
      </c>
      <c r="G327" s="362" t="n"/>
      <c r="H327" s="17" t="inlineStr">
        <is>
          <t>รหัสวิชา</t>
        </is>
      </c>
      <c r="I327" s="275" t="inlineStr">
        <is>
          <t>ชั้น,แผนก,ห้อง</t>
        </is>
      </c>
      <c r="J327" s="17" t="inlineStr">
        <is>
          <t>เวลาสอน</t>
        </is>
      </c>
      <c r="K327" s="335" t="n"/>
      <c r="L327" s="17" t="inlineStr">
        <is>
          <t>ปวช.(คาบ)</t>
        </is>
      </c>
      <c r="M327" s="362" t="n"/>
      <c r="N327" s="244" t="inlineStr">
        <is>
          <t>เงิน</t>
        </is>
      </c>
      <c r="O327" s="275" t="inlineStr">
        <is>
          <t>ยอดเงิน</t>
        </is>
      </c>
      <c r="P327" s="473" t="inlineStr">
        <is>
          <t>ปวส.(คาบ)</t>
        </is>
      </c>
      <c r="Q327" s="362" t="n"/>
      <c r="R327" s="244" t="inlineStr">
        <is>
          <t>เงิน</t>
        </is>
      </c>
      <c r="S327" s="275" t="inlineStr">
        <is>
          <t>ยอดเงิน</t>
        </is>
      </c>
    </row>
    <row r="328" ht="22.2" customHeight="1" s="330">
      <c r="A328" s="60" t="n"/>
      <c r="B328" s="9" t="n"/>
      <c r="C328" s="10" t="n"/>
      <c r="D328" s="14" t="n"/>
      <c r="E328" s="11" t="n"/>
      <c r="F328" s="276" t="inlineStr">
        <is>
          <t>ส.</t>
        </is>
      </c>
      <c r="G328" s="276" t="inlineStr">
        <is>
          <t>วดป.</t>
        </is>
      </c>
      <c r="H328" s="474" t="n"/>
      <c r="I328" s="276" t="n"/>
      <c r="J328" s="475" t="n"/>
      <c r="K328" s="476" t="n"/>
      <c r="L328" s="276" t="inlineStr">
        <is>
          <t>ใน</t>
        </is>
      </c>
      <c r="M328" s="276" t="inlineStr">
        <is>
          <t>นอก</t>
        </is>
      </c>
      <c r="N328" s="276" t="inlineStr">
        <is>
          <t>ต่อ ชม.</t>
        </is>
      </c>
      <c r="O328" s="276" t="inlineStr">
        <is>
          <t>(บาท)</t>
        </is>
      </c>
      <c r="P328" s="60" t="inlineStr">
        <is>
          <t>ใน</t>
        </is>
      </c>
      <c r="Q328" s="60" t="inlineStr">
        <is>
          <t>นอก</t>
        </is>
      </c>
      <c r="R328" s="276" t="inlineStr">
        <is>
          <t>ต่อ ชม.</t>
        </is>
      </c>
      <c r="S328" s="276" t="inlineStr">
        <is>
          <t>(บาท)</t>
        </is>
      </c>
    </row>
    <row r="329" ht="22.2" customHeight="1" s="330">
      <c r="A329" s="275" t="n">
        <v>8</v>
      </c>
      <c r="B329" s="477">
        <f>AB10</f>
        <v/>
      </c>
      <c r="C329" s="334" t="n"/>
      <c r="D329" s="335" t="n"/>
      <c r="E329" s="275" t="inlineStr">
        <is>
          <t>ครู</t>
        </is>
      </c>
      <c r="F329" s="6">
        <f>F7</f>
        <v/>
      </c>
      <c r="G329" s="303" t="inlineStr">
        <is>
          <t>จันทร์</t>
        </is>
      </c>
      <c r="H329" s="325" t="n"/>
      <c r="I329" s="325" t="n"/>
      <c r="J329" s="332" t="n"/>
      <c r="K329" s="335" t="n"/>
      <c r="L329" s="265" t="n"/>
      <c r="M329" s="332" t="n"/>
      <c r="N329" s="332" t="n"/>
      <c r="O329" s="244">
        <f>M329*N329</f>
        <v/>
      </c>
      <c r="P329" s="332" t="n"/>
      <c r="Q329" s="265" t="n"/>
      <c r="R329" s="332" t="n"/>
      <c r="S329" s="244">
        <f>Q329*R329</f>
        <v/>
      </c>
    </row>
    <row r="330" ht="22.2" customHeight="1" s="330">
      <c r="A330" s="4" t="n"/>
      <c r="B330" s="478" t="n"/>
      <c r="D330" s="331" t="n"/>
      <c r="E330" s="252" t="n"/>
      <c r="F330" s="249" t="n"/>
      <c r="G330" s="308">
        <f>G284</f>
        <v/>
      </c>
      <c r="H330" s="325" t="n"/>
      <c r="I330" s="325" t="n"/>
      <c r="J330" s="252" t="n"/>
      <c r="K330" s="331" t="n"/>
      <c r="L330" s="252" t="n"/>
      <c r="M330" s="252" t="n"/>
      <c r="N330" s="252" t="n"/>
      <c r="O330" s="244">
        <f>M330*N330</f>
        <v/>
      </c>
      <c r="P330" s="252" t="n"/>
      <c r="Q330" s="252" t="n"/>
      <c r="R330" s="252" t="n"/>
      <c r="S330" s="244">
        <f>Q330*R330</f>
        <v/>
      </c>
    </row>
    <row r="331" ht="22.2" customHeight="1" s="330">
      <c r="A331" s="4" t="n"/>
      <c r="B331" s="5" t="n"/>
      <c r="D331" s="3" t="n"/>
      <c r="E331" s="3" t="n"/>
      <c r="F331" s="249" t="n"/>
      <c r="G331" s="248" t="n"/>
      <c r="H331" s="252" t="n"/>
      <c r="I331" s="252" t="n"/>
      <c r="J331" s="252" t="n"/>
      <c r="K331" s="331" t="n"/>
      <c r="L331" s="252" t="n"/>
      <c r="M331" s="252" t="n"/>
      <c r="N331" s="252" t="n"/>
      <c r="O331" s="244">
        <f>M331*N331</f>
        <v/>
      </c>
      <c r="P331" s="252" t="n"/>
      <c r="Q331" s="252" t="n"/>
      <c r="R331" s="252" t="n"/>
      <c r="S331" s="244">
        <f>Q331*R331</f>
        <v/>
      </c>
    </row>
    <row r="332" ht="22.2" customHeight="1" s="330">
      <c r="A332" s="4" t="n"/>
      <c r="B332" s="5" t="n"/>
      <c r="E332" s="4" t="n"/>
      <c r="F332" s="249" t="n"/>
      <c r="G332" s="248" t="n"/>
      <c r="H332" s="252" t="n"/>
      <c r="I332" s="252" t="n"/>
      <c r="J332" s="252" t="n"/>
      <c r="K332" s="331" t="n"/>
      <c r="L332" s="252" t="n"/>
      <c r="M332" s="252" t="n"/>
      <c r="N332" s="252" t="n"/>
      <c r="O332" s="244">
        <f>M332*N332</f>
        <v/>
      </c>
      <c r="P332" s="252" t="n"/>
      <c r="Q332" s="252" t="n"/>
      <c r="R332" s="252" t="n"/>
      <c r="S332" s="244">
        <f>Q332*R332</f>
        <v/>
      </c>
    </row>
    <row r="333" ht="22.2" customHeight="1" s="330">
      <c r="A333" s="4" t="n"/>
      <c r="E333" s="4" t="n"/>
      <c r="G333" s="311" t="n"/>
      <c r="H333" s="276" t="n"/>
      <c r="I333" s="276" t="n"/>
      <c r="J333" s="276" t="n"/>
      <c r="K333" s="476" t="n"/>
      <c r="L333" s="252" t="n"/>
      <c r="M333" s="252" t="n"/>
      <c r="N333" s="252" t="n"/>
      <c r="O333" s="244">
        <f>M333*N333</f>
        <v/>
      </c>
      <c r="P333" s="252" t="n"/>
      <c r="Q333" s="252" t="n"/>
      <c r="R333" s="252" t="n"/>
      <c r="S333" s="244">
        <f>Q333*R333</f>
        <v/>
      </c>
    </row>
    <row r="334" ht="22.2" customHeight="1" s="330">
      <c r="A334" s="4" t="n"/>
      <c r="D334" s="8" t="inlineStr">
        <is>
          <t> </t>
        </is>
      </c>
      <c r="E334" s="4" t="n"/>
      <c r="G334" s="62" t="inlineStr">
        <is>
          <t>อังคาร</t>
        </is>
      </c>
      <c r="H334" s="325" t="inlineStr">
        <is>
          <t>30101-8001</t>
        </is>
      </c>
      <c r="I334" s="325" t="inlineStr">
        <is>
          <t>ปวส.2/3 สย. (ปกติ)</t>
        </is>
      </c>
      <c r="J334" s="332" t="inlineStr">
        <is>
          <t>08.10-12.10</t>
        </is>
      </c>
      <c r="K334" s="335" t="n"/>
      <c r="L334" s="265" t="n"/>
      <c r="M334" s="332" t="n"/>
      <c r="N334" s="332" t="n"/>
      <c r="O334" s="244">
        <f>M334*N334</f>
        <v/>
      </c>
      <c r="P334" s="332" t="n"/>
      <c r="Q334" s="265" t="n"/>
      <c r="R334" s="332" t="n"/>
      <c r="S334" s="244">
        <f>Q334*R334</f>
        <v/>
      </c>
    </row>
    <row r="335" ht="22.2" customHeight="1" s="330">
      <c r="A335" s="4" t="n"/>
      <c r="E335" s="4" t="n"/>
      <c r="G335" s="308">
        <f>G289</f>
        <v/>
      </c>
      <c r="H335" s="325" t="inlineStr">
        <is>
          <t>30101-0003</t>
        </is>
      </c>
      <c r="I335" s="325" t="inlineStr">
        <is>
          <t>ปวส.1/6 สย. (ม.6)</t>
        </is>
      </c>
      <c r="J335" s="252" t="inlineStr">
        <is>
          <t>14.10-19.10</t>
        </is>
      </c>
      <c r="K335" s="331" t="n"/>
      <c r="L335" s="252" t="n"/>
      <c r="M335" s="252" t="n"/>
      <c r="N335" s="252" t="n"/>
      <c r="O335" s="244">
        <f>M335*N335</f>
        <v/>
      </c>
      <c r="P335" s="252" t="n"/>
      <c r="Q335" s="252" t="n"/>
      <c r="R335" s="252" t="n"/>
      <c r="S335" s="244">
        <f>Q335*R335</f>
        <v/>
      </c>
    </row>
    <row r="336" ht="22.2" customHeight="1" s="330">
      <c r="A336" s="4" t="n"/>
      <c r="B336" s="248" t="n"/>
      <c r="C336" s="249" t="n"/>
      <c r="D336" s="249" t="n"/>
      <c r="E336" s="252" t="n"/>
      <c r="G336" s="252" t="n"/>
      <c r="H336" s="252" t="n"/>
      <c r="I336" s="252" t="n"/>
      <c r="J336" s="252" t="n"/>
      <c r="K336" s="331" t="n"/>
      <c r="L336" s="252" t="n"/>
      <c r="M336" s="252" t="n"/>
      <c r="N336" s="252" t="n"/>
      <c r="O336" s="244">
        <f>M336*N336</f>
        <v/>
      </c>
      <c r="P336" s="252" t="n"/>
      <c r="Q336" s="252" t="n"/>
      <c r="R336" s="252" t="n"/>
      <c r="S336" s="244">
        <f>Q336*R336</f>
        <v/>
      </c>
    </row>
    <row r="337" ht="22.2" customHeight="1" s="330">
      <c r="A337" s="4" t="n"/>
      <c r="B337" s="5" t="n"/>
      <c r="D337" s="3" t="n"/>
      <c r="E337" s="3" t="n"/>
      <c r="G337" s="62" t="n"/>
      <c r="H337" s="252" t="n"/>
      <c r="I337" s="252" t="n"/>
      <c r="J337" s="252" t="n"/>
      <c r="K337" s="331" t="n"/>
      <c r="L337" s="252" t="n"/>
      <c r="M337" s="252" t="n"/>
      <c r="N337" s="252" t="n"/>
      <c r="O337" s="244">
        <f>M337*N337</f>
        <v/>
      </c>
      <c r="P337" s="252" t="n"/>
      <c r="Q337" s="252" t="n"/>
      <c r="R337" s="252" t="n"/>
      <c r="S337" s="244">
        <f>Q337*R337</f>
        <v/>
      </c>
    </row>
    <row r="338" ht="22.2" customHeight="1" s="330">
      <c r="A338" s="4" t="n"/>
      <c r="D338" s="8" t="inlineStr">
        <is>
          <t> </t>
        </is>
      </c>
      <c r="E338" s="4" t="n"/>
      <c r="G338" s="63" t="n"/>
      <c r="H338" s="276" t="n"/>
      <c r="I338" s="276" t="n"/>
      <c r="J338" s="276" t="n"/>
      <c r="K338" s="476" t="n"/>
      <c r="L338" s="252" t="n"/>
      <c r="M338" s="252" t="n"/>
      <c r="N338" s="252" t="n"/>
      <c r="O338" s="244">
        <f>M338*N338</f>
        <v/>
      </c>
      <c r="P338" s="252" t="n"/>
      <c r="Q338" s="252" t="n"/>
      <c r="R338" s="252" t="n"/>
      <c r="S338" s="244">
        <f>Q338*R338</f>
        <v/>
      </c>
    </row>
    <row r="339" ht="22.2" customHeight="1" s="330">
      <c r="A339" s="4" t="n"/>
      <c r="E339" s="4" t="n"/>
      <c r="G339" s="308" t="inlineStr">
        <is>
          <t>พุธ</t>
        </is>
      </c>
      <c r="H339" s="325" t="inlineStr">
        <is>
          <t>30101-0003</t>
        </is>
      </c>
      <c r="I339" s="325" t="inlineStr">
        <is>
          <t>ปวส.1/4 สย. (ม.6)</t>
        </is>
      </c>
      <c r="J339" s="252" t="inlineStr">
        <is>
          <t>13.10-18.10</t>
        </is>
      </c>
      <c r="K339" s="331" t="n"/>
      <c r="L339" s="265" t="n"/>
      <c r="M339" s="332" t="n"/>
      <c r="N339" s="332" t="n"/>
      <c r="O339" s="244">
        <f>M339*N339</f>
        <v/>
      </c>
      <c r="P339" s="332" t="n"/>
      <c r="Q339" s="265" t="n"/>
      <c r="R339" s="332" t="n"/>
      <c r="S339" s="244">
        <f>Q339*R339</f>
        <v/>
      </c>
      <c r="T339" s="7" t="n"/>
      <c r="U339" s="23" t="inlineStr">
        <is>
          <t>เบิก ธุรการ</t>
        </is>
      </c>
      <c r="V339" s="66" t="n"/>
      <c r="W339" s="22" t="n"/>
      <c r="X339" s="22" t="n"/>
    </row>
    <row r="340" ht="22.2" customHeight="1" s="330">
      <c r="A340" s="4" t="n"/>
      <c r="B340" s="248" t="n"/>
      <c r="C340" s="249" t="n"/>
      <c r="D340" s="249" t="n"/>
      <c r="E340" s="252" t="n"/>
      <c r="G340" s="308">
        <f>G294</f>
        <v/>
      </c>
      <c r="H340" s="325" t="n"/>
      <c r="I340" s="325" t="n"/>
      <c r="J340" s="252" t="n"/>
      <c r="K340" s="331" t="n"/>
      <c r="L340" s="252" t="n"/>
      <c r="M340" s="252" t="n"/>
      <c r="N340" s="252" t="n"/>
      <c r="O340" s="244">
        <f>M340*N340</f>
        <v/>
      </c>
      <c r="P340" s="252" t="n"/>
      <c r="Q340" s="252" t="n"/>
      <c r="R340" s="252" t="n"/>
      <c r="S340" s="244">
        <f>Q340*R340</f>
        <v/>
      </c>
      <c r="T340" s="22" t="inlineStr">
        <is>
          <t> </t>
        </is>
      </c>
      <c r="U340" s="23" t="inlineStr">
        <is>
          <t>16.10-19.10</t>
        </is>
      </c>
      <c r="V340" s="66" t="n"/>
      <c r="W340" s="22" t="n"/>
      <c r="X340" s="22" t="n"/>
    </row>
    <row r="341" ht="22.2" customHeight="1" s="330">
      <c r="A341" s="4" t="n"/>
      <c r="B341" s="5" t="n"/>
      <c r="D341" s="3" t="n"/>
      <c r="E341" s="3" t="n"/>
      <c r="G341" s="252" t="n"/>
      <c r="H341" s="325" t="n"/>
      <c r="I341" s="325" t="n"/>
      <c r="J341" s="325" t="n"/>
      <c r="K341" s="331" t="n"/>
      <c r="L341" s="252" t="n"/>
      <c r="M341" s="252" t="n"/>
      <c r="N341" s="252" t="n"/>
      <c r="O341" s="244">
        <f>M341*N341</f>
        <v/>
      </c>
      <c r="P341" s="252" t="n"/>
      <c r="Q341" s="252" t="n"/>
      <c r="R341" s="252" t="n"/>
      <c r="S341" s="244">
        <f>Q341*R341</f>
        <v/>
      </c>
    </row>
    <row r="342" ht="22.2" customHeight="1" s="330">
      <c r="A342" s="4" t="n"/>
      <c r="E342" s="4" t="n"/>
      <c r="G342" s="248" t="n"/>
      <c r="H342" s="248" t="n"/>
      <c r="I342" s="252" t="n"/>
      <c r="J342" s="252" t="n"/>
      <c r="K342" s="331" t="n"/>
      <c r="L342" s="252" t="n"/>
      <c r="M342" s="252" t="n"/>
      <c r="N342" s="252" t="n"/>
      <c r="O342" s="244">
        <f>M342*N342</f>
        <v/>
      </c>
      <c r="P342" s="252" t="n"/>
      <c r="Q342" s="252" t="n"/>
      <c r="R342" s="252" t="n"/>
      <c r="S342" s="244">
        <f>Q342*R342</f>
        <v/>
      </c>
    </row>
    <row r="343" ht="22.2" customHeight="1" s="330">
      <c r="A343" s="4" t="n"/>
      <c r="E343" s="4" t="n"/>
      <c r="G343" s="277" t="n"/>
      <c r="H343" s="277" t="n"/>
      <c r="I343" s="276" t="n"/>
      <c r="J343" s="276" t="n"/>
      <c r="K343" s="476" t="n"/>
      <c r="L343" s="276" t="n"/>
      <c r="M343" s="276" t="n"/>
      <c r="N343" s="276" t="n"/>
      <c r="O343" s="244">
        <f>M343*N343</f>
        <v/>
      </c>
      <c r="P343" s="276" t="n"/>
      <c r="Q343" s="276" t="n"/>
      <c r="R343" s="276" t="n"/>
      <c r="S343" s="244">
        <f>Q343*R343</f>
        <v/>
      </c>
    </row>
    <row r="344" ht="22.2" customHeight="1" s="330">
      <c r="A344" s="4" t="n"/>
      <c r="E344" s="4" t="n"/>
      <c r="G344" s="62" t="inlineStr">
        <is>
          <t>พฤหัส</t>
        </is>
      </c>
      <c r="H344" s="325" t="inlineStr">
        <is>
          <t>30101-2603</t>
        </is>
      </c>
      <c r="I344" s="325" t="inlineStr">
        <is>
          <t>ปวส.1/1 สย. (ปกติ)</t>
        </is>
      </c>
      <c r="J344" s="332" t="inlineStr">
        <is>
          <t>08.10-12.10</t>
        </is>
      </c>
      <c r="K344" s="335" t="n"/>
      <c r="L344" s="252" t="n"/>
      <c r="M344" s="252" t="n"/>
      <c r="N344" s="252" t="n"/>
      <c r="O344" s="244">
        <f>M344*N344</f>
        <v/>
      </c>
      <c r="P344" s="252" t="n"/>
      <c r="Q344" s="275" t="n"/>
      <c r="R344" s="275" t="n"/>
      <c r="S344" s="244">
        <f>Q344*R344</f>
        <v/>
      </c>
    </row>
    <row r="345" ht="22.2" customHeight="1" s="330">
      <c r="A345" s="4" t="n"/>
      <c r="E345" s="4" t="n"/>
      <c r="G345" s="62">
        <f>G299</f>
        <v/>
      </c>
      <c r="H345" s="181" t="inlineStr">
        <is>
          <t>30000-2002</t>
        </is>
      </c>
      <c r="I345" s="325" t="inlineStr">
        <is>
          <t>ปวส.1/1,2 สย. (ปกติ)</t>
        </is>
      </c>
      <c r="J345" s="252" t="inlineStr">
        <is>
          <t>13.10-15.10</t>
        </is>
      </c>
      <c r="K345" s="331" t="n"/>
      <c r="L345" s="252" t="n"/>
      <c r="M345" s="252" t="n"/>
      <c r="N345" s="252" t="n"/>
      <c r="O345" s="244">
        <f>M345*N345</f>
        <v/>
      </c>
      <c r="P345" s="252" t="n"/>
      <c r="Q345" s="252" t="n"/>
      <c r="R345" s="252" t="n"/>
      <c r="S345" s="244">
        <f>Q345*R345</f>
        <v/>
      </c>
    </row>
    <row r="346" ht="22.2" customHeight="1" s="330">
      <c r="A346" s="4" t="n"/>
      <c r="B346" s="5" t="n"/>
      <c r="E346" s="4" t="n"/>
      <c r="G346" s="252" t="n"/>
      <c r="H346" s="325" t="inlineStr">
        <is>
          <t>30101-2603</t>
        </is>
      </c>
      <c r="I346" s="325" t="inlineStr">
        <is>
          <t>ปวส.1/1 สย. (ปกติ)</t>
        </is>
      </c>
      <c r="J346" s="252" t="inlineStr">
        <is>
          <t>15.10-16.10</t>
        </is>
      </c>
      <c r="K346" s="331" t="n"/>
      <c r="L346" s="325" t="n"/>
      <c r="M346" s="325" t="n"/>
      <c r="N346" s="325" t="n"/>
      <c r="O346" s="244">
        <f>M346*N346</f>
        <v/>
      </c>
      <c r="P346" s="325" t="n"/>
      <c r="Q346" s="325" t="n"/>
      <c r="R346" s="325" t="n"/>
      <c r="S346" s="244">
        <f>Q346*R346</f>
        <v/>
      </c>
    </row>
    <row r="347" ht="22.2" customHeight="1" s="330">
      <c r="A347" s="4" t="n"/>
      <c r="E347" s="4" t="n"/>
      <c r="G347" s="252" t="n"/>
      <c r="H347" s="252" t="n"/>
      <c r="I347" s="250" t="n"/>
      <c r="J347" s="252" t="n"/>
      <c r="K347" s="331" t="n"/>
      <c r="L347" s="252" t="n"/>
      <c r="M347" s="252" t="n"/>
      <c r="N347" s="252" t="n"/>
      <c r="O347" s="244">
        <f>M347*N347</f>
        <v/>
      </c>
      <c r="P347" s="252" t="n"/>
      <c r="Q347" s="252" t="n"/>
      <c r="R347" s="252" t="n"/>
      <c r="S347" s="244">
        <f>Q347*R347</f>
        <v/>
      </c>
    </row>
    <row r="348" ht="22.2" customHeight="1" s="330">
      <c r="A348" s="4" t="n"/>
      <c r="E348" s="4" t="n"/>
      <c r="G348" s="276" t="n"/>
      <c r="H348" s="301" t="n"/>
      <c r="I348" s="276" t="n"/>
      <c r="J348" s="276" t="n"/>
      <c r="K348" s="476" t="n"/>
      <c r="L348" s="276" t="n"/>
      <c r="M348" s="276" t="n"/>
      <c r="N348" s="276" t="n"/>
      <c r="O348" s="244">
        <f>M348*N348</f>
        <v/>
      </c>
      <c r="P348" s="276" t="n"/>
      <c r="Q348" s="276" t="n"/>
      <c r="R348" s="276" t="n"/>
      <c r="S348" s="244">
        <f>Q348*R348</f>
        <v/>
      </c>
    </row>
    <row r="349" ht="22.2" customHeight="1" s="330">
      <c r="A349" s="4" t="n"/>
      <c r="E349" s="4" t="n"/>
      <c r="G349" s="62" t="inlineStr">
        <is>
          <t>ศุกร์</t>
        </is>
      </c>
      <c r="H349" s="325" t="inlineStr">
        <is>
          <t>30101-2005</t>
        </is>
      </c>
      <c r="I349" s="325" t="inlineStr">
        <is>
          <t>ปวส.1/2 สย. (ปกติ)</t>
        </is>
      </c>
      <c r="J349" s="332" t="inlineStr">
        <is>
          <t>08.10-12.10</t>
        </is>
      </c>
      <c r="K349" s="335" t="n"/>
      <c r="L349" s="252" t="n"/>
      <c r="M349" s="252" t="n"/>
      <c r="N349" s="252" t="n"/>
      <c r="O349" s="244">
        <f>M349*N349</f>
        <v/>
      </c>
      <c r="P349" s="332" t="n"/>
      <c r="Q349" s="265" t="n"/>
      <c r="R349" s="332" t="n"/>
      <c r="S349" s="244">
        <f>Q349*R349</f>
        <v/>
      </c>
    </row>
    <row r="350" ht="22.2" customHeight="1" s="330">
      <c r="A350" s="4" t="n"/>
      <c r="E350" s="4" t="n"/>
      <c r="G350" s="62">
        <f>G304</f>
        <v/>
      </c>
      <c r="H350" s="325" t="inlineStr">
        <is>
          <t>30101-2005</t>
        </is>
      </c>
      <c r="I350" s="325" t="inlineStr">
        <is>
          <t>ปวส.1/1 สย. (ปกติ)</t>
        </is>
      </c>
      <c r="J350" s="252" t="inlineStr">
        <is>
          <t>13.10-17.10</t>
        </is>
      </c>
      <c r="K350" s="331" t="n"/>
      <c r="L350" s="252" t="n"/>
      <c r="M350" s="252" t="n"/>
      <c r="N350" s="252" t="n"/>
      <c r="O350" s="244">
        <f>M350*N350</f>
        <v/>
      </c>
      <c r="P350" s="252" t="n"/>
      <c r="Q350" s="252" t="n"/>
      <c r="R350" s="252" t="n"/>
      <c r="S350" s="244">
        <f>Q350*R350</f>
        <v/>
      </c>
    </row>
    <row r="351" ht="22.2" customHeight="1" s="330">
      <c r="A351" s="4" t="n"/>
      <c r="E351" s="4" t="n"/>
      <c r="G351" s="252" t="n"/>
      <c r="H351" s="173" t="n"/>
      <c r="I351" s="4" t="n"/>
      <c r="J351" s="252" t="n"/>
      <c r="K351" s="331" t="n"/>
      <c r="L351" s="252" t="n"/>
      <c r="M351" s="252" t="n"/>
      <c r="N351" s="252" t="n"/>
      <c r="O351" s="244">
        <f>M351*N351</f>
        <v/>
      </c>
      <c r="P351" s="252" t="n"/>
      <c r="Q351" s="252" t="n"/>
      <c r="R351" s="252" t="n"/>
      <c r="S351" s="244">
        <f>Q351*R351</f>
        <v/>
      </c>
    </row>
    <row r="352" ht="22.2" customHeight="1" s="330">
      <c r="A352" s="4" t="n"/>
      <c r="E352" s="4" t="n"/>
      <c r="G352" s="252" t="n"/>
      <c r="H352" s="176" t="n"/>
      <c r="I352" s="4" t="n"/>
      <c r="J352" s="252" t="n"/>
      <c r="K352" s="331" t="n"/>
      <c r="L352" s="252" t="n"/>
      <c r="M352" s="252" t="n"/>
      <c r="N352" s="252" t="n"/>
      <c r="O352" s="244">
        <f>M352*N352</f>
        <v/>
      </c>
      <c r="P352" s="252" t="n"/>
      <c r="Q352" s="252" t="n"/>
      <c r="R352" s="252" t="n"/>
      <c r="S352" s="244">
        <f>Q352*R352</f>
        <v/>
      </c>
    </row>
    <row r="353" ht="22.2" customHeight="1" s="330">
      <c r="A353" s="4" t="n"/>
      <c r="E353" s="4" t="n"/>
      <c r="F353" s="4" t="n"/>
      <c r="G353" s="278" t="n"/>
      <c r="H353" s="276" t="n"/>
      <c r="I353" s="278" t="n"/>
      <c r="J353" s="276" t="n"/>
      <c r="K353" s="476" t="n"/>
      <c r="L353" s="276" t="n"/>
      <c r="M353" s="276" t="n"/>
      <c r="N353" s="276" t="n"/>
      <c r="O353" s="244">
        <f>M353*N353</f>
        <v/>
      </c>
      <c r="P353" s="276" t="n"/>
      <c r="Q353" s="276" t="n"/>
      <c r="R353" s="276" t="n"/>
      <c r="S353" s="244">
        <f>Q353*R353</f>
        <v/>
      </c>
    </row>
    <row r="354" ht="22.2" customHeight="1" s="330">
      <c r="A354" s="4" t="n"/>
      <c r="E354" s="4" t="n"/>
      <c r="F354" s="4" t="n"/>
      <c r="G354" s="17" t="inlineStr">
        <is>
          <t>รวมขั่วโมงที่สอนแยก ภาระงาน/ เกินภาระงาน</t>
        </is>
      </c>
      <c r="H354" s="467" t="n"/>
      <c r="I354" s="467" t="n"/>
      <c r="J354" s="467" t="n"/>
      <c r="K354" s="362" t="n"/>
      <c r="L354" s="17">
        <f>SUM(L329:L353)</f>
        <v/>
      </c>
      <c r="M354" s="17">
        <f>SUM(M329:M353)</f>
        <v/>
      </c>
      <c r="N354" s="17" t="n"/>
      <c r="O354" s="17" t="n"/>
      <c r="P354" s="17">
        <f>SUM(P329:P353)</f>
        <v/>
      </c>
      <c r="Q354" s="17">
        <f>SUM(Q329:Q353)</f>
        <v/>
      </c>
      <c r="R354" s="279" t="n"/>
      <c r="S354" s="17" t="n"/>
      <c r="T354" s="25" t="n"/>
      <c r="U354" s="26" t="inlineStr">
        <is>
          <t xml:space="preserve">     PLC</t>
        </is>
      </c>
      <c r="V354" s="64" t="n"/>
      <c r="W354" s="27" t="n"/>
      <c r="X354" s="27" t="n"/>
    </row>
    <row r="355" ht="22.2" customHeight="1" s="330">
      <c r="A355" s="4" t="n"/>
      <c r="E355" s="4" t="n"/>
      <c r="F355" s="4" t="n"/>
      <c r="G355" s="17" t="inlineStr">
        <is>
          <t>รวมจำนวนชั่วโมงสอนคาบต่อสับดาห์</t>
        </is>
      </c>
      <c r="H355" s="467" t="n"/>
      <c r="I355" s="467" t="n"/>
      <c r="J355" s="467" t="n"/>
      <c r="K355" s="362" t="n"/>
      <c r="L355" s="17">
        <f>L354+M354</f>
        <v/>
      </c>
      <c r="M355" s="362" t="n"/>
      <c r="N355" s="298" t="n"/>
      <c r="O355" s="17" t="n"/>
      <c r="P355" s="17">
        <f>P354+Q354</f>
        <v/>
      </c>
      <c r="Q355" s="362" t="n"/>
      <c r="R355" s="278" t="n"/>
      <c r="S355" s="276" t="n"/>
      <c r="T355" s="27" t="inlineStr">
        <is>
          <t> </t>
        </is>
      </c>
      <c r="U355" s="26" t="inlineStr">
        <is>
          <t>17.10-19.10</t>
        </is>
      </c>
      <c r="V355" s="64" t="n"/>
      <c r="W355" s="27" t="n"/>
      <c r="X355" s="27" t="n"/>
    </row>
    <row r="356" ht="22.2" customHeight="1" s="330">
      <c r="A356" s="4" t="n"/>
      <c r="E356" s="4" t="n"/>
      <c r="F356" s="4" t="n"/>
      <c r="G356" s="17" t="inlineStr">
        <is>
          <t>จำนวนชั่วโมงสอนตามภาระงานสอน</t>
        </is>
      </c>
      <c r="H356" s="467" t="n"/>
      <c r="I356" s="467" t="n"/>
      <c r="J356" s="467" t="n"/>
      <c r="K356" s="362" t="n"/>
      <c r="L356" s="17" t="n">
        <v>0</v>
      </c>
      <c r="M356" s="362" t="n"/>
      <c r="N356" s="298" t="n"/>
      <c r="O356" s="17" t="n"/>
      <c r="P356" s="17" t="n">
        <v>15</v>
      </c>
      <c r="Q356" s="362" t="n"/>
      <c r="R356" s="249" t="n"/>
      <c r="S356" s="252" t="n"/>
    </row>
    <row r="357" ht="22.2" customHeight="1" s="330" thickBot="1">
      <c r="A357" s="4" t="n"/>
      <c r="E357" s="4" t="n"/>
      <c r="F357" s="15" t="n"/>
      <c r="G357" s="17" t="inlineStr">
        <is>
          <t>จำนวนชั่วโมงบิกเกินภาระงานสอน/ค่าสอน</t>
        </is>
      </c>
      <c r="H357" s="467" t="n"/>
      <c r="I357" s="467" t="n"/>
      <c r="J357" s="467" t="n"/>
      <c r="K357" s="362" t="n"/>
      <c r="L357" s="18" t="n">
        <v>0</v>
      </c>
      <c r="M357" s="18">
        <f>SUM(M329:M353)</f>
        <v/>
      </c>
      <c r="N357" s="18" t="n"/>
      <c r="O357" s="18">
        <f>SUM(O329:O353)</f>
        <v/>
      </c>
      <c r="P357" s="18" t="n">
        <v>0</v>
      </c>
      <c r="Q357" s="18">
        <f>SUM(Q329:Q353)</f>
        <v/>
      </c>
      <c r="R357" s="19" t="n"/>
      <c r="S357" s="18">
        <f>SUM(S329:S353)</f>
        <v/>
      </c>
    </row>
    <row r="358" ht="22.2" customHeight="1" s="330" thickTop="1">
      <c r="A358" s="299" t="inlineStr">
        <is>
          <t>รวมจำนวนหน่วยชั่วโมงที่ขอเบิกค่าสอน ….</t>
        </is>
      </c>
      <c r="B358" s="467" t="n"/>
      <c r="C358" s="467" t="n"/>
      <c r="D358" s="467" t="n"/>
      <c r="E358" s="467" t="n"/>
      <c r="F358" s="467" t="n"/>
      <c r="G358" s="467" t="n"/>
      <c r="H358" s="298">
        <f>M357+Q357</f>
        <v/>
      </c>
      <c r="I358" s="298" t="inlineStr">
        <is>
          <t>….ชั่วโมง</t>
        </is>
      </c>
      <c r="J358" s="298" t="n"/>
      <c r="K358" s="301" t="inlineStr">
        <is>
          <t>ยอดเงินรวม</t>
        </is>
      </c>
      <c r="L358" s="471" t="n"/>
      <c r="M358" s="471" t="n"/>
      <c r="N358" s="301" t="n"/>
      <c r="O358" s="301" t="n"/>
      <c r="P358" s="302">
        <f>S357+O357</f>
        <v/>
      </c>
      <c r="Q358" s="482" t="n"/>
      <c r="R358" s="21" t="n"/>
      <c r="S358" s="20" t="inlineStr">
        <is>
          <t>..บาท</t>
        </is>
      </c>
    </row>
    <row r="359" ht="22.2" customHeight="1" s="330">
      <c r="A359" s="207" t="inlineStr">
        <is>
          <t>ผู้ขอเบิก</t>
        </is>
      </c>
      <c r="B359" s="334" t="n"/>
      <c r="C359" s="334" t="n"/>
      <c r="D359" s="334" t="n"/>
      <c r="E359" s="334" t="n"/>
      <c r="F359" s="334" t="n"/>
      <c r="G359" s="335" t="n"/>
      <c r="H359" s="207" t="inlineStr">
        <is>
          <t>ผู้รับรอง</t>
        </is>
      </c>
      <c r="I359" s="334" t="n"/>
      <c r="J359" s="334" t="n"/>
      <c r="K359" s="334" t="n"/>
      <c r="L359" s="335" t="n"/>
      <c r="M359" s="207" t="inlineStr">
        <is>
          <t>ผู้ตรวจ</t>
        </is>
      </c>
      <c r="N359" s="334" t="n"/>
      <c r="O359" s="334" t="n"/>
      <c r="P359" s="334" t="n"/>
      <c r="Q359" s="334" t="n"/>
      <c r="R359" s="334" t="n"/>
      <c r="S359" s="335" t="n"/>
    </row>
    <row r="360" ht="22.2" customHeight="1" s="330">
      <c r="A360" s="252" t="inlineStr">
        <is>
          <t>ลงชื่อ……………………………………………</t>
        </is>
      </c>
      <c r="G360" s="331" t="n"/>
      <c r="H360" s="252" t="inlineStr">
        <is>
          <t>ลงชื่อ……………………………………………</t>
        </is>
      </c>
      <c r="L360" s="331" t="n"/>
      <c r="M360" s="252" t="inlineStr">
        <is>
          <t>ลงชื่อ……………………………………………</t>
        </is>
      </c>
      <c r="S360" s="331" t="n"/>
    </row>
    <row r="361" ht="22.2" customHeight="1" s="330">
      <c r="A361" s="12" t="inlineStr">
        <is>
          <t>(</t>
        </is>
      </c>
      <c r="B361" s="309">
        <f>B329</f>
        <v/>
      </c>
      <c r="G361" s="310" t="inlineStr">
        <is>
          <t>)</t>
        </is>
      </c>
      <c r="H361" s="309" t="inlineStr">
        <is>
          <t>(</t>
        </is>
      </c>
      <c r="I361" s="314">
        <f>I315</f>
        <v/>
      </c>
      <c r="L361" s="13" t="inlineStr">
        <is>
          <t>)</t>
        </is>
      </c>
      <c r="M361" s="61" t="inlineStr">
        <is>
          <t>(</t>
        </is>
      </c>
      <c r="N361" s="61" t="n"/>
      <c r="O361" s="309" t="inlineStr">
        <is>
          <t>นายพิสุทธิศักดิ์  กล่อมนาค</t>
        </is>
      </c>
      <c r="R361" s="29" t="n"/>
      <c r="S361" s="310" t="inlineStr">
        <is>
          <t>)</t>
        </is>
      </c>
    </row>
    <row r="362" ht="22.2" customHeight="1" s="330">
      <c r="A362" s="483" t="inlineStr">
        <is>
          <t xml:space="preserve">                    ตำแหน่ง  ครู</t>
        </is>
      </c>
      <c r="G362" s="331" t="n"/>
      <c r="H362" s="62" t="inlineStr">
        <is>
          <t>ตำแหน่ง หัวหน้าแผนก</t>
        </is>
      </c>
      <c r="L362" s="331" t="n"/>
      <c r="M362" s="62" t="inlineStr">
        <is>
          <t>ตำแหน่ง   ผู้ตรวจสอบ</t>
        </is>
      </c>
      <c r="S362" s="331" t="n"/>
    </row>
    <row r="363" ht="22.2" customHeight="1" s="330">
      <c r="A363" s="63">
        <f>A41</f>
        <v/>
      </c>
      <c r="B363" s="471" t="n"/>
      <c r="C363" s="471" t="n"/>
      <c r="D363" s="471" t="n"/>
      <c r="E363" s="471" t="n"/>
      <c r="F363" s="471" t="n"/>
      <c r="G363" s="476" t="n"/>
      <c r="H363" s="62">
        <f>A41</f>
        <v/>
      </c>
      <c r="L363" s="331" t="n"/>
      <c r="M363" s="63">
        <f>A41</f>
        <v/>
      </c>
      <c r="N363" s="471" t="n"/>
      <c r="O363" s="471" t="n"/>
      <c r="P363" s="471" t="n"/>
      <c r="Q363" s="471" t="n"/>
      <c r="R363" s="471" t="n"/>
      <c r="S363" s="476" t="n"/>
    </row>
    <row r="364" ht="22.2" customHeight="1" s="330">
      <c r="A364" s="207" t="inlineStr">
        <is>
          <t>ผู้ตรวจ</t>
        </is>
      </c>
      <c r="B364" s="334" t="n"/>
      <c r="C364" s="334" t="n"/>
      <c r="D364" s="334" t="n"/>
      <c r="E364" s="334" t="n"/>
      <c r="F364" s="334" t="n"/>
      <c r="G364" s="334" t="n"/>
      <c r="H364" s="334" t="n"/>
      <c r="I364" s="335" t="n"/>
      <c r="J364" s="207" t="inlineStr">
        <is>
          <t>ผู้เห็นชอบ</t>
        </is>
      </c>
      <c r="K364" s="334" t="n"/>
      <c r="L364" s="334" t="n"/>
      <c r="M364" s="334" t="n"/>
      <c r="N364" s="334" t="n"/>
      <c r="O364" s="334" t="n"/>
      <c r="P364" s="334" t="n"/>
      <c r="Q364" s="334" t="n"/>
      <c r="R364" s="334" t="n"/>
      <c r="S364" s="335" t="n"/>
    </row>
    <row r="365" ht="22.2" customHeight="1" s="330">
      <c r="A365" s="252" t="inlineStr">
        <is>
          <t>ลงชื่อ……………………………………………</t>
        </is>
      </c>
      <c r="I365" s="331" t="n"/>
      <c r="J365" s="252" t="inlineStr">
        <is>
          <t>ลงชื่อ……………………………………………</t>
        </is>
      </c>
      <c r="S365" s="331" t="n"/>
    </row>
    <row r="366" ht="22.2" customHeight="1" s="330">
      <c r="A366" s="12" t="n"/>
      <c r="B366" s="309" t="inlineStr">
        <is>
          <t xml:space="preserve">          (นางศิวรักษ์   บุญประเสริฐ)</t>
        </is>
      </c>
      <c r="I366" s="310" t="n"/>
      <c r="J366" s="29" t="n"/>
      <c r="K366" s="29" t="n"/>
      <c r="L366" s="309" t="inlineStr">
        <is>
          <t>(นายปรีชา  โพธิ์เกิด)</t>
        </is>
      </c>
      <c r="R366" s="29" t="n"/>
      <c r="S366" s="13" t="n"/>
    </row>
    <row r="367" ht="22.2" customHeight="1" s="330">
      <c r="A367" s="62" t="inlineStr">
        <is>
          <t>ตำแหน่งครู  หัวหน้างานพัฒนาหลักสูตร ฯ</t>
        </is>
      </c>
      <c r="I367" s="331" t="n"/>
      <c r="J367" s="62" t="inlineStr">
        <is>
          <t>ตำแหน่ง  รองผู้อำนวยการฝ่ายวิชาการ</t>
        </is>
      </c>
      <c r="S367" s="331" t="n"/>
    </row>
    <row r="368" ht="22.2" customHeight="1" s="330">
      <c r="A368" s="63">
        <f>A41</f>
        <v/>
      </c>
      <c r="B368" s="471" t="n"/>
      <c r="C368" s="471" t="n"/>
      <c r="D368" s="471" t="n"/>
      <c r="E368" s="471" t="n"/>
      <c r="F368" s="471" t="n"/>
      <c r="G368" s="471" t="n"/>
      <c r="H368" s="471" t="n"/>
      <c r="I368" s="476" t="n"/>
      <c r="J368" s="63">
        <f>A41</f>
        <v/>
      </c>
      <c r="K368" s="471" t="n"/>
      <c r="L368" s="471" t="n"/>
      <c r="M368" s="471" t="n"/>
      <c r="N368" s="471" t="n"/>
      <c r="O368" s="471" t="n"/>
      <c r="P368" s="471" t="n"/>
      <c r="Q368" s="471" t="n"/>
      <c r="R368" s="471" t="n"/>
      <c r="S368" s="476" t="n"/>
    </row>
    <row r="369" ht="22.2" customHeight="1" s="330">
      <c r="A369" s="333" t="inlineStr">
        <is>
          <t>ใบเบิกจ่ายเงินค่าสอนพิเศษและค่าสอนเกินภาระงานสอนในสถานศึกษา</t>
        </is>
      </c>
      <c r="B369" s="334" t="n"/>
      <c r="C369" s="334" t="n"/>
      <c r="D369" s="334" t="n"/>
      <c r="E369" s="334" t="n"/>
      <c r="F369" s="334" t="n"/>
      <c r="G369" s="334" t="n"/>
      <c r="H369" s="334" t="n"/>
      <c r="I369" s="334" t="n"/>
      <c r="J369" s="334" t="n"/>
      <c r="K369" s="334" t="n"/>
      <c r="L369" s="334" t="n"/>
      <c r="M369" s="334" t="n"/>
      <c r="N369" s="334" t="n"/>
      <c r="O369" s="334" t="n"/>
      <c r="P369" s="334" t="n"/>
      <c r="Q369" s="334" t="n"/>
      <c r="R369" s="334" t="n"/>
      <c r="S369" s="334" t="n"/>
    </row>
    <row r="370" ht="22.2" customHeight="1" s="330">
      <c r="A370" s="254">
        <f>A2</f>
        <v/>
      </c>
    </row>
    <row r="371" ht="22.2" customHeight="1" s="330">
      <c r="A371" s="253" t="inlineStr">
        <is>
          <t xml:space="preserve">    ระหว่างวันที่</t>
        </is>
      </c>
      <c r="D371" s="254">
        <f>D3</f>
        <v/>
      </c>
      <c r="E371" s="254" t="inlineStr">
        <is>
          <t xml:space="preserve">   เดือน  </t>
        </is>
      </c>
      <c r="F371" s="254">
        <f>F3</f>
        <v/>
      </c>
      <c r="H371" s="254">
        <f>H3</f>
        <v/>
      </c>
      <c r="I371" s="254" t="inlineStr">
        <is>
          <t xml:space="preserve">     ถึง วันที่</t>
        </is>
      </c>
      <c r="J371" s="254">
        <f>J3</f>
        <v/>
      </c>
      <c r="K371" s="254" t="inlineStr">
        <is>
          <t xml:space="preserve">   เดือน </t>
        </is>
      </c>
      <c r="L371" s="254">
        <f>L3</f>
        <v/>
      </c>
      <c r="N371" s="254">
        <f>N3</f>
        <v/>
      </c>
      <c r="P371" s="254" t="n"/>
      <c r="R371" s="254" t="n"/>
    </row>
    <row r="372" ht="22.2" customHeight="1" s="330">
      <c r="G372" s="58" t="inlineStr">
        <is>
          <t>ü</t>
        </is>
      </c>
      <c r="H372" s="290" t="inlineStr">
        <is>
          <t>ครู</t>
        </is>
      </c>
      <c r="I372" s="249" t="inlineStr">
        <is>
          <t>หน้าที่พิเศษ</t>
        </is>
      </c>
      <c r="J372" s="290" t="inlineStr">
        <is>
          <t>หัวหน้างานทวิภาคี</t>
        </is>
      </c>
    </row>
    <row r="373" ht="22.2" customHeight="1" s="330">
      <c r="A373" s="28" t="inlineStr">
        <is>
          <t>ที่</t>
        </is>
      </c>
      <c r="B373" s="28" t="inlineStr">
        <is>
          <t>ชื่อ-สกุล</t>
        </is>
      </c>
      <c r="C373" s="334" t="n"/>
      <c r="D373" s="335" t="n"/>
      <c r="E373" s="16" t="inlineStr">
        <is>
          <t>ตำแหน่ง</t>
        </is>
      </c>
      <c r="F373" s="17" t="inlineStr">
        <is>
          <t>ระยะเวลาที่สอน</t>
        </is>
      </c>
      <c r="G373" s="362" t="n"/>
      <c r="H373" s="17" t="inlineStr">
        <is>
          <t>รหัสวิชา</t>
        </is>
      </c>
      <c r="I373" s="275" t="inlineStr">
        <is>
          <t>ชั้น,แผนก,ห้อง</t>
        </is>
      </c>
      <c r="J373" s="17" t="inlineStr">
        <is>
          <t>เวลาสอน</t>
        </is>
      </c>
      <c r="K373" s="335" t="n"/>
      <c r="L373" s="17" t="inlineStr">
        <is>
          <t>ปวช.(คาบ)</t>
        </is>
      </c>
      <c r="M373" s="362" t="n"/>
      <c r="N373" s="244" t="inlineStr">
        <is>
          <t>เงิน</t>
        </is>
      </c>
      <c r="O373" s="275" t="inlineStr">
        <is>
          <t>ยอดเงิน</t>
        </is>
      </c>
      <c r="P373" s="473" t="inlineStr">
        <is>
          <t>ปวส.(คาบ)</t>
        </is>
      </c>
      <c r="Q373" s="362" t="n"/>
      <c r="R373" s="244" t="inlineStr">
        <is>
          <t>เงิน</t>
        </is>
      </c>
      <c r="S373" s="275" t="inlineStr">
        <is>
          <t>ยอดเงิน</t>
        </is>
      </c>
    </row>
    <row r="374" ht="22.2" customHeight="1" s="330">
      <c r="A374" s="60" t="n"/>
      <c r="B374" s="9" t="n"/>
      <c r="C374" s="10" t="n"/>
      <c r="D374" s="14" t="n"/>
      <c r="E374" s="11" t="n"/>
      <c r="F374" s="276" t="inlineStr">
        <is>
          <t>ส.</t>
        </is>
      </c>
      <c r="G374" s="276" t="inlineStr">
        <is>
          <t>วดป.</t>
        </is>
      </c>
      <c r="H374" s="474" t="n"/>
      <c r="I374" s="159" t="n"/>
      <c r="J374" s="475" t="n"/>
      <c r="K374" s="476" t="n"/>
      <c r="L374" s="276" t="inlineStr">
        <is>
          <t>ใน</t>
        </is>
      </c>
      <c r="M374" s="276" t="inlineStr">
        <is>
          <t>นอก</t>
        </is>
      </c>
      <c r="N374" s="276" t="inlineStr">
        <is>
          <t>ต่อ ชม.</t>
        </is>
      </c>
      <c r="O374" s="276" t="inlineStr">
        <is>
          <t>(บาท)</t>
        </is>
      </c>
      <c r="P374" s="60" t="inlineStr">
        <is>
          <t>ใน</t>
        </is>
      </c>
      <c r="Q374" s="60" t="inlineStr">
        <is>
          <t>นอก</t>
        </is>
      </c>
      <c r="R374" s="276" t="inlineStr">
        <is>
          <t>ต่อ ชม.</t>
        </is>
      </c>
      <c r="S374" s="276" t="inlineStr">
        <is>
          <t>(บาท)</t>
        </is>
      </c>
    </row>
    <row r="375" ht="22.2" customHeight="1" s="330">
      <c r="A375" s="252" t="n">
        <v>9</v>
      </c>
      <c r="B375" s="478">
        <f>AB11</f>
        <v/>
      </c>
      <c r="D375" s="331" t="n"/>
      <c r="E375" s="252" t="inlineStr">
        <is>
          <t>ครู</t>
        </is>
      </c>
      <c r="F375" s="252">
        <f>F7</f>
        <v/>
      </c>
      <c r="G375" s="303" t="inlineStr">
        <is>
          <t>จันทร์</t>
        </is>
      </c>
      <c r="H375" s="332" t="inlineStr">
        <is>
          <t>20101-2010</t>
        </is>
      </c>
      <c r="I375" s="325" t="inlineStr">
        <is>
          <t>ปวช.2/1 ชย. (ปกติ)</t>
        </is>
      </c>
      <c r="J375" s="332" t="inlineStr">
        <is>
          <t>08.10-12.10</t>
        </is>
      </c>
      <c r="K375" s="335" t="n"/>
      <c r="L375" s="332" t="n"/>
      <c r="M375" s="156" t="n"/>
      <c r="N375" s="335" t="n"/>
      <c r="O375" s="244">
        <f>M375*N375</f>
        <v/>
      </c>
      <c r="P375" s="156" t="n"/>
      <c r="Q375" s="156" t="n"/>
      <c r="R375" s="156" t="n"/>
      <c r="S375" s="244">
        <f>Q375*R375</f>
        <v/>
      </c>
    </row>
    <row r="376" ht="22.2" customHeight="1" s="330">
      <c r="A376" s="4" t="n"/>
      <c r="B376" s="478" t="n"/>
      <c r="D376" s="331" t="n"/>
      <c r="E376" s="252" t="n"/>
      <c r="F376" s="249" t="n"/>
      <c r="G376" s="308">
        <f>G330</f>
        <v/>
      </c>
      <c r="H376" s="325" t="n"/>
      <c r="I376" s="325" t="n"/>
      <c r="J376" s="325" t="n"/>
      <c r="K376" s="331" t="n"/>
      <c r="L376" s="325" t="n"/>
      <c r="M376" s="252" t="n"/>
      <c r="N376" s="250" t="n"/>
      <c r="O376" s="244">
        <f>M376*N376</f>
        <v/>
      </c>
      <c r="P376" s="252" t="n"/>
      <c r="Q376" s="252" t="n"/>
      <c r="R376" s="252" t="n"/>
      <c r="S376" s="244">
        <f>Q376*R376</f>
        <v/>
      </c>
    </row>
    <row r="377" ht="22.2" customHeight="1" s="330">
      <c r="A377" s="4" t="n"/>
      <c r="B377" s="5" t="n"/>
      <c r="D377" s="3" t="n"/>
      <c r="E377" s="3" t="n"/>
      <c r="F377" s="249" t="n"/>
      <c r="G377" s="248" t="n"/>
      <c r="H377" s="252" t="n"/>
      <c r="I377" s="252" t="n"/>
      <c r="J377" s="252" t="n"/>
      <c r="K377" s="331" t="n"/>
      <c r="L377" s="252" t="n"/>
      <c r="M377" s="252" t="n"/>
      <c r="N377" s="252" t="n"/>
      <c r="O377" s="244">
        <f>M377*N377</f>
        <v/>
      </c>
      <c r="P377" s="252" t="n"/>
      <c r="Q377" s="252" t="n"/>
      <c r="R377" s="252" t="n"/>
      <c r="S377" s="244">
        <f>Q377*R377</f>
        <v/>
      </c>
    </row>
    <row r="378" ht="22.2" customHeight="1" s="330">
      <c r="A378" s="4" t="n"/>
      <c r="D378" s="3" t="n"/>
      <c r="E378" s="3" t="n"/>
      <c r="F378" s="249" t="n"/>
      <c r="G378" s="248" t="n"/>
      <c r="H378" s="252" t="n"/>
      <c r="I378" s="252" t="n"/>
      <c r="J378" s="252" t="n"/>
      <c r="K378" s="331" t="n"/>
      <c r="L378" s="252" t="n"/>
      <c r="M378" s="252" t="n"/>
      <c r="N378" s="252" t="n"/>
      <c r="O378" s="244">
        <f>M378*N378</f>
        <v/>
      </c>
      <c r="P378" s="252" t="n"/>
      <c r="Q378" s="252" t="n"/>
      <c r="R378" s="252" t="n"/>
      <c r="S378" s="244">
        <f>Q378*R378</f>
        <v/>
      </c>
    </row>
    <row r="379" ht="22.2" customHeight="1" s="330">
      <c r="A379" s="4" t="n"/>
      <c r="E379" s="4" t="n"/>
      <c r="G379" s="311" t="n"/>
      <c r="H379" s="276" t="n"/>
      <c r="I379" s="276" t="n"/>
      <c r="J379" s="276" t="n"/>
      <c r="K379" s="476" t="n"/>
      <c r="L379" s="276" t="n"/>
      <c r="M379" s="252" t="n"/>
      <c r="N379" s="252" t="n"/>
      <c r="O379" s="244">
        <f>M379*N379</f>
        <v/>
      </c>
      <c r="P379" s="252" t="n"/>
      <c r="Q379" s="252" t="n"/>
      <c r="R379" s="252" t="n"/>
      <c r="S379" s="244">
        <f>Q379*R379</f>
        <v/>
      </c>
    </row>
    <row r="380" ht="22.2" customHeight="1" s="330">
      <c r="A380" s="4" t="n"/>
      <c r="E380" s="4" t="n"/>
      <c r="G380" s="62" t="inlineStr">
        <is>
          <t>อังคาร</t>
        </is>
      </c>
      <c r="H380" s="332" t="inlineStr">
        <is>
          <t>20101-2102</t>
        </is>
      </c>
      <c r="I380" s="332" t="inlineStr">
        <is>
          <t>ปวช.1/5 ชย. (ปกติ)</t>
        </is>
      </c>
      <c r="J380" s="332" t="inlineStr">
        <is>
          <t>08.10-12.10</t>
        </is>
      </c>
      <c r="K380" s="335" t="n"/>
      <c r="L380" s="265" t="n"/>
      <c r="M380" s="332" t="n"/>
      <c r="N380" s="332" t="n"/>
      <c r="O380" s="244">
        <f>M380*N380</f>
        <v/>
      </c>
      <c r="P380" s="332" t="n"/>
      <c r="Q380" s="265" t="n"/>
      <c r="R380" s="332" t="n"/>
      <c r="S380" s="244">
        <f>Q380*R380</f>
        <v/>
      </c>
    </row>
    <row r="381" ht="22.2" customHeight="1" s="330">
      <c r="A381" s="4" t="n"/>
      <c r="E381" s="4" t="n"/>
      <c r="G381" s="308">
        <f>G335</f>
        <v/>
      </c>
      <c r="H381" s="325" t="inlineStr">
        <is>
          <t>20101-2102</t>
        </is>
      </c>
      <c r="I381" s="325" t="inlineStr">
        <is>
          <t>ปวช.1/5 ชย. (ปกติ)</t>
        </is>
      </c>
      <c r="J381" s="325" t="inlineStr">
        <is>
          <t>13.10-16.10</t>
        </is>
      </c>
      <c r="K381" s="331" t="n"/>
      <c r="L381" s="252" t="n"/>
      <c r="M381" s="252" t="n"/>
      <c r="N381" s="252" t="n"/>
      <c r="O381" s="244">
        <f>M381*N381</f>
        <v/>
      </c>
      <c r="P381" s="252" t="n"/>
      <c r="Q381" s="252" t="n"/>
      <c r="R381" s="252" t="n"/>
      <c r="S381" s="244">
        <f>Q381*R381</f>
        <v/>
      </c>
    </row>
    <row r="382" ht="22.2" customHeight="1" s="330">
      <c r="A382" s="4" t="n"/>
      <c r="B382" s="5" t="n"/>
      <c r="D382" s="3" t="n"/>
      <c r="E382" s="3" t="n"/>
      <c r="G382" s="252" t="n"/>
      <c r="H382" s="252" t="n"/>
      <c r="I382" s="252" t="n"/>
      <c r="J382" s="252" t="n"/>
      <c r="K382" s="331" t="n"/>
      <c r="L382" s="252" t="n"/>
      <c r="M382" s="252" t="n"/>
      <c r="N382" s="252" t="n"/>
      <c r="O382" s="244">
        <f>M382*N382</f>
        <v/>
      </c>
      <c r="P382" s="252" t="n"/>
      <c r="Q382" s="252" t="n"/>
      <c r="R382" s="252" t="n"/>
      <c r="S382" s="244">
        <f>Q382*R382</f>
        <v/>
      </c>
    </row>
    <row r="383" ht="22.2" customHeight="1" s="330">
      <c r="A383" s="4" t="n"/>
      <c r="D383" s="3" t="n"/>
      <c r="E383" s="3" t="n"/>
      <c r="G383" s="252" t="n"/>
      <c r="H383" s="249" t="n"/>
      <c r="I383" s="252" t="n"/>
      <c r="J383" s="252" t="n"/>
      <c r="K383" s="331" t="n"/>
      <c r="L383" s="252" t="n"/>
      <c r="M383" s="252" t="n"/>
      <c r="N383" s="252" t="n"/>
      <c r="O383" s="244">
        <f>M383*N383</f>
        <v/>
      </c>
      <c r="P383" s="252" t="n"/>
      <c r="Q383" s="252" t="n"/>
      <c r="R383" s="252" t="n"/>
      <c r="S383" s="244">
        <f>Q383*R383</f>
        <v/>
      </c>
    </row>
    <row r="384" ht="22.2" customHeight="1" s="330">
      <c r="A384" s="4" t="n"/>
      <c r="D384" s="3" t="inlineStr">
        <is>
          <t> </t>
        </is>
      </c>
      <c r="E384" s="3" t="n"/>
      <c r="G384" s="63" t="n"/>
      <c r="H384" s="276" t="n"/>
      <c r="I384" s="276" t="n"/>
      <c r="J384" s="276" t="n"/>
      <c r="K384" s="476" t="n"/>
      <c r="L384" s="252" t="n"/>
      <c r="M384" s="276" t="n"/>
      <c r="N384" s="276" t="n"/>
      <c r="O384" s="244">
        <f>M384*N384</f>
        <v/>
      </c>
      <c r="P384" s="276" t="n"/>
      <c r="Q384" s="276" t="n"/>
      <c r="R384" s="276" t="n"/>
      <c r="S384" s="279">
        <f>Q384*R384</f>
        <v/>
      </c>
    </row>
    <row r="385" ht="22.2" customHeight="1" s="330">
      <c r="A385" s="4" t="n"/>
      <c r="B385" s="170" t="n"/>
      <c r="C385" s="171" t="n"/>
      <c r="D385" s="172" t="n"/>
      <c r="E385" s="173" t="n"/>
      <c r="G385" s="308" t="inlineStr">
        <is>
          <t>พุธ</t>
        </is>
      </c>
      <c r="H385" s="325" t="inlineStr">
        <is>
          <t>20101-2102</t>
        </is>
      </c>
      <c r="I385" s="325" t="inlineStr">
        <is>
          <t>ปวช.1/9 ชย. (ทวิ)</t>
        </is>
      </c>
      <c r="J385" s="332" t="inlineStr">
        <is>
          <t>08.10-12.10</t>
        </is>
      </c>
      <c r="K385" s="335" t="n"/>
      <c r="L385" s="332" t="n"/>
      <c r="M385" s="182" t="n"/>
      <c r="N385" s="179" t="n"/>
      <c r="O385" s="244">
        <f>M385*N385</f>
        <v/>
      </c>
      <c r="P385" s="156" t="n"/>
      <c r="Q385" s="335" t="n"/>
      <c r="R385" s="335" t="n"/>
      <c r="S385" s="279">
        <f>Q385*R385</f>
        <v/>
      </c>
      <c r="T385" s="7" t="n"/>
      <c r="U385" s="23" t="inlineStr">
        <is>
          <t>เบิก ธุรการ</t>
        </is>
      </c>
      <c r="V385" s="66" t="n"/>
      <c r="W385" s="22" t="n"/>
      <c r="X385" s="22" t="n"/>
    </row>
    <row r="386" ht="22.2" customHeight="1" s="330">
      <c r="A386" s="4" t="n"/>
      <c r="B386" s="248" t="n"/>
      <c r="C386" s="249" t="n"/>
      <c r="D386" s="250" t="n"/>
      <c r="E386" s="252" t="n"/>
      <c r="G386" s="308">
        <f>G340</f>
        <v/>
      </c>
      <c r="H386" s="325" t="inlineStr">
        <is>
          <t>20101-2102</t>
        </is>
      </c>
      <c r="I386" s="325" t="inlineStr">
        <is>
          <t>ปวช.1/9 ชย. (ทวิ)</t>
        </is>
      </c>
      <c r="J386" s="325" t="inlineStr">
        <is>
          <t>13.10-16.10</t>
        </is>
      </c>
      <c r="K386" s="331" t="n"/>
      <c r="L386" s="252" t="n"/>
      <c r="M386" s="211" t="n"/>
      <c r="N386" s="180" t="n"/>
      <c r="O386" s="244">
        <f>M386*N386</f>
        <v/>
      </c>
      <c r="P386" s="56" t="n"/>
      <c r="Q386" s="56" t="n"/>
      <c r="R386" s="331" t="n"/>
      <c r="S386" s="279">
        <f>Q386*R386</f>
        <v/>
      </c>
      <c r="T386" s="22" t="inlineStr">
        <is>
          <t> </t>
        </is>
      </c>
      <c r="U386" s="23" t="inlineStr">
        <is>
          <t>16.10-19.10</t>
        </is>
      </c>
      <c r="V386" s="66" t="n"/>
      <c r="W386" s="22" t="n"/>
      <c r="X386" s="22" t="n"/>
    </row>
    <row r="387" ht="22.2" customHeight="1" s="330">
      <c r="A387" s="4" t="n"/>
      <c r="B387" s="5" t="n"/>
      <c r="D387" s="3" t="n"/>
      <c r="E387" s="3" t="n"/>
      <c r="G387" s="252" t="n"/>
      <c r="H387" s="252" t="n"/>
      <c r="I387" s="252" t="n"/>
      <c r="J387" s="252" t="n"/>
      <c r="K387" s="331" t="n"/>
      <c r="L387" s="252" t="n"/>
      <c r="M387" s="252" t="n"/>
      <c r="N387" s="252" t="n"/>
      <c r="O387" s="275">
        <f>M387*N387</f>
        <v/>
      </c>
      <c r="P387" s="252" t="n"/>
      <c r="Q387" s="252" t="n"/>
      <c r="R387" s="252" t="n"/>
      <c r="S387" s="244">
        <f>Q387*R387</f>
        <v/>
      </c>
    </row>
    <row r="388" ht="22.2" customHeight="1" s="330">
      <c r="A388" s="4" t="n"/>
      <c r="D388" s="3" t="n"/>
      <c r="E388" s="3" t="n"/>
      <c r="G388" s="248" t="n"/>
      <c r="H388" s="248" t="n"/>
      <c r="I388" s="252" t="n"/>
      <c r="J388" s="252" t="n"/>
      <c r="K388" s="331" t="n"/>
      <c r="L388" s="252" t="n"/>
      <c r="M388" s="252" t="n"/>
      <c r="N388" s="252" t="n"/>
      <c r="O388" s="275">
        <f>M388*N388</f>
        <v/>
      </c>
      <c r="P388" s="252" t="n"/>
      <c r="Q388" s="252" t="n"/>
      <c r="R388" s="252" t="n"/>
      <c r="S388" s="244">
        <f>Q388*R388</f>
        <v/>
      </c>
    </row>
    <row r="389" ht="22.2" customHeight="1" s="330">
      <c r="A389" s="4" t="n"/>
      <c r="E389" s="4" t="n"/>
      <c r="G389" s="277" t="n"/>
      <c r="H389" s="277" t="n"/>
      <c r="I389" s="276" t="n"/>
      <c r="J389" s="276" t="n"/>
      <c r="K389" s="476" t="n"/>
      <c r="L389" s="276" t="n"/>
      <c r="M389" s="276" t="n"/>
      <c r="N389" s="276" t="n"/>
      <c r="O389" s="244">
        <f>M389*N389</f>
        <v/>
      </c>
      <c r="P389" s="276" t="n"/>
      <c r="Q389" s="276" t="n"/>
      <c r="R389" s="276" t="n"/>
      <c r="S389" s="244">
        <f>Q389*R389</f>
        <v/>
      </c>
    </row>
    <row r="390" ht="22.2" customHeight="1" s="330">
      <c r="A390" s="4" t="n"/>
      <c r="E390" s="4" t="n"/>
      <c r="G390" s="62" t="inlineStr">
        <is>
          <t>พฤหัส</t>
        </is>
      </c>
      <c r="H390" s="325" t="inlineStr">
        <is>
          <t>20000-2004</t>
        </is>
      </c>
      <c r="I390" s="332" t="inlineStr">
        <is>
          <t>ปวช.2/7,8 ชย. (ปกติ)</t>
        </is>
      </c>
      <c r="J390" s="325" t="inlineStr">
        <is>
          <t>13.10-15.10</t>
        </is>
      </c>
      <c r="K390" s="331" t="n"/>
      <c r="L390" s="265" t="n"/>
      <c r="M390" s="332" t="n"/>
      <c r="N390" s="325" t="n"/>
      <c r="O390" s="244">
        <f>M390*N390</f>
        <v/>
      </c>
      <c r="P390" s="252" t="n"/>
      <c r="Q390" s="275" t="n"/>
      <c r="R390" s="275" t="n"/>
      <c r="S390" s="244">
        <f>Q390*R390</f>
        <v/>
      </c>
      <c r="T390" s="24" t="n"/>
      <c r="U390" s="24" t="inlineStr">
        <is>
          <t>สอน ป.ตรี</t>
        </is>
      </c>
      <c r="V390" s="65" t="n"/>
      <c r="W390" s="24" t="n"/>
      <c r="X390" s="24" t="n"/>
    </row>
    <row r="391" ht="22.2" customHeight="1" s="330">
      <c r="A391" s="4" t="n"/>
      <c r="E391" s="4" t="n"/>
      <c r="G391" s="62">
        <f>G345</f>
        <v/>
      </c>
      <c r="H391" s="325" t="n"/>
      <c r="I391" s="325" t="n"/>
      <c r="J391" s="325" t="n"/>
      <c r="K391" s="331" t="n"/>
      <c r="L391" s="325" t="n"/>
      <c r="M391" s="56" t="n"/>
      <c r="N391" s="331" t="n"/>
      <c r="O391" s="244">
        <f>M391*N391</f>
        <v/>
      </c>
      <c r="P391" s="252" t="n"/>
      <c r="Q391" s="252" t="n"/>
      <c r="R391" s="252" t="n"/>
      <c r="S391" s="244">
        <f>Q391*R391</f>
        <v/>
      </c>
      <c r="T391" s="24" t="n"/>
      <c r="U391" s="24" t="inlineStr">
        <is>
          <t>17.10-21.10</t>
        </is>
      </c>
      <c r="V391" s="65" t="n"/>
      <c r="W391" s="24" t="n"/>
      <c r="X391" s="24" t="n"/>
    </row>
    <row r="392" ht="22.2" customHeight="1" s="330">
      <c r="A392" s="4" t="n"/>
      <c r="B392" s="5" t="n"/>
      <c r="E392" s="4" t="n"/>
      <c r="G392" s="252" t="n"/>
      <c r="H392" s="325" t="n"/>
      <c r="I392" s="325" t="n"/>
      <c r="J392" s="325" t="n"/>
      <c r="K392" s="331" t="n"/>
      <c r="L392" s="325" t="n"/>
      <c r="M392" s="325" t="n"/>
      <c r="N392" s="286" t="n"/>
      <c r="O392" s="244">
        <f>M392*N392</f>
        <v/>
      </c>
      <c r="P392" s="325" t="n"/>
      <c r="Q392" s="286" t="n"/>
      <c r="R392" s="325" t="n"/>
      <c r="S392" s="244">
        <f>Q392*R392</f>
        <v/>
      </c>
    </row>
    <row r="393" ht="22.2" customHeight="1" s="330">
      <c r="A393" s="4" t="n"/>
      <c r="E393" s="4" t="n"/>
      <c r="G393" s="252" t="n"/>
      <c r="H393" s="72" t="n"/>
      <c r="I393" s="325" t="n"/>
      <c r="J393" s="325" t="n"/>
      <c r="K393" s="331" t="n"/>
      <c r="L393" s="325" t="n"/>
      <c r="M393" s="325" t="n"/>
      <c r="N393" s="286" t="n"/>
      <c r="O393" s="244">
        <f>M393*N393</f>
        <v/>
      </c>
      <c r="P393" s="325" t="n"/>
      <c r="Q393" s="286" t="n"/>
      <c r="R393" s="325" t="n"/>
      <c r="S393" s="244">
        <f>Q393*R393</f>
        <v/>
      </c>
    </row>
    <row r="394" ht="22.2" customHeight="1" s="330">
      <c r="A394" s="4" t="n"/>
      <c r="E394" s="4" t="n"/>
      <c r="G394" s="276" t="n"/>
      <c r="H394" s="301" t="n"/>
      <c r="I394" s="276" t="n"/>
      <c r="J394" s="276" t="n"/>
      <c r="K394" s="476" t="n"/>
      <c r="L394" s="276" t="n"/>
      <c r="M394" s="276" t="n"/>
      <c r="N394" s="276" t="n"/>
      <c r="O394" s="244">
        <f>M394*N394</f>
        <v/>
      </c>
      <c r="P394" s="276" t="n"/>
      <c r="Q394" s="276" t="n"/>
      <c r="R394" s="276" t="n"/>
      <c r="S394" s="244">
        <f>Q394*R394</f>
        <v/>
      </c>
    </row>
    <row r="395" ht="22.2" customHeight="1" s="330">
      <c r="A395" s="4" t="n"/>
      <c r="E395" s="4" t="n"/>
      <c r="G395" s="62" t="inlineStr">
        <is>
          <t>ศุกร์</t>
        </is>
      </c>
      <c r="H395" s="325" t="inlineStr">
        <is>
          <t>20101-2102</t>
        </is>
      </c>
      <c r="I395" s="325" t="inlineStr">
        <is>
          <t>ปวช.1/7 ชย. (ปกติ)</t>
        </is>
      </c>
      <c r="J395" s="332" t="inlineStr">
        <is>
          <t>08.10-12.10</t>
        </is>
      </c>
      <c r="K395" s="335" t="n"/>
      <c r="L395" s="252" t="n"/>
      <c r="M395" s="252" t="n"/>
      <c r="N395" s="252" t="n"/>
      <c r="O395" s="244">
        <f>M395*N395</f>
        <v/>
      </c>
      <c r="P395" s="332" t="n"/>
      <c r="Q395" s="265" t="n"/>
      <c r="R395" s="332" t="n"/>
      <c r="S395" s="244">
        <f>Q395*R395</f>
        <v/>
      </c>
    </row>
    <row r="396" ht="22.2" customHeight="1" s="330">
      <c r="A396" s="4" t="n"/>
      <c r="E396" s="4" t="n"/>
      <c r="G396" s="62">
        <f>G350</f>
        <v/>
      </c>
      <c r="H396" s="325" t="inlineStr">
        <is>
          <t>20101-2102</t>
        </is>
      </c>
      <c r="I396" s="325" t="inlineStr">
        <is>
          <t>ปวช.1/7 ชย. (ปกติ)</t>
        </is>
      </c>
      <c r="J396" s="325" t="inlineStr">
        <is>
          <t>13.10-16.10</t>
        </is>
      </c>
      <c r="K396" s="331" t="n"/>
      <c r="L396" s="252" t="n"/>
      <c r="M396" s="252" t="n"/>
      <c r="N396" s="252" t="n"/>
      <c r="O396" s="244">
        <f>M396*N396</f>
        <v/>
      </c>
      <c r="P396" s="252" t="n"/>
      <c r="Q396" s="252" t="n"/>
      <c r="R396" s="252" t="n"/>
      <c r="S396" s="244">
        <f>Q396*R396</f>
        <v/>
      </c>
    </row>
    <row r="397" ht="22.2" customHeight="1" s="330">
      <c r="A397" s="4" t="n"/>
      <c r="E397" s="4" t="n"/>
      <c r="G397" s="252" t="n"/>
      <c r="H397" s="252" t="n"/>
      <c r="I397" s="252" t="n"/>
      <c r="J397" s="252" t="n"/>
      <c r="K397" s="331" t="n"/>
      <c r="L397" s="252" t="n"/>
      <c r="M397" s="252" t="n"/>
      <c r="N397" s="252" t="n"/>
      <c r="O397" s="244">
        <f>M397*N397</f>
        <v/>
      </c>
      <c r="P397" s="252" t="n"/>
      <c r="Q397" s="252" t="n"/>
      <c r="R397" s="252" t="n"/>
      <c r="S397" s="244">
        <f>Q397*R397</f>
        <v/>
      </c>
    </row>
    <row r="398" ht="22.2" customHeight="1" s="330">
      <c r="A398" s="4" t="n"/>
      <c r="E398" s="4" t="n"/>
      <c r="F398" s="4" t="n"/>
      <c r="G398" s="250" t="n"/>
      <c r="H398" s="249" t="n"/>
      <c r="I398" s="252" t="n"/>
      <c r="J398" s="252" t="n"/>
      <c r="K398" s="331" t="n"/>
      <c r="L398" s="252" t="n"/>
      <c r="M398" s="252" t="n"/>
      <c r="N398" s="252" t="n"/>
      <c r="O398" s="244">
        <f>M398*N398</f>
        <v/>
      </c>
      <c r="P398" s="252" t="n"/>
      <c r="Q398" s="252" t="n"/>
      <c r="R398" s="252" t="n"/>
      <c r="S398" s="244">
        <f>Q398*R398</f>
        <v/>
      </c>
    </row>
    <row r="399" ht="22.2" customHeight="1" s="330">
      <c r="A399" s="4" t="n"/>
      <c r="E399" s="4" t="n"/>
      <c r="F399" s="4" t="n"/>
      <c r="G399" s="278" t="n"/>
      <c r="H399" s="301" t="n"/>
      <c r="I399" s="276" t="n"/>
      <c r="J399" s="276" t="n"/>
      <c r="K399" s="476" t="n"/>
      <c r="L399" s="276" t="n"/>
      <c r="M399" s="276" t="n"/>
      <c r="N399" s="276" t="n"/>
      <c r="O399" s="244">
        <f>M399*N399</f>
        <v/>
      </c>
      <c r="P399" s="276" t="n"/>
      <c r="Q399" s="276" t="n"/>
      <c r="R399" s="276" t="n"/>
      <c r="S399" s="244">
        <f>Q399*R399</f>
        <v/>
      </c>
    </row>
    <row r="400" ht="22.2" customHeight="1" s="330">
      <c r="A400" s="4" t="n"/>
      <c r="E400" s="4" t="n"/>
      <c r="F400" s="4" t="n"/>
      <c r="G400" s="17" t="inlineStr">
        <is>
          <t>รวมขั่วโมงที่สอนแยก ภาระงาน/ เกินภาระงาน</t>
        </is>
      </c>
      <c r="H400" s="467" t="n"/>
      <c r="I400" s="467" t="n"/>
      <c r="J400" s="467" t="n"/>
      <c r="K400" s="362" t="n"/>
      <c r="L400" s="17">
        <f>SUM(L375:L399)</f>
        <v/>
      </c>
      <c r="M400" s="17">
        <f>SUM(M375:M399)</f>
        <v/>
      </c>
      <c r="N400" s="17" t="n"/>
      <c r="O400" s="17" t="n"/>
      <c r="P400" s="17">
        <f>SUM(P375:P399)</f>
        <v/>
      </c>
      <c r="Q400" s="17">
        <f>SUM(Q375:Q399)</f>
        <v/>
      </c>
      <c r="R400" s="279" t="n"/>
      <c r="S400" s="17" t="n"/>
      <c r="T400" s="25" t="n"/>
      <c r="U400" s="26" t="inlineStr">
        <is>
          <t xml:space="preserve">     PLC</t>
        </is>
      </c>
      <c r="V400" s="64" t="n"/>
      <c r="W400" s="27" t="n"/>
      <c r="X400" s="27" t="n"/>
    </row>
    <row r="401" ht="22.2" customHeight="1" s="330">
      <c r="A401" s="4" t="n"/>
      <c r="E401" s="4" t="n"/>
      <c r="F401" s="4" t="n"/>
      <c r="G401" s="17" t="inlineStr">
        <is>
          <t>รวมจำนวนชั่วโมงสอนคาบต่อสับดาห์</t>
        </is>
      </c>
      <c r="H401" s="467" t="n"/>
      <c r="I401" s="467" t="n"/>
      <c r="J401" s="467" t="n"/>
      <c r="K401" s="362" t="n"/>
      <c r="L401" s="17">
        <f>L400+M400</f>
        <v/>
      </c>
      <c r="M401" s="362" t="n"/>
      <c r="N401" s="298" t="n"/>
      <c r="O401" s="17" t="n"/>
      <c r="P401" s="17">
        <f>P400+Q400</f>
        <v/>
      </c>
      <c r="Q401" s="362" t="n"/>
      <c r="R401" s="278" t="n"/>
      <c r="S401" s="276" t="n"/>
      <c r="T401" s="27" t="inlineStr">
        <is>
          <t> </t>
        </is>
      </c>
      <c r="U401" s="26" t="inlineStr">
        <is>
          <t>17.10-19.10</t>
        </is>
      </c>
      <c r="V401" s="64" t="n"/>
      <c r="W401" s="27" t="n"/>
      <c r="X401" s="27" t="n"/>
    </row>
    <row r="402" ht="22.2" customHeight="1" s="330">
      <c r="A402" s="4" t="n"/>
      <c r="E402" s="4" t="n"/>
      <c r="F402" s="4" t="n"/>
      <c r="G402" s="17" t="inlineStr">
        <is>
          <t>จำนวนชั่วโมงสอนตามภาระงานสอน</t>
        </is>
      </c>
      <c r="H402" s="467" t="n"/>
      <c r="I402" s="467" t="n"/>
      <c r="J402" s="467" t="n"/>
      <c r="K402" s="362" t="n"/>
      <c r="L402" s="153" t="inlineStr">
        <is>
          <t>12</t>
        </is>
      </c>
      <c r="M402" s="362" t="n"/>
      <c r="N402" s="17" t="n"/>
      <c r="O402" s="298" t="n"/>
      <c r="P402" s="153" t="inlineStr">
        <is>
          <t>0</t>
        </is>
      </c>
      <c r="Q402" s="362" t="n"/>
      <c r="R402" s="249" t="n"/>
      <c r="S402" s="252" t="n"/>
    </row>
    <row r="403" ht="22.2" customHeight="1" s="330" thickBot="1">
      <c r="A403" s="4" t="n"/>
      <c r="E403" s="4" t="n"/>
      <c r="F403" s="15" t="n"/>
      <c r="G403" s="17" t="inlineStr">
        <is>
          <t>จำนวนชั่วโมงบิกเกินภาระงานสอน/ค่าสอน</t>
        </is>
      </c>
      <c r="H403" s="467" t="n"/>
      <c r="I403" s="467" t="n"/>
      <c r="J403" s="467" t="n"/>
      <c r="K403" s="362" t="n"/>
      <c r="L403" s="18" t="n">
        <v>0</v>
      </c>
      <c r="M403" s="18">
        <f>SUM(M375:M399)</f>
        <v/>
      </c>
      <c r="N403" s="18" t="n"/>
      <c r="O403" s="18">
        <f>SUM(O375:O399)</f>
        <v/>
      </c>
      <c r="P403" s="18" t="n">
        <v>0</v>
      </c>
      <c r="Q403" s="18">
        <f>SUM(Q375:Q399)</f>
        <v/>
      </c>
      <c r="R403" s="19" t="n"/>
      <c r="S403" s="18">
        <f>SUM(S375:S399)</f>
        <v/>
      </c>
    </row>
    <row r="404" ht="22.2" customHeight="1" s="330" thickTop="1">
      <c r="A404" s="299" t="inlineStr">
        <is>
          <t>รวมจำนวนหน่วยชั่วโมงที่ขอเบิกค่าสอน ….</t>
        </is>
      </c>
      <c r="B404" s="467" t="n"/>
      <c r="C404" s="467" t="n"/>
      <c r="D404" s="467" t="n"/>
      <c r="E404" s="467" t="n"/>
      <c r="F404" s="467" t="n"/>
      <c r="G404" s="467" t="n"/>
      <c r="H404" s="298">
        <f>M403+Q403</f>
        <v/>
      </c>
      <c r="I404" s="298" t="inlineStr">
        <is>
          <t>….ชั่วโมง</t>
        </is>
      </c>
      <c r="J404" s="298" t="n"/>
      <c r="K404" s="301" t="inlineStr">
        <is>
          <t>ยอดเงินรวม</t>
        </is>
      </c>
      <c r="L404" s="471" t="n"/>
      <c r="M404" s="471" t="n"/>
      <c r="N404" s="301" t="n"/>
      <c r="O404" s="301" t="n"/>
      <c r="P404" s="302">
        <f>S403+O403</f>
        <v/>
      </c>
      <c r="Q404" s="482" t="n"/>
      <c r="R404" s="21" t="n"/>
      <c r="S404" s="20" t="inlineStr">
        <is>
          <t>..บาท</t>
        </is>
      </c>
    </row>
    <row r="405" ht="22.2" customHeight="1" s="330">
      <c r="A405" s="207" t="inlineStr">
        <is>
          <t>ผู้ขอเบิก</t>
        </is>
      </c>
      <c r="B405" s="334" t="n"/>
      <c r="C405" s="334" t="n"/>
      <c r="D405" s="334" t="n"/>
      <c r="E405" s="334" t="n"/>
      <c r="F405" s="334" t="n"/>
      <c r="G405" s="335" t="n"/>
      <c r="H405" s="207" t="inlineStr">
        <is>
          <t>ผู้รับรอง</t>
        </is>
      </c>
      <c r="I405" s="334" t="n"/>
      <c r="J405" s="334" t="n"/>
      <c r="K405" s="334" t="n"/>
      <c r="L405" s="335" t="n"/>
      <c r="M405" s="207" t="inlineStr">
        <is>
          <t>ผู้ตรวจ</t>
        </is>
      </c>
      <c r="N405" s="334" t="n"/>
      <c r="O405" s="334" t="n"/>
      <c r="P405" s="334" t="n"/>
      <c r="Q405" s="334" t="n"/>
      <c r="R405" s="334" t="n"/>
      <c r="S405" s="335" t="n"/>
    </row>
    <row r="406" ht="22.2" customHeight="1" s="330">
      <c r="A406" s="252" t="inlineStr">
        <is>
          <t>ลงชื่อ……………………………………………</t>
        </is>
      </c>
      <c r="G406" s="331" t="n"/>
      <c r="H406" s="252" t="inlineStr">
        <is>
          <t>ลงชื่อ……………………………………………</t>
        </is>
      </c>
      <c r="L406" s="331" t="n"/>
      <c r="M406" s="252" t="inlineStr">
        <is>
          <t>ลงชื่อ……………………………………………</t>
        </is>
      </c>
      <c r="S406" s="331" t="n"/>
    </row>
    <row r="407" ht="22.2" customHeight="1" s="330">
      <c r="A407" s="12" t="inlineStr">
        <is>
          <t>(</t>
        </is>
      </c>
      <c r="B407" s="309">
        <f>B375</f>
        <v/>
      </c>
      <c r="G407" s="310" t="inlineStr">
        <is>
          <t>)</t>
        </is>
      </c>
      <c r="H407" s="309" t="inlineStr">
        <is>
          <t>(</t>
        </is>
      </c>
      <c r="I407" s="314">
        <f>I361</f>
        <v/>
      </c>
      <c r="L407" s="13" t="inlineStr">
        <is>
          <t>)</t>
        </is>
      </c>
      <c r="M407" s="61" t="inlineStr">
        <is>
          <t>(</t>
        </is>
      </c>
      <c r="N407" s="61" t="n"/>
      <c r="O407" s="309" t="inlineStr">
        <is>
          <t>นายพิสุทธิศักดิ์  กล่อมนาค</t>
        </is>
      </c>
      <c r="R407" s="29" t="n"/>
      <c r="S407" s="310" t="inlineStr">
        <is>
          <t>)</t>
        </is>
      </c>
    </row>
    <row r="408" ht="22.2" customHeight="1" s="330">
      <c r="A408" s="483" t="inlineStr">
        <is>
          <t xml:space="preserve">                 ตำแหน่ง  ครู</t>
        </is>
      </c>
      <c r="G408" s="331" t="n"/>
      <c r="H408" s="62" t="inlineStr">
        <is>
          <t>ตำแหน่ง หัวหน้าแผนก</t>
        </is>
      </c>
      <c r="L408" s="331" t="n"/>
      <c r="M408" s="62" t="inlineStr">
        <is>
          <t>ตำแหน่ง   ผู้ตรวจสอบ</t>
        </is>
      </c>
      <c r="S408" s="331" t="n"/>
    </row>
    <row r="409" ht="22.2" customHeight="1" s="330">
      <c r="A409" s="63">
        <f>A41</f>
        <v/>
      </c>
      <c r="B409" s="471" t="n"/>
      <c r="C409" s="471" t="n"/>
      <c r="D409" s="471" t="n"/>
      <c r="E409" s="471" t="n"/>
      <c r="F409" s="471" t="n"/>
      <c r="G409" s="476" t="n"/>
      <c r="H409" s="62">
        <f>A41</f>
        <v/>
      </c>
      <c r="L409" s="331" t="n"/>
      <c r="M409" s="63">
        <f>A41</f>
        <v/>
      </c>
      <c r="N409" s="471" t="n"/>
      <c r="O409" s="471" t="n"/>
      <c r="P409" s="471" t="n"/>
      <c r="Q409" s="471" t="n"/>
      <c r="R409" s="471" t="n"/>
      <c r="S409" s="476" t="n"/>
    </row>
    <row r="410" ht="22.2" customHeight="1" s="330">
      <c r="A410" s="207" t="inlineStr">
        <is>
          <t>ผู้ตรวจ</t>
        </is>
      </c>
      <c r="B410" s="334" t="n"/>
      <c r="C410" s="334" t="n"/>
      <c r="D410" s="334" t="n"/>
      <c r="E410" s="334" t="n"/>
      <c r="F410" s="334" t="n"/>
      <c r="G410" s="334" t="n"/>
      <c r="H410" s="334" t="n"/>
      <c r="I410" s="335" t="n"/>
      <c r="J410" s="207" t="inlineStr">
        <is>
          <t>ผู้เห็นชอบ</t>
        </is>
      </c>
      <c r="K410" s="334" t="n"/>
      <c r="L410" s="334" t="n"/>
      <c r="M410" s="334" t="n"/>
      <c r="N410" s="334" t="n"/>
      <c r="O410" s="334" t="n"/>
      <c r="P410" s="334" t="n"/>
      <c r="Q410" s="334" t="n"/>
      <c r="R410" s="334" t="n"/>
      <c r="S410" s="335" t="n"/>
    </row>
    <row r="411" ht="22.2" customHeight="1" s="330">
      <c r="A411" s="252" t="inlineStr">
        <is>
          <t>ลงชื่อ……………………………………………</t>
        </is>
      </c>
      <c r="I411" s="331" t="n"/>
      <c r="J411" s="252" t="inlineStr">
        <is>
          <t>ลงชื่อ……………………………………………</t>
        </is>
      </c>
      <c r="S411" s="331" t="n"/>
    </row>
    <row r="412" ht="22.2" customHeight="1" s="330">
      <c r="A412" s="12" t="n"/>
      <c r="B412" s="309" t="inlineStr">
        <is>
          <t xml:space="preserve">          (นางศิวรักษ์   บุญประเสริฐ)</t>
        </is>
      </c>
      <c r="I412" s="310" t="n"/>
      <c r="J412" s="29" t="n"/>
      <c r="K412" s="29" t="n"/>
      <c r="L412" s="309" t="inlineStr">
        <is>
          <t>(นายปรีชา  โพธิ์เกิด)</t>
        </is>
      </c>
      <c r="R412" s="29" t="n"/>
      <c r="S412" s="13" t="n"/>
    </row>
    <row r="413" ht="22.2" customHeight="1" s="330">
      <c r="A413" s="62" t="inlineStr">
        <is>
          <t>ตำแหน่งครู  หัวหน้างานพัฒนาหลักสูตร ฯ</t>
        </is>
      </c>
      <c r="I413" s="331" t="n"/>
      <c r="J413" s="62" t="inlineStr">
        <is>
          <t>ตำแหน่ง  รองผู้อำนวยการฝ่ายวิชาการ</t>
        </is>
      </c>
      <c r="S413" s="331" t="n"/>
    </row>
    <row r="414" ht="22.2" customHeight="1" s="330">
      <c r="A414" s="63">
        <f>A41</f>
        <v/>
      </c>
      <c r="B414" s="471" t="n"/>
      <c r="C414" s="471" t="n"/>
      <c r="D414" s="471" t="n"/>
      <c r="E414" s="471" t="n"/>
      <c r="F414" s="471" t="n"/>
      <c r="G414" s="471" t="n"/>
      <c r="H414" s="471" t="n"/>
      <c r="I414" s="476" t="n"/>
      <c r="J414" s="63">
        <f>A41</f>
        <v/>
      </c>
      <c r="K414" s="471" t="n"/>
      <c r="L414" s="471" t="n"/>
      <c r="M414" s="471" t="n"/>
      <c r="N414" s="471" t="n"/>
      <c r="O414" s="471" t="n"/>
      <c r="P414" s="471" t="n"/>
      <c r="Q414" s="471" t="n"/>
      <c r="R414" s="471" t="n"/>
      <c r="S414" s="476" t="n"/>
    </row>
    <row r="415" ht="22.2" customHeight="1" s="330">
      <c r="A41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416" ht="22.2" customHeight="1" s="330">
      <c r="A416" s="254">
        <f>A2</f>
        <v/>
      </c>
    </row>
    <row r="417" ht="22.2" customHeight="1" s="330">
      <c r="A417" s="253" t="inlineStr">
        <is>
          <t xml:space="preserve">    ระหว่างวันที่</t>
        </is>
      </c>
      <c r="D417" s="254">
        <f>D3</f>
        <v/>
      </c>
      <c r="E417" s="254" t="inlineStr">
        <is>
          <t xml:space="preserve">   เดือน  </t>
        </is>
      </c>
      <c r="F417" s="254">
        <f>F3</f>
        <v/>
      </c>
      <c r="H417" s="254">
        <f>H3</f>
        <v/>
      </c>
      <c r="I417" s="254" t="inlineStr">
        <is>
          <t xml:space="preserve">     ถึง วันที่</t>
        </is>
      </c>
      <c r="J417" s="254">
        <f>J3</f>
        <v/>
      </c>
      <c r="K417" s="254" t="inlineStr">
        <is>
          <t xml:space="preserve">   เดือน </t>
        </is>
      </c>
      <c r="L417" s="254">
        <f>L3</f>
        <v/>
      </c>
      <c r="N417" s="254">
        <f>N3</f>
        <v/>
      </c>
      <c r="P417" s="254" t="n"/>
      <c r="R417" s="254" t="n"/>
    </row>
    <row r="418" ht="22.2" customHeight="1" s="330">
      <c r="G418" s="58" t="inlineStr">
        <is>
          <t>ü</t>
        </is>
      </c>
      <c r="H418" s="290" t="inlineStr">
        <is>
          <t>ครู</t>
        </is>
      </c>
      <c r="I418" s="249" t="inlineStr">
        <is>
          <t>หน้าที่พิเศษ</t>
        </is>
      </c>
      <c r="J418" s="8" t="inlineStr">
        <is>
          <t>หัวหน้างานความร่วมมือ</t>
        </is>
      </c>
    </row>
    <row r="419" ht="22.2" customHeight="1" s="330">
      <c r="A419" s="28" t="inlineStr">
        <is>
          <t>ที่</t>
        </is>
      </c>
      <c r="B419" s="28" t="inlineStr">
        <is>
          <t>ชื่อ-สกุล</t>
        </is>
      </c>
      <c r="C419" s="334" t="n"/>
      <c r="D419" s="335" t="n"/>
      <c r="E419" s="16" t="inlineStr">
        <is>
          <t>ตำแหน่ง</t>
        </is>
      </c>
      <c r="F419" s="17" t="inlineStr">
        <is>
          <t>ระยะเวลาที่สอน</t>
        </is>
      </c>
      <c r="G419" s="362" t="n"/>
      <c r="H419" s="17" t="inlineStr">
        <is>
          <t>รหัสวิชา</t>
        </is>
      </c>
      <c r="I419" s="275" t="inlineStr">
        <is>
          <t>ชั้น,แผนก,ห้อง</t>
        </is>
      </c>
      <c r="J419" s="17" t="inlineStr">
        <is>
          <t>เวลาสอน</t>
        </is>
      </c>
      <c r="K419" s="335" t="n"/>
      <c r="L419" s="17" t="inlineStr">
        <is>
          <t>ปวช.(คาบ)</t>
        </is>
      </c>
      <c r="M419" s="362" t="n"/>
      <c r="N419" s="244" t="inlineStr">
        <is>
          <t>เงิน</t>
        </is>
      </c>
      <c r="O419" s="275" t="inlineStr">
        <is>
          <t>ยอดเงิน</t>
        </is>
      </c>
      <c r="P419" s="473" t="inlineStr">
        <is>
          <t>ปวส.(คาบ)</t>
        </is>
      </c>
      <c r="Q419" s="362" t="n"/>
      <c r="R419" s="244" t="inlineStr">
        <is>
          <t>เงิน</t>
        </is>
      </c>
      <c r="S419" s="275" t="inlineStr">
        <is>
          <t>ยอดเงิน</t>
        </is>
      </c>
    </row>
    <row r="420" ht="22.2" customHeight="1" s="330">
      <c r="A420" s="60" t="n"/>
      <c r="B420" s="9" t="n"/>
      <c r="C420" s="10" t="n"/>
      <c r="D420" s="14" t="n"/>
      <c r="E420" s="11" t="n"/>
      <c r="F420" s="276" t="inlineStr">
        <is>
          <t>ส.</t>
        </is>
      </c>
      <c r="G420" s="276" t="inlineStr">
        <is>
          <t>วดป.</t>
        </is>
      </c>
      <c r="H420" s="474" t="n"/>
      <c r="I420" s="276" t="n"/>
      <c r="J420" s="475" t="n"/>
      <c r="K420" s="476" t="n"/>
      <c r="L420" s="276" t="inlineStr">
        <is>
          <t>ใน</t>
        </is>
      </c>
      <c r="M420" s="276" t="inlineStr">
        <is>
          <t>นอก</t>
        </is>
      </c>
      <c r="N420" s="276" t="inlineStr">
        <is>
          <t>ต่อ ชม.</t>
        </is>
      </c>
      <c r="O420" s="276" t="inlineStr">
        <is>
          <t>(บาท)</t>
        </is>
      </c>
      <c r="P420" s="60" t="inlineStr">
        <is>
          <t>ใน</t>
        </is>
      </c>
      <c r="Q420" s="60" t="inlineStr">
        <is>
          <t>นอก</t>
        </is>
      </c>
      <c r="R420" s="276" t="inlineStr">
        <is>
          <t>ต่อ ชม.</t>
        </is>
      </c>
      <c r="S420" s="276" t="inlineStr">
        <is>
          <t>(บาท)</t>
        </is>
      </c>
    </row>
    <row r="421" ht="22.2" customHeight="1" s="330">
      <c r="A421" s="275" t="n">
        <v>10</v>
      </c>
      <c r="B421" s="477">
        <f>AB12</f>
        <v/>
      </c>
      <c r="C421" s="334" t="n"/>
      <c r="D421" s="335" t="n"/>
      <c r="E421" s="275" t="inlineStr">
        <is>
          <t>ครู</t>
        </is>
      </c>
      <c r="F421" s="6">
        <f>F7</f>
        <v/>
      </c>
      <c r="G421" s="303" t="inlineStr">
        <is>
          <t>จันทร์</t>
        </is>
      </c>
      <c r="H421" s="325" t="inlineStr">
        <is>
          <t>20101-2105</t>
        </is>
      </c>
      <c r="I421" s="325" t="inlineStr">
        <is>
          <t>ปวช.2/2 ชย. (ปกติ)</t>
        </is>
      </c>
      <c r="J421" s="332" t="inlineStr">
        <is>
          <t>08.10-12.10</t>
        </is>
      </c>
      <c r="K421" s="335" t="n"/>
      <c r="L421" s="265" t="n"/>
      <c r="M421" s="332" t="n"/>
      <c r="N421" s="332" t="n"/>
      <c r="O421" s="244">
        <f>M421*N421</f>
        <v/>
      </c>
      <c r="P421" s="332" t="n"/>
      <c r="Q421" s="265" t="n"/>
      <c r="R421" s="332" t="n"/>
      <c r="S421" s="244">
        <f>Q421*R421</f>
        <v/>
      </c>
    </row>
    <row r="422" ht="22.2" customHeight="1" s="330">
      <c r="A422" s="4" t="n"/>
      <c r="B422" s="5" t="n"/>
      <c r="D422" s="3" t="n"/>
      <c r="E422" s="51" t="n"/>
      <c r="F422" s="249" t="n"/>
      <c r="G422" s="308">
        <f>G376</f>
        <v/>
      </c>
      <c r="H422" s="325" t="inlineStr">
        <is>
          <t>20101-2105</t>
        </is>
      </c>
      <c r="I422" s="325" t="inlineStr">
        <is>
          <t>ปวช.2/1 ชย. (ปกติ)</t>
        </is>
      </c>
      <c r="J422" s="252" t="inlineStr">
        <is>
          <t>13.10-17.10</t>
        </is>
      </c>
      <c r="K422" s="331" t="n"/>
      <c r="L422" s="252" t="n"/>
      <c r="M422" s="252" t="n"/>
      <c r="N422" s="252" t="n"/>
      <c r="O422" s="244">
        <f>M422*N422</f>
        <v/>
      </c>
      <c r="P422" s="252" t="n"/>
      <c r="Q422" s="252" t="n"/>
      <c r="R422" s="252" t="n"/>
      <c r="S422" s="244">
        <f>Q422*R422</f>
        <v/>
      </c>
    </row>
    <row r="423" ht="22.2" customHeight="1" s="330">
      <c r="A423" s="4" t="n"/>
      <c r="E423" s="4" t="n"/>
      <c r="F423" s="249" t="n"/>
      <c r="G423" s="248" t="n"/>
      <c r="H423" s="252" t="n"/>
      <c r="I423" s="252" t="n"/>
      <c r="J423" s="252" t="n"/>
      <c r="K423" s="331" t="n"/>
      <c r="L423" s="252" t="n"/>
      <c r="M423" s="252" t="n"/>
      <c r="N423" s="252" t="n"/>
      <c r="O423" s="244">
        <f>M423*N423</f>
        <v/>
      </c>
      <c r="P423" s="252" t="n"/>
      <c r="Q423" s="252" t="n"/>
      <c r="R423" s="252" t="n"/>
      <c r="S423" s="244">
        <f>Q423*R423</f>
        <v/>
      </c>
    </row>
    <row r="424" ht="22.2" customHeight="1" s="330">
      <c r="A424" s="4" t="n"/>
      <c r="D424" s="8" t="inlineStr">
        <is>
          <t> </t>
        </is>
      </c>
      <c r="E424" s="4" t="n"/>
      <c r="F424" s="249" t="n"/>
      <c r="G424" s="248" t="n"/>
      <c r="H424" s="252" t="n"/>
      <c r="I424" s="252" t="n"/>
      <c r="J424" s="252" t="n"/>
      <c r="K424" s="331" t="n"/>
      <c r="L424" s="252" t="n"/>
      <c r="M424" s="252" t="n"/>
      <c r="N424" s="252" t="n"/>
      <c r="O424" s="244">
        <f>M424*N424</f>
        <v/>
      </c>
      <c r="P424" s="252" t="n"/>
      <c r="Q424" s="252" t="n"/>
      <c r="R424" s="252" t="n"/>
      <c r="S424" s="244">
        <f>Q424*R424</f>
        <v/>
      </c>
    </row>
    <row r="425" ht="22.2" customHeight="1" s="330">
      <c r="A425" s="4" t="n"/>
      <c r="E425" s="4" t="n"/>
      <c r="G425" s="311" t="n"/>
      <c r="H425" s="276" t="n"/>
      <c r="I425" s="276" t="n"/>
      <c r="J425" s="276" t="n"/>
      <c r="K425" s="476" t="n"/>
      <c r="L425" s="252" t="n"/>
      <c r="M425" s="252" t="n"/>
      <c r="N425" s="252" t="n"/>
      <c r="O425" s="244">
        <f>M425*N425</f>
        <v/>
      </c>
      <c r="P425" s="252" t="n"/>
      <c r="Q425" s="252" t="n"/>
      <c r="R425" s="252" t="n"/>
      <c r="S425" s="244">
        <f>Q425*R425</f>
        <v/>
      </c>
    </row>
    <row r="426" ht="22.2" customHeight="1" s="330">
      <c r="A426" s="4" t="n"/>
      <c r="B426" s="248" t="n"/>
      <c r="C426" s="249" t="n"/>
      <c r="D426" s="249" t="n"/>
      <c r="E426" s="252" t="n"/>
      <c r="G426" s="62" t="inlineStr">
        <is>
          <t>อังคาร</t>
        </is>
      </c>
      <c r="H426" s="325" t="inlineStr">
        <is>
          <t>20101-2105</t>
        </is>
      </c>
      <c r="I426" s="325" t="inlineStr">
        <is>
          <t>ปวช.2/3 ชย. (ปกติ)</t>
        </is>
      </c>
      <c r="J426" s="252" t="inlineStr">
        <is>
          <t>13.10-17.10</t>
        </is>
      </c>
      <c r="K426" s="331" t="n"/>
      <c r="L426" s="265" t="n"/>
      <c r="M426" s="332" t="n"/>
      <c r="N426" s="332" t="n"/>
      <c r="O426" s="244">
        <f>M426*N426</f>
        <v/>
      </c>
      <c r="P426" s="332" t="n"/>
      <c r="Q426" s="265" t="n"/>
      <c r="R426" s="332" t="n"/>
      <c r="S426" s="244">
        <f>Q426*R426</f>
        <v/>
      </c>
    </row>
    <row r="427" ht="22.2" customHeight="1" s="330">
      <c r="A427" s="4" t="n"/>
      <c r="B427" s="5" t="n"/>
      <c r="D427" s="3" t="n"/>
      <c r="E427" s="3" t="n"/>
      <c r="G427" s="308">
        <f>G381</f>
        <v/>
      </c>
      <c r="H427" s="325" t="n"/>
      <c r="I427" s="325" t="n"/>
      <c r="J427" s="252" t="n"/>
      <c r="K427" s="331" t="n"/>
      <c r="L427" s="252" t="n"/>
      <c r="M427" s="252" t="n"/>
      <c r="N427" s="252" t="n"/>
      <c r="O427" s="244">
        <f>M427*N427</f>
        <v/>
      </c>
      <c r="P427" s="252" t="n"/>
      <c r="Q427" s="252" t="n"/>
      <c r="R427" s="252" t="n"/>
      <c r="S427" s="244">
        <f>Q427*R427</f>
        <v/>
      </c>
    </row>
    <row r="428" ht="22.2" customHeight="1" s="330">
      <c r="A428" s="4" t="n"/>
      <c r="B428" s="5" t="n"/>
      <c r="D428" s="3" t="n"/>
      <c r="E428" s="3" t="n"/>
      <c r="G428" s="252" t="n"/>
      <c r="H428" s="252" t="n"/>
      <c r="I428" s="252" t="n"/>
      <c r="J428" s="252" t="n"/>
      <c r="K428" s="331" t="n"/>
      <c r="L428" s="252" t="n"/>
      <c r="M428" s="252" t="n"/>
      <c r="N428" s="252" t="n"/>
      <c r="O428" s="244">
        <f>M428*N428</f>
        <v/>
      </c>
      <c r="P428" s="252" t="n"/>
      <c r="Q428" s="252" t="n"/>
      <c r="R428" s="252" t="n"/>
      <c r="S428" s="244">
        <f>Q428*R428</f>
        <v/>
      </c>
    </row>
    <row r="429" ht="22.2" customHeight="1" s="330">
      <c r="A429" s="4" t="n"/>
      <c r="E429" s="4" t="n"/>
      <c r="G429" s="62" t="n"/>
      <c r="H429" s="249" t="n"/>
      <c r="I429" s="252" t="n"/>
      <c r="J429" s="252" t="n"/>
      <c r="K429" s="331" t="n"/>
      <c r="L429" s="252" t="n"/>
      <c r="M429" s="252" t="n"/>
      <c r="N429" s="252" t="n"/>
      <c r="O429" s="244">
        <f>M429*N429</f>
        <v/>
      </c>
      <c r="P429" s="252" t="n"/>
      <c r="Q429" s="252" t="n"/>
      <c r="R429" s="252" t="n"/>
      <c r="S429" s="244">
        <f>Q429*R429</f>
        <v/>
      </c>
    </row>
    <row r="430" ht="22.2" customHeight="1" s="330">
      <c r="A430" s="4" t="n"/>
      <c r="D430" s="8" t="inlineStr">
        <is>
          <t> </t>
        </is>
      </c>
      <c r="E430" s="4" t="n"/>
      <c r="G430" s="63" t="n"/>
      <c r="H430" s="276" t="n"/>
      <c r="I430" s="276" t="n"/>
      <c r="J430" s="276" t="n"/>
      <c r="K430" s="476" t="n"/>
      <c r="L430" s="252" t="n"/>
      <c r="M430" s="252" t="n"/>
      <c r="N430" s="252" t="n"/>
      <c r="O430" s="244">
        <f>M430*N430</f>
        <v/>
      </c>
      <c r="P430" s="252" t="n"/>
      <c r="Q430" s="252" t="n"/>
      <c r="R430" s="252" t="n"/>
      <c r="S430" s="244">
        <f>Q430*R430</f>
        <v/>
      </c>
    </row>
    <row r="431" ht="22.2" customHeight="1" s="330">
      <c r="A431" s="4" t="n"/>
      <c r="E431" s="4" t="n"/>
      <c r="G431" s="308" t="inlineStr">
        <is>
          <t>พุธ</t>
        </is>
      </c>
      <c r="H431" s="325" t="inlineStr">
        <is>
          <t>20101-2105</t>
        </is>
      </c>
      <c r="I431" s="325" t="inlineStr">
        <is>
          <t>ปวช.3/10 ชย. (ทวิ)</t>
        </is>
      </c>
      <c r="J431" s="332" t="inlineStr">
        <is>
          <t>08.10-12.10</t>
        </is>
      </c>
      <c r="K431" s="335" t="n"/>
      <c r="L431" s="265" t="n"/>
      <c r="M431" s="332" t="n"/>
      <c r="N431" s="332" t="n"/>
      <c r="O431" s="244">
        <f>M431*N431</f>
        <v/>
      </c>
      <c r="P431" s="332" t="n"/>
      <c r="Q431" s="265" t="n"/>
      <c r="R431" s="332" t="n"/>
      <c r="S431" s="244">
        <f>Q431*R431</f>
        <v/>
      </c>
    </row>
    <row r="432" ht="22.2" customHeight="1" s="330">
      <c r="A432" s="4" t="n"/>
      <c r="B432" s="248" t="n"/>
      <c r="C432" s="249" t="n"/>
      <c r="D432" s="249" t="n"/>
      <c r="E432" s="252" t="n"/>
      <c r="G432" s="308">
        <f>G386</f>
        <v/>
      </c>
      <c r="H432" s="325" t="inlineStr">
        <is>
          <t>20101-2105</t>
        </is>
      </c>
      <c r="I432" s="325" t="inlineStr">
        <is>
          <t>ปวช.3/9 ชย. (ทวิ)</t>
        </is>
      </c>
      <c r="J432" s="252" t="inlineStr">
        <is>
          <t>13.10-17.10</t>
        </is>
      </c>
      <c r="K432" s="331" t="n"/>
      <c r="L432" s="252" t="n"/>
      <c r="M432" s="252" t="n"/>
      <c r="N432" s="252" t="n"/>
      <c r="O432" s="244">
        <f>M432*N432</f>
        <v/>
      </c>
      <c r="P432" s="252" t="n"/>
      <c r="Q432" s="252" t="n"/>
      <c r="R432" s="252" t="n"/>
      <c r="S432" s="244">
        <f>Q432*R432</f>
        <v/>
      </c>
    </row>
    <row r="433" ht="22.2" customHeight="1" s="330">
      <c r="A433" s="4" t="n"/>
      <c r="B433" s="5" t="n"/>
      <c r="D433" s="3" t="n"/>
      <c r="E433" s="3" t="n"/>
      <c r="G433" s="252" t="n"/>
      <c r="H433" s="252" t="n"/>
      <c r="I433" s="252" t="n"/>
      <c r="J433" s="252" t="n"/>
      <c r="K433" s="331" t="n"/>
      <c r="L433" s="252" t="n"/>
      <c r="M433" s="252" t="n"/>
      <c r="N433" s="252" t="n"/>
      <c r="O433" s="244">
        <f>M433*N433</f>
        <v/>
      </c>
      <c r="P433" s="252" t="n"/>
      <c r="Q433" s="252" t="n"/>
      <c r="R433" s="252" t="n"/>
      <c r="S433" s="244">
        <f>Q433*R433</f>
        <v/>
      </c>
    </row>
    <row r="434" ht="22.2" customHeight="1" s="330">
      <c r="A434" s="4" t="n"/>
      <c r="E434" s="4" t="n"/>
      <c r="G434" s="248" t="n"/>
      <c r="H434" s="248" t="n"/>
      <c r="I434" s="252" t="n"/>
      <c r="J434" s="252" t="n"/>
      <c r="K434" s="331" t="n"/>
      <c r="L434" s="252" t="n"/>
      <c r="M434" s="252" t="n"/>
      <c r="N434" s="252" t="n"/>
      <c r="O434" s="244">
        <f>M434*N434</f>
        <v/>
      </c>
      <c r="P434" s="252" t="n"/>
      <c r="Q434" s="252" t="n"/>
      <c r="R434" s="252" t="n"/>
      <c r="S434" s="244">
        <f>Q434*R434</f>
        <v/>
      </c>
    </row>
    <row r="435" ht="22.2" customHeight="1" s="330">
      <c r="A435" s="4" t="n"/>
      <c r="E435" s="4" t="n"/>
      <c r="G435" s="277" t="n"/>
      <c r="H435" s="277" t="n"/>
      <c r="I435" s="276" t="n"/>
      <c r="J435" s="276" t="n"/>
      <c r="K435" s="476" t="n"/>
      <c r="L435" s="276" t="n"/>
      <c r="M435" s="276" t="n"/>
      <c r="N435" s="276" t="n"/>
      <c r="O435" s="244">
        <f>M435*N435</f>
        <v/>
      </c>
      <c r="P435" s="276" t="n"/>
      <c r="Q435" s="276" t="n"/>
      <c r="R435" s="276" t="n"/>
      <c r="S435" s="244">
        <f>Q435*R435</f>
        <v/>
      </c>
    </row>
    <row r="436" ht="22.2" customHeight="1" s="330">
      <c r="A436" s="4" t="n"/>
      <c r="E436" s="4" t="n"/>
      <c r="G436" s="62" t="inlineStr">
        <is>
          <t>พฤหัส</t>
        </is>
      </c>
      <c r="H436" s="325" t="inlineStr">
        <is>
          <t>20101-5103</t>
        </is>
      </c>
      <c r="I436" s="325" t="inlineStr">
        <is>
          <t>ปวช.2/9 ชย. (ทวิ)</t>
        </is>
      </c>
      <c r="J436" s="332" t="inlineStr">
        <is>
          <t>08.10-12.10</t>
        </is>
      </c>
      <c r="K436" s="335" t="n"/>
      <c r="L436" s="265" t="n"/>
      <c r="M436" s="332" t="n"/>
      <c r="N436" s="325" t="n"/>
      <c r="O436" s="244">
        <f>M436*N436</f>
        <v/>
      </c>
      <c r="P436" s="209" t="n"/>
      <c r="Q436" s="209" t="n"/>
      <c r="R436" s="209" t="n"/>
      <c r="S436" s="244">
        <f>Q436*R436</f>
        <v/>
      </c>
      <c r="T436" s="7" t="n"/>
      <c r="U436" s="23" t="inlineStr">
        <is>
          <t>เบิก ธุรการ</t>
        </is>
      </c>
      <c r="V436" s="66" t="n"/>
      <c r="W436" s="22" t="n"/>
      <c r="X436" s="22" t="n"/>
    </row>
    <row r="437" ht="22.2" customHeight="1" s="330">
      <c r="A437" s="4" t="n"/>
      <c r="E437" s="4" t="n"/>
      <c r="G437" s="308">
        <f>G391</f>
        <v/>
      </c>
      <c r="H437" s="325" t="inlineStr">
        <is>
          <t>20101-5103</t>
        </is>
      </c>
      <c r="I437" s="325" t="inlineStr">
        <is>
          <t>ปวช.2/9 ชย. (ทวิ)</t>
        </is>
      </c>
      <c r="J437" s="252" t="inlineStr">
        <is>
          <t>15.10-18.10</t>
        </is>
      </c>
      <c r="K437" s="331" t="n"/>
      <c r="L437" s="252" t="n"/>
      <c r="M437" s="252" t="n"/>
      <c r="N437" s="252" t="n"/>
      <c r="O437" s="244">
        <f>M437*N437</f>
        <v/>
      </c>
      <c r="P437" s="4" t="n"/>
      <c r="Q437" s="4" t="n"/>
      <c r="R437" s="4" t="n"/>
      <c r="S437" s="244">
        <f>Q437*R437</f>
        <v/>
      </c>
      <c r="T437" s="22" t="inlineStr">
        <is>
          <t> </t>
        </is>
      </c>
      <c r="U437" s="23" t="inlineStr">
        <is>
          <t>16.10-19.10</t>
        </is>
      </c>
      <c r="V437" s="66" t="n"/>
      <c r="W437" s="22" t="n"/>
      <c r="X437" s="22" t="n"/>
    </row>
    <row r="438" ht="22.2" customHeight="1" s="330">
      <c r="A438" s="4" t="n"/>
      <c r="B438" s="5" t="n"/>
      <c r="E438" s="4" t="n"/>
      <c r="G438" s="252" t="n"/>
      <c r="H438" s="325" t="n"/>
      <c r="I438" s="325" t="n"/>
      <c r="J438" s="252" t="n"/>
      <c r="K438" s="331" t="n"/>
      <c r="L438" s="252" t="n"/>
      <c r="M438" s="252" t="n"/>
      <c r="N438" s="252" t="n"/>
      <c r="O438" s="244">
        <f>M438*N438</f>
        <v/>
      </c>
      <c r="P438" s="325" t="n"/>
      <c r="Q438" s="325" t="n"/>
      <c r="R438" s="325" t="n"/>
      <c r="S438" s="244">
        <f>Q438*R438</f>
        <v/>
      </c>
    </row>
    <row r="439" ht="22.2" customHeight="1" s="330">
      <c r="A439" s="4" t="n"/>
      <c r="E439" s="4" t="n"/>
      <c r="G439" s="252" t="n"/>
      <c r="H439" s="252" t="n"/>
      <c r="I439" s="252" t="n"/>
      <c r="J439" s="252" t="n"/>
      <c r="K439" s="331" t="n"/>
      <c r="L439" s="252" t="n"/>
      <c r="M439" s="252" t="n"/>
      <c r="N439" s="252" t="n"/>
      <c r="O439" s="244">
        <f>M439*N439</f>
        <v/>
      </c>
      <c r="P439" s="252" t="n"/>
      <c r="Q439" s="252" t="n"/>
      <c r="R439" s="252" t="n"/>
      <c r="S439" s="244">
        <f>Q439*R439</f>
        <v/>
      </c>
    </row>
    <row r="440" ht="22.2" customHeight="1" s="330">
      <c r="A440" s="4" t="n"/>
      <c r="E440" s="4" t="n"/>
      <c r="G440" s="276" t="n"/>
      <c r="H440" s="301" t="n"/>
      <c r="I440" s="276" t="n"/>
      <c r="J440" s="276" t="n"/>
      <c r="K440" s="476" t="n"/>
      <c r="L440" s="276" t="n"/>
      <c r="M440" s="276" t="n"/>
      <c r="N440" s="276" t="n"/>
      <c r="O440" s="244">
        <f>M440*N440</f>
        <v/>
      </c>
      <c r="P440" s="276" t="n"/>
      <c r="Q440" s="276" t="n"/>
      <c r="R440" s="276" t="n"/>
      <c r="S440" s="244">
        <f>Q440*R440</f>
        <v/>
      </c>
    </row>
    <row r="441" ht="22.2" customHeight="1" s="330">
      <c r="A441" s="4" t="n"/>
      <c r="E441" s="4" t="n"/>
      <c r="G441" s="62" t="inlineStr">
        <is>
          <t>ศุกร์</t>
        </is>
      </c>
      <c r="H441" s="325" t="n"/>
      <c r="I441" s="325" t="n"/>
      <c r="J441" s="325" t="n"/>
      <c r="K441" s="331" t="n"/>
      <c r="L441" s="252" t="n"/>
      <c r="M441" s="332" t="n"/>
      <c r="N441" s="332" t="n"/>
      <c r="O441" s="244">
        <f>M441*N441</f>
        <v/>
      </c>
      <c r="P441" s="332" t="n"/>
      <c r="Q441" s="265" t="n"/>
      <c r="R441" s="332" t="n"/>
      <c r="S441" s="244">
        <f>Q441*R441</f>
        <v/>
      </c>
    </row>
    <row r="442" ht="22.2" customHeight="1" s="330">
      <c r="A442" s="4" t="n"/>
      <c r="E442" s="4" t="n"/>
      <c r="G442" s="308">
        <f>G396</f>
        <v/>
      </c>
      <c r="H442" s="325" t="n"/>
      <c r="I442" s="325" t="n"/>
      <c r="J442" s="325" t="n"/>
      <c r="K442" s="331" t="n"/>
      <c r="L442" s="252" t="n"/>
      <c r="M442" s="252" t="n"/>
      <c r="N442" s="252" t="n"/>
      <c r="O442" s="244">
        <f>M442*N442</f>
        <v/>
      </c>
      <c r="P442" s="252" t="n"/>
      <c r="Q442" s="252" t="n"/>
      <c r="R442" s="252" t="n"/>
      <c r="S442" s="244">
        <f>Q442*R442</f>
        <v/>
      </c>
    </row>
    <row r="443" ht="22.2" customHeight="1" s="330">
      <c r="A443" s="4" t="n"/>
      <c r="E443" s="4" t="n"/>
      <c r="G443" s="252" t="n"/>
      <c r="H443" s="252" t="n"/>
      <c r="I443" s="252" t="n"/>
      <c r="J443" s="252" t="n"/>
      <c r="K443" s="331" t="n"/>
      <c r="L443" s="252" t="n"/>
      <c r="M443" s="252" t="n"/>
      <c r="N443" s="252" t="n"/>
      <c r="O443" s="244">
        <f>M443*N443</f>
        <v/>
      </c>
      <c r="P443" s="252" t="n"/>
      <c r="Q443" s="252" t="n"/>
      <c r="R443" s="252" t="n"/>
      <c r="S443" s="244">
        <f>Q443*R443</f>
        <v/>
      </c>
    </row>
    <row r="444" ht="22.2" customHeight="1" s="330">
      <c r="A444" s="4" t="n"/>
      <c r="E444" s="4" t="n"/>
      <c r="G444" s="252" t="n"/>
      <c r="H444" s="249" t="inlineStr">
        <is>
          <t> </t>
        </is>
      </c>
      <c r="I444" s="252" t="n"/>
      <c r="J444" s="252" t="n"/>
      <c r="K444" s="331" t="n"/>
      <c r="L444" s="252" t="n"/>
      <c r="M444" s="252" t="n"/>
      <c r="N444" s="252" t="n"/>
      <c r="O444" s="244">
        <f>M444*N444</f>
        <v/>
      </c>
      <c r="P444" s="252" t="n"/>
      <c r="Q444" s="252" t="n"/>
      <c r="R444" s="252" t="n"/>
      <c r="S444" s="244">
        <f>Q444*R444</f>
        <v/>
      </c>
    </row>
    <row r="445" ht="22.2" customHeight="1" s="330">
      <c r="A445" s="4" t="n"/>
      <c r="E445" s="4" t="n"/>
      <c r="F445" s="4" t="n"/>
      <c r="G445" s="278" t="n"/>
      <c r="H445" s="301" t="n"/>
      <c r="I445" s="276" t="n"/>
      <c r="J445" s="276" t="n"/>
      <c r="K445" s="476" t="n"/>
      <c r="L445" s="276" t="n"/>
      <c r="M445" s="276" t="n"/>
      <c r="N445" s="276" t="n"/>
      <c r="O445" s="244">
        <f>M445*N445</f>
        <v/>
      </c>
      <c r="P445" s="276" t="n"/>
      <c r="Q445" s="276" t="n"/>
      <c r="R445" s="276" t="n"/>
      <c r="S445" s="244">
        <f>Q445*R445</f>
        <v/>
      </c>
    </row>
    <row r="446" ht="22.2" customHeight="1" s="330">
      <c r="A446" s="4" t="n"/>
      <c r="E446" s="4" t="n"/>
      <c r="F446" s="4" t="n"/>
      <c r="G446" s="17" t="inlineStr">
        <is>
          <t>รวมขั่วโมงที่สอนแยก ภาระงาน/ เกินภาระงาน</t>
        </is>
      </c>
      <c r="H446" s="467" t="n"/>
      <c r="I446" s="467" t="n"/>
      <c r="J446" s="467" t="n"/>
      <c r="K446" s="362" t="n"/>
      <c r="L446" s="17">
        <f>SUM(L421:L445)</f>
        <v/>
      </c>
      <c r="M446" s="17">
        <f>SUM(M421:M445)</f>
        <v/>
      </c>
      <c r="N446" s="17" t="n"/>
      <c r="O446" s="17" t="n"/>
      <c r="P446" s="17">
        <f>SUM(P421:P445)</f>
        <v/>
      </c>
      <c r="Q446" s="17">
        <f>SUM(Q421:Q445)</f>
        <v/>
      </c>
      <c r="R446" s="279" t="n"/>
      <c r="S446" s="17" t="n"/>
      <c r="T446" s="25" t="n"/>
      <c r="U446" s="26" t="inlineStr">
        <is>
          <t xml:space="preserve">     PLC</t>
        </is>
      </c>
      <c r="V446" s="64" t="n"/>
      <c r="W446" s="27" t="n"/>
      <c r="X446" s="27" t="n"/>
    </row>
    <row r="447" ht="22.2" customHeight="1" s="330">
      <c r="A447" s="4" t="n"/>
      <c r="E447" s="4" t="n"/>
      <c r="F447" s="4" t="n"/>
      <c r="G447" s="17" t="inlineStr">
        <is>
          <t>รวมจำนวนชั่วโมงสอนคาบต่อสับดาห์</t>
        </is>
      </c>
      <c r="H447" s="467" t="n"/>
      <c r="I447" s="467" t="n"/>
      <c r="J447" s="467" t="n"/>
      <c r="K447" s="362" t="n"/>
      <c r="L447" s="17">
        <f>L446+M446</f>
        <v/>
      </c>
      <c r="M447" s="362" t="n"/>
      <c r="N447" s="298" t="n"/>
      <c r="O447" s="17" t="n"/>
      <c r="P447" s="17">
        <f>P446+Q446</f>
        <v/>
      </c>
      <c r="Q447" s="362" t="n"/>
      <c r="R447" s="278" t="n"/>
      <c r="S447" s="276" t="n"/>
      <c r="T447" s="27" t="inlineStr">
        <is>
          <t> </t>
        </is>
      </c>
      <c r="U447" s="26" t="inlineStr">
        <is>
          <t>17.10-19.10</t>
        </is>
      </c>
      <c r="V447" s="64" t="n"/>
      <c r="W447" s="27" t="n"/>
      <c r="X447" s="27" t="n"/>
    </row>
    <row r="448" ht="22.2" customHeight="1" s="330">
      <c r="A448" s="4" t="n"/>
      <c r="E448" s="4" t="n"/>
      <c r="F448" s="4" t="n"/>
      <c r="G448" s="17" t="inlineStr">
        <is>
          <t>จำนวนชั่วโมงสอนตามภาระงานสอน</t>
        </is>
      </c>
      <c r="H448" s="467" t="n"/>
      <c r="I448" s="467" t="n"/>
      <c r="J448" s="467" t="n"/>
      <c r="K448" s="362" t="n"/>
      <c r="L448" s="485" t="inlineStr">
        <is>
          <t>12</t>
        </is>
      </c>
      <c r="M448" s="362" t="n"/>
      <c r="N448" s="151" t="n"/>
      <c r="O448" s="154" t="n"/>
      <c r="P448" s="153" t="inlineStr">
        <is>
          <t>0</t>
        </is>
      </c>
      <c r="Q448" s="362" t="n"/>
      <c r="R448" s="249" t="n"/>
      <c r="S448" s="252" t="n"/>
    </row>
    <row r="449" ht="22.2" customHeight="1" s="330" thickBot="1">
      <c r="A449" s="4" t="n"/>
      <c r="E449" s="4" t="n"/>
      <c r="F449" s="15" t="n"/>
      <c r="G449" s="17" t="inlineStr">
        <is>
          <t>จำนวนชั่วโมงบิกเกินภาระงานสอน/ค่าสอน</t>
        </is>
      </c>
      <c r="H449" s="467" t="n"/>
      <c r="I449" s="467" t="n"/>
      <c r="J449" s="467" t="n"/>
      <c r="K449" s="362" t="n"/>
      <c r="L449" s="18" t="n">
        <v>0</v>
      </c>
      <c r="M449" s="18">
        <f>SUM(M421:M445)</f>
        <v/>
      </c>
      <c r="N449" s="18" t="n"/>
      <c r="O449" s="18">
        <f>SUM(O421:O445)</f>
        <v/>
      </c>
      <c r="P449" s="18" t="n">
        <v>0</v>
      </c>
      <c r="Q449" s="18">
        <f>SUM(Q421:Q445)</f>
        <v/>
      </c>
      <c r="R449" s="19" t="n"/>
      <c r="S449" s="18">
        <f>SUM(S421:S445)</f>
        <v/>
      </c>
    </row>
    <row r="450" ht="22.2" customHeight="1" s="330" thickTop="1">
      <c r="A450" s="299" t="inlineStr">
        <is>
          <t>รวมจำนวนหน่วยชั่วโมงที่ขอเบิกค่าสอน ….</t>
        </is>
      </c>
      <c r="B450" s="467" t="n"/>
      <c r="C450" s="467" t="n"/>
      <c r="D450" s="467" t="n"/>
      <c r="E450" s="467" t="n"/>
      <c r="F450" s="467" t="n"/>
      <c r="G450" s="467" t="n"/>
      <c r="H450" s="298">
        <f>M449+Q449</f>
        <v/>
      </c>
      <c r="I450" s="298" t="inlineStr">
        <is>
          <t>….ชั่วโมง</t>
        </is>
      </c>
      <c r="J450" s="298" t="n"/>
      <c r="K450" s="301" t="inlineStr">
        <is>
          <t>ยอดเงินรวม</t>
        </is>
      </c>
      <c r="L450" s="471" t="n"/>
      <c r="M450" s="471" t="n"/>
      <c r="N450" s="301" t="n"/>
      <c r="O450" s="301" t="n"/>
      <c r="P450" s="302">
        <f>S449+O449</f>
        <v/>
      </c>
      <c r="Q450" s="482" t="n"/>
      <c r="R450" s="21" t="n"/>
      <c r="S450" s="20" t="inlineStr">
        <is>
          <t>..บาท</t>
        </is>
      </c>
    </row>
    <row r="451" ht="22.2" customHeight="1" s="330">
      <c r="A451" s="207" t="inlineStr">
        <is>
          <t>ผู้ขอเบิก</t>
        </is>
      </c>
      <c r="B451" s="334" t="n"/>
      <c r="C451" s="334" t="n"/>
      <c r="D451" s="334" t="n"/>
      <c r="E451" s="334" t="n"/>
      <c r="F451" s="334" t="n"/>
      <c r="G451" s="335" t="n"/>
      <c r="H451" s="207" t="inlineStr">
        <is>
          <t>ผู้รับรอง</t>
        </is>
      </c>
      <c r="I451" s="334" t="n"/>
      <c r="J451" s="334" t="n"/>
      <c r="K451" s="334" t="n"/>
      <c r="L451" s="335" t="n"/>
      <c r="M451" s="207" t="inlineStr">
        <is>
          <t>ผู้ตรวจ</t>
        </is>
      </c>
      <c r="N451" s="334" t="n"/>
      <c r="O451" s="334" t="n"/>
      <c r="P451" s="334" t="n"/>
      <c r="Q451" s="334" t="n"/>
      <c r="R451" s="334" t="n"/>
      <c r="S451" s="335" t="n"/>
    </row>
    <row r="452" ht="22.2" customHeight="1" s="330">
      <c r="A452" s="252" t="inlineStr">
        <is>
          <t>ลงชื่อ……………………………………………</t>
        </is>
      </c>
      <c r="G452" s="331" t="n"/>
      <c r="H452" s="252" t="inlineStr">
        <is>
          <t>ลงชื่อ……………………………………………</t>
        </is>
      </c>
      <c r="L452" s="331" t="n"/>
      <c r="M452" s="252" t="inlineStr">
        <is>
          <t>ลงชื่อ……………………………………………</t>
        </is>
      </c>
      <c r="S452" s="331" t="n"/>
    </row>
    <row r="453" ht="22.2" customHeight="1" s="330">
      <c r="A453" s="12" t="inlineStr">
        <is>
          <t>(</t>
        </is>
      </c>
      <c r="B453" s="309">
        <f>B421</f>
        <v/>
      </c>
      <c r="G453" s="310" t="inlineStr">
        <is>
          <t>)</t>
        </is>
      </c>
      <c r="H453" s="309" t="inlineStr">
        <is>
          <t>(</t>
        </is>
      </c>
      <c r="I453" s="314">
        <f>I407</f>
        <v/>
      </c>
      <c r="L453" s="13" t="inlineStr">
        <is>
          <t>)</t>
        </is>
      </c>
      <c r="M453" s="61" t="inlineStr">
        <is>
          <t>(</t>
        </is>
      </c>
      <c r="N453" s="61" t="n"/>
      <c r="O453" s="309" t="inlineStr">
        <is>
          <t>นายพิสุทธิศักดิ์  กล่อมนาค</t>
        </is>
      </c>
      <c r="R453" s="29" t="n"/>
      <c r="S453" s="310" t="inlineStr">
        <is>
          <t>)</t>
        </is>
      </c>
    </row>
    <row r="454" ht="22.2" customHeight="1" s="330">
      <c r="A454" s="483" t="inlineStr">
        <is>
          <t xml:space="preserve">                 ตำแหน่ง  ครู </t>
        </is>
      </c>
      <c r="G454" s="331" t="n"/>
      <c r="H454" s="62" t="inlineStr">
        <is>
          <t>ตำแหน่ง หัวหน้าแผนก</t>
        </is>
      </c>
      <c r="L454" s="331" t="n"/>
      <c r="M454" s="62" t="inlineStr">
        <is>
          <t>ตำแหน่ง   ผู้ตรวจสอบ</t>
        </is>
      </c>
      <c r="S454" s="331" t="n"/>
    </row>
    <row r="455" ht="22.2" customHeight="1" s="330">
      <c r="A455" s="63">
        <f>A41</f>
        <v/>
      </c>
      <c r="B455" s="471" t="n"/>
      <c r="C455" s="471" t="n"/>
      <c r="D455" s="471" t="n"/>
      <c r="E455" s="471" t="n"/>
      <c r="F455" s="471" t="n"/>
      <c r="G455" s="476" t="n"/>
      <c r="H455" s="62">
        <f>A41</f>
        <v/>
      </c>
      <c r="L455" s="331" t="n"/>
      <c r="M455" s="63">
        <f>A41</f>
        <v/>
      </c>
      <c r="N455" s="471" t="n"/>
      <c r="O455" s="471" t="n"/>
      <c r="P455" s="471" t="n"/>
      <c r="Q455" s="471" t="n"/>
      <c r="R455" s="471" t="n"/>
      <c r="S455" s="476" t="n"/>
    </row>
    <row r="456" ht="22.2" customHeight="1" s="330">
      <c r="A456" s="207" t="inlineStr">
        <is>
          <t>ผู้ตรวจ</t>
        </is>
      </c>
      <c r="B456" s="334" t="n"/>
      <c r="C456" s="334" t="n"/>
      <c r="D456" s="334" t="n"/>
      <c r="E456" s="334" t="n"/>
      <c r="F456" s="334" t="n"/>
      <c r="G456" s="334" t="n"/>
      <c r="H456" s="334" t="n"/>
      <c r="I456" s="335" t="n"/>
      <c r="J456" s="207" t="inlineStr">
        <is>
          <t>ผู้เห็นชอบ</t>
        </is>
      </c>
      <c r="K456" s="334" t="n"/>
      <c r="L456" s="334" t="n"/>
      <c r="M456" s="334" t="n"/>
      <c r="N456" s="334" t="n"/>
      <c r="O456" s="334" t="n"/>
      <c r="P456" s="334" t="n"/>
      <c r="Q456" s="334" t="n"/>
      <c r="R456" s="334" t="n"/>
      <c r="S456" s="335" t="n"/>
    </row>
    <row r="457" ht="22.2" customHeight="1" s="330">
      <c r="A457" s="252" t="inlineStr">
        <is>
          <t>ลงชื่อ……………………………………………</t>
        </is>
      </c>
      <c r="I457" s="331" t="n"/>
      <c r="J457" s="252" t="inlineStr">
        <is>
          <t>ลงชื่อ……………………………………………</t>
        </is>
      </c>
      <c r="S457" s="331" t="n"/>
    </row>
    <row r="458" ht="22.2" customHeight="1" s="330">
      <c r="A458" s="12" t="n"/>
      <c r="B458" s="309" t="inlineStr">
        <is>
          <t xml:space="preserve">          (นางศิวรักษ์   บุญประเสริฐ)</t>
        </is>
      </c>
      <c r="I458" s="310" t="n"/>
      <c r="J458" s="29" t="n"/>
      <c r="K458" s="29" t="n"/>
      <c r="L458" s="309" t="inlineStr">
        <is>
          <t>(นายปรีชา  โพธิ์เกิด)</t>
        </is>
      </c>
      <c r="R458" s="29" t="n"/>
      <c r="S458" s="13" t="n"/>
    </row>
    <row r="459" ht="22.2" customHeight="1" s="330">
      <c r="A459" s="62" t="inlineStr">
        <is>
          <t>ตำแหน่งครู  หัวหน้างานพัฒนาหลักสูตร ฯ</t>
        </is>
      </c>
      <c r="I459" s="331" t="n"/>
      <c r="J459" s="62" t="inlineStr">
        <is>
          <t>ตำแหน่ง  รองผู้อำนวยการฝ่ายวิชาการ</t>
        </is>
      </c>
      <c r="S459" s="331" t="n"/>
    </row>
    <row r="460" ht="22.2" customHeight="1" s="330">
      <c r="A460" s="63">
        <f>A41</f>
        <v/>
      </c>
      <c r="B460" s="471" t="n"/>
      <c r="C460" s="471" t="n"/>
      <c r="D460" s="471" t="n"/>
      <c r="E460" s="471" t="n"/>
      <c r="F460" s="471" t="n"/>
      <c r="G460" s="471" t="n"/>
      <c r="H460" s="471" t="n"/>
      <c r="I460" s="476" t="n"/>
      <c r="J460" s="63">
        <f>A41</f>
        <v/>
      </c>
      <c r="K460" s="471" t="n"/>
      <c r="L460" s="471" t="n"/>
      <c r="M460" s="471" t="n"/>
      <c r="N460" s="471" t="n"/>
      <c r="O460" s="471" t="n"/>
      <c r="P460" s="471" t="n"/>
      <c r="Q460" s="471" t="n"/>
      <c r="R460" s="471" t="n"/>
      <c r="S460" s="476" t="n"/>
    </row>
    <row r="461" ht="22.2" customHeight="1" s="330">
      <c r="A46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462" ht="22.2" customHeight="1" s="330">
      <c r="A462" s="254">
        <f>A2</f>
        <v/>
      </c>
    </row>
    <row r="463" ht="22.2" customHeight="1" s="330">
      <c r="A463" s="253" t="inlineStr">
        <is>
          <t xml:space="preserve">    ระหว่างวันที่</t>
        </is>
      </c>
      <c r="D463" s="254">
        <f>D3</f>
        <v/>
      </c>
      <c r="E463" s="254" t="inlineStr">
        <is>
          <t xml:space="preserve">   เดือน  </t>
        </is>
      </c>
      <c r="F463" s="254">
        <f>F3</f>
        <v/>
      </c>
      <c r="H463" s="254">
        <f>H3</f>
        <v/>
      </c>
      <c r="I463" s="254" t="inlineStr">
        <is>
          <t xml:space="preserve">     ถึง วันที่</t>
        </is>
      </c>
      <c r="J463" s="254">
        <f>J3</f>
        <v/>
      </c>
      <c r="K463" s="254" t="inlineStr">
        <is>
          <t xml:space="preserve">   เดือน </t>
        </is>
      </c>
      <c r="L463" s="254">
        <f>L3</f>
        <v/>
      </c>
      <c r="N463" s="254">
        <f>N3</f>
        <v/>
      </c>
      <c r="P463" s="254" t="n"/>
      <c r="R463" s="254" t="n"/>
    </row>
    <row r="464" ht="22.2" customHeight="1" s="330">
      <c r="G464" s="58" t="inlineStr">
        <is>
          <t>ü</t>
        </is>
      </c>
      <c r="H464" s="290" t="inlineStr">
        <is>
          <t>ครู</t>
        </is>
      </c>
      <c r="I464" s="249" t="inlineStr">
        <is>
          <t>หน้าที่พิเศษ</t>
        </is>
      </c>
    </row>
    <row r="465" ht="22.2" customHeight="1" s="330">
      <c r="A465" s="28" t="inlineStr">
        <is>
          <t>ที่</t>
        </is>
      </c>
      <c r="B465" s="28" t="inlineStr">
        <is>
          <t>ชื่อ-สกุล</t>
        </is>
      </c>
      <c r="C465" s="334" t="n"/>
      <c r="D465" s="335" t="n"/>
      <c r="E465" s="16" t="inlineStr">
        <is>
          <t>ตำแหน่ง</t>
        </is>
      </c>
      <c r="F465" s="17" t="inlineStr">
        <is>
          <t>ระยะเวลาที่สอน</t>
        </is>
      </c>
      <c r="G465" s="362" t="n"/>
      <c r="H465" s="17" t="inlineStr">
        <is>
          <t>รหัสวิชา</t>
        </is>
      </c>
      <c r="I465" s="275" t="inlineStr">
        <is>
          <t>ชั้น,แผนก,ห้อง</t>
        </is>
      </c>
      <c r="J465" s="17" t="inlineStr">
        <is>
          <t>เวลาสอน</t>
        </is>
      </c>
      <c r="K465" s="335" t="n"/>
      <c r="L465" s="17" t="inlineStr">
        <is>
          <t>ปวช.(คาบ)</t>
        </is>
      </c>
      <c r="M465" s="362" t="n"/>
      <c r="N465" s="244" t="inlineStr">
        <is>
          <t>เงิน</t>
        </is>
      </c>
      <c r="O465" s="275" t="inlineStr">
        <is>
          <t>ยอดเงิน</t>
        </is>
      </c>
      <c r="P465" s="473" t="inlineStr">
        <is>
          <t>ปวส.(คาบ)</t>
        </is>
      </c>
      <c r="Q465" s="362" t="n"/>
      <c r="R465" s="244" t="inlineStr">
        <is>
          <t>เงิน</t>
        </is>
      </c>
      <c r="S465" s="275" t="inlineStr">
        <is>
          <t>ยอดเงิน</t>
        </is>
      </c>
    </row>
    <row r="466" ht="22.2" customHeight="1" s="330">
      <c r="A466" s="60" t="n"/>
      <c r="B466" s="9" t="n"/>
      <c r="C466" s="10" t="n"/>
      <c r="D466" s="14" t="n"/>
      <c r="E466" s="11" t="n"/>
      <c r="F466" s="276" t="inlineStr">
        <is>
          <t>ส.</t>
        </is>
      </c>
      <c r="G466" s="276" t="inlineStr">
        <is>
          <t>วดป.</t>
        </is>
      </c>
      <c r="H466" s="474" t="n"/>
      <c r="I466" s="276" t="n"/>
      <c r="J466" s="475" t="n"/>
      <c r="K466" s="476" t="n"/>
      <c r="L466" s="276" t="inlineStr">
        <is>
          <t>ใน</t>
        </is>
      </c>
      <c r="M466" s="276" t="inlineStr">
        <is>
          <t>นอก</t>
        </is>
      </c>
      <c r="N466" s="276" t="inlineStr">
        <is>
          <t>ต่อ ชม.</t>
        </is>
      </c>
      <c r="O466" s="276" t="inlineStr">
        <is>
          <t>(บาท)</t>
        </is>
      </c>
      <c r="P466" s="60" t="inlineStr">
        <is>
          <t>ใน</t>
        </is>
      </c>
      <c r="Q466" s="60" t="inlineStr">
        <is>
          <t>นอก</t>
        </is>
      </c>
      <c r="R466" s="276" t="inlineStr">
        <is>
          <t>ต่อ ชม.</t>
        </is>
      </c>
      <c r="S466" s="276" t="inlineStr">
        <is>
          <t>(บาท)</t>
        </is>
      </c>
    </row>
    <row r="467" ht="22.2" customHeight="1" s="330">
      <c r="A467" s="275" t="n">
        <v>11</v>
      </c>
      <c r="B467" s="477">
        <f>AB13</f>
        <v/>
      </c>
      <c r="C467" s="334" t="n"/>
      <c r="D467" s="335" t="n"/>
      <c r="E467" s="275" t="inlineStr">
        <is>
          <t>ครู</t>
        </is>
      </c>
      <c r="F467" s="6">
        <f>F7</f>
        <v/>
      </c>
      <c r="G467" s="303" t="inlineStr">
        <is>
          <t>จันทร์</t>
        </is>
      </c>
      <c r="H467" s="325" t="inlineStr">
        <is>
          <t>20101-2109</t>
        </is>
      </c>
      <c r="I467" s="325" t="inlineStr">
        <is>
          <t>ปวช.3/2 ชย. (ปกติ)</t>
        </is>
      </c>
      <c r="J467" s="332" t="inlineStr">
        <is>
          <t>08.10-12.10</t>
        </is>
      </c>
      <c r="K467" s="335" t="n"/>
      <c r="L467" s="265" t="n"/>
      <c r="M467" s="332" t="n"/>
      <c r="N467" s="332" t="n"/>
      <c r="O467" s="244">
        <f>M467*N467</f>
        <v/>
      </c>
      <c r="P467" s="332" t="n"/>
      <c r="Q467" s="265" t="n"/>
      <c r="R467" s="332" t="n"/>
      <c r="S467" s="244">
        <f>Q467*R467</f>
        <v/>
      </c>
    </row>
    <row r="468" ht="22.2" customHeight="1" s="330">
      <c r="A468" s="4" t="n"/>
      <c r="B468" s="478" t="n"/>
      <c r="D468" s="331" t="n"/>
      <c r="E468" s="51" t="n"/>
      <c r="F468" s="249" t="n"/>
      <c r="G468" s="308">
        <f>G422</f>
        <v/>
      </c>
      <c r="H468" s="325" t="inlineStr">
        <is>
          <t>20101-2109</t>
        </is>
      </c>
      <c r="I468" s="325" t="inlineStr">
        <is>
          <t>ปวช.3/2 ชย. (ปกติ)</t>
        </is>
      </c>
      <c r="J468" s="252" t="inlineStr">
        <is>
          <t>13.10-16.10</t>
        </is>
      </c>
      <c r="K468" s="331" t="n"/>
      <c r="L468" s="252" t="n"/>
      <c r="M468" s="252" t="n"/>
      <c r="N468" s="252" t="n"/>
      <c r="O468" s="244">
        <f>M468*N468</f>
        <v/>
      </c>
      <c r="P468" s="252" t="n"/>
      <c r="Q468" s="252" t="n"/>
      <c r="R468" s="252" t="n"/>
      <c r="S468" s="244">
        <f>Q468*R468</f>
        <v/>
      </c>
    </row>
    <row r="469" ht="22.2" customHeight="1" s="330">
      <c r="A469" s="4" t="n"/>
      <c r="B469" s="5" t="n"/>
      <c r="D469" s="3" t="n"/>
      <c r="E469" s="3" t="n"/>
      <c r="F469" s="249" t="n"/>
      <c r="G469" s="248" t="n"/>
      <c r="H469" s="325" t="inlineStr">
        <is>
          <t>20101-8501</t>
        </is>
      </c>
      <c r="I469" s="325" t="inlineStr">
        <is>
          <t>ปวช.3/1,2 ชย. (ปกติ)</t>
        </is>
      </c>
      <c r="J469" s="252" t="inlineStr">
        <is>
          <t>16.10-18.10</t>
        </is>
      </c>
      <c r="K469" s="331" t="n"/>
      <c r="L469" s="252" t="n"/>
      <c r="M469" s="252" t="n"/>
      <c r="N469" s="252" t="n"/>
      <c r="O469" s="244">
        <f>M469*N469</f>
        <v/>
      </c>
      <c r="P469" s="252" t="n"/>
      <c r="Q469" s="252" t="n"/>
      <c r="R469" s="252" t="n"/>
      <c r="S469" s="244">
        <f>Q469*R469</f>
        <v/>
      </c>
    </row>
    <row r="470" ht="22.2" customHeight="1" s="330">
      <c r="A470" s="4" t="n"/>
      <c r="B470" s="5" t="n"/>
      <c r="E470" s="4" t="n"/>
      <c r="F470" s="249" t="n"/>
      <c r="G470" s="248" t="n"/>
      <c r="H470" s="252" t="n"/>
      <c r="I470" s="252" t="n"/>
      <c r="J470" s="252" t="n"/>
      <c r="K470" s="331" t="n"/>
      <c r="L470" s="252" t="n"/>
      <c r="M470" s="252" t="n"/>
      <c r="N470" s="252" t="n"/>
      <c r="O470" s="244">
        <f>M470*N470</f>
        <v/>
      </c>
      <c r="P470" s="252" t="n"/>
      <c r="Q470" s="252" t="n"/>
      <c r="R470" s="252" t="n"/>
      <c r="S470" s="244">
        <f>Q470*R470</f>
        <v/>
      </c>
    </row>
    <row r="471" ht="22.2" customHeight="1" s="330">
      <c r="A471" s="4" t="n"/>
      <c r="E471" s="4" t="n"/>
      <c r="G471" s="311" t="n"/>
      <c r="H471" s="276" t="n"/>
      <c r="I471" s="276" t="n"/>
      <c r="J471" s="276" t="n"/>
      <c r="K471" s="476" t="n"/>
      <c r="L471" s="252" t="n"/>
      <c r="M471" s="252" t="n"/>
      <c r="N471" s="252" t="n"/>
      <c r="O471" s="244">
        <f>M471*N471</f>
        <v/>
      </c>
      <c r="P471" s="252" t="n"/>
      <c r="Q471" s="252" t="n"/>
      <c r="R471" s="252" t="n"/>
      <c r="S471" s="244">
        <f>Q471*R471</f>
        <v/>
      </c>
    </row>
    <row r="472" ht="22.2" customHeight="1" s="330">
      <c r="A472" s="4" t="n"/>
      <c r="D472" s="331" t="n"/>
      <c r="E472" s="56" t="n"/>
      <c r="G472" s="62" t="inlineStr">
        <is>
          <t>อังคาร</t>
        </is>
      </c>
      <c r="H472" s="325" t="inlineStr">
        <is>
          <t>20101-2109</t>
        </is>
      </c>
      <c r="I472" s="325" t="inlineStr">
        <is>
          <t>ปวช.3/1 ชย. (ปกติ)</t>
        </is>
      </c>
      <c r="J472" s="332" t="inlineStr">
        <is>
          <t>08.10-12.10</t>
        </is>
      </c>
      <c r="K472" s="335" t="n"/>
      <c r="L472" s="265" t="n"/>
      <c r="M472" s="332" t="n"/>
      <c r="N472" s="332" t="n"/>
      <c r="O472" s="244">
        <f>M472*N472</f>
        <v/>
      </c>
      <c r="P472" s="332" t="n"/>
      <c r="Q472" s="265" t="n"/>
      <c r="R472" s="332" t="n"/>
      <c r="S472" s="244">
        <f>Q472*R472</f>
        <v/>
      </c>
      <c r="T472" s="7" t="n"/>
      <c r="U472" s="23" t="inlineStr">
        <is>
          <t>เบิก ธุรการ</t>
        </is>
      </c>
      <c r="V472" s="66" t="n"/>
      <c r="W472" s="22" t="n"/>
      <c r="X472" s="22" t="n"/>
    </row>
    <row r="473" ht="22.2" customHeight="1" s="330">
      <c r="A473" s="4" t="n"/>
      <c r="D473" s="3" t="n"/>
      <c r="E473" s="3" t="n"/>
      <c r="G473" s="308">
        <f>G427</f>
        <v/>
      </c>
      <c r="H473" s="325" t="inlineStr">
        <is>
          <t>20101-2109</t>
        </is>
      </c>
      <c r="I473" s="325" t="inlineStr">
        <is>
          <t>ปวช.3/1 ชย. (ปกติ)</t>
        </is>
      </c>
      <c r="J473" s="252" t="inlineStr">
        <is>
          <t>13.10-16.10</t>
        </is>
      </c>
      <c r="K473" s="331" t="n"/>
      <c r="L473" s="252" t="n"/>
      <c r="M473" s="252" t="n"/>
      <c r="N473" s="252" t="n"/>
      <c r="O473" s="244">
        <f>M473*N473</f>
        <v/>
      </c>
      <c r="P473" s="252" t="n"/>
      <c r="Q473" s="252" t="n"/>
      <c r="R473" s="252" t="n"/>
      <c r="S473" s="244">
        <f>Q473*R473</f>
        <v/>
      </c>
      <c r="T473" s="22" t="inlineStr">
        <is>
          <t> </t>
        </is>
      </c>
      <c r="U473" s="23" t="inlineStr">
        <is>
          <t>16.10-19.10</t>
        </is>
      </c>
      <c r="V473" s="66" t="n"/>
      <c r="W473" s="22" t="n"/>
      <c r="X473" s="22" t="n"/>
    </row>
    <row r="474" ht="22.2" customHeight="1" s="330">
      <c r="A474" s="4" t="n"/>
      <c r="B474" s="5" t="n"/>
      <c r="D474" s="3" t="n"/>
      <c r="E474" s="3" t="n"/>
      <c r="G474" s="252" t="n"/>
      <c r="H474" s="325" t="inlineStr">
        <is>
          <t>20101-8501</t>
        </is>
      </c>
      <c r="I474" s="325" t="inlineStr">
        <is>
          <t>ปวช.3/1,2 ชย. (ปกติ)</t>
        </is>
      </c>
      <c r="J474" s="252" t="inlineStr">
        <is>
          <t>16.10-18.10</t>
        </is>
      </c>
      <c r="K474" s="331" t="n"/>
      <c r="L474" s="252" t="n"/>
      <c r="M474" s="252" t="n"/>
      <c r="N474" s="252" t="n"/>
      <c r="O474" s="244">
        <f>M474*N474</f>
        <v/>
      </c>
      <c r="P474" s="252" t="n"/>
      <c r="Q474" s="252" t="n"/>
      <c r="R474" s="252" t="n"/>
      <c r="S474" s="244">
        <f>Q474*R474</f>
        <v/>
      </c>
    </row>
    <row r="475" ht="22.2" customHeight="1" s="330">
      <c r="A475" s="4" t="n"/>
      <c r="E475" s="4" t="n"/>
      <c r="G475" s="62" t="n"/>
      <c r="H475" s="249" t="n"/>
      <c r="I475" s="252" t="n"/>
      <c r="J475" s="252" t="n"/>
      <c r="K475" s="331" t="n"/>
      <c r="L475" s="252" t="n"/>
      <c r="M475" s="252" t="n"/>
      <c r="N475" s="252" t="n"/>
      <c r="O475" s="244">
        <f>M475*N475</f>
        <v/>
      </c>
      <c r="P475" s="252" t="n"/>
      <c r="Q475" s="252" t="n"/>
      <c r="R475" s="252" t="n"/>
      <c r="S475" s="244">
        <f>Q475*R475</f>
        <v/>
      </c>
    </row>
    <row r="476" ht="22.2" customHeight="1" s="330">
      <c r="A476" s="4" t="n"/>
      <c r="D476" s="8" t="inlineStr">
        <is>
          <t> </t>
        </is>
      </c>
      <c r="E476" s="4" t="n"/>
      <c r="G476" s="63" t="n"/>
      <c r="H476" s="276" t="n"/>
      <c r="I476" s="276" t="n"/>
      <c r="J476" s="276" t="n"/>
      <c r="K476" s="476" t="n"/>
      <c r="L476" s="252" t="n"/>
      <c r="M476" s="252" t="n"/>
      <c r="N476" s="252" t="n"/>
      <c r="O476" s="244">
        <f>M476*N476</f>
        <v/>
      </c>
      <c r="P476" s="252" t="n"/>
      <c r="Q476" s="252" t="n"/>
      <c r="R476" s="252" t="n"/>
      <c r="S476" s="244">
        <f>Q476*R476</f>
        <v/>
      </c>
    </row>
    <row r="477" ht="22.2" customHeight="1" s="330">
      <c r="A477" s="4" t="n"/>
      <c r="E477" s="4" t="n"/>
      <c r="G477" s="308" t="inlineStr">
        <is>
          <t>พุธ</t>
        </is>
      </c>
      <c r="H477" s="325" t="inlineStr">
        <is>
          <t>20101-2109</t>
        </is>
      </c>
      <c r="I477" s="325" t="inlineStr">
        <is>
          <t>ปวช.3/4 ชย. (ปกติ)</t>
        </is>
      </c>
      <c r="J477" s="332" t="inlineStr">
        <is>
          <t>08.10-12.10</t>
        </is>
      </c>
      <c r="K477" s="335" t="n"/>
      <c r="L477" s="265" t="n"/>
      <c r="M477" s="332" t="n"/>
      <c r="N477" s="332" t="n"/>
      <c r="O477" s="244">
        <f>M477*N477</f>
        <v/>
      </c>
      <c r="P477" s="332" t="n"/>
      <c r="Q477" s="265" t="n"/>
      <c r="R477" s="332" t="n"/>
      <c r="S477" s="244">
        <f>Q477*R477</f>
        <v/>
      </c>
    </row>
    <row r="478" ht="22.2" customHeight="1" s="330">
      <c r="A478" s="4" t="n"/>
      <c r="B478" s="248" t="n"/>
      <c r="C478" s="249" t="n"/>
      <c r="D478" s="249" t="n"/>
      <c r="E478" s="252" t="n"/>
      <c r="G478" s="308">
        <f>G432</f>
        <v/>
      </c>
      <c r="H478" s="325" t="inlineStr">
        <is>
          <t>20101-2109</t>
        </is>
      </c>
      <c r="I478" s="325" t="inlineStr">
        <is>
          <t>ปวช.3/4 ชย. (ปกติ)</t>
        </is>
      </c>
      <c r="J478" s="252" t="inlineStr">
        <is>
          <t>13.10-16.10</t>
        </is>
      </c>
      <c r="K478" s="331" t="n"/>
      <c r="L478" s="252" t="n"/>
      <c r="M478" s="252" t="n"/>
      <c r="N478" s="252" t="n"/>
      <c r="O478" s="244">
        <f>M478*N478</f>
        <v/>
      </c>
      <c r="P478" s="252" t="n"/>
      <c r="Q478" s="252" t="n"/>
      <c r="R478" s="252" t="n"/>
      <c r="S478" s="244">
        <f>Q478*R478</f>
        <v/>
      </c>
    </row>
    <row r="479" ht="22.2" customHeight="1" s="330">
      <c r="A479" s="4" t="n"/>
      <c r="B479" s="5" t="n"/>
      <c r="D479" s="3" t="n"/>
      <c r="E479" s="3" t="n"/>
      <c r="G479" s="252" t="n"/>
      <c r="H479" s="325" t="n"/>
      <c r="I479" s="325" t="n"/>
      <c r="J479" s="252" t="n"/>
      <c r="K479" s="331" t="n"/>
      <c r="L479" s="252" t="n"/>
      <c r="M479" s="252" t="n"/>
      <c r="N479" s="252" t="n"/>
      <c r="O479" s="244">
        <f>M479*N479</f>
        <v/>
      </c>
      <c r="P479" s="252" t="n"/>
      <c r="Q479" s="252" t="n"/>
      <c r="R479" s="252" t="n"/>
      <c r="S479" s="244">
        <f>Q479*R479</f>
        <v/>
      </c>
    </row>
    <row r="480" ht="22.2" customHeight="1" s="330">
      <c r="A480" s="4" t="n"/>
      <c r="E480" s="4" t="n"/>
      <c r="G480" s="248" t="n"/>
      <c r="H480" s="252" t="n"/>
      <c r="I480" s="252" t="n"/>
      <c r="J480" s="252" t="n"/>
      <c r="K480" s="331" t="n"/>
      <c r="L480" s="252" t="n"/>
      <c r="M480" s="252" t="n"/>
      <c r="N480" s="252" t="n"/>
      <c r="O480" s="244">
        <f>M480*N480</f>
        <v/>
      </c>
      <c r="P480" s="252" t="n"/>
      <c r="Q480" s="252" t="n"/>
      <c r="R480" s="252" t="n"/>
      <c r="S480" s="244">
        <f>Q480*R480</f>
        <v/>
      </c>
    </row>
    <row r="481" ht="22.2" customHeight="1" s="330">
      <c r="A481" s="4" t="n"/>
      <c r="E481" s="4" t="n"/>
      <c r="G481" s="277" t="n"/>
      <c r="H481" s="252" t="n"/>
      <c r="I481" s="276" t="n"/>
      <c r="J481" s="276" t="n"/>
      <c r="K481" s="476" t="n"/>
      <c r="L481" s="276" t="n"/>
      <c r="M481" s="276" t="n"/>
      <c r="N481" s="276" t="n"/>
      <c r="O481" s="244">
        <f>M481*N481</f>
        <v/>
      </c>
      <c r="P481" s="276" t="n"/>
      <c r="Q481" s="276" t="n"/>
      <c r="R481" s="276" t="n"/>
      <c r="S481" s="244">
        <f>Q481*R481</f>
        <v/>
      </c>
    </row>
    <row r="482" ht="22.2" customHeight="1" s="330">
      <c r="A482" s="4" t="n"/>
      <c r="D482" s="331" t="n"/>
      <c r="E482" s="56" t="n"/>
      <c r="G482" s="62" t="inlineStr">
        <is>
          <t>พฤหัส</t>
        </is>
      </c>
      <c r="H482" s="332" t="n"/>
      <c r="I482" s="325" t="n"/>
      <c r="J482" s="332" t="n"/>
      <c r="K482" s="335" t="n"/>
      <c r="L482" s="252" t="n"/>
      <c r="M482" s="252" t="n"/>
      <c r="N482" s="252" t="n"/>
      <c r="O482" s="244">
        <f>M482*N482</f>
        <v/>
      </c>
      <c r="P482" s="252" t="n"/>
      <c r="Q482" s="275" t="n"/>
      <c r="R482" s="275" t="n"/>
      <c r="S482" s="244">
        <f>Q482*R482</f>
        <v/>
      </c>
    </row>
    <row r="483" ht="22.2" customHeight="1" s="330">
      <c r="A483" s="4" t="n"/>
      <c r="D483" s="3" t="n"/>
      <c r="E483" s="3" t="n"/>
      <c r="G483" s="308">
        <f>G437</f>
        <v/>
      </c>
      <c r="H483" s="325" t="n"/>
      <c r="I483" s="325" t="n"/>
      <c r="J483" s="252" t="n"/>
      <c r="K483" s="331" t="n"/>
      <c r="L483" s="252" t="n"/>
      <c r="M483" s="252" t="n"/>
      <c r="N483" s="252" t="n"/>
      <c r="O483" s="244">
        <f>M483*N483</f>
        <v/>
      </c>
      <c r="P483" s="252" t="n"/>
      <c r="Q483" s="252" t="n"/>
      <c r="R483" s="252" t="n"/>
      <c r="S483" s="244">
        <f>Q483*R483</f>
        <v/>
      </c>
    </row>
    <row r="484" ht="22.2" customHeight="1" s="330">
      <c r="A484" s="4" t="n"/>
      <c r="B484" s="5" t="n"/>
      <c r="E484" s="4" t="n"/>
      <c r="G484" s="252" t="n"/>
      <c r="H484" s="325" t="n"/>
      <c r="I484" s="325" t="n"/>
      <c r="J484" s="252" t="n"/>
      <c r="K484" s="331" t="n"/>
      <c r="L484" s="325" t="n"/>
      <c r="M484" s="325" t="n"/>
      <c r="N484" s="325" t="n"/>
      <c r="O484" s="244">
        <f>M484*N484</f>
        <v/>
      </c>
      <c r="P484" s="325" t="n"/>
      <c r="Q484" s="325" t="n"/>
      <c r="R484" s="325" t="n"/>
      <c r="S484" s="244">
        <f>Q484*R484</f>
        <v/>
      </c>
    </row>
    <row r="485" ht="22.2" customHeight="1" s="330">
      <c r="A485" s="4" t="n"/>
      <c r="E485" s="4" t="n"/>
      <c r="G485" s="252" t="n"/>
      <c r="H485" s="252" t="n"/>
      <c r="I485" s="252" t="n"/>
      <c r="J485" s="252" t="n"/>
      <c r="K485" s="331" t="n"/>
      <c r="L485" s="252" t="n"/>
      <c r="M485" s="252" t="n"/>
      <c r="N485" s="252" t="n"/>
      <c r="O485" s="244">
        <f>M485*N485</f>
        <v/>
      </c>
      <c r="P485" s="252" t="n"/>
      <c r="Q485" s="252" t="n"/>
      <c r="R485" s="252" t="n"/>
      <c r="S485" s="244">
        <f>Q485*R485</f>
        <v/>
      </c>
    </row>
    <row r="486" ht="22.2" customHeight="1" s="330">
      <c r="A486" s="4" t="n"/>
      <c r="E486" s="4" t="n"/>
      <c r="G486" s="276" t="n"/>
      <c r="H486" s="301" t="n"/>
      <c r="I486" s="276" t="n"/>
      <c r="J486" s="276" t="n"/>
      <c r="K486" s="476" t="n"/>
      <c r="L486" s="276" t="n"/>
      <c r="M486" s="276" t="n"/>
      <c r="N486" s="276" t="n"/>
      <c r="O486" s="244">
        <f>M486*N486</f>
        <v/>
      </c>
      <c r="P486" s="276" t="n"/>
      <c r="Q486" s="276" t="n"/>
      <c r="R486" s="276" t="n"/>
      <c r="S486" s="244">
        <f>Q486*R486</f>
        <v/>
      </c>
    </row>
    <row r="487" ht="22.2" customHeight="1" s="330">
      <c r="A487" s="4" t="n"/>
      <c r="E487" s="4" t="n"/>
      <c r="G487" s="62" t="inlineStr">
        <is>
          <t>ศุกร์</t>
        </is>
      </c>
      <c r="H487" s="325" t="inlineStr">
        <is>
          <t>20101-2109</t>
        </is>
      </c>
      <c r="I487" s="325" t="inlineStr">
        <is>
          <t>ปวช.3/3 ชย. (ปกติ)</t>
        </is>
      </c>
      <c r="J487" s="332" t="inlineStr">
        <is>
          <t>09.10-12.10</t>
        </is>
      </c>
      <c r="K487" s="335" t="n"/>
      <c r="L487" s="252" t="n"/>
      <c r="M487" s="252" t="n"/>
      <c r="N487" s="252" t="n"/>
      <c r="O487" s="244">
        <f>M487*N487</f>
        <v/>
      </c>
      <c r="P487" s="332" t="n"/>
      <c r="Q487" s="265" t="n"/>
      <c r="R487" s="332" t="n"/>
      <c r="S487" s="244">
        <f>Q487*R487</f>
        <v/>
      </c>
      <c r="T487" s="25" t="n"/>
      <c r="U487" s="26" t="inlineStr">
        <is>
          <t xml:space="preserve">     PLC</t>
        </is>
      </c>
      <c r="V487" s="64" t="n"/>
      <c r="W487" s="27" t="n"/>
      <c r="X487" s="27" t="n"/>
    </row>
    <row r="488" ht="22.2" customHeight="1" s="330">
      <c r="A488" s="4" t="n"/>
      <c r="E488" s="4" t="n"/>
      <c r="G488" s="308">
        <f>G442</f>
        <v/>
      </c>
      <c r="H488" s="325" t="inlineStr">
        <is>
          <t>20101-2109</t>
        </is>
      </c>
      <c r="I488" s="325" t="inlineStr">
        <is>
          <t>ปวช.3/3 ชย. (ปกติ)</t>
        </is>
      </c>
      <c r="J488" s="252" t="inlineStr">
        <is>
          <t>13.10-17.10</t>
        </is>
      </c>
      <c r="K488" s="331" t="n"/>
      <c r="L488" s="252" t="n"/>
      <c r="M488" s="252" t="n"/>
      <c r="N488" s="252" t="n"/>
      <c r="O488" s="244">
        <f>M488*N488</f>
        <v/>
      </c>
      <c r="P488" s="252" t="n"/>
      <c r="Q488" s="252" t="n"/>
      <c r="R488" s="252" t="n"/>
      <c r="S488" s="244">
        <f>Q488*R488</f>
        <v/>
      </c>
      <c r="T488" s="27" t="inlineStr">
        <is>
          <t> </t>
        </is>
      </c>
      <c r="U488" s="26" t="inlineStr">
        <is>
          <t>17.10-19.10</t>
        </is>
      </c>
      <c r="V488" s="64" t="n"/>
      <c r="W488" s="27" t="n"/>
      <c r="X488" s="27" t="n"/>
    </row>
    <row r="489" ht="22.2" customHeight="1" s="330">
      <c r="A489" s="4" t="n"/>
      <c r="E489" s="4" t="n"/>
      <c r="G489" s="252" t="n"/>
      <c r="H489" s="252" t="n"/>
      <c r="I489" s="252" t="n"/>
      <c r="J489" s="252" t="n"/>
      <c r="K489" s="331" t="n"/>
      <c r="L489" s="252" t="n"/>
      <c r="M489" s="252" t="n"/>
      <c r="N489" s="252" t="n"/>
      <c r="O489" s="244">
        <f>M489*N489</f>
        <v/>
      </c>
      <c r="P489" s="252" t="n"/>
      <c r="Q489" s="252" t="n"/>
      <c r="R489" s="252" t="n"/>
      <c r="S489" s="244">
        <f>Q489*R489</f>
        <v/>
      </c>
    </row>
    <row r="490" ht="22.2" customHeight="1" s="330">
      <c r="A490" s="4" t="n"/>
      <c r="E490" s="4" t="n"/>
      <c r="G490" s="252" t="n"/>
      <c r="H490" s="249" t="inlineStr">
        <is>
          <t> </t>
        </is>
      </c>
      <c r="I490" s="252" t="n"/>
      <c r="J490" s="252" t="n"/>
      <c r="K490" s="331" t="n"/>
      <c r="L490" s="252" t="n"/>
      <c r="M490" s="252" t="n"/>
      <c r="N490" s="252" t="n"/>
      <c r="O490" s="244">
        <f>M490*N490</f>
        <v/>
      </c>
      <c r="P490" s="252" t="n"/>
      <c r="Q490" s="252" t="n"/>
      <c r="R490" s="252" t="n"/>
      <c r="S490" s="244">
        <f>Q490*R490</f>
        <v/>
      </c>
    </row>
    <row r="491" ht="22.2" customHeight="1" s="330">
      <c r="A491" s="4" t="n"/>
      <c r="E491" s="4" t="n"/>
      <c r="F491" s="4" t="n"/>
      <c r="G491" s="278" t="n"/>
      <c r="H491" s="301" t="n"/>
      <c r="I491" s="276" t="n"/>
      <c r="J491" s="276" t="n"/>
      <c r="K491" s="476" t="n"/>
      <c r="L491" s="276" t="n"/>
      <c r="M491" s="276" t="n"/>
      <c r="N491" s="276" t="n"/>
      <c r="O491" s="244">
        <f>M491*N491</f>
        <v/>
      </c>
      <c r="P491" s="276" t="n"/>
      <c r="Q491" s="276" t="n"/>
      <c r="R491" s="276" t="n"/>
      <c r="S491" s="244">
        <f>Q491*R491</f>
        <v/>
      </c>
    </row>
    <row r="492" ht="22.2" customHeight="1" s="330">
      <c r="A492" s="4" t="n"/>
      <c r="E492" s="4" t="n"/>
      <c r="F492" s="4" t="n"/>
      <c r="G492" s="17" t="inlineStr">
        <is>
          <t>รวมขั่วโมงที่สอนแยก ภาระงาน/ เกินภาระงาน</t>
        </is>
      </c>
      <c r="H492" s="467" t="n"/>
      <c r="I492" s="467" t="n"/>
      <c r="J492" s="467" t="n"/>
      <c r="K492" s="362" t="n"/>
      <c r="L492" s="17">
        <f>SUM(L467:L491)</f>
        <v/>
      </c>
      <c r="M492" s="17">
        <f>SUM(M467:M491)</f>
        <v/>
      </c>
      <c r="N492" s="17" t="n"/>
      <c r="O492" s="17" t="n"/>
      <c r="P492" s="17">
        <f>SUM(P467:P491)</f>
        <v/>
      </c>
      <c r="Q492" s="17">
        <f>SUM(Q467:Q491)</f>
        <v/>
      </c>
      <c r="R492" s="279" t="n"/>
      <c r="S492" s="17" t="n"/>
    </row>
    <row r="493" ht="22.2" customHeight="1" s="330">
      <c r="A493" s="4" t="n"/>
      <c r="E493" s="4" t="n"/>
      <c r="F493" s="4" t="n"/>
      <c r="G493" s="17" t="inlineStr">
        <is>
          <t>รวมจำนวนชั่วโมงสอนคาบต่อสับดาห์</t>
        </is>
      </c>
      <c r="H493" s="467" t="n"/>
      <c r="I493" s="467" t="n"/>
      <c r="J493" s="467" t="n"/>
      <c r="K493" s="362" t="n"/>
      <c r="L493" s="17">
        <f>L492+M492</f>
        <v/>
      </c>
      <c r="M493" s="362" t="n"/>
      <c r="N493" s="17" t="n"/>
      <c r="O493" s="298" t="n"/>
      <c r="P493" s="17">
        <f>P492+Q492</f>
        <v/>
      </c>
      <c r="Q493" s="362" t="n"/>
      <c r="R493" s="278" t="n"/>
      <c r="S493" s="276" t="n"/>
    </row>
    <row r="494" ht="22.2" customHeight="1" s="330">
      <c r="A494" s="4" t="n"/>
      <c r="E494" s="4" t="n"/>
      <c r="F494" s="4" t="n"/>
      <c r="G494" s="17" t="inlineStr">
        <is>
          <t>จำนวนชั่วโมงสอนตามภาระงานสอน</t>
        </is>
      </c>
      <c r="H494" s="467" t="n"/>
      <c r="I494" s="467" t="n"/>
      <c r="J494" s="467" t="n"/>
      <c r="K494" s="362" t="n"/>
      <c r="L494" s="153" t="inlineStr">
        <is>
          <t>18</t>
        </is>
      </c>
      <c r="M494" s="362" t="n"/>
      <c r="N494" s="152" t="n"/>
      <c r="O494" s="153" t="n"/>
      <c r="P494" s="153" t="inlineStr">
        <is>
          <t>0</t>
        </is>
      </c>
      <c r="Q494" s="362" t="n"/>
      <c r="R494" s="249" t="n"/>
      <c r="S494" s="252" t="n"/>
    </row>
    <row r="495" ht="22.2" customHeight="1" s="330" thickBot="1">
      <c r="A495" s="4" t="n"/>
      <c r="E495" s="4" t="n"/>
      <c r="F495" s="15" t="n"/>
      <c r="G495" s="17" t="inlineStr">
        <is>
          <t>จำนวนชั่วโมงบิกเกินภาระงานสอน/ค่าสอน</t>
        </is>
      </c>
      <c r="H495" s="467" t="n"/>
      <c r="I495" s="467" t="n"/>
      <c r="J495" s="467" t="n"/>
      <c r="K495" s="362" t="n"/>
      <c r="L495" s="18" t="n">
        <v>0</v>
      </c>
      <c r="M495" s="18">
        <f>SUM(M467:M491)</f>
        <v/>
      </c>
      <c r="N495" s="18" t="n"/>
      <c r="O495" s="18">
        <f>SUM(O467:O491)</f>
        <v/>
      </c>
      <c r="P495" s="18" t="n">
        <v>0</v>
      </c>
      <c r="Q495" s="18">
        <f>SUM(Q467:Q491)</f>
        <v/>
      </c>
      <c r="R495" s="19" t="n"/>
      <c r="S495" s="18">
        <f>SUM(S467:S491)</f>
        <v/>
      </c>
    </row>
    <row r="496" ht="22.2" customHeight="1" s="330" thickTop="1">
      <c r="A496" s="299" t="inlineStr">
        <is>
          <t>รวมจำนวนหน่วยชั่วโมงที่ขอเบิกค่าสอน ….</t>
        </is>
      </c>
      <c r="B496" s="467" t="n"/>
      <c r="C496" s="467" t="n"/>
      <c r="D496" s="467" t="n"/>
      <c r="E496" s="467" t="n"/>
      <c r="F496" s="467" t="n"/>
      <c r="G496" s="467" t="n"/>
      <c r="H496" s="298">
        <f>M495+Q495</f>
        <v/>
      </c>
      <c r="I496" s="298" t="inlineStr">
        <is>
          <t>….ชั่วโมง</t>
        </is>
      </c>
      <c r="J496" s="298" t="n"/>
      <c r="K496" s="301" t="inlineStr">
        <is>
          <t>ยอดเงินรวม</t>
        </is>
      </c>
      <c r="L496" s="471" t="n"/>
      <c r="M496" s="471" t="n"/>
      <c r="N496" s="301" t="n"/>
      <c r="O496" s="301" t="n"/>
      <c r="P496" s="302">
        <f>S495+O495</f>
        <v/>
      </c>
      <c r="Q496" s="482" t="n"/>
      <c r="R496" s="21" t="n"/>
      <c r="S496" s="20" t="inlineStr">
        <is>
          <t>..บาท</t>
        </is>
      </c>
    </row>
    <row r="497" ht="22.2" customHeight="1" s="330">
      <c r="A497" s="207" t="inlineStr">
        <is>
          <t>ผู้ขอเบิก</t>
        </is>
      </c>
      <c r="B497" s="334" t="n"/>
      <c r="C497" s="334" t="n"/>
      <c r="D497" s="334" t="n"/>
      <c r="E497" s="334" t="n"/>
      <c r="F497" s="334" t="n"/>
      <c r="G497" s="335" t="n"/>
      <c r="H497" s="207" t="inlineStr">
        <is>
          <t>ผู้รับรอง</t>
        </is>
      </c>
      <c r="I497" s="334" t="n"/>
      <c r="J497" s="334" t="n"/>
      <c r="K497" s="334" t="n"/>
      <c r="L497" s="335" t="n"/>
      <c r="M497" s="207" t="inlineStr">
        <is>
          <t>ผู้ตรวจ</t>
        </is>
      </c>
      <c r="N497" s="334" t="n"/>
      <c r="O497" s="334" t="n"/>
      <c r="P497" s="334" t="n"/>
      <c r="Q497" s="334" t="n"/>
      <c r="R497" s="334" t="n"/>
      <c r="S497" s="335" t="n"/>
    </row>
    <row r="498" ht="22.2" customHeight="1" s="330">
      <c r="A498" s="252" t="inlineStr">
        <is>
          <t>ลงชื่อ……………………………………………</t>
        </is>
      </c>
      <c r="G498" s="331" t="n"/>
      <c r="H498" s="252" t="inlineStr">
        <is>
          <t>ลงชื่อ……………………………………………</t>
        </is>
      </c>
      <c r="L498" s="331" t="n"/>
      <c r="M498" s="252" t="inlineStr">
        <is>
          <t>ลงชื่อ……………………………………………</t>
        </is>
      </c>
      <c r="S498" s="331" t="n"/>
    </row>
    <row r="499" ht="22.2" customHeight="1" s="330">
      <c r="A499" s="12" t="inlineStr">
        <is>
          <t>(</t>
        </is>
      </c>
      <c r="B499" s="309">
        <f>B467</f>
        <v/>
      </c>
      <c r="G499" s="310" t="inlineStr">
        <is>
          <t>)</t>
        </is>
      </c>
      <c r="H499" s="309" t="inlineStr">
        <is>
          <t>(</t>
        </is>
      </c>
      <c r="I499" s="314">
        <f>I453</f>
        <v/>
      </c>
      <c r="L499" s="13" t="inlineStr">
        <is>
          <t>)</t>
        </is>
      </c>
      <c r="M499" s="61" t="inlineStr">
        <is>
          <t>(</t>
        </is>
      </c>
      <c r="N499" s="61" t="n"/>
      <c r="O499" s="309" t="inlineStr">
        <is>
          <t>นายพิสุทธิศักดิ์  กล่อมนาค</t>
        </is>
      </c>
      <c r="R499" s="29" t="n"/>
      <c r="S499" s="310" t="inlineStr">
        <is>
          <t>)</t>
        </is>
      </c>
    </row>
    <row r="500" ht="22.2" customHeight="1" s="330">
      <c r="A500" s="483" t="inlineStr">
        <is>
          <t xml:space="preserve">                 ตำแหน่ง  ครู </t>
        </is>
      </c>
      <c r="G500" s="331" t="n"/>
      <c r="H500" s="62" t="inlineStr">
        <is>
          <t>ตำแหน่ง หัวหน้าแผนก</t>
        </is>
      </c>
      <c r="L500" s="331" t="n"/>
      <c r="M500" s="62" t="inlineStr">
        <is>
          <t>ตำแหน่ง   ผู้ตรวจสอบ</t>
        </is>
      </c>
      <c r="S500" s="331" t="n"/>
    </row>
    <row r="501" ht="22.2" customHeight="1" s="330">
      <c r="A501" s="63">
        <f>A41</f>
        <v/>
      </c>
      <c r="B501" s="471" t="n"/>
      <c r="C501" s="471" t="n"/>
      <c r="D501" s="471" t="n"/>
      <c r="E501" s="471" t="n"/>
      <c r="F501" s="471" t="n"/>
      <c r="G501" s="476" t="n"/>
      <c r="H501" s="62">
        <f>A41</f>
        <v/>
      </c>
      <c r="L501" s="331" t="n"/>
      <c r="M501" s="63">
        <f>A41</f>
        <v/>
      </c>
      <c r="N501" s="471" t="n"/>
      <c r="O501" s="471" t="n"/>
      <c r="P501" s="471" t="n"/>
      <c r="Q501" s="471" t="n"/>
      <c r="R501" s="471" t="n"/>
      <c r="S501" s="476" t="n"/>
    </row>
    <row r="502" ht="22.2" customHeight="1" s="330">
      <c r="A502" s="207" t="inlineStr">
        <is>
          <t>ผู้ตรวจ</t>
        </is>
      </c>
      <c r="B502" s="334" t="n"/>
      <c r="C502" s="334" t="n"/>
      <c r="D502" s="334" t="n"/>
      <c r="E502" s="334" t="n"/>
      <c r="F502" s="334" t="n"/>
      <c r="G502" s="334" t="n"/>
      <c r="H502" s="334" t="n"/>
      <c r="I502" s="335" t="n"/>
      <c r="J502" s="207" t="inlineStr">
        <is>
          <t>ผู้เห็นชอบ</t>
        </is>
      </c>
      <c r="K502" s="334" t="n"/>
      <c r="L502" s="334" t="n"/>
      <c r="M502" s="334" t="n"/>
      <c r="N502" s="334" t="n"/>
      <c r="O502" s="334" t="n"/>
      <c r="P502" s="334" t="n"/>
      <c r="Q502" s="334" t="n"/>
      <c r="R502" s="334" t="n"/>
      <c r="S502" s="335" t="n"/>
    </row>
    <row r="503" ht="22.2" customHeight="1" s="330">
      <c r="A503" s="252" t="inlineStr">
        <is>
          <t>ลงชื่อ……………………………………………</t>
        </is>
      </c>
      <c r="I503" s="331" t="n"/>
      <c r="J503" s="252" t="inlineStr">
        <is>
          <t>ลงชื่อ……………………………………………</t>
        </is>
      </c>
      <c r="S503" s="331" t="n"/>
    </row>
    <row r="504" ht="22.2" customHeight="1" s="330">
      <c r="A504" s="12" t="n"/>
      <c r="B504" s="309" t="inlineStr">
        <is>
          <t xml:space="preserve">          (นางศิวรักษ์   บุญประเสริฐ)</t>
        </is>
      </c>
      <c r="I504" s="310" t="n"/>
      <c r="J504" s="29" t="n"/>
      <c r="K504" s="29" t="n"/>
      <c r="L504" s="309" t="inlineStr">
        <is>
          <t>(นายปรีชา  โพธิ์เกิด)</t>
        </is>
      </c>
      <c r="R504" s="29" t="n"/>
      <c r="S504" s="13" t="n"/>
    </row>
    <row r="505" ht="22.2" customHeight="1" s="330">
      <c r="A505" s="62" t="inlineStr">
        <is>
          <t>ตำแหน่งครู  หัวหน้างานพัฒนาหลักสูตร ฯ</t>
        </is>
      </c>
      <c r="I505" s="331" t="n"/>
      <c r="J505" s="62" t="inlineStr">
        <is>
          <t>ตำแหน่ง  รองผู้อำนวยการฝ่ายวิชาการ</t>
        </is>
      </c>
      <c r="S505" s="331" t="n"/>
    </row>
    <row r="506" ht="22.2" customHeight="1" s="330">
      <c r="A506" s="63">
        <f>A41</f>
        <v/>
      </c>
      <c r="B506" s="471" t="n"/>
      <c r="C506" s="471" t="n"/>
      <c r="D506" s="471" t="n"/>
      <c r="E506" s="471" t="n"/>
      <c r="F506" s="471" t="n"/>
      <c r="G506" s="471" t="n"/>
      <c r="H506" s="471" t="n"/>
      <c r="I506" s="476" t="n"/>
      <c r="J506" s="63">
        <f>A41</f>
        <v/>
      </c>
      <c r="K506" s="471" t="n"/>
      <c r="L506" s="471" t="n"/>
      <c r="M506" s="471" t="n"/>
      <c r="N506" s="471" t="n"/>
      <c r="O506" s="471" t="n"/>
      <c r="P506" s="471" t="n"/>
      <c r="Q506" s="471" t="n"/>
      <c r="R506" s="471" t="n"/>
      <c r="S506" s="476" t="n"/>
    </row>
    <row r="507" ht="22.2" customHeight="1" s="330">
      <c r="A50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508" ht="22.2" customHeight="1" s="330">
      <c r="A508" s="254">
        <f>A2</f>
        <v/>
      </c>
    </row>
    <row r="509" ht="22.2" customHeight="1" s="330">
      <c r="A509" s="253" t="inlineStr">
        <is>
          <t xml:space="preserve">    ระหว่างวันที่</t>
        </is>
      </c>
      <c r="D509" s="254">
        <f>D3</f>
        <v/>
      </c>
      <c r="E509" s="254" t="inlineStr">
        <is>
          <t xml:space="preserve">   เดือน  </t>
        </is>
      </c>
      <c r="F509" s="254">
        <f>F3</f>
        <v/>
      </c>
      <c r="H509" s="254">
        <f>H3</f>
        <v/>
      </c>
      <c r="I509" s="254" t="inlineStr">
        <is>
          <t xml:space="preserve">     ถึง วันที่</t>
        </is>
      </c>
      <c r="J509" s="254">
        <f>J3</f>
        <v/>
      </c>
      <c r="K509" s="254" t="inlineStr">
        <is>
          <t xml:space="preserve">   เดือน </t>
        </is>
      </c>
      <c r="L509" s="254">
        <f>L3</f>
        <v/>
      </c>
      <c r="N509" s="254">
        <f>N3</f>
        <v/>
      </c>
      <c r="P509" s="254" t="n"/>
      <c r="R509" s="254" t="n"/>
    </row>
    <row r="510" ht="22.2" customHeight="1" s="330">
      <c r="G510" s="58" t="inlineStr">
        <is>
          <t>ü</t>
        </is>
      </c>
      <c r="H510" s="290" t="inlineStr">
        <is>
          <t>ครู</t>
        </is>
      </c>
      <c r="I510" s="249" t="inlineStr">
        <is>
          <t>หน้าที่พิเศษ</t>
        </is>
      </c>
      <c r="J510" s="290" t="inlineStr">
        <is>
          <t>หัวหน้างานโครงการพิเศษและบริการชุมชน</t>
        </is>
      </c>
    </row>
    <row r="511" ht="22.2" customHeight="1" s="330">
      <c r="A511" s="28" t="inlineStr">
        <is>
          <t>ที่</t>
        </is>
      </c>
      <c r="B511" s="28" t="inlineStr">
        <is>
          <t>ชื่อ-สกุล</t>
        </is>
      </c>
      <c r="C511" s="334" t="n"/>
      <c r="D511" s="335" t="n"/>
      <c r="E511" s="16" t="inlineStr">
        <is>
          <t>ตำแหน่ง</t>
        </is>
      </c>
      <c r="F511" s="17" t="inlineStr">
        <is>
          <t>ระยะเวลาที่สอน</t>
        </is>
      </c>
      <c r="G511" s="362" t="n"/>
      <c r="H511" s="17" t="inlineStr">
        <is>
          <t>รหัสวิชา</t>
        </is>
      </c>
      <c r="I511" s="275" t="inlineStr">
        <is>
          <t>ชั้น,แผนก,ห้อง</t>
        </is>
      </c>
      <c r="J511" s="17" t="inlineStr">
        <is>
          <t>เวลาสอน</t>
        </is>
      </c>
      <c r="K511" s="335" t="n"/>
      <c r="L511" s="17" t="inlineStr">
        <is>
          <t>ปวช.(คาบ)</t>
        </is>
      </c>
      <c r="M511" s="362" t="n"/>
      <c r="N511" s="244" t="inlineStr">
        <is>
          <t>เงิน</t>
        </is>
      </c>
      <c r="O511" s="275" t="inlineStr">
        <is>
          <t>ยอดเงิน</t>
        </is>
      </c>
      <c r="P511" s="473" t="inlineStr">
        <is>
          <t>ปวส.(คาบ)</t>
        </is>
      </c>
      <c r="Q511" s="362" t="n"/>
      <c r="R511" s="244" t="inlineStr">
        <is>
          <t>เงิน</t>
        </is>
      </c>
      <c r="S511" s="275" t="inlineStr">
        <is>
          <t>ยอดเงิน</t>
        </is>
      </c>
    </row>
    <row r="512" ht="22.2" customHeight="1" s="330">
      <c r="A512" s="60" t="n"/>
      <c r="B512" s="9" t="n"/>
      <c r="C512" s="10" t="n"/>
      <c r="D512" s="14" t="n"/>
      <c r="E512" s="11" t="n"/>
      <c r="F512" s="276" t="inlineStr">
        <is>
          <t>ส.</t>
        </is>
      </c>
      <c r="G512" s="276" t="inlineStr">
        <is>
          <t>วดป.</t>
        </is>
      </c>
      <c r="H512" s="474" t="n"/>
      <c r="I512" s="276" t="n"/>
      <c r="J512" s="475" t="n"/>
      <c r="K512" s="476" t="n"/>
      <c r="L512" s="276" t="inlineStr">
        <is>
          <t>ใน</t>
        </is>
      </c>
      <c r="M512" s="276" t="inlineStr">
        <is>
          <t>นอก</t>
        </is>
      </c>
      <c r="N512" s="276" t="inlineStr">
        <is>
          <t>ต่อ ชม.</t>
        </is>
      </c>
      <c r="O512" s="276" t="inlineStr">
        <is>
          <t>(บาท)</t>
        </is>
      </c>
      <c r="P512" s="60" t="inlineStr">
        <is>
          <t>ใน</t>
        </is>
      </c>
      <c r="Q512" s="60" t="inlineStr">
        <is>
          <t>นอก</t>
        </is>
      </c>
      <c r="R512" s="276" t="inlineStr">
        <is>
          <t>ต่อ ชม.</t>
        </is>
      </c>
      <c r="S512" s="276" t="inlineStr">
        <is>
          <t>(บาท)</t>
        </is>
      </c>
    </row>
    <row r="513" ht="22.2" customHeight="1" s="330">
      <c r="A513" s="275" t="n">
        <v>12</v>
      </c>
      <c r="B513" s="477">
        <f>AB14</f>
        <v/>
      </c>
      <c r="C513" s="334" t="n"/>
      <c r="D513" s="335" t="n"/>
      <c r="E513" s="275" t="inlineStr">
        <is>
          <t>ครู</t>
        </is>
      </c>
      <c r="F513" s="6">
        <f>F7</f>
        <v/>
      </c>
      <c r="G513" s="303" t="inlineStr">
        <is>
          <t>จันทร์</t>
        </is>
      </c>
      <c r="H513" s="332" t="inlineStr">
        <is>
          <t>20101-2008</t>
        </is>
      </c>
      <c r="I513" s="325" t="inlineStr">
        <is>
          <t>ปวช.1/8 ชย. (ปกติ)</t>
        </is>
      </c>
      <c r="J513" s="252" t="inlineStr">
        <is>
          <t>13.10-17.10</t>
        </is>
      </c>
      <c r="K513" s="331" t="n"/>
      <c r="L513" s="265" t="n"/>
      <c r="M513" s="332" t="n"/>
      <c r="N513" s="332" t="n"/>
      <c r="O513" s="244">
        <f>M513*N513</f>
        <v/>
      </c>
      <c r="P513" s="332" t="n"/>
      <c r="Q513" s="265" t="n"/>
      <c r="R513" s="332" t="n"/>
      <c r="S513" s="244">
        <f>Q513*R513</f>
        <v/>
      </c>
    </row>
    <row r="514" ht="22.2" customHeight="1" s="330">
      <c r="A514" s="4" t="n"/>
      <c r="B514" s="478" t="n"/>
      <c r="D514" s="331" t="n"/>
      <c r="E514" s="51" t="n"/>
      <c r="F514" s="249" t="n"/>
      <c r="G514" s="308">
        <f>G468</f>
        <v/>
      </c>
      <c r="H514" s="325" t="n"/>
      <c r="I514" s="325" t="n"/>
      <c r="J514" s="252" t="n"/>
      <c r="K514" s="331" t="n"/>
      <c r="L514" s="252" t="n"/>
      <c r="M514" s="252" t="n"/>
      <c r="N514" s="252" t="n"/>
      <c r="O514" s="244">
        <f>M514*N514</f>
        <v/>
      </c>
      <c r="P514" s="252" t="n"/>
      <c r="Q514" s="252" t="n"/>
      <c r="R514" s="252" t="n"/>
      <c r="S514" s="244">
        <f>Q514*R514</f>
        <v/>
      </c>
    </row>
    <row r="515" ht="22.2" customHeight="1" s="330">
      <c r="A515" s="4" t="n"/>
      <c r="B515" s="5" t="n"/>
      <c r="D515" s="3" t="n"/>
      <c r="E515" s="3" t="n"/>
      <c r="F515" s="249" t="n"/>
      <c r="G515" s="248" t="n"/>
      <c r="H515" s="252" t="n"/>
      <c r="I515" s="252" t="n"/>
      <c r="J515" s="252" t="n"/>
      <c r="K515" s="331" t="n"/>
      <c r="L515" s="252" t="n"/>
      <c r="M515" s="252" t="n"/>
      <c r="N515" s="252" t="n"/>
      <c r="O515" s="244">
        <f>M515*N515</f>
        <v/>
      </c>
      <c r="P515" s="252" t="n"/>
      <c r="Q515" s="252" t="n"/>
      <c r="R515" s="252" t="n"/>
      <c r="S515" s="244">
        <f>Q515*R515</f>
        <v/>
      </c>
    </row>
    <row r="516" ht="22.2" customHeight="1" s="330">
      <c r="A516" s="4" t="n"/>
      <c r="B516" s="5" t="n"/>
      <c r="E516" s="4" t="n"/>
      <c r="F516" s="249" t="n"/>
      <c r="G516" s="248" t="n"/>
      <c r="H516" s="252" t="n"/>
      <c r="I516" s="252" t="n"/>
      <c r="J516" s="252" t="n"/>
      <c r="K516" s="331" t="n"/>
      <c r="L516" s="252" t="n"/>
      <c r="M516" s="252" t="n"/>
      <c r="N516" s="252" t="n"/>
      <c r="O516" s="244">
        <f>M516*N516</f>
        <v/>
      </c>
      <c r="P516" s="252" t="n"/>
      <c r="Q516" s="252" t="n"/>
      <c r="R516" s="252" t="n"/>
      <c r="S516" s="244">
        <f>Q516*R516</f>
        <v/>
      </c>
    </row>
    <row r="517" ht="22.2" customHeight="1" s="330">
      <c r="A517" s="4" t="n"/>
      <c r="E517" s="4" t="n"/>
      <c r="G517" s="311" t="n"/>
      <c r="H517" s="276" t="n"/>
      <c r="I517" s="276" t="n"/>
      <c r="J517" s="276" t="n"/>
      <c r="K517" s="476" t="n"/>
      <c r="L517" s="252" t="n"/>
      <c r="M517" s="252" t="n"/>
      <c r="N517" s="252" t="n"/>
      <c r="O517" s="244">
        <f>M517*N517</f>
        <v/>
      </c>
      <c r="P517" s="252" t="n"/>
      <c r="Q517" s="252" t="n"/>
      <c r="R517" s="252" t="n"/>
      <c r="S517" s="244">
        <f>Q517*R517</f>
        <v/>
      </c>
    </row>
    <row r="518" ht="22.2" customHeight="1" s="330">
      <c r="A518" s="4" t="n"/>
      <c r="E518" s="4" t="n"/>
      <c r="G518" s="62" t="inlineStr">
        <is>
          <t>อังคาร</t>
        </is>
      </c>
      <c r="H518" s="325" t="inlineStr">
        <is>
          <t>20101-2002</t>
        </is>
      </c>
      <c r="I518" s="325" t="inlineStr">
        <is>
          <t>ปวช.2/7 ชย. (ปกติ)</t>
        </is>
      </c>
      <c r="J518" s="332" t="inlineStr">
        <is>
          <t>08.10-12.10</t>
        </is>
      </c>
      <c r="K518" s="335" t="n"/>
      <c r="L518" s="265" t="n"/>
      <c r="M518" s="332" t="n"/>
      <c r="N518" s="332" t="n"/>
      <c r="O518" s="244">
        <f>M518*N518</f>
        <v/>
      </c>
      <c r="P518" s="332" t="n"/>
      <c r="Q518" s="265" t="n"/>
      <c r="R518" s="332" t="n"/>
      <c r="S518" s="244">
        <f>Q518*R518</f>
        <v/>
      </c>
    </row>
    <row r="519" ht="22.2" customHeight="1" s="330">
      <c r="A519" s="4" t="n"/>
      <c r="E519" s="4" t="n"/>
      <c r="G519" s="308">
        <f>G473</f>
        <v/>
      </c>
      <c r="H519" s="325" t="inlineStr">
        <is>
          <t>20101-2002</t>
        </is>
      </c>
      <c r="I519" s="325" t="inlineStr">
        <is>
          <t>ปวช.2/7 ชย. (ปกติ)</t>
        </is>
      </c>
      <c r="J519" s="252" t="inlineStr">
        <is>
          <t>13.10-16.10</t>
        </is>
      </c>
      <c r="K519" s="331" t="n"/>
      <c r="L519" s="252" t="n"/>
      <c r="M519" s="252" t="n"/>
      <c r="N519" s="252" t="n"/>
      <c r="O519" s="244">
        <f>M519*N519</f>
        <v/>
      </c>
      <c r="P519" s="252" t="n"/>
      <c r="Q519" s="252" t="n"/>
      <c r="R519" s="252" t="n"/>
      <c r="S519" s="244">
        <f>Q519*R519</f>
        <v/>
      </c>
    </row>
    <row r="520" ht="22.2" customHeight="1" s="330">
      <c r="A520" s="4" t="n"/>
      <c r="B520" s="5" t="n"/>
      <c r="D520" s="3" t="n"/>
      <c r="E520" s="3" t="n"/>
      <c r="G520" s="252" t="n"/>
      <c r="H520" s="252" t="n"/>
      <c r="I520" s="252" t="n"/>
      <c r="J520" s="252" t="n"/>
      <c r="K520" s="331" t="n"/>
      <c r="L520" s="252" t="n"/>
      <c r="M520" s="252" t="n"/>
      <c r="N520" s="252" t="n"/>
      <c r="O520" s="244">
        <f>M520*N520</f>
        <v/>
      </c>
      <c r="P520" s="252" t="n"/>
      <c r="Q520" s="252" t="n"/>
      <c r="R520" s="252" t="n"/>
      <c r="S520" s="244">
        <f>Q520*R520</f>
        <v/>
      </c>
    </row>
    <row r="521" ht="22.2" customHeight="1" s="330">
      <c r="A521" s="4" t="n"/>
      <c r="E521" s="4" t="n"/>
      <c r="G521" s="62" t="n"/>
      <c r="H521" s="249" t="n"/>
      <c r="I521" s="252" t="n"/>
      <c r="J521" s="252" t="n"/>
      <c r="K521" s="331" t="n"/>
      <c r="L521" s="252" t="n"/>
      <c r="M521" s="252" t="n"/>
      <c r="N521" s="252" t="n"/>
      <c r="O521" s="244">
        <f>M521*N521</f>
        <v/>
      </c>
      <c r="P521" s="252" t="n"/>
      <c r="Q521" s="252" t="n"/>
      <c r="R521" s="252" t="n"/>
      <c r="S521" s="244">
        <f>Q521*R521</f>
        <v/>
      </c>
    </row>
    <row r="522" ht="22.2" customHeight="1" s="330">
      <c r="A522" s="4" t="n"/>
      <c r="D522" s="8" t="inlineStr">
        <is>
          <t> </t>
        </is>
      </c>
      <c r="E522" s="4" t="n"/>
      <c r="G522" s="63" t="n"/>
      <c r="H522" s="276" t="n"/>
      <c r="I522" s="276" t="n"/>
      <c r="J522" s="276" t="n"/>
      <c r="K522" s="476" t="n"/>
      <c r="L522" s="252" t="n"/>
      <c r="M522" s="252" t="n"/>
      <c r="N522" s="252" t="n"/>
      <c r="O522" s="244">
        <f>M522*N522</f>
        <v/>
      </c>
      <c r="P522" s="252" t="n"/>
      <c r="Q522" s="252" t="n"/>
      <c r="R522" s="252" t="n"/>
      <c r="S522" s="244">
        <f>Q522*R522</f>
        <v/>
      </c>
    </row>
    <row r="523" ht="22.2" customHeight="1" s="330">
      <c r="A523" s="4" t="n"/>
      <c r="E523" s="4" t="n"/>
      <c r="G523" s="308" t="inlineStr">
        <is>
          <t>พุธ</t>
        </is>
      </c>
      <c r="H523" s="325" t="n"/>
      <c r="I523" s="325" t="n"/>
      <c r="J523" s="332" t="n"/>
      <c r="K523" s="335" t="n"/>
      <c r="L523" s="265" t="n"/>
      <c r="M523" s="332" t="n"/>
      <c r="N523" s="332" t="n"/>
      <c r="O523" s="244">
        <f>M523*N523</f>
        <v/>
      </c>
      <c r="P523" s="332" t="n"/>
      <c r="Q523" s="265" t="n"/>
      <c r="R523" s="332" t="n"/>
      <c r="S523" s="244">
        <f>Q523*R523</f>
        <v/>
      </c>
    </row>
    <row r="524" ht="22.2" customHeight="1" s="330">
      <c r="A524" s="4" t="n"/>
      <c r="B524" s="248" t="n"/>
      <c r="C524" s="249" t="n"/>
      <c r="D524" s="249" t="n"/>
      <c r="E524" s="252" t="n"/>
      <c r="G524" s="308">
        <f>G478</f>
        <v/>
      </c>
      <c r="H524" s="325" t="n"/>
      <c r="I524" s="325" t="n"/>
      <c r="J524" s="252" t="n"/>
      <c r="K524" s="331" t="n"/>
      <c r="L524" s="252" t="n"/>
      <c r="M524" s="252" t="n"/>
      <c r="N524" s="252" t="n"/>
      <c r="O524" s="244">
        <f>M524*N524</f>
        <v/>
      </c>
      <c r="P524" s="252" t="n"/>
      <c r="Q524" s="252" t="n"/>
      <c r="R524" s="252" t="n"/>
      <c r="S524" s="244">
        <f>Q524*R524</f>
        <v/>
      </c>
    </row>
    <row r="525" ht="22.2" customHeight="1" s="330">
      <c r="A525" s="4" t="n"/>
      <c r="B525" s="5" t="n"/>
      <c r="D525" s="3" t="n"/>
      <c r="E525" s="3" t="n"/>
      <c r="G525" s="252" t="n"/>
      <c r="H525" s="325" t="n"/>
      <c r="I525" s="325" t="n"/>
      <c r="J525" s="252" t="n"/>
      <c r="K525" s="331" t="n"/>
      <c r="L525" s="252" t="n"/>
      <c r="M525" s="252" t="n"/>
      <c r="N525" s="252" t="n"/>
      <c r="O525" s="244">
        <f>M525*N525</f>
        <v/>
      </c>
      <c r="P525" s="252" t="n"/>
      <c r="Q525" s="252" t="n"/>
      <c r="R525" s="252" t="n"/>
      <c r="S525" s="244">
        <f>Q525*R525</f>
        <v/>
      </c>
    </row>
    <row r="526" ht="22.2" customHeight="1" s="330">
      <c r="A526" s="4" t="n"/>
      <c r="E526" s="4" t="n"/>
      <c r="G526" s="248" t="n"/>
      <c r="H526" s="252" t="n"/>
      <c r="I526" s="252" t="n"/>
      <c r="J526" s="252" t="n"/>
      <c r="K526" s="331" t="n"/>
      <c r="L526" s="252" t="n"/>
      <c r="M526" s="252" t="n"/>
      <c r="N526" s="252" t="n"/>
      <c r="O526" s="244">
        <f>M526*N526</f>
        <v/>
      </c>
      <c r="P526" s="252" t="n"/>
      <c r="Q526" s="252" t="n"/>
      <c r="R526" s="252" t="n"/>
      <c r="S526" s="244">
        <f>Q526*R526</f>
        <v/>
      </c>
    </row>
    <row r="527" ht="22.2" customHeight="1" s="330">
      <c r="A527" s="4" t="n"/>
      <c r="E527" s="4" t="n"/>
      <c r="G527" s="277" t="n"/>
      <c r="H527" s="276" t="n"/>
      <c r="I527" s="276" t="n"/>
      <c r="J527" s="276" t="n"/>
      <c r="K527" s="476" t="n"/>
      <c r="L527" s="276" t="n"/>
      <c r="M527" s="276" t="n"/>
      <c r="N527" s="276" t="n"/>
      <c r="O527" s="244">
        <f>M527*N527</f>
        <v/>
      </c>
      <c r="P527" s="276" t="n"/>
      <c r="Q527" s="276" t="n"/>
      <c r="R527" s="276" t="n"/>
      <c r="S527" s="244">
        <f>Q527*R527</f>
        <v/>
      </c>
    </row>
    <row r="528" ht="22.2" customHeight="1" s="330">
      <c r="A528" s="4" t="n"/>
      <c r="E528" s="4" t="n"/>
      <c r="G528" s="62" t="inlineStr">
        <is>
          <t>พฤหัส</t>
        </is>
      </c>
      <c r="H528" s="325" t="inlineStr">
        <is>
          <t>20101-2002</t>
        </is>
      </c>
      <c r="I528" s="325" t="inlineStr">
        <is>
          <t>ปวช.2/6 ชย. (ปกติ)</t>
        </is>
      </c>
      <c r="J528" s="332" t="inlineStr">
        <is>
          <t>08.10-12.10</t>
        </is>
      </c>
      <c r="K528" s="335" t="n"/>
      <c r="L528" s="252" t="n"/>
      <c r="M528" s="252" t="n"/>
      <c r="N528" s="252" t="n"/>
      <c r="O528" s="244">
        <f>M528*N528</f>
        <v/>
      </c>
      <c r="P528" s="208" t="n"/>
      <c r="Q528" s="209" t="n"/>
      <c r="R528" s="209" t="n"/>
      <c r="S528" s="244">
        <f>Q528*R528</f>
        <v/>
      </c>
    </row>
    <row r="529" ht="22.2" customHeight="1" s="330">
      <c r="A529" s="4" t="n"/>
      <c r="E529" s="4" t="n"/>
      <c r="G529" s="308">
        <f>G483</f>
        <v/>
      </c>
      <c r="H529" s="325" t="inlineStr">
        <is>
          <t>20000-2004</t>
        </is>
      </c>
      <c r="I529" s="325" t="inlineStr">
        <is>
          <t>ปวช.2/3 3/9,10 ชย.</t>
        </is>
      </c>
      <c r="J529" s="252" t="inlineStr">
        <is>
          <t>13.10-15.10</t>
        </is>
      </c>
      <c r="K529" s="331" t="n"/>
      <c r="L529" s="252" t="n"/>
      <c r="M529" s="252" t="n"/>
      <c r="N529" s="252" t="n"/>
      <c r="O529" s="244">
        <f>M529*N529</f>
        <v/>
      </c>
      <c r="P529" s="252" t="n"/>
      <c r="Q529" s="252" t="n"/>
      <c r="R529" s="252" t="n"/>
      <c r="S529" s="244">
        <f>Q529*R529</f>
        <v/>
      </c>
    </row>
    <row r="530" ht="22.2" customHeight="1" s="330">
      <c r="A530" s="4" t="n"/>
      <c r="B530" s="5" t="n"/>
      <c r="E530" s="4" t="n"/>
      <c r="G530" s="252" t="n"/>
      <c r="H530" s="325" t="inlineStr">
        <is>
          <t>20101-2002</t>
        </is>
      </c>
      <c r="I530" s="325" t="inlineStr">
        <is>
          <t>ปวช.2/6 ชย. (ปกติ)</t>
        </is>
      </c>
      <c r="J530" s="252" t="inlineStr">
        <is>
          <t>15.10-18.10</t>
        </is>
      </c>
      <c r="K530" s="331" t="n"/>
      <c r="L530" s="325" t="n"/>
      <c r="M530" s="325" t="n"/>
      <c r="N530" s="325" t="n"/>
      <c r="O530" s="244">
        <f>M530*N530</f>
        <v/>
      </c>
      <c r="P530" s="4" t="n"/>
      <c r="Q530" s="4" t="n"/>
      <c r="R530" s="4" t="n"/>
      <c r="S530" s="244">
        <f>Q530*R530</f>
        <v/>
      </c>
    </row>
    <row r="531" ht="22.2" customHeight="1" s="330">
      <c r="A531" s="4" t="n"/>
      <c r="E531" s="4" t="n"/>
      <c r="G531" s="252" t="n"/>
      <c r="H531" s="252" t="n"/>
      <c r="I531" s="252" t="n"/>
      <c r="J531" s="252" t="n"/>
      <c r="K531" s="331" t="n"/>
      <c r="L531" s="252" t="n"/>
      <c r="M531" s="252" t="n"/>
      <c r="N531" s="252" t="n"/>
      <c r="O531" s="244">
        <f>M531*N531</f>
        <v/>
      </c>
      <c r="P531" s="252" t="n"/>
      <c r="Q531" s="252" t="n"/>
      <c r="R531" s="252" t="n"/>
      <c r="S531" s="244">
        <f>Q531*R531</f>
        <v/>
      </c>
    </row>
    <row r="532" ht="22.2" customHeight="1" s="330">
      <c r="A532" s="4" t="n"/>
      <c r="E532" s="4" t="n"/>
      <c r="G532" s="276" t="n"/>
      <c r="H532" s="301" t="n"/>
      <c r="I532" s="276" t="n"/>
      <c r="J532" s="276" t="n"/>
      <c r="K532" s="476" t="n"/>
      <c r="L532" s="276" t="n"/>
      <c r="M532" s="276" t="n"/>
      <c r="N532" s="276" t="n"/>
      <c r="O532" s="244">
        <f>M532*N532</f>
        <v/>
      </c>
      <c r="P532" s="276" t="n"/>
      <c r="Q532" s="276" t="n"/>
      <c r="R532" s="276" t="n"/>
      <c r="S532" s="244">
        <f>Q532*R532</f>
        <v/>
      </c>
    </row>
    <row r="533" ht="22.2" customHeight="1" s="330">
      <c r="A533" s="4" t="n"/>
      <c r="E533" s="4" t="n"/>
      <c r="G533" s="62" t="inlineStr">
        <is>
          <t>ศุกร์</t>
        </is>
      </c>
      <c r="H533" s="325" t="inlineStr">
        <is>
          <t>20101-2002</t>
        </is>
      </c>
      <c r="I533" s="325" t="inlineStr">
        <is>
          <t>ปวช.2/5 ชย. (ปกติ)</t>
        </is>
      </c>
      <c r="J533" s="332" t="inlineStr">
        <is>
          <t>08.10-12.10</t>
        </is>
      </c>
      <c r="K533" s="335" t="n"/>
      <c r="L533" s="252" t="n"/>
      <c r="M533" s="252" t="n"/>
      <c r="N533" s="252" t="n"/>
      <c r="O533" s="244">
        <f>M533*N533</f>
        <v/>
      </c>
      <c r="P533" s="332" t="n"/>
      <c r="Q533" s="265" t="n"/>
      <c r="R533" s="332" t="n"/>
      <c r="S533" s="244">
        <f>Q533*R533</f>
        <v/>
      </c>
    </row>
    <row r="534" ht="22.2" customHeight="1" s="330">
      <c r="A534" s="4" t="n"/>
      <c r="E534" s="4" t="n"/>
      <c r="G534" s="308">
        <f>G488</f>
        <v/>
      </c>
      <c r="H534" s="325" t="inlineStr">
        <is>
          <t>20101-2002</t>
        </is>
      </c>
      <c r="I534" s="325" t="inlineStr">
        <is>
          <t>ปวช.2/5 ชย. (ปกติ)</t>
        </is>
      </c>
      <c r="J534" s="252" t="inlineStr">
        <is>
          <t>13.10-16.10</t>
        </is>
      </c>
      <c r="K534" s="331" t="n"/>
      <c r="L534" s="252" t="n"/>
      <c r="M534" s="252" t="n"/>
      <c r="N534" s="252" t="n"/>
      <c r="O534" s="244">
        <f>M534*N534</f>
        <v/>
      </c>
      <c r="P534" s="252" t="n"/>
      <c r="Q534" s="252" t="n"/>
      <c r="R534" s="252" t="n"/>
      <c r="S534" s="244">
        <f>Q534*R534</f>
        <v/>
      </c>
    </row>
    <row r="535" ht="22.2" customHeight="1" s="330">
      <c r="A535" s="4" t="n"/>
      <c r="E535" s="4" t="n"/>
      <c r="G535" s="252" t="n"/>
      <c r="H535" s="252" t="n"/>
      <c r="I535" s="252" t="n"/>
      <c r="J535" s="252" t="n"/>
      <c r="K535" s="331" t="n"/>
      <c r="L535" s="252" t="n"/>
      <c r="M535" s="252" t="n"/>
      <c r="N535" s="252" t="n"/>
      <c r="O535" s="244">
        <f>M535*N535</f>
        <v/>
      </c>
      <c r="P535" s="252" t="n"/>
      <c r="Q535" s="252" t="n"/>
      <c r="R535" s="252" t="n"/>
      <c r="S535" s="244">
        <f>Q535*R535</f>
        <v/>
      </c>
    </row>
    <row r="536" ht="22.2" customHeight="1" s="330">
      <c r="A536" s="4" t="n"/>
      <c r="E536" s="4" t="n"/>
      <c r="G536" s="252" t="n"/>
      <c r="H536" s="249" t="inlineStr">
        <is>
          <t> </t>
        </is>
      </c>
      <c r="I536" s="252" t="n"/>
      <c r="J536" s="252" t="n"/>
      <c r="K536" s="331" t="n"/>
      <c r="L536" s="252" t="n"/>
      <c r="M536" s="252" t="n"/>
      <c r="N536" s="252" t="n"/>
      <c r="O536" s="244">
        <f>M536*N536</f>
        <v/>
      </c>
      <c r="P536" s="252" t="n"/>
      <c r="Q536" s="252" t="n"/>
      <c r="R536" s="252" t="n"/>
      <c r="S536" s="244">
        <f>Q536*R536</f>
        <v/>
      </c>
    </row>
    <row r="537" ht="22.2" customHeight="1" s="330">
      <c r="A537" s="4" t="n"/>
      <c r="E537" s="4" t="n"/>
      <c r="F537" s="4" t="n"/>
      <c r="G537" s="278" t="n"/>
      <c r="H537" s="301" t="n"/>
      <c r="I537" s="276" t="n"/>
      <c r="J537" s="276" t="n"/>
      <c r="K537" s="476" t="n"/>
      <c r="L537" s="276" t="n"/>
      <c r="M537" s="276" t="n"/>
      <c r="N537" s="276" t="n"/>
      <c r="O537" s="244">
        <f>M537*N537</f>
        <v/>
      </c>
      <c r="P537" s="276" t="n"/>
      <c r="Q537" s="276" t="n"/>
      <c r="R537" s="276" t="n"/>
      <c r="S537" s="244">
        <f>Q537*R537</f>
        <v/>
      </c>
    </row>
    <row r="538" ht="22.2" customHeight="1" s="330">
      <c r="A538" s="4" t="n"/>
      <c r="E538" s="4" t="n"/>
      <c r="F538" s="4" t="n"/>
      <c r="G538" s="17" t="inlineStr">
        <is>
          <t>รวมขั่วโมงที่สอนแยก ภาระงาน/ เกินภาระงาน</t>
        </is>
      </c>
      <c r="H538" s="467" t="n"/>
      <c r="I538" s="467" t="n"/>
      <c r="J538" s="467" t="n"/>
      <c r="K538" s="362" t="n"/>
      <c r="L538" s="17">
        <f>SUM(L513:L537)</f>
        <v/>
      </c>
      <c r="M538" s="17">
        <f>SUM(M513:M537)</f>
        <v/>
      </c>
      <c r="N538" s="17" t="n"/>
      <c r="O538" s="17" t="n"/>
      <c r="P538" s="17">
        <f>SUM(P513:P537)</f>
        <v/>
      </c>
      <c r="Q538" s="17">
        <f>SUM(Q513:Q537)</f>
        <v/>
      </c>
      <c r="R538" s="279" t="n"/>
      <c r="S538" s="17" t="n"/>
    </row>
    <row r="539" ht="22.2" customHeight="1" s="330">
      <c r="A539" s="4" t="n"/>
      <c r="E539" s="4" t="n"/>
      <c r="F539" s="4" t="n"/>
      <c r="G539" s="17" t="inlineStr">
        <is>
          <t>รวมจำนวนชั่วโมงสอนคาบต่อสับดาห์</t>
        </is>
      </c>
      <c r="H539" s="467" t="n"/>
      <c r="I539" s="467" t="n"/>
      <c r="J539" s="467" t="n"/>
      <c r="K539" s="362" t="n"/>
      <c r="L539" s="17">
        <f>L538+M538</f>
        <v/>
      </c>
      <c r="M539" s="362" t="n"/>
      <c r="N539" s="17" t="n"/>
      <c r="O539" s="298" t="n"/>
      <c r="P539" s="17">
        <f>P538+Q538</f>
        <v/>
      </c>
      <c r="Q539" s="362" t="n"/>
      <c r="R539" s="278" t="n"/>
      <c r="S539" s="276" t="n"/>
    </row>
    <row r="540" ht="22.2" customHeight="1" s="330">
      <c r="A540" s="4" t="n"/>
      <c r="E540" s="4" t="n"/>
      <c r="F540" s="4" t="n"/>
      <c r="G540" s="17" t="inlineStr">
        <is>
          <t>จำนวนชั่วโมงสอนตามภาระงานสอน</t>
        </is>
      </c>
      <c r="H540" s="467" t="n"/>
      <c r="I540" s="467" t="n"/>
      <c r="J540" s="467" t="n"/>
      <c r="K540" s="362" t="n"/>
      <c r="L540" s="153" t="inlineStr">
        <is>
          <t>12</t>
        </is>
      </c>
      <c r="M540" s="362" t="n"/>
      <c r="N540" s="152" t="n"/>
      <c r="O540" s="153" t="n"/>
      <c r="P540" s="153" t="inlineStr">
        <is>
          <t>0</t>
        </is>
      </c>
      <c r="Q540" s="362" t="n"/>
      <c r="R540" s="249" t="n"/>
      <c r="S540" s="252" t="n"/>
    </row>
    <row r="541" ht="22.2" customHeight="1" s="330" thickBot="1">
      <c r="A541" s="4" t="n"/>
      <c r="E541" s="4" t="n"/>
      <c r="F541" s="15" t="n"/>
      <c r="G541" s="17" t="inlineStr">
        <is>
          <t>จำนวนชั่วโมงบิกเกินภาระงานสอน/ค่าสอน</t>
        </is>
      </c>
      <c r="H541" s="467" t="n"/>
      <c r="I541" s="467" t="n"/>
      <c r="J541" s="467" t="n"/>
      <c r="K541" s="362" t="n"/>
      <c r="L541" s="18" t="n">
        <v>0</v>
      </c>
      <c r="M541" s="18">
        <f>SUM(M513:M537)</f>
        <v/>
      </c>
      <c r="N541" s="18" t="n"/>
      <c r="O541" s="18">
        <f>SUM(O513:O537)</f>
        <v/>
      </c>
      <c r="P541" s="18" t="n">
        <v>0</v>
      </c>
      <c r="Q541" s="18">
        <f>SUM(Q513:Q537)</f>
        <v/>
      </c>
      <c r="R541" s="19" t="n"/>
      <c r="S541" s="18">
        <f>SUM(S513:S537)</f>
        <v/>
      </c>
    </row>
    <row r="542" ht="22.2" customHeight="1" s="330" thickTop="1">
      <c r="A542" s="299" t="inlineStr">
        <is>
          <t>รวมจำนวนหน่วยชั่วโมงที่ขอเบิกค่าสอน ….</t>
        </is>
      </c>
      <c r="B542" s="467" t="n"/>
      <c r="C542" s="467" t="n"/>
      <c r="D542" s="467" t="n"/>
      <c r="E542" s="467" t="n"/>
      <c r="F542" s="467" t="n"/>
      <c r="G542" s="467" t="n"/>
      <c r="H542" s="298">
        <f>M541+Q541</f>
        <v/>
      </c>
      <c r="I542" s="298" t="inlineStr">
        <is>
          <t>….ชั่วโมง</t>
        </is>
      </c>
      <c r="J542" s="298" t="n"/>
      <c r="K542" s="301" t="inlineStr">
        <is>
          <t>ยอดเงินรวม</t>
        </is>
      </c>
      <c r="L542" s="471" t="n"/>
      <c r="M542" s="471" t="n"/>
      <c r="N542" s="301" t="n"/>
      <c r="O542" s="301" t="n"/>
      <c r="P542" s="302">
        <f>S541+O541</f>
        <v/>
      </c>
      <c r="Q542" s="482" t="n"/>
      <c r="R542" s="21" t="n"/>
      <c r="S542" s="20" t="inlineStr">
        <is>
          <t>..บาท</t>
        </is>
      </c>
    </row>
    <row r="543" ht="22.2" customHeight="1" s="330">
      <c r="A543" s="207" t="inlineStr">
        <is>
          <t>ผู้ขอเบิก</t>
        </is>
      </c>
      <c r="B543" s="334" t="n"/>
      <c r="C543" s="334" t="n"/>
      <c r="D543" s="334" t="n"/>
      <c r="E543" s="334" t="n"/>
      <c r="F543" s="334" t="n"/>
      <c r="G543" s="335" t="n"/>
      <c r="H543" s="207" t="inlineStr">
        <is>
          <t>ผู้รับรอง</t>
        </is>
      </c>
      <c r="I543" s="334" t="n"/>
      <c r="J543" s="334" t="n"/>
      <c r="K543" s="334" t="n"/>
      <c r="L543" s="335" t="n"/>
      <c r="M543" s="207" t="inlineStr">
        <is>
          <t>ผู้ตรวจ</t>
        </is>
      </c>
      <c r="N543" s="334" t="n"/>
      <c r="O543" s="334" t="n"/>
      <c r="P543" s="334" t="n"/>
      <c r="Q543" s="334" t="n"/>
      <c r="R543" s="334" t="n"/>
      <c r="S543" s="335" t="n"/>
    </row>
    <row r="544" ht="22.2" customHeight="1" s="330">
      <c r="A544" s="252" t="inlineStr">
        <is>
          <t>ลงชื่อ……………………………………………</t>
        </is>
      </c>
      <c r="G544" s="331" t="n"/>
      <c r="H544" s="252" t="inlineStr">
        <is>
          <t>ลงชื่อ……………………………………………</t>
        </is>
      </c>
      <c r="L544" s="331" t="n"/>
      <c r="M544" s="252" t="inlineStr">
        <is>
          <t>ลงชื่อ……………………………………………</t>
        </is>
      </c>
      <c r="S544" s="331" t="n"/>
    </row>
    <row r="545" ht="22.2" customHeight="1" s="330">
      <c r="A545" s="12" t="inlineStr">
        <is>
          <t>(</t>
        </is>
      </c>
      <c r="B545" s="309">
        <f>B513</f>
        <v/>
      </c>
      <c r="G545" s="310" t="inlineStr">
        <is>
          <t>)</t>
        </is>
      </c>
      <c r="H545" s="309" t="inlineStr">
        <is>
          <t>(</t>
        </is>
      </c>
      <c r="I545" s="314">
        <f>I499</f>
        <v/>
      </c>
      <c r="L545" s="13" t="inlineStr">
        <is>
          <t>)</t>
        </is>
      </c>
      <c r="M545" s="61" t="inlineStr">
        <is>
          <t>(</t>
        </is>
      </c>
      <c r="N545" s="61" t="n"/>
      <c r="O545" s="309" t="inlineStr">
        <is>
          <t>นายพิสุทธิศักดิ์  กล่อมนาค</t>
        </is>
      </c>
      <c r="R545" s="29" t="n"/>
      <c r="S545" s="310" t="inlineStr">
        <is>
          <t>)</t>
        </is>
      </c>
    </row>
    <row r="546" ht="22.2" customHeight="1" s="330">
      <c r="A546" s="483" t="inlineStr">
        <is>
          <t xml:space="preserve">                 ตำแหน่ง  ครู </t>
        </is>
      </c>
      <c r="G546" s="331" t="n"/>
      <c r="H546" s="62" t="inlineStr">
        <is>
          <t>ตำแหน่ง หัวหน้าแผนก</t>
        </is>
      </c>
      <c r="L546" s="331" t="n"/>
      <c r="M546" s="62" t="inlineStr">
        <is>
          <t>ตำแหน่ง   ผู้ตรวจสอบ</t>
        </is>
      </c>
      <c r="S546" s="331" t="n"/>
    </row>
    <row r="547" ht="22.2" customHeight="1" s="330">
      <c r="A547" s="63">
        <f>A87</f>
        <v/>
      </c>
      <c r="B547" s="471" t="n"/>
      <c r="C547" s="471" t="n"/>
      <c r="D547" s="471" t="n"/>
      <c r="E547" s="471" t="n"/>
      <c r="F547" s="471" t="n"/>
      <c r="G547" s="476" t="n"/>
      <c r="H547" s="62">
        <f>A87</f>
        <v/>
      </c>
      <c r="L547" s="331" t="n"/>
      <c r="M547" s="63">
        <f>A87</f>
        <v/>
      </c>
      <c r="N547" s="471" t="n"/>
      <c r="O547" s="471" t="n"/>
      <c r="P547" s="471" t="n"/>
      <c r="Q547" s="471" t="n"/>
      <c r="R547" s="471" t="n"/>
      <c r="S547" s="476" t="n"/>
    </row>
    <row r="548" ht="22.2" customHeight="1" s="330">
      <c r="A548" s="207" t="inlineStr">
        <is>
          <t>ผู้ตรวจ</t>
        </is>
      </c>
      <c r="B548" s="334" t="n"/>
      <c r="C548" s="334" t="n"/>
      <c r="D548" s="334" t="n"/>
      <c r="E548" s="334" t="n"/>
      <c r="F548" s="334" t="n"/>
      <c r="G548" s="334" t="n"/>
      <c r="H548" s="334" t="n"/>
      <c r="I548" s="335" t="n"/>
      <c r="J548" s="207" t="inlineStr">
        <is>
          <t>ผู้เห็นชอบ</t>
        </is>
      </c>
      <c r="K548" s="334" t="n"/>
      <c r="L548" s="334" t="n"/>
      <c r="M548" s="334" t="n"/>
      <c r="N548" s="334" t="n"/>
      <c r="O548" s="334" t="n"/>
      <c r="P548" s="334" t="n"/>
      <c r="Q548" s="334" t="n"/>
      <c r="R548" s="334" t="n"/>
      <c r="S548" s="335" t="n"/>
    </row>
    <row r="549" ht="22.2" customHeight="1" s="330">
      <c r="A549" s="252" t="inlineStr">
        <is>
          <t>ลงชื่อ……………………………………………</t>
        </is>
      </c>
      <c r="I549" s="331" t="n"/>
      <c r="J549" s="252" t="inlineStr">
        <is>
          <t>ลงชื่อ……………………………………………</t>
        </is>
      </c>
      <c r="S549" s="331" t="n"/>
    </row>
    <row r="550" ht="22.2" customHeight="1" s="330">
      <c r="A550" s="12" t="n"/>
      <c r="B550" s="309" t="inlineStr">
        <is>
          <t xml:space="preserve">          (นางศิวรักษ์   บุญประเสริฐ)</t>
        </is>
      </c>
      <c r="I550" s="310" t="n"/>
      <c r="J550" s="29" t="n"/>
      <c r="K550" s="29" t="n"/>
      <c r="L550" s="309" t="inlineStr">
        <is>
          <t>(นายปรีชา  โพธิ์เกิด)</t>
        </is>
      </c>
      <c r="R550" s="29" t="n"/>
      <c r="S550" s="13" t="n"/>
    </row>
    <row r="551" ht="22.2" customHeight="1" s="330">
      <c r="A551" s="62" t="inlineStr">
        <is>
          <t>ตำแหน่งครู  หัวหน้างานพัฒนาหลักสูตร ฯ</t>
        </is>
      </c>
      <c r="I551" s="331" t="n"/>
      <c r="J551" s="62" t="inlineStr">
        <is>
          <t>ตำแหน่ง  รองผู้อำนวยการฝ่ายวิชาการ</t>
        </is>
      </c>
      <c r="S551" s="331" t="n"/>
    </row>
    <row r="552" ht="22.2" customHeight="1" s="330">
      <c r="A552" s="63">
        <f>A87</f>
        <v/>
      </c>
      <c r="B552" s="471" t="n"/>
      <c r="C552" s="471" t="n"/>
      <c r="D552" s="471" t="n"/>
      <c r="E552" s="471" t="n"/>
      <c r="F552" s="471" t="n"/>
      <c r="G552" s="471" t="n"/>
      <c r="H552" s="471" t="n"/>
      <c r="I552" s="476" t="n"/>
      <c r="J552" s="63">
        <f>A87</f>
        <v/>
      </c>
      <c r="K552" s="471" t="n"/>
      <c r="L552" s="471" t="n"/>
      <c r="M552" s="471" t="n"/>
      <c r="N552" s="471" t="n"/>
      <c r="O552" s="471" t="n"/>
      <c r="P552" s="471" t="n"/>
      <c r="Q552" s="471" t="n"/>
      <c r="R552" s="471" t="n"/>
      <c r="S552" s="476" t="n"/>
    </row>
    <row r="553" ht="22.2" customHeight="1" s="330">
      <c r="A55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554" ht="22.2" customHeight="1" s="330">
      <c r="A554" s="254">
        <f>A2</f>
        <v/>
      </c>
    </row>
    <row r="555" ht="22.2" customHeight="1" s="330">
      <c r="A555" s="253" t="inlineStr">
        <is>
          <t xml:space="preserve">    ระหว่างวันที่</t>
        </is>
      </c>
      <c r="D555" s="254">
        <f>D3</f>
        <v/>
      </c>
      <c r="E555" s="254" t="inlineStr">
        <is>
          <t xml:space="preserve">   เดือน  </t>
        </is>
      </c>
      <c r="F555" s="254">
        <f>F3</f>
        <v/>
      </c>
      <c r="H555" s="254">
        <f>H3</f>
        <v/>
      </c>
      <c r="I555" s="254" t="inlineStr">
        <is>
          <t xml:space="preserve">     ถึง วันที่</t>
        </is>
      </c>
      <c r="J555" s="254">
        <f>J3</f>
        <v/>
      </c>
      <c r="K555" s="254" t="inlineStr">
        <is>
          <t xml:space="preserve">   เดือน </t>
        </is>
      </c>
      <c r="L555" s="254">
        <f>L3</f>
        <v/>
      </c>
      <c r="N555" s="254">
        <f>N3</f>
        <v/>
      </c>
      <c r="P555" s="254" t="n"/>
      <c r="R555" s="254" t="n"/>
    </row>
    <row r="556" ht="22.2" customHeight="1" s="330">
      <c r="G556" s="58" t="inlineStr">
        <is>
          <t>ü</t>
        </is>
      </c>
      <c r="H556" s="301" t="inlineStr">
        <is>
          <t>ครู</t>
        </is>
      </c>
      <c r="I556" s="301" t="inlineStr">
        <is>
          <t>หน้าที่พิเศษ</t>
        </is>
      </c>
      <c r="J556" s="290" t="n"/>
      <c r="K556" s="290" t="n"/>
      <c r="L556" s="290" t="n"/>
      <c r="M556" s="290" t="n"/>
      <c r="N556" s="290" t="n"/>
      <c r="O556" s="290" t="n"/>
      <c r="P556" s="290" t="n"/>
      <c r="Q556" s="290" t="n"/>
      <c r="R556" s="290" t="n"/>
      <c r="S556" s="290" t="n"/>
    </row>
    <row r="557" ht="22.2" customHeight="1" s="330">
      <c r="A557" s="28" t="inlineStr">
        <is>
          <t>ที่</t>
        </is>
      </c>
      <c r="B557" s="28" t="inlineStr">
        <is>
          <t>ชื่อ-สกุล</t>
        </is>
      </c>
      <c r="C557" s="334" t="n"/>
      <c r="D557" s="335" t="n"/>
      <c r="E557" s="16" t="inlineStr">
        <is>
          <t>ตำแหน่ง</t>
        </is>
      </c>
      <c r="F557" s="17" t="inlineStr">
        <is>
          <t>ระยะเวลาที่สอน</t>
        </is>
      </c>
      <c r="G557" s="362" t="n"/>
      <c r="H557" s="17" t="inlineStr">
        <is>
          <t>รหัสวิชา</t>
        </is>
      </c>
      <c r="I557" s="275" t="inlineStr">
        <is>
          <t>ชั้น,แผนก,ห้อง</t>
        </is>
      </c>
      <c r="J557" s="17" t="inlineStr">
        <is>
          <t>เวลาสอน</t>
        </is>
      </c>
      <c r="K557" s="335" t="n"/>
      <c r="L557" s="17" t="inlineStr">
        <is>
          <t>ปวช.(คาบ)</t>
        </is>
      </c>
      <c r="M557" s="362" t="n"/>
      <c r="N557" s="244" t="inlineStr">
        <is>
          <t>เงิน</t>
        </is>
      </c>
      <c r="O557" s="275" t="inlineStr">
        <is>
          <t>ยอดเงิน</t>
        </is>
      </c>
      <c r="P557" s="473" t="inlineStr">
        <is>
          <t>ปวส.(คาบ)</t>
        </is>
      </c>
      <c r="Q557" s="362" t="n"/>
      <c r="R557" s="244" t="inlineStr">
        <is>
          <t>เงิน</t>
        </is>
      </c>
      <c r="S557" s="275" t="inlineStr">
        <is>
          <t>ยอดเงิน</t>
        </is>
      </c>
    </row>
    <row r="558" ht="22.2" customHeight="1" s="330">
      <c r="A558" s="60" t="n"/>
      <c r="B558" s="9" t="n"/>
      <c r="C558" s="10" t="n"/>
      <c r="D558" s="14" t="n"/>
      <c r="E558" s="11" t="n"/>
      <c r="F558" s="276" t="inlineStr">
        <is>
          <t>ส.</t>
        </is>
      </c>
      <c r="G558" s="276" t="inlineStr">
        <is>
          <t>วดป.</t>
        </is>
      </c>
      <c r="H558" s="474" t="n"/>
      <c r="I558" s="276" t="n"/>
      <c r="J558" s="475" t="n"/>
      <c r="K558" s="476" t="n"/>
      <c r="L558" s="276" t="inlineStr">
        <is>
          <t>ใน</t>
        </is>
      </c>
      <c r="M558" s="276" t="inlineStr">
        <is>
          <t>นอก</t>
        </is>
      </c>
      <c r="N558" s="276" t="inlineStr">
        <is>
          <t>ต่อ ชม.</t>
        </is>
      </c>
      <c r="O558" s="276" t="inlineStr">
        <is>
          <t>(บาท)</t>
        </is>
      </c>
      <c r="P558" s="60" t="inlineStr">
        <is>
          <t>ใน</t>
        </is>
      </c>
      <c r="Q558" s="60" t="inlineStr">
        <is>
          <t>นอก</t>
        </is>
      </c>
      <c r="R558" s="276" t="inlineStr">
        <is>
          <t>ต่อ ชม.</t>
        </is>
      </c>
      <c r="S558" s="276" t="inlineStr">
        <is>
          <t>(บาท)</t>
        </is>
      </c>
    </row>
    <row r="559" ht="22.2" customHeight="1" s="330">
      <c r="A559" s="275" t="n">
        <v>13</v>
      </c>
      <c r="B559" s="477">
        <f>AB15</f>
        <v/>
      </c>
      <c r="C559" s="334" t="n"/>
      <c r="D559" s="335" t="n"/>
      <c r="E559" s="275" t="inlineStr">
        <is>
          <t>ครู</t>
        </is>
      </c>
      <c r="F559" s="6">
        <f>F7</f>
        <v/>
      </c>
      <c r="G559" s="303" t="inlineStr">
        <is>
          <t>จันทร์</t>
        </is>
      </c>
      <c r="H559" s="332" t="n"/>
      <c r="I559" s="332" t="n"/>
      <c r="J559" s="332" t="n"/>
      <c r="K559" s="335" t="n"/>
      <c r="L559" s="265" t="n"/>
      <c r="M559" s="332" t="n"/>
      <c r="N559" s="332" t="n"/>
      <c r="O559" s="244">
        <f>M559*N559</f>
        <v/>
      </c>
      <c r="P559" s="332" t="n"/>
      <c r="Q559" s="265" t="n"/>
      <c r="R559" s="332" t="n"/>
      <c r="S559" s="244">
        <f>Q559*R559</f>
        <v/>
      </c>
    </row>
    <row r="560" ht="22.2" customHeight="1" s="330">
      <c r="A560" s="4" t="n"/>
      <c r="B560" s="478" t="n"/>
      <c r="D560" s="331" t="n"/>
      <c r="E560" s="252" t="n"/>
      <c r="F560" s="249" t="n"/>
      <c r="G560" s="308">
        <f>G468</f>
        <v/>
      </c>
      <c r="H560" s="325" t="n"/>
      <c r="I560" s="325" t="n"/>
      <c r="J560" s="252" t="n"/>
      <c r="K560" s="331" t="n"/>
      <c r="L560" s="252" t="n"/>
      <c r="M560" s="252" t="n"/>
      <c r="N560" s="252" t="n"/>
      <c r="O560" s="244">
        <f>M560*N560</f>
        <v/>
      </c>
      <c r="P560" s="252" t="n"/>
      <c r="Q560" s="252" t="n"/>
      <c r="R560" s="252" t="n"/>
      <c r="S560" s="244">
        <f>Q560*R560</f>
        <v/>
      </c>
      <c r="T560" s="290" t="n"/>
    </row>
    <row r="561" ht="22.2" customHeight="1" s="330">
      <c r="A561" s="4" t="n"/>
      <c r="B561" s="5" t="n"/>
      <c r="D561" s="3" t="n"/>
      <c r="E561" s="3" t="n"/>
      <c r="F561" s="249" t="n"/>
      <c r="G561" s="248" t="n"/>
      <c r="H561" s="325" t="n"/>
      <c r="I561" s="252" t="n"/>
      <c r="J561" s="252" t="n"/>
      <c r="K561" s="331" t="n"/>
      <c r="L561" s="252" t="n"/>
      <c r="M561" s="252" t="n"/>
      <c r="N561" s="252" t="n"/>
      <c r="O561" s="244">
        <f>M561*N561</f>
        <v/>
      </c>
      <c r="P561" s="252" t="n"/>
      <c r="Q561" s="252" t="n"/>
      <c r="R561" s="252" t="n"/>
      <c r="S561" s="244">
        <f>Q561*R561</f>
        <v/>
      </c>
    </row>
    <row r="562" ht="22.2" customHeight="1" s="330">
      <c r="A562" s="4" t="n"/>
      <c r="B562" s="5" t="n"/>
      <c r="E562" s="4" t="n"/>
      <c r="F562" s="249" t="n"/>
      <c r="G562" s="248" t="n"/>
      <c r="H562" s="252" t="n"/>
      <c r="I562" s="252" t="n"/>
      <c r="J562" s="252" t="n"/>
      <c r="K562" s="331" t="n"/>
      <c r="L562" s="252" t="n"/>
      <c r="M562" s="252" t="n"/>
      <c r="N562" s="252" t="n"/>
      <c r="O562" s="244">
        <f>M562*N562</f>
        <v/>
      </c>
      <c r="P562" s="252" t="n"/>
      <c r="Q562" s="252" t="n"/>
      <c r="R562" s="252" t="n"/>
      <c r="S562" s="244">
        <f>Q562*R562</f>
        <v/>
      </c>
    </row>
    <row r="563" ht="22.2" customHeight="1" s="330">
      <c r="A563" s="4" t="n"/>
      <c r="E563" s="4" t="n"/>
      <c r="G563" s="311" t="n"/>
      <c r="H563" s="276" t="n"/>
      <c r="I563" s="276" t="n"/>
      <c r="J563" s="276" t="n"/>
      <c r="K563" s="476" t="n"/>
      <c r="L563" s="252" t="n"/>
      <c r="M563" s="252" t="n"/>
      <c r="N563" s="252" t="n"/>
      <c r="O563" s="244">
        <f>M563*N563</f>
        <v/>
      </c>
      <c r="P563" s="252" t="n"/>
      <c r="Q563" s="252" t="n"/>
      <c r="R563" s="252" t="n"/>
      <c r="S563" s="244">
        <f>Q563*R563</f>
        <v/>
      </c>
    </row>
    <row r="564" ht="22.2" customHeight="1" s="330">
      <c r="A564" s="4" t="n"/>
      <c r="E564" s="4" t="n"/>
      <c r="G564" s="62" t="inlineStr">
        <is>
          <t>อังคาร</t>
        </is>
      </c>
      <c r="H564" s="332" t="inlineStr">
        <is>
          <t>20101-2007</t>
        </is>
      </c>
      <c r="I564" s="325" t="inlineStr">
        <is>
          <t>ปวช.3/9,10 ชย. (ทวิ)</t>
        </is>
      </c>
      <c r="J564" s="332" t="inlineStr">
        <is>
          <t>08.10-10.10</t>
        </is>
      </c>
      <c r="K564" s="335" t="n"/>
      <c r="L564" s="265" t="n"/>
      <c r="M564" s="332" t="n"/>
      <c r="N564" s="332" t="n"/>
      <c r="O564" s="244">
        <f>M564*N564</f>
        <v/>
      </c>
      <c r="P564" s="332" t="n"/>
      <c r="Q564" s="265" t="n"/>
      <c r="R564" s="332" t="n"/>
      <c r="S564" s="244">
        <f>Q564*R564</f>
        <v/>
      </c>
      <c r="T564" s="24" t="n"/>
      <c r="U564" s="24" t="inlineStr">
        <is>
          <t>สอน ป.ตรี</t>
        </is>
      </c>
      <c r="V564" s="65" t="n"/>
      <c r="W564" s="24" t="n"/>
      <c r="X564" s="24" t="n"/>
    </row>
    <row r="565" ht="22.2" customHeight="1" s="330">
      <c r="A565" s="4" t="n"/>
      <c r="E565" s="4" t="n"/>
      <c r="G565" s="308">
        <f>G473</f>
        <v/>
      </c>
      <c r="H565" s="325" t="inlineStr">
        <is>
          <t>20101-2006</t>
        </is>
      </c>
      <c r="I565" s="325" t="inlineStr">
        <is>
          <t>ปวช.2/1,2 ชย. (ปกติ)</t>
        </is>
      </c>
      <c r="J565" s="325" t="inlineStr">
        <is>
          <t>10.10-12.10</t>
        </is>
      </c>
      <c r="K565" s="331" t="n"/>
      <c r="L565" s="252" t="n"/>
      <c r="M565" s="252" t="n"/>
      <c r="N565" s="252" t="n"/>
      <c r="O565" s="244">
        <f>M565*N565</f>
        <v/>
      </c>
      <c r="P565" s="252" t="n"/>
      <c r="Q565" s="252" t="n"/>
      <c r="R565" s="252" t="n"/>
      <c r="S565" s="244">
        <f>Q565*R565</f>
        <v/>
      </c>
      <c r="T565" s="24" t="n"/>
      <c r="U565" s="24" t="inlineStr">
        <is>
          <t>18.10-21.10</t>
        </is>
      </c>
      <c r="V565" s="65" t="n"/>
      <c r="W565" s="24" t="n"/>
      <c r="X565" s="24" t="n"/>
    </row>
    <row r="566" ht="22.2" customHeight="1" s="330">
      <c r="A566" s="4" t="n"/>
      <c r="B566" s="5" t="n"/>
      <c r="D566" s="3" t="n"/>
      <c r="E566" s="3" t="n"/>
      <c r="G566" s="252" t="n"/>
      <c r="H566" s="325" t="inlineStr">
        <is>
          <t>20101-2006</t>
        </is>
      </c>
      <c r="I566" s="325" t="inlineStr">
        <is>
          <t>ปวช.2/5,6 ชย. (ปกติ)</t>
        </is>
      </c>
      <c r="J566" s="252" t="inlineStr">
        <is>
          <t>17.10-19.10</t>
        </is>
      </c>
      <c r="K566" s="331" t="n"/>
      <c r="L566" s="252" t="n"/>
      <c r="M566" s="252" t="n"/>
      <c r="N566" s="252" t="n"/>
      <c r="O566" s="244">
        <f>M566*N566</f>
        <v/>
      </c>
      <c r="P566" s="252" t="n"/>
      <c r="Q566" s="252" t="n"/>
      <c r="R566" s="252" t="n"/>
      <c r="S566" s="244">
        <f>Q566*R566</f>
        <v/>
      </c>
    </row>
    <row r="567" ht="22.2" customHeight="1" s="330">
      <c r="A567" s="4" t="n"/>
      <c r="E567" s="4" t="n"/>
      <c r="G567" s="62" t="n"/>
      <c r="H567" s="249" t="n"/>
      <c r="I567" s="252" t="n"/>
      <c r="J567" s="252" t="n"/>
      <c r="K567" s="331" t="n"/>
      <c r="L567" s="252" t="n"/>
      <c r="M567" s="252" t="n"/>
      <c r="N567" s="252" t="n"/>
      <c r="O567" s="244">
        <f>M567*N567</f>
        <v/>
      </c>
      <c r="P567" s="252" t="n"/>
      <c r="Q567" s="252" t="n"/>
      <c r="R567" s="252" t="n"/>
      <c r="S567" s="244">
        <f>Q567*R567</f>
        <v/>
      </c>
    </row>
    <row r="568" ht="22.2" customHeight="1" s="330">
      <c r="A568" s="4" t="n"/>
      <c r="D568" s="8" t="inlineStr">
        <is>
          <t> </t>
        </is>
      </c>
      <c r="E568" s="4" t="n"/>
      <c r="G568" s="63" t="n"/>
      <c r="H568" s="276" t="n"/>
      <c r="I568" s="276" t="n"/>
      <c r="J568" s="276" t="n"/>
      <c r="K568" s="476" t="n"/>
      <c r="L568" s="252" t="n"/>
      <c r="M568" s="252" t="n"/>
      <c r="N568" s="252" t="n"/>
      <c r="O568" s="244">
        <f>M568*N568</f>
        <v/>
      </c>
      <c r="P568" s="252" t="n"/>
      <c r="Q568" s="252" t="n"/>
      <c r="R568" s="252" t="n"/>
      <c r="S568" s="244">
        <f>Q568*R568</f>
        <v/>
      </c>
    </row>
    <row r="569" ht="22.2" customHeight="1" s="330">
      <c r="A569" s="4" t="n"/>
      <c r="E569" s="4" t="n"/>
      <c r="G569" s="308" t="inlineStr">
        <is>
          <t>พุธ</t>
        </is>
      </c>
      <c r="H569" s="325" t="inlineStr">
        <is>
          <t>20101-2209</t>
        </is>
      </c>
      <c r="I569" s="325" t="inlineStr">
        <is>
          <t>ปวช.2/5,6 ชย. (ปกติ)</t>
        </is>
      </c>
      <c r="J569" s="332" t="inlineStr">
        <is>
          <t>08.10-12.10</t>
        </is>
      </c>
      <c r="K569" s="335" t="n"/>
      <c r="L569" s="265" t="n"/>
      <c r="M569" s="332" t="n"/>
      <c r="N569" s="332" t="n"/>
      <c r="O569" s="244">
        <f>M569*N569</f>
        <v/>
      </c>
      <c r="P569" s="332" t="n"/>
      <c r="Q569" s="265" t="n"/>
      <c r="R569" s="332" t="n"/>
      <c r="S569" s="244">
        <f>Q569*R569</f>
        <v/>
      </c>
      <c r="T569" s="7" t="n"/>
      <c r="U569" s="23" t="inlineStr">
        <is>
          <t>เบิก ธุรการ</t>
        </is>
      </c>
      <c r="V569" s="66" t="n"/>
      <c r="W569" s="22" t="n"/>
      <c r="X569" s="22" t="n"/>
    </row>
    <row r="570" ht="22.2" customHeight="1" s="330">
      <c r="A570" s="4" t="n"/>
      <c r="B570" s="248" t="n"/>
      <c r="C570" s="249" t="n"/>
      <c r="D570" s="249" t="n"/>
      <c r="E570" s="252" t="n"/>
      <c r="G570" s="308">
        <f>G478</f>
        <v/>
      </c>
      <c r="H570" s="325" t="inlineStr">
        <is>
          <t>20101-2209</t>
        </is>
      </c>
      <c r="I570" s="325" t="inlineStr">
        <is>
          <t>ปวช.2/5,6 ชย. (ปกติ)</t>
        </is>
      </c>
      <c r="J570" s="252" t="inlineStr">
        <is>
          <t>13.10-16.10</t>
        </is>
      </c>
      <c r="K570" s="331" t="n"/>
      <c r="L570" s="252" t="n"/>
      <c r="M570" s="252" t="n"/>
      <c r="N570" s="252" t="n"/>
      <c r="O570" s="244">
        <f>M570*N570</f>
        <v/>
      </c>
      <c r="P570" s="252" t="n"/>
      <c r="Q570" s="252" t="n"/>
      <c r="R570" s="252" t="n"/>
      <c r="S570" s="244">
        <f>Q570*R570</f>
        <v/>
      </c>
      <c r="T570" s="22" t="inlineStr">
        <is>
          <t> </t>
        </is>
      </c>
      <c r="U570" s="23" t="inlineStr">
        <is>
          <t>16.10-19.10</t>
        </is>
      </c>
      <c r="V570" s="66" t="n"/>
      <c r="W570" s="22" t="n"/>
      <c r="X570" s="22" t="n"/>
    </row>
    <row r="571" ht="22.2" customHeight="1" s="330">
      <c r="A571" s="4" t="n"/>
      <c r="B571" s="5" t="n"/>
      <c r="D571" s="3" t="n"/>
      <c r="E571" s="3" t="n"/>
      <c r="G571" s="252" t="n"/>
      <c r="H571" s="325" t="inlineStr">
        <is>
          <t>20101-2006</t>
        </is>
      </c>
      <c r="I571" s="325" t="inlineStr">
        <is>
          <t>ปวช.2/7,8 ชย. (ปกติ)</t>
        </is>
      </c>
      <c r="J571" s="252" t="inlineStr">
        <is>
          <t>17.10-19.10</t>
        </is>
      </c>
      <c r="K571" s="331" t="n"/>
      <c r="L571" s="252" t="n"/>
      <c r="M571" s="252" t="n"/>
      <c r="N571" s="252" t="n"/>
      <c r="O571" s="244">
        <f>M571*N571</f>
        <v/>
      </c>
      <c r="P571" s="252" t="n"/>
      <c r="Q571" s="252" t="n"/>
      <c r="R571" s="252" t="n"/>
      <c r="S571" s="244">
        <f>Q571*R571</f>
        <v/>
      </c>
    </row>
    <row r="572" ht="22.2" customHeight="1" s="330">
      <c r="A572" s="4" t="n"/>
      <c r="E572" s="4" t="n"/>
      <c r="G572" s="248" t="n"/>
      <c r="H572" s="248" t="n"/>
      <c r="I572" s="252" t="n"/>
      <c r="J572" s="252" t="n"/>
      <c r="K572" s="331" t="n"/>
      <c r="L572" s="252" t="n"/>
      <c r="M572" s="252" t="n"/>
      <c r="N572" s="252" t="n"/>
      <c r="O572" s="244">
        <f>M572*N572</f>
        <v/>
      </c>
      <c r="P572" s="252" t="n"/>
      <c r="Q572" s="252" t="n"/>
      <c r="R572" s="252" t="n"/>
      <c r="S572" s="244">
        <f>Q572*R572</f>
        <v/>
      </c>
    </row>
    <row r="573" ht="22.2" customHeight="1" s="330">
      <c r="A573" s="4" t="n"/>
      <c r="E573" s="4" t="n"/>
      <c r="G573" s="277" t="n"/>
      <c r="H573" s="277" t="n"/>
      <c r="I573" s="276" t="n"/>
      <c r="J573" s="276" t="n"/>
      <c r="K573" s="476" t="n"/>
      <c r="L573" s="276" t="n"/>
      <c r="M573" s="276" t="n"/>
      <c r="N573" s="276" t="n"/>
      <c r="O573" s="244">
        <f>M573*N573</f>
        <v/>
      </c>
      <c r="P573" s="276" t="n"/>
      <c r="Q573" s="276" t="n"/>
      <c r="R573" s="276" t="n"/>
      <c r="S573" s="244">
        <f>Q573*R573</f>
        <v/>
      </c>
    </row>
    <row r="574" ht="22.2" customHeight="1" s="330">
      <c r="A574" s="4" t="n"/>
      <c r="E574" s="4" t="n"/>
      <c r="G574" s="62" t="inlineStr">
        <is>
          <t>พฤหัส</t>
        </is>
      </c>
      <c r="H574" s="325" t="inlineStr">
        <is>
          <t>20101-2209</t>
        </is>
      </c>
      <c r="I574" s="325" t="inlineStr">
        <is>
          <t>ปวช.2/7,8 ชย. (ปกติ)</t>
        </is>
      </c>
      <c r="J574" s="332" t="inlineStr">
        <is>
          <t>08.10-12.10</t>
        </is>
      </c>
      <c r="K574" s="335" t="n"/>
      <c r="L574" s="265" t="n"/>
      <c r="M574" s="252" t="n"/>
      <c r="N574" s="252" t="n"/>
      <c r="O574" s="244">
        <f>M574*N574</f>
        <v/>
      </c>
      <c r="P574" s="252" t="n"/>
      <c r="Q574" s="275" t="n"/>
      <c r="R574" s="275" t="n"/>
      <c r="S574" s="244">
        <f>Q574*R574</f>
        <v/>
      </c>
      <c r="T574" s="25" t="n"/>
      <c r="U574" s="26" t="inlineStr">
        <is>
          <t xml:space="preserve">     PLC</t>
        </is>
      </c>
      <c r="V574" s="64" t="n"/>
      <c r="W574" s="27" t="n"/>
      <c r="X574" s="27" t="n"/>
    </row>
    <row r="575" ht="22.2" customHeight="1" s="330">
      <c r="A575" s="4" t="n"/>
      <c r="E575" s="4" t="n"/>
      <c r="G575" s="308">
        <f>G483</f>
        <v/>
      </c>
      <c r="H575" s="325" t="inlineStr">
        <is>
          <t>20000-2002</t>
        </is>
      </c>
      <c r="I575" s="325" t="inlineStr">
        <is>
          <t>ปวช.1/3,4 ชย. (ปกติ)</t>
        </is>
      </c>
      <c r="J575" s="325" t="inlineStr">
        <is>
          <t>13.10-15.10</t>
        </is>
      </c>
      <c r="K575" s="331" t="n"/>
      <c r="L575" s="252" t="n"/>
      <c r="M575" s="252" t="n"/>
      <c r="N575" s="252" t="n"/>
      <c r="O575" s="244">
        <f>M575*N575</f>
        <v/>
      </c>
      <c r="P575" s="252" t="n"/>
      <c r="Q575" s="252" t="n"/>
      <c r="R575" s="252" t="n"/>
      <c r="S575" s="244">
        <f>Q575*R575</f>
        <v/>
      </c>
      <c r="T575" s="27" t="inlineStr">
        <is>
          <t> </t>
        </is>
      </c>
      <c r="U575" s="26" t="inlineStr">
        <is>
          <t>17.10-19.10</t>
        </is>
      </c>
      <c r="V575" s="64" t="n"/>
      <c r="W575" s="27" t="n"/>
      <c r="X575" s="27" t="n"/>
    </row>
    <row r="576" ht="22.2" customHeight="1" s="330">
      <c r="A576" s="4" t="n"/>
      <c r="B576" s="5" t="n"/>
      <c r="E576" s="4" t="n"/>
      <c r="G576" s="252" t="n"/>
      <c r="H576" s="325" t="inlineStr">
        <is>
          <t>20101-2209</t>
        </is>
      </c>
      <c r="I576" s="325" t="inlineStr">
        <is>
          <t>ปวช.2/7,8 ชย. (ปกติ)</t>
        </is>
      </c>
      <c r="J576" s="325" t="inlineStr">
        <is>
          <t>15.10-18.10</t>
        </is>
      </c>
      <c r="K576" s="331" t="n"/>
      <c r="L576" s="325" t="n"/>
      <c r="M576" s="325" t="n"/>
      <c r="N576" s="325" t="n"/>
      <c r="O576" s="244">
        <f>M576*N576</f>
        <v/>
      </c>
      <c r="P576" s="325" t="n"/>
      <c r="Q576" s="325" t="n"/>
      <c r="R576" s="325" t="n"/>
      <c r="S576" s="244">
        <f>Q576*R576</f>
        <v/>
      </c>
    </row>
    <row r="577" ht="22.2" customHeight="1" s="330">
      <c r="A577" s="4" t="n"/>
      <c r="E577" s="4" t="n"/>
      <c r="G577" s="252" t="n"/>
      <c r="H577" s="252" t="n"/>
      <c r="I577" s="252" t="n"/>
      <c r="J577" s="252" t="n"/>
      <c r="K577" s="331" t="n"/>
      <c r="L577" s="252" t="n"/>
      <c r="M577" s="252" t="n"/>
      <c r="N577" s="252" t="n"/>
      <c r="O577" s="244">
        <f>M577*N577</f>
        <v/>
      </c>
      <c r="P577" s="252" t="n"/>
      <c r="Q577" s="252" t="n"/>
      <c r="R577" s="252" t="n"/>
      <c r="S577" s="244">
        <f>Q577*R577</f>
        <v/>
      </c>
    </row>
    <row r="578" ht="22.2" customHeight="1" s="330">
      <c r="A578" s="4" t="n"/>
      <c r="E578" s="4" t="n"/>
      <c r="G578" s="276" t="n"/>
      <c r="H578" s="301" t="n"/>
      <c r="I578" s="276" t="n"/>
      <c r="J578" s="276" t="n"/>
      <c r="K578" s="476" t="n"/>
      <c r="L578" s="276" t="n"/>
      <c r="M578" s="276" t="n"/>
      <c r="N578" s="276" t="n"/>
      <c r="O578" s="244">
        <f>M578*N578</f>
        <v/>
      </c>
      <c r="P578" s="276" t="n"/>
      <c r="Q578" s="276" t="n"/>
      <c r="R578" s="276" t="n"/>
      <c r="S578" s="244">
        <f>Q578*R578</f>
        <v/>
      </c>
    </row>
    <row r="579" ht="22.2" customHeight="1" s="330">
      <c r="A579" s="4" t="n"/>
      <c r="E579" s="4" t="n"/>
      <c r="G579" s="62" t="inlineStr">
        <is>
          <t>ศุกร์</t>
        </is>
      </c>
      <c r="H579" s="325" t="inlineStr">
        <is>
          <t>20101-2008</t>
        </is>
      </c>
      <c r="I579" s="325" t="inlineStr">
        <is>
          <t>ปวช.1/6 ชย. (ปกติ)</t>
        </is>
      </c>
      <c r="J579" s="332" t="inlineStr">
        <is>
          <t>08.10-12.10</t>
        </is>
      </c>
      <c r="K579" s="335" t="n"/>
      <c r="L579" s="265" t="n"/>
      <c r="M579" s="332" t="n"/>
      <c r="N579" s="332" t="n"/>
      <c r="O579" s="244">
        <f>M579*N579</f>
        <v/>
      </c>
      <c r="P579" s="332" t="n"/>
      <c r="Q579" s="265" t="n"/>
      <c r="R579" s="332" t="n"/>
      <c r="S579" s="244">
        <f>Q579*R579</f>
        <v/>
      </c>
    </row>
    <row r="580" ht="22.2" customHeight="1" s="330">
      <c r="A580" s="4" t="n"/>
      <c r="E580" s="4" t="n"/>
      <c r="G580" s="308">
        <f>G488</f>
        <v/>
      </c>
      <c r="H580" s="325" t="inlineStr">
        <is>
          <t>20101-2006</t>
        </is>
      </c>
      <c r="I580" s="325" t="inlineStr">
        <is>
          <t>ปวช.2/3 ชย. (ปกติ)</t>
        </is>
      </c>
      <c r="J580" s="252" t="inlineStr">
        <is>
          <t>13.10-15.10</t>
        </is>
      </c>
      <c r="K580" s="331" t="n"/>
      <c r="L580" s="252" t="n"/>
      <c r="M580" s="252" t="n"/>
      <c r="N580" s="252" t="n"/>
      <c r="O580" s="244">
        <f>M580*N580</f>
        <v/>
      </c>
      <c r="P580" s="252" t="n"/>
      <c r="Q580" s="252" t="n"/>
      <c r="R580" s="252" t="n"/>
      <c r="S580" s="244">
        <f>Q580*R580</f>
        <v/>
      </c>
    </row>
    <row r="581" ht="22.2" customHeight="1" s="330">
      <c r="A581" s="4" t="n"/>
      <c r="E581" s="4" t="n"/>
      <c r="G581" s="252" t="n"/>
      <c r="H581" s="325" t="inlineStr">
        <is>
          <t>20101-2107</t>
        </is>
      </c>
      <c r="I581" s="325" t="inlineStr">
        <is>
          <t>ปวช.2/3 ชย. (ปกติ)</t>
        </is>
      </c>
      <c r="J581" s="325" t="inlineStr">
        <is>
          <t>15.10-17.10</t>
        </is>
      </c>
      <c r="K581" s="331" t="n"/>
      <c r="L581" s="252" t="n"/>
      <c r="M581" s="252" t="n"/>
      <c r="N581" s="252" t="n"/>
      <c r="O581" s="244">
        <f>M581*N581</f>
        <v/>
      </c>
      <c r="P581" s="252" t="n"/>
      <c r="Q581" s="252" t="n"/>
      <c r="R581" s="252" t="n"/>
      <c r="S581" s="244">
        <f>Q581*R581</f>
        <v/>
      </c>
    </row>
    <row r="582" ht="22.2" customHeight="1" s="330">
      <c r="A582" s="4" t="n"/>
      <c r="E582" s="4" t="n"/>
      <c r="G582" s="252" t="n"/>
      <c r="H582" s="249" t="n"/>
      <c r="I582" s="252" t="n"/>
      <c r="J582" s="252" t="n"/>
      <c r="K582" s="331" t="n"/>
      <c r="L582" s="252" t="n"/>
      <c r="M582" s="252" t="n"/>
      <c r="N582" s="252" t="n"/>
      <c r="O582" s="244">
        <f>M582*N582</f>
        <v/>
      </c>
      <c r="P582" s="252" t="n"/>
      <c r="Q582" s="252" t="n"/>
      <c r="R582" s="252" t="n"/>
      <c r="S582" s="244">
        <f>Q582*R582</f>
        <v/>
      </c>
    </row>
    <row r="583" ht="22.2" customHeight="1" s="330">
      <c r="A583" s="4" t="n"/>
      <c r="E583" s="4" t="n"/>
      <c r="F583" s="4" t="n"/>
      <c r="G583" s="278" t="n"/>
      <c r="H583" s="301" t="n"/>
      <c r="I583" s="276" t="n"/>
      <c r="J583" s="276" t="n"/>
      <c r="K583" s="476" t="n"/>
      <c r="L583" s="276" t="n"/>
      <c r="M583" s="276" t="n"/>
      <c r="N583" s="276" t="n"/>
      <c r="O583" s="244">
        <f>M583*N583</f>
        <v/>
      </c>
      <c r="P583" s="276" t="n"/>
      <c r="Q583" s="276" t="n"/>
      <c r="R583" s="276" t="n"/>
      <c r="S583" s="244">
        <f>Q583*R583</f>
        <v/>
      </c>
    </row>
    <row r="584" ht="22.2" customHeight="1" s="330">
      <c r="A584" s="4" t="n"/>
      <c r="E584" s="4" t="n"/>
      <c r="F584" s="4" t="n"/>
      <c r="G584" s="17" t="inlineStr">
        <is>
          <t>รวมขั่วโมงที่สอนแยก ภาระงาน/ เกินภาระงาน</t>
        </is>
      </c>
      <c r="H584" s="467" t="n"/>
      <c r="I584" s="467" t="n"/>
      <c r="J584" s="467" t="n"/>
      <c r="K584" s="362" t="n"/>
      <c r="L584" s="17">
        <f>SUM(L559:L583)</f>
        <v/>
      </c>
      <c r="M584" s="17">
        <f>SUM(M559:M583)</f>
        <v/>
      </c>
      <c r="N584" s="17" t="n"/>
      <c r="O584" s="17" t="n"/>
      <c r="P584" s="17">
        <f>SUM(P559:P583)</f>
        <v/>
      </c>
      <c r="Q584" s="17">
        <f>SUM(Q559:Q583)</f>
        <v/>
      </c>
      <c r="R584" s="279" t="n"/>
      <c r="S584" s="17" t="n"/>
      <c r="T584" s="24" t="n"/>
      <c r="U584" s="24" t="inlineStr">
        <is>
          <t>สอน ป.ตรี</t>
        </is>
      </c>
      <c r="V584" s="65" t="n"/>
      <c r="W584" s="24" t="n"/>
      <c r="X584" s="24" t="n"/>
    </row>
    <row r="585" ht="22.2" customHeight="1" s="330">
      <c r="A585" s="4" t="n"/>
      <c r="E585" s="4" t="n"/>
      <c r="F585" s="4" t="n"/>
      <c r="G585" s="17" t="inlineStr">
        <is>
          <t>รวมจำนวนชั่วโมงสอนคาบต่อสับดาห์</t>
        </is>
      </c>
      <c r="H585" s="467" t="n"/>
      <c r="I585" s="467" t="n"/>
      <c r="J585" s="467" t="n"/>
      <c r="K585" s="362" t="n"/>
      <c r="L585" s="17">
        <f>L584+M584</f>
        <v/>
      </c>
      <c r="M585" s="362" t="n"/>
      <c r="N585" s="298" t="n"/>
      <c r="O585" s="17" t="n"/>
      <c r="P585" s="17">
        <f>P584+Q584</f>
        <v/>
      </c>
      <c r="Q585" s="362" t="n"/>
      <c r="R585" s="278" t="n"/>
      <c r="S585" s="276" t="n"/>
      <c r="T585" s="24" t="n"/>
      <c r="U585" s="24" t="inlineStr">
        <is>
          <t>17.10-20.10</t>
        </is>
      </c>
      <c r="V585" s="65" t="n"/>
      <c r="W585" s="24" t="n"/>
      <c r="X585" s="24" t="n"/>
    </row>
    <row r="586" ht="22.2" customHeight="1" s="330">
      <c r="A586" s="4" t="n"/>
      <c r="E586" s="4" t="n"/>
      <c r="F586" s="4" t="n"/>
      <c r="G586" s="17" t="inlineStr">
        <is>
          <t>จำนวนชั่วโมงสอนตามภาระงานสอน</t>
        </is>
      </c>
      <c r="H586" s="467" t="n"/>
      <c r="I586" s="467" t="n"/>
      <c r="J586" s="467" t="n"/>
      <c r="K586" s="362" t="n"/>
      <c r="L586" s="17" t="n">
        <v>18</v>
      </c>
      <c r="M586" s="362" t="n"/>
      <c r="N586" s="298" t="n"/>
      <c r="O586" s="17" t="n"/>
      <c r="P586" s="17" t="n">
        <v>0</v>
      </c>
      <c r="Q586" s="362" t="n"/>
      <c r="R586" s="249" t="n"/>
      <c r="S586" s="252" t="n"/>
    </row>
    <row r="587" ht="22.2" customHeight="1" s="330" thickBot="1">
      <c r="A587" s="4" t="n"/>
      <c r="E587" s="4" t="n"/>
      <c r="F587" s="15" t="n"/>
      <c r="G587" s="17" t="inlineStr">
        <is>
          <t>จำนวนชั่วโมงบิกเกินภาระงานสอน/ค่าสอน</t>
        </is>
      </c>
      <c r="H587" s="467" t="n"/>
      <c r="I587" s="467" t="n"/>
      <c r="J587" s="467" t="n"/>
      <c r="K587" s="362" t="n"/>
      <c r="L587" s="18" t="n">
        <v>0</v>
      </c>
      <c r="M587" s="18">
        <f>SUM(M559:M583)</f>
        <v/>
      </c>
      <c r="N587" s="18" t="n"/>
      <c r="O587" s="18">
        <f>SUM(O559:O583)</f>
        <v/>
      </c>
      <c r="P587" s="18" t="n">
        <v>0</v>
      </c>
      <c r="Q587" s="18">
        <f>SUM(Q559:Q583)</f>
        <v/>
      </c>
      <c r="R587" s="19" t="n"/>
      <c r="S587" s="18">
        <f>SUM(S559:S583)</f>
        <v/>
      </c>
    </row>
    <row r="588" ht="22.2" customHeight="1" s="330" thickTop="1">
      <c r="A588" s="299" t="inlineStr">
        <is>
          <t>รวมจำนวนหน่วยชั่วโมงที่ขอเบิกค่าสอน ….</t>
        </is>
      </c>
      <c r="B588" s="467" t="n"/>
      <c r="C588" s="467" t="n"/>
      <c r="D588" s="467" t="n"/>
      <c r="E588" s="467" t="n"/>
      <c r="F588" s="467" t="n"/>
      <c r="G588" s="467" t="n"/>
      <c r="H588" s="298">
        <f>M587+Q587</f>
        <v/>
      </c>
      <c r="I588" s="298" t="inlineStr">
        <is>
          <t>….ชั่วโมง</t>
        </is>
      </c>
      <c r="J588" s="298" t="n"/>
      <c r="K588" s="301" t="inlineStr">
        <is>
          <t>ยอดเงินรวม</t>
        </is>
      </c>
      <c r="L588" s="471" t="n"/>
      <c r="M588" s="471" t="n"/>
      <c r="N588" s="301" t="n"/>
      <c r="O588" s="301" t="n"/>
      <c r="P588" s="302">
        <f>S587+O587</f>
        <v/>
      </c>
      <c r="Q588" s="482" t="n"/>
      <c r="R588" s="21" t="n"/>
      <c r="S588" s="20" t="inlineStr">
        <is>
          <t>..บาท</t>
        </is>
      </c>
    </row>
    <row r="589" ht="22.2" customHeight="1" s="330">
      <c r="A589" s="207" t="inlineStr">
        <is>
          <t>ผู้ขอเบิก</t>
        </is>
      </c>
      <c r="B589" s="334" t="n"/>
      <c r="C589" s="334" t="n"/>
      <c r="D589" s="334" t="n"/>
      <c r="E589" s="334" t="n"/>
      <c r="F589" s="334" t="n"/>
      <c r="G589" s="335" t="n"/>
      <c r="H589" s="207" t="inlineStr">
        <is>
          <t>ผู้รับรอง</t>
        </is>
      </c>
      <c r="I589" s="334" t="n"/>
      <c r="J589" s="334" t="n"/>
      <c r="K589" s="334" t="n"/>
      <c r="L589" s="335" t="n"/>
      <c r="M589" s="207" t="inlineStr">
        <is>
          <t>ผู้ตรวจ</t>
        </is>
      </c>
      <c r="N589" s="334" t="n"/>
      <c r="O589" s="334" t="n"/>
      <c r="P589" s="334" t="n"/>
      <c r="Q589" s="334" t="n"/>
      <c r="R589" s="334" t="n"/>
      <c r="S589" s="335" t="n"/>
    </row>
    <row r="590" ht="22.2" customHeight="1" s="330">
      <c r="A590" s="252" t="inlineStr">
        <is>
          <t>ลงชื่อ……………………………………………</t>
        </is>
      </c>
      <c r="G590" s="331" t="n"/>
      <c r="H590" s="252" t="inlineStr">
        <is>
          <t>ลงชื่อ……………………………………………</t>
        </is>
      </c>
      <c r="L590" s="331" t="n"/>
      <c r="M590" s="252" t="inlineStr">
        <is>
          <t>ลงชื่อ……………………………………………</t>
        </is>
      </c>
      <c r="S590" s="331" t="n"/>
    </row>
    <row r="591" ht="22.2" customHeight="1" s="330">
      <c r="A591" s="12" t="inlineStr">
        <is>
          <t>(</t>
        </is>
      </c>
      <c r="B591" s="309">
        <f>B559</f>
        <v/>
      </c>
      <c r="G591" s="310" t="inlineStr">
        <is>
          <t>)</t>
        </is>
      </c>
      <c r="H591" s="309" t="inlineStr">
        <is>
          <t>(</t>
        </is>
      </c>
      <c r="I591" s="314">
        <f>I545</f>
        <v/>
      </c>
      <c r="L591" s="13" t="inlineStr">
        <is>
          <t>)</t>
        </is>
      </c>
      <c r="M591" s="61" t="inlineStr">
        <is>
          <t>(</t>
        </is>
      </c>
      <c r="N591" s="61" t="n"/>
      <c r="O591" s="309" t="inlineStr">
        <is>
          <t>นายพิสุทธิศักดิ์  กล่อมนาค</t>
        </is>
      </c>
      <c r="R591" s="29" t="n"/>
      <c r="S591" s="310" t="inlineStr">
        <is>
          <t>)</t>
        </is>
      </c>
    </row>
    <row r="592" ht="22.2" customHeight="1" s="330">
      <c r="A592" s="483" t="inlineStr">
        <is>
          <t xml:space="preserve">                        ตำแหน่ง ครู</t>
        </is>
      </c>
      <c r="G592" s="331" t="n"/>
      <c r="H592" s="62" t="inlineStr">
        <is>
          <t>ตำแหน่ง หัวหน้าแผนก</t>
        </is>
      </c>
      <c r="L592" s="331" t="n"/>
      <c r="M592" s="62" t="inlineStr">
        <is>
          <t>ตำแหน่ง   ผู้ตรวจสอบ</t>
        </is>
      </c>
      <c r="S592" s="331" t="n"/>
    </row>
    <row r="593" ht="22.2" customHeight="1" s="330">
      <c r="A593" s="63">
        <f>A41</f>
        <v/>
      </c>
      <c r="B593" s="471" t="n"/>
      <c r="C593" s="471" t="n"/>
      <c r="D593" s="471" t="n"/>
      <c r="E593" s="471" t="n"/>
      <c r="F593" s="471" t="n"/>
      <c r="G593" s="476" t="n"/>
      <c r="H593" s="62">
        <f>A41</f>
        <v/>
      </c>
      <c r="L593" s="331" t="n"/>
      <c r="M593" s="63">
        <f>A41</f>
        <v/>
      </c>
      <c r="N593" s="471" t="n"/>
      <c r="O593" s="471" t="n"/>
      <c r="P593" s="471" t="n"/>
      <c r="Q593" s="471" t="n"/>
      <c r="R593" s="471" t="n"/>
      <c r="S593" s="476" t="n"/>
    </row>
    <row r="594" ht="22.2" customHeight="1" s="330">
      <c r="A594" s="207" t="inlineStr">
        <is>
          <t>ผู้ตรวจ</t>
        </is>
      </c>
      <c r="B594" s="334" t="n"/>
      <c r="C594" s="334" t="n"/>
      <c r="D594" s="334" t="n"/>
      <c r="E594" s="334" t="n"/>
      <c r="F594" s="334" t="n"/>
      <c r="G594" s="334" t="n"/>
      <c r="H594" s="334" t="n"/>
      <c r="I594" s="335" t="n"/>
      <c r="J594" s="207" t="inlineStr">
        <is>
          <t>ผู้เห็นชอบ</t>
        </is>
      </c>
      <c r="K594" s="334" t="n"/>
      <c r="L594" s="334" t="n"/>
      <c r="M594" s="334" t="n"/>
      <c r="N594" s="334" t="n"/>
      <c r="O594" s="334" t="n"/>
      <c r="P594" s="334" t="n"/>
      <c r="Q594" s="334" t="n"/>
      <c r="R594" s="334" t="n"/>
      <c r="S594" s="335" t="n"/>
    </row>
    <row r="595" ht="22.2" customHeight="1" s="330">
      <c r="A595" s="252" t="inlineStr">
        <is>
          <t>ลงชื่อ……………………………………………</t>
        </is>
      </c>
      <c r="I595" s="331" t="n"/>
      <c r="J595" s="252" t="inlineStr">
        <is>
          <t>ลงชื่อ……………………………………………</t>
        </is>
      </c>
      <c r="S595" s="331" t="n"/>
    </row>
    <row r="596" ht="22.2" customHeight="1" s="330">
      <c r="A596" s="12" t="n"/>
      <c r="B596" s="309" t="inlineStr">
        <is>
          <t xml:space="preserve">          (นางศิวรักษ์   บุญประเสริฐ)</t>
        </is>
      </c>
      <c r="I596" s="310" t="n"/>
      <c r="J596" s="29" t="n"/>
      <c r="K596" s="29" t="n"/>
      <c r="L596" s="309" t="inlineStr">
        <is>
          <t>(นายปรีชา  โพธิ์เกิด)</t>
        </is>
      </c>
      <c r="R596" s="29" t="n"/>
      <c r="S596" s="13" t="n"/>
    </row>
    <row r="597" ht="22.2" customHeight="1" s="330">
      <c r="A597" s="62" t="inlineStr">
        <is>
          <t>ตำแหน่งครู  หัวหน้างานพัฒนาหลักสูตร ฯ</t>
        </is>
      </c>
      <c r="I597" s="331" t="n"/>
      <c r="J597" s="62" t="inlineStr">
        <is>
          <t>ตำแหน่ง  รองผู้อำนวยการฝ่ายวิชาการ</t>
        </is>
      </c>
      <c r="S597" s="331" t="n"/>
    </row>
    <row r="598" ht="22.2" customHeight="1" s="330">
      <c r="A598" s="63">
        <f>A41</f>
        <v/>
      </c>
      <c r="B598" s="471" t="n"/>
      <c r="C598" s="471" t="n"/>
      <c r="D598" s="471" t="n"/>
      <c r="E598" s="471" t="n"/>
      <c r="F598" s="471" t="n"/>
      <c r="G598" s="471" t="n"/>
      <c r="H598" s="471" t="n"/>
      <c r="I598" s="476" t="n"/>
      <c r="J598" s="63">
        <f>A41</f>
        <v/>
      </c>
      <c r="K598" s="471" t="n"/>
      <c r="L598" s="471" t="n"/>
      <c r="M598" s="471" t="n"/>
      <c r="N598" s="471" t="n"/>
      <c r="O598" s="471" t="n"/>
      <c r="P598" s="471" t="n"/>
      <c r="Q598" s="471" t="n"/>
      <c r="R598" s="471" t="n"/>
      <c r="S598" s="476" t="n"/>
    </row>
    <row r="599" ht="22.2" customHeight="1" s="330">
      <c r="A59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00" ht="22.2" customHeight="1" s="330">
      <c r="A600" s="254">
        <f>A2</f>
        <v/>
      </c>
    </row>
    <row r="601" ht="22.2" customHeight="1" s="330">
      <c r="A601" s="253" t="inlineStr">
        <is>
          <t xml:space="preserve">    ระหว่างวันที่</t>
        </is>
      </c>
      <c r="D601" s="254">
        <f>D49</f>
        <v/>
      </c>
      <c r="E601" s="254" t="inlineStr">
        <is>
          <t xml:space="preserve">   เดือน  </t>
        </is>
      </c>
      <c r="F601" s="254">
        <f>F49</f>
        <v/>
      </c>
      <c r="H601" s="254">
        <f>H49</f>
        <v/>
      </c>
      <c r="I601" s="254" t="inlineStr">
        <is>
          <t xml:space="preserve">     ถึง วันที่</t>
        </is>
      </c>
      <c r="J601" s="254">
        <f>J49</f>
        <v/>
      </c>
      <c r="K601" s="254" t="inlineStr">
        <is>
          <t xml:space="preserve">   เดือน </t>
        </is>
      </c>
      <c r="L601" s="254">
        <f>L49</f>
        <v/>
      </c>
      <c r="N601" s="254">
        <f>N49</f>
        <v/>
      </c>
      <c r="P601" s="254" t="n"/>
      <c r="R601" s="254" t="n"/>
    </row>
    <row r="602" ht="22.2" customHeight="1" s="330">
      <c r="G602" s="58" t="inlineStr">
        <is>
          <t>ü</t>
        </is>
      </c>
      <c r="H602" s="301" t="inlineStr">
        <is>
          <t>ครู</t>
        </is>
      </c>
      <c r="I602" s="301" t="inlineStr">
        <is>
          <t>หน้าที่พิเศษ</t>
        </is>
      </c>
      <c r="J602" s="290" t="n"/>
      <c r="K602" s="290" t="n"/>
      <c r="L602" s="290" t="n"/>
      <c r="M602" s="290" t="n"/>
      <c r="N602" s="290" t="n"/>
      <c r="O602" s="290" t="n"/>
      <c r="P602" s="290" t="n"/>
      <c r="Q602" s="290" t="n"/>
      <c r="R602" s="290" t="n"/>
      <c r="S602" s="290" t="n"/>
    </row>
    <row r="603" ht="22.2" customHeight="1" s="330">
      <c r="A603" s="28" t="inlineStr">
        <is>
          <t>ที่</t>
        </is>
      </c>
      <c r="B603" s="28" t="inlineStr">
        <is>
          <t>ชื่อ-สกุล</t>
        </is>
      </c>
      <c r="C603" s="334" t="n"/>
      <c r="D603" s="335" t="n"/>
      <c r="E603" s="16" t="inlineStr">
        <is>
          <t>ตำแหน่ง</t>
        </is>
      </c>
      <c r="F603" s="17" t="inlineStr">
        <is>
          <t>ระยะเวลาที่สอน</t>
        </is>
      </c>
      <c r="G603" s="362" t="n"/>
      <c r="H603" s="17" t="inlineStr">
        <is>
          <t>รหัสวิชา</t>
        </is>
      </c>
      <c r="I603" s="275" t="inlineStr">
        <is>
          <t>ชั้น,แผนก,ห้อง</t>
        </is>
      </c>
      <c r="J603" s="17" t="inlineStr">
        <is>
          <t>เวลาสอน</t>
        </is>
      </c>
      <c r="K603" s="335" t="n"/>
      <c r="L603" s="17" t="inlineStr">
        <is>
          <t>ปวช.(คาบ)</t>
        </is>
      </c>
      <c r="M603" s="362" t="n"/>
      <c r="N603" s="244" t="inlineStr">
        <is>
          <t>เงิน</t>
        </is>
      </c>
      <c r="O603" s="275" t="inlineStr">
        <is>
          <t>ยอดเงิน</t>
        </is>
      </c>
      <c r="P603" s="473" t="inlineStr">
        <is>
          <t>ปวส.(คาบ)</t>
        </is>
      </c>
      <c r="Q603" s="362" t="n"/>
      <c r="R603" s="244" t="inlineStr">
        <is>
          <t>เงิน</t>
        </is>
      </c>
      <c r="S603" s="275" t="inlineStr">
        <is>
          <t>ยอดเงิน</t>
        </is>
      </c>
    </row>
    <row r="604" ht="22.2" customHeight="1" s="330">
      <c r="A604" s="60" t="n"/>
      <c r="B604" s="9" t="n"/>
      <c r="C604" s="10" t="n"/>
      <c r="D604" s="14" t="n"/>
      <c r="E604" s="11" t="n"/>
      <c r="F604" s="276" t="inlineStr">
        <is>
          <t>ส.</t>
        </is>
      </c>
      <c r="G604" s="276" t="inlineStr">
        <is>
          <t>วดป.</t>
        </is>
      </c>
      <c r="H604" s="474" t="n"/>
      <c r="I604" s="276" t="n"/>
      <c r="J604" s="475" t="n"/>
      <c r="K604" s="476" t="n"/>
      <c r="L604" s="276" t="inlineStr">
        <is>
          <t>ใน</t>
        </is>
      </c>
      <c r="M604" s="276" t="inlineStr">
        <is>
          <t>นอก</t>
        </is>
      </c>
      <c r="N604" s="276" t="inlineStr">
        <is>
          <t>ต่อ ชม.</t>
        </is>
      </c>
      <c r="O604" s="276" t="inlineStr">
        <is>
          <t>(บาท)</t>
        </is>
      </c>
      <c r="P604" s="60" t="inlineStr">
        <is>
          <t>ใน</t>
        </is>
      </c>
      <c r="Q604" s="60" t="inlineStr">
        <is>
          <t>นอก</t>
        </is>
      </c>
      <c r="R604" s="276" t="inlineStr">
        <is>
          <t>ต่อ ชม.</t>
        </is>
      </c>
      <c r="S604" s="276" t="inlineStr">
        <is>
          <t>(บาท)</t>
        </is>
      </c>
    </row>
    <row r="605" ht="22.2" customHeight="1" s="330">
      <c r="A605" s="275" t="n">
        <v>14</v>
      </c>
      <c r="B605" s="477">
        <f>AB16</f>
        <v/>
      </c>
      <c r="C605" s="334" t="n"/>
      <c r="D605" s="335" t="n"/>
      <c r="E605" s="275" t="inlineStr">
        <is>
          <t>ครู</t>
        </is>
      </c>
      <c r="F605" s="6">
        <f>F7</f>
        <v/>
      </c>
      <c r="G605" s="303" t="inlineStr">
        <is>
          <t>จันทร์</t>
        </is>
      </c>
      <c r="H605" s="325" t="inlineStr">
        <is>
          <t>30101-2003</t>
        </is>
      </c>
      <c r="I605" s="325" t="inlineStr">
        <is>
          <t>ปวส.1/7 สย. (ทวิ)</t>
        </is>
      </c>
      <c r="J605" s="252" t="inlineStr">
        <is>
          <t>13.10-16.10</t>
        </is>
      </c>
      <c r="K605" s="331" t="n"/>
      <c r="L605" s="265" t="n"/>
      <c r="M605" s="332" t="n"/>
      <c r="N605" s="332" t="n"/>
      <c r="O605" s="244">
        <f>M605*N605</f>
        <v/>
      </c>
      <c r="P605" s="332" t="n"/>
      <c r="Q605" s="265" t="n"/>
      <c r="R605" s="332" t="n"/>
      <c r="S605" s="244">
        <f>Q605*R605</f>
        <v/>
      </c>
    </row>
    <row r="606" ht="22.2" customHeight="1" s="330">
      <c r="A606" s="4" t="n"/>
      <c r="B606" s="478" t="n"/>
      <c r="D606" s="331" t="n"/>
      <c r="E606" s="252" t="n"/>
      <c r="F606" s="249" t="n"/>
      <c r="G606" s="308">
        <f>G514</f>
        <v/>
      </c>
      <c r="H606" s="325" t="n"/>
      <c r="I606" s="325" t="n"/>
      <c r="J606" s="252" t="n"/>
      <c r="K606" s="331" t="n"/>
      <c r="L606" s="252" t="n"/>
      <c r="M606" s="252" t="n"/>
      <c r="N606" s="252" t="n"/>
      <c r="O606" s="244">
        <f>M606*N606</f>
        <v/>
      </c>
      <c r="P606" s="252" t="n"/>
      <c r="Q606" s="252" t="n"/>
      <c r="R606" s="252" t="n"/>
      <c r="S606" s="244">
        <f>Q606*R606</f>
        <v/>
      </c>
    </row>
    <row r="607" ht="22.2" customHeight="1" s="330">
      <c r="A607" s="4" t="n"/>
      <c r="B607" s="5" t="n"/>
      <c r="D607" s="3" t="n"/>
      <c r="E607" s="3" t="n"/>
      <c r="F607" s="249" t="n"/>
      <c r="G607" s="248" t="n"/>
      <c r="H607" s="252" t="n"/>
      <c r="I607" s="252" t="n"/>
      <c r="J607" s="252" t="n"/>
      <c r="K607" s="331" t="n"/>
      <c r="L607" s="252" t="n"/>
      <c r="M607" s="252" t="n"/>
      <c r="N607" s="252" t="n"/>
      <c r="O607" s="244">
        <f>M607*N607</f>
        <v/>
      </c>
      <c r="P607" s="252" t="n"/>
      <c r="Q607" s="252" t="n"/>
      <c r="R607" s="252" t="n"/>
      <c r="S607" s="244">
        <f>Q607*R607</f>
        <v/>
      </c>
    </row>
    <row r="608" ht="22.2" customHeight="1" s="330">
      <c r="A608" s="4" t="n"/>
      <c r="B608" s="5" t="n"/>
      <c r="E608" s="4" t="n"/>
      <c r="F608" s="249" t="n"/>
      <c r="G608" s="248" t="n"/>
      <c r="H608" s="252" t="n"/>
      <c r="I608" s="252" t="n"/>
      <c r="J608" s="252" t="n"/>
      <c r="K608" s="331" t="n"/>
      <c r="L608" s="252" t="n"/>
      <c r="M608" s="252" t="n"/>
      <c r="N608" s="252" t="n"/>
      <c r="O608" s="244">
        <f>M608*N608</f>
        <v/>
      </c>
      <c r="P608" s="252" t="n"/>
      <c r="Q608" s="252" t="n"/>
      <c r="R608" s="252" t="n"/>
      <c r="S608" s="244">
        <f>Q608*R608</f>
        <v/>
      </c>
    </row>
    <row r="609" ht="22.2" customHeight="1" s="330">
      <c r="A609" s="4" t="n"/>
      <c r="E609" s="4" t="n"/>
      <c r="G609" s="311" t="n"/>
      <c r="H609" s="276" t="n"/>
      <c r="I609" s="276" t="n"/>
      <c r="J609" s="276" t="n"/>
      <c r="K609" s="476" t="n"/>
      <c r="L609" s="252" t="n"/>
      <c r="M609" s="252" t="n"/>
      <c r="N609" s="252" t="n"/>
      <c r="O609" s="244">
        <f>M609*N609</f>
        <v/>
      </c>
      <c r="P609" s="252" t="n"/>
      <c r="Q609" s="252" t="n"/>
      <c r="R609" s="252" t="n"/>
      <c r="S609" s="244">
        <f>Q609*R609</f>
        <v/>
      </c>
    </row>
    <row r="610" ht="22.2" customHeight="1" s="330">
      <c r="A610" s="4" t="n"/>
      <c r="E610" s="4" t="n"/>
      <c r="G610" s="62" t="inlineStr">
        <is>
          <t>อังคาร</t>
        </is>
      </c>
      <c r="H610" s="325" t="inlineStr">
        <is>
          <t>30100-0105</t>
        </is>
      </c>
      <c r="I610" s="325" t="inlineStr">
        <is>
          <t>ปวส.1/7 สย. (ทวิ)</t>
        </is>
      </c>
      <c r="J610" s="332" t="inlineStr">
        <is>
          <t>08.10-11.10</t>
        </is>
      </c>
      <c r="K610" s="335" t="n"/>
      <c r="L610" s="265" t="n"/>
      <c r="M610" s="332" t="n"/>
      <c r="N610" s="332" t="n"/>
      <c r="O610" s="244">
        <f>M610*N610</f>
        <v/>
      </c>
      <c r="P610" s="332" t="n"/>
      <c r="Q610" s="265" t="n"/>
      <c r="R610" s="332" t="n"/>
      <c r="S610" s="244">
        <f>Q610*R610</f>
        <v/>
      </c>
    </row>
    <row r="611" ht="22.2" customHeight="1" s="330">
      <c r="A611" s="4" t="n"/>
      <c r="E611" s="4" t="n"/>
      <c r="G611" s="308">
        <f>G519</f>
        <v/>
      </c>
      <c r="H611" s="325" t="inlineStr">
        <is>
          <t>30101-8001</t>
        </is>
      </c>
      <c r="I611" s="325" t="inlineStr">
        <is>
          <t>ปวส.2/4 สย. (ปกติ)</t>
        </is>
      </c>
      <c r="J611" s="252" t="inlineStr">
        <is>
          <t>13.10-17.10</t>
        </is>
      </c>
      <c r="K611" s="331" t="n"/>
      <c r="L611" s="252" t="n"/>
      <c r="M611" s="252" t="n"/>
      <c r="N611" s="252" t="n"/>
      <c r="O611" s="244">
        <f>M611*N611</f>
        <v/>
      </c>
      <c r="P611" s="252" t="n"/>
      <c r="Q611" s="252" t="n"/>
      <c r="R611" s="252" t="n"/>
      <c r="S611" s="244">
        <f>Q611*R611</f>
        <v/>
      </c>
    </row>
    <row r="612" ht="22.2" customHeight="1" s="330">
      <c r="A612" s="4" t="n"/>
      <c r="B612" s="5" t="n"/>
      <c r="D612" s="3" t="n"/>
      <c r="E612" s="3" t="n"/>
      <c r="G612" s="252" t="n"/>
      <c r="H612" s="252" t="n"/>
      <c r="I612" s="252" t="n"/>
      <c r="J612" s="252" t="n"/>
      <c r="K612" s="331" t="n"/>
      <c r="L612" s="252" t="n"/>
      <c r="M612" s="252" t="n"/>
      <c r="N612" s="252" t="n"/>
      <c r="O612" s="244">
        <f>M612*N612</f>
        <v/>
      </c>
      <c r="P612" s="252" t="n"/>
      <c r="Q612" s="252" t="n"/>
      <c r="R612" s="252" t="n"/>
      <c r="S612" s="244">
        <f>Q612*R612</f>
        <v/>
      </c>
    </row>
    <row r="613" ht="22.2" customHeight="1" s="330">
      <c r="A613" s="4" t="n"/>
      <c r="E613" s="4" t="n"/>
      <c r="G613" s="62" t="n"/>
      <c r="H613" s="249" t="n"/>
      <c r="I613" s="252" t="n"/>
      <c r="J613" s="252" t="n"/>
      <c r="K613" s="331" t="n"/>
      <c r="L613" s="252" t="n"/>
      <c r="M613" s="252" t="n"/>
      <c r="N613" s="252" t="n"/>
      <c r="O613" s="244">
        <f>M613*N613</f>
        <v/>
      </c>
      <c r="P613" s="252" t="n"/>
      <c r="Q613" s="252" t="n"/>
      <c r="R613" s="252" t="n"/>
      <c r="S613" s="244">
        <f>Q613*R613</f>
        <v/>
      </c>
    </row>
    <row r="614" ht="22.2" customHeight="1" s="330">
      <c r="A614" s="4" t="n"/>
      <c r="D614" s="8" t="inlineStr">
        <is>
          <t> </t>
        </is>
      </c>
      <c r="E614" s="4" t="n"/>
      <c r="G614" s="63" t="n"/>
      <c r="H614" s="276" t="n"/>
      <c r="I614" s="276" t="n"/>
      <c r="J614" s="276" t="n"/>
      <c r="K614" s="476" t="n"/>
      <c r="L614" s="252" t="n"/>
      <c r="M614" s="252" t="n"/>
      <c r="N614" s="252" t="n"/>
      <c r="O614" s="244">
        <f>M614*N614</f>
        <v/>
      </c>
      <c r="P614" s="276" t="n"/>
      <c r="Q614" s="276" t="n"/>
      <c r="R614" s="276" t="n"/>
      <c r="S614" s="244">
        <f>Q614*R614</f>
        <v/>
      </c>
    </row>
    <row r="615" ht="22.2" customHeight="1" s="330">
      <c r="A615" s="4" t="n"/>
      <c r="E615" s="4" t="n"/>
      <c r="G615" s="308" t="inlineStr">
        <is>
          <t>พุธ</t>
        </is>
      </c>
      <c r="H615" s="325" t="inlineStr">
        <is>
          <t>30101-2002</t>
        </is>
      </c>
      <c r="I615" s="325" t="inlineStr">
        <is>
          <t>ปวส.1/5,6 สย. (ม.6)</t>
        </is>
      </c>
      <c r="J615" s="332" t="inlineStr">
        <is>
          <t>08.10-11.10</t>
        </is>
      </c>
      <c r="K615" s="335" t="n"/>
      <c r="L615" s="265" t="n"/>
      <c r="M615" s="332" t="n"/>
      <c r="N615" s="332" t="n"/>
      <c r="O615" s="244">
        <f>M615*N615</f>
        <v/>
      </c>
      <c r="P615" s="179" t="n"/>
      <c r="Q615" s="179" t="n"/>
      <c r="R615" s="180" t="n"/>
      <c r="S615" s="244">
        <f>Q615*R615</f>
        <v/>
      </c>
    </row>
    <row r="616" ht="22.2" customHeight="1" s="330">
      <c r="A616" s="4" t="n"/>
      <c r="B616" s="248" t="n"/>
      <c r="C616" s="249" t="n"/>
      <c r="D616" s="249" t="n"/>
      <c r="E616" s="252" t="n"/>
      <c r="G616" s="308">
        <f>G524</f>
        <v/>
      </c>
      <c r="H616" s="325" t="inlineStr">
        <is>
          <t>30100-0105</t>
        </is>
      </c>
      <c r="I616" s="325" t="inlineStr">
        <is>
          <t>ปวส.2/5,6 สย. (ม.6)</t>
        </is>
      </c>
      <c r="J616" s="252" t="inlineStr">
        <is>
          <t>13.10-16.10</t>
        </is>
      </c>
      <c r="K616" s="331" t="n"/>
      <c r="L616" s="252" t="n"/>
      <c r="M616" s="252" t="n"/>
      <c r="N616" s="252" t="n"/>
      <c r="O616" s="244">
        <f>M616*N616</f>
        <v/>
      </c>
      <c r="P616" s="252" t="n"/>
      <c r="Q616" s="252" t="n"/>
      <c r="R616" s="252" t="n"/>
      <c r="S616" s="244">
        <f>Q616*R616</f>
        <v/>
      </c>
    </row>
    <row r="617" ht="22.2" customHeight="1" s="330">
      <c r="A617" s="4" t="n"/>
      <c r="B617" s="5" t="n"/>
      <c r="D617" s="3" t="n"/>
      <c r="E617" s="3" t="n"/>
      <c r="G617" s="252" t="n"/>
      <c r="H617" s="252" t="n"/>
      <c r="I617" s="252" t="n"/>
      <c r="J617" s="252" t="n"/>
      <c r="K617" s="331" t="n"/>
      <c r="L617" s="252" t="n"/>
      <c r="M617" s="252" t="n"/>
      <c r="N617" s="252" t="n"/>
      <c r="O617" s="244">
        <f>M617*N617</f>
        <v/>
      </c>
      <c r="P617" s="252" t="n"/>
      <c r="Q617" s="252" t="n"/>
      <c r="R617" s="252" t="n"/>
      <c r="S617" s="244">
        <f>Q617*R617</f>
        <v/>
      </c>
    </row>
    <row r="618" ht="22.2" customHeight="1" s="330">
      <c r="A618" s="4" t="n"/>
      <c r="E618" s="4" t="n"/>
      <c r="G618" s="248" t="n"/>
      <c r="H618" s="248" t="n"/>
      <c r="I618" s="252" t="n"/>
      <c r="J618" s="252" t="n"/>
      <c r="K618" s="331" t="n"/>
      <c r="L618" s="252" t="n"/>
      <c r="M618" s="252" t="n"/>
      <c r="N618" s="252" t="n"/>
      <c r="O618" s="244">
        <f>M618*N618</f>
        <v/>
      </c>
      <c r="P618" s="252" t="n"/>
      <c r="Q618" s="252" t="n"/>
      <c r="R618" s="252" t="n"/>
      <c r="S618" s="244">
        <f>Q618*R618</f>
        <v/>
      </c>
    </row>
    <row r="619" ht="22.2" customHeight="1" s="330">
      <c r="A619" s="4" t="n"/>
      <c r="E619" s="4" t="n"/>
      <c r="G619" s="277" t="n"/>
      <c r="H619" s="277" t="n"/>
      <c r="I619" s="276" t="n"/>
      <c r="J619" s="276" t="n"/>
      <c r="K619" s="476" t="n"/>
      <c r="L619" s="276" t="n"/>
      <c r="M619" s="276" t="n"/>
      <c r="N619" s="276" t="n"/>
      <c r="O619" s="244">
        <f>M619*N619</f>
        <v/>
      </c>
      <c r="P619" s="276" t="n"/>
      <c r="Q619" s="276" t="n"/>
      <c r="R619" s="276" t="n"/>
      <c r="S619" s="244">
        <f>Q619*R619</f>
        <v/>
      </c>
    </row>
    <row r="620" ht="22.2" customHeight="1" s="330">
      <c r="A620" s="4" t="n"/>
      <c r="E620" s="4" t="n"/>
      <c r="G620" s="62" t="inlineStr">
        <is>
          <t>พฤหัส</t>
        </is>
      </c>
      <c r="H620" s="325" t="inlineStr">
        <is>
          <t>30000-2002</t>
        </is>
      </c>
      <c r="I620" s="325" t="inlineStr">
        <is>
          <t>ปวส.1/3,4 สย. (ม.6)</t>
        </is>
      </c>
      <c r="J620" s="252" t="inlineStr">
        <is>
          <t>13.10-15.10</t>
        </is>
      </c>
      <c r="K620" s="331" t="n"/>
      <c r="L620" s="265" t="n"/>
      <c r="M620" s="252" t="n"/>
      <c r="N620" s="252" t="n"/>
      <c r="O620" s="244">
        <f>M620*N620</f>
        <v/>
      </c>
      <c r="P620" s="179" t="n"/>
      <c r="Q620" s="156" t="n"/>
      <c r="R620" s="156" t="n"/>
      <c r="S620" s="244">
        <f>Q620*R620</f>
        <v/>
      </c>
    </row>
    <row r="621" ht="22.2" customHeight="1" s="330">
      <c r="A621" s="4" t="n"/>
      <c r="E621" s="4" t="n"/>
      <c r="G621" s="308">
        <f>G529</f>
        <v/>
      </c>
      <c r="H621" s="325" t="n"/>
      <c r="I621" s="325" t="n"/>
      <c r="J621" s="252" t="n"/>
      <c r="K621" s="331" t="n"/>
      <c r="L621" s="252" t="n"/>
      <c r="M621" s="252" t="n"/>
      <c r="N621" s="252" t="n"/>
      <c r="O621" s="244">
        <f>M621*N621</f>
        <v/>
      </c>
      <c r="P621" s="56" t="n"/>
      <c r="Q621" s="56" t="n"/>
      <c r="R621" s="56" t="n"/>
      <c r="S621" s="244">
        <f>Q621*R621</f>
        <v/>
      </c>
    </row>
    <row r="622" ht="22.2" customHeight="1" s="330">
      <c r="A622" s="4" t="n"/>
      <c r="B622" s="5" t="n"/>
      <c r="E622" s="4" t="n"/>
      <c r="G622" s="252" t="n"/>
      <c r="H622" s="325" t="n"/>
      <c r="I622" s="325" t="n"/>
      <c r="J622" s="252" t="n"/>
      <c r="K622" s="331" t="n"/>
      <c r="L622" s="325" t="n"/>
      <c r="M622" s="325" t="n"/>
      <c r="N622" s="325" t="n"/>
      <c r="O622" s="244">
        <f>M622*N622</f>
        <v/>
      </c>
      <c r="P622" s="56" t="n"/>
      <c r="Q622" s="56" t="n"/>
      <c r="R622" s="56" t="n"/>
      <c r="S622" s="244">
        <f>Q622*R622</f>
        <v/>
      </c>
    </row>
    <row r="623" ht="22.2" customHeight="1" s="330">
      <c r="A623" s="4" t="n"/>
      <c r="E623" s="4" t="n"/>
      <c r="G623" s="252" t="n"/>
      <c r="H623" s="252" t="n"/>
      <c r="I623" s="252" t="n"/>
      <c r="J623" s="252" t="n"/>
      <c r="K623" s="331" t="n"/>
      <c r="L623" s="252" t="n"/>
      <c r="M623" s="252" t="n"/>
      <c r="N623" s="252" t="n"/>
      <c r="O623" s="244">
        <f>M623*N623</f>
        <v/>
      </c>
      <c r="P623" s="252" t="n"/>
      <c r="Q623" s="252" t="n"/>
      <c r="R623" s="252" t="n"/>
      <c r="S623" s="244">
        <f>Q623*R623</f>
        <v/>
      </c>
    </row>
    <row r="624" ht="22.2" customHeight="1" s="330">
      <c r="A624" s="4" t="n"/>
      <c r="E624" s="4" t="n"/>
      <c r="G624" s="276" t="n"/>
      <c r="H624" s="301" t="n"/>
      <c r="I624" s="276" t="n"/>
      <c r="J624" s="276" t="n"/>
      <c r="K624" s="476" t="n"/>
      <c r="L624" s="276" t="n"/>
      <c r="M624" s="276" t="n"/>
      <c r="N624" s="276" t="n"/>
      <c r="O624" s="244">
        <f>M624*N624</f>
        <v/>
      </c>
      <c r="P624" s="276" t="n"/>
      <c r="Q624" s="276" t="n"/>
      <c r="R624" s="276" t="n"/>
      <c r="S624" s="244">
        <f>Q624*R624</f>
        <v/>
      </c>
    </row>
    <row r="625" ht="22.2" customHeight="1" s="330">
      <c r="A625" s="4" t="n"/>
      <c r="E625" s="4" t="n"/>
      <c r="G625" s="62" t="inlineStr">
        <is>
          <t>ศุกร์</t>
        </is>
      </c>
      <c r="H625" s="325" t="inlineStr">
        <is>
          <t>30101-2109</t>
        </is>
      </c>
      <c r="I625" s="325" t="inlineStr">
        <is>
          <t>ปวส.2/7 สย. (ม.6)</t>
        </is>
      </c>
      <c r="J625" s="332" t="inlineStr">
        <is>
          <t>08.10-12.10</t>
        </is>
      </c>
      <c r="K625" s="335" t="n"/>
      <c r="L625" s="252" t="n"/>
      <c r="M625" s="332" t="n"/>
      <c r="N625" s="332" t="n"/>
      <c r="O625" s="244">
        <f>M625*N625</f>
        <v/>
      </c>
      <c r="P625" s="332" t="n"/>
      <c r="Q625" s="265" t="n"/>
      <c r="R625" s="332" t="n"/>
      <c r="S625" s="244">
        <f>Q625*R625</f>
        <v/>
      </c>
    </row>
    <row r="626" ht="22.2" customHeight="1" s="330">
      <c r="A626" s="4" t="n"/>
      <c r="E626" s="4" t="n"/>
      <c r="G626" s="308">
        <f>G534</f>
        <v/>
      </c>
      <c r="H626" s="325" t="inlineStr">
        <is>
          <t>30101-2109</t>
        </is>
      </c>
      <c r="I626" s="325" t="inlineStr">
        <is>
          <t>ปวส.2/7 สย. (ม.6)</t>
        </is>
      </c>
      <c r="J626" s="252" t="inlineStr">
        <is>
          <t>13.10-14.10</t>
        </is>
      </c>
      <c r="K626" s="331" t="n"/>
      <c r="L626" s="252" t="n"/>
      <c r="M626" s="252" t="n"/>
      <c r="N626" s="252" t="n"/>
      <c r="O626" s="244">
        <f>M626*N626</f>
        <v/>
      </c>
      <c r="P626" s="252" t="n"/>
      <c r="Q626" s="252" t="n"/>
      <c r="R626" s="252" t="n"/>
      <c r="S626" s="244">
        <f>Q626*R626</f>
        <v/>
      </c>
    </row>
    <row r="627" ht="22.2" customHeight="1" s="330">
      <c r="A627" s="4" t="n"/>
      <c r="E627" s="4" t="n"/>
      <c r="G627" s="252" t="n"/>
      <c r="H627" s="325" t="inlineStr">
        <is>
          <t>30100-0104</t>
        </is>
      </c>
      <c r="I627" s="325" t="inlineStr">
        <is>
          <t>ปวส.1/2 สย. (ปกติ)</t>
        </is>
      </c>
      <c r="J627" s="252" t="inlineStr">
        <is>
          <t>14.10-18.10</t>
        </is>
      </c>
      <c r="K627" s="331" t="n"/>
      <c r="L627" s="252" t="n"/>
      <c r="M627" s="252" t="n"/>
      <c r="N627" s="252" t="n"/>
      <c r="O627" s="244">
        <f>M627*N627</f>
        <v/>
      </c>
      <c r="P627" s="252" t="n"/>
      <c r="Q627" s="252" t="n"/>
      <c r="R627" s="252" t="n"/>
      <c r="S627" s="244">
        <f>Q627*R627</f>
        <v/>
      </c>
    </row>
    <row r="628" ht="22.2" customHeight="1" s="330">
      <c r="A628" s="4" t="n"/>
      <c r="E628" s="4" t="n"/>
      <c r="G628" s="252" t="n"/>
      <c r="H628" s="249" t="n"/>
      <c r="I628" s="252" t="n"/>
      <c r="J628" s="252" t="n"/>
      <c r="K628" s="331" t="n"/>
      <c r="L628" s="252" t="n"/>
      <c r="M628" s="252" t="n"/>
      <c r="N628" s="252" t="n"/>
      <c r="O628" s="244">
        <f>M628*N628</f>
        <v/>
      </c>
      <c r="P628" s="252" t="n"/>
      <c r="Q628" s="252" t="n"/>
      <c r="R628" s="252" t="n"/>
      <c r="S628" s="244">
        <f>Q628*R628</f>
        <v/>
      </c>
    </row>
    <row r="629" ht="22.2" customHeight="1" s="330">
      <c r="A629" s="4" t="n"/>
      <c r="E629" s="4" t="n"/>
      <c r="F629" s="4" t="n"/>
      <c r="G629" s="278" t="n"/>
      <c r="H629" s="301" t="n"/>
      <c r="I629" s="276" t="n"/>
      <c r="J629" s="276" t="n"/>
      <c r="K629" s="476" t="n"/>
      <c r="L629" s="276" t="n"/>
      <c r="M629" s="276" t="n"/>
      <c r="N629" s="276" t="n"/>
      <c r="O629" s="244">
        <f>M629*N629</f>
        <v/>
      </c>
      <c r="P629" s="276" t="n"/>
      <c r="Q629" s="276" t="n"/>
      <c r="R629" s="276" t="n"/>
      <c r="S629" s="244">
        <f>Q629*R629</f>
        <v/>
      </c>
    </row>
    <row r="630" ht="22.2" customHeight="1" s="330">
      <c r="A630" s="4" t="n"/>
      <c r="E630" s="4" t="n"/>
      <c r="F630" s="4" t="n"/>
      <c r="G630" s="17" t="inlineStr">
        <is>
          <t>รวมขั่วโมงที่สอนแยก ภาระงาน/ เกินภาระงาน</t>
        </is>
      </c>
      <c r="H630" s="467" t="n"/>
      <c r="I630" s="467" t="n"/>
      <c r="J630" s="467" t="n"/>
      <c r="K630" s="362" t="n"/>
      <c r="L630" s="17">
        <f>SUM(L605:L629)</f>
        <v/>
      </c>
      <c r="M630" s="17">
        <f>SUM(M605:M629)</f>
        <v/>
      </c>
      <c r="N630" s="17" t="n"/>
      <c r="O630" s="17" t="n"/>
      <c r="P630" s="17">
        <f>SUM(P605:P629)</f>
        <v/>
      </c>
      <c r="Q630" s="17">
        <f>SUM(Q605:Q629)</f>
        <v/>
      </c>
      <c r="R630" s="279" t="n"/>
      <c r="S630" s="17" t="n"/>
    </row>
    <row r="631" ht="22.2" customHeight="1" s="330">
      <c r="A631" s="4" t="n"/>
      <c r="E631" s="4" t="n"/>
      <c r="F631" s="4" t="n"/>
      <c r="G631" s="17" t="inlineStr">
        <is>
          <t>รวมจำนวนชั่วโมงสอนคาบต่อสับดาห์</t>
        </is>
      </c>
      <c r="H631" s="467" t="n"/>
      <c r="I631" s="467" t="n"/>
      <c r="J631" s="467" t="n"/>
      <c r="K631" s="362" t="n"/>
      <c r="L631" s="17">
        <f>L630+M630</f>
        <v/>
      </c>
      <c r="M631" s="362" t="n"/>
      <c r="N631" s="298" t="n"/>
      <c r="O631" s="17" t="n"/>
      <c r="P631" s="17">
        <f>P630+Q630</f>
        <v/>
      </c>
      <c r="Q631" s="362" t="n"/>
      <c r="R631" s="278" t="n"/>
      <c r="S631" s="276" t="n"/>
    </row>
    <row r="632" ht="22.2" customHeight="1" s="330">
      <c r="A632" s="4" t="n"/>
      <c r="E632" s="4" t="n"/>
      <c r="F632" s="4" t="n"/>
      <c r="G632" s="17" t="inlineStr">
        <is>
          <t>จำนวนชั่วโมงสอนตามภาระงานสอน</t>
        </is>
      </c>
      <c r="H632" s="467" t="n"/>
      <c r="I632" s="467" t="n"/>
      <c r="J632" s="467" t="n"/>
      <c r="K632" s="362" t="n"/>
      <c r="L632" s="17" t="n">
        <v>0</v>
      </c>
      <c r="M632" s="362" t="n"/>
      <c r="N632" s="298" t="n"/>
      <c r="O632" s="17" t="n"/>
      <c r="P632" s="17" t="n">
        <v>15</v>
      </c>
      <c r="Q632" s="362" t="n"/>
      <c r="R632" s="249" t="n"/>
      <c r="S632" s="252" t="n"/>
    </row>
    <row r="633" ht="22.2" customHeight="1" s="330" thickBot="1">
      <c r="A633" s="4" t="n"/>
      <c r="E633" s="4" t="n"/>
      <c r="F633" s="15" t="n"/>
      <c r="G633" s="17" t="inlineStr">
        <is>
          <t>จำนวนชั่วโมงบิกเกินภาระงานสอน/ค่าสอน</t>
        </is>
      </c>
      <c r="H633" s="467" t="n"/>
      <c r="I633" s="467" t="n"/>
      <c r="J633" s="467" t="n"/>
      <c r="K633" s="362" t="n"/>
      <c r="L633" s="18" t="n">
        <v>0</v>
      </c>
      <c r="M633" s="18">
        <f>SUM(M605:M629)</f>
        <v/>
      </c>
      <c r="N633" s="18" t="n"/>
      <c r="O633" s="18">
        <f>SUM(O605:O629)</f>
        <v/>
      </c>
      <c r="P633" s="18" t="n">
        <v>0</v>
      </c>
      <c r="Q633" s="18">
        <f>SUM(Q605:Q629)</f>
        <v/>
      </c>
      <c r="R633" s="19" t="n"/>
      <c r="S633" s="18">
        <f>SUM(S605:S629)</f>
        <v/>
      </c>
    </row>
    <row r="634" ht="22.2" customHeight="1" s="330" thickTop="1">
      <c r="A634" s="299" t="inlineStr">
        <is>
          <t>รวมจำนวนหน่วยชั่วโมงที่ขอเบิกค่าสอน ….</t>
        </is>
      </c>
      <c r="B634" s="467" t="n"/>
      <c r="C634" s="467" t="n"/>
      <c r="D634" s="467" t="n"/>
      <c r="E634" s="467" t="n"/>
      <c r="F634" s="467" t="n"/>
      <c r="G634" s="467" t="n"/>
      <c r="H634" s="298">
        <f>M633+Q633</f>
        <v/>
      </c>
      <c r="I634" s="298" t="inlineStr">
        <is>
          <t>….ชั่วโมง</t>
        </is>
      </c>
      <c r="J634" s="298" t="n"/>
      <c r="K634" s="301" t="inlineStr">
        <is>
          <t>ยอดเงินรวม</t>
        </is>
      </c>
      <c r="L634" s="471" t="n"/>
      <c r="M634" s="471" t="n"/>
      <c r="N634" s="301" t="n"/>
      <c r="O634" s="301" t="n"/>
      <c r="P634" s="302">
        <f>S633+O633</f>
        <v/>
      </c>
      <c r="Q634" s="482" t="n"/>
      <c r="R634" s="21" t="n"/>
      <c r="S634" s="20" t="inlineStr">
        <is>
          <t>..บาท</t>
        </is>
      </c>
    </row>
    <row r="635" ht="22.2" customHeight="1" s="330">
      <c r="A635" s="207" t="inlineStr">
        <is>
          <t>ผู้ขอเบิก</t>
        </is>
      </c>
      <c r="B635" s="334" t="n"/>
      <c r="C635" s="334" t="n"/>
      <c r="D635" s="334" t="n"/>
      <c r="E635" s="334" t="n"/>
      <c r="F635" s="334" t="n"/>
      <c r="G635" s="335" t="n"/>
      <c r="H635" s="207" t="inlineStr">
        <is>
          <t>ผู้รับรอง</t>
        </is>
      </c>
      <c r="I635" s="334" t="n"/>
      <c r="J635" s="334" t="n"/>
      <c r="K635" s="334" t="n"/>
      <c r="L635" s="335" t="n"/>
      <c r="M635" s="207" t="inlineStr">
        <is>
          <t>ผู้ตรวจ</t>
        </is>
      </c>
      <c r="N635" s="334" t="n"/>
      <c r="O635" s="334" t="n"/>
      <c r="P635" s="334" t="n"/>
      <c r="Q635" s="334" t="n"/>
      <c r="R635" s="334" t="n"/>
      <c r="S635" s="335" t="n"/>
    </row>
    <row r="636" ht="22.2" customHeight="1" s="330">
      <c r="A636" s="252" t="inlineStr">
        <is>
          <t>ลงชื่อ……………………………………………</t>
        </is>
      </c>
      <c r="G636" s="331" t="n"/>
      <c r="H636" s="252" t="inlineStr">
        <is>
          <t>ลงชื่อ……………………………………………</t>
        </is>
      </c>
      <c r="L636" s="331" t="n"/>
      <c r="M636" s="252" t="inlineStr">
        <is>
          <t>ลงชื่อ……………………………………………</t>
        </is>
      </c>
      <c r="S636" s="331" t="n"/>
    </row>
    <row r="637" ht="22.2" customHeight="1" s="330">
      <c r="A637" s="12" t="inlineStr">
        <is>
          <t>(</t>
        </is>
      </c>
      <c r="B637" s="309">
        <f>B605</f>
        <v/>
      </c>
      <c r="G637" s="310" t="inlineStr">
        <is>
          <t>)</t>
        </is>
      </c>
      <c r="H637" s="309" t="inlineStr">
        <is>
          <t>(</t>
        </is>
      </c>
      <c r="I637" s="314">
        <f>I591</f>
        <v/>
      </c>
      <c r="L637" s="13" t="inlineStr">
        <is>
          <t>)</t>
        </is>
      </c>
      <c r="M637" s="61" t="inlineStr">
        <is>
          <t>(</t>
        </is>
      </c>
      <c r="N637" s="61" t="n"/>
      <c r="O637" s="309" t="inlineStr">
        <is>
          <t>นายพิสุทธิศักดิ์  กล่อมนาค</t>
        </is>
      </c>
      <c r="R637" s="29" t="n"/>
      <c r="S637" s="310" t="inlineStr">
        <is>
          <t>)</t>
        </is>
      </c>
    </row>
    <row r="638" ht="22.2" customHeight="1" s="330">
      <c r="A638" s="483" t="inlineStr">
        <is>
          <t xml:space="preserve">                        ตำแหน่ง ครู</t>
        </is>
      </c>
      <c r="G638" s="331" t="n"/>
      <c r="H638" s="62" t="inlineStr">
        <is>
          <t>ตำแหน่ง หัวหน้าแผนก</t>
        </is>
      </c>
      <c r="L638" s="331" t="n"/>
      <c r="M638" s="62" t="inlineStr">
        <is>
          <t>ตำแหน่ง   ผู้ตรวจสอบ</t>
        </is>
      </c>
      <c r="S638" s="331" t="n"/>
    </row>
    <row r="639" ht="22.2" customHeight="1" s="330">
      <c r="A639" s="63">
        <f>A87</f>
        <v/>
      </c>
      <c r="B639" s="471" t="n"/>
      <c r="C639" s="471" t="n"/>
      <c r="D639" s="471" t="n"/>
      <c r="E639" s="471" t="n"/>
      <c r="F639" s="471" t="n"/>
      <c r="G639" s="476" t="n"/>
      <c r="H639" s="62">
        <f>A87</f>
        <v/>
      </c>
      <c r="L639" s="331" t="n"/>
      <c r="M639" s="63">
        <f>A87</f>
        <v/>
      </c>
      <c r="N639" s="471" t="n"/>
      <c r="O639" s="471" t="n"/>
      <c r="P639" s="471" t="n"/>
      <c r="Q639" s="471" t="n"/>
      <c r="R639" s="471" t="n"/>
      <c r="S639" s="476" t="n"/>
    </row>
    <row r="640" ht="22.2" customHeight="1" s="330">
      <c r="A640" s="207" t="inlineStr">
        <is>
          <t>ผู้ตรวจ</t>
        </is>
      </c>
      <c r="B640" s="334" t="n"/>
      <c r="C640" s="334" t="n"/>
      <c r="D640" s="334" t="n"/>
      <c r="E640" s="334" t="n"/>
      <c r="F640" s="334" t="n"/>
      <c r="G640" s="334" t="n"/>
      <c r="H640" s="334" t="n"/>
      <c r="I640" s="335" t="n"/>
      <c r="J640" s="207" t="inlineStr">
        <is>
          <t>ผู้เห็นชอบ</t>
        </is>
      </c>
      <c r="K640" s="334" t="n"/>
      <c r="L640" s="334" t="n"/>
      <c r="M640" s="334" t="n"/>
      <c r="N640" s="334" t="n"/>
      <c r="O640" s="334" t="n"/>
      <c r="P640" s="334" t="n"/>
      <c r="Q640" s="334" t="n"/>
      <c r="R640" s="334" t="n"/>
      <c r="S640" s="335" t="n"/>
    </row>
    <row r="641" ht="22.2" customHeight="1" s="330">
      <c r="A641" s="252" t="inlineStr">
        <is>
          <t>ลงชื่อ……………………………………………</t>
        </is>
      </c>
      <c r="I641" s="331" t="n"/>
      <c r="J641" s="252" t="inlineStr">
        <is>
          <t>ลงชื่อ……………………………………………</t>
        </is>
      </c>
      <c r="S641" s="331" t="n"/>
    </row>
    <row r="642" ht="22.2" customHeight="1" s="330">
      <c r="A642" s="12" t="n"/>
      <c r="B642" s="309" t="inlineStr">
        <is>
          <t xml:space="preserve">          (นางศิวรักษ์   บุญประเสริฐ)</t>
        </is>
      </c>
      <c r="I642" s="310" t="n"/>
      <c r="J642" s="29" t="n"/>
      <c r="K642" s="29" t="n"/>
      <c r="L642" s="309" t="inlineStr">
        <is>
          <t>(นายปรีชา  โพธิ์เกิด)</t>
        </is>
      </c>
      <c r="R642" s="29" t="n"/>
      <c r="S642" s="13" t="n"/>
    </row>
    <row r="643" ht="22.2" customHeight="1" s="330">
      <c r="A643" s="62" t="inlineStr">
        <is>
          <t>ตำแหน่งครู  หัวหน้างานพัฒนาหลักสูตร ฯ</t>
        </is>
      </c>
      <c r="I643" s="331" t="n"/>
      <c r="J643" s="62" t="inlineStr">
        <is>
          <t>ตำแหน่ง  รองผู้อำนวยการฝ่ายวิชาการ</t>
        </is>
      </c>
      <c r="S643" s="331" t="n"/>
    </row>
    <row r="644" ht="22.2" customHeight="1" s="330">
      <c r="A644" s="63">
        <f>A87</f>
        <v/>
      </c>
      <c r="B644" s="471" t="n"/>
      <c r="C644" s="471" t="n"/>
      <c r="D644" s="471" t="n"/>
      <c r="E644" s="471" t="n"/>
      <c r="F644" s="471" t="n"/>
      <c r="G644" s="471" t="n"/>
      <c r="H644" s="471" t="n"/>
      <c r="I644" s="476" t="n"/>
      <c r="J644" s="63">
        <f>A87</f>
        <v/>
      </c>
      <c r="K644" s="471" t="n"/>
      <c r="L644" s="471" t="n"/>
      <c r="M644" s="471" t="n"/>
      <c r="N644" s="471" t="n"/>
      <c r="O644" s="471" t="n"/>
      <c r="P644" s="471" t="n"/>
      <c r="Q644" s="471" t="n"/>
      <c r="R644" s="471" t="n"/>
      <c r="S644" s="476" t="n"/>
    </row>
    <row r="645" ht="22.2" customHeight="1" s="330">
      <c r="A64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46" ht="22.2" customHeight="1" s="330">
      <c r="A646" s="254">
        <f>A2</f>
        <v/>
      </c>
    </row>
    <row r="647" ht="22.2" customHeight="1" s="330">
      <c r="A647" s="253" t="inlineStr">
        <is>
          <t xml:space="preserve">    ระหว่างวันที่</t>
        </is>
      </c>
      <c r="D647" s="254">
        <f>D49</f>
        <v/>
      </c>
      <c r="E647" s="254" t="inlineStr">
        <is>
          <t xml:space="preserve">   เดือน  </t>
        </is>
      </c>
      <c r="F647" s="254">
        <f>F49</f>
        <v/>
      </c>
      <c r="H647" s="254">
        <f>H49</f>
        <v/>
      </c>
      <c r="I647" s="254" t="inlineStr">
        <is>
          <t xml:space="preserve">     ถึง วันที่</t>
        </is>
      </c>
      <c r="J647" s="254">
        <f>J49</f>
        <v/>
      </c>
      <c r="K647" s="254" t="inlineStr">
        <is>
          <t xml:space="preserve">   เดือน </t>
        </is>
      </c>
      <c r="L647" s="254">
        <f>L49</f>
        <v/>
      </c>
      <c r="N647" s="254">
        <f>N49</f>
        <v/>
      </c>
      <c r="P647" s="254" t="n"/>
      <c r="R647" s="254" t="n"/>
    </row>
    <row r="648" ht="22.2" customHeight="1" s="330">
      <c r="G648" s="58" t="inlineStr">
        <is>
          <t>ü</t>
        </is>
      </c>
      <c r="H648" s="301" t="inlineStr">
        <is>
          <t>ครู</t>
        </is>
      </c>
      <c r="I648" s="301" t="inlineStr">
        <is>
          <t>หน้าที่พิเศษ</t>
        </is>
      </c>
      <c r="J648" s="290" t="n"/>
      <c r="K648" s="290" t="n"/>
      <c r="L648" s="290" t="n"/>
      <c r="M648" s="290" t="n"/>
      <c r="N648" s="290" t="n"/>
      <c r="O648" s="290" t="n"/>
      <c r="P648" s="290" t="n"/>
      <c r="Q648" s="290" t="n"/>
      <c r="R648" s="290" t="n"/>
      <c r="S648" s="290" t="n"/>
    </row>
    <row r="649" ht="22.2" customHeight="1" s="330">
      <c r="A649" s="28" t="inlineStr">
        <is>
          <t>ที่</t>
        </is>
      </c>
      <c r="B649" s="28" t="inlineStr">
        <is>
          <t>ชื่อ-สกุล</t>
        </is>
      </c>
      <c r="C649" s="334" t="n"/>
      <c r="D649" s="335" t="n"/>
      <c r="E649" s="16" t="inlineStr">
        <is>
          <t>ตำแหน่ง</t>
        </is>
      </c>
      <c r="F649" s="17" t="inlineStr">
        <is>
          <t>ระยะเวลาที่สอน</t>
        </is>
      </c>
      <c r="G649" s="362" t="n"/>
      <c r="H649" s="17" t="inlineStr">
        <is>
          <t>รหัสวิชา</t>
        </is>
      </c>
      <c r="I649" s="275" t="inlineStr">
        <is>
          <t>ชั้น,แผนก,ห้อง</t>
        </is>
      </c>
      <c r="J649" s="17" t="inlineStr">
        <is>
          <t>เวลาสอน</t>
        </is>
      </c>
      <c r="K649" s="335" t="n"/>
      <c r="L649" s="17" t="inlineStr">
        <is>
          <t>ปวช.(คาบ)</t>
        </is>
      </c>
      <c r="M649" s="362" t="n"/>
      <c r="N649" s="244" t="inlineStr">
        <is>
          <t>เงิน</t>
        </is>
      </c>
      <c r="O649" s="275" t="inlineStr">
        <is>
          <t>ยอดเงิน</t>
        </is>
      </c>
      <c r="P649" s="473" t="inlineStr">
        <is>
          <t>ปวส.(คาบ)</t>
        </is>
      </c>
      <c r="Q649" s="362" t="n"/>
      <c r="R649" s="244" t="inlineStr">
        <is>
          <t>เงิน</t>
        </is>
      </c>
      <c r="S649" s="275" t="inlineStr">
        <is>
          <t>ยอดเงิน</t>
        </is>
      </c>
    </row>
    <row r="650" ht="22.2" customHeight="1" s="330">
      <c r="A650" s="60" t="n"/>
      <c r="B650" s="9" t="n"/>
      <c r="C650" s="10" t="n"/>
      <c r="D650" s="14" t="n"/>
      <c r="E650" s="11" t="n"/>
      <c r="F650" s="276" t="inlineStr">
        <is>
          <t>ส.</t>
        </is>
      </c>
      <c r="G650" s="276" t="inlineStr">
        <is>
          <t>วดป.</t>
        </is>
      </c>
      <c r="H650" s="474" t="n"/>
      <c r="I650" s="276" t="n"/>
      <c r="J650" s="475" t="n"/>
      <c r="K650" s="476" t="n"/>
      <c r="L650" s="276" t="inlineStr">
        <is>
          <t>ใน</t>
        </is>
      </c>
      <c r="M650" s="276" t="inlineStr">
        <is>
          <t>นอก</t>
        </is>
      </c>
      <c r="N650" s="276" t="inlineStr">
        <is>
          <t>ต่อ ชม.</t>
        </is>
      </c>
      <c r="O650" s="276" t="inlineStr">
        <is>
          <t>(บาท)</t>
        </is>
      </c>
      <c r="P650" s="60" t="inlineStr">
        <is>
          <t>ใน</t>
        </is>
      </c>
      <c r="Q650" s="60" t="inlineStr">
        <is>
          <t>นอก</t>
        </is>
      </c>
      <c r="R650" s="276" t="inlineStr">
        <is>
          <t>ต่อ ชม.</t>
        </is>
      </c>
      <c r="S650" s="276" t="inlineStr">
        <is>
          <t>(บาท)</t>
        </is>
      </c>
    </row>
    <row r="651" ht="22.2" customHeight="1" s="330">
      <c r="A651" s="275" t="n">
        <v>15</v>
      </c>
      <c r="B651" s="477">
        <f>AB17</f>
        <v/>
      </c>
      <c r="C651" s="334" t="n"/>
      <c r="D651" s="335" t="n"/>
      <c r="E651" s="275" t="inlineStr">
        <is>
          <t>ครู</t>
        </is>
      </c>
      <c r="F651" s="6">
        <f>F53</f>
        <v/>
      </c>
      <c r="G651" s="303" t="inlineStr">
        <is>
          <t>จันทร์</t>
        </is>
      </c>
      <c r="H651" s="252" t="inlineStr">
        <is>
          <t>30101-2007</t>
        </is>
      </c>
      <c r="I651" s="325" t="inlineStr">
        <is>
          <t>ปวส.1/6 ชย. (ปกติ)</t>
        </is>
      </c>
      <c r="J651" s="332" t="inlineStr">
        <is>
          <t>08.10-12.10</t>
        </is>
      </c>
      <c r="K651" s="335" t="n"/>
      <c r="L651" s="265" t="n"/>
      <c r="M651" s="332" t="n"/>
      <c r="N651" s="332" t="n"/>
      <c r="O651" s="244">
        <f>M651*N651</f>
        <v/>
      </c>
      <c r="P651" s="332" t="n"/>
      <c r="Q651" s="265" t="n"/>
      <c r="R651" s="332" t="n"/>
      <c r="S651" s="244">
        <f>Q651*R651</f>
        <v/>
      </c>
    </row>
    <row r="652" ht="22.2" customHeight="1" s="330">
      <c r="A652" s="4" t="n"/>
      <c r="B652" s="478" t="n"/>
      <c r="D652" s="331" t="n"/>
      <c r="E652" s="252" t="n"/>
      <c r="F652" s="249" t="n"/>
      <c r="G652" s="308">
        <f>G560</f>
        <v/>
      </c>
      <c r="H652" s="252" t="inlineStr">
        <is>
          <t>30101-2007</t>
        </is>
      </c>
      <c r="I652" s="325" t="inlineStr">
        <is>
          <t>ปวส.1/5 ชย. (ปกติ)</t>
        </is>
      </c>
      <c r="J652" s="252" t="inlineStr">
        <is>
          <t>13.10-17.10</t>
        </is>
      </c>
      <c r="K652" s="331" t="n"/>
      <c r="L652" s="252" t="n"/>
      <c r="M652" s="252" t="n"/>
      <c r="N652" s="252" t="n"/>
      <c r="O652" s="244">
        <f>M652*N652</f>
        <v/>
      </c>
      <c r="P652" s="252" t="n"/>
      <c r="Q652" s="252" t="n"/>
      <c r="R652" s="252" t="n"/>
      <c r="S652" s="244">
        <f>Q652*R652</f>
        <v/>
      </c>
    </row>
    <row r="653" ht="22.2" customHeight="1" s="330">
      <c r="A653" s="4" t="n"/>
      <c r="B653" s="5" t="n"/>
      <c r="D653" s="3" t="n"/>
      <c r="E653" s="3" t="n"/>
      <c r="F653" s="249" t="n"/>
      <c r="G653" s="248" t="n"/>
      <c r="H653" s="252" t="n"/>
      <c r="I653" s="252" t="n"/>
      <c r="J653" s="252" t="n"/>
      <c r="K653" s="331" t="n"/>
      <c r="L653" s="252" t="n"/>
      <c r="M653" s="252" t="n"/>
      <c r="N653" s="252" t="n"/>
      <c r="O653" s="244">
        <f>M653*N653</f>
        <v/>
      </c>
      <c r="P653" s="252" t="n"/>
      <c r="Q653" s="252" t="n"/>
      <c r="R653" s="252" t="n"/>
      <c r="S653" s="244">
        <f>Q653*R653</f>
        <v/>
      </c>
    </row>
    <row r="654" ht="22.2" customHeight="1" s="330">
      <c r="A654" s="4" t="n"/>
      <c r="B654" s="5" t="n"/>
      <c r="E654" s="4" t="n"/>
      <c r="F654" s="249" t="n"/>
      <c r="G654" s="248" t="n"/>
      <c r="H654" s="252" t="n"/>
      <c r="I654" s="252" t="n"/>
      <c r="J654" s="252" t="n"/>
      <c r="K654" s="331" t="n"/>
      <c r="L654" s="252" t="n"/>
      <c r="M654" s="252" t="n"/>
      <c r="N654" s="252" t="n"/>
      <c r="O654" s="244">
        <f>M654*N654</f>
        <v/>
      </c>
      <c r="P654" s="252" t="n"/>
      <c r="Q654" s="252" t="n"/>
      <c r="R654" s="252" t="n"/>
      <c r="S654" s="244">
        <f>Q654*R654</f>
        <v/>
      </c>
    </row>
    <row r="655" ht="22.2" customHeight="1" s="330">
      <c r="A655" s="4" t="n"/>
      <c r="E655" s="4" t="n"/>
      <c r="G655" s="311" t="n"/>
      <c r="H655" s="276" t="n"/>
      <c r="I655" s="276" t="n"/>
      <c r="J655" s="276" t="n"/>
      <c r="K655" s="476" t="n"/>
      <c r="L655" s="252" t="n"/>
      <c r="M655" s="252" t="n"/>
      <c r="N655" s="252" t="n"/>
      <c r="O655" s="244">
        <f>M655*N655</f>
        <v/>
      </c>
      <c r="P655" s="252" t="n"/>
      <c r="Q655" s="252" t="n"/>
      <c r="R655" s="252" t="n"/>
      <c r="S655" s="244">
        <f>Q655*R655</f>
        <v/>
      </c>
    </row>
    <row r="656" ht="22.2" customHeight="1" s="330">
      <c r="A656" s="4" t="n"/>
      <c r="E656" s="4" t="n"/>
      <c r="G656" s="62" t="inlineStr">
        <is>
          <t>อังคาร</t>
        </is>
      </c>
      <c r="H656" s="252" t="inlineStr">
        <is>
          <t>30101-2002</t>
        </is>
      </c>
      <c r="I656" s="325" t="inlineStr">
        <is>
          <t>ปวส.1/3,4 สย. (ม.6)</t>
        </is>
      </c>
      <c r="J656" s="332" t="inlineStr">
        <is>
          <t>08.10-11.10</t>
        </is>
      </c>
      <c r="K656" s="335" t="n"/>
      <c r="L656" s="265" t="n"/>
      <c r="M656" s="332" t="n"/>
      <c r="N656" s="332" t="n"/>
      <c r="O656" s="244">
        <f>M656*N656</f>
        <v/>
      </c>
      <c r="P656" s="332" t="n"/>
      <c r="Q656" s="265" t="n"/>
      <c r="R656" s="332" t="n"/>
      <c r="S656" s="244">
        <f>Q656*R656</f>
        <v/>
      </c>
    </row>
    <row r="657" ht="22.2" customHeight="1" s="330">
      <c r="A657" s="4" t="n"/>
      <c r="E657" s="4" t="n"/>
      <c r="G657" s="308">
        <f>G565</f>
        <v/>
      </c>
      <c r="H657" s="252" t="inlineStr">
        <is>
          <t>30101-2001</t>
        </is>
      </c>
      <c r="I657" s="325" t="inlineStr">
        <is>
          <t>ปวส.1/1,2 ชย. (ปกติ)</t>
        </is>
      </c>
      <c r="J657" s="252" t="inlineStr">
        <is>
          <t>13.10-16.10</t>
        </is>
      </c>
      <c r="K657" s="331" t="n"/>
      <c r="L657" s="252" t="n"/>
      <c r="M657" s="252" t="n"/>
      <c r="N657" s="252" t="n"/>
      <c r="O657" s="244">
        <f>M657*N657</f>
        <v/>
      </c>
      <c r="P657" s="252" t="n"/>
      <c r="Q657" s="252" t="n"/>
      <c r="R657" s="252" t="n"/>
      <c r="S657" s="244">
        <f>Q657*R657</f>
        <v/>
      </c>
    </row>
    <row r="658" ht="22.2" customHeight="1" s="330">
      <c r="A658" s="4" t="n"/>
      <c r="B658" s="5" t="n"/>
      <c r="D658" s="3" t="n"/>
      <c r="E658" s="3" t="n"/>
      <c r="G658" s="252" t="n"/>
      <c r="H658" s="325" t="n"/>
      <c r="I658" s="325" t="n"/>
      <c r="J658" s="325" t="n"/>
      <c r="K658" s="331" t="n"/>
      <c r="L658" s="252" t="n"/>
      <c r="M658" s="252" t="n"/>
      <c r="N658" s="252" t="n"/>
      <c r="O658" s="244">
        <f>M658*N658</f>
        <v/>
      </c>
      <c r="P658" s="252" t="n"/>
      <c r="Q658" s="252" t="n"/>
      <c r="R658" s="252" t="n"/>
      <c r="S658" s="244">
        <f>Q658*R658</f>
        <v/>
      </c>
    </row>
    <row r="659" ht="22.2" customHeight="1" s="330">
      <c r="A659" s="4" t="n"/>
      <c r="E659" s="4" t="n"/>
      <c r="G659" s="62" t="n"/>
      <c r="H659" s="249" t="n"/>
      <c r="I659" s="252" t="n"/>
      <c r="J659" s="252" t="n"/>
      <c r="K659" s="331" t="n"/>
      <c r="L659" s="252" t="n"/>
      <c r="M659" s="252" t="n"/>
      <c r="N659" s="252" t="n"/>
      <c r="O659" s="244">
        <f>M659*N659</f>
        <v/>
      </c>
      <c r="P659" s="252" t="n"/>
      <c r="Q659" s="252" t="n"/>
      <c r="R659" s="252" t="n"/>
      <c r="S659" s="244">
        <f>Q659*R659</f>
        <v/>
      </c>
    </row>
    <row r="660" ht="22.2" customHeight="1" s="330">
      <c r="A660" s="4" t="n"/>
      <c r="D660" s="8" t="inlineStr">
        <is>
          <t> </t>
        </is>
      </c>
      <c r="E660" s="4" t="n"/>
      <c r="G660" s="63" t="n"/>
      <c r="H660" s="276" t="n"/>
      <c r="I660" s="276" t="n"/>
      <c r="J660" s="276" t="n"/>
      <c r="K660" s="476" t="n"/>
      <c r="L660" s="252" t="n"/>
      <c r="M660" s="252" t="n"/>
      <c r="N660" s="252" t="n"/>
      <c r="O660" s="244">
        <f>M660*N660</f>
        <v/>
      </c>
      <c r="P660" s="252" t="n"/>
      <c r="Q660" s="252" t="n"/>
      <c r="R660" s="252" t="n"/>
      <c r="S660" s="244">
        <f>Q660*R660</f>
        <v/>
      </c>
    </row>
    <row r="661" ht="22.2" customHeight="1" s="330">
      <c r="A661" s="4" t="n"/>
      <c r="E661" s="4" t="n"/>
      <c r="G661" s="308" t="inlineStr">
        <is>
          <t>พุธ</t>
        </is>
      </c>
      <c r="H661" s="252" t="inlineStr">
        <is>
          <t>30101-2001</t>
        </is>
      </c>
      <c r="I661" s="325" t="inlineStr">
        <is>
          <t>ปวส.1/7 สย. (ทวิ)</t>
        </is>
      </c>
      <c r="J661" s="252" t="inlineStr">
        <is>
          <t>13.10-16.10</t>
        </is>
      </c>
      <c r="K661" s="331" t="n"/>
      <c r="L661" s="265" t="n"/>
      <c r="M661" s="332" t="n"/>
      <c r="N661" s="332" t="n"/>
      <c r="O661" s="244">
        <f>M661*N661</f>
        <v/>
      </c>
      <c r="P661" s="332" t="n"/>
      <c r="Q661" s="265" t="n"/>
      <c r="R661" s="332" t="n"/>
      <c r="S661" s="244">
        <f>Q661*R661</f>
        <v/>
      </c>
    </row>
    <row r="662" ht="22.2" customHeight="1" s="330">
      <c r="A662" s="4" t="n"/>
      <c r="B662" s="248" t="n"/>
      <c r="C662" s="249" t="n"/>
      <c r="D662" s="249" t="n"/>
      <c r="E662" s="252" t="n"/>
      <c r="G662" s="308">
        <f>G570</f>
        <v/>
      </c>
      <c r="H662" s="325" t="n"/>
      <c r="I662" s="325" t="n"/>
      <c r="J662" s="252" t="n"/>
      <c r="K662" s="331" t="n"/>
      <c r="L662" s="252" t="n"/>
      <c r="M662" s="252" t="n"/>
      <c r="N662" s="252" t="n"/>
      <c r="O662" s="244">
        <f>M662*N662</f>
        <v/>
      </c>
      <c r="P662" s="252" t="n"/>
      <c r="Q662" s="252" t="n"/>
      <c r="R662" s="252" t="n"/>
      <c r="S662" s="244">
        <f>Q662*R662</f>
        <v/>
      </c>
    </row>
    <row r="663" ht="22.2" customHeight="1" s="330">
      <c r="A663" s="4" t="n"/>
      <c r="B663" s="5" t="n"/>
      <c r="D663" s="3" t="n"/>
      <c r="E663" s="3" t="n"/>
      <c r="G663" s="252" t="n"/>
      <c r="H663" s="325" t="n"/>
      <c r="I663" s="325" t="n"/>
      <c r="J663" s="325" t="n"/>
      <c r="K663" s="331" t="n"/>
      <c r="L663" s="252" t="n"/>
      <c r="M663" s="252" t="n"/>
      <c r="N663" s="252" t="n"/>
      <c r="O663" s="244">
        <f>M663*N663</f>
        <v/>
      </c>
      <c r="P663" s="252" t="n"/>
      <c r="Q663" s="252" t="n"/>
      <c r="R663" s="252" t="n"/>
      <c r="S663" s="244">
        <f>Q663*R663</f>
        <v/>
      </c>
    </row>
    <row r="664" ht="22.2" customHeight="1" s="330">
      <c r="A664" s="4" t="n"/>
      <c r="E664" s="4" t="n"/>
      <c r="G664" s="248" t="n"/>
      <c r="H664" s="248" t="n"/>
      <c r="I664" s="252" t="n"/>
      <c r="J664" s="252" t="n"/>
      <c r="K664" s="331" t="n"/>
      <c r="L664" s="252" t="n"/>
      <c r="M664" s="252" t="n"/>
      <c r="N664" s="252" t="n"/>
      <c r="O664" s="244">
        <f>M664*N664</f>
        <v/>
      </c>
      <c r="P664" s="252" t="n"/>
      <c r="Q664" s="252" t="n"/>
      <c r="R664" s="252" t="n"/>
      <c r="S664" s="244">
        <f>Q664*R664</f>
        <v/>
      </c>
    </row>
    <row r="665" ht="22.2" customHeight="1" s="330">
      <c r="A665" s="4" t="n"/>
      <c r="E665" s="4" t="n"/>
      <c r="G665" s="277" t="n"/>
      <c r="H665" s="277" t="n"/>
      <c r="I665" s="276" t="n"/>
      <c r="J665" s="276" t="n"/>
      <c r="K665" s="476" t="n"/>
      <c r="L665" s="276" t="n"/>
      <c r="M665" s="276" t="n"/>
      <c r="N665" s="276" t="n"/>
      <c r="O665" s="244">
        <f>M665*N665</f>
        <v/>
      </c>
      <c r="P665" s="276" t="n"/>
      <c r="Q665" s="276" t="n"/>
      <c r="R665" s="276" t="n"/>
      <c r="S665" s="244">
        <f>Q665*R665</f>
        <v/>
      </c>
    </row>
    <row r="666" ht="22.2" customHeight="1" s="330">
      <c r="A666" s="4" t="n"/>
      <c r="E666" s="4" t="n"/>
      <c r="G666" s="62" t="inlineStr">
        <is>
          <t>พฤหัส</t>
        </is>
      </c>
      <c r="H666" s="252" t="inlineStr">
        <is>
          <t>30101-2007</t>
        </is>
      </c>
      <c r="I666" s="325" t="inlineStr">
        <is>
          <t>ปวส.1/4 สย. (ม.6)</t>
        </is>
      </c>
      <c r="J666" s="332" t="inlineStr">
        <is>
          <t>08.10-12.10</t>
        </is>
      </c>
      <c r="K666" s="335" t="n"/>
      <c r="L666" s="265" t="n"/>
      <c r="M666" s="332" t="n"/>
      <c r="N666" s="325" t="n"/>
      <c r="O666" s="244">
        <f>M666*N666</f>
        <v/>
      </c>
      <c r="P666" s="252" t="n"/>
      <c r="Q666" s="275" t="n"/>
      <c r="R666" s="275" t="n"/>
      <c r="S666" s="244">
        <f>Q666*R666</f>
        <v/>
      </c>
    </row>
    <row r="667" ht="22.2" customHeight="1" s="330">
      <c r="A667" s="4" t="n"/>
      <c r="E667" s="4" t="n"/>
      <c r="G667" s="308">
        <f>G575</f>
        <v/>
      </c>
      <c r="H667" s="252" t="inlineStr">
        <is>
          <t>30101-2007</t>
        </is>
      </c>
      <c r="I667" s="325" t="inlineStr">
        <is>
          <t>ปวส.1/3 สย. (ม.6)</t>
        </is>
      </c>
      <c r="J667" s="252" t="inlineStr">
        <is>
          <t>15.10-19.10</t>
        </is>
      </c>
      <c r="K667" s="331" t="n"/>
      <c r="L667" s="252" t="n"/>
      <c r="M667" s="252" t="n"/>
      <c r="N667" s="252" t="n"/>
      <c r="O667" s="244">
        <f>M667*N667</f>
        <v/>
      </c>
      <c r="P667" s="252" t="n"/>
      <c r="Q667" s="252" t="n"/>
      <c r="R667" s="252" t="n"/>
      <c r="S667" s="244">
        <f>Q667*R667</f>
        <v/>
      </c>
    </row>
    <row r="668" ht="22.2" customHeight="1" s="330">
      <c r="A668" s="4" t="n"/>
      <c r="B668" s="5" t="n"/>
      <c r="E668" s="4" t="n"/>
      <c r="G668" s="252" t="n"/>
      <c r="H668" s="325" t="n"/>
      <c r="I668" s="325" t="n"/>
      <c r="J668" s="325" t="n"/>
      <c r="K668" s="331" t="n"/>
      <c r="L668" s="325" t="n"/>
      <c r="M668" s="325" t="n"/>
      <c r="N668" s="325" t="n"/>
      <c r="O668" s="244">
        <f>M668*N668</f>
        <v/>
      </c>
      <c r="P668" s="325" t="n"/>
      <c r="Q668" s="325" t="n"/>
      <c r="R668" s="325" t="n"/>
      <c r="S668" s="244">
        <f>Q668*R668</f>
        <v/>
      </c>
    </row>
    <row r="669" ht="22.2" customHeight="1" s="330">
      <c r="A669" s="4" t="n"/>
      <c r="E669" s="4" t="n"/>
      <c r="G669" s="252" t="n"/>
      <c r="H669" s="252" t="n"/>
      <c r="I669" s="252" t="n"/>
      <c r="J669" s="252" t="n"/>
      <c r="K669" s="331" t="n"/>
      <c r="L669" s="252" t="n"/>
      <c r="M669" s="252" t="n"/>
      <c r="N669" s="252" t="n"/>
      <c r="O669" s="244">
        <f>M669*N669</f>
        <v/>
      </c>
      <c r="P669" s="252" t="n"/>
      <c r="Q669" s="252" t="n"/>
      <c r="R669" s="252" t="n"/>
      <c r="S669" s="244">
        <f>Q669*R669</f>
        <v/>
      </c>
    </row>
    <row r="670" ht="22.2" customHeight="1" s="330">
      <c r="A670" s="4" t="n"/>
      <c r="E670" s="4" t="n"/>
      <c r="G670" s="276" t="n"/>
      <c r="H670" s="301" t="n"/>
      <c r="I670" s="276" t="n"/>
      <c r="J670" s="276" t="n"/>
      <c r="K670" s="476" t="n"/>
      <c r="L670" s="276" t="n"/>
      <c r="M670" s="276" t="n"/>
      <c r="N670" s="276" t="n"/>
      <c r="O670" s="244">
        <f>M670*N670</f>
        <v/>
      </c>
      <c r="P670" s="276" t="n"/>
      <c r="Q670" s="276" t="n"/>
      <c r="R670" s="276" t="n"/>
      <c r="S670" s="244">
        <f>Q670*R670</f>
        <v/>
      </c>
    </row>
    <row r="671" ht="22.2" customHeight="1" s="330">
      <c r="A671" s="4" t="n"/>
      <c r="E671" s="4" t="n"/>
      <c r="G671" s="62" t="inlineStr">
        <is>
          <t>ศุกร์</t>
        </is>
      </c>
      <c r="H671" s="252" t="inlineStr">
        <is>
          <t>30101-2007</t>
        </is>
      </c>
      <c r="I671" s="325" t="inlineStr">
        <is>
          <t>ปวส.1/7 สย. (ทวิ)</t>
        </is>
      </c>
      <c r="J671" s="332" t="inlineStr">
        <is>
          <t>08.10-12.10</t>
        </is>
      </c>
      <c r="K671" s="335" t="n"/>
      <c r="L671" s="265" t="n"/>
      <c r="M671" s="332" t="n"/>
      <c r="N671" s="332" t="n"/>
      <c r="O671" s="244">
        <f>M671*N671</f>
        <v/>
      </c>
      <c r="P671" s="332" t="n"/>
      <c r="Q671" s="265" t="n"/>
      <c r="R671" s="332" t="n"/>
      <c r="S671" s="244">
        <f>Q671*R671</f>
        <v/>
      </c>
    </row>
    <row r="672" ht="22.2" customHeight="1" s="330">
      <c r="A672" s="4" t="n"/>
      <c r="E672" s="4" t="n"/>
      <c r="G672" s="308">
        <f>G580</f>
        <v/>
      </c>
      <c r="H672" s="325" t="n"/>
      <c r="I672" s="325" t="n"/>
      <c r="J672" s="325" t="n"/>
      <c r="K672" s="331" t="n"/>
      <c r="L672" s="252" t="n"/>
      <c r="M672" s="252" t="n"/>
      <c r="N672" s="252" t="n"/>
      <c r="O672" s="244">
        <f>M672*N672</f>
        <v/>
      </c>
      <c r="P672" s="252" t="n"/>
      <c r="Q672" s="252" t="n"/>
      <c r="R672" s="252" t="n"/>
      <c r="S672" s="244">
        <f>Q672*R672</f>
        <v/>
      </c>
    </row>
    <row r="673" ht="22.2" customHeight="1" s="330">
      <c r="A673" s="4" t="n"/>
      <c r="E673" s="4" t="n"/>
      <c r="G673" s="252" t="n"/>
      <c r="H673" s="325" t="n"/>
      <c r="I673" s="325" t="n"/>
      <c r="J673" s="325" t="n"/>
      <c r="K673" s="331" t="n"/>
      <c r="L673" s="252" t="n"/>
      <c r="M673" s="252" t="n"/>
      <c r="N673" s="252" t="n"/>
      <c r="O673" s="244">
        <f>M673*N673</f>
        <v/>
      </c>
      <c r="P673" s="252" t="n"/>
      <c r="Q673" s="252" t="n"/>
      <c r="R673" s="252" t="n"/>
      <c r="S673" s="244">
        <f>Q673*R673</f>
        <v/>
      </c>
    </row>
    <row r="674" ht="22.2" customHeight="1" s="330">
      <c r="A674" s="4" t="n"/>
      <c r="E674" s="4" t="n"/>
      <c r="G674" s="252" t="n"/>
      <c r="H674" s="249" t="n"/>
      <c r="I674" s="252" t="n"/>
      <c r="J674" s="252" t="n"/>
      <c r="K674" s="331" t="n"/>
      <c r="L674" s="252" t="n"/>
      <c r="M674" s="252" t="n"/>
      <c r="N674" s="252" t="n"/>
      <c r="O674" s="244">
        <f>M674*N674</f>
        <v/>
      </c>
      <c r="P674" s="252" t="n"/>
      <c r="Q674" s="252" t="n"/>
      <c r="R674" s="252" t="n"/>
      <c r="S674" s="244">
        <f>Q674*R674</f>
        <v/>
      </c>
    </row>
    <row r="675" ht="22.2" customHeight="1" s="330">
      <c r="A675" s="4" t="n"/>
      <c r="E675" s="4" t="n"/>
      <c r="F675" s="4" t="n"/>
      <c r="G675" s="278" t="n"/>
      <c r="H675" s="301" t="n"/>
      <c r="I675" s="276" t="n"/>
      <c r="J675" s="276" t="n"/>
      <c r="K675" s="476" t="n"/>
      <c r="L675" s="276" t="n"/>
      <c r="M675" s="276" t="n"/>
      <c r="N675" s="276" t="n"/>
      <c r="O675" s="244">
        <f>M675*N675</f>
        <v/>
      </c>
      <c r="P675" s="276" t="n"/>
      <c r="Q675" s="276" t="n"/>
      <c r="R675" s="276" t="n"/>
      <c r="S675" s="244">
        <f>Q675*R675</f>
        <v/>
      </c>
    </row>
    <row r="676" ht="22.2" customHeight="1" s="330">
      <c r="A676" s="4" t="n"/>
      <c r="E676" s="4" t="n"/>
      <c r="F676" s="4" t="n"/>
      <c r="G676" s="17" t="inlineStr">
        <is>
          <t>รวมขั่วโมงที่สอนแยก ภาระงาน/ เกินภาระงาน</t>
        </is>
      </c>
      <c r="H676" s="467" t="n"/>
      <c r="I676" s="467" t="n"/>
      <c r="J676" s="467" t="n"/>
      <c r="K676" s="362" t="n"/>
      <c r="L676" s="17">
        <f>SUM(L651:L675)</f>
        <v/>
      </c>
      <c r="M676" s="17">
        <f>SUM(M651:M675)</f>
        <v/>
      </c>
      <c r="N676" s="17" t="n"/>
      <c r="O676" s="17" t="n"/>
      <c r="P676" s="17">
        <f>SUM(P651:P675)</f>
        <v/>
      </c>
      <c r="Q676" s="17">
        <f>SUM(Q651:Q675)</f>
        <v/>
      </c>
      <c r="R676" s="279" t="n"/>
      <c r="S676" s="17" t="n"/>
    </row>
    <row r="677" ht="22.2" customHeight="1" s="330">
      <c r="A677" s="4" t="n"/>
      <c r="E677" s="4" t="n"/>
      <c r="F677" s="4" t="n"/>
      <c r="G677" s="17" t="inlineStr">
        <is>
          <t>รวมจำนวนชั่วโมงสอนคาบต่อสับดาห์</t>
        </is>
      </c>
      <c r="H677" s="467" t="n"/>
      <c r="I677" s="467" t="n"/>
      <c r="J677" s="467" t="n"/>
      <c r="K677" s="362" t="n"/>
      <c r="L677" s="17">
        <f>L676+M676</f>
        <v/>
      </c>
      <c r="M677" s="362" t="n"/>
      <c r="N677" s="298" t="n"/>
      <c r="O677" s="17" t="n"/>
      <c r="P677" s="17">
        <f>P676+Q676</f>
        <v/>
      </c>
      <c r="Q677" s="362" t="n"/>
      <c r="R677" s="278" t="n"/>
      <c r="S677" s="276" t="n"/>
    </row>
    <row r="678" ht="22.2" customHeight="1" s="330">
      <c r="A678" s="4" t="n"/>
      <c r="E678" s="4" t="n"/>
      <c r="F678" s="4" t="n"/>
      <c r="G678" s="17" t="inlineStr">
        <is>
          <t>จำนวนชั่วโมงสอนตามภาระงานสอน</t>
        </is>
      </c>
      <c r="H678" s="467" t="n"/>
      <c r="I678" s="467" t="n"/>
      <c r="J678" s="467" t="n"/>
      <c r="K678" s="362" t="n"/>
      <c r="L678" s="17" t="n">
        <v>0</v>
      </c>
      <c r="M678" s="362" t="n"/>
      <c r="N678" s="298" t="n"/>
      <c r="O678" s="17" t="n"/>
      <c r="P678" s="17" t="n">
        <v>15</v>
      </c>
      <c r="Q678" s="362" t="n"/>
      <c r="R678" s="249" t="n"/>
      <c r="S678" s="252" t="n"/>
    </row>
    <row r="679" ht="22.2" customHeight="1" s="330" thickBot="1">
      <c r="A679" s="4" t="n"/>
      <c r="E679" s="4" t="n"/>
      <c r="F679" s="15" t="n"/>
      <c r="G679" s="17" t="inlineStr">
        <is>
          <t>จำนวนชั่วโมงบิกเกินภาระงานสอน/ค่าสอน</t>
        </is>
      </c>
      <c r="H679" s="467" t="n"/>
      <c r="I679" s="467" t="n"/>
      <c r="J679" s="467" t="n"/>
      <c r="K679" s="362" t="n"/>
      <c r="L679" s="18" t="n">
        <v>0</v>
      </c>
      <c r="M679" s="18">
        <f>SUM(M651:M675)</f>
        <v/>
      </c>
      <c r="N679" s="18" t="n"/>
      <c r="O679" s="18">
        <f>SUM(O651:O675)</f>
        <v/>
      </c>
      <c r="P679" s="18" t="n">
        <v>0</v>
      </c>
      <c r="Q679" s="18">
        <f>SUM(Q651:Q675)</f>
        <v/>
      </c>
      <c r="R679" s="19" t="n"/>
      <c r="S679" s="18">
        <f>SUM(S651:S675)</f>
        <v/>
      </c>
    </row>
    <row r="680" ht="22.2" customHeight="1" s="330" thickTop="1">
      <c r="A680" s="299" t="inlineStr">
        <is>
          <t>รวมจำนวนหน่วยชั่วโมงที่ขอเบิกค่าสอน ….</t>
        </is>
      </c>
      <c r="B680" s="467" t="n"/>
      <c r="C680" s="467" t="n"/>
      <c r="D680" s="467" t="n"/>
      <c r="E680" s="467" t="n"/>
      <c r="F680" s="467" t="n"/>
      <c r="G680" s="467" t="n"/>
      <c r="H680" s="298">
        <f>M679+Q679</f>
        <v/>
      </c>
      <c r="I680" s="298" t="inlineStr">
        <is>
          <t>….ชั่วโมง</t>
        </is>
      </c>
      <c r="J680" s="298" t="n"/>
      <c r="K680" s="301" t="inlineStr">
        <is>
          <t>ยอดเงินรวม</t>
        </is>
      </c>
      <c r="L680" s="471" t="n"/>
      <c r="M680" s="471" t="n"/>
      <c r="N680" s="301" t="n"/>
      <c r="O680" s="301" t="n"/>
      <c r="P680" s="302">
        <f>S679+O679</f>
        <v/>
      </c>
      <c r="Q680" s="482" t="n"/>
      <c r="R680" s="21" t="n"/>
      <c r="S680" s="20" t="inlineStr">
        <is>
          <t>..บาท</t>
        </is>
      </c>
    </row>
    <row r="681" ht="22.2" customHeight="1" s="330">
      <c r="A681" s="207" t="inlineStr">
        <is>
          <t>ผู้ขอเบิก</t>
        </is>
      </c>
      <c r="B681" s="334" t="n"/>
      <c r="C681" s="334" t="n"/>
      <c r="D681" s="334" t="n"/>
      <c r="E681" s="334" t="n"/>
      <c r="F681" s="334" t="n"/>
      <c r="G681" s="335" t="n"/>
      <c r="H681" s="207" t="inlineStr">
        <is>
          <t>ผู้รับรอง</t>
        </is>
      </c>
      <c r="I681" s="334" t="n"/>
      <c r="J681" s="334" t="n"/>
      <c r="K681" s="334" t="n"/>
      <c r="L681" s="335" t="n"/>
      <c r="M681" s="207" t="inlineStr">
        <is>
          <t>ผู้ตรวจ</t>
        </is>
      </c>
      <c r="N681" s="334" t="n"/>
      <c r="O681" s="334" t="n"/>
      <c r="P681" s="334" t="n"/>
      <c r="Q681" s="334" t="n"/>
      <c r="R681" s="334" t="n"/>
      <c r="S681" s="335" t="n"/>
    </row>
    <row r="682" ht="22.2" customHeight="1" s="330">
      <c r="A682" s="252" t="inlineStr">
        <is>
          <t>ลงชื่อ……………………………………………</t>
        </is>
      </c>
      <c r="G682" s="331" t="n"/>
      <c r="H682" s="252" t="inlineStr">
        <is>
          <t>ลงชื่อ……………………………………………</t>
        </is>
      </c>
      <c r="L682" s="331" t="n"/>
      <c r="M682" s="252" t="inlineStr">
        <is>
          <t>ลงชื่อ……………………………………………</t>
        </is>
      </c>
      <c r="S682" s="331" t="n"/>
    </row>
    <row r="683" ht="22.2" customHeight="1" s="330">
      <c r="A683" s="12" t="inlineStr">
        <is>
          <t>(</t>
        </is>
      </c>
      <c r="B683" s="309">
        <f>B651</f>
        <v/>
      </c>
      <c r="G683" s="310" t="inlineStr">
        <is>
          <t>)</t>
        </is>
      </c>
      <c r="H683" s="309" t="inlineStr">
        <is>
          <t>(</t>
        </is>
      </c>
      <c r="I683" s="314">
        <f>I637</f>
        <v/>
      </c>
      <c r="L683" s="13" t="inlineStr">
        <is>
          <t>)</t>
        </is>
      </c>
      <c r="M683" s="61" t="inlineStr">
        <is>
          <t>(</t>
        </is>
      </c>
      <c r="N683" s="61" t="n"/>
      <c r="O683" s="309" t="inlineStr">
        <is>
          <t>นายพิสุทธิศักดิ์  กล่อมนาค</t>
        </is>
      </c>
      <c r="R683" s="29" t="n"/>
      <c r="S683" s="310" t="inlineStr">
        <is>
          <t>)</t>
        </is>
      </c>
    </row>
    <row r="684" ht="22.2" customHeight="1" s="330">
      <c r="A684" s="483" t="inlineStr">
        <is>
          <t xml:space="preserve">                        ตำแหน่ง ครู</t>
        </is>
      </c>
      <c r="G684" s="331" t="n"/>
      <c r="H684" s="62" t="inlineStr">
        <is>
          <t>ตำแหน่ง หัวหน้าแผนก</t>
        </is>
      </c>
      <c r="L684" s="331" t="n"/>
      <c r="M684" s="62" t="inlineStr">
        <is>
          <t>ตำแหน่ง   ผู้ตรวจสอบ</t>
        </is>
      </c>
      <c r="S684" s="331" t="n"/>
    </row>
    <row r="685" ht="22.2" customHeight="1" s="330">
      <c r="A685" s="63">
        <f>A87</f>
        <v/>
      </c>
      <c r="B685" s="471" t="n"/>
      <c r="C685" s="471" t="n"/>
      <c r="D685" s="471" t="n"/>
      <c r="E685" s="471" t="n"/>
      <c r="F685" s="471" t="n"/>
      <c r="G685" s="476" t="n"/>
      <c r="H685" s="62">
        <f>A87</f>
        <v/>
      </c>
      <c r="L685" s="331" t="n"/>
      <c r="M685" s="63">
        <f>A87</f>
        <v/>
      </c>
      <c r="N685" s="471" t="n"/>
      <c r="O685" s="471" t="n"/>
      <c r="P685" s="471" t="n"/>
      <c r="Q685" s="471" t="n"/>
      <c r="R685" s="471" t="n"/>
      <c r="S685" s="476" t="n"/>
    </row>
    <row r="686" ht="22.2" customHeight="1" s="330">
      <c r="A686" s="207" t="inlineStr">
        <is>
          <t>ผู้ตรวจ</t>
        </is>
      </c>
      <c r="B686" s="334" t="n"/>
      <c r="C686" s="334" t="n"/>
      <c r="D686" s="334" t="n"/>
      <c r="E686" s="334" t="n"/>
      <c r="F686" s="334" t="n"/>
      <c r="G686" s="334" t="n"/>
      <c r="H686" s="334" t="n"/>
      <c r="I686" s="335" t="n"/>
      <c r="J686" s="207" t="inlineStr">
        <is>
          <t>ผู้เห็นชอบ</t>
        </is>
      </c>
      <c r="K686" s="334" t="n"/>
      <c r="L686" s="334" t="n"/>
      <c r="M686" s="334" t="n"/>
      <c r="N686" s="334" t="n"/>
      <c r="O686" s="334" t="n"/>
      <c r="P686" s="334" t="n"/>
      <c r="Q686" s="334" t="n"/>
      <c r="R686" s="334" t="n"/>
      <c r="S686" s="335" t="n"/>
    </row>
    <row r="687" ht="22.2" customHeight="1" s="330">
      <c r="A687" s="252" t="inlineStr">
        <is>
          <t>ลงชื่อ……………………………………………</t>
        </is>
      </c>
      <c r="I687" s="331" t="n"/>
      <c r="J687" s="252" t="inlineStr">
        <is>
          <t>ลงชื่อ……………………………………………</t>
        </is>
      </c>
      <c r="S687" s="331" t="n"/>
    </row>
    <row r="688" ht="22.2" customHeight="1" s="330">
      <c r="A688" s="12" t="n"/>
      <c r="B688" s="309" t="inlineStr">
        <is>
          <t xml:space="preserve">          (นางศิวรักษ์   บุญประเสริฐ)</t>
        </is>
      </c>
      <c r="I688" s="310" t="n"/>
      <c r="J688" s="29" t="n"/>
      <c r="K688" s="29" t="n"/>
      <c r="L688" s="309" t="inlineStr">
        <is>
          <t>(นายปรีชา  โพธิ์เกิด)</t>
        </is>
      </c>
      <c r="R688" s="29" t="n"/>
      <c r="S688" s="13" t="n"/>
    </row>
    <row r="689" ht="22.2" customHeight="1" s="330">
      <c r="A689" s="62" t="inlineStr">
        <is>
          <t>ตำแหน่งครู  หัวหน้างานพัฒนาหลักสูตร ฯ</t>
        </is>
      </c>
      <c r="I689" s="331" t="n"/>
      <c r="J689" s="62" t="inlineStr">
        <is>
          <t>ตำแหน่ง  รองผู้อำนวยการฝ่ายวิชาการ</t>
        </is>
      </c>
      <c r="S689" s="331" t="n"/>
    </row>
    <row r="690" ht="22.2" customHeight="1" s="330">
      <c r="A690" s="63">
        <f>A87</f>
        <v/>
      </c>
      <c r="B690" s="471" t="n"/>
      <c r="C690" s="471" t="n"/>
      <c r="D690" s="471" t="n"/>
      <c r="E690" s="471" t="n"/>
      <c r="F690" s="471" t="n"/>
      <c r="G690" s="471" t="n"/>
      <c r="H690" s="471" t="n"/>
      <c r="I690" s="476" t="n"/>
      <c r="J690" s="63">
        <f>A87</f>
        <v/>
      </c>
      <c r="K690" s="471" t="n"/>
      <c r="L690" s="471" t="n"/>
      <c r="M690" s="471" t="n"/>
      <c r="N690" s="471" t="n"/>
      <c r="O690" s="471" t="n"/>
      <c r="P690" s="471" t="n"/>
      <c r="Q690" s="471" t="n"/>
      <c r="R690" s="471" t="n"/>
      <c r="S690" s="476" t="n"/>
    </row>
    <row r="691" ht="22.2" customHeight="1" s="330">
      <c r="A69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92" ht="22.2" customHeight="1" s="330">
      <c r="A692" s="254">
        <f>A2</f>
        <v/>
      </c>
    </row>
    <row r="693" ht="22.2" customHeight="1" s="330">
      <c r="A693" s="253" t="inlineStr">
        <is>
          <t xml:space="preserve">    ระหว่างวันที่</t>
        </is>
      </c>
      <c r="D693" s="254">
        <f>D95</f>
        <v/>
      </c>
      <c r="E693" s="254" t="inlineStr">
        <is>
          <t xml:space="preserve">   เดือน  </t>
        </is>
      </c>
      <c r="F693" s="254">
        <f>F95</f>
        <v/>
      </c>
      <c r="H693" s="254">
        <f>H95</f>
        <v/>
      </c>
      <c r="I693" s="254" t="inlineStr">
        <is>
          <t xml:space="preserve">     ถึง วันที่</t>
        </is>
      </c>
      <c r="J693" s="254">
        <f>J95</f>
        <v/>
      </c>
      <c r="K693" s="254" t="inlineStr">
        <is>
          <t xml:space="preserve">   เดือน </t>
        </is>
      </c>
      <c r="L693" s="254">
        <f>L95</f>
        <v/>
      </c>
      <c r="N693" s="254">
        <f>N95</f>
        <v/>
      </c>
      <c r="P693" s="254" t="n"/>
      <c r="R693" s="254" t="n"/>
    </row>
    <row r="694" ht="22.2" customHeight="1" s="330">
      <c r="G694" s="58" t="inlineStr">
        <is>
          <t>ü</t>
        </is>
      </c>
      <c r="H694" s="301" t="inlineStr">
        <is>
          <t>ครู</t>
        </is>
      </c>
      <c r="I694" s="301" t="inlineStr">
        <is>
          <t>หน้าที่พิเศษ</t>
        </is>
      </c>
      <c r="J694" s="290" t="n"/>
      <c r="K694" s="290" t="n"/>
      <c r="L694" s="290" t="n"/>
      <c r="M694" s="290" t="n"/>
      <c r="N694" s="290" t="n"/>
      <c r="O694" s="290" t="n"/>
      <c r="P694" s="290" t="n"/>
      <c r="Q694" s="290" t="n"/>
      <c r="R694" s="290" t="n"/>
      <c r="S694" s="290" t="n"/>
    </row>
    <row r="695" ht="22.2" customHeight="1" s="330">
      <c r="A695" s="28" t="inlineStr">
        <is>
          <t>ที่</t>
        </is>
      </c>
      <c r="B695" s="28" t="inlineStr">
        <is>
          <t>ชื่อ-สกุล</t>
        </is>
      </c>
      <c r="C695" s="334" t="n"/>
      <c r="D695" s="335" t="n"/>
      <c r="E695" s="16" t="inlineStr">
        <is>
          <t>ตำแหน่ง</t>
        </is>
      </c>
      <c r="F695" s="17" t="inlineStr">
        <is>
          <t>ระยะเวลาที่สอน</t>
        </is>
      </c>
      <c r="G695" s="362" t="n"/>
      <c r="H695" s="17" t="inlineStr">
        <is>
          <t>รหัสวิชา</t>
        </is>
      </c>
      <c r="I695" s="275" t="inlineStr">
        <is>
          <t>ชั้น,แผนก,ห้อง</t>
        </is>
      </c>
      <c r="J695" s="17" t="inlineStr">
        <is>
          <t>เวลาสอน</t>
        </is>
      </c>
      <c r="K695" s="335" t="n"/>
      <c r="L695" s="17" t="inlineStr">
        <is>
          <t>ปวช.(คาบ)</t>
        </is>
      </c>
      <c r="M695" s="362" t="n"/>
      <c r="N695" s="244" t="inlineStr">
        <is>
          <t>เงิน</t>
        </is>
      </c>
      <c r="O695" s="275" t="inlineStr">
        <is>
          <t>ยอดเงิน</t>
        </is>
      </c>
      <c r="P695" s="473" t="inlineStr">
        <is>
          <t>ปวส.(คาบ)</t>
        </is>
      </c>
      <c r="Q695" s="362" t="n"/>
      <c r="R695" s="244" t="inlineStr">
        <is>
          <t>เงิน</t>
        </is>
      </c>
      <c r="S695" s="275" t="inlineStr">
        <is>
          <t>ยอดเงิน</t>
        </is>
      </c>
    </row>
    <row r="696" ht="22.2" customHeight="1" s="330">
      <c r="A696" s="60" t="n"/>
      <c r="B696" s="9" t="n"/>
      <c r="C696" s="10" t="n"/>
      <c r="D696" s="14" t="n"/>
      <c r="E696" s="11" t="n"/>
      <c r="F696" s="276" t="inlineStr">
        <is>
          <t>ส.</t>
        </is>
      </c>
      <c r="G696" s="276" t="inlineStr">
        <is>
          <t>วดป.</t>
        </is>
      </c>
      <c r="H696" s="474" t="n"/>
      <c r="I696" s="276" t="n"/>
      <c r="J696" s="475" t="n"/>
      <c r="K696" s="476" t="n"/>
      <c r="L696" s="276" t="inlineStr">
        <is>
          <t>ใน</t>
        </is>
      </c>
      <c r="M696" s="276" t="inlineStr">
        <is>
          <t>นอก</t>
        </is>
      </c>
      <c r="N696" s="276" t="inlineStr">
        <is>
          <t>ต่อ ชม.</t>
        </is>
      </c>
      <c r="O696" s="276" t="inlineStr">
        <is>
          <t>(บาท)</t>
        </is>
      </c>
      <c r="P696" s="60" t="inlineStr">
        <is>
          <t>ใน</t>
        </is>
      </c>
      <c r="Q696" s="60" t="inlineStr">
        <is>
          <t>นอก</t>
        </is>
      </c>
      <c r="R696" s="276" t="inlineStr">
        <is>
          <t>ต่อ ชม.</t>
        </is>
      </c>
      <c r="S696" s="276" t="inlineStr">
        <is>
          <t>(บาท)</t>
        </is>
      </c>
    </row>
    <row r="697" ht="22.2" customHeight="1" s="330">
      <c r="A697" s="275" t="n">
        <v>16</v>
      </c>
      <c r="B697" s="477">
        <f>AB18</f>
        <v/>
      </c>
      <c r="C697" s="334" t="n"/>
      <c r="D697" s="335" t="n"/>
      <c r="E697" s="275" t="inlineStr">
        <is>
          <t>ครู</t>
        </is>
      </c>
      <c r="F697" s="6">
        <f>F99</f>
        <v/>
      </c>
      <c r="G697" s="303" t="inlineStr">
        <is>
          <t>จันทร์</t>
        </is>
      </c>
      <c r="H697" s="332" t="n"/>
      <c r="I697" s="325" t="n"/>
      <c r="J697" s="332" t="n"/>
      <c r="K697" s="335" t="n"/>
      <c r="L697" s="332" t="n"/>
      <c r="M697" s="332" t="n"/>
      <c r="N697" s="332" t="n"/>
      <c r="O697" s="244">
        <f>M697*N697</f>
        <v/>
      </c>
      <c r="P697" s="332" t="n"/>
      <c r="Q697" s="265" t="n"/>
      <c r="R697" s="332" t="n"/>
      <c r="S697" s="244">
        <f>Q697*R697</f>
        <v/>
      </c>
    </row>
    <row r="698" ht="22.2" customHeight="1" s="330">
      <c r="A698" s="4" t="n"/>
      <c r="B698" s="478" t="n"/>
      <c r="D698" s="331" t="n"/>
      <c r="E698" s="252" t="n"/>
      <c r="F698" s="249" t="n"/>
      <c r="G698" s="308">
        <f>G606</f>
        <v/>
      </c>
      <c r="H698" s="325" t="n"/>
      <c r="I698" s="325" t="n"/>
      <c r="J698" s="252" t="n"/>
      <c r="K698" s="331" t="n"/>
      <c r="L698" s="252" t="n"/>
      <c r="M698" s="252" t="n"/>
      <c r="N698" s="252" t="n"/>
      <c r="O698" s="244">
        <f>M698*N698</f>
        <v/>
      </c>
      <c r="P698" s="252" t="n"/>
      <c r="Q698" s="252" t="n"/>
      <c r="R698" s="252" t="n"/>
      <c r="S698" s="244">
        <f>Q698*R698</f>
        <v/>
      </c>
    </row>
    <row r="699" ht="22.2" customHeight="1" s="330">
      <c r="A699" s="4" t="n"/>
      <c r="B699" s="5" t="n"/>
      <c r="D699" s="3" t="n"/>
      <c r="E699" s="3" t="n"/>
      <c r="F699" s="249" t="n"/>
      <c r="G699" s="248" t="n"/>
      <c r="H699" s="252" t="n"/>
      <c r="I699" s="252" t="n"/>
      <c r="J699" s="252" t="n"/>
      <c r="K699" s="331" t="n"/>
      <c r="L699" s="252" t="n"/>
      <c r="M699" s="252" t="n"/>
      <c r="N699" s="252" t="n"/>
      <c r="O699" s="244">
        <f>M699*N699</f>
        <v/>
      </c>
      <c r="P699" s="252" t="n"/>
      <c r="Q699" s="252" t="n"/>
      <c r="R699" s="252" t="n"/>
      <c r="S699" s="244">
        <f>Q699*R699</f>
        <v/>
      </c>
    </row>
    <row r="700" ht="22.2" customHeight="1" s="330">
      <c r="A700" s="4" t="n"/>
      <c r="B700" s="5" t="n"/>
      <c r="E700" s="4" t="n"/>
      <c r="F700" s="249" t="n"/>
      <c r="G700" s="248" t="n"/>
      <c r="H700" s="252" t="n"/>
      <c r="I700" s="252" t="n"/>
      <c r="J700" s="252" t="n"/>
      <c r="K700" s="331" t="n"/>
      <c r="L700" s="252" t="n"/>
      <c r="M700" s="252" t="n"/>
      <c r="N700" s="252" t="n"/>
      <c r="O700" s="244">
        <f>M700*N700</f>
        <v/>
      </c>
      <c r="P700" s="252" t="n"/>
      <c r="Q700" s="252" t="n"/>
      <c r="R700" s="252" t="n"/>
      <c r="S700" s="244">
        <f>Q700*R700</f>
        <v/>
      </c>
    </row>
    <row r="701" ht="22.2" customHeight="1" s="330">
      <c r="A701" s="4" t="n"/>
      <c r="E701" s="4" t="n"/>
      <c r="G701" s="311" t="n"/>
      <c r="H701" s="276" t="n"/>
      <c r="I701" s="276" t="n"/>
      <c r="J701" s="276" t="n"/>
      <c r="K701" s="476" t="n"/>
      <c r="L701" s="252" t="n"/>
      <c r="M701" s="252" t="n"/>
      <c r="N701" s="252" t="n"/>
      <c r="O701" s="244">
        <f>M701*N701</f>
        <v/>
      </c>
      <c r="P701" s="252" t="n"/>
      <c r="Q701" s="252" t="n"/>
      <c r="R701" s="252" t="n"/>
      <c r="S701" s="244">
        <f>Q701*R701</f>
        <v/>
      </c>
    </row>
    <row r="702" ht="22.2" customHeight="1" s="330">
      <c r="A702" s="4" t="n"/>
      <c r="E702" s="4" t="n"/>
      <c r="G702" s="62" t="inlineStr">
        <is>
          <t>อังคาร</t>
        </is>
      </c>
      <c r="H702" s="325" t="inlineStr">
        <is>
          <t>20101-2102</t>
        </is>
      </c>
      <c r="I702" s="325" t="inlineStr">
        <is>
          <t>ปวช.1/6 ชย. (ปกติ)</t>
        </is>
      </c>
      <c r="J702" s="332" t="inlineStr">
        <is>
          <t>08.10-12.10</t>
        </is>
      </c>
      <c r="K702" s="335" t="n"/>
      <c r="L702" s="265" t="n"/>
      <c r="M702" s="332" t="n"/>
      <c r="N702" s="332" t="n"/>
      <c r="O702" s="244">
        <f>M702*N702</f>
        <v/>
      </c>
      <c r="P702" s="332" t="n"/>
      <c r="Q702" s="265" t="n"/>
      <c r="R702" s="332" t="n"/>
      <c r="S702" s="244">
        <f>Q702*R702</f>
        <v/>
      </c>
    </row>
    <row r="703" ht="22.2" customHeight="1" s="330">
      <c r="A703" s="4" t="n"/>
      <c r="E703" s="4" t="n"/>
      <c r="G703" s="308">
        <f>G611</f>
        <v/>
      </c>
      <c r="H703" s="325" t="inlineStr">
        <is>
          <t>20101-2102</t>
        </is>
      </c>
      <c r="I703" s="325" t="inlineStr">
        <is>
          <t>ปวช.1/6 ชย. (ปกติ)</t>
        </is>
      </c>
      <c r="J703" s="325" t="inlineStr">
        <is>
          <t>13.10-16.10</t>
        </is>
      </c>
      <c r="K703" s="331" t="n"/>
      <c r="L703" s="252" t="n"/>
      <c r="M703" s="252" t="n"/>
      <c r="N703" s="252" t="n"/>
      <c r="O703" s="244">
        <f>M703*N703</f>
        <v/>
      </c>
      <c r="P703" s="252" t="n"/>
      <c r="Q703" s="252" t="n"/>
      <c r="R703" s="252" t="n"/>
      <c r="S703" s="244">
        <f>Q703*R703</f>
        <v/>
      </c>
    </row>
    <row r="704" ht="22.2" customHeight="1" s="330">
      <c r="A704" s="4" t="n"/>
      <c r="B704" s="5" t="n"/>
      <c r="D704" s="3" t="n"/>
      <c r="E704" s="3" t="n"/>
      <c r="G704" s="252" t="n"/>
      <c r="H704" s="252" t="n"/>
      <c r="I704" s="252" t="n"/>
      <c r="J704" s="252" t="n"/>
      <c r="K704" s="331" t="n"/>
      <c r="L704" s="252" t="n"/>
      <c r="M704" s="252" t="n"/>
      <c r="N704" s="252" t="n"/>
      <c r="O704" s="244">
        <f>M704*N704</f>
        <v/>
      </c>
      <c r="P704" s="252" t="n"/>
      <c r="Q704" s="252" t="n"/>
      <c r="R704" s="252" t="n"/>
      <c r="S704" s="244">
        <f>Q704*R704</f>
        <v/>
      </c>
    </row>
    <row r="705" ht="22.2" customHeight="1" s="330">
      <c r="A705" s="4" t="n"/>
      <c r="E705" s="4" t="n"/>
      <c r="G705" s="62" t="n"/>
      <c r="H705" s="249" t="n"/>
      <c r="I705" s="252" t="n"/>
      <c r="J705" s="252" t="n"/>
      <c r="K705" s="331" t="n"/>
      <c r="L705" s="252" t="n"/>
      <c r="M705" s="252" t="n"/>
      <c r="N705" s="252" t="n"/>
      <c r="O705" s="244">
        <f>M705*N705</f>
        <v/>
      </c>
      <c r="P705" s="252" t="n"/>
      <c r="Q705" s="252" t="n"/>
      <c r="R705" s="252" t="n"/>
      <c r="S705" s="244">
        <f>Q705*R705</f>
        <v/>
      </c>
    </row>
    <row r="706" ht="22.2" customHeight="1" s="330">
      <c r="A706" s="4" t="n"/>
      <c r="D706" s="8" t="inlineStr">
        <is>
          <t> </t>
        </is>
      </c>
      <c r="E706" s="4" t="n"/>
      <c r="G706" s="63" t="n"/>
      <c r="H706" s="276" t="n"/>
      <c r="I706" s="252" t="n"/>
      <c r="J706" s="276" t="n"/>
      <c r="K706" s="476" t="n"/>
      <c r="L706" s="252" t="n"/>
      <c r="M706" s="252" t="n"/>
      <c r="N706" s="252" t="n"/>
      <c r="O706" s="244">
        <f>M706*N706</f>
        <v/>
      </c>
      <c r="P706" s="252" t="n"/>
      <c r="Q706" s="252" t="n"/>
      <c r="R706" s="252" t="n"/>
      <c r="S706" s="244">
        <f>Q706*R706</f>
        <v/>
      </c>
    </row>
    <row r="707" ht="22.2" customHeight="1" s="330">
      <c r="A707" s="4" t="n"/>
      <c r="E707" s="4" t="n"/>
      <c r="G707" s="308" t="inlineStr">
        <is>
          <t>พุธ</t>
        </is>
      </c>
      <c r="H707" s="325" t="inlineStr">
        <is>
          <t>20101-2102</t>
        </is>
      </c>
      <c r="I707" s="332" t="inlineStr">
        <is>
          <t>ปวช.1/10 ชย. (ทวิ)</t>
        </is>
      </c>
      <c r="J707" s="332" t="inlineStr">
        <is>
          <t>08.10-12.10</t>
        </is>
      </c>
      <c r="K707" s="335" t="n"/>
      <c r="L707" s="332" t="n"/>
      <c r="M707" s="182" t="n"/>
      <c r="N707" s="179" t="n"/>
      <c r="O707" s="244">
        <f>M707*N707</f>
        <v/>
      </c>
      <c r="P707" s="332" t="n"/>
      <c r="Q707" s="265" t="n"/>
      <c r="R707" s="332" t="n"/>
      <c r="S707" s="244">
        <f>Q707*R707</f>
        <v/>
      </c>
    </row>
    <row r="708" ht="22.2" customHeight="1" s="330">
      <c r="A708" s="4" t="n"/>
      <c r="B708" s="248" t="n"/>
      <c r="C708" s="249" t="n"/>
      <c r="D708" s="249" t="n"/>
      <c r="E708" s="252" t="n"/>
      <c r="G708" s="308">
        <f>G616</f>
        <v/>
      </c>
      <c r="H708" s="325" t="inlineStr">
        <is>
          <t>20101-2102</t>
        </is>
      </c>
      <c r="I708" s="325" t="inlineStr">
        <is>
          <t>ปวช.1/10 ชย. (ทวิ)</t>
        </is>
      </c>
      <c r="J708" s="325" t="inlineStr">
        <is>
          <t>13.10-16.10</t>
        </is>
      </c>
      <c r="K708" s="331" t="n"/>
      <c r="L708" s="252" t="n"/>
      <c r="M708" s="331" t="n"/>
      <c r="N708" s="56" t="n"/>
      <c r="O708" s="244">
        <f>M708*N708</f>
        <v/>
      </c>
      <c r="P708" s="252" t="n"/>
      <c r="Q708" s="252" t="n"/>
      <c r="R708" s="252" t="n"/>
      <c r="S708" s="244">
        <f>Q708*R708</f>
        <v/>
      </c>
    </row>
    <row r="709" ht="22.2" customHeight="1" s="330">
      <c r="A709" s="4" t="n"/>
      <c r="B709" s="5" t="n"/>
      <c r="D709" s="3" t="n"/>
      <c r="E709" s="3" t="n"/>
      <c r="G709" s="252" t="n"/>
      <c r="H709" s="252" t="n"/>
      <c r="I709" s="252" t="n"/>
      <c r="J709" s="252" t="n"/>
      <c r="K709" s="331" t="n"/>
      <c r="L709" s="252" t="n"/>
      <c r="M709" s="252" t="n"/>
      <c r="N709" s="252" t="n"/>
      <c r="O709" s="244">
        <f>M709*N709</f>
        <v/>
      </c>
      <c r="P709" s="252" t="n"/>
      <c r="Q709" s="252" t="n"/>
      <c r="R709" s="252" t="n"/>
      <c r="S709" s="244">
        <f>Q709*R709</f>
        <v/>
      </c>
    </row>
    <row r="710" ht="22.2" customHeight="1" s="330">
      <c r="A710" s="4" t="n"/>
      <c r="E710" s="4" t="n"/>
      <c r="G710" s="248" t="n"/>
      <c r="H710" s="248" t="n"/>
      <c r="I710" s="252" t="n"/>
      <c r="J710" s="252" t="n"/>
      <c r="K710" s="331" t="n"/>
      <c r="L710" s="252" t="n"/>
      <c r="M710" s="252" t="n"/>
      <c r="N710" s="252" t="n"/>
      <c r="O710" s="244">
        <f>M710*N710</f>
        <v/>
      </c>
      <c r="P710" s="252" t="n"/>
      <c r="Q710" s="252" t="n"/>
      <c r="R710" s="252" t="n"/>
      <c r="S710" s="244">
        <f>Q710*R710</f>
        <v/>
      </c>
    </row>
    <row r="711" ht="22.2" customHeight="1" s="330">
      <c r="A711" s="4" t="n"/>
      <c r="E711" s="4" t="n"/>
      <c r="G711" s="277" t="n"/>
      <c r="H711" s="277" t="n"/>
      <c r="I711" s="276" t="n"/>
      <c r="J711" s="276" t="n"/>
      <c r="K711" s="476" t="n"/>
      <c r="L711" s="276" t="n"/>
      <c r="M711" s="276" t="n"/>
      <c r="N711" s="276" t="n"/>
      <c r="O711" s="244">
        <f>M711*N711</f>
        <v/>
      </c>
      <c r="P711" s="276" t="n"/>
      <c r="Q711" s="276" t="n"/>
      <c r="R711" s="276" t="n"/>
      <c r="S711" s="244">
        <f>Q711*R711</f>
        <v/>
      </c>
    </row>
    <row r="712" ht="22.2" customHeight="1" s="330">
      <c r="A712" s="4" t="n"/>
      <c r="E712" s="4" t="n"/>
      <c r="G712" s="62" t="inlineStr">
        <is>
          <t>พฤหัส</t>
        </is>
      </c>
      <c r="H712" s="325" t="inlineStr">
        <is>
          <t>20101-2102</t>
        </is>
      </c>
      <c r="I712" s="325" t="inlineStr">
        <is>
          <t>ปวช.1/8 ชย. (ปกติ)</t>
        </is>
      </c>
      <c r="J712" s="332" t="inlineStr">
        <is>
          <t>08.10-12.10</t>
        </is>
      </c>
      <c r="K712" s="335" t="n"/>
      <c r="L712" s="252" t="n"/>
      <c r="M712" s="252" t="n"/>
      <c r="N712" s="252" t="n"/>
      <c r="O712" s="244">
        <f>M712*N712</f>
        <v/>
      </c>
      <c r="P712" s="252" t="n"/>
      <c r="Q712" s="275" t="n"/>
      <c r="R712" s="275" t="n"/>
      <c r="S712" s="244">
        <f>Q712*R712</f>
        <v/>
      </c>
    </row>
    <row r="713" ht="22.2" customHeight="1" s="330">
      <c r="A713" s="4" t="n"/>
      <c r="E713" s="4" t="n"/>
      <c r="G713" s="308">
        <f>G621</f>
        <v/>
      </c>
      <c r="H713" s="325" t="inlineStr">
        <is>
          <t>20000-2002</t>
        </is>
      </c>
      <c r="I713" s="325" t="inlineStr">
        <is>
          <t>ปวช.1/1,2 ชย. (ปกติ)</t>
        </is>
      </c>
      <c r="J713" s="252" t="inlineStr">
        <is>
          <t>13.10-15.10</t>
        </is>
      </c>
      <c r="K713" s="331" t="n"/>
      <c r="L713" s="325" t="n"/>
      <c r="M713" s="252" t="n"/>
      <c r="N713" s="252" t="n"/>
      <c r="O713" s="244">
        <f>M713*N713</f>
        <v/>
      </c>
      <c r="P713" s="252" t="n"/>
      <c r="Q713" s="252" t="n"/>
      <c r="R713" s="252" t="n"/>
      <c r="S713" s="244">
        <f>Q713*R713</f>
        <v/>
      </c>
    </row>
    <row r="714" ht="22.2" customHeight="1" s="330">
      <c r="A714" s="4" t="n"/>
      <c r="B714" s="5" t="n"/>
      <c r="E714" s="4" t="n"/>
      <c r="G714" s="252" t="n"/>
      <c r="H714" s="325" t="inlineStr">
        <is>
          <t>20101-2102</t>
        </is>
      </c>
      <c r="I714" s="325" t="inlineStr">
        <is>
          <t>ปวช.1/8 ชย. (ปกติ)</t>
        </is>
      </c>
      <c r="J714" s="252" t="inlineStr">
        <is>
          <t>15.10-18.10</t>
        </is>
      </c>
      <c r="K714" s="331" t="n"/>
      <c r="L714" s="325" t="n"/>
      <c r="M714" s="325" t="n"/>
      <c r="N714" s="325" t="n"/>
      <c r="O714" s="244">
        <f>M714*N714</f>
        <v/>
      </c>
      <c r="P714" s="325" t="n"/>
      <c r="Q714" s="325" t="n"/>
      <c r="R714" s="325" t="n"/>
      <c r="S714" s="244">
        <f>Q714*R714</f>
        <v/>
      </c>
    </row>
    <row r="715" ht="22.2" customHeight="1" s="330">
      <c r="A715" s="4" t="n"/>
      <c r="E715" s="4" t="n"/>
      <c r="G715" s="252" t="n"/>
      <c r="H715" s="252" t="n"/>
      <c r="I715" s="252" t="n"/>
      <c r="J715" s="252" t="n"/>
      <c r="K715" s="331" t="n"/>
      <c r="L715" s="252" t="n"/>
      <c r="M715" s="252" t="n"/>
      <c r="N715" s="252" t="n"/>
      <c r="O715" s="244">
        <f>M715*N715</f>
        <v/>
      </c>
      <c r="P715" s="252" t="n"/>
      <c r="Q715" s="252" t="n"/>
      <c r="R715" s="252" t="n"/>
      <c r="S715" s="244">
        <f>Q715*R715</f>
        <v/>
      </c>
    </row>
    <row r="716" ht="22.2" customHeight="1" s="330">
      <c r="A716" s="4" t="n"/>
      <c r="E716" s="4" t="n"/>
      <c r="G716" s="276" t="n"/>
      <c r="H716" s="301" t="n"/>
      <c r="I716" s="276" t="n"/>
      <c r="J716" s="276" t="n"/>
      <c r="K716" s="476" t="n"/>
      <c r="L716" s="276" t="n"/>
      <c r="M716" s="276" t="n"/>
      <c r="N716" s="276" t="n"/>
      <c r="O716" s="244">
        <f>M716*N716</f>
        <v/>
      </c>
      <c r="P716" s="276" t="n"/>
      <c r="Q716" s="276" t="n"/>
      <c r="R716" s="276" t="n"/>
      <c r="S716" s="244">
        <f>Q716*R716</f>
        <v/>
      </c>
    </row>
    <row r="717" ht="22.2" customHeight="1" s="330">
      <c r="A717" s="4" t="n"/>
      <c r="E717" s="4" t="n"/>
      <c r="G717" s="62" t="inlineStr">
        <is>
          <t>ศุกร์</t>
        </is>
      </c>
      <c r="H717" s="332" t="inlineStr">
        <is>
          <t>20101-2008</t>
        </is>
      </c>
      <c r="I717" s="325" t="inlineStr">
        <is>
          <t>ปวช.1/5 ชย. (ปกติ)</t>
        </is>
      </c>
      <c r="J717" s="332" t="inlineStr">
        <is>
          <t>08.10-12.10</t>
        </is>
      </c>
      <c r="K717" s="335" t="n"/>
      <c r="L717" s="265" t="n"/>
      <c r="M717" s="332" t="n"/>
      <c r="N717" s="332" t="n"/>
      <c r="O717" s="244">
        <f>M717*N717</f>
        <v/>
      </c>
      <c r="P717" s="332" t="n"/>
      <c r="Q717" s="265" t="n"/>
      <c r="R717" s="332" t="n"/>
      <c r="S717" s="244">
        <f>Q717*R717</f>
        <v/>
      </c>
    </row>
    <row r="718" ht="22.2" customHeight="1" s="330">
      <c r="A718" s="4" t="n"/>
      <c r="E718" s="4" t="n"/>
      <c r="G718" s="308">
        <f>G626</f>
        <v/>
      </c>
      <c r="H718" s="325" t="inlineStr">
        <is>
          <t>20101-2106</t>
        </is>
      </c>
      <c r="I718" s="325" t="inlineStr">
        <is>
          <t>ปวช.3/7 ชย. (ปกติ)</t>
        </is>
      </c>
      <c r="J718" s="252" t="inlineStr">
        <is>
          <t>13.10-17.10</t>
        </is>
      </c>
      <c r="K718" s="331" t="n"/>
      <c r="L718" s="252" t="n"/>
      <c r="M718" s="252" t="n"/>
      <c r="N718" s="252" t="n"/>
      <c r="O718" s="244">
        <f>M718*N718</f>
        <v/>
      </c>
      <c r="P718" s="252" t="n"/>
      <c r="Q718" s="252" t="n"/>
      <c r="R718" s="252" t="n"/>
      <c r="S718" s="244">
        <f>Q718*R718</f>
        <v/>
      </c>
    </row>
    <row r="719" ht="22.2" customHeight="1" s="330">
      <c r="A719" s="4" t="n"/>
      <c r="E719" s="4" t="n"/>
      <c r="G719" s="252" t="n"/>
      <c r="H719" s="325" t="n"/>
      <c r="I719" s="325" t="n"/>
      <c r="J719" s="325" t="n"/>
      <c r="K719" s="331" t="n"/>
      <c r="L719" s="252" t="n"/>
      <c r="M719" s="252" t="n"/>
      <c r="N719" s="252" t="n"/>
      <c r="O719" s="244">
        <f>M719*N719</f>
        <v/>
      </c>
      <c r="P719" s="252" t="n"/>
      <c r="Q719" s="252" t="n"/>
      <c r="R719" s="252" t="n"/>
      <c r="S719" s="244">
        <f>Q719*R719</f>
        <v/>
      </c>
    </row>
    <row r="720" ht="22.2" customHeight="1" s="330">
      <c r="A720" s="4" t="n"/>
      <c r="E720" s="4" t="n"/>
      <c r="G720" s="252" t="n"/>
      <c r="H720" s="249" t="n"/>
      <c r="I720" s="252" t="n"/>
      <c r="J720" s="252" t="n"/>
      <c r="K720" s="331" t="n"/>
      <c r="L720" s="252" t="n"/>
      <c r="M720" s="252" t="n"/>
      <c r="N720" s="252" t="n"/>
      <c r="O720" s="244">
        <f>M720*N720</f>
        <v/>
      </c>
      <c r="P720" s="252" t="n"/>
      <c r="Q720" s="252" t="n"/>
      <c r="R720" s="252" t="n"/>
      <c r="S720" s="244">
        <f>Q720*R720</f>
        <v/>
      </c>
    </row>
    <row r="721" ht="22.2" customHeight="1" s="330">
      <c r="A721" s="4" t="n"/>
      <c r="E721" s="4" t="n"/>
      <c r="F721" s="4" t="n"/>
      <c r="G721" s="278" t="n"/>
      <c r="H721" s="301" t="n"/>
      <c r="I721" s="276" t="n"/>
      <c r="J721" s="276" t="n"/>
      <c r="K721" s="476" t="n"/>
      <c r="L721" s="276" t="n"/>
      <c r="M721" s="276" t="n"/>
      <c r="N721" s="276" t="n"/>
      <c r="O721" s="244">
        <f>M721*N721</f>
        <v/>
      </c>
      <c r="P721" s="276" t="n"/>
      <c r="Q721" s="276" t="n"/>
      <c r="R721" s="276" t="n"/>
      <c r="S721" s="244">
        <f>Q721*R721</f>
        <v/>
      </c>
    </row>
    <row r="722" ht="22.2" customHeight="1" s="330">
      <c r="A722" s="4" t="n"/>
      <c r="E722" s="4" t="n"/>
      <c r="F722" s="4" t="n"/>
      <c r="G722" s="17" t="inlineStr">
        <is>
          <t>รวมขั่วโมงที่สอนแยก ภาระงาน/ เกินภาระงาน</t>
        </is>
      </c>
      <c r="H722" s="467" t="n"/>
      <c r="I722" s="467" t="n"/>
      <c r="J722" s="467" t="n"/>
      <c r="K722" s="362" t="n"/>
      <c r="L722" s="17">
        <f>SUM(L697:L721)</f>
        <v/>
      </c>
      <c r="M722" s="17">
        <f>SUM(M697:M721)</f>
        <v/>
      </c>
      <c r="N722" s="17" t="n"/>
      <c r="O722" s="17" t="n"/>
      <c r="P722" s="17">
        <f>SUM(P697:P721)</f>
        <v/>
      </c>
      <c r="Q722" s="17">
        <f>SUM(Q697:Q721)</f>
        <v/>
      </c>
      <c r="R722" s="279" t="n"/>
      <c r="S722" s="17" t="n"/>
    </row>
    <row r="723" ht="22.2" customHeight="1" s="330">
      <c r="A723" s="4" t="n"/>
      <c r="E723" s="4" t="n"/>
      <c r="F723" s="4" t="n"/>
      <c r="G723" s="17" t="inlineStr">
        <is>
          <t>รวมจำนวนชั่วโมงสอนคาบต่อสับดาห์</t>
        </is>
      </c>
      <c r="H723" s="467" t="n"/>
      <c r="I723" s="467" t="n"/>
      <c r="J723" s="467" t="n"/>
      <c r="K723" s="362" t="n"/>
      <c r="L723" s="17">
        <f>L722+M722</f>
        <v/>
      </c>
      <c r="M723" s="362" t="n"/>
      <c r="N723" s="298" t="n"/>
      <c r="O723" s="17" t="n"/>
      <c r="P723" s="17">
        <f>P722+Q722</f>
        <v/>
      </c>
      <c r="Q723" s="362" t="n"/>
      <c r="R723" s="278" t="n"/>
      <c r="S723" s="276" t="n"/>
    </row>
    <row r="724" ht="22.2" customHeight="1" s="330">
      <c r="A724" s="4" t="n"/>
      <c r="E724" s="4" t="n"/>
      <c r="F724" s="4" t="n"/>
      <c r="G724" s="17" t="inlineStr">
        <is>
          <t>จำนวนชั่วโมงสอนตามภาระงานสอน</t>
        </is>
      </c>
      <c r="H724" s="467" t="n"/>
      <c r="I724" s="467" t="n"/>
      <c r="J724" s="467" t="n"/>
      <c r="K724" s="362" t="n"/>
      <c r="L724" s="17" t="n">
        <v>18</v>
      </c>
      <c r="M724" s="362" t="n"/>
      <c r="N724" s="298" t="n"/>
      <c r="O724" s="17" t="n"/>
      <c r="P724" s="17" t="n">
        <v>0</v>
      </c>
      <c r="Q724" s="362" t="n"/>
      <c r="R724" s="249" t="n"/>
      <c r="S724" s="252" t="n"/>
    </row>
    <row r="725" ht="22.2" customHeight="1" s="330" thickBot="1">
      <c r="A725" s="4" t="n"/>
      <c r="E725" s="4" t="n"/>
      <c r="F725" s="15" t="n"/>
      <c r="G725" s="17" t="inlineStr">
        <is>
          <t>จำนวนชั่วโมงบิกเกินภาระงานสอน/ค่าสอน</t>
        </is>
      </c>
      <c r="H725" s="467" t="n"/>
      <c r="I725" s="467" t="n"/>
      <c r="J725" s="467" t="n"/>
      <c r="K725" s="362" t="n"/>
      <c r="L725" s="18" t="n">
        <v>0</v>
      </c>
      <c r="M725" s="18">
        <f>SUM(M697:M721)</f>
        <v/>
      </c>
      <c r="N725" s="18" t="n"/>
      <c r="O725" s="18">
        <f>SUM(O697:O721)</f>
        <v/>
      </c>
      <c r="P725" s="18" t="n">
        <v>0</v>
      </c>
      <c r="Q725" s="18">
        <f>SUM(Q697:Q721)</f>
        <v/>
      </c>
      <c r="R725" s="19" t="n"/>
      <c r="S725" s="18">
        <f>SUM(S697:S721)</f>
        <v/>
      </c>
    </row>
    <row r="726" ht="22.2" customHeight="1" s="330" thickTop="1">
      <c r="A726" s="299" t="inlineStr">
        <is>
          <t>รวมจำนวนหน่วยชั่วโมงที่ขอเบิกค่าสอน ….</t>
        </is>
      </c>
      <c r="B726" s="467" t="n"/>
      <c r="C726" s="467" t="n"/>
      <c r="D726" s="467" t="n"/>
      <c r="E726" s="467" t="n"/>
      <c r="F726" s="467" t="n"/>
      <c r="G726" s="467" t="n"/>
      <c r="H726" s="298">
        <f>M725+Q725</f>
        <v/>
      </c>
      <c r="I726" s="298" t="inlineStr">
        <is>
          <t>….ชั่วโมง</t>
        </is>
      </c>
      <c r="J726" s="298" t="n"/>
      <c r="K726" s="301" t="inlineStr">
        <is>
          <t>ยอดเงินรวม</t>
        </is>
      </c>
      <c r="L726" s="471" t="n"/>
      <c r="M726" s="471" t="n"/>
      <c r="N726" s="301" t="n"/>
      <c r="O726" s="301" t="n"/>
      <c r="P726" s="302">
        <f>S725+O725</f>
        <v/>
      </c>
      <c r="Q726" s="482" t="n"/>
      <c r="R726" s="21" t="n"/>
      <c r="S726" s="20" t="inlineStr">
        <is>
          <t>..บาท</t>
        </is>
      </c>
    </row>
    <row r="727" ht="22.2" customHeight="1" s="330">
      <c r="A727" s="207" t="inlineStr">
        <is>
          <t>ผู้ขอเบิก</t>
        </is>
      </c>
      <c r="B727" s="334" t="n"/>
      <c r="C727" s="334" t="n"/>
      <c r="D727" s="334" t="n"/>
      <c r="E727" s="334" t="n"/>
      <c r="F727" s="334" t="n"/>
      <c r="G727" s="335" t="n"/>
      <c r="H727" s="207" t="inlineStr">
        <is>
          <t>ผู้รับรอง</t>
        </is>
      </c>
      <c r="I727" s="334" t="n"/>
      <c r="J727" s="334" t="n"/>
      <c r="K727" s="334" t="n"/>
      <c r="L727" s="335" t="n"/>
      <c r="M727" s="207" t="inlineStr">
        <is>
          <t>ผู้ตรวจ</t>
        </is>
      </c>
      <c r="N727" s="334" t="n"/>
      <c r="O727" s="334" t="n"/>
      <c r="P727" s="334" t="n"/>
      <c r="Q727" s="334" t="n"/>
      <c r="R727" s="334" t="n"/>
      <c r="S727" s="335" t="n"/>
    </row>
    <row r="728" ht="22.2" customHeight="1" s="330">
      <c r="A728" s="252" t="inlineStr">
        <is>
          <t>ลงชื่อ……………………………………………</t>
        </is>
      </c>
      <c r="G728" s="331" t="n"/>
      <c r="H728" s="252" t="inlineStr">
        <is>
          <t>ลงชื่อ……………………………………………</t>
        </is>
      </c>
      <c r="L728" s="331" t="n"/>
      <c r="M728" s="252" t="inlineStr">
        <is>
          <t>ลงชื่อ……………………………………………</t>
        </is>
      </c>
      <c r="S728" s="331" t="n"/>
    </row>
    <row r="729" ht="22.2" customHeight="1" s="330">
      <c r="A729" s="12" t="inlineStr">
        <is>
          <t>(</t>
        </is>
      </c>
      <c r="B729" s="309">
        <f>B697</f>
        <v/>
      </c>
      <c r="G729" s="310" t="inlineStr">
        <is>
          <t>)</t>
        </is>
      </c>
      <c r="H729" s="309" t="inlineStr">
        <is>
          <t>(</t>
        </is>
      </c>
      <c r="I729" s="314">
        <f>I683</f>
        <v/>
      </c>
      <c r="L729" s="13" t="inlineStr">
        <is>
          <t>)</t>
        </is>
      </c>
      <c r="M729" s="61" t="inlineStr">
        <is>
          <t>(</t>
        </is>
      </c>
      <c r="N729" s="61" t="n"/>
      <c r="O729" s="309" t="inlineStr">
        <is>
          <t>นายพิสุทธิศักดิ์  กล่อมนาค</t>
        </is>
      </c>
      <c r="R729" s="29" t="n"/>
      <c r="S729" s="310" t="inlineStr">
        <is>
          <t>)</t>
        </is>
      </c>
    </row>
    <row r="730" ht="22.2" customHeight="1" s="330">
      <c r="A730" s="483" t="inlineStr">
        <is>
          <t xml:space="preserve">                        ตำแหน่ง ครู</t>
        </is>
      </c>
      <c r="G730" s="331" t="n"/>
      <c r="H730" s="62" t="inlineStr">
        <is>
          <t>ตำแหน่ง หัวหน้าแผนก</t>
        </is>
      </c>
      <c r="L730" s="331" t="n"/>
      <c r="M730" s="62" t="inlineStr">
        <is>
          <t>ตำแหน่ง   ผู้ตรวจสอบ</t>
        </is>
      </c>
      <c r="S730" s="331" t="n"/>
    </row>
    <row r="731" ht="22.2" customHeight="1" s="330">
      <c r="A731" s="63">
        <f>A133</f>
        <v/>
      </c>
      <c r="B731" s="471" t="n"/>
      <c r="C731" s="471" t="n"/>
      <c r="D731" s="471" t="n"/>
      <c r="E731" s="471" t="n"/>
      <c r="F731" s="471" t="n"/>
      <c r="G731" s="476" t="n"/>
      <c r="H731" s="62">
        <f>A133</f>
        <v/>
      </c>
      <c r="L731" s="331" t="n"/>
      <c r="M731" s="63">
        <f>A133</f>
        <v/>
      </c>
      <c r="N731" s="471" t="n"/>
      <c r="O731" s="471" t="n"/>
      <c r="P731" s="471" t="n"/>
      <c r="Q731" s="471" t="n"/>
      <c r="R731" s="471" t="n"/>
      <c r="S731" s="476" t="n"/>
    </row>
    <row r="732" ht="22.2" customHeight="1" s="330">
      <c r="A732" s="207" t="inlineStr">
        <is>
          <t>ผู้ตรวจ</t>
        </is>
      </c>
      <c r="B732" s="334" t="n"/>
      <c r="C732" s="334" t="n"/>
      <c r="D732" s="334" t="n"/>
      <c r="E732" s="334" t="n"/>
      <c r="F732" s="334" t="n"/>
      <c r="G732" s="334" t="n"/>
      <c r="H732" s="334" t="n"/>
      <c r="I732" s="335" t="n"/>
      <c r="J732" s="207" t="inlineStr">
        <is>
          <t>ผู้เห็นชอบ</t>
        </is>
      </c>
      <c r="K732" s="334" t="n"/>
      <c r="L732" s="334" t="n"/>
      <c r="M732" s="334" t="n"/>
      <c r="N732" s="334" t="n"/>
      <c r="O732" s="334" t="n"/>
      <c r="P732" s="334" t="n"/>
      <c r="Q732" s="334" t="n"/>
      <c r="R732" s="334" t="n"/>
      <c r="S732" s="335" t="n"/>
    </row>
    <row r="733" ht="22.2" customHeight="1" s="330">
      <c r="A733" s="252" t="inlineStr">
        <is>
          <t>ลงชื่อ……………………………………………</t>
        </is>
      </c>
      <c r="I733" s="331" t="n"/>
      <c r="J733" s="252" t="inlineStr">
        <is>
          <t>ลงชื่อ……………………………………………</t>
        </is>
      </c>
      <c r="S733" s="331" t="n"/>
    </row>
    <row r="734" ht="22.2" customHeight="1" s="330">
      <c r="A734" s="12" t="n"/>
      <c r="B734" s="309" t="inlineStr">
        <is>
          <t xml:space="preserve">          (นางศิวรักษ์   บุญประเสริฐ)</t>
        </is>
      </c>
      <c r="I734" s="310" t="n"/>
      <c r="J734" s="29" t="n"/>
      <c r="K734" s="29" t="n"/>
      <c r="L734" s="309" t="inlineStr">
        <is>
          <t>(นายปรีชา  โพธิ์เกิด)</t>
        </is>
      </c>
      <c r="R734" s="29" t="n"/>
      <c r="S734" s="13" t="n"/>
    </row>
    <row r="735" ht="22.2" customHeight="1" s="330">
      <c r="A735" s="62" t="inlineStr">
        <is>
          <t>ตำแหน่งครู  หัวหน้างานพัฒนาหลักสูตร ฯ</t>
        </is>
      </c>
      <c r="I735" s="331" t="n"/>
      <c r="J735" s="62" t="inlineStr">
        <is>
          <t>ตำแหน่ง  รองผู้อำนวยการฝ่ายวิชาการ</t>
        </is>
      </c>
      <c r="S735" s="331" t="n"/>
    </row>
    <row r="736" ht="22.2" customHeight="1" s="330">
      <c r="A736" s="63">
        <f>A133</f>
        <v/>
      </c>
      <c r="B736" s="471" t="n"/>
      <c r="C736" s="471" t="n"/>
      <c r="D736" s="471" t="n"/>
      <c r="E736" s="471" t="n"/>
      <c r="F736" s="471" t="n"/>
      <c r="G736" s="471" t="n"/>
      <c r="H736" s="471" t="n"/>
      <c r="I736" s="476" t="n"/>
      <c r="J736" s="63">
        <f>A133</f>
        <v/>
      </c>
      <c r="K736" s="471" t="n"/>
      <c r="L736" s="471" t="n"/>
      <c r="M736" s="471" t="n"/>
      <c r="N736" s="471" t="n"/>
      <c r="O736" s="471" t="n"/>
      <c r="P736" s="471" t="n"/>
      <c r="Q736" s="471" t="n"/>
      <c r="R736" s="471" t="n"/>
      <c r="S736" s="476" t="n"/>
    </row>
    <row r="737" ht="22.2" customHeight="1" s="330">
      <c r="A73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738" ht="22.2" customHeight="1" s="330">
      <c r="A738" s="254">
        <f>A2</f>
        <v/>
      </c>
    </row>
    <row r="739" ht="22.2" customHeight="1" s="330">
      <c r="A739" s="253" t="inlineStr">
        <is>
          <t xml:space="preserve">    ระหว่างวันที่</t>
        </is>
      </c>
      <c r="D739" s="254">
        <f>D141</f>
        <v/>
      </c>
      <c r="E739" s="254" t="inlineStr">
        <is>
          <t xml:space="preserve">   เดือน  </t>
        </is>
      </c>
      <c r="F739" s="254">
        <f>F141</f>
        <v/>
      </c>
      <c r="H739" s="254">
        <f>H141</f>
        <v/>
      </c>
      <c r="I739" s="254" t="inlineStr">
        <is>
          <t xml:space="preserve">     ถึง วันที่</t>
        </is>
      </c>
      <c r="J739" s="254">
        <f>J141</f>
        <v/>
      </c>
      <c r="K739" s="254" t="inlineStr">
        <is>
          <t xml:space="preserve">   เดือน </t>
        </is>
      </c>
      <c r="L739" s="254">
        <f>L141</f>
        <v/>
      </c>
      <c r="N739" s="254">
        <f>N141</f>
        <v/>
      </c>
      <c r="P739" s="254" t="n"/>
      <c r="R739" s="254" t="n"/>
    </row>
    <row r="740" ht="22.2" customHeight="1" s="330">
      <c r="G740" s="58" t="inlineStr">
        <is>
          <t>ü</t>
        </is>
      </c>
      <c r="H740" s="301" t="inlineStr">
        <is>
          <t>ครู</t>
        </is>
      </c>
      <c r="I740" s="301" t="inlineStr">
        <is>
          <t>หน้าที่พิเศษ</t>
        </is>
      </c>
      <c r="J740" s="290" t="n"/>
      <c r="K740" s="290" t="n"/>
      <c r="L740" s="290" t="n"/>
      <c r="M740" s="290" t="n"/>
      <c r="N740" s="290" t="n"/>
      <c r="O740" s="290" t="n"/>
      <c r="P740" s="290" t="n"/>
      <c r="Q740" s="290" t="n"/>
      <c r="R740" s="290" t="n"/>
      <c r="S740" s="290" t="n"/>
    </row>
    <row r="741" ht="22.2" customHeight="1" s="330">
      <c r="A741" s="28" t="inlineStr">
        <is>
          <t>ที่</t>
        </is>
      </c>
      <c r="B741" s="28" t="inlineStr">
        <is>
          <t>ชื่อ-สกุล</t>
        </is>
      </c>
      <c r="C741" s="334" t="n"/>
      <c r="D741" s="335" t="n"/>
      <c r="E741" s="16" t="inlineStr">
        <is>
          <t>ตำแหน่ง</t>
        </is>
      </c>
      <c r="F741" s="17" t="inlineStr">
        <is>
          <t>ระยะเวลาที่สอน</t>
        </is>
      </c>
      <c r="G741" s="362" t="n"/>
      <c r="H741" s="17" t="inlineStr">
        <is>
          <t>รหัสวิชา</t>
        </is>
      </c>
      <c r="I741" s="275" t="inlineStr">
        <is>
          <t>ชั้น,แผนก,ห้อง</t>
        </is>
      </c>
      <c r="J741" s="17" t="inlineStr">
        <is>
          <t>เวลาสอน</t>
        </is>
      </c>
      <c r="K741" s="335" t="n"/>
      <c r="L741" s="17" t="inlineStr">
        <is>
          <t>ปวช.(คาบ)</t>
        </is>
      </c>
      <c r="M741" s="362" t="n"/>
      <c r="N741" s="244" t="inlineStr">
        <is>
          <t>เงิน</t>
        </is>
      </c>
      <c r="O741" s="275" t="inlineStr">
        <is>
          <t>ยอดเงิน</t>
        </is>
      </c>
      <c r="P741" s="473" t="inlineStr">
        <is>
          <t>ปวส.(คาบ)</t>
        </is>
      </c>
      <c r="Q741" s="362" t="n"/>
      <c r="R741" s="244" t="inlineStr">
        <is>
          <t>เงิน</t>
        </is>
      </c>
      <c r="S741" s="275" t="inlineStr">
        <is>
          <t>ยอดเงิน</t>
        </is>
      </c>
    </row>
    <row r="742" ht="22.2" customHeight="1" s="330">
      <c r="A742" s="60" t="n"/>
      <c r="B742" s="9" t="n"/>
      <c r="C742" s="10" t="n"/>
      <c r="D742" s="14" t="n"/>
      <c r="E742" s="11" t="n"/>
      <c r="F742" s="276" t="inlineStr">
        <is>
          <t>ส.</t>
        </is>
      </c>
      <c r="G742" s="276" t="inlineStr">
        <is>
          <t>วดป.</t>
        </is>
      </c>
      <c r="H742" s="474" t="n"/>
      <c r="I742" s="276" t="n"/>
      <c r="J742" s="475" t="n"/>
      <c r="K742" s="476" t="n"/>
      <c r="L742" s="276" t="inlineStr">
        <is>
          <t>ใน</t>
        </is>
      </c>
      <c r="M742" s="276" t="inlineStr">
        <is>
          <t>นอก</t>
        </is>
      </c>
      <c r="N742" s="276" t="inlineStr">
        <is>
          <t>ต่อ ชม.</t>
        </is>
      </c>
      <c r="O742" s="276" t="inlineStr">
        <is>
          <t>(บาท)</t>
        </is>
      </c>
      <c r="P742" s="60" t="inlineStr">
        <is>
          <t>ใน</t>
        </is>
      </c>
      <c r="Q742" s="60" t="inlineStr">
        <is>
          <t>นอก</t>
        </is>
      </c>
      <c r="R742" s="276" t="inlineStr">
        <is>
          <t>ต่อ ชม.</t>
        </is>
      </c>
      <c r="S742" s="276" t="inlineStr">
        <is>
          <t>(บาท)</t>
        </is>
      </c>
    </row>
    <row r="743" ht="22.2" customHeight="1" s="330">
      <c r="A743" s="275" t="n">
        <v>17</v>
      </c>
      <c r="B743" s="477">
        <f>AB19</f>
        <v/>
      </c>
      <c r="C743" s="334" t="n"/>
      <c r="D743" s="335" t="n"/>
      <c r="E743" s="275" t="inlineStr">
        <is>
          <t>ครู</t>
        </is>
      </c>
      <c r="F743" s="6">
        <f>F145</f>
        <v/>
      </c>
      <c r="G743" s="303" t="inlineStr">
        <is>
          <t>จันทร์</t>
        </is>
      </c>
      <c r="H743" s="325" t="inlineStr">
        <is>
          <t>20101-2002</t>
        </is>
      </c>
      <c r="I743" s="325" t="inlineStr">
        <is>
          <t>ปวช.2/8 ชย. (ปกติ)</t>
        </is>
      </c>
      <c r="J743" s="252" t="inlineStr">
        <is>
          <t>08.10-12.10</t>
        </is>
      </c>
      <c r="K743" s="331" t="n"/>
      <c r="L743" s="252" t="n"/>
      <c r="M743" s="332" t="n"/>
      <c r="N743" s="332" t="n"/>
      <c r="O743" s="244">
        <f>M743*N743</f>
        <v/>
      </c>
      <c r="P743" s="332" t="n"/>
      <c r="Q743" s="265" t="n"/>
      <c r="R743" s="332" t="n"/>
      <c r="S743" s="244">
        <f>Q743*R743</f>
        <v/>
      </c>
    </row>
    <row r="744" ht="22.2" customHeight="1" s="330">
      <c r="A744" s="4" t="n"/>
      <c r="B744" s="478" t="n"/>
      <c r="D744" s="331" t="n"/>
      <c r="E744" s="252" t="n"/>
      <c r="F744" s="249" t="n"/>
      <c r="G744" s="308">
        <f>G652</f>
        <v/>
      </c>
      <c r="H744" s="325" t="inlineStr">
        <is>
          <t>20101-2002</t>
        </is>
      </c>
      <c r="I744" s="325" t="inlineStr">
        <is>
          <t>ปวช.2/8 ชย. (ปกติ)</t>
        </is>
      </c>
      <c r="J744" s="252" t="inlineStr">
        <is>
          <t>13.10-16.10</t>
        </is>
      </c>
      <c r="K744" s="331" t="n"/>
      <c r="L744" s="252" t="n"/>
      <c r="M744" s="252" t="n"/>
      <c r="N744" s="252" t="n"/>
      <c r="O744" s="244">
        <f>M744*N744</f>
        <v/>
      </c>
      <c r="P744" s="252" t="n"/>
      <c r="Q744" s="252" t="n"/>
      <c r="R744" s="252" t="n"/>
      <c r="S744" s="244">
        <f>Q744*R744</f>
        <v/>
      </c>
    </row>
    <row r="745" ht="22.2" customHeight="1" s="330">
      <c r="A745" s="4" t="n"/>
      <c r="B745" s="5" t="n"/>
      <c r="D745" s="3" t="n"/>
      <c r="E745" s="3" t="n"/>
      <c r="F745" s="249" t="n"/>
      <c r="G745" s="248" t="n"/>
      <c r="H745" s="252" t="n"/>
      <c r="I745" s="252" t="n"/>
      <c r="J745" s="252" t="n"/>
      <c r="K745" s="331" t="n"/>
      <c r="L745" s="252" t="n"/>
      <c r="M745" s="252" t="n"/>
      <c r="N745" s="252" t="n"/>
      <c r="O745" s="244">
        <f>M745*N745</f>
        <v/>
      </c>
      <c r="P745" s="252" t="n"/>
      <c r="Q745" s="252" t="n"/>
      <c r="R745" s="252" t="n"/>
      <c r="S745" s="244">
        <f>Q745*R745</f>
        <v/>
      </c>
    </row>
    <row r="746" ht="22.2" customHeight="1" s="330">
      <c r="A746" s="4" t="n"/>
      <c r="B746" s="5" t="n"/>
      <c r="E746" s="4" t="n"/>
      <c r="F746" s="249" t="n"/>
      <c r="G746" s="248" t="n"/>
      <c r="H746" s="252" t="n"/>
      <c r="I746" s="252" t="n"/>
      <c r="J746" s="252" t="n"/>
      <c r="K746" s="331" t="n"/>
      <c r="L746" s="252" t="n"/>
      <c r="M746" s="252" t="n"/>
      <c r="N746" s="252" t="n"/>
      <c r="O746" s="244">
        <f>M746*N746</f>
        <v/>
      </c>
      <c r="P746" s="252" t="n"/>
      <c r="Q746" s="252" t="n"/>
      <c r="R746" s="252" t="n"/>
      <c r="S746" s="244">
        <f>Q746*R746</f>
        <v/>
      </c>
    </row>
    <row r="747" ht="22.2" customHeight="1" s="330">
      <c r="A747" s="4" t="n"/>
      <c r="E747" s="4" t="n"/>
      <c r="G747" s="311" t="n"/>
      <c r="H747" s="276" t="n"/>
      <c r="I747" s="276" t="n"/>
      <c r="J747" s="276" t="n"/>
      <c r="K747" s="476" t="n"/>
      <c r="L747" s="276" t="n"/>
      <c r="M747" s="252" t="n"/>
      <c r="N747" s="252" t="n"/>
      <c r="O747" s="244">
        <f>M747*N747</f>
        <v/>
      </c>
      <c r="P747" s="252" t="n"/>
      <c r="Q747" s="252" t="n"/>
      <c r="R747" s="252" t="n"/>
      <c r="S747" s="244">
        <f>Q747*R747</f>
        <v/>
      </c>
    </row>
    <row r="748" ht="22.2" customHeight="1" s="330">
      <c r="A748" s="4" t="n"/>
      <c r="E748" s="4" t="n"/>
      <c r="G748" s="62" t="inlineStr">
        <is>
          <t>อังคาร</t>
        </is>
      </c>
      <c r="H748" s="325" t="inlineStr">
        <is>
          <t>20101-2107</t>
        </is>
      </c>
      <c r="I748" s="325" t="inlineStr">
        <is>
          <t>ปวช.2/1,2 ชย. (ปกติ)</t>
        </is>
      </c>
      <c r="J748" s="252" t="inlineStr">
        <is>
          <t>08.10-10.10</t>
        </is>
      </c>
      <c r="K748" s="331" t="n"/>
      <c r="L748" s="252" t="n"/>
      <c r="M748" s="332" t="n"/>
      <c r="N748" s="332" t="n"/>
      <c r="O748" s="244">
        <f>M748*N748</f>
        <v/>
      </c>
      <c r="P748" s="332" t="n"/>
      <c r="Q748" s="265" t="n"/>
      <c r="R748" s="332" t="n"/>
      <c r="S748" s="244">
        <f>Q748*R748</f>
        <v/>
      </c>
    </row>
    <row r="749" ht="22.2" customHeight="1" s="330">
      <c r="A749" s="4" t="n"/>
      <c r="E749" s="4" t="n"/>
      <c r="G749" s="308">
        <f>G657</f>
        <v/>
      </c>
      <c r="H749" s="325" t="n"/>
      <c r="I749" s="325" t="n"/>
      <c r="J749" s="252" t="n"/>
      <c r="K749" s="331" t="n"/>
      <c r="L749" s="252" t="n"/>
      <c r="M749" s="252" t="n"/>
      <c r="N749" s="252" t="n"/>
      <c r="O749" s="244">
        <f>M749*N749</f>
        <v/>
      </c>
      <c r="P749" s="252" t="n"/>
      <c r="Q749" s="252" t="n"/>
      <c r="R749" s="252" t="n"/>
      <c r="S749" s="244">
        <f>Q749*R749</f>
        <v/>
      </c>
    </row>
    <row r="750" ht="22.2" customHeight="1" s="330">
      <c r="A750" s="4" t="n"/>
      <c r="B750" s="5" t="n"/>
      <c r="D750" s="3" t="n"/>
      <c r="E750" s="3" t="n"/>
      <c r="G750" s="252" t="n"/>
      <c r="H750" s="252" t="n"/>
      <c r="I750" s="252" t="n"/>
      <c r="J750" s="252" t="n"/>
      <c r="K750" s="331" t="n"/>
      <c r="L750" s="252" t="n"/>
      <c r="M750" s="252" t="n"/>
      <c r="N750" s="252" t="n"/>
      <c r="O750" s="244">
        <f>M750*N750</f>
        <v/>
      </c>
      <c r="P750" s="252" t="n"/>
      <c r="Q750" s="252" t="n"/>
      <c r="R750" s="252" t="n"/>
      <c r="S750" s="244">
        <f>Q750*R750</f>
        <v/>
      </c>
    </row>
    <row r="751" ht="22.2" customHeight="1" s="330">
      <c r="A751" s="4" t="n"/>
      <c r="E751" s="4" t="n"/>
      <c r="G751" s="62" t="n"/>
      <c r="H751" s="249" t="n"/>
      <c r="I751" s="252" t="n"/>
      <c r="J751" s="252" t="n"/>
      <c r="K751" s="331" t="n"/>
      <c r="L751" s="252" t="n"/>
      <c r="M751" s="252" t="n"/>
      <c r="N751" s="252" t="n"/>
      <c r="O751" s="244">
        <f>M751*N751</f>
        <v/>
      </c>
      <c r="P751" s="252" t="n"/>
      <c r="Q751" s="252" t="n"/>
      <c r="R751" s="252" t="n"/>
      <c r="S751" s="244">
        <f>Q751*R751</f>
        <v/>
      </c>
    </row>
    <row r="752" ht="22.2" customHeight="1" s="330">
      <c r="A752" s="4" t="n"/>
      <c r="D752" s="8" t="inlineStr">
        <is>
          <t> </t>
        </is>
      </c>
      <c r="E752" s="4" t="n"/>
      <c r="G752" s="63" t="n"/>
      <c r="H752" s="276" t="n"/>
      <c r="I752" s="276" t="n"/>
      <c r="J752" s="276" t="n"/>
      <c r="K752" s="476" t="n"/>
      <c r="L752" s="252" t="n"/>
      <c r="M752" s="252" t="n"/>
      <c r="N752" s="252" t="n"/>
      <c r="O752" s="244">
        <f>M752*N752</f>
        <v/>
      </c>
      <c r="P752" s="252" t="n"/>
      <c r="Q752" s="252" t="n"/>
      <c r="R752" s="252" t="n"/>
      <c r="S752" s="244">
        <f>Q752*R752</f>
        <v/>
      </c>
    </row>
    <row r="753" ht="22.2" customHeight="1" s="330">
      <c r="A753" s="4" t="n"/>
      <c r="E753" s="4" t="n"/>
      <c r="G753" s="308" t="inlineStr">
        <is>
          <t>พุธ</t>
        </is>
      </c>
      <c r="H753" s="332" t="inlineStr">
        <is>
          <t>20101-2001</t>
        </is>
      </c>
      <c r="I753" s="332" t="inlineStr">
        <is>
          <t>ปวช.1/6 ชย. (ปกติ)</t>
        </is>
      </c>
      <c r="J753" s="332" t="inlineStr">
        <is>
          <t>08.10-12.10</t>
        </is>
      </c>
      <c r="K753" s="335" t="n"/>
      <c r="L753" s="265" t="n"/>
      <c r="M753" s="332" t="n"/>
      <c r="N753" s="332" t="n"/>
      <c r="O753" s="244">
        <f>M753*N753</f>
        <v/>
      </c>
      <c r="P753" s="332" t="n"/>
      <c r="Q753" s="265" t="n"/>
      <c r="R753" s="332" t="n"/>
      <c r="S753" s="244">
        <f>Q753*R753</f>
        <v/>
      </c>
    </row>
    <row r="754" ht="22.2" customHeight="1" s="330">
      <c r="A754" s="4" t="n"/>
      <c r="B754" s="248" t="n"/>
      <c r="C754" s="249" t="n"/>
      <c r="D754" s="249" t="n"/>
      <c r="E754" s="252" t="n"/>
      <c r="G754" s="308">
        <f>G662</f>
        <v/>
      </c>
      <c r="H754" s="325" t="inlineStr">
        <is>
          <t>20101-2001</t>
        </is>
      </c>
      <c r="I754" s="325" t="inlineStr">
        <is>
          <t>ปวช.1/6 ชย. (ปกติ)</t>
        </is>
      </c>
      <c r="J754" s="252" t="inlineStr">
        <is>
          <t>13.10-16.10</t>
        </is>
      </c>
      <c r="K754" s="331" t="n"/>
      <c r="L754" s="252" t="n"/>
      <c r="M754" s="252" t="n"/>
      <c r="N754" s="252" t="n"/>
      <c r="O754" s="244">
        <f>M754*N754</f>
        <v/>
      </c>
      <c r="P754" s="252" t="n"/>
      <c r="Q754" s="252" t="n"/>
      <c r="R754" s="252" t="n"/>
      <c r="S754" s="244">
        <f>Q754*R754</f>
        <v/>
      </c>
    </row>
    <row r="755" ht="22.2" customHeight="1" s="330">
      <c r="A755" s="4" t="n"/>
      <c r="B755" s="5" t="n"/>
      <c r="D755" s="3" t="n"/>
      <c r="E755" s="3" t="n"/>
      <c r="G755" s="252" t="n"/>
      <c r="H755" s="252" t="n"/>
      <c r="I755" s="252" t="n"/>
      <c r="J755" s="252" t="n"/>
      <c r="K755" s="331" t="n"/>
      <c r="L755" s="252" t="n"/>
      <c r="M755" s="252" t="n"/>
      <c r="N755" s="252" t="n"/>
      <c r="O755" s="244">
        <f>M755*N755</f>
        <v/>
      </c>
      <c r="P755" s="252" t="n"/>
      <c r="Q755" s="252" t="n"/>
      <c r="R755" s="252" t="n"/>
      <c r="S755" s="244">
        <f>Q755*R755</f>
        <v/>
      </c>
    </row>
    <row r="756" ht="22.2" customHeight="1" s="330">
      <c r="A756" s="4" t="n"/>
      <c r="E756" s="4" t="n"/>
      <c r="G756" s="248" t="n"/>
      <c r="H756" s="248" t="n"/>
      <c r="I756" s="252" t="n"/>
      <c r="J756" s="252" t="n"/>
      <c r="K756" s="331" t="n"/>
      <c r="L756" s="252" t="n"/>
      <c r="M756" s="252" t="n"/>
      <c r="N756" s="252" t="n"/>
      <c r="O756" s="244">
        <f>M756*N756</f>
        <v/>
      </c>
      <c r="P756" s="252" t="n"/>
      <c r="Q756" s="252" t="n"/>
      <c r="R756" s="252" t="n"/>
      <c r="S756" s="244">
        <f>Q756*R756</f>
        <v/>
      </c>
    </row>
    <row r="757" ht="22.2" customHeight="1" s="330">
      <c r="A757" s="4" t="n"/>
      <c r="E757" s="4" t="n"/>
      <c r="G757" s="277" t="n"/>
      <c r="H757" s="277" t="n"/>
      <c r="I757" s="276" t="n"/>
      <c r="J757" s="276" t="n"/>
      <c r="K757" s="476" t="n"/>
      <c r="L757" s="276" t="n"/>
      <c r="M757" s="276" t="n"/>
      <c r="N757" s="276" t="n"/>
      <c r="O757" s="244">
        <f>M757*N757</f>
        <v/>
      </c>
      <c r="P757" s="276" t="n"/>
      <c r="Q757" s="276" t="n"/>
      <c r="R757" s="276" t="n"/>
      <c r="S757" s="244">
        <f>Q757*R757</f>
        <v/>
      </c>
    </row>
    <row r="758" ht="22.2" customHeight="1" s="330">
      <c r="A758" s="4" t="n"/>
      <c r="E758" s="4" t="n"/>
      <c r="G758" s="62" t="inlineStr">
        <is>
          <t>พฤหัส</t>
        </is>
      </c>
      <c r="H758" s="325" t="inlineStr">
        <is>
          <t>20101-2107</t>
        </is>
      </c>
      <c r="I758" s="325" t="inlineStr">
        <is>
          <t>ปวช.1/9,10 ชย. (ทวิ)</t>
        </is>
      </c>
      <c r="J758" s="332" t="inlineStr">
        <is>
          <t>10.10-12.10</t>
        </is>
      </c>
      <c r="K758" s="335" t="n"/>
      <c r="L758" s="265" t="n"/>
      <c r="M758" s="275" t="n"/>
      <c r="N758" s="275" t="n"/>
      <c r="O758" s="244">
        <f>M758*N758</f>
        <v/>
      </c>
      <c r="P758" s="252" t="n"/>
      <c r="Q758" s="275" t="n"/>
      <c r="R758" s="275" t="n"/>
      <c r="S758" s="244">
        <f>Q758*R758</f>
        <v/>
      </c>
    </row>
    <row r="759" ht="22.2" customHeight="1" s="330">
      <c r="A759" s="4" t="n"/>
      <c r="E759" s="4" t="n"/>
      <c r="G759" s="308">
        <f>G667</f>
        <v/>
      </c>
      <c r="H759" s="252" t="inlineStr">
        <is>
          <t>20000-2004</t>
        </is>
      </c>
      <c r="I759" s="325" t="inlineStr">
        <is>
          <t>ปวช.2/5,6 ชย. (ปกติ)</t>
        </is>
      </c>
      <c r="J759" s="252" t="inlineStr">
        <is>
          <t>13.10-15.10</t>
        </is>
      </c>
      <c r="K759" s="331" t="n"/>
      <c r="L759" s="252" t="n"/>
      <c r="M759" s="252" t="n"/>
      <c r="N759" s="252" t="n"/>
      <c r="O759" s="244">
        <f>M759*N759</f>
        <v/>
      </c>
      <c r="P759" s="252" t="n"/>
      <c r="Q759" s="252" t="n"/>
      <c r="R759" s="252" t="n"/>
      <c r="S759" s="244">
        <f>Q759*R759</f>
        <v/>
      </c>
    </row>
    <row r="760" ht="22.2" customHeight="1" s="330">
      <c r="A760" s="4" t="n"/>
      <c r="B760" s="5" t="n"/>
      <c r="E760" s="4" t="n"/>
      <c r="G760" s="252" t="n"/>
      <c r="H760" s="325" t="inlineStr">
        <is>
          <t>20101-2008</t>
        </is>
      </c>
      <c r="I760" s="325" t="inlineStr">
        <is>
          <t>ปวช.3/10 ชย. (ทวิ)</t>
        </is>
      </c>
      <c r="J760" s="252" t="inlineStr">
        <is>
          <t>15.10-19.10</t>
        </is>
      </c>
      <c r="K760" s="331" t="n"/>
      <c r="L760" s="325" t="n"/>
      <c r="M760" s="325" t="n"/>
      <c r="N760" s="325" t="n"/>
      <c r="O760" s="244">
        <f>M760*N760</f>
        <v/>
      </c>
      <c r="P760" s="325" t="n"/>
      <c r="Q760" s="325" t="n"/>
      <c r="R760" s="325" t="n"/>
      <c r="S760" s="244">
        <f>Q760*R760</f>
        <v/>
      </c>
    </row>
    <row r="761" ht="22.2" customHeight="1" s="330">
      <c r="A761" s="4" t="n"/>
      <c r="E761" s="4" t="n"/>
      <c r="G761" s="252" t="n"/>
      <c r="H761" s="252" t="n"/>
      <c r="I761" s="252" t="n"/>
      <c r="J761" s="252" t="n"/>
      <c r="K761" s="331" t="n"/>
      <c r="L761" s="252" t="n"/>
      <c r="M761" s="252" t="n"/>
      <c r="N761" s="252" t="n"/>
      <c r="O761" s="244">
        <f>M761*N761</f>
        <v/>
      </c>
      <c r="P761" s="252" t="n"/>
      <c r="Q761" s="252" t="n"/>
      <c r="R761" s="252" t="n"/>
      <c r="S761" s="244">
        <f>Q761*R761</f>
        <v/>
      </c>
    </row>
    <row r="762" ht="22.2" customHeight="1" s="330">
      <c r="A762" s="4" t="n"/>
      <c r="E762" s="4" t="n"/>
      <c r="G762" s="276" t="n"/>
      <c r="H762" s="301" t="n"/>
      <c r="I762" s="276" t="n"/>
      <c r="J762" s="276" t="n"/>
      <c r="K762" s="476" t="n"/>
      <c r="L762" s="276" t="n"/>
      <c r="M762" s="276" t="n"/>
      <c r="N762" s="276" t="n"/>
      <c r="O762" s="244">
        <f>M762*N762</f>
        <v/>
      </c>
      <c r="P762" s="276" t="n"/>
      <c r="Q762" s="276" t="n"/>
      <c r="R762" s="276" t="n"/>
      <c r="S762" s="244">
        <f>Q762*R762</f>
        <v/>
      </c>
    </row>
    <row r="763" ht="22.2" customHeight="1" s="330">
      <c r="A763" s="4" t="n"/>
      <c r="E763" s="4" t="n"/>
      <c r="G763" s="62" t="inlineStr">
        <is>
          <t>ศุกร์</t>
        </is>
      </c>
      <c r="H763" s="325" t="inlineStr">
        <is>
          <t>20101-5101</t>
        </is>
      </c>
      <c r="I763" s="325" t="inlineStr">
        <is>
          <t>ปวช.2/10 ชย. (ทวิ)</t>
        </is>
      </c>
      <c r="J763" s="332" t="inlineStr">
        <is>
          <t>08.10-12.10</t>
        </is>
      </c>
      <c r="K763" s="335" t="n"/>
      <c r="L763" s="252" t="n"/>
      <c r="M763" s="332" t="n"/>
      <c r="N763" s="332" t="n"/>
      <c r="O763" s="244">
        <f>M763*N763</f>
        <v/>
      </c>
      <c r="P763" s="332" t="n"/>
      <c r="Q763" s="265" t="n"/>
      <c r="R763" s="332" t="n"/>
      <c r="S763" s="244">
        <f>Q763*R763</f>
        <v/>
      </c>
    </row>
    <row r="764" ht="22.2" customHeight="1" s="330">
      <c r="A764" s="4" t="n"/>
      <c r="E764" s="4" t="n"/>
      <c r="G764" s="308">
        <f>G672</f>
        <v/>
      </c>
      <c r="H764" s="325" t="inlineStr">
        <is>
          <t>20101-5101</t>
        </is>
      </c>
      <c r="I764" s="325" t="inlineStr">
        <is>
          <t>ปวช.2/10 ชย. (ทวิ)</t>
        </is>
      </c>
      <c r="J764" s="252" t="inlineStr">
        <is>
          <t>13.10-16.10</t>
        </is>
      </c>
      <c r="K764" s="331" t="n"/>
      <c r="L764" s="252" t="n"/>
      <c r="M764" s="252" t="n"/>
      <c r="N764" s="252" t="n"/>
      <c r="O764" s="244">
        <f>M764*N764</f>
        <v/>
      </c>
      <c r="P764" s="252" t="n"/>
      <c r="Q764" s="252" t="n"/>
      <c r="R764" s="252" t="n"/>
      <c r="S764" s="244">
        <f>Q764*R764</f>
        <v/>
      </c>
    </row>
    <row r="765" ht="22.2" customHeight="1" s="330">
      <c r="A765" s="4" t="n"/>
      <c r="E765" s="4" t="n"/>
      <c r="G765" s="252" t="n"/>
      <c r="H765" s="325" t="n"/>
      <c r="I765" s="325" t="n"/>
      <c r="J765" s="325" t="n"/>
      <c r="K765" s="331" t="n"/>
      <c r="L765" s="252" t="n"/>
      <c r="M765" s="252" t="n"/>
      <c r="N765" s="252" t="n"/>
      <c r="O765" s="244">
        <f>M765*N765</f>
        <v/>
      </c>
      <c r="P765" s="252" t="n"/>
      <c r="Q765" s="252" t="n"/>
      <c r="R765" s="252" t="n"/>
      <c r="S765" s="244">
        <f>Q765*R765</f>
        <v/>
      </c>
    </row>
    <row r="766" ht="22.2" customHeight="1" s="330">
      <c r="A766" s="4" t="n"/>
      <c r="E766" s="4" t="n"/>
      <c r="G766" s="252" t="n"/>
      <c r="H766" s="249" t="n"/>
      <c r="I766" s="252" t="n"/>
      <c r="J766" s="252" t="n"/>
      <c r="K766" s="331" t="n"/>
      <c r="L766" s="252" t="n"/>
      <c r="M766" s="252" t="n"/>
      <c r="N766" s="252" t="n"/>
      <c r="O766" s="244">
        <f>M766*N766</f>
        <v/>
      </c>
      <c r="P766" s="252" t="n"/>
      <c r="Q766" s="252" t="n"/>
      <c r="R766" s="252" t="n"/>
      <c r="S766" s="244">
        <f>Q766*R766</f>
        <v/>
      </c>
    </row>
    <row r="767" ht="22.2" customHeight="1" s="330">
      <c r="A767" s="4" t="n"/>
      <c r="E767" s="4" t="n"/>
      <c r="F767" s="4" t="n"/>
      <c r="G767" s="278" t="n"/>
      <c r="H767" s="301" t="n"/>
      <c r="I767" s="276" t="n"/>
      <c r="J767" s="276" t="n"/>
      <c r="K767" s="476" t="n"/>
      <c r="L767" s="276" t="n"/>
      <c r="M767" s="276" t="n"/>
      <c r="N767" s="276" t="n"/>
      <c r="O767" s="244">
        <f>M767*N767</f>
        <v/>
      </c>
      <c r="P767" s="276" t="n"/>
      <c r="Q767" s="276" t="n"/>
      <c r="R767" s="276" t="n"/>
      <c r="S767" s="244">
        <f>Q767*R767</f>
        <v/>
      </c>
    </row>
    <row r="768" ht="22.2" customHeight="1" s="330">
      <c r="A768" s="4" t="n"/>
      <c r="E768" s="4" t="n"/>
      <c r="F768" s="4" t="n"/>
      <c r="G768" s="17" t="inlineStr">
        <is>
          <t>รวมขั่วโมงที่สอนแยก ภาระงาน/ เกินภาระงาน</t>
        </is>
      </c>
      <c r="H768" s="467" t="n"/>
      <c r="I768" s="467" t="n"/>
      <c r="J768" s="467" t="n"/>
      <c r="K768" s="362" t="n"/>
      <c r="L768" s="17">
        <f>SUM(L743:L767)</f>
        <v/>
      </c>
      <c r="M768" s="17">
        <f>SUM(M743:M767)</f>
        <v/>
      </c>
      <c r="N768" s="17" t="n"/>
      <c r="O768" s="17" t="n"/>
      <c r="P768" s="17">
        <f>SUM(P743:P767)</f>
        <v/>
      </c>
      <c r="Q768" s="17">
        <f>SUM(Q743:Q767)</f>
        <v/>
      </c>
      <c r="R768" s="279" t="n"/>
      <c r="S768" s="17" t="n"/>
    </row>
    <row r="769" ht="22.2" customHeight="1" s="330">
      <c r="A769" s="4" t="n"/>
      <c r="E769" s="4" t="n"/>
      <c r="F769" s="4" t="n"/>
      <c r="G769" s="17" t="inlineStr">
        <is>
          <t>รวมจำนวนชั่วโมงสอนคาบต่อสับดาห์</t>
        </is>
      </c>
      <c r="H769" s="467" t="n"/>
      <c r="I769" s="467" t="n"/>
      <c r="J769" s="467" t="n"/>
      <c r="K769" s="362" t="n"/>
      <c r="L769" s="17">
        <f>L768+M768</f>
        <v/>
      </c>
      <c r="M769" s="362" t="n"/>
      <c r="N769" s="298" t="n"/>
      <c r="O769" s="17" t="n"/>
      <c r="P769" s="17">
        <f>P768+Q768</f>
        <v/>
      </c>
      <c r="Q769" s="362" t="n"/>
      <c r="R769" s="278" t="n"/>
      <c r="S769" s="276" t="n"/>
    </row>
    <row r="770" ht="22.2" customHeight="1" s="330">
      <c r="A770" s="4" t="n"/>
      <c r="E770" s="4" t="n"/>
      <c r="F770" s="4" t="n"/>
      <c r="G770" s="17" t="inlineStr">
        <is>
          <t>จำนวนชั่วโมงสอนตามภาระงานสอน</t>
        </is>
      </c>
      <c r="H770" s="467" t="n"/>
      <c r="I770" s="467" t="n"/>
      <c r="J770" s="467" t="n"/>
      <c r="K770" s="362" t="n"/>
      <c r="L770" s="17" t="n">
        <v>18</v>
      </c>
      <c r="M770" s="362" t="n"/>
      <c r="N770" s="298" t="n"/>
      <c r="O770" s="17" t="n"/>
      <c r="P770" s="17" t="n">
        <v>0</v>
      </c>
      <c r="Q770" s="362" t="n"/>
      <c r="R770" s="249" t="n"/>
      <c r="S770" s="252" t="n"/>
    </row>
    <row r="771" ht="22.2" customHeight="1" s="330" thickBot="1">
      <c r="A771" s="4" t="n"/>
      <c r="E771" s="4" t="n"/>
      <c r="F771" s="15" t="n"/>
      <c r="G771" s="17" t="inlineStr">
        <is>
          <t>จำนวนชั่วโมงบิกเกินภาระงานสอน/ค่าสอน</t>
        </is>
      </c>
      <c r="H771" s="467" t="n"/>
      <c r="I771" s="467" t="n"/>
      <c r="J771" s="467" t="n"/>
      <c r="K771" s="362" t="n"/>
      <c r="L771" s="18" t="n">
        <v>0</v>
      </c>
      <c r="M771" s="18">
        <f>SUM(M743:M767)</f>
        <v/>
      </c>
      <c r="N771" s="18" t="n"/>
      <c r="O771" s="18">
        <f>SUM(O743:O767)</f>
        <v/>
      </c>
      <c r="P771" s="18" t="n">
        <v>0</v>
      </c>
      <c r="Q771" s="18">
        <f>SUM(Q743:Q767)</f>
        <v/>
      </c>
      <c r="R771" s="19" t="n"/>
      <c r="S771" s="18">
        <f>SUM(S743:S767)</f>
        <v/>
      </c>
    </row>
    <row r="772" ht="22.2" customHeight="1" s="330" thickTop="1">
      <c r="A772" s="299" t="inlineStr">
        <is>
          <t>รวมจำนวนหน่วยชั่วโมงที่ขอเบิกค่าสอน ….</t>
        </is>
      </c>
      <c r="B772" s="467" t="n"/>
      <c r="C772" s="467" t="n"/>
      <c r="D772" s="467" t="n"/>
      <c r="E772" s="467" t="n"/>
      <c r="F772" s="467" t="n"/>
      <c r="G772" s="467" t="n"/>
      <c r="H772" s="298">
        <f>M771+Q771</f>
        <v/>
      </c>
      <c r="I772" s="298" t="inlineStr">
        <is>
          <t>….ชั่วโมง</t>
        </is>
      </c>
      <c r="J772" s="298" t="n"/>
      <c r="K772" s="301" t="inlineStr">
        <is>
          <t>ยอดเงินรวม</t>
        </is>
      </c>
      <c r="L772" s="471" t="n"/>
      <c r="M772" s="471" t="n"/>
      <c r="N772" s="301" t="n"/>
      <c r="O772" s="301" t="n"/>
      <c r="P772" s="302">
        <f>S771+O771</f>
        <v/>
      </c>
      <c r="Q772" s="482" t="n"/>
      <c r="R772" s="21" t="n"/>
      <c r="S772" s="20" t="inlineStr">
        <is>
          <t>..บาท</t>
        </is>
      </c>
    </row>
    <row r="773" ht="22.2" customHeight="1" s="330">
      <c r="A773" s="207" t="inlineStr">
        <is>
          <t>ผู้ขอเบิก</t>
        </is>
      </c>
      <c r="B773" s="334" t="n"/>
      <c r="C773" s="334" t="n"/>
      <c r="D773" s="334" t="n"/>
      <c r="E773" s="334" t="n"/>
      <c r="F773" s="334" t="n"/>
      <c r="G773" s="335" t="n"/>
      <c r="H773" s="207" t="inlineStr">
        <is>
          <t>ผู้รับรอง</t>
        </is>
      </c>
      <c r="I773" s="334" t="n"/>
      <c r="J773" s="334" t="n"/>
      <c r="K773" s="334" t="n"/>
      <c r="L773" s="335" t="n"/>
      <c r="M773" s="207" t="inlineStr">
        <is>
          <t>ผู้ตรวจ</t>
        </is>
      </c>
      <c r="N773" s="334" t="n"/>
      <c r="O773" s="334" t="n"/>
      <c r="P773" s="334" t="n"/>
      <c r="Q773" s="334" t="n"/>
      <c r="R773" s="334" t="n"/>
      <c r="S773" s="335" t="n"/>
    </row>
    <row r="774" ht="22.2" customHeight="1" s="330">
      <c r="A774" s="252" t="inlineStr">
        <is>
          <t>ลงชื่อ……………………………………………</t>
        </is>
      </c>
      <c r="G774" s="331" t="n"/>
      <c r="H774" s="252" t="inlineStr">
        <is>
          <t>ลงชื่อ……………………………………………</t>
        </is>
      </c>
      <c r="L774" s="331" t="n"/>
      <c r="M774" s="252" t="inlineStr">
        <is>
          <t>ลงชื่อ……………………………………………</t>
        </is>
      </c>
      <c r="S774" s="331" t="n"/>
    </row>
    <row r="775" ht="22.2" customHeight="1" s="330">
      <c r="A775" s="12" t="inlineStr">
        <is>
          <t>(</t>
        </is>
      </c>
      <c r="B775" s="309">
        <f>B743</f>
        <v/>
      </c>
      <c r="G775" s="310" t="inlineStr">
        <is>
          <t>)</t>
        </is>
      </c>
      <c r="H775" s="309" t="inlineStr">
        <is>
          <t>(</t>
        </is>
      </c>
      <c r="I775" s="314">
        <f>I729</f>
        <v/>
      </c>
      <c r="L775" s="13" t="inlineStr">
        <is>
          <t>)</t>
        </is>
      </c>
      <c r="M775" s="61" t="inlineStr">
        <is>
          <t>(</t>
        </is>
      </c>
      <c r="N775" s="61" t="n"/>
      <c r="O775" s="309" t="inlineStr">
        <is>
          <t>นายพิสุทธิศักดิ์  กล่อมนาค</t>
        </is>
      </c>
      <c r="R775" s="29" t="n"/>
      <c r="S775" s="310" t="inlineStr">
        <is>
          <t>)</t>
        </is>
      </c>
    </row>
    <row r="776" ht="22.2" customHeight="1" s="330">
      <c r="A776" s="483" t="inlineStr">
        <is>
          <t xml:space="preserve">                        ตำแหน่ง ครู</t>
        </is>
      </c>
      <c r="G776" s="331" t="n"/>
      <c r="H776" s="62" t="inlineStr">
        <is>
          <t>ตำแหน่ง หัวหน้าแผนก</t>
        </is>
      </c>
      <c r="L776" s="331" t="n"/>
      <c r="M776" s="62" t="inlineStr">
        <is>
          <t>ตำแหน่ง   ผู้ตรวจสอบ</t>
        </is>
      </c>
      <c r="S776" s="331" t="n"/>
    </row>
    <row r="777" ht="22.2" customHeight="1" s="330">
      <c r="A777" s="63">
        <f>A179</f>
        <v/>
      </c>
      <c r="B777" s="471" t="n"/>
      <c r="C777" s="471" t="n"/>
      <c r="D777" s="471" t="n"/>
      <c r="E777" s="471" t="n"/>
      <c r="F777" s="471" t="n"/>
      <c r="G777" s="476" t="n"/>
      <c r="H777" s="62">
        <f>A179</f>
        <v/>
      </c>
      <c r="L777" s="331" t="n"/>
      <c r="M777" s="63">
        <f>A179</f>
        <v/>
      </c>
      <c r="N777" s="471" t="n"/>
      <c r="O777" s="471" t="n"/>
      <c r="P777" s="471" t="n"/>
      <c r="Q777" s="471" t="n"/>
      <c r="R777" s="471" t="n"/>
      <c r="S777" s="476" t="n"/>
    </row>
    <row r="778" ht="22.2" customHeight="1" s="330">
      <c r="A778" s="207" t="inlineStr">
        <is>
          <t>ผู้ตรวจ</t>
        </is>
      </c>
      <c r="B778" s="334" t="n"/>
      <c r="C778" s="334" t="n"/>
      <c r="D778" s="334" t="n"/>
      <c r="E778" s="334" t="n"/>
      <c r="F778" s="334" t="n"/>
      <c r="G778" s="334" t="n"/>
      <c r="H778" s="334" t="n"/>
      <c r="I778" s="335" t="n"/>
      <c r="J778" s="207" t="inlineStr">
        <is>
          <t>ผู้เห็นชอบ</t>
        </is>
      </c>
      <c r="K778" s="334" t="n"/>
      <c r="L778" s="334" t="n"/>
      <c r="M778" s="334" t="n"/>
      <c r="N778" s="334" t="n"/>
      <c r="O778" s="334" t="n"/>
      <c r="P778" s="334" t="n"/>
      <c r="Q778" s="334" t="n"/>
      <c r="R778" s="334" t="n"/>
      <c r="S778" s="335" t="n"/>
    </row>
    <row r="779" ht="22.2" customHeight="1" s="330">
      <c r="A779" s="252" t="inlineStr">
        <is>
          <t>ลงชื่อ……………………………………………</t>
        </is>
      </c>
      <c r="I779" s="331" t="n"/>
      <c r="J779" s="252" t="inlineStr">
        <is>
          <t>ลงชื่อ……………………………………………</t>
        </is>
      </c>
      <c r="S779" s="331" t="n"/>
    </row>
    <row r="780" ht="22.2" customHeight="1" s="330">
      <c r="A780" s="12" t="n"/>
      <c r="B780" s="309" t="inlineStr">
        <is>
          <t xml:space="preserve">          (นางศิวรักษ์   บุญประเสริฐ)</t>
        </is>
      </c>
      <c r="I780" s="310" t="n"/>
      <c r="J780" s="29" t="n"/>
      <c r="K780" s="29" t="n"/>
      <c r="L780" s="309" t="inlineStr">
        <is>
          <t>(นายปรีชา  โพธิ์เกิด)</t>
        </is>
      </c>
      <c r="R780" s="29" t="n"/>
      <c r="S780" s="13" t="n"/>
    </row>
    <row r="781" ht="22.2" customHeight="1" s="330">
      <c r="A781" s="62" t="inlineStr">
        <is>
          <t>ตำแหน่งครู  หัวหน้างานพัฒนาหลักสูตร ฯ</t>
        </is>
      </c>
      <c r="I781" s="331" t="n"/>
      <c r="J781" s="62" t="inlineStr">
        <is>
          <t>ตำแหน่ง  รองผู้อำนวยการฝ่ายวิชาการ</t>
        </is>
      </c>
      <c r="S781" s="331" t="n"/>
    </row>
    <row r="782" ht="22.2" customHeight="1" s="330">
      <c r="A782" s="63">
        <f>A179</f>
        <v/>
      </c>
      <c r="B782" s="471" t="n"/>
      <c r="C782" s="471" t="n"/>
      <c r="D782" s="471" t="n"/>
      <c r="E782" s="471" t="n"/>
      <c r="F782" s="471" t="n"/>
      <c r="G782" s="471" t="n"/>
      <c r="H782" s="471" t="n"/>
      <c r="I782" s="476" t="n"/>
      <c r="J782" s="63">
        <f>A179</f>
        <v/>
      </c>
      <c r="K782" s="471" t="n"/>
      <c r="L782" s="471" t="n"/>
      <c r="M782" s="471" t="n"/>
      <c r="N782" s="471" t="n"/>
      <c r="O782" s="471" t="n"/>
      <c r="P782" s="471" t="n"/>
      <c r="Q782" s="471" t="n"/>
      <c r="R782" s="471" t="n"/>
      <c r="S782" s="476" t="n"/>
    </row>
    <row r="783" ht="22.2" customHeight="1" s="330">
      <c r="A78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784" ht="22.2" customHeight="1" s="330">
      <c r="A784" s="254">
        <f>A2</f>
        <v/>
      </c>
    </row>
    <row r="785" ht="22.2" customHeight="1" s="330">
      <c r="A785" s="253" t="inlineStr">
        <is>
          <t xml:space="preserve">    ระหว่างวันที่</t>
        </is>
      </c>
      <c r="D785" s="254">
        <f>D3</f>
        <v/>
      </c>
      <c r="E785" s="254" t="inlineStr">
        <is>
          <t xml:space="preserve">   เดือน  </t>
        </is>
      </c>
      <c r="F785" s="254">
        <f>F3</f>
        <v/>
      </c>
      <c r="H785" s="254">
        <f>H3</f>
        <v/>
      </c>
      <c r="I785" s="254" t="inlineStr">
        <is>
          <t xml:space="preserve">     ถึง วันที่</t>
        </is>
      </c>
      <c r="J785" s="254">
        <f>J3</f>
        <v/>
      </c>
      <c r="K785" s="254" t="inlineStr">
        <is>
          <t xml:space="preserve">   เดือน </t>
        </is>
      </c>
      <c r="L785" s="254">
        <f>L3</f>
        <v/>
      </c>
      <c r="N785" s="254">
        <f>N3</f>
        <v/>
      </c>
      <c r="P785" s="254" t="n"/>
      <c r="R785" s="254" t="n"/>
    </row>
    <row r="786" ht="22.2" customHeight="1" s="330">
      <c r="G786" s="58" t="inlineStr">
        <is>
          <t>ü</t>
        </is>
      </c>
      <c r="H786" s="301" t="inlineStr">
        <is>
          <t>ครู</t>
        </is>
      </c>
      <c r="I786" s="301" t="inlineStr">
        <is>
          <t>หน้าที่พิเศษ</t>
        </is>
      </c>
      <c r="J786" s="290" t="n"/>
      <c r="K786" s="290" t="n"/>
    </row>
    <row r="787" ht="22.2" customHeight="1" s="330">
      <c r="A787" s="28" t="inlineStr">
        <is>
          <t>ที่</t>
        </is>
      </c>
      <c r="B787" s="28" t="inlineStr">
        <is>
          <t>ชื่อ-สกุล</t>
        </is>
      </c>
      <c r="C787" s="334" t="n"/>
      <c r="D787" s="335" t="n"/>
      <c r="E787" s="16" t="inlineStr">
        <is>
          <t>ตำแหน่ง</t>
        </is>
      </c>
      <c r="F787" s="17" t="inlineStr">
        <is>
          <t>ระยะเวลาที่สอน</t>
        </is>
      </c>
      <c r="G787" s="362" t="n"/>
      <c r="H787" s="17" t="inlineStr">
        <is>
          <t>รหัสวิชา</t>
        </is>
      </c>
      <c r="I787" s="275" t="inlineStr">
        <is>
          <t>ชั้น,แผนก,ห้อง</t>
        </is>
      </c>
      <c r="J787" s="17" t="inlineStr">
        <is>
          <t>เวลาสอน</t>
        </is>
      </c>
      <c r="K787" s="335" t="n"/>
      <c r="L787" s="17" t="inlineStr">
        <is>
          <t>ปวช.(คาบ)</t>
        </is>
      </c>
      <c r="M787" s="362" t="n"/>
      <c r="N787" s="244" t="inlineStr">
        <is>
          <t>เงิน</t>
        </is>
      </c>
      <c r="O787" s="275" t="inlineStr">
        <is>
          <t>ยอดเงิน</t>
        </is>
      </c>
      <c r="P787" s="473" t="inlineStr">
        <is>
          <t>ปวส.(คาบ)</t>
        </is>
      </c>
      <c r="Q787" s="362" t="n"/>
      <c r="R787" s="244" t="inlineStr">
        <is>
          <t>เงิน</t>
        </is>
      </c>
      <c r="S787" s="275" t="inlineStr">
        <is>
          <t>ยอดเงิน</t>
        </is>
      </c>
    </row>
    <row r="788" ht="22.2" customHeight="1" s="330">
      <c r="A788" s="60" t="n"/>
      <c r="B788" s="9" t="n"/>
      <c r="C788" s="10" t="n"/>
      <c r="D788" s="14" t="n"/>
      <c r="E788" s="11" t="n"/>
      <c r="F788" s="276" t="inlineStr">
        <is>
          <t>ส.</t>
        </is>
      </c>
      <c r="G788" s="276" t="inlineStr">
        <is>
          <t>วดป.</t>
        </is>
      </c>
      <c r="H788" s="474" t="n"/>
      <c r="I788" s="276" t="n"/>
      <c r="J788" s="475" t="n"/>
      <c r="K788" s="476" t="n"/>
      <c r="L788" s="276" t="inlineStr">
        <is>
          <t>ใน</t>
        </is>
      </c>
      <c r="M788" s="276" t="inlineStr">
        <is>
          <t>นอก</t>
        </is>
      </c>
      <c r="N788" s="276" t="inlineStr">
        <is>
          <t>ต่อ ชม.</t>
        </is>
      </c>
      <c r="O788" s="276" t="inlineStr">
        <is>
          <t>(บาท)</t>
        </is>
      </c>
      <c r="P788" s="60" t="inlineStr">
        <is>
          <t>ใน</t>
        </is>
      </c>
      <c r="Q788" s="60" t="inlineStr">
        <is>
          <t>นอก</t>
        </is>
      </c>
      <c r="R788" s="276" t="inlineStr">
        <is>
          <t>ต่อ ชม.</t>
        </is>
      </c>
      <c r="S788" s="276" t="inlineStr">
        <is>
          <t>(บาท)</t>
        </is>
      </c>
    </row>
    <row r="789" ht="22.2" customHeight="1" s="330">
      <c r="A789" s="275" t="n">
        <v>18</v>
      </c>
      <c r="B789" s="477">
        <f>AB20</f>
        <v/>
      </c>
      <c r="C789" s="334" t="n"/>
      <c r="D789" s="335" t="n"/>
      <c r="E789" s="275" t="inlineStr">
        <is>
          <t>ครู</t>
        </is>
      </c>
      <c r="F789" s="6">
        <f>F7</f>
        <v/>
      </c>
      <c r="G789" s="303" t="inlineStr">
        <is>
          <t>จันทร์</t>
        </is>
      </c>
      <c r="H789" s="325" t="inlineStr">
        <is>
          <t>20101-2110</t>
        </is>
      </c>
      <c r="I789" s="325" t="inlineStr">
        <is>
          <t>ปวช.3/4 ชย. (ปกติ)</t>
        </is>
      </c>
      <c r="J789" s="332" t="inlineStr">
        <is>
          <t>08.10-12.10</t>
        </is>
      </c>
      <c r="K789" s="335" t="n"/>
      <c r="L789" s="265" t="n"/>
      <c r="M789" s="332" t="n"/>
      <c r="N789" s="332" t="n"/>
      <c r="O789" s="244">
        <f>M789*N789</f>
        <v/>
      </c>
      <c r="P789" s="332" t="n"/>
      <c r="Q789" s="265" t="n"/>
      <c r="R789" s="332" t="n"/>
      <c r="S789" s="244">
        <f>Q789*R789</f>
        <v/>
      </c>
    </row>
    <row r="790" ht="22.2" customHeight="1" s="330">
      <c r="A790" s="4" t="n"/>
      <c r="B790" s="478" t="n"/>
      <c r="D790" s="331" t="n"/>
      <c r="E790" s="252" t="n"/>
      <c r="F790" s="249" t="n"/>
      <c r="G790" s="308">
        <f>G560</f>
        <v/>
      </c>
      <c r="H790" s="325" t="n"/>
      <c r="I790" s="325" t="n"/>
      <c r="J790" s="252" t="n"/>
      <c r="K790" s="331" t="n"/>
      <c r="L790" s="252" t="n"/>
      <c r="M790" s="252" t="n"/>
      <c r="N790" s="252" t="n"/>
      <c r="O790" s="244">
        <f>M790*N790</f>
        <v/>
      </c>
      <c r="P790" s="252" t="n"/>
      <c r="Q790" s="252" t="n"/>
      <c r="R790" s="252" t="n"/>
      <c r="S790" s="244">
        <f>Q790*R790</f>
        <v/>
      </c>
    </row>
    <row r="791" ht="22.2" customHeight="1" s="330">
      <c r="A791" s="4" t="n"/>
      <c r="B791" s="5" t="n"/>
      <c r="D791" s="3" t="n"/>
      <c r="E791" s="3" t="n"/>
      <c r="F791" s="249" t="n"/>
      <c r="G791" s="248" t="n"/>
      <c r="H791" s="252" t="n"/>
      <c r="I791" s="252" t="n"/>
      <c r="J791" s="252" t="n"/>
      <c r="K791" s="331" t="n"/>
      <c r="L791" s="252" t="n"/>
      <c r="M791" s="252" t="n"/>
      <c r="N791" s="252" t="n"/>
      <c r="O791" s="244">
        <f>M791*N791</f>
        <v/>
      </c>
      <c r="P791" s="252" t="n"/>
      <c r="Q791" s="252" t="n"/>
      <c r="R791" s="252" t="n"/>
      <c r="S791" s="244">
        <f>Q791*R791</f>
        <v/>
      </c>
    </row>
    <row r="792" ht="22.2" customHeight="1" s="330">
      <c r="A792" s="4" t="n"/>
      <c r="B792" s="5" t="n"/>
      <c r="E792" s="4" t="n"/>
      <c r="F792" s="249" t="n"/>
      <c r="G792" s="248" t="n"/>
      <c r="H792" s="252" t="n"/>
      <c r="I792" s="252" t="n"/>
      <c r="J792" s="252" t="n"/>
      <c r="K792" s="331" t="n"/>
      <c r="L792" s="252" t="n"/>
      <c r="M792" s="252" t="n"/>
      <c r="N792" s="252" t="n"/>
      <c r="O792" s="244">
        <f>M792*N792</f>
        <v/>
      </c>
      <c r="P792" s="252" t="n"/>
      <c r="Q792" s="252" t="n"/>
      <c r="R792" s="252" t="n"/>
      <c r="S792" s="244">
        <f>Q792*R792</f>
        <v/>
      </c>
    </row>
    <row r="793" ht="22.2" customHeight="1" s="330">
      <c r="A793" s="4" t="n"/>
      <c r="E793" s="4" t="n"/>
      <c r="G793" s="311" t="n"/>
      <c r="H793" s="276" t="n"/>
      <c r="I793" s="276" t="n"/>
      <c r="J793" s="276" t="n"/>
      <c r="K793" s="476" t="n"/>
      <c r="L793" s="252" t="n"/>
      <c r="M793" s="252" t="n"/>
      <c r="N793" s="252" t="n"/>
      <c r="O793" s="244">
        <f>M793*N793</f>
        <v/>
      </c>
      <c r="P793" s="252" t="n"/>
      <c r="Q793" s="252" t="n"/>
      <c r="R793" s="252" t="n"/>
      <c r="S793" s="244">
        <f>Q793*R793</f>
        <v/>
      </c>
    </row>
    <row r="794" ht="22.2" customHeight="1" s="330">
      <c r="A794" s="4" t="n"/>
      <c r="E794" s="4" t="n"/>
      <c r="G794" s="62" t="inlineStr">
        <is>
          <t>อังคาร</t>
        </is>
      </c>
      <c r="H794" s="325" t="inlineStr">
        <is>
          <t>20101-2103</t>
        </is>
      </c>
      <c r="I794" s="325" t="inlineStr">
        <is>
          <t>ปวช.2/5 ชย. (ปกติ)</t>
        </is>
      </c>
      <c r="J794" s="332" t="inlineStr">
        <is>
          <t>08.10-12.10</t>
        </is>
      </c>
      <c r="K794" s="335" t="n"/>
      <c r="L794" s="265" t="n"/>
      <c r="M794" s="332" t="n"/>
      <c r="N794" s="332" t="n"/>
      <c r="O794" s="244">
        <f>M794*N794</f>
        <v/>
      </c>
      <c r="P794" s="332" t="n"/>
      <c r="Q794" s="265" t="n"/>
      <c r="R794" s="332" t="n"/>
      <c r="S794" s="244">
        <f>Q794*R794</f>
        <v/>
      </c>
    </row>
    <row r="795" ht="22.2" customHeight="1" s="330">
      <c r="A795" s="4" t="n"/>
      <c r="E795" s="4" t="n"/>
      <c r="G795" s="308">
        <f>G565</f>
        <v/>
      </c>
      <c r="H795" s="325" t="inlineStr">
        <is>
          <t>20101-2103</t>
        </is>
      </c>
      <c r="I795" s="325" t="inlineStr">
        <is>
          <t>ปวช.2/6 ชย. (ปกติ)</t>
        </is>
      </c>
      <c r="J795" s="252" t="inlineStr">
        <is>
          <t>13.10-17.10</t>
        </is>
      </c>
      <c r="K795" s="331" t="n"/>
      <c r="L795" s="252" t="n"/>
      <c r="M795" s="252" t="n"/>
      <c r="N795" s="252" t="n"/>
      <c r="O795" s="244">
        <f>M795*N795</f>
        <v/>
      </c>
      <c r="P795" s="252" t="n"/>
      <c r="Q795" s="252" t="n"/>
      <c r="R795" s="252" t="n"/>
      <c r="S795" s="244">
        <f>Q795*R795</f>
        <v/>
      </c>
    </row>
    <row r="796" ht="22.2" customHeight="1" s="330">
      <c r="A796" s="4" t="n"/>
      <c r="B796" s="5" t="n"/>
      <c r="D796" s="3" t="n"/>
      <c r="E796" s="3" t="n"/>
      <c r="G796" s="252" t="n"/>
      <c r="H796" s="252" t="n"/>
      <c r="I796" s="252" t="n"/>
      <c r="J796" s="252" t="n"/>
      <c r="K796" s="331" t="n"/>
      <c r="L796" s="252" t="n"/>
      <c r="M796" s="252" t="n"/>
      <c r="N796" s="252" t="n"/>
      <c r="O796" s="244">
        <f>M796*N796</f>
        <v/>
      </c>
      <c r="P796" s="252" t="n"/>
      <c r="Q796" s="252" t="n"/>
      <c r="R796" s="252" t="n"/>
      <c r="S796" s="244">
        <f>Q796*R796</f>
        <v/>
      </c>
    </row>
    <row r="797" ht="22.2" customHeight="1" s="330">
      <c r="A797" s="4" t="n"/>
      <c r="E797" s="4" t="n"/>
      <c r="G797" s="62" t="n"/>
      <c r="H797" s="252" t="n"/>
      <c r="I797" s="252" t="n"/>
      <c r="J797" s="252" t="n"/>
      <c r="K797" s="331" t="n"/>
      <c r="L797" s="252" t="n"/>
      <c r="M797" s="252" t="n"/>
      <c r="N797" s="252" t="n"/>
      <c r="O797" s="244">
        <f>M797*N797</f>
        <v/>
      </c>
      <c r="P797" s="252" t="n"/>
      <c r="Q797" s="252" t="n"/>
      <c r="R797" s="252" t="n"/>
      <c r="S797" s="244">
        <f>Q797*R797</f>
        <v/>
      </c>
    </row>
    <row r="798" ht="22.2" customHeight="1" s="330">
      <c r="A798" s="4" t="n"/>
      <c r="D798" s="8" t="inlineStr">
        <is>
          <t> </t>
        </is>
      </c>
      <c r="E798" s="4" t="n"/>
      <c r="G798" s="63" t="n"/>
      <c r="H798" s="276" t="n"/>
      <c r="I798" s="276" t="n"/>
      <c r="J798" s="276" t="n"/>
      <c r="K798" s="476" t="n"/>
      <c r="L798" s="252" t="n"/>
      <c r="M798" s="252" t="n"/>
      <c r="N798" s="252" t="n"/>
      <c r="O798" s="244">
        <f>M798*N798</f>
        <v/>
      </c>
      <c r="P798" s="252" t="n"/>
      <c r="Q798" s="252" t="n"/>
      <c r="R798" s="252" t="n"/>
      <c r="S798" s="244">
        <f>Q798*R798</f>
        <v/>
      </c>
    </row>
    <row r="799" ht="22.2" customHeight="1" s="330">
      <c r="A799" s="4" t="n"/>
      <c r="E799" s="4" t="n"/>
      <c r="G799" s="308" t="inlineStr">
        <is>
          <t>พุธ</t>
        </is>
      </c>
      <c r="H799" s="325" t="inlineStr">
        <is>
          <t>20101-2103</t>
        </is>
      </c>
      <c r="I799" s="325" t="inlineStr">
        <is>
          <t>ปวช.2/7 ชย. (ปกติ)</t>
        </is>
      </c>
      <c r="J799" s="332" t="inlineStr">
        <is>
          <t>08.10-12.10</t>
        </is>
      </c>
      <c r="K799" s="335" t="n"/>
      <c r="L799" s="265" t="n"/>
      <c r="M799" s="332" t="n"/>
      <c r="N799" s="332" t="n"/>
      <c r="O799" s="244">
        <f>M799*N799</f>
        <v/>
      </c>
      <c r="P799" s="332" t="n"/>
      <c r="Q799" s="265" t="n"/>
      <c r="R799" s="332" t="n"/>
      <c r="S799" s="244">
        <f>Q799*R799</f>
        <v/>
      </c>
    </row>
    <row r="800" ht="22.2" customHeight="1" s="330">
      <c r="A800" s="4" t="n"/>
      <c r="B800" s="248" t="n"/>
      <c r="C800" s="249" t="n"/>
      <c r="D800" s="249" t="n"/>
      <c r="E800" s="252" t="n"/>
      <c r="G800" s="308">
        <f>G570</f>
        <v/>
      </c>
      <c r="H800" s="325" t="inlineStr">
        <is>
          <t>20101-2103</t>
        </is>
      </c>
      <c r="I800" s="325" t="inlineStr">
        <is>
          <t>ปวช.2/8 ชย. (ปกติ)</t>
        </is>
      </c>
      <c r="J800" s="252" t="inlineStr">
        <is>
          <t>13.10-17.10</t>
        </is>
      </c>
      <c r="K800" s="331" t="n"/>
      <c r="L800" s="252" t="n"/>
      <c r="M800" s="252" t="n"/>
      <c r="N800" s="252" t="n"/>
      <c r="O800" s="244">
        <f>M800*N800</f>
        <v/>
      </c>
      <c r="P800" s="252" t="n"/>
      <c r="Q800" s="252" t="n"/>
      <c r="R800" s="252" t="n"/>
      <c r="S800" s="244">
        <f>Q800*R800</f>
        <v/>
      </c>
    </row>
    <row r="801" ht="22.2" customHeight="1" s="330">
      <c r="A801" s="4" t="n"/>
      <c r="B801" s="5" t="n"/>
      <c r="D801" s="3" t="n"/>
      <c r="E801" s="3" t="n"/>
      <c r="G801" s="252" t="n"/>
      <c r="H801" s="325" t="n"/>
      <c r="I801" s="325" t="n"/>
      <c r="J801" s="252" t="n"/>
      <c r="K801" s="331" t="n"/>
      <c r="L801" s="252" t="n"/>
      <c r="M801" s="252" t="n"/>
      <c r="N801" s="252" t="n"/>
      <c r="O801" s="244">
        <f>M801*N801</f>
        <v/>
      </c>
      <c r="P801" s="252" t="n"/>
      <c r="Q801" s="252" t="n"/>
      <c r="R801" s="252" t="n"/>
      <c r="S801" s="244">
        <f>Q801*R801</f>
        <v/>
      </c>
    </row>
    <row r="802" ht="22.2" customHeight="1" s="330">
      <c r="A802" s="4" t="n"/>
      <c r="E802" s="4" t="n"/>
      <c r="G802" s="248" t="n"/>
      <c r="H802" s="248" t="n"/>
      <c r="I802" s="252" t="n"/>
      <c r="J802" s="252" t="n"/>
      <c r="K802" s="331" t="n"/>
      <c r="L802" s="252" t="n"/>
      <c r="M802" s="252" t="n"/>
      <c r="N802" s="252" t="n"/>
      <c r="O802" s="244">
        <f>M802*N802</f>
        <v/>
      </c>
      <c r="P802" s="252" t="n"/>
      <c r="Q802" s="252" t="n"/>
      <c r="R802" s="252" t="n"/>
      <c r="S802" s="244">
        <f>Q802*R802</f>
        <v/>
      </c>
    </row>
    <row r="803" ht="22.2" customHeight="1" s="330">
      <c r="A803" s="4" t="n"/>
      <c r="E803" s="4" t="n"/>
      <c r="G803" s="277" t="n"/>
      <c r="H803" s="277" t="n"/>
      <c r="I803" s="276" t="n"/>
      <c r="J803" s="276" t="n"/>
      <c r="K803" s="476" t="n"/>
      <c r="L803" s="276" t="n"/>
      <c r="M803" s="276" t="n"/>
      <c r="N803" s="276" t="n"/>
      <c r="O803" s="244">
        <f>M803*N803</f>
        <v/>
      </c>
      <c r="P803" s="276" t="n"/>
      <c r="Q803" s="276" t="n"/>
      <c r="R803" s="276" t="n"/>
      <c r="S803" s="244">
        <f>Q803*R803</f>
        <v/>
      </c>
    </row>
    <row r="804" ht="22.2" customHeight="1" s="330">
      <c r="A804" s="4" t="n"/>
      <c r="E804" s="4" t="n"/>
      <c r="G804" s="62" t="inlineStr">
        <is>
          <t>พฤหัส</t>
        </is>
      </c>
      <c r="H804" s="325" t="inlineStr">
        <is>
          <t>20101-2005</t>
        </is>
      </c>
      <c r="I804" s="325" t="inlineStr">
        <is>
          <t>ปวช.2/2 ชย. (ปกติ)</t>
        </is>
      </c>
      <c r="J804" s="332" t="inlineStr">
        <is>
          <t>08.10-12.10</t>
        </is>
      </c>
      <c r="K804" s="335" t="n"/>
      <c r="L804" s="275" t="n"/>
      <c r="M804" s="252" t="n"/>
      <c r="N804" s="252" t="n"/>
      <c r="O804" s="244">
        <f>M804*N804</f>
        <v/>
      </c>
      <c r="P804" s="252" t="n"/>
      <c r="Q804" s="275" t="n"/>
      <c r="R804" s="275" t="n"/>
      <c r="S804" s="244">
        <f>Q804*R804</f>
        <v/>
      </c>
      <c r="T804" s="25" t="n"/>
      <c r="U804" s="26" t="inlineStr">
        <is>
          <t xml:space="preserve">     PLC</t>
        </is>
      </c>
      <c r="V804" s="64" t="n"/>
      <c r="W804" s="27" t="n"/>
      <c r="X804" s="27" t="n"/>
    </row>
    <row r="805" ht="22.2" customHeight="1" s="330">
      <c r="A805" s="4" t="n"/>
      <c r="E805" s="4" t="n"/>
      <c r="G805" s="308">
        <f>G575</f>
        <v/>
      </c>
      <c r="H805" s="325" t="inlineStr">
        <is>
          <t>20000-2002</t>
        </is>
      </c>
      <c r="I805" s="325" t="inlineStr">
        <is>
          <t>ปวช.1/7,8 ชย. (ปกติ)</t>
        </is>
      </c>
      <c r="J805" s="252" t="inlineStr">
        <is>
          <t>13.10-15.10</t>
        </is>
      </c>
      <c r="K805" s="331" t="n"/>
      <c r="L805" s="285" t="n"/>
      <c r="M805" s="252" t="n"/>
      <c r="N805" s="252" t="n"/>
      <c r="O805" s="244">
        <f>M805*N805</f>
        <v/>
      </c>
      <c r="P805" s="252" t="n"/>
      <c r="Q805" s="252" t="n"/>
      <c r="R805" s="252" t="n"/>
      <c r="S805" s="244">
        <f>Q805*R805</f>
        <v/>
      </c>
      <c r="T805" s="27" t="inlineStr">
        <is>
          <t> </t>
        </is>
      </c>
      <c r="U805" s="26" t="inlineStr">
        <is>
          <t>17.10-19.10</t>
        </is>
      </c>
      <c r="V805" s="64" t="n"/>
      <c r="W805" s="27" t="n"/>
      <c r="X805" s="27" t="n"/>
    </row>
    <row r="806" ht="22.2" customHeight="1" s="330">
      <c r="A806" s="4" t="n"/>
      <c r="B806" s="5" t="n"/>
      <c r="E806" s="4" t="n"/>
      <c r="G806" s="252" t="n"/>
      <c r="H806" s="325" t="inlineStr">
        <is>
          <t>20101-2005</t>
        </is>
      </c>
      <c r="I806" s="325" t="inlineStr">
        <is>
          <t>ปวช.2/2 ชย. (ปกติ)</t>
        </is>
      </c>
      <c r="J806" s="252" t="inlineStr">
        <is>
          <t>15.10-18.10</t>
        </is>
      </c>
      <c r="K806" s="331" t="n"/>
      <c r="L806" s="252" t="n"/>
      <c r="M806" s="325" t="n"/>
      <c r="N806" s="325" t="n"/>
      <c r="O806" s="244">
        <f>M806*N806</f>
        <v/>
      </c>
      <c r="P806" s="325" t="n"/>
      <c r="Q806" s="325" t="n"/>
      <c r="R806" s="325" t="n"/>
      <c r="S806" s="244">
        <f>Q806*R806</f>
        <v/>
      </c>
    </row>
    <row r="807" ht="22.2" customHeight="1" s="330">
      <c r="A807" s="4" t="n"/>
      <c r="E807" s="4" t="n"/>
      <c r="G807" s="252" t="n"/>
      <c r="H807" s="252" t="n"/>
      <c r="I807" s="252" t="n"/>
      <c r="J807" s="252" t="n"/>
      <c r="K807" s="331" t="n"/>
      <c r="L807" s="252" t="n"/>
      <c r="M807" s="252" t="n"/>
      <c r="N807" s="252" t="n"/>
      <c r="O807" s="244">
        <f>M807*N807</f>
        <v/>
      </c>
      <c r="P807" s="252" t="n"/>
      <c r="Q807" s="252" t="n"/>
      <c r="R807" s="252" t="n"/>
      <c r="S807" s="244">
        <f>Q807*R807</f>
        <v/>
      </c>
    </row>
    <row r="808" ht="22.2" customHeight="1" s="330">
      <c r="A808" s="4" t="n"/>
      <c r="E808" s="4" t="n"/>
      <c r="G808" s="276" t="n"/>
      <c r="H808" s="301" t="n"/>
      <c r="I808" s="276" t="n"/>
      <c r="J808" s="276" t="n"/>
      <c r="K808" s="476" t="n"/>
      <c r="L808" s="276" t="n"/>
      <c r="M808" s="276" t="n"/>
      <c r="N808" s="276" t="n"/>
      <c r="O808" s="244">
        <f>M808*N808</f>
        <v/>
      </c>
      <c r="P808" s="276" t="n"/>
      <c r="Q808" s="276" t="n"/>
      <c r="R808" s="276" t="n"/>
      <c r="S808" s="244">
        <f>Q808*R808</f>
        <v/>
      </c>
    </row>
    <row r="809" ht="22.2" customHeight="1" s="330">
      <c r="A809" s="4" t="n"/>
      <c r="E809" s="4" t="n"/>
      <c r="G809" s="62" t="inlineStr">
        <is>
          <t>ศุกร์</t>
        </is>
      </c>
      <c r="H809" s="325" t="inlineStr">
        <is>
          <t>20101-2110</t>
        </is>
      </c>
      <c r="I809" s="325" t="inlineStr">
        <is>
          <t>ปวช.3/2 ชย. (ปกติ)</t>
        </is>
      </c>
      <c r="J809" s="332" t="inlineStr">
        <is>
          <t>08.10-12.10</t>
        </is>
      </c>
      <c r="K809" s="335" t="n"/>
      <c r="L809" s="265" t="n"/>
      <c r="M809" s="252" t="n"/>
      <c r="N809" s="252" t="n"/>
      <c r="O809" s="244">
        <f>M809*N809</f>
        <v/>
      </c>
      <c r="P809" s="332" t="n"/>
      <c r="Q809" s="265" t="n"/>
      <c r="R809" s="332" t="n"/>
      <c r="S809" s="244">
        <f>Q809*R809</f>
        <v/>
      </c>
    </row>
    <row r="810" ht="22.2" customHeight="1" s="330">
      <c r="A810" s="4" t="n"/>
      <c r="E810" s="4" t="n"/>
      <c r="G810" s="308">
        <f>G580</f>
        <v/>
      </c>
      <c r="H810" s="325" t="n"/>
      <c r="I810" s="325" t="n"/>
      <c r="J810" s="252" t="n"/>
      <c r="K810" s="331" t="n"/>
      <c r="L810" s="252" t="n"/>
      <c r="M810" s="252" t="n"/>
      <c r="N810" s="252" t="n"/>
      <c r="O810" s="244">
        <f>M810*N810</f>
        <v/>
      </c>
      <c r="P810" s="252" t="n"/>
      <c r="Q810" s="252" t="n"/>
      <c r="R810" s="252" t="n"/>
      <c r="S810" s="244">
        <f>Q810*R810</f>
        <v/>
      </c>
    </row>
    <row r="811" ht="22.2" customHeight="1" s="330">
      <c r="A811" s="4" t="n"/>
      <c r="E811" s="4" t="n"/>
      <c r="G811" s="252" t="n"/>
      <c r="H811" s="325" t="n"/>
      <c r="I811" s="325" t="n"/>
      <c r="J811" s="252" t="n"/>
      <c r="K811" s="331" t="n"/>
      <c r="L811" s="252" t="n"/>
      <c r="M811" s="325" t="n"/>
      <c r="N811" s="325" t="n"/>
      <c r="O811" s="244">
        <f>M811*N811</f>
        <v/>
      </c>
      <c r="P811" s="252" t="n"/>
      <c r="Q811" s="252" t="n"/>
      <c r="R811" s="252" t="n"/>
      <c r="S811" s="244">
        <f>Q811*R811</f>
        <v/>
      </c>
    </row>
    <row r="812" ht="22.2" customHeight="1" s="330">
      <c r="A812" s="4" t="n"/>
      <c r="E812" s="4" t="n"/>
      <c r="G812" s="252" t="n"/>
      <c r="H812" s="249" t="inlineStr">
        <is>
          <t> </t>
        </is>
      </c>
      <c r="I812" s="252" t="n"/>
      <c r="J812" s="252" t="n"/>
      <c r="K812" s="331" t="n"/>
      <c r="L812" s="252" t="n"/>
      <c r="M812" s="252" t="n"/>
      <c r="N812" s="252" t="n"/>
      <c r="O812" s="244">
        <f>M812*N812</f>
        <v/>
      </c>
      <c r="P812" s="252" t="n"/>
      <c r="Q812" s="252" t="n"/>
      <c r="R812" s="252" t="n"/>
      <c r="S812" s="244">
        <f>Q812*R812</f>
        <v/>
      </c>
    </row>
    <row r="813" ht="22.2" customHeight="1" s="330">
      <c r="A813" s="4" t="n"/>
      <c r="E813" s="4" t="n"/>
      <c r="F813" s="4" t="n"/>
      <c r="G813" s="278" t="n"/>
      <c r="H813" s="301" t="n"/>
      <c r="I813" s="276" t="n"/>
      <c r="J813" s="276" t="n"/>
      <c r="K813" s="476" t="n"/>
      <c r="L813" s="276" t="n"/>
      <c r="M813" s="276" t="n"/>
      <c r="N813" s="276" t="n"/>
      <c r="O813" s="244">
        <f>M813*N813</f>
        <v/>
      </c>
      <c r="P813" s="276" t="n"/>
      <c r="Q813" s="276" t="n"/>
      <c r="R813" s="276" t="n"/>
      <c r="S813" s="244">
        <f>Q813*R813</f>
        <v/>
      </c>
    </row>
    <row r="814" ht="22.2" customHeight="1" s="330">
      <c r="A814" s="4" t="n"/>
      <c r="E814" s="4" t="n"/>
      <c r="F814" s="4" t="n"/>
      <c r="G814" s="17" t="inlineStr">
        <is>
          <t>รวมขั่วโมงที่สอนแยก ภาระงาน/ เกินภาระงาน</t>
        </is>
      </c>
      <c r="H814" s="467" t="n"/>
      <c r="I814" s="467" t="n"/>
      <c r="J814" s="467" t="n"/>
      <c r="K814" s="362" t="n"/>
      <c r="L814" s="17">
        <f>SUM(L789:L813)</f>
        <v/>
      </c>
      <c r="M814" s="17">
        <f>SUM(M789:M813)</f>
        <v/>
      </c>
      <c r="N814" s="17" t="n"/>
      <c r="O814" s="17" t="n"/>
      <c r="P814" s="17">
        <f>SUM(P789:P813)</f>
        <v/>
      </c>
      <c r="Q814" s="17">
        <f>SUM(Q789:Q813)</f>
        <v/>
      </c>
      <c r="R814" s="279" t="n"/>
      <c r="S814" s="17" t="n"/>
    </row>
    <row r="815" ht="22.2" customHeight="1" s="330">
      <c r="A815" s="4" t="n"/>
      <c r="E815" s="4" t="n"/>
      <c r="F815" s="4" t="n"/>
      <c r="G815" s="17" t="inlineStr">
        <is>
          <t>รวมจำนวนชั่วโมงสอนคาบต่อสับดาห์</t>
        </is>
      </c>
      <c r="H815" s="467" t="n"/>
      <c r="I815" s="467" t="n"/>
      <c r="J815" s="467" t="n"/>
      <c r="K815" s="362" t="n"/>
      <c r="L815" s="17">
        <f>L814+M814</f>
        <v/>
      </c>
      <c r="M815" s="362" t="n"/>
      <c r="N815" s="298" t="n"/>
      <c r="O815" s="17" t="n"/>
      <c r="P815" s="17">
        <f>P814+Q814</f>
        <v/>
      </c>
      <c r="Q815" s="362" t="n"/>
      <c r="R815" s="278" t="n"/>
      <c r="S815" s="276" t="n"/>
    </row>
    <row r="816" ht="22.2" customHeight="1" s="330">
      <c r="A816" s="4" t="n"/>
      <c r="E816" s="4" t="n"/>
      <c r="F816" s="4" t="n"/>
      <c r="G816" s="17" t="inlineStr">
        <is>
          <t>จำนวนชั่วโมงสอนตามภาระงานสอน</t>
        </is>
      </c>
      <c r="H816" s="467" t="n"/>
      <c r="I816" s="467" t="n"/>
      <c r="J816" s="467" t="n"/>
      <c r="K816" s="362" t="n"/>
      <c r="L816" s="17" t="n">
        <v>18</v>
      </c>
      <c r="M816" s="362" t="n"/>
      <c r="N816" s="298" t="n"/>
      <c r="O816" s="17" t="n"/>
      <c r="P816" s="17" t="n">
        <v>0</v>
      </c>
      <c r="Q816" s="362" t="n"/>
      <c r="R816" s="249" t="n"/>
      <c r="S816" s="252" t="n"/>
    </row>
    <row r="817" ht="22.2" customHeight="1" s="330" thickBot="1">
      <c r="A817" s="4" t="n"/>
      <c r="E817" s="4" t="n"/>
      <c r="F817" s="15" t="n"/>
      <c r="G817" s="17" t="inlineStr">
        <is>
          <t>จำนวนชั่วโมงบิกเกินภาระงานสอน/ค่าสอน</t>
        </is>
      </c>
      <c r="H817" s="467" t="n"/>
      <c r="I817" s="467" t="n"/>
      <c r="J817" s="467" t="n"/>
      <c r="K817" s="362" t="n"/>
      <c r="L817" s="18" t="n">
        <v>0</v>
      </c>
      <c r="M817" s="18">
        <f>SUM(M789:M813)</f>
        <v/>
      </c>
      <c r="N817" s="18" t="n"/>
      <c r="O817" s="18">
        <f>SUM(O789:O813)</f>
        <v/>
      </c>
      <c r="P817" s="18" t="n">
        <v>0</v>
      </c>
      <c r="Q817" s="18">
        <f>SUM(Q789:Q813)</f>
        <v/>
      </c>
      <c r="R817" s="19" t="n"/>
      <c r="S817" s="18">
        <f>SUM(S789:S813)</f>
        <v/>
      </c>
    </row>
    <row r="818" ht="22.2" customHeight="1" s="330" thickTop="1">
      <c r="A818" s="299" t="inlineStr">
        <is>
          <t>รวมจำนวนหน่วยชั่วโมงที่ขอเบิกค่าสอน ….</t>
        </is>
      </c>
      <c r="B818" s="467" t="n"/>
      <c r="C818" s="467" t="n"/>
      <c r="D818" s="467" t="n"/>
      <c r="E818" s="467" t="n"/>
      <c r="F818" s="467" t="n"/>
      <c r="G818" s="467" t="n"/>
      <c r="H818" s="298">
        <f>M817+Q817</f>
        <v/>
      </c>
      <c r="I818" s="298" t="inlineStr">
        <is>
          <t>….ชั่วโมง</t>
        </is>
      </c>
      <c r="J818" s="298" t="n"/>
      <c r="K818" s="301" t="inlineStr">
        <is>
          <t>ยอดเงินรวม</t>
        </is>
      </c>
      <c r="L818" s="471" t="n"/>
      <c r="M818" s="471" t="n"/>
      <c r="N818" s="301" t="n"/>
      <c r="O818" s="301" t="n"/>
      <c r="P818" s="302">
        <f>S817+O817</f>
        <v/>
      </c>
      <c r="Q818" s="482" t="n"/>
      <c r="R818" s="21" t="n"/>
      <c r="S818" s="20" t="inlineStr">
        <is>
          <t>..บาท</t>
        </is>
      </c>
    </row>
    <row r="819" ht="22.2" customHeight="1" s="330">
      <c r="A819" s="207" t="inlineStr">
        <is>
          <t>ผู้ขอเบิก</t>
        </is>
      </c>
      <c r="B819" s="334" t="n"/>
      <c r="C819" s="334" t="n"/>
      <c r="D819" s="334" t="n"/>
      <c r="E819" s="334" t="n"/>
      <c r="F819" s="334" t="n"/>
      <c r="G819" s="335" t="n"/>
      <c r="H819" s="207" t="inlineStr">
        <is>
          <t>ผู้รับรอง</t>
        </is>
      </c>
      <c r="I819" s="334" t="n"/>
      <c r="J819" s="334" t="n"/>
      <c r="K819" s="334" t="n"/>
      <c r="L819" s="335" t="n"/>
      <c r="M819" s="207" t="inlineStr">
        <is>
          <t>ผู้ตรวจ</t>
        </is>
      </c>
      <c r="N819" s="334" t="n"/>
      <c r="O819" s="334" t="n"/>
      <c r="P819" s="334" t="n"/>
      <c r="Q819" s="334" t="n"/>
      <c r="R819" s="334" t="n"/>
      <c r="S819" s="335" t="n"/>
    </row>
    <row r="820" ht="22.2" customHeight="1" s="330">
      <c r="A820" s="252" t="inlineStr">
        <is>
          <t>ลงชื่อ……………………………………………</t>
        </is>
      </c>
      <c r="G820" s="331" t="n"/>
      <c r="H820" s="252" t="inlineStr">
        <is>
          <t>ลงชื่อ……………………………………………</t>
        </is>
      </c>
      <c r="L820" s="331" t="n"/>
      <c r="M820" s="252" t="inlineStr">
        <is>
          <t>ลงชื่อ……………………………………………</t>
        </is>
      </c>
      <c r="S820" s="331" t="n"/>
    </row>
    <row r="821" ht="22.2" customHeight="1" s="330">
      <c r="A821" s="12" t="inlineStr">
        <is>
          <t>(</t>
        </is>
      </c>
      <c r="B821" s="309">
        <f>B789</f>
        <v/>
      </c>
      <c r="G821" s="310" t="inlineStr">
        <is>
          <t>)</t>
        </is>
      </c>
      <c r="H821" s="309" t="inlineStr">
        <is>
          <t>(</t>
        </is>
      </c>
      <c r="I821" s="314">
        <f>I591</f>
        <v/>
      </c>
      <c r="L821" s="13" t="inlineStr">
        <is>
          <t>)</t>
        </is>
      </c>
      <c r="M821" s="61" t="inlineStr">
        <is>
          <t>(</t>
        </is>
      </c>
      <c r="N821" s="61" t="n"/>
      <c r="O821" s="309" t="inlineStr">
        <is>
          <t>นายพิสุทธิศักดิ์  กล่อมนาค</t>
        </is>
      </c>
      <c r="R821" s="29" t="n"/>
      <c r="S821" s="310" t="inlineStr">
        <is>
          <t>)</t>
        </is>
      </c>
    </row>
    <row r="822" ht="22.2" customHeight="1" s="330">
      <c r="A822" s="483" t="inlineStr">
        <is>
          <t xml:space="preserve">                        ตำแหน่ง ครู</t>
        </is>
      </c>
      <c r="G822" s="331" t="n"/>
      <c r="H822" s="62" t="inlineStr">
        <is>
          <t>ตำแหน่ง หัวหน้าแผนก</t>
        </is>
      </c>
      <c r="L822" s="331" t="n"/>
      <c r="M822" s="62" t="inlineStr">
        <is>
          <t>ตำแหน่ง   ผู้ตรวจสอบ</t>
        </is>
      </c>
      <c r="S822" s="331" t="n"/>
    </row>
    <row r="823" ht="22.2" customHeight="1" s="330">
      <c r="A823" s="63">
        <f>A41</f>
        <v/>
      </c>
      <c r="B823" s="471" t="n"/>
      <c r="C823" s="471" t="n"/>
      <c r="D823" s="471" t="n"/>
      <c r="E823" s="471" t="n"/>
      <c r="F823" s="471" t="n"/>
      <c r="G823" s="476" t="n"/>
      <c r="H823" s="62">
        <f>A41</f>
        <v/>
      </c>
      <c r="L823" s="331" t="n"/>
      <c r="M823" s="63">
        <f>A41</f>
        <v/>
      </c>
      <c r="N823" s="471" t="n"/>
      <c r="O823" s="471" t="n"/>
      <c r="P823" s="471" t="n"/>
      <c r="Q823" s="471" t="n"/>
      <c r="R823" s="471" t="n"/>
      <c r="S823" s="476" t="n"/>
    </row>
    <row r="824" ht="22.2" customHeight="1" s="330">
      <c r="A824" s="207" t="inlineStr">
        <is>
          <t>ผู้ตรวจ</t>
        </is>
      </c>
      <c r="B824" s="334" t="n"/>
      <c r="C824" s="334" t="n"/>
      <c r="D824" s="334" t="n"/>
      <c r="E824" s="334" t="n"/>
      <c r="F824" s="334" t="n"/>
      <c r="G824" s="334" t="n"/>
      <c r="H824" s="334" t="n"/>
      <c r="I824" s="335" t="n"/>
      <c r="J824" s="207" t="inlineStr">
        <is>
          <t>ผู้เห็นชอบ</t>
        </is>
      </c>
      <c r="K824" s="334" t="n"/>
      <c r="L824" s="334" t="n"/>
      <c r="M824" s="334" t="n"/>
      <c r="N824" s="334" t="n"/>
      <c r="O824" s="334" t="n"/>
      <c r="P824" s="334" t="n"/>
      <c r="Q824" s="334" t="n"/>
      <c r="R824" s="334" t="n"/>
      <c r="S824" s="335" t="n"/>
    </row>
    <row r="825" ht="22.2" customHeight="1" s="330">
      <c r="A825" s="252" t="inlineStr">
        <is>
          <t>ลงชื่อ……………………………………………</t>
        </is>
      </c>
      <c r="I825" s="331" t="n"/>
      <c r="J825" s="252" t="inlineStr">
        <is>
          <t>ลงชื่อ……………………………………………</t>
        </is>
      </c>
      <c r="S825" s="331" t="n"/>
    </row>
    <row r="826" ht="22.2" customHeight="1" s="330">
      <c r="A826" s="12" t="n"/>
      <c r="B826" s="309" t="inlineStr">
        <is>
          <t xml:space="preserve">          (นางศิวรักษ์   บุญประเสริฐ)</t>
        </is>
      </c>
      <c r="I826" s="310" t="n"/>
      <c r="J826" s="29" t="n"/>
      <c r="K826" s="29" t="n"/>
      <c r="L826" s="309" t="inlineStr">
        <is>
          <t>(นายปรีชา  โพธิ์เกิด)</t>
        </is>
      </c>
      <c r="R826" s="29" t="n"/>
      <c r="S826" s="13" t="n"/>
    </row>
    <row r="827" ht="22.2" customHeight="1" s="330">
      <c r="A827" s="62" t="inlineStr">
        <is>
          <t>ตำแหน่งครู  หัวหน้างานพัฒนาหลักสูตร ฯ</t>
        </is>
      </c>
      <c r="I827" s="331" t="n"/>
      <c r="J827" s="62" t="inlineStr">
        <is>
          <t>ตำแหน่ง  รองผู้อำนวยการฝ่ายวิชาการ</t>
        </is>
      </c>
      <c r="S827" s="331" t="n"/>
    </row>
    <row r="828" ht="22.2" customHeight="1" s="330">
      <c r="A828" s="63">
        <f>A41</f>
        <v/>
      </c>
      <c r="B828" s="471" t="n"/>
      <c r="C828" s="471" t="n"/>
      <c r="D828" s="471" t="n"/>
      <c r="E828" s="471" t="n"/>
      <c r="F828" s="471" t="n"/>
      <c r="G828" s="471" t="n"/>
      <c r="H828" s="471" t="n"/>
      <c r="I828" s="476" t="n"/>
      <c r="J828" s="63">
        <f>A41</f>
        <v/>
      </c>
      <c r="K828" s="471" t="n"/>
      <c r="L828" s="471" t="n"/>
      <c r="M828" s="471" t="n"/>
      <c r="N828" s="471" t="n"/>
      <c r="O828" s="471" t="n"/>
      <c r="P828" s="471" t="n"/>
      <c r="Q828" s="471" t="n"/>
      <c r="R828" s="471" t="n"/>
      <c r="S828" s="476" t="n"/>
    </row>
    <row r="829" ht="22.2" customHeight="1" s="330">
      <c r="A82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830" ht="22.2" customHeight="1" s="330">
      <c r="A830" s="254">
        <f>A2</f>
        <v/>
      </c>
    </row>
    <row r="831" ht="22.2" customHeight="1" s="330">
      <c r="A831" s="253" t="inlineStr">
        <is>
          <t xml:space="preserve">    ระหว่างวันที่</t>
        </is>
      </c>
      <c r="D831" s="254">
        <f>D3</f>
        <v/>
      </c>
      <c r="E831" s="254" t="inlineStr">
        <is>
          <t xml:space="preserve">   เดือน  </t>
        </is>
      </c>
      <c r="F831" s="254">
        <f>F3</f>
        <v/>
      </c>
      <c r="H831" s="254">
        <f>H3</f>
        <v/>
      </c>
      <c r="I831" s="254" t="inlineStr">
        <is>
          <t xml:space="preserve">     ถึง วันที่</t>
        </is>
      </c>
      <c r="J831" s="254">
        <f>J3</f>
        <v/>
      </c>
      <c r="K831" s="254" t="inlineStr">
        <is>
          <t xml:space="preserve">   เดือน </t>
        </is>
      </c>
      <c r="L831" s="254">
        <f>L3</f>
        <v/>
      </c>
      <c r="N831" s="254">
        <f>N3</f>
        <v/>
      </c>
      <c r="P831" s="254" t="n"/>
      <c r="R831" s="254" t="n"/>
    </row>
    <row r="832" ht="22.2" customHeight="1" s="330">
      <c r="G832" s="58" t="inlineStr">
        <is>
          <t>ü</t>
        </is>
      </c>
      <c r="H832" s="301" t="inlineStr">
        <is>
          <t>พนง.ราชการ</t>
        </is>
      </c>
      <c r="I832" s="249" t="inlineStr">
        <is>
          <t>หน้าที่พิเศษ</t>
        </is>
      </c>
      <c r="J832" s="290" t="inlineStr">
        <is>
          <t>หัวหน้างานสวัสดิการ นักเรียนนักศึกษา</t>
        </is>
      </c>
      <c r="K832" s="290" t="n"/>
    </row>
    <row r="833" ht="22.2" customHeight="1" s="330">
      <c r="A833" s="28" t="inlineStr">
        <is>
          <t>ที่</t>
        </is>
      </c>
      <c r="B833" s="28" t="inlineStr">
        <is>
          <t>ชื่อ-สกุล</t>
        </is>
      </c>
      <c r="C833" s="334" t="n"/>
      <c r="D833" s="335" t="n"/>
      <c r="E833" s="16" t="inlineStr">
        <is>
          <t>ตำแหน่ง</t>
        </is>
      </c>
      <c r="F833" s="17" t="inlineStr">
        <is>
          <t>ระยะเวลาที่สอน</t>
        </is>
      </c>
      <c r="G833" s="362" t="n"/>
      <c r="H833" s="17" t="inlineStr">
        <is>
          <t>รหัสวิชา</t>
        </is>
      </c>
      <c r="I833" s="275" t="inlineStr">
        <is>
          <t>ชั้น,แผนก,ห้อง</t>
        </is>
      </c>
      <c r="J833" s="17" t="inlineStr">
        <is>
          <t>เวลาสอน</t>
        </is>
      </c>
      <c r="K833" s="335" t="n"/>
      <c r="L833" s="17" t="inlineStr">
        <is>
          <t>ปวช.(คาบ)</t>
        </is>
      </c>
      <c r="M833" s="362" t="n"/>
      <c r="N833" s="244" t="inlineStr">
        <is>
          <t>เงิน</t>
        </is>
      </c>
      <c r="O833" s="275" t="inlineStr">
        <is>
          <t>ยอดเงิน</t>
        </is>
      </c>
      <c r="P833" s="473" t="inlineStr">
        <is>
          <t>ปวส.(คาบ)</t>
        </is>
      </c>
      <c r="Q833" s="362" t="n"/>
      <c r="R833" s="244" t="inlineStr">
        <is>
          <t>เงิน</t>
        </is>
      </c>
      <c r="S833" s="275" t="inlineStr">
        <is>
          <t>ยอดเงิน</t>
        </is>
      </c>
    </row>
    <row r="834" ht="22.2" customHeight="1" s="330">
      <c r="A834" s="60" t="n"/>
      <c r="B834" s="9" t="n"/>
      <c r="C834" s="10" t="n"/>
      <c r="D834" s="14" t="n"/>
      <c r="E834" s="11" t="n"/>
      <c r="F834" s="276" t="inlineStr">
        <is>
          <t>ส.</t>
        </is>
      </c>
      <c r="G834" s="276" t="inlineStr">
        <is>
          <t>วดป.</t>
        </is>
      </c>
      <c r="H834" s="474" t="n"/>
      <c r="I834" s="276" t="n"/>
      <c r="J834" s="475" t="n"/>
      <c r="K834" s="476" t="n"/>
      <c r="L834" s="276" t="inlineStr">
        <is>
          <t>ใน</t>
        </is>
      </c>
      <c r="M834" s="276" t="inlineStr">
        <is>
          <t>นอก</t>
        </is>
      </c>
      <c r="N834" s="276" t="inlineStr">
        <is>
          <t>ต่อ ชม.</t>
        </is>
      </c>
      <c r="O834" s="276" t="inlineStr">
        <is>
          <t>(บาท)</t>
        </is>
      </c>
      <c r="P834" s="60" t="inlineStr">
        <is>
          <t>ใน</t>
        </is>
      </c>
      <c r="Q834" s="60" t="inlineStr">
        <is>
          <t>นอก</t>
        </is>
      </c>
      <c r="R834" s="276" t="inlineStr">
        <is>
          <t>ต่อ ชม.</t>
        </is>
      </c>
      <c r="S834" s="276" t="inlineStr">
        <is>
          <t>(บาท)</t>
        </is>
      </c>
    </row>
    <row r="835" ht="22.2" customHeight="1" s="330">
      <c r="A835" s="275" t="n">
        <v>19</v>
      </c>
      <c r="B835" s="477">
        <f>AB21</f>
        <v/>
      </c>
      <c r="C835" s="334" t="n"/>
      <c r="D835" s="335" t="n"/>
      <c r="E835" s="275" t="inlineStr">
        <is>
          <t>พนักงาน</t>
        </is>
      </c>
      <c r="F835" s="6">
        <f>F7</f>
        <v/>
      </c>
      <c r="G835" s="303" t="inlineStr">
        <is>
          <t>จันทร์</t>
        </is>
      </c>
      <c r="H835" s="332" t="n"/>
      <c r="I835" s="325" t="n"/>
      <c r="J835" s="332" t="n"/>
      <c r="K835" s="335" t="n"/>
      <c r="L835" s="265" t="n"/>
      <c r="M835" s="332" t="n"/>
      <c r="N835" s="332" t="n"/>
      <c r="O835" s="244">
        <f>M835*N835</f>
        <v/>
      </c>
      <c r="P835" s="332" t="n"/>
      <c r="Q835" s="265" t="n"/>
      <c r="R835" s="332" t="n"/>
      <c r="S835" s="244">
        <f>Q835*R835</f>
        <v/>
      </c>
    </row>
    <row r="836" ht="22.2" customHeight="1" s="330">
      <c r="A836" s="4" t="n"/>
      <c r="B836" s="478" t="n"/>
      <c r="D836" s="331" t="n"/>
      <c r="E836" s="252" t="inlineStr">
        <is>
          <t>ราชการ</t>
        </is>
      </c>
      <c r="F836" s="249" t="n"/>
      <c r="G836" s="308">
        <f>G790</f>
        <v/>
      </c>
      <c r="H836" s="325" t="n"/>
      <c r="I836" s="325" t="n"/>
      <c r="J836" s="252" t="n"/>
      <c r="K836" s="331" t="n"/>
      <c r="L836" s="252" t="n"/>
      <c r="M836" s="252" t="n"/>
      <c r="N836" s="252" t="n"/>
      <c r="O836" s="244">
        <f>M836*N836</f>
        <v/>
      </c>
      <c r="P836" s="252" t="n"/>
      <c r="Q836" s="252" t="n"/>
      <c r="R836" s="252" t="n"/>
      <c r="S836" s="244">
        <f>Q836*R836</f>
        <v/>
      </c>
    </row>
    <row r="837" ht="22.2" customHeight="1" s="330">
      <c r="A837" s="4" t="n"/>
      <c r="B837" s="5" t="n"/>
      <c r="D837" s="3" t="n"/>
      <c r="E837" s="3" t="n"/>
      <c r="F837" s="249" t="n"/>
      <c r="G837" s="248" t="n"/>
      <c r="H837" s="252" t="n"/>
      <c r="I837" s="252" t="n"/>
      <c r="J837" s="252" t="n"/>
      <c r="K837" s="331" t="n"/>
      <c r="L837" s="252" t="n"/>
      <c r="M837" s="252" t="n"/>
      <c r="N837" s="252" t="n"/>
      <c r="O837" s="244">
        <f>M837*N837</f>
        <v/>
      </c>
      <c r="P837" s="252" t="n"/>
      <c r="Q837" s="252" t="n"/>
      <c r="R837" s="252" t="n"/>
      <c r="S837" s="244">
        <f>Q837*R837</f>
        <v/>
      </c>
    </row>
    <row r="838" ht="22.2" customHeight="1" s="330">
      <c r="A838" s="4" t="n"/>
      <c r="B838" s="5" t="n"/>
      <c r="E838" s="4" t="n"/>
      <c r="F838" s="249" t="n"/>
      <c r="G838" s="248" t="n"/>
      <c r="H838" s="252" t="n"/>
      <c r="I838" s="252" t="n"/>
      <c r="J838" s="252" t="n"/>
      <c r="K838" s="331" t="n"/>
      <c r="L838" s="252" t="n"/>
      <c r="M838" s="252" t="n"/>
      <c r="N838" s="252" t="n"/>
      <c r="O838" s="244">
        <f>M838*N838</f>
        <v/>
      </c>
      <c r="P838" s="252" t="n"/>
      <c r="Q838" s="252" t="n"/>
      <c r="R838" s="252" t="n"/>
      <c r="S838" s="244">
        <f>Q838*R838</f>
        <v/>
      </c>
    </row>
    <row r="839" ht="22.2" customHeight="1" s="330">
      <c r="A839" s="4" t="n"/>
      <c r="E839" s="4" t="n"/>
      <c r="G839" s="311" t="n"/>
      <c r="H839" s="276" t="n"/>
      <c r="I839" s="276" t="n"/>
      <c r="J839" s="276" t="n"/>
      <c r="K839" s="476" t="n"/>
      <c r="L839" s="252" t="n"/>
      <c r="M839" s="252" t="n"/>
      <c r="N839" s="252" t="n"/>
      <c r="O839" s="244">
        <f>M839*N839</f>
        <v/>
      </c>
      <c r="P839" s="252" t="n"/>
      <c r="Q839" s="252" t="n"/>
      <c r="R839" s="252" t="n"/>
      <c r="S839" s="244">
        <f>Q839*R839</f>
        <v/>
      </c>
    </row>
    <row r="840" ht="22.2" customHeight="1" s="330">
      <c r="A840" s="4" t="n"/>
      <c r="E840" s="4" t="n"/>
      <c r="G840" s="62" t="inlineStr">
        <is>
          <t>อังคาร</t>
        </is>
      </c>
      <c r="H840" s="332" t="inlineStr">
        <is>
          <t>20101-5104</t>
        </is>
      </c>
      <c r="I840" s="325" t="inlineStr">
        <is>
          <t>ปวช.2/10 ชย. (ทวิ)</t>
        </is>
      </c>
      <c r="J840" s="332" t="inlineStr">
        <is>
          <t>08.10-12.10</t>
        </is>
      </c>
      <c r="K840" s="335" t="n"/>
      <c r="L840" s="265" t="n"/>
      <c r="M840" s="332" t="n"/>
      <c r="N840" s="332" t="n"/>
      <c r="O840" s="244">
        <f>M840*N840</f>
        <v/>
      </c>
      <c r="P840" s="332" t="n"/>
      <c r="Q840" s="265" t="n"/>
      <c r="R840" s="332" t="n"/>
      <c r="S840" s="244">
        <f>Q840*R840</f>
        <v/>
      </c>
    </row>
    <row r="841" ht="22.2" customHeight="1" s="330">
      <c r="A841" s="4" t="n"/>
      <c r="E841" s="4" t="n"/>
      <c r="G841" s="308">
        <f>G795</f>
        <v/>
      </c>
      <c r="H841" s="325" t="inlineStr">
        <is>
          <t>20101-5104</t>
        </is>
      </c>
      <c r="I841" s="325" t="inlineStr">
        <is>
          <t>ปวช.2/10 ชย. (ทวิ)</t>
        </is>
      </c>
      <c r="J841" s="252" t="inlineStr">
        <is>
          <t>13.10-16.10</t>
        </is>
      </c>
      <c r="K841" s="331" t="n"/>
      <c r="L841" s="252" t="n"/>
      <c r="M841" s="252" t="n"/>
      <c r="N841" s="252" t="n"/>
      <c r="O841" s="244">
        <f>M841*N841</f>
        <v/>
      </c>
      <c r="P841" s="252" t="n"/>
      <c r="Q841" s="252" t="n"/>
      <c r="R841" s="252" t="n"/>
      <c r="S841" s="244">
        <f>Q841*R841</f>
        <v/>
      </c>
    </row>
    <row r="842" ht="22.2" customHeight="1" s="330">
      <c r="A842" s="4" t="n"/>
      <c r="B842" s="5" t="n"/>
      <c r="D842" s="3" t="n"/>
      <c r="E842" s="3" t="n"/>
      <c r="G842" s="252" t="n"/>
      <c r="H842" s="248" t="n"/>
      <c r="I842" s="252" t="n"/>
      <c r="J842" s="252" t="n"/>
      <c r="K842" s="331" t="n"/>
      <c r="L842" s="252" t="n"/>
      <c r="M842" s="252" t="n"/>
      <c r="N842" s="252" t="n"/>
      <c r="O842" s="244">
        <f>M842*N842</f>
        <v/>
      </c>
      <c r="P842" s="252" t="n"/>
      <c r="Q842" s="252" t="n"/>
      <c r="R842" s="252" t="n"/>
      <c r="S842" s="244">
        <f>Q842*R842</f>
        <v/>
      </c>
    </row>
    <row r="843" ht="22.2" customHeight="1" s="330">
      <c r="A843" s="4" t="n"/>
      <c r="E843" s="4" t="n"/>
      <c r="G843" s="62" t="n"/>
      <c r="H843" s="249" t="n"/>
      <c r="I843" s="252" t="n"/>
      <c r="J843" s="252" t="n"/>
      <c r="K843" s="331" t="n"/>
      <c r="L843" s="252" t="n"/>
      <c r="M843" s="252" t="n"/>
      <c r="N843" s="252" t="n"/>
      <c r="O843" s="244">
        <f>M843*N843</f>
        <v/>
      </c>
      <c r="P843" s="252" t="n"/>
      <c r="Q843" s="252" t="n"/>
      <c r="R843" s="252" t="n"/>
      <c r="S843" s="244">
        <f>Q843*R843</f>
        <v/>
      </c>
    </row>
    <row r="844" ht="22.2" customHeight="1" s="330">
      <c r="A844" s="4" t="n"/>
      <c r="D844" s="8" t="inlineStr">
        <is>
          <t> </t>
        </is>
      </c>
      <c r="E844" s="4" t="n"/>
      <c r="G844" s="63" t="n"/>
      <c r="H844" s="249" t="n"/>
      <c r="I844" s="276" t="n"/>
      <c r="J844" s="276" t="n"/>
      <c r="K844" s="476" t="n"/>
      <c r="L844" s="252" t="n"/>
      <c r="M844" s="252" t="n"/>
      <c r="N844" s="252" t="n"/>
      <c r="O844" s="244">
        <f>M844*N844</f>
        <v/>
      </c>
      <c r="P844" s="252" t="n"/>
      <c r="Q844" s="252" t="n"/>
      <c r="R844" s="252" t="n"/>
      <c r="S844" s="244">
        <f>Q844*R844</f>
        <v/>
      </c>
    </row>
    <row r="845" ht="22.2" customHeight="1" s="330">
      <c r="A845" s="4" t="n"/>
      <c r="E845" s="4" t="n"/>
      <c r="G845" s="308" t="inlineStr">
        <is>
          <t>พุธ</t>
        </is>
      </c>
      <c r="H845" s="332" t="inlineStr">
        <is>
          <t>20101-2005</t>
        </is>
      </c>
      <c r="I845" s="325" t="inlineStr">
        <is>
          <t>ปวช.2/3 ชย. (ปกติ)</t>
        </is>
      </c>
      <c r="J845" s="332" t="inlineStr">
        <is>
          <t>08.10-12.10</t>
        </is>
      </c>
      <c r="K845" s="335" t="n"/>
      <c r="L845" s="265" t="n"/>
      <c r="M845" s="332" t="n"/>
      <c r="N845" s="332" t="n"/>
      <c r="O845" s="244">
        <f>M845*N845</f>
        <v/>
      </c>
      <c r="P845" s="332" t="n"/>
      <c r="Q845" s="265" t="n"/>
      <c r="R845" s="332" t="n"/>
      <c r="S845" s="244">
        <f>Q845*R845</f>
        <v/>
      </c>
    </row>
    <row r="846" ht="22.2" customHeight="1" s="330">
      <c r="A846" s="4" t="n"/>
      <c r="B846" s="248" t="n"/>
      <c r="C846" s="249" t="n"/>
      <c r="D846" s="249" t="n"/>
      <c r="E846" s="252" t="n"/>
      <c r="G846" s="308">
        <f>G800</f>
        <v/>
      </c>
      <c r="H846" s="325" t="inlineStr">
        <is>
          <t>20101-2005</t>
        </is>
      </c>
      <c r="I846" s="325" t="inlineStr">
        <is>
          <t>ปวช.2/3 ชย. (ปกติ)</t>
        </is>
      </c>
      <c r="J846" s="252" t="inlineStr">
        <is>
          <t>13.10-16.10</t>
        </is>
      </c>
      <c r="K846" s="331" t="n"/>
      <c r="L846" s="252" t="n"/>
      <c r="M846" s="252" t="n"/>
      <c r="N846" s="252" t="n"/>
      <c r="O846" s="244">
        <f>M846*N846</f>
        <v/>
      </c>
      <c r="P846" s="252" t="n"/>
      <c r="Q846" s="252" t="n"/>
      <c r="R846" s="252" t="n"/>
      <c r="S846" s="244">
        <f>Q846*R846</f>
        <v/>
      </c>
    </row>
    <row r="847" ht="22.2" customHeight="1" s="330">
      <c r="A847" s="4" t="n"/>
      <c r="B847" s="5" t="n"/>
      <c r="D847" s="3" t="n"/>
      <c r="E847" s="3" t="n"/>
      <c r="G847" s="252" t="n"/>
      <c r="H847" s="248" t="n"/>
      <c r="I847" s="325" t="n"/>
      <c r="J847" s="252" t="n"/>
      <c r="K847" s="331" t="n"/>
      <c r="L847" s="252" t="n"/>
      <c r="M847" s="252" t="n"/>
      <c r="N847" s="252" t="n"/>
      <c r="O847" s="244">
        <f>M847*N847</f>
        <v/>
      </c>
      <c r="P847" s="252" t="n"/>
      <c r="Q847" s="252" t="n"/>
      <c r="R847" s="252" t="n"/>
      <c r="S847" s="244">
        <f>Q847*R847</f>
        <v/>
      </c>
    </row>
    <row r="848" ht="22.2" customHeight="1" s="330">
      <c r="A848" s="4" t="n"/>
      <c r="E848" s="4" t="n"/>
      <c r="G848" s="248" t="n"/>
      <c r="H848" s="248" t="n"/>
      <c r="I848" s="252" t="n"/>
      <c r="J848" s="252" t="n"/>
      <c r="K848" s="331" t="n"/>
      <c r="L848" s="252" t="n"/>
      <c r="M848" s="252" t="n"/>
      <c r="N848" s="252" t="n"/>
      <c r="O848" s="244">
        <f>M848*N848</f>
        <v/>
      </c>
      <c r="P848" s="252" t="n"/>
      <c r="Q848" s="252" t="n"/>
      <c r="R848" s="252" t="n"/>
      <c r="S848" s="244">
        <f>Q848*R848</f>
        <v/>
      </c>
    </row>
    <row r="849" ht="22.2" customHeight="1" s="330">
      <c r="A849" s="4" t="n"/>
      <c r="E849" s="4" t="n"/>
      <c r="G849" s="277" t="n"/>
      <c r="H849" s="277" t="n"/>
      <c r="I849" s="276" t="n"/>
      <c r="J849" s="276" t="n"/>
      <c r="K849" s="476" t="n"/>
      <c r="L849" s="276" t="n"/>
      <c r="M849" s="276" t="n"/>
      <c r="N849" s="276" t="n"/>
      <c r="O849" s="244">
        <f>M849*N849</f>
        <v/>
      </c>
      <c r="P849" s="276" t="n"/>
      <c r="Q849" s="276" t="n"/>
      <c r="R849" s="276" t="n"/>
      <c r="S849" s="244">
        <f>Q849*R849</f>
        <v/>
      </c>
    </row>
    <row r="850" ht="22.2" customHeight="1" s="330">
      <c r="A850" s="4" t="n"/>
      <c r="E850" s="4" t="n"/>
      <c r="G850" s="62" t="inlineStr">
        <is>
          <t>พฤหัส</t>
        </is>
      </c>
      <c r="H850" s="332" t="inlineStr">
        <is>
          <t>20101-2110</t>
        </is>
      </c>
      <c r="I850" s="325" t="inlineStr">
        <is>
          <t>ปวช.3/1 ชย. (ปกติ)</t>
        </is>
      </c>
      <c r="J850" s="332" t="inlineStr">
        <is>
          <t>08.10-12.10</t>
        </is>
      </c>
      <c r="K850" s="335" t="n"/>
      <c r="L850" s="265" t="n"/>
      <c r="M850" s="252" t="n"/>
      <c r="N850" s="252" t="n"/>
      <c r="O850" s="244">
        <f>M850*N850</f>
        <v/>
      </c>
      <c r="P850" s="252" t="n"/>
      <c r="Q850" s="275" t="n"/>
      <c r="R850" s="275" t="n"/>
      <c r="S850" s="244">
        <f>Q850*R850</f>
        <v/>
      </c>
      <c r="T850" s="25" t="n"/>
      <c r="U850" s="26" t="inlineStr">
        <is>
          <t xml:space="preserve">     PLC</t>
        </is>
      </c>
      <c r="V850" s="64" t="n"/>
      <c r="W850" s="27" t="n"/>
      <c r="X850" s="27" t="n"/>
    </row>
    <row r="851" ht="22.2" customHeight="1" s="330">
      <c r="A851" s="4" t="n"/>
      <c r="E851" s="4" t="n"/>
      <c r="G851" s="308">
        <f>G805</f>
        <v/>
      </c>
      <c r="H851" s="325" t="inlineStr">
        <is>
          <t>20101-2005</t>
        </is>
      </c>
      <c r="I851" s="325" t="inlineStr">
        <is>
          <t>ปวช.3/3,4 ชย. (ปกติ)</t>
        </is>
      </c>
      <c r="J851" s="252" t="inlineStr">
        <is>
          <t>13.10-15.10</t>
        </is>
      </c>
      <c r="K851" s="331" t="n"/>
      <c r="L851" s="252" t="n"/>
      <c r="M851" s="252" t="n"/>
      <c r="N851" s="252" t="n"/>
      <c r="O851" s="244">
        <f>M851*N851</f>
        <v/>
      </c>
      <c r="P851" s="252" t="n"/>
      <c r="Q851" s="252" t="n"/>
      <c r="R851" s="252" t="n"/>
      <c r="S851" s="244">
        <f>Q851*R851</f>
        <v/>
      </c>
      <c r="T851" s="27" t="inlineStr">
        <is>
          <t> </t>
        </is>
      </c>
      <c r="U851" s="26" t="inlineStr">
        <is>
          <t>17.10-19.10</t>
        </is>
      </c>
      <c r="V851" s="64" t="n"/>
      <c r="W851" s="27" t="n"/>
      <c r="X851" s="27" t="n"/>
    </row>
    <row r="852" ht="22.2" customHeight="1" s="330">
      <c r="A852" s="4" t="n"/>
      <c r="B852" s="5" t="n"/>
      <c r="E852" s="4" t="n"/>
      <c r="G852" s="252" t="n"/>
      <c r="H852" s="325" t="n"/>
      <c r="I852" s="325" t="n"/>
      <c r="J852" s="252" t="n"/>
      <c r="K852" s="331" t="n"/>
      <c r="L852" s="252" t="n"/>
      <c r="M852" s="325" t="n"/>
      <c r="N852" s="325" t="n"/>
      <c r="O852" s="244">
        <f>M852*N852</f>
        <v/>
      </c>
      <c r="P852" s="325" t="n"/>
      <c r="Q852" s="325" t="n"/>
      <c r="R852" s="325" t="n"/>
      <c r="S852" s="244">
        <f>Q852*R852</f>
        <v/>
      </c>
    </row>
    <row r="853" ht="22.2" customHeight="1" s="330">
      <c r="A853" s="4" t="n"/>
      <c r="E853" s="4" t="n"/>
      <c r="G853" s="252" t="n"/>
      <c r="H853" s="252" t="n"/>
      <c r="I853" s="252" t="n"/>
      <c r="J853" s="252" t="n"/>
      <c r="K853" s="331" t="n"/>
      <c r="L853" s="252" t="n"/>
      <c r="M853" s="252" t="n"/>
      <c r="N853" s="252" t="n"/>
      <c r="O853" s="244">
        <f>M853*N853</f>
        <v/>
      </c>
      <c r="P853" s="252" t="n"/>
      <c r="Q853" s="252" t="n"/>
      <c r="R853" s="252" t="n"/>
      <c r="S853" s="244">
        <f>Q853*R853</f>
        <v/>
      </c>
    </row>
    <row r="854" ht="22.2" customHeight="1" s="330">
      <c r="A854" s="4" t="n"/>
      <c r="E854" s="4" t="n"/>
      <c r="G854" s="276" t="n"/>
      <c r="H854" s="301" t="n"/>
      <c r="I854" s="276" t="n"/>
      <c r="J854" s="276" t="n"/>
      <c r="K854" s="476" t="n"/>
      <c r="L854" s="276" t="n"/>
      <c r="M854" s="276" t="n"/>
      <c r="N854" s="276" t="n"/>
      <c r="O854" s="244">
        <f>M854*N854</f>
        <v/>
      </c>
      <c r="P854" s="276" t="n"/>
      <c r="Q854" s="276" t="n"/>
      <c r="R854" s="276" t="n"/>
      <c r="S854" s="244">
        <f>Q854*R854</f>
        <v/>
      </c>
    </row>
    <row r="855" ht="22.2" customHeight="1" s="330">
      <c r="A855" s="4" t="n"/>
      <c r="E855" s="4" t="n"/>
      <c r="G855" s="62" t="inlineStr">
        <is>
          <t>ศุกร์</t>
        </is>
      </c>
      <c r="H855" s="332" t="inlineStr">
        <is>
          <t>20101-2005</t>
        </is>
      </c>
      <c r="I855" s="325" t="inlineStr">
        <is>
          <t>ปวช.2/1 ชย. (ปกติ)</t>
        </is>
      </c>
      <c r="J855" s="332" t="inlineStr">
        <is>
          <t>08.10-12.10</t>
        </is>
      </c>
      <c r="K855" s="335" t="n"/>
      <c r="L855" s="252" t="n"/>
      <c r="M855" s="332" t="n"/>
      <c r="N855" s="332" t="n"/>
      <c r="O855" s="244">
        <f>M855*N855</f>
        <v/>
      </c>
      <c r="P855" s="332" t="n"/>
      <c r="Q855" s="265" t="n"/>
      <c r="R855" s="332" t="n"/>
      <c r="S855" s="244">
        <f>Q855*R855</f>
        <v/>
      </c>
    </row>
    <row r="856" ht="22.2" customHeight="1" s="330">
      <c r="A856" s="4" t="n"/>
      <c r="E856" s="4" t="n"/>
      <c r="G856" s="308">
        <f>G810</f>
        <v/>
      </c>
      <c r="H856" s="325" t="inlineStr">
        <is>
          <t>20101-2005</t>
        </is>
      </c>
      <c r="I856" s="325" t="inlineStr">
        <is>
          <t>ปวช.2/1 ชย. (ปกติ)</t>
        </is>
      </c>
      <c r="J856" s="252" t="inlineStr">
        <is>
          <t>13.10-16.10</t>
        </is>
      </c>
      <c r="K856" s="331" t="n"/>
      <c r="L856" s="252" t="n"/>
      <c r="M856" s="252" t="n"/>
      <c r="N856" s="252" t="n"/>
      <c r="O856" s="244">
        <f>M856*N856</f>
        <v/>
      </c>
      <c r="P856" s="252" t="n"/>
      <c r="Q856" s="252" t="n"/>
      <c r="R856" s="252" t="n"/>
      <c r="S856" s="244">
        <f>Q856*R856</f>
        <v/>
      </c>
    </row>
    <row r="857" ht="22.2" customHeight="1" s="330">
      <c r="A857" s="4" t="n"/>
      <c r="E857" s="4" t="n"/>
      <c r="G857" s="252" t="n"/>
      <c r="H857" s="248" t="n"/>
      <c r="I857" s="252" t="n"/>
      <c r="J857" s="252" t="n"/>
      <c r="K857" s="331" t="n"/>
      <c r="L857" s="252" t="n"/>
      <c r="M857" s="252" t="n"/>
      <c r="N857" s="252" t="n"/>
      <c r="O857" s="244">
        <f>M857*N857</f>
        <v/>
      </c>
      <c r="P857" s="252" t="n"/>
      <c r="Q857" s="252" t="n"/>
      <c r="R857" s="252" t="n"/>
      <c r="S857" s="244">
        <f>Q857*R857</f>
        <v/>
      </c>
    </row>
    <row r="858" ht="22.2" customHeight="1" s="330">
      <c r="A858" s="4" t="n"/>
      <c r="E858" s="4" t="n"/>
      <c r="G858" s="252" t="n"/>
      <c r="H858" s="249" t="inlineStr">
        <is>
          <t> </t>
        </is>
      </c>
      <c r="I858" s="252" t="n"/>
      <c r="J858" s="252" t="n"/>
      <c r="K858" s="331" t="n"/>
      <c r="L858" s="252" t="n"/>
      <c r="M858" s="252" t="n"/>
      <c r="N858" s="252" t="n"/>
      <c r="O858" s="244">
        <f>M858*N858</f>
        <v/>
      </c>
      <c r="P858" s="252" t="n"/>
      <c r="Q858" s="252" t="n"/>
      <c r="R858" s="252" t="n"/>
      <c r="S858" s="244">
        <f>Q858*R858</f>
        <v/>
      </c>
    </row>
    <row r="859" ht="22.2" customHeight="1" s="330">
      <c r="A859" s="4" t="n"/>
      <c r="E859" s="4" t="n"/>
      <c r="F859" s="4" t="n"/>
      <c r="G859" s="278" t="n"/>
      <c r="H859" s="301" t="n"/>
      <c r="I859" s="276" t="n"/>
      <c r="J859" s="276" t="n"/>
      <c r="K859" s="476" t="n"/>
      <c r="L859" s="276" t="n"/>
      <c r="M859" s="276" t="n"/>
      <c r="N859" s="276" t="n"/>
      <c r="O859" s="244">
        <f>M859*N859</f>
        <v/>
      </c>
      <c r="P859" s="276" t="n"/>
      <c r="Q859" s="276" t="n"/>
      <c r="R859" s="276" t="n"/>
      <c r="S859" s="244">
        <f>Q859*R859</f>
        <v/>
      </c>
    </row>
    <row r="860" ht="22.2" customHeight="1" s="330">
      <c r="A860" s="4" t="n"/>
      <c r="E860" s="4" t="n"/>
      <c r="F860" s="4" t="n"/>
      <c r="G860" s="17" t="inlineStr">
        <is>
          <t>รวมขั่วโมงที่สอนแยก ภาระงาน/ เกินภาระงาน</t>
        </is>
      </c>
      <c r="H860" s="467" t="n"/>
      <c r="I860" s="467" t="n"/>
      <c r="J860" s="467" t="n"/>
      <c r="K860" s="362" t="n"/>
      <c r="L860" s="17">
        <f>SUM(L835:L859)</f>
        <v/>
      </c>
      <c r="M860" s="17">
        <f>SUM(M835:M859)</f>
        <v/>
      </c>
      <c r="N860" s="17" t="n"/>
      <c r="O860" s="17" t="n"/>
      <c r="P860" s="17">
        <f>SUM(P835:P859)</f>
        <v/>
      </c>
      <c r="Q860" s="17">
        <f>SUM(Q835:Q859)</f>
        <v/>
      </c>
      <c r="R860" s="279" t="n"/>
      <c r="S860" s="17" t="n"/>
    </row>
    <row r="861" ht="22.2" customHeight="1" s="330">
      <c r="A861" s="4" t="n"/>
      <c r="E861" s="4" t="n"/>
      <c r="F861" s="4" t="n"/>
      <c r="G861" s="17" t="inlineStr">
        <is>
          <t>รวมจำนวนชั่วโมงสอนคาบต่อสับดาห์</t>
        </is>
      </c>
      <c r="H861" s="467" t="n"/>
      <c r="I861" s="467" t="n"/>
      <c r="J861" s="467" t="n"/>
      <c r="K861" s="362" t="n"/>
      <c r="L861" s="17">
        <f>L860+M860</f>
        <v/>
      </c>
      <c r="M861" s="362" t="n"/>
      <c r="N861" s="298" t="n"/>
      <c r="O861" s="17" t="n"/>
      <c r="P861" s="17">
        <f>P860+Q860</f>
        <v/>
      </c>
      <c r="Q861" s="362" t="n"/>
      <c r="R861" s="278" t="n"/>
      <c r="S861" s="276" t="n"/>
    </row>
    <row r="862" ht="22.2" customHeight="1" s="330">
      <c r="A862" s="4" t="n"/>
      <c r="E862" s="4" t="n"/>
      <c r="F862" s="4" t="n"/>
      <c r="G862" s="17" t="inlineStr">
        <is>
          <t>จำนวนชั่วโมงสอนตามภาระงานสอน</t>
        </is>
      </c>
      <c r="H862" s="467" t="n"/>
      <c r="I862" s="467" t="n"/>
      <c r="J862" s="467" t="n"/>
      <c r="K862" s="362" t="n"/>
      <c r="L862" s="17" t="n">
        <v>12</v>
      </c>
      <c r="M862" s="362" t="n"/>
      <c r="N862" s="298" t="n"/>
      <c r="O862" s="17" t="n"/>
      <c r="P862" s="17" t="n">
        <v>0</v>
      </c>
      <c r="Q862" s="362" t="n"/>
      <c r="R862" s="249" t="n"/>
      <c r="S862" s="252" t="n"/>
    </row>
    <row r="863" ht="22.2" customHeight="1" s="330" thickBot="1">
      <c r="A863" s="4" t="n"/>
      <c r="E863" s="4" t="n"/>
      <c r="F863" s="15" t="n"/>
      <c r="G863" s="17" t="inlineStr">
        <is>
          <t>จำนวนชั่วโมงบิกเกินภาระงานสอน/ค่าสอน</t>
        </is>
      </c>
      <c r="H863" s="467" t="n"/>
      <c r="I863" s="467" t="n"/>
      <c r="J863" s="467" t="n"/>
      <c r="K863" s="362" t="n"/>
      <c r="L863" s="18" t="n">
        <v>0</v>
      </c>
      <c r="M863" s="18">
        <f>SUM(M835:M859)</f>
        <v/>
      </c>
      <c r="N863" s="18" t="n"/>
      <c r="O863" s="18">
        <f>SUM(O835:O859)</f>
        <v/>
      </c>
      <c r="P863" s="18" t="n">
        <v>0</v>
      </c>
      <c r="Q863" s="18">
        <f>SUM(Q835:Q859)</f>
        <v/>
      </c>
      <c r="R863" s="19" t="n"/>
      <c r="S863" s="18">
        <f>SUM(S835:S859)</f>
        <v/>
      </c>
    </row>
    <row r="864" ht="22.2" customHeight="1" s="330" thickTop="1">
      <c r="A864" s="299" t="inlineStr">
        <is>
          <t>รวมจำนวนหน่วยชั่วโมงที่ขอเบิกค่าสอน ….</t>
        </is>
      </c>
      <c r="B864" s="467" t="n"/>
      <c r="C864" s="467" t="n"/>
      <c r="D864" s="467" t="n"/>
      <c r="E864" s="467" t="n"/>
      <c r="F864" s="467" t="n"/>
      <c r="G864" s="467" t="n"/>
      <c r="H864" s="298">
        <f>M863+Q863</f>
        <v/>
      </c>
      <c r="I864" s="298" t="inlineStr">
        <is>
          <t>….ชั่วโมง</t>
        </is>
      </c>
      <c r="J864" s="298" t="n"/>
      <c r="K864" s="301" t="inlineStr">
        <is>
          <t>ยอดเงินรวม</t>
        </is>
      </c>
      <c r="L864" s="471" t="n"/>
      <c r="M864" s="471" t="n"/>
      <c r="N864" s="301" t="n"/>
      <c r="O864" s="301" t="n"/>
      <c r="P864" s="302">
        <f>S863+O863</f>
        <v/>
      </c>
      <c r="Q864" s="482" t="n"/>
      <c r="R864" s="21" t="n"/>
      <c r="S864" s="20" t="inlineStr">
        <is>
          <t>..บาท</t>
        </is>
      </c>
    </row>
    <row r="865" ht="22.2" customHeight="1" s="330">
      <c r="A865" s="207" t="inlineStr">
        <is>
          <t>ผู้ขอเบิก</t>
        </is>
      </c>
      <c r="B865" s="334" t="n"/>
      <c r="C865" s="334" t="n"/>
      <c r="D865" s="334" t="n"/>
      <c r="E865" s="334" t="n"/>
      <c r="F865" s="334" t="n"/>
      <c r="G865" s="335" t="n"/>
      <c r="H865" s="207" t="inlineStr">
        <is>
          <t>ผู้รับรอง</t>
        </is>
      </c>
      <c r="I865" s="334" t="n"/>
      <c r="J865" s="334" t="n"/>
      <c r="K865" s="334" t="n"/>
      <c r="L865" s="335" t="n"/>
      <c r="M865" s="207" t="inlineStr">
        <is>
          <t>ผู้ตรวจ</t>
        </is>
      </c>
      <c r="N865" s="334" t="n"/>
      <c r="O865" s="334" t="n"/>
      <c r="P865" s="334" t="n"/>
      <c r="Q865" s="334" t="n"/>
      <c r="R865" s="334" t="n"/>
      <c r="S865" s="335" t="n"/>
    </row>
    <row r="866" ht="22.2" customHeight="1" s="330">
      <c r="A866" s="252" t="inlineStr">
        <is>
          <t>ลงชื่อ……………………………………………</t>
        </is>
      </c>
      <c r="G866" s="331" t="n"/>
      <c r="H866" s="252" t="inlineStr">
        <is>
          <t>ลงชื่อ……………………………………………</t>
        </is>
      </c>
      <c r="L866" s="331" t="n"/>
      <c r="M866" s="252" t="inlineStr">
        <is>
          <t>ลงชื่อ……………………………………………</t>
        </is>
      </c>
      <c r="S866" s="331" t="n"/>
    </row>
    <row r="867" ht="22.2" customHeight="1" s="330">
      <c r="A867" s="12" t="inlineStr">
        <is>
          <t>(</t>
        </is>
      </c>
      <c r="B867" s="309">
        <f>B835</f>
        <v/>
      </c>
      <c r="G867" s="310" t="inlineStr">
        <is>
          <t>)</t>
        </is>
      </c>
      <c r="H867" s="309" t="inlineStr">
        <is>
          <t>(</t>
        </is>
      </c>
      <c r="I867" s="314">
        <f>I821</f>
        <v/>
      </c>
      <c r="L867" s="13" t="inlineStr">
        <is>
          <t>)</t>
        </is>
      </c>
      <c r="M867" s="61" t="inlineStr">
        <is>
          <t>(</t>
        </is>
      </c>
      <c r="N867" s="61" t="n"/>
      <c r="O867" s="309" t="inlineStr">
        <is>
          <t>นายพิสุทธิศักดิ์  กล่อมนาค</t>
        </is>
      </c>
      <c r="R867" s="29" t="n"/>
      <c r="S867" s="310" t="inlineStr">
        <is>
          <t>)</t>
        </is>
      </c>
    </row>
    <row r="868" ht="22.2" customHeight="1" s="330">
      <c r="A868" s="483" t="inlineStr">
        <is>
          <t xml:space="preserve">               ตำแหน่ง  พนักงานราชการ</t>
        </is>
      </c>
      <c r="G868" s="331" t="n"/>
      <c r="H868" s="62" t="inlineStr">
        <is>
          <t>ตำแหน่ง หัวหน้าแผนก</t>
        </is>
      </c>
      <c r="L868" s="331" t="n"/>
      <c r="M868" s="62" t="inlineStr">
        <is>
          <t>ตำแหน่ง   ผู้ตรวจสอบ</t>
        </is>
      </c>
      <c r="S868" s="331" t="n"/>
    </row>
    <row r="869" ht="22.2" customHeight="1" s="330">
      <c r="A869" s="63">
        <f>A41</f>
        <v/>
      </c>
      <c r="B869" s="471" t="n"/>
      <c r="C869" s="471" t="n"/>
      <c r="D869" s="471" t="n"/>
      <c r="E869" s="471" t="n"/>
      <c r="F869" s="471" t="n"/>
      <c r="G869" s="476" t="n"/>
      <c r="H869" s="62">
        <f>A41</f>
        <v/>
      </c>
      <c r="L869" s="331" t="n"/>
      <c r="M869" s="63">
        <f>A41</f>
        <v/>
      </c>
      <c r="N869" s="471" t="n"/>
      <c r="O869" s="471" t="n"/>
      <c r="P869" s="471" t="n"/>
      <c r="Q869" s="471" t="n"/>
      <c r="R869" s="471" t="n"/>
      <c r="S869" s="476" t="n"/>
    </row>
    <row r="870" ht="22.2" customHeight="1" s="330">
      <c r="A870" s="207" t="inlineStr">
        <is>
          <t>ผู้ตรวจ</t>
        </is>
      </c>
      <c r="B870" s="334" t="n"/>
      <c r="C870" s="334" t="n"/>
      <c r="D870" s="334" t="n"/>
      <c r="E870" s="334" t="n"/>
      <c r="F870" s="334" t="n"/>
      <c r="G870" s="334" t="n"/>
      <c r="H870" s="334" t="n"/>
      <c r="I870" s="335" t="n"/>
      <c r="J870" s="207" t="inlineStr">
        <is>
          <t>ผู้เห็นชอบ</t>
        </is>
      </c>
      <c r="K870" s="334" t="n"/>
      <c r="L870" s="334" t="n"/>
      <c r="M870" s="334" t="n"/>
      <c r="N870" s="334" t="n"/>
      <c r="O870" s="334" t="n"/>
      <c r="P870" s="334" t="n"/>
      <c r="Q870" s="334" t="n"/>
      <c r="R870" s="334" t="n"/>
      <c r="S870" s="335" t="n"/>
    </row>
    <row r="871" ht="22.2" customHeight="1" s="330">
      <c r="A871" s="252" t="inlineStr">
        <is>
          <t>ลงชื่อ……………………………………………</t>
        </is>
      </c>
      <c r="I871" s="331" t="n"/>
      <c r="J871" s="252" t="inlineStr">
        <is>
          <t>ลงชื่อ……………………………………………</t>
        </is>
      </c>
      <c r="S871" s="331" t="n"/>
    </row>
    <row r="872" ht="22.2" customHeight="1" s="330">
      <c r="A872" s="12" t="n"/>
      <c r="B872" s="309" t="inlineStr">
        <is>
          <t xml:space="preserve">          (นางศิวรักษ์   บุญประเสริฐ)</t>
        </is>
      </c>
      <c r="I872" s="310" t="n"/>
      <c r="J872" s="29" t="n"/>
      <c r="K872" s="29" t="n"/>
      <c r="L872" s="309" t="inlineStr">
        <is>
          <t>(นายปรีชา  โพธิ์เกิด)</t>
        </is>
      </c>
      <c r="R872" s="29" t="n"/>
      <c r="S872" s="13" t="n"/>
    </row>
    <row r="873" ht="22.2" customHeight="1" s="330">
      <c r="A873" s="62" t="inlineStr">
        <is>
          <t>ตำแหน่งครู  หัวหน้างานพัฒนาหลักสูตร ฯ</t>
        </is>
      </c>
      <c r="I873" s="331" t="n"/>
      <c r="J873" s="62" t="inlineStr">
        <is>
          <t>ตำแหน่ง  รองผู้อำนวยการฝ่ายวิชาการ</t>
        </is>
      </c>
      <c r="S873" s="331" t="n"/>
    </row>
    <row r="874" ht="22.2" customHeight="1" s="330">
      <c r="A874" s="63">
        <f>A41</f>
        <v/>
      </c>
      <c r="B874" s="471" t="n"/>
      <c r="C874" s="471" t="n"/>
      <c r="D874" s="471" t="n"/>
      <c r="E874" s="471" t="n"/>
      <c r="F874" s="471" t="n"/>
      <c r="G874" s="471" t="n"/>
      <c r="H874" s="471" t="n"/>
      <c r="I874" s="476" t="n"/>
      <c r="J874" s="63">
        <f>A41</f>
        <v/>
      </c>
      <c r="K874" s="471" t="n"/>
      <c r="L874" s="471" t="n"/>
      <c r="M874" s="471" t="n"/>
      <c r="N874" s="471" t="n"/>
      <c r="O874" s="471" t="n"/>
      <c r="P874" s="471" t="n"/>
      <c r="Q874" s="471" t="n"/>
      <c r="R874" s="471" t="n"/>
      <c r="S874" s="476" t="n"/>
    </row>
    <row r="875" ht="22.2" customHeight="1" s="330">
      <c r="A87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876" ht="22.2" customHeight="1" s="330">
      <c r="A876" s="254">
        <f>A2</f>
        <v/>
      </c>
    </row>
    <row r="877" ht="22.2" customHeight="1" s="330">
      <c r="A877" s="253" t="inlineStr">
        <is>
          <t xml:space="preserve">    ระหว่างวันที่</t>
        </is>
      </c>
      <c r="D877" s="254">
        <f>D3</f>
        <v/>
      </c>
      <c r="E877" s="254" t="inlineStr">
        <is>
          <t xml:space="preserve">   เดือน  </t>
        </is>
      </c>
      <c r="F877" s="254">
        <f>F3</f>
        <v/>
      </c>
      <c r="H877" s="254">
        <f>H3</f>
        <v/>
      </c>
      <c r="I877" s="254" t="inlineStr">
        <is>
          <t xml:space="preserve">     ถึง วันที่</t>
        </is>
      </c>
      <c r="J877" s="254">
        <f>J3</f>
        <v/>
      </c>
      <c r="K877" s="254" t="inlineStr">
        <is>
          <t xml:space="preserve">   เดือน </t>
        </is>
      </c>
      <c r="L877" s="254">
        <f>L3</f>
        <v/>
      </c>
      <c r="N877" s="254">
        <f>N3</f>
        <v/>
      </c>
      <c r="P877" s="254" t="n"/>
      <c r="R877" s="254" t="n"/>
    </row>
    <row r="878" ht="22.2" customHeight="1" s="330">
      <c r="G878" s="58" t="inlineStr">
        <is>
          <t>ü</t>
        </is>
      </c>
      <c r="H878" s="8" t="inlineStr">
        <is>
          <t>ครูพิเศษ</t>
        </is>
      </c>
      <c r="I878" s="249" t="inlineStr">
        <is>
          <t>หน้าที่พิเศษ</t>
        </is>
      </c>
      <c r="K878" s="290" t="n"/>
    </row>
    <row r="879" ht="22.2" customHeight="1" s="330">
      <c r="A879" s="28" t="inlineStr">
        <is>
          <t>ที่</t>
        </is>
      </c>
      <c r="B879" s="28" t="inlineStr">
        <is>
          <t>ชื่อ-สกุล</t>
        </is>
      </c>
      <c r="C879" s="334" t="n"/>
      <c r="D879" s="335" t="n"/>
      <c r="E879" s="16" t="inlineStr">
        <is>
          <t>ตำแหน่ง</t>
        </is>
      </c>
      <c r="F879" s="17" t="inlineStr">
        <is>
          <t>ระยะเวลาที่สอน</t>
        </is>
      </c>
      <c r="G879" s="362" t="n"/>
      <c r="H879" s="17" t="inlineStr">
        <is>
          <t>รหัสวิชา</t>
        </is>
      </c>
      <c r="I879" s="275" t="inlineStr">
        <is>
          <t>ชั้น,แผนก,ห้อง</t>
        </is>
      </c>
      <c r="J879" s="17" t="inlineStr">
        <is>
          <t>เวลาสอน</t>
        </is>
      </c>
      <c r="K879" s="335" t="n"/>
      <c r="L879" s="17" t="inlineStr">
        <is>
          <t>ปวช.(คาบ)</t>
        </is>
      </c>
      <c r="M879" s="362" t="n"/>
      <c r="N879" s="244" t="inlineStr">
        <is>
          <t>เงิน</t>
        </is>
      </c>
      <c r="O879" s="275" t="inlineStr">
        <is>
          <t>ยอดเงิน</t>
        </is>
      </c>
      <c r="P879" s="473" t="inlineStr">
        <is>
          <t>ปวส.(คาบ)</t>
        </is>
      </c>
      <c r="Q879" s="362" t="n"/>
      <c r="R879" s="244" t="inlineStr">
        <is>
          <t>เงิน</t>
        </is>
      </c>
      <c r="S879" s="275" t="inlineStr">
        <is>
          <t>ยอดเงิน</t>
        </is>
      </c>
    </row>
    <row r="880" ht="22.2" customHeight="1" s="330">
      <c r="A880" s="60" t="n"/>
      <c r="B880" s="9" t="n"/>
      <c r="C880" s="10" t="n"/>
      <c r="D880" s="14" t="n"/>
      <c r="E880" s="11" t="n"/>
      <c r="F880" s="276" t="inlineStr">
        <is>
          <t>ส.</t>
        </is>
      </c>
      <c r="G880" s="276" t="inlineStr">
        <is>
          <t>วดป.</t>
        </is>
      </c>
      <c r="H880" s="474" t="n"/>
      <c r="I880" s="276" t="n"/>
      <c r="J880" s="475" t="n"/>
      <c r="K880" s="476" t="n"/>
      <c r="L880" s="276" t="inlineStr">
        <is>
          <t>ใน</t>
        </is>
      </c>
      <c r="M880" s="276" t="inlineStr">
        <is>
          <t>นอก</t>
        </is>
      </c>
      <c r="N880" s="276" t="inlineStr">
        <is>
          <t>ต่อ ชม.</t>
        </is>
      </c>
      <c r="O880" s="276" t="inlineStr">
        <is>
          <t>(บาท)</t>
        </is>
      </c>
      <c r="P880" s="60" t="inlineStr">
        <is>
          <t>ใน</t>
        </is>
      </c>
      <c r="Q880" s="60" t="inlineStr">
        <is>
          <t>นอก</t>
        </is>
      </c>
      <c r="R880" s="276" t="inlineStr">
        <is>
          <t>ต่อ ชม.</t>
        </is>
      </c>
      <c r="S880" s="276" t="inlineStr">
        <is>
          <t>(บาท)</t>
        </is>
      </c>
    </row>
    <row r="881" ht="22.2" customHeight="1" s="330">
      <c r="A881" s="275" t="n">
        <v>20</v>
      </c>
      <c r="B881" s="477">
        <f>AB22</f>
        <v/>
      </c>
      <c r="C881" s="334" t="n"/>
      <c r="D881" s="335" t="n"/>
      <c r="E881" s="275" t="inlineStr">
        <is>
          <t>ครู</t>
        </is>
      </c>
      <c r="F881" s="6">
        <f>F7</f>
        <v/>
      </c>
      <c r="G881" s="303" t="inlineStr">
        <is>
          <t>จันทร์</t>
        </is>
      </c>
      <c r="H881" s="332" t="inlineStr">
        <is>
          <t>20101-2404</t>
        </is>
      </c>
      <c r="I881" s="325" t="inlineStr">
        <is>
          <t>ปวช.3/3 ชย. (ปกติ)</t>
        </is>
      </c>
      <c r="J881" s="332" t="inlineStr">
        <is>
          <t>08.10-12.10</t>
        </is>
      </c>
      <c r="K881" s="335" t="n"/>
      <c r="L881" s="265" t="n"/>
      <c r="M881" s="332" t="n"/>
      <c r="N881" s="332" t="n"/>
      <c r="O881" s="244">
        <f>M881*N881</f>
        <v/>
      </c>
      <c r="P881" s="332" t="n"/>
      <c r="Q881" s="265" t="n"/>
      <c r="R881" s="332" t="n"/>
      <c r="S881" s="244">
        <f>Q881*R881</f>
        <v/>
      </c>
    </row>
    <row r="882" ht="22.2" customHeight="1" s="330">
      <c r="A882" s="4" t="n"/>
      <c r="B882" s="478" t="n"/>
      <c r="D882" s="331" t="n"/>
      <c r="E882" s="252" t="inlineStr">
        <is>
          <t>พิเศษ</t>
        </is>
      </c>
      <c r="F882" s="249" t="n"/>
      <c r="G882" s="74">
        <f>G8</f>
        <v/>
      </c>
      <c r="H882" s="325" t="inlineStr">
        <is>
          <t>20101-2404</t>
        </is>
      </c>
      <c r="I882" s="325" t="inlineStr">
        <is>
          <t>ปวช.3/3 ชย. (ปกติ)</t>
        </is>
      </c>
      <c r="J882" s="252" t="inlineStr">
        <is>
          <t>13.10-16.10</t>
        </is>
      </c>
      <c r="K882" s="331" t="n"/>
      <c r="L882" s="252" t="n"/>
      <c r="M882" s="252" t="n"/>
      <c r="N882" s="252" t="n"/>
      <c r="O882" s="244">
        <f>M882*N882</f>
        <v/>
      </c>
      <c r="P882" s="252" t="n"/>
      <c r="Q882" s="252" t="n"/>
      <c r="R882" s="252" t="n"/>
      <c r="S882" s="244">
        <f>Q882*R882</f>
        <v/>
      </c>
    </row>
    <row r="883" ht="22.2" customHeight="1" s="330">
      <c r="A883" s="4" t="n"/>
      <c r="B883" s="5" t="n"/>
      <c r="D883" s="3" t="n"/>
      <c r="E883" s="3" t="n"/>
      <c r="F883" s="249" t="n"/>
      <c r="G883" s="248" t="n"/>
      <c r="H883" s="325" t="n"/>
      <c r="I883" s="325" t="n"/>
      <c r="J883" s="252" t="n"/>
      <c r="K883" s="331" t="n"/>
      <c r="L883" s="252" t="n"/>
      <c r="M883" s="252" t="n"/>
      <c r="N883" s="252" t="n"/>
      <c r="O883" s="244">
        <f>M883*N883</f>
        <v/>
      </c>
      <c r="P883" s="252" t="n"/>
      <c r="Q883" s="252" t="n"/>
      <c r="R883" s="252" t="n"/>
      <c r="S883" s="244">
        <f>Q883*R883</f>
        <v/>
      </c>
    </row>
    <row r="884" ht="22.2" customHeight="1" s="330">
      <c r="A884" s="4" t="n"/>
      <c r="B884" s="5" t="n"/>
      <c r="E884" s="4" t="n"/>
      <c r="F884" s="249" t="n"/>
      <c r="G884" s="248" t="n"/>
      <c r="H884" s="252" t="n"/>
      <c r="I884" s="252" t="n"/>
      <c r="J884" s="252" t="n"/>
      <c r="K884" s="331" t="n"/>
      <c r="L884" s="252" t="n"/>
      <c r="M884" s="252" t="n"/>
      <c r="N884" s="252" t="n"/>
      <c r="O884" s="244">
        <f>M884*N884</f>
        <v/>
      </c>
      <c r="P884" s="252" t="n"/>
      <c r="Q884" s="252" t="n"/>
      <c r="R884" s="252" t="n"/>
      <c r="S884" s="244">
        <f>Q884*R884</f>
        <v/>
      </c>
    </row>
    <row r="885" ht="22.2" customHeight="1" s="330">
      <c r="A885" s="4" t="n"/>
      <c r="E885" s="4" t="n"/>
      <c r="G885" s="311" t="n"/>
      <c r="H885" s="276" t="n"/>
      <c r="I885" s="276" t="n"/>
      <c r="J885" s="276" t="n"/>
      <c r="K885" s="476" t="n"/>
      <c r="L885" s="252" t="n"/>
      <c r="M885" s="252" t="n"/>
      <c r="N885" s="252" t="n"/>
      <c r="O885" s="244">
        <f>M885*N885</f>
        <v/>
      </c>
      <c r="P885" s="252" t="n"/>
      <c r="Q885" s="252" t="n"/>
      <c r="R885" s="252" t="n"/>
      <c r="S885" s="244">
        <f>Q885*R885</f>
        <v/>
      </c>
    </row>
    <row r="886" ht="22.2" customHeight="1" s="330">
      <c r="A886" s="4" t="n"/>
      <c r="E886" s="4" t="n"/>
      <c r="G886" s="62" t="inlineStr">
        <is>
          <t>อังคาร</t>
        </is>
      </c>
      <c r="H886" s="325" t="inlineStr">
        <is>
          <t>20101-2404</t>
        </is>
      </c>
      <c r="I886" s="325" t="inlineStr">
        <is>
          <t>ปวช.3/4 ชย. (ปกติ)</t>
        </is>
      </c>
      <c r="J886" s="332" t="inlineStr">
        <is>
          <t>08.10-12.10</t>
        </is>
      </c>
      <c r="K886" s="335" t="n"/>
      <c r="L886" s="265" t="n"/>
      <c r="M886" s="332" t="n"/>
      <c r="N886" s="332" t="n"/>
      <c r="O886" s="244">
        <f>M886*N886</f>
        <v/>
      </c>
      <c r="P886" s="332" t="n"/>
      <c r="Q886" s="265" t="n"/>
      <c r="R886" s="332" t="n"/>
      <c r="S886" s="244">
        <f>Q886*R886</f>
        <v/>
      </c>
    </row>
    <row r="887" ht="22.2" customHeight="1" s="330">
      <c r="A887" s="4" t="n"/>
      <c r="E887" s="4" t="n"/>
      <c r="G887" s="74">
        <f>G13</f>
        <v/>
      </c>
      <c r="H887" s="325" t="inlineStr">
        <is>
          <t>20101-2404</t>
        </is>
      </c>
      <c r="I887" s="325" t="inlineStr">
        <is>
          <t>ปวช.3/4 ชย. (ปกติ)</t>
        </is>
      </c>
      <c r="J887" s="252" t="inlineStr">
        <is>
          <t>13.10-16.10</t>
        </is>
      </c>
      <c r="K887" s="331" t="n"/>
      <c r="L887" s="252" t="n"/>
      <c r="M887" s="252" t="n"/>
      <c r="N887" s="252" t="n"/>
      <c r="O887" s="244">
        <f>M887*N887</f>
        <v/>
      </c>
      <c r="P887" s="252" t="n"/>
      <c r="Q887" s="252" t="n"/>
      <c r="R887" s="252" t="n"/>
      <c r="S887" s="244">
        <f>Q887*R887</f>
        <v/>
      </c>
    </row>
    <row r="888" ht="22.2" customHeight="1" s="330">
      <c r="A888" s="4" t="n"/>
      <c r="B888" s="5" t="n"/>
      <c r="D888" s="3" t="n"/>
      <c r="E888" s="3" t="n"/>
      <c r="G888" s="252" t="n"/>
      <c r="H888" s="325" t="n"/>
      <c r="I888" s="325" t="n"/>
      <c r="J888" s="252" t="n"/>
      <c r="K888" s="331" t="n"/>
      <c r="L888" s="252" t="n"/>
      <c r="M888" s="252" t="n"/>
      <c r="N888" s="252" t="n"/>
      <c r="O888" s="244">
        <f>M888*N888</f>
        <v/>
      </c>
      <c r="P888" s="252" t="n"/>
      <c r="Q888" s="252" t="n"/>
      <c r="R888" s="252" t="n"/>
      <c r="S888" s="244">
        <f>Q888*R888</f>
        <v/>
      </c>
    </row>
    <row r="889" ht="22.2" customHeight="1" s="330">
      <c r="A889" s="4" t="n"/>
      <c r="E889" s="4" t="n"/>
      <c r="G889" s="62" t="n"/>
      <c r="H889" s="249" t="n"/>
      <c r="I889" s="252" t="n"/>
      <c r="J889" s="252" t="n"/>
      <c r="K889" s="331" t="n"/>
      <c r="L889" s="252" t="n"/>
      <c r="M889" s="252" t="n"/>
      <c r="N889" s="252" t="n"/>
      <c r="O889" s="244">
        <f>M889*N889</f>
        <v/>
      </c>
      <c r="P889" s="252" t="n"/>
      <c r="Q889" s="252" t="n"/>
      <c r="R889" s="252" t="n"/>
      <c r="S889" s="244">
        <f>Q889*R889</f>
        <v/>
      </c>
    </row>
    <row r="890" ht="22.2" customHeight="1" s="330">
      <c r="A890" s="4" t="n"/>
      <c r="D890" s="8" t="inlineStr">
        <is>
          <t> </t>
        </is>
      </c>
      <c r="E890" s="4" t="n"/>
      <c r="G890" s="63" t="n"/>
      <c r="H890" s="276" t="n"/>
      <c r="I890" s="276" t="n"/>
      <c r="J890" s="276" t="n"/>
      <c r="K890" s="476" t="n"/>
      <c r="L890" s="276" t="n"/>
      <c r="M890" s="252" t="n"/>
      <c r="N890" s="252" t="n"/>
      <c r="O890" s="244">
        <f>M890*N890</f>
        <v/>
      </c>
      <c r="P890" s="252" t="n"/>
      <c r="Q890" s="252" t="n"/>
      <c r="R890" s="252" t="n"/>
      <c r="S890" s="244">
        <f>Q890*R890</f>
        <v/>
      </c>
    </row>
    <row r="891" ht="22.2" customHeight="1" s="330">
      <c r="A891" s="4" t="n"/>
      <c r="E891" s="4" t="n"/>
      <c r="G891" s="308" t="inlineStr">
        <is>
          <t>พุธ</t>
        </is>
      </c>
      <c r="H891" s="325" t="inlineStr">
        <is>
          <t>20101-8001</t>
        </is>
      </c>
      <c r="I891" s="325" t="inlineStr">
        <is>
          <t>ปวช.3/7 ชย. (ปกติ)</t>
        </is>
      </c>
      <c r="J891" s="332" t="inlineStr">
        <is>
          <t>08.10-12.10</t>
        </is>
      </c>
      <c r="K891" s="335" t="n"/>
      <c r="L891" s="252" t="n"/>
      <c r="M891" s="332" t="n"/>
      <c r="N891" s="332" t="n"/>
      <c r="O891" s="244">
        <f>M891*N891</f>
        <v/>
      </c>
      <c r="P891" s="209" t="n"/>
      <c r="Q891" s="209" t="n"/>
      <c r="R891" s="209" t="n"/>
      <c r="S891" s="244">
        <f>Q891*R891</f>
        <v/>
      </c>
    </row>
    <row r="892" ht="22.2" customHeight="1" s="330">
      <c r="A892" s="4" t="n"/>
      <c r="B892" s="248" t="n"/>
      <c r="C892" s="249" t="n"/>
      <c r="D892" s="249" t="n"/>
      <c r="E892" s="252" t="n"/>
      <c r="G892" s="74">
        <f>G18</f>
        <v/>
      </c>
      <c r="H892" s="325" t="n"/>
      <c r="I892" s="325" t="n"/>
      <c r="J892" s="252" t="n"/>
      <c r="K892" s="331" t="n"/>
      <c r="L892" s="252" t="n"/>
      <c r="M892" s="252" t="n"/>
      <c r="N892" s="252" t="n"/>
      <c r="O892" s="244">
        <f>M892*N892</f>
        <v/>
      </c>
      <c r="P892" s="4" t="n"/>
      <c r="Q892" s="4" t="n"/>
      <c r="R892" s="4" t="n"/>
      <c r="S892" s="244">
        <f>Q892*R892</f>
        <v/>
      </c>
    </row>
    <row r="893" ht="22.2" customHeight="1" s="330">
      <c r="A893" s="4" t="n"/>
      <c r="B893" s="5" t="n"/>
      <c r="D893" s="3" t="n"/>
      <c r="E893" s="3" t="n"/>
      <c r="G893" s="252" t="n"/>
      <c r="H893" s="325" t="n"/>
      <c r="I893" s="325" t="n"/>
      <c r="J893" s="252" t="n"/>
      <c r="K893" s="331" t="n"/>
      <c r="L893" s="252" t="n"/>
      <c r="M893" s="252" t="n"/>
      <c r="N893" s="252" t="n"/>
      <c r="O893" s="244">
        <f>M893*N893</f>
        <v/>
      </c>
      <c r="P893" s="252" t="n"/>
      <c r="Q893" s="250" t="n"/>
      <c r="R893" s="252" t="n"/>
      <c r="S893" s="244">
        <f>Q893*R893</f>
        <v/>
      </c>
    </row>
    <row r="894" ht="22.2" customHeight="1" s="330">
      <c r="A894" s="4" t="n"/>
      <c r="E894" s="4" t="n"/>
      <c r="G894" s="248" t="n"/>
      <c r="H894" s="248" t="n"/>
      <c r="I894" s="252" t="n"/>
      <c r="J894" s="252" t="n"/>
      <c r="K894" s="331" t="n"/>
      <c r="L894" s="252" t="n"/>
      <c r="M894" s="252" t="n"/>
      <c r="N894" s="252" t="n"/>
      <c r="O894" s="244">
        <f>M894*N894</f>
        <v/>
      </c>
      <c r="P894" s="252" t="n"/>
      <c r="Q894" s="252" t="n"/>
      <c r="R894" s="252" t="n"/>
      <c r="S894" s="244">
        <f>Q894*R894</f>
        <v/>
      </c>
    </row>
    <row r="895" ht="22.2" customHeight="1" s="330">
      <c r="A895" s="4" t="n"/>
      <c r="E895" s="4" t="n"/>
      <c r="G895" s="277" t="n"/>
      <c r="H895" s="277" t="n"/>
      <c r="I895" s="276" t="n"/>
      <c r="J895" s="276" t="n"/>
      <c r="K895" s="476" t="n"/>
      <c r="L895" s="276" t="n"/>
      <c r="M895" s="276" t="n"/>
      <c r="N895" s="276" t="n"/>
      <c r="O895" s="244">
        <f>M895*N895</f>
        <v/>
      </c>
      <c r="P895" s="276" t="n"/>
      <c r="Q895" s="276" t="n"/>
      <c r="R895" s="276" t="n"/>
      <c r="S895" s="244">
        <f>Q895*R895</f>
        <v/>
      </c>
    </row>
    <row r="896" ht="22.2" customHeight="1" s="330">
      <c r="A896" s="4" t="n"/>
      <c r="E896" s="4" t="n"/>
      <c r="G896" s="62" t="inlineStr">
        <is>
          <t>พฤหัส</t>
        </is>
      </c>
      <c r="H896" s="325" t="inlineStr">
        <is>
          <t>20101-2404</t>
        </is>
      </c>
      <c r="I896" s="325" t="inlineStr">
        <is>
          <t>ปวช.3/2 ชย. (ปกติ)</t>
        </is>
      </c>
      <c r="J896" s="332" t="inlineStr">
        <is>
          <t>08.10-12.10</t>
        </is>
      </c>
      <c r="K896" s="335" t="n"/>
      <c r="L896" s="265" t="n"/>
      <c r="M896" s="332" t="n"/>
      <c r="N896" s="325" t="n"/>
      <c r="O896" s="244">
        <f>M896*N896</f>
        <v/>
      </c>
      <c r="P896" s="252" t="n"/>
      <c r="Q896" s="275" t="n"/>
      <c r="R896" s="275" t="n"/>
      <c r="S896" s="244">
        <f>Q896*R896</f>
        <v/>
      </c>
    </row>
    <row r="897" ht="22.2" customHeight="1" s="330">
      <c r="A897" s="4" t="n"/>
      <c r="E897" s="4" t="n"/>
      <c r="G897" s="74">
        <f>G23</f>
        <v/>
      </c>
      <c r="H897" s="325" t="inlineStr">
        <is>
          <t>20101-2404</t>
        </is>
      </c>
      <c r="I897" s="325" t="inlineStr">
        <is>
          <t>ปวช.3/2 ชย. (ปกติ)</t>
        </is>
      </c>
      <c r="J897" s="252" t="inlineStr">
        <is>
          <t>15.10-18.10</t>
        </is>
      </c>
      <c r="K897" s="331" t="n"/>
      <c r="L897" s="252" t="n"/>
      <c r="M897" s="252" t="n"/>
      <c r="N897" s="252" t="n"/>
      <c r="O897" s="244">
        <f>M897*N897</f>
        <v/>
      </c>
      <c r="P897" s="252" t="n"/>
      <c r="Q897" s="252" t="n"/>
      <c r="R897" s="252" t="n"/>
      <c r="S897" s="244">
        <f>Q897*R897</f>
        <v/>
      </c>
    </row>
    <row r="898" ht="22.2" customHeight="1" s="330">
      <c r="A898" s="4" t="n"/>
      <c r="B898" s="5" t="n"/>
      <c r="E898" s="4" t="n"/>
      <c r="G898" s="252" t="n"/>
      <c r="H898" s="325" t="n"/>
      <c r="I898" s="325" t="n"/>
      <c r="J898" s="252" t="n"/>
      <c r="K898" s="331" t="n"/>
      <c r="L898" s="252" t="n"/>
      <c r="M898" s="252" t="n"/>
      <c r="N898" s="252" t="n"/>
      <c r="O898" s="244">
        <f>M898*N898</f>
        <v/>
      </c>
      <c r="P898" s="325" t="n"/>
      <c r="Q898" s="325" t="n"/>
      <c r="R898" s="325" t="n"/>
      <c r="S898" s="244">
        <f>Q898*R898</f>
        <v/>
      </c>
    </row>
    <row r="899" ht="22.2" customHeight="1" s="330">
      <c r="A899" s="4" t="n"/>
      <c r="E899" s="4" t="n"/>
      <c r="G899" s="252" t="n"/>
      <c r="H899" s="252" t="n"/>
      <c r="I899" s="252" t="n"/>
      <c r="J899" s="252" t="n"/>
      <c r="K899" s="331" t="n"/>
      <c r="L899" s="252" t="n"/>
      <c r="M899" s="252" t="n"/>
      <c r="N899" s="252" t="n"/>
      <c r="O899" s="244">
        <f>M899*N899</f>
        <v/>
      </c>
      <c r="P899" s="252" t="n"/>
      <c r="Q899" s="252" t="n"/>
      <c r="R899" s="252" t="n"/>
      <c r="S899" s="244">
        <f>Q899*R899</f>
        <v/>
      </c>
    </row>
    <row r="900" ht="22.2" customHeight="1" s="330">
      <c r="A900" s="4" t="n"/>
      <c r="E900" s="4" t="n"/>
      <c r="G900" s="276" t="n"/>
      <c r="H900" s="301" t="n"/>
      <c r="I900" s="276" t="n"/>
      <c r="J900" s="276" t="n"/>
      <c r="K900" s="476" t="n"/>
      <c r="L900" s="276" t="n"/>
      <c r="M900" s="276" t="n"/>
      <c r="N900" s="276" t="n"/>
      <c r="O900" s="244">
        <f>M900*N900</f>
        <v/>
      </c>
      <c r="P900" s="276" t="n"/>
      <c r="Q900" s="276" t="n"/>
      <c r="R900" s="276" t="n"/>
      <c r="S900" s="244">
        <f>Q900*R900</f>
        <v/>
      </c>
    </row>
    <row r="901" ht="22.2" customHeight="1" s="330">
      <c r="A901" s="4" t="n"/>
      <c r="E901" s="4" t="n"/>
      <c r="G901" s="62" t="inlineStr">
        <is>
          <t>ศุกร์</t>
        </is>
      </c>
      <c r="H901" s="325" t="inlineStr">
        <is>
          <t>20101-2404</t>
        </is>
      </c>
      <c r="I901" s="325" t="inlineStr">
        <is>
          <t>ปวช.3/1 ชย. (ปกติ)</t>
        </is>
      </c>
      <c r="J901" s="332" t="inlineStr">
        <is>
          <t>08.10-12.10</t>
        </is>
      </c>
      <c r="K901" s="335" t="n"/>
      <c r="L901" s="265" t="n"/>
      <c r="M901" s="252" t="n"/>
      <c r="N901" s="252" t="n"/>
      <c r="O901" s="244">
        <f>M901*N901</f>
        <v/>
      </c>
      <c r="P901" s="332" t="n"/>
      <c r="Q901" s="265" t="n"/>
      <c r="R901" s="332" t="n"/>
      <c r="S901" s="244">
        <f>Q901*R901</f>
        <v/>
      </c>
    </row>
    <row r="902" ht="22.2" customHeight="1" s="330">
      <c r="A902" s="4" t="n"/>
      <c r="E902" s="4" t="n"/>
      <c r="G902" s="204">
        <f>G28</f>
        <v/>
      </c>
      <c r="H902" s="325" t="inlineStr">
        <is>
          <t>20101-2404</t>
        </is>
      </c>
      <c r="I902" s="325" t="inlineStr">
        <is>
          <t>ปวช.3/1 ชย. (ปกติ)</t>
        </is>
      </c>
      <c r="J902" s="252" t="inlineStr">
        <is>
          <t>13.10-16.10</t>
        </is>
      </c>
      <c r="K902" s="331" t="n"/>
      <c r="L902" s="252" t="n"/>
      <c r="M902" s="252" t="n"/>
      <c r="N902" s="252" t="n"/>
      <c r="O902" s="244">
        <f>M902*N902</f>
        <v/>
      </c>
      <c r="P902" s="252" t="n"/>
      <c r="Q902" s="252" t="n"/>
      <c r="R902" s="252" t="n"/>
      <c r="S902" s="244">
        <f>Q902*R902</f>
        <v/>
      </c>
    </row>
    <row r="903" ht="22.2" customHeight="1" s="330">
      <c r="A903" s="4" t="n"/>
      <c r="E903" s="4" t="n"/>
      <c r="G903" s="252" t="n"/>
      <c r="H903" s="56" t="n"/>
      <c r="I903" s="56" t="n"/>
      <c r="J903" s="331" t="n"/>
      <c r="K903" s="331" t="n"/>
      <c r="L903" s="252" t="n"/>
      <c r="M903" s="252" t="n"/>
      <c r="N903" s="252" t="n"/>
      <c r="O903" s="244">
        <f>M903*N903</f>
        <v/>
      </c>
      <c r="P903" s="252" t="n"/>
      <c r="Q903" s="252" t="n"/>
      <c r="R903" s="252" t="n"/>
      <c r="S903" s="244">
        <f>Q903*R903</f>
        <v/>
      </c>
    </row>
    <row r="904" ht="22.2" customHeight="1" s="330">
      <c r="A904" s="4" t="n"/>
      <c r="E904" s="4" t="n"/>
      <c r="G904" s="252" t="n"/>
      <c r="H904" s="56" t="n"/>
      <c r="I904" s="56" t="n"/>
      <c r="J904" s="331" t="n"/>
      <c r="K904" s="331" t="n"/>
      <c r="L904" s="252" t="n"/>
      <c r="M904" s="252" t="n"/>
      <c r="N904" s="252" t="n"/>
      <c r="O904" s="244">
        <f>M904*N904</f>
        <v/>
      </c>
      <c r="P904" s="252" t="n"/>
      <c r="Q904" s="252" t="n"/>
      <c r="R904" s="252" t="n"/>
      <c r="S904" s="244">
        <f>Q904*R904</f>
        <v/>
      </c>
    </row>
    <row r="905" ht="22.2" customHeight="1" s="330">
      <c r="A905" s="4" t="n"/>
      <c r="E905" s="4" t="n"/>
      <c r="F905" s="4" t="n"/>
      <c r="G905" s="278" t="n"/>
      <c r="H905" s="301" t="n"/>
      <c r="I905" s="276" t="n"/>
      <c r="J905" s="276" t="n"/>
      <c r="K905" s="476" t="n"/>
      <c r="L905" s="276" t="n"/>
      <c r="M905" s="276" t="n"/>
      <c r="N905" s="276" t="n"/>
      <c r="O905" s="244">
        <f>M905*N905</f>
        <v/>
      </c>
      <c r="P905" s="276" t="n"/>
      <c r="Q905" s="276" t="n"/>
      <c r="R905" s="276" t="n"/>
      <c r="S905" s="244">
        <f>Q905*R905</f>
        <v/>
      </c>
    </row>
    <row r="906" ht="22.2" customHeight="1" s="330">
      <c r="A906" s="4" t="n"/>
      <c r="E906" s="4" t="n"/>
      <c r="F906" s="4" t="n"/>
      <c r="G906" s="17" t="inlineStr">
        <is>
          <t>รวมขั่วโมงที่สอนแยก ภาระงาน/ เกินภาระงาน</t>
        </is>
      </c>
      <c r="H906" s="467" t="n"/>
      <c r="I906" s="467" t="n"/>
      <c r="J906" s="467" t="n"/>
      <c r="K906" s="362" t="n"/>
      <c r="L906" s="17">
        <f>SUM(L881:L905)</f>
        <v/>
      </c>
      <c r="M906" s="17">
        <f>SUM(M881:M905)</f>
        <v/>
      </c>
      <c r="N906" s="17" t="n"/>
      <c r="O906" s="17" t="n"/>
      <c r="P906" s="17">
        <f>SUM(P881:P905)</f>
        <v/>
      </c>
      <c r="Q906" s="17">
        <f>SUM(Q881:Q905)</f>
        <v/>
      </c>
      <c r="R906" s="279" t="n"/>
      <c r="S906" s="17" t="n"/>
      <c r="T906" s="25" t="n"/>
      <c r="U906" s="26" t="inlineStr">
        <is>
          <t xml:space="preserve">     PLC</t>
        </is>
      </c>
      <c r="V906" s="64" t="n"/>
      <c r="W906" s="27" t="n"/>
      <c r="X906" s="27" t="n"/>
    </row>
    <row r="907" ht="22.2" customHeight="1" s="330">
      <c r="A907" s="4" t="n"/>
      <c r="E907" s="4" t="n"/>
      <c r="F907" s="4" t="n"/>
      <c r="G907" s="17" t="inlineStr">
        <is>
          <t>รวมจำนวนชั่วโมงสอนคาบต่อสับดาห์</t>
        </is>
      </c>
      <c r="H907" s="467" t="n"/>
      <c r="I907" s="467" t="n"/>
      <c r="J907" s="467" t="n"/>
      <c r="K907" s="362" t="n"/>
      <c r="L907" s="17">
        <f>L906+M906</f>
        <v/>
      </c>
      <c r="M907" s="362" t="n"/>
      <c r="N907" s="17" t="n"/>
      <c r="O907" s="298" t="n"/>
      <c r="P907" s="17">
        <f>P906+Q906</f>
        <v/>
      </c>
      <c r="Q907" s="362" t="n"/>
      <c r="R907" s="278" t="n"/>
      <c r="S907" s="276" t="n"/>
      <c r="T907" s="27" t="inlineStr">
        <is>
          <t> </t>
        </is>
      </c>
      <c r="U907" s="26" t="inlineStr">
        <is>
          <t>17.10-19.10</t>
        </is>
      </c>
      <c r="V907" s="64" t="n"/>
      <c r="W907" s="27" t="n"/>
      <c r="X907" s="27" t="n"/>
    </row>
    <row r="908" ht="22.2" customHeight="1" s="330">
      <c r="A908" s="4" t="n"/>
      <c r="E908" s="4" t="n"/>
      <c r="F908" s="4" t="n"/>
      <c r="G908" s="17" t="inlineStr">
        <is>
          <t>จำนวนชั่วโมงสอนตามภาระงานสอน</t>
        </is>
      </c>
      <c r="H908" s="467" t="n"/>
      <c r="I908" s="467" t="n"/>
      <c r="J908" s="467" t="n"/>
      <c r="K908" s="362" t="n"/>
      <c r="L908" s="17" t="n">
        <v>18</v>
      </c>
      <c r="M908" s="362" t="n"/>
      <c r="N908" s="298" t="n"/>
      <c r="O908" s="17" t="n"/>
      <c r="P908" s="153" t="inlineStr">
        <is>
          <t>0</t>
        </is>
      </c>
      <c r="Q908" s="362" t="n"/>
      <c r="R908" s="249" t="n"/>
      <c r="S908" s="252" t="n"/>
    </row>
    <row r="909" ht="22.2" customHeight="1" s="330" thickBot="1">
      <c r="A909" s="4" t="n"/>
      <c r="E909" s="4" t="n"/>
      <c r="F909" s="15" t="n"/>
      <c r="G909" s="17" t="inlineStr">
        <is>
          <t>จำนวนชั่วโมงบิกเกินภาระงานสอน/ค่าสอน</t>
        </is>
      </c>
      <c r="H909" s="467" t="n"/>
      <c r="I909" s="467" t="n"/>
      <c r="J909" s="467" t="n"/>
      <c r="K909" s="362" t="n"/>
      <c r="L909" s="18" t="n">
        <v>0</v>
      </c>
      <c r="M909" s="18">
        <f>SUM(M881:M905)</f>
        <v/>
      </c>
      <c r="N909" s="18" t="n"/>
      <c r="O909" s="18">
        <f>SUM(O881:O905)</f>
        <v/>
      </c>
      <c r="P909" s="18" t="n">
        <v>0</v>
      </c>
      <c r="Q909" s="18">
        <f>SUM(Q881:Q905)</f>
        <v/>
      </c>
      <c r="R909" s="19" t="n"/>
      <c r="S909" s="18">
        <f>SUM(S881:S905)</f>
        <v/>
      </c>
    </row>
    <row r="910" ht="22.2" customHeight="1" s="330" thickTop="1">
      <c r="A910" s="299" t="inlineStr">
        <is>
          <t>รวมจำนวนหน่วยชั่วโมงที่ขอเบิกค่าสอน ….</t>
        </is>
      </c>
      <c r="B910" s="467" t="n"/>
      <c r="C910" s="467" t="n"/>
      <c r="D910" s="467" t="n"/>
      <c r="E910" s="467" t="n"/>
      <c r="F910" s="467" t="n"/>
      <c r="G910" s="467" t="n"/>
      <c r="H910" s="298">
        <f>M909+Q909</f>
        <v/>
      </c>
      <c r="I910" s="298" t="inlineStr">
        <is>
          <t>….ชั่วโมง</t>
        </is>
      </c>
      <c r="J910" s="298" t="n"/>
      <c r="K910" s="301" t="inlineStr">
        <is>
          <t>ยอดเงินรวม</t>
        </is>
      </c>
      <c r="L910" s="471" t="n"/>
      <c r="M910" s="471" t="n"/>
      <c r="N910" s="301" t="n"/>
      <c r="O910" s="301" t="n"/>
      <c r="P910" s="302">
        <f>S909+O909</f>
        <v/>
      </c>
      <c r="Q910" s="482" t="n"/>
      <c r="R910" s="21" t="n"/>
      <c r="S910" s="20" t="inlineStr">
        <is>
          <t>..บาท</t>
        </is>
      </c>
    </row>
    <row r="911" ht="22.2" customHeight="1" s="330">
      <c r="A911" s="207" t="inlineStr">
        <is>
          <t>ผู้ขอเบิก</t>
        </is>
      </c>
      <c r="B911" s="334" t="n"/>
      <c r="C911" s="334" t="n"/>
      <c r="D911" s="334" t="n"/>
      <c r="E911" s="334" t="n"/>
      <c r="F911" s="334" t="n"/>
      <c r="G911" s="335" t="n"/>
      <c r="H911" s="207" t="inlineStr">
        <is>
          <t>ผู้รับรอง</t>
        </is>
      </c>
      <c r="I911" s="334" t="n"/>
      <c r="J911" s="334" t="n"/>
      <c r="K911" s="334" t="n"/>
      <c r="L911" s="335" t="n"/>
      <c r="M911" s="207" t="inlineStr">
        <is>
          <t>ผู้ตรวจ</t>
        </is>
      </c>
      <c r="N911" s="334" t="n"/>
      <c r="O911" s="334" t="n"/>
      <c r="P911" s="334" t="n"/>
      <c r="Q911" s="334" t="n"/>
      <c r="R911" s="334" t="n"/>
      <c r="S911" s="335" t="n"/>
    </row>
    <row r="912" ht="22.2" customHeight="1" s="330">
      <c r="A912" s="252" t="inlineStr">
        <is>
          <t>ลงชื่อ……………………………………………</t>
        </is>
      </c>
      <c r="G912" s="331" t="n"/>
      <c r="H912" s="252" t="inlineStr">
        <is>
          <t>ลงชื่อ……………………………………………</t>
        </is>
      </c>
      <c r="L912" s="331" t="n"/>
      <c r="M912" s="252" t="inlineStr">
        <is>
          <t>ลงชื่อ……………………………………………</t>
        </is>
      </c>
      <c r="S912" s="331" t="n"/>
    </row>
    <row r="913" ht="22.2" customHeight="1" s="330">
      <c r="A913" s="12" t="inlineStr">
        <is>
          <t>(</t>
        </is>
      </c>
      <c r="B913" s="309">
        <f>B881</f>
        <v/>
      </c>
      <c r="G913" s="310" t="inlineStr">
        <is>
          <t>)</t>
        </is>
      </c>
      <c r="H913" s="309" t="inlineStr">
        <is>
          <t>(</t>
        </is>
      </c>
      <c r="I913" s="314">
        <f>I867</f>
        <v/>
      </c>
      <c r="L913" s="13" t="inlineStr">
        <is>
          <t>)</t>
        </is>
      </c>
      <c r="M913" s="61" t="inlineStr">
        <is>
          <t>(</t>
        </is>
      </c>
      <c r="N913" s="61" t="n"/>
      <c r="O913" s="309" t="inlineStr">
        <is>
          <t>นายพิสุทธิศักดิ์  กล่อมนาค</t>
        </is>
      </c>
      <c r="R913" s="29" t="n"/>
      <c r="S913" s="310" t="inlineStr">
        <is>
          <t>)</t>
        </is>
      </c>
    </row>
    <row r="914" ht="22.2" customHeight="1" s="330">
      <c r="A914" s="483" t="inlineStr">
        <is>
          <t xml:space="preserve">                 ตำแหน่ง  ครูพิเศษ</t>
        </is>
      </c>
      <c r="G914" s="331" t="n"/>
      <c r="H914" s="62" t="inlineStr">
        <is>
          <t>ตำแหน่ง หัวหน้าแผนก</t>
        </is>
      </c>
      <c r="L914" s="331" t="n"/>
      <c r="M914" s="62" t="inlineStr">
        <is>
          <t>ตำแหน่ง   ผู้ตรวจสอบ</t>
        </is>
      </c>
      <c r="S914" s="331" t="n"/>
    </row>
    <row r="915" ht="22.2" customHeight="1" s="330">
      <c r="A915" s="63">
        <f>A41</f>
        <v/>
      </c>
      <c r="B915" s="471" t="n"/>
      <c r="C915" s="471" t="n"/>
      <c r="D915" s="471" t="n"/>
      <c r="E915" s="471" t="n"/>
      <c r="F915" s="471" t="n"/>
      <c r="G915" s="476" t="n"/>
      <c r="H915" s="62">
        <f>A41</f>
        <v/>
      </c>
      <c r="L915" s="331" t="n"/>
      <c r="M915" s="63">
        <f>A41</f>
        <v/>
      </c>
      <c r="N915" s="471" t="n"/>
      <c r="O915" s="471" t="n"/>
      <c r="P915" s="471" t="n"/>
      <c r="Q915" s="471" t="n"/>
      <c r="R915" s="471" t="n"/>
      <c r="S915" s="476" t="n"/>
    </row>
    <row r="916" ht="22.2" customHeight="1" s="330">
      <c r="A916" s="207" t="inlineStr">
        <is>
          <t>ผู้ตรวจ</t>
        </is>
      </c>
      <c r="B916" s="334" t="n"/>
      <c r="C916" s="334" t="n"/>
      <c r="D916" s="334" t="n"/>
      <c r="E916" s="334" t="n"/>
      <c r="F916" s="334" t="n"/>
      <c r="G916" s="334" t="n"/>
      <c r="H916" s="334" t="n"/>
      <c r="I916" s="335" t="n"/>
      <c r="J916" s="207" t="inlineStr">
        <is>
          <t>ผู้เห็นชอบ</t>
        </is>
      </c>
      <c r="K916" s="334" t="n"/>
      <c r="L916" s="334" t="n"/>
      <c r="M916" s="334" t="n"/>
      <c r="N916" s="334" t="n"/>
      <c r="O916" s="334" t="n"/>
      <c r="P916" s="334" t="n"/>
      <c r="Q916" s="334" t="n"/>
      <c r="R916" s="334" t="n"/>
      <c r="S916" s="335" t="n"/>
    </row>
    <row r="917" ht="22.2" customHeight="1" s="330">
      <c r="A917" s="252" t="inlineStr">
        <is>
          <t>ลงชื่อ……………………………………………</t>
        </is>
      </c>
      <c r="I917" s="331" t="n"/>
      <c r="J917" s="252" t="inlineStr">
        <is>
          <t>ลงชื่อ……………………………………………</t>
        </is>
      </c>
      <c r="S917" s="331" t="n"/>
    </row>
    <row r="918" ht="22.2" customHeight="1" s="330">
      <c r="A918" s="12" t="n"/>
      <c r="B918" s="309" t="inlineStr">
        <is>
          <t xml:space="preserve">          (นางศิวรักษ์   บุญประเสริฐ)</t>
        </is>
      </c>
      <c r="I918" s="310" t="n"/>
      <c r="J918" s="29" t="n"/>
      <c r="K918" s="29" t="n"/>
      <c r="L918" s="309" t="inlineStr">
        <is>
          <t>(นายปรีชา  โพธิ์เกิด)</t>
        </is>
      </c>
      <c r="R918" s="29" t="n"/>
      <c r="S918" s="13" t="n"/>
    </row>
    <row r="919" ht="22.2" customHeight="1" s="330">
      <c r="A919" s="62" t="inlineStr">
        <is>
          <t>ตำแหน่งครู  หัวหน้างานพัฒนาหลักสูตร ฯ</t>
        </is>
      </c>
      <c r="I919" s="331" t="n"/>
      <c r="J919" s="62" t="inlineStr">
        <is>
          <t>ตำแหน่ง  รองผู้อำนวยการฝ่ายวิชาการ</t>
        </is>
      </c>
      <c r="S919" s="331" t="n"/>
    </row>
    <row r="920" ht="22.2" customHeight="1" s="330">
      <c r="A920" s="63">
        <f>A41</f>
        <v/>
      </c>
      <c r="B920" s="471" t="n"/>
      <c r="C920" s="471" t="n"/>
      <c r="D920" s="471" t="n"/>
      <c r="E920" s="471" t="n"/>
      <c r="F920" s="471" t="n"/>
      <c r="G920" s="471" t="n"/>
      <c r="H920" s="471" t="n"/>
      <c r="I920" s="476" t="n"/>
      <c r="J920" s="63">
        <f>A41</f>
        <v/>
      </c>
      <c r="K920" s="471" t="n"/>
      <c r="L920" s="471" t="n"/>
      <c r="M920" s="471" t="n"/>
      <c r="N920" s="471" t="n"/>
      <c r="O920" s="471" t="n"/>
      <c r="P920" s="471" t="n"/>
      <c r="Q920" s="471" t="n"/>
      <c r="R920" s="471" t="n"/>
      <c r="S920" s="476" t="n"/>
    </row>
    <row r="921" ht="22.2" customHeight="1" s="330">
      <c r="A92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22" ht="22.2" customHeight="1" s="330">
      <c r="A922" s="254">
        <f>A2</f>
        <v/>
      </c>
    </row>
    <row r="923" ht="22.2" customHeight="1" s="330">
      <c r="A923" s="253" t="inlineStr">
        <is>
          <t xml:space="preserve">    ระหว่างวันที่</t>
        </is>
      </c>
      <c r="D923" s="254">
        <f>D3</f>
        <v/>
      </c>
      <c r="E923" s="254" t="inlineStr">
        <is>
          <t xml:space="preserve">   เดือน  </t>
        </is>
      </c>
      <c r="F923" s="254">
        <f>F3</f>
        <v/>
      </c>
      <c r="H923" s="254">
        <f>H3</f>
        <v/>
      </c>
      <c r="I923" s="254" t="inlineStr">
        <is>
          <t xml:space="preserve">     ถึง วันที่</t>
        </is>
      </c>
      <c r="J923" s="254">
        <f>J3</f>
        <v/>
      </c>
      <c r="K923" s="254" t="inlineStr">
        <is>
          <t xml:space="preserve">   เดือน </t>
        </is>
      </c>
      <c r="L923" s="254">
        <f>L3</f>
        <v/>
      </c>
      <c r="N923" s="254">
        <f>N3</f>
        <v/>
      </c>
      <c r="P923" s="254" t="n"/>
      <c r="R923" s="254" t="n"/>
    </row>
    <row r="924" ht="22.2" customHeight="1" s="330">
      <c r="G924" s="58" t="inlineStr">
        <is>
          <t>ü</t>
        </is>
      </c>
      <c r="H924" s="8" t="inlineStr">
        <is>
          <t>ครูพิเศษ</t>
        </is>
      </c>
      <c r="I924" s="249" t="inlineStr">
        <is>
          <t>หน้าที่พิเศษ</t>
        </is>
      </c>
      <c r="K924" s="290" t="n"/>
    </row>
    <row r="925" ht="22.2" customHeight="1" s="330">
      <c r="A925" s="28" t="inlineStr">
        <is>
          <t>ที่</t>
        </is>
      </c>
      <c r="B925" s="28" t="inlineStr">
        <is>
          <t>ชื่อ-สกุล</t>
        </is>
      </c>
      <c r="C925" s="334" t="n"/>
      <c r="D925" s="335" t="n"/>
      <c r="E925" s="16" t="inlineStr">
        <is>
          <t>ตำแหน่ง</t>
        </is>
      </c>
      <c r="F925" s="17" t="inlineStr">
        <is>
          <t>ระยะเวลาที่สอน</t>
        </is>
      </c>
      <c r="G925" s="362" t="n"/>
      <c r="H925" s="17" t="inlineStr">
        <is>
          <t>รหัสวิชา</t>
        </is>
      </c>
      <c r="I925" s="275" t="inlineStr">
        <is>
          <t>ชั้น,แผนก,ห้อง</t>
        </is>
      </c>
      <c r="J925" s="17" t="inlineStr">
        <is>
          <t>เวลาสอน</t>
        </is>
      </c>
      <c r="K925" s="335" t="n"/>
      <c r="L925" s="17" t="inlineStr">
        <is>
          <t>ปวช.(คาบ)</t>
        </is>
      </c>
      <c r="M925" s="362" t="n"/>
      <c r="N925" s="244" t="inlineStr">
        <is>
          <t>เงิน</t>
        </is>
      </c>
      <c r="O925" s="275" t="inlineStr">
        <is>
          <t>ยอดเงิน</t>
        </is>
      </c>
      <c r="P925" s="473" t="inlineStr">
        <is>
          <t>ปวส.(คาบ)</t>
        </is>
      </c>
      <c r="Q925" s="362" t="n"/>
      <c r="R925" s="244" t="inlineStr">
        <is>
          <t>เงิน</t>
        </is>
      </c>
      <c r="S925" s="275" t="inlineStr">
        <is>
          <t>ยอดเงิน</t>
        </is>
      </c>
    </row>
    <row r="926" ht="22.2" customHeight="1" s="330">
      <c r="A926" s="60" t="n"/>
      <c r="B926" s="9" t="n"/>
      <c r="C926" s="10" t="n"/>
      <c r="D926" s="14" t="n"/>
      <c r="E926" s="11" t="n"/>
      <c r="F926" s="276" t="inlineStr">
        <is>
          <t>ส.</t>
        </is>
      </c>
      <c r="G926" s="276" t="inlineStr">
        <is>
          <t>วดป.</t>
        </is>
      </c>
      <c r="H926" s="474" t="n"/>
      <c r="I926" s="276" t="n"/>
      <c r="J926" s="475" t="n"/>
      <c r="K926" s="476" t="n"/>
      <c r="L926" s="276" t="inlineStr">
        <is>
          <t>ใน</t>
        </is>
      </c>
      <c r="M926" s="276" t="inlineStr">
        <is>
          <t>นอก</t>
        </is>
      </c>
      <c r="N926" s="276" t="inlineStr">
        <is>
          <t>ต่อ ชม.</t>
        </is>
      </c>
      <c r="O926" s="276" t="inlineStr">
        <is>
          <t>(บาท)</t>
        </is>
      </c>
      <c r="P926" s="60" t="inlineStr">
        <is>
          <t>ใน</t>
        </is>
      </c>
      <c r="Q926" s="60" t="inlineStr">
        <is>
          <t>นอก</t>
        </is>
      </c>
      <c r="R926" s="276" t="inlineStr">
        <is>
          <t>ต่อ ชม.</t>
        </is>
      </c>
      <c r="S926" s="276" t="inlineStr">
        <is>
          <t>(บาท)</t>
        </is>
      </c>
    </row>
    <row r="927" ht="22.2" customHeight="1" s="330">
      <c r="A927" s="275" t="n">
        <v>21</v>
      </c>
      <c r="B927" s="477">
        <f>AB23</f>
        <v/>
      </c>
      <c r="C927" s="334" t="n"/>
      <c r="D927" s="335" t="n"/>
      <c r="E927" s="275" t="inlineStr">
        <is>
          <t>ครู</t>
        </is>
      </c>
      <c r="F927" s="6">
        <f>F7</f>
        <v/>
      </c>
      <c r="G927" s="303" t="inlineStr">
        <is>
          <t>จันทร์</t>
        </is>
      </c>
      <c r="H927" s="332" t="inlineStr">
        <is>
          <t>20101-2009</t>
        </is>
      </c>
      <c r="I927" s="325" t="inlineStr">
        <is>
          <t>ปวช.2/7 ชย. (ปกติ)</t>
        </is>
      </c>
      <c r="J927" s="332" t="inlineStr">
        <is>
          <t>08.10-12.10</t>
        </is>
      </c>
      <c r="K927" s="335" t="n"/>
      <c r="L927" s="265" t="n"/>
      <c r="M927" s="332" t="n"/>
      <c r="N927" s="332" t="n"/>
      <c r="O927" s="244">
        <f>M927*N927</f>
        <v/>
      </c>
      <c r="P927" s="332" t="n"/>
      <c r="Q927" s="265" t="n"/>
      <c r="R927" s="332" t="n"/>
      <c r="S927" s="244">
        <f>Q927*R927</f>
        <v/>
      </c>
    </row>
    <row r="928" ht="22.2" customHeight="1" s="330">
      <c r="A928" s="4" t="n"/>
      <c r="B928" s="478" t="n"/>
      <c r="D928" s="331" t="n"/>
      <c r="E928" s="252" t="inlineStr">
        <is>
          <t>พิเศษ</t>
        </is>
      </c>
      <c r="F928" s="249" t="n"/>
      <c r="G928" s="308">
        <f>G882</f>
        <v/>
      </c>
      <c r="H928" s="325" t="n"/>
      <c r="I928" s="325" t="n"/>
      <c r="J928" s="252" t="n"/>
      <c r="K928" s="331" t="n"/>
      <c r="L928" s="252" t="n"/>
      <c r="M928" s="252" t="n"/>
      <c r="N928" s="252" t="n"/>
      <c r="O928" s="244">
        <f>M928*N928</f>
        <v/>
      </c>
      <c r="P928" s="252" t="n"/>
      <c r="Q928" s="252" t="n"/>
      <c r="R928" s="252" t="n"/>
      <c r="S928" s="244">
        <f>Q928*R928</f>
        <v/>
      </c>
    </row>
    <row r="929" ht="22.2" customHeight="1" s="330">
      <c r="A929" s="4" t="n"/>
      <c r="B929" s="5" t="n"/>
      <c r="D929" s="3" t="n"/>
      <c r="E929" s="3" t="n"/>
      <c r="F929" s="249" t="n"/>
      <c r="G929" s="248" t="n"/>
      <c r="H929" s="252" t="n"/>
      <c r="I929" s="252" t="n"/>
      <c r="J929" s="252" t="n"/>
      <c r="K929" s="331" t="n"/>
      <c r="L929" s="252" t="n"/>
      <c r="M929" s="252" t="n"/>
      <c r="N929" s="252" t="n"/>
      <c r="O929" s="244">
        <f>M929*N929</f>
        <v/>
      </c>
      <c r="P929" s="252" t="n"/>
      <c r="Q929" s="252" t="n"/>
      <c r="R929" s="252" t="n"/>
      <c r="S929" s="244">
        <f>Q929*R929</f>
        <v/>
      </c>
    </row>
    <row r="930" ht="22.2" customHeight="1" s="330">
      <c r="A930" s="4" t="n"/>
      <c r="B930" s="5" t="n"/>
      <c r="E930" s="4" t="n"/>
      <c r="F930" s="249" t="n"/>
      <c r="G930" s="248" t="n"/>
      <c r="H930" s="252" t="n"/>
      <c r="I930" s="252" t="n"/>
      <c r="J930" s="252" t="n"/>
      <c r="K930" s="331" t="n"/>
      <c r="L930" s="252" t="n"/>
      <c r="M930" s="252" t="n"/>
      <c r="N930" s="252" t="n"/>
      <c r="O930" s="244">
        <f>M930*N930</f>
        <v/>
      </c>
      <c r="P930" s="252" t="n"/>
      <c r="Q930" s="252" t="n"/>
      <c r="R930" s="252" t="n"/>
      <c r="S930" s="244">
        <f>Q930*R930</f>
        <v/>
      </c>
    </row>
    <row r="931" ht="22.2" customHeight="1" s="330">
      <c r="A931" s="4" t="n"/>
      <c r="E931" s="4" t="n"/>
      <c r="G931" s="311" t="n"/>
      <c r="H931" s="276" t="n"/>
      <c r="I931" s="276" t="n"/>
      <c r="J931" s="276" t="n"/>
      <c r="K931" s="476" t="n"/>
      <c r="L931" s="252" t="n"/>
      <c r="M931" s="252" t="n"/>
      <c r="N931" s="252" t="n"/>
      <c r="O931" s="244">
        <f>M931*N931</f>
        <v/>
      </c>
      <c r="P931" s="252" t="n"/>
      <c r="Q931" s="252" t="n"/>
      <c r="R931" s="252" t="n"/>
      <c r="S931" s="244">
        <f>Q931*R931</f>
        <v/>
      </c>
    </row>
    <row r="932" ht="22.2" customHeight="1" s="330">
      <c r="A932" s="4" t="n"/>
      <c r="E932" s="4" t="n"/>
      <c r="G932" s="62" t="inlineStr">
        <is>
          <t>อังคาร</t>
        </is>
      </c>
      <c r="H932" s="332" t="inlineStr">
        <is>
          <t>20101-2009</t>
        </is>
      </c>
      <c r="I932" s="325" t="inlineStr">
        <is>
          <t>ปวช.2/8 ชย. (ปกติ)</t>
        </is>
      </c>
      <c r="J932" s="332" t="inlineStr">
        <is>
          <t>08.10-12.10</t>
        </is>
      </c>
      <c r="K932" s="335" t="n"/>
      <c r="L932" s="265" t="n"/>
      <c r="M932" s="332" t="n"/>
      <c r="N932" s="332" t="n"/>
      <c r="O932" s="244">
        <f>M932*N932</f>
        <v/>
      </c>
      <c r="P932" s="332" t="n"/>
      <c r="Q932" s="265" t="n"/>
      <c r="R932" s="332" t="n"/>
      <c r="S932" s="244">
        <f>Q932*R932</f>
        <v/>
      </c>
    </row>
    <row r="933" ht="22.2" customHeight="1" s="330">
      <c r="A933" s="4" t="n"/>
      <c r="E933" s="4" t="n"/>
      <c r="G933" s="308">
        <f>G887</f>
        <v/>
      </c>
      <c r="H933" s="325" t="inlineStr">
        <is>
          <t>20101-2110</t>
        </is>
      </c>
      <c r="I933" s="325" t="inlineStr">
        <is>
          <t>ปวช.3/3 ชย. (ปกติ)</t>
        </is>
      </c>
      <c r="J933" s="252" t="inlineStr">
        <is>
          <t>13.10-17.10</t>
        </is>
      </c>
      <c r="K933" s="331" t="n"/>
      <c r="L933" s="252" t="n"/>
      <c r="M933" s="252" t="n"/>
      <c r="N933" s="252" t="n"/>
      <c r="O933" s="244">
        <f>M933*N933</f>
        <v/>
      </c>
      <c r="P933" s="252" t="n"/>
      <c r="Q933" s="252" t="n"/>
      <c r="R933" s="252" t="n"/>
      <c r="S933" s="244">
        <f>Q933*R933</f>
        <v/>
      </c>
    </row>
    <row r="934" ht="22.2" customHeight="1" s="330">
      <c r="A934" s="4" t="n"/>
      <c r="B934" s="5" t="n"/>
      <c r="D934" s="3" t="n"/>
      <c r="E934" s="3" t="n"/>
      <c r="G934" s="252" t="n"/>
      <c r="H934" s="248" t="n"/>
      <c r="I934" s="252" t="n"/>
      <c r="J934" s="252" t="n"/>
      <c r="K934" s="331" t="n"/>
      <c r="L934" s="252" t="n"/>
      <c r="M934" s="252" t="n"/>
      <c r="N934" s="252" t="n"/>
      <c r="O934" s="244">
        <f>M934*N934</f>
        <v/>
      </c>
      <c r="P934" s="252" t="n"/>
      <c r="Q934" s="252" t="n"/>
      <c r="R934" s="252" t="n"/>
      <c r="S934" s="244">
        <f>Q934*R934</f>
        <v/>
      </c>
    </row>
    <row r="935" ht="22.2" customHeight="1" s="330">
      <c r="A935" s="4" t="n"/>
      <c r="E935" s="4" t="n"/>
      <c r="G935" s="62" t="n"/>
      <c r="H935" s="249" t="n"/>
      <c r="I935" s="252" t="n"/>
      <c r="J935" s="252" t="n"/>
      <c r="K935" s="331" t="n"/>
      <c r="L935" s="252" t="n"/>
      <c r="M935" s="252" t="n"/>
      <c r="N935" s="252" t="n"/>
      <c r="O935" s="244">
        <f>M935*N935</f>
        <v/>
      </c>
      <c r="P935" s="252" t="n"/>
      <c r="Q935" s="252" t="n"/>
      <c r="R935" s="252" t="n"/>
      <c r="S935" s="244">
        <f>Q935*R935</f>
        <v/>
      </c>
    </row>
    <row r="936" ht="22.2" customHeight="1" s="330">
      <c r="A936" s="4" t="n"/>
      <c r="D936" s="8" t="inlineStr">
        <is>
          <t> </t>
        </is>
      </c>
      <c r="E936" s="4" t="n"/>
      <c r="G936" s="63" t="n"/>
      <c r="H936" s="276" t="n"/>
      <c r="I936" s="276" t="n"/>
      <c r="J936" s="276" t="n"/>
      <c r="K936" s="476" t="n"/>
      <c r="L936" s="252" t="n"/>
      <c r="M936" s="252" t="n"/>
      <c r="N936" s="252" t="n"/>
      <c r="O936" s="244">
        <f>M936*N936</f>
        <v/>
      </c>
      <c r="P936" s="252" t="n"/>
      <c r="Q936" s="252" t="n"/>
      <c r="R936" s="252" t="n"/>
      <c r="S936" s="244">
        <f>Q936*R936</f>
        <v/>
      </c>
    </row>
    <row r="937" ht="22.2" customHeight="1" s="330">
      <c r="A937" s="4" t="n"/>
      <c r="E937" s="4" t="n"/>
      <c r="G937" s="308" t="inlineStr">
        <is>
          <t>พุธ</t>
        </is>
      </c>
      <c r="H937" s="325" t="inlineStr">
        <is>
          <t>20101-5101</t>
        </is>
      </c>
      <c r="I937" s="325" t="inlineStr">
        <is>
          <t>ปวช.2/9 ชย. (ทวิ)</t>
        </is>
      </c>
      <c r="J937" s="332" t="inlineStr">
        <is>
          <t>08.10-12.10</t>
        </is>
      </c>
      <c r="K937" s="335" t="n"/>
      <c r="L937" s="265" t="n"/>
      <c r="M937" s="332" t="n"/>
      <c r="N937" s="332" t="n"/>
      <c r="O937" s="244">
        <f>M937*N937</f>
        <v/>
      </c>
      <c r="P937" s="332" t="n"/>
      <c r="Q937" s="265" t="n"/>
      <c r="R937" s="332" t="n"/>
      <c r="S937" s="244">
        <f>Q937*R937</f>
        <v/>
      </c>
    </row>
    <row r="938" ht="22.2" customHeight="1" s="330">
      <c r="A938" s="4" t="n"/>
      <c r="B938" s="248" t="n"/>
      <c r="C938" s="249" t="n"/>
      <c r="D938" s="249" t="n"/>
      <c r="E938" s="252" t="n"/>
      <c r="G938" s="308">
        <f>G892</f>
        <v/>
      </c>
      <c r="H938" s="325" t="inlineStr">
        <is>
          <t>20101-5101</t>
        </is>
      </c>
      <c r="I938" s="325" t="inlineStr">
        <is>
          <t>ปวช.2/9 ชย. (ทวิ)</t>
        </is>
      </c>
      <c r="J938" s="325" t="inlineStr">
        <is>
          <t>13.10-16.10</t>
        </is>
      </c>
      <c r="K938" s="331" t="n"/>
      <c r="L938" s="252" t="n"/>
      <c r="M938" s="252" t="n"/>
      <c r="N938" s="252" t="n"/>
      <c r="O938" s="244">
        <f>M938*N938</f>
        <v/>
      </c>
      <c r="P938" s="252" t="n"/>
      <c r="Q938" s="252" t="n"/>
      <c r="R938" s="252" t="n"/>
      <c r="S938" s="244">
        <f>Q938*R938</f>
        <v/>
      </c>
    </row>
    <row r="939" ht="22.2" customHeight="1" s="330">
      <c r="A939" s="4" t="n"/>
      <c r="B939" s="5" t="n"/>
      <c r="D939" s="3" t="n"/>
      <c r="E939" s="3" t="n"/>
      <c r="G939" s="252" t="n"/>
      <c r="H939" s="325" t="n"/>
      <c r="I939" s="325" t="n"/>
      <c r="J939" s="252" t="n"/>
      <c r="K939" s="331" t="n"/>
      <c r="L939" s="252" t="n"/>
      <c r="M939" s="252" t="n"/>
      <c r="N939" s="252" t="n"/>
      <c r="O939" s="244">
        <f>M939*N939</f>
        <v/>
      </c>
      <c r="P939" s="252" t="n"/>
      <c r="Q939" s="252" t="n"/>
      <c r="R939" s="252" t="n"/>
      <c r="S939" s="244">
        <f>Q939*R939</f>
        <v/>
      </c>
    </row>
    <row r="940" ht="22.2" customHeight="1" s="330">
      <c r="A940" s="4" t="n"/>
      <c r="E940" s="4" t="n"/>
      <c r="G940" s="248" t="n"/>
      <c r="H940" s="325" t="n"/>
      <c r="I940" s="325" t="n"/>
      <c r="J940" s="252" t="n"/>
      <c r="K940" s="331" t="n"/>
      <c r="L940" s="252" t="n"/>
      <c r="M940" s="252" t="n"/>
      <c r="N940" s="252" t="n"/>
      <c r="O940" s="244">
        <f>M940*N940</f>
        <v/>
      </c>
      <c r="P940" s="252" t="n"/>
      <c r="Q940" s="252" t="n"/>
      <c r="R940" s="252" t="n"/>
      <c r="S940" s="244">
        <f>Q940*R940</f>
        <v/>
      </c>
    </row>
    <row r="941" ht="22.2" customHeight="1" s="330">
      <c r="A941" s="4" t="n"/>
      <c r="E941" s="4" t="n"/>
      <c r="G941" s="277" t="n"/>
      <c r="H941" s="277" t="n"/>
      <c r="I941" s="276" t="n"/>
      <c r="J941" s="276" t="n"/>
      <c r="K941" s="476" t="n"/>
      <c r="L941" s="276" t="n"/>
      <c r="M941" s="276" t="n"/>
      <c r="N941" s="276" t="n"/>
      <c r="O941" s="244">
        <f>M941*N941</f>
        <v/>
      </c>
      <c r="P941" s="276" t="n"/>
      <c r="Q941" s="276" t="n"/>
      <c r="R941" s="276" t="n"/>
      <c r="S941" s="244">
        <f>Q941*R941</f>
        <v/>
      </c>
    </row>
    <row r="942" ht="22.2" customHeight="1" s="330">
      <c r="A942" s="4" t="n"/>
      <c r="E942" s="4" t="n"/>
      <c r="G942" s="62" t="inlineStr">
        <is>
          <t>พฤหัส</t>
        </is>
      </c>
      <c r="H942" s="332" t="inlineStr">
        <is>
          <t>20101-2009</t>
        </is>
      </c>
      <c r="I942" s="325" t="inlineStr">
        <is>
          <t>ปวช.2/5 ชย. (ปกติ)</t>
        </is>
      </c>
      <c r="J942" s="252" t="inlineStr">
        <is>
          <t>08.10-12.10</t>
        </is>
      </c>
      <c r="K942" s="331" t="n"/>
      <c r="L942" s="265" t="n"/>
      <c r="M942" s="252" t="n"/>
      <c r="N942" s="252" t="n"/>
      <c r="O942" s="244">
        <f>M942*N942</f>
        <v/>
      </c>
      <c r="P942" s="252" t="n"/>
      <c r="Q942" s="275" t="n"/>
      <c r="R942" s="275" t="n"/>
      <c r="S942" s="244">
        <f>Q942*R942</f>
        <v/>
      </c>
    </row>
    <row r="943" ht="22.2" customHeight="1" s="330">
      <c r="A943" s="4" t="n"/>
      <c r="E943" s="4" t="n"/>
      <c r="G943" s="308">
        <f>G897</f>
        <v/>
      </c>
      <c r="H943" s="252" t="inlineStr">
        <is>
          <t>20000-2002</t>
        </is>
      </c>
      <c r="I943" s="325" t="inlineStr">
        <is>
          <t>ปวช.1/5,6 ชย. (ปกติ)</t>
        </is>
      </c>
      <c r="J943" s="325" t="inlineStr">
        <is>
          <t>13.10-15.10</t>
        </is>
      </c>
      <c r="K943" s="331" t="n"/>
      <c r="L943" s="252" t="n"/>
      <c r="M943" s="252" t="n"/>
      <c r="N943" s="252" t="n"/>
      <c r="O943" s="244">
        <f>M943*N943</f>
        <v/>
      </c>
      <c r="P943" s="252" t="n"/>
      <c r="Q943" s="252" t="n"/>
      <c r="R943" s="252" t="n"/>
      <c r="S943" s="244">
        <f>Q943*R943</f>
        <v/>
      </c>
    </row>
    <row r="944" ht="22.2" customHeight="1" s="330">
      <c r="A944" s="4" t="n"/>
      <c r="B944" s="5" t="n"/>
      <c r="E944" s="4" t="n"/>
      <c r="G944" s="252" t="n"/>
      <c r="H944" s="325" t="inlineStr">
        <is>
          <t>20101-2009</t>
        </is>
      </c>
      <c r="I944" s="325" t="inlineStr">
        <is>
          <t>ปวช.1/9 ชย. (ทวิ)</t>
        </is>
      </c>
      <c r="J944" s="252" t="inlineStr">
        <is>
          <t>15.10-19.10</t>
        </is>
      </c>
      <c r="K944" s="331" t="n"/>
      <c r="L944" s="252" t="n"/>
      <c r="M944" s="325" t="n"/>
      <c r="N944" s="325" t="n"/>
      <c r="O944" s="244">
        <f>M944*N944</f>
        <v/>
      </c>
      <c r="P944" s="325" t="n"/>
      <c r="Q944" s="325" t="n"/>
      <c r="R944" s="325" t="n"/>
      <c r="S944" s="244">
        <f>Q944*R944</f>
        <v/>
      </c>
    </row>
    <row r="945" ht="22.2" customHeight="1" s="330">
      <c r="A945" s="4" t="n"/>
      <c r="E945" s="4" t="n"/>
      <c r="G945" s="252" t="n"/>
      <c r="H945" s="252" t="n"/>
      <c r="I945" s="325" t="n"/>
      <c r="J945" s="252" t="n"/>
      <c r="K945" s="331" t="n"/>
      <c r="L945" s="252" t="n"/>
      <c r="M945" s="252" t="n"/>
      <c r="N945" s="252" t="n"/>
      <c r="O945" s="244">
        <f>M945*N945</f>
        <v/>
      </c>
      <c r="P945" s="252" t="n"/>
      <c r="Q945" s="252" t="n"/>
      <c r="R945" s="252" t="n"/>
      <c r="S945" s="244">
        <f>Q945*R945</f>
        <v/>
      </c>
    </row>
    <row r="946" ht="22.2" customHeight="1" s="330">
      <c r="A946" s="4" t="n"/>
      <c r="E946" s="4" t="n"/>
      <c r="G946" s="276" t="n"/>
      <c r="H946" s="301" t="n"/>
      <c r="I946" s="276" t="n"/>
      <c r="J946" s="276" t="n"/>
      <c r="K946" s="476" t="n"/>
      <c r="L946" s="276" t="n"/>
      <c r="M946" s="276" t="n"/>
      <c r="N946" s="276" t="n"/>
      <c r="O946" s="244">
        <f>M946*N946</f>
        <v/>
      </c>
      <c r="P946" s="276" t="n"/>
      <c r="Q946" s="276" t="n"/>
      <c r="R946" s="276" t="n"/>
      <c r="S946" s="244">
        <f>Q946*R946</f>
        <v/>
      </c>
    </row>
    <row r="947" ht="22.2" customHeight="1" s="330">
      <c r="A947" s="4" t="n"/>
      <c r="E947" s="4" t="n"/>
      <c r="G947" s="62" t="inlineStr">
        <is>
          <t>ศุกร์</t>
        </is>
      </c>
      <c r="H947" s="332" t="inlineStr">
        <is>
          <t>20101-2009</t>
        </is>
      </c>
      <c r="I947" s="325" t="inlineStr">
        <is>
          <t>ปวช.2/6 ชย. (ปกติ)</t>
        </is>
      </c>
      <c r="J947" s="332" t="inlineStr">
        <is>
          <t>08.10-12.10</t>
        </is>
      </c>
      <c r="K947" s="335" t="n"/>
      <c r="L947" s="265" t="n"/>
      <c r="M947" s="332" t="n"/>
      <c r="N947" s="332" t="n"/>
      <c r="O947" s="244">
        <f>M947*N947</f>
        <v/>
      </c>
      <c r="P947" s="332" t="n"/>
      <c r="Q947" s="265" t="n"/>
      <c r="R947" s="332" t="n"/>
      <c r="S947" s="244">
        <f>Q947*R947</f>
        <v/>
      </c>
      <c r="T947" s="25" t="n"/>
      <c r="U947" s="26" t="inlineStr">
        <is>
          <t xml:space="preserve">     PLC</t>
        </is>
      </c>
      <c r="V947" s="64" t="n"/>
      <c r="W947" s="27" t="n"/>
      <c r="X947" s="27" t="n"/>
    </row>
    <row r="948" ht="22.2" customHeight="1" s="330">
      <c r="A948" s="4" t="n"/>
      <c r="E948" s="4" t="n"/>
      <c r="G948" s="308">
        <f>G902</f>
        <v/>
      </c>
      <c r="H948" s="325" t="n"/>
      <c r="I948" s="325" t="n"/>
      <c r="J948" s="252" t="n"/>
      <c r="K948" s="331" t="n"/>
      <c r="L948" s="252" t="n"/>
      <c r="M948" s="252" t="n"/>
      <c r="N948" s="252" t="n"/>
      <c r="O948" s="244">
        <f>M948*N948</f>
        <v/>
      </c>
      <c r="P948" s="252" t="n"/>
      <c r="Q948" s="252" t="n"/>
      <c r="R948" s="252" t="n"/>
      <c r="S948" s="244">
        <f>Q948*R948</f>
        <v/>
      </c>
      <c r="T948" s="27" t="inlineStr">
        <is>
          <t> </t>
        </is>
      </c>
      <c r="U948" s="26" t="inlineStr">
        <is>
          <t>17.10-19.10</t>
        </is>
      </c>
      <c r="V948" s="64" t="n"/>
      <c r="W948" s="27" t="n"/>
      <c r="X948" s="27" t="n"/>
    </row>
    <row r="949" ht="22.2" customHeight="1" s="330">
      <c r="A949" s="4" t="n"/>
      <c r="E949" s="4" t="n"/>
      <c r="G949" s="252" t="n"/>
      <c r="H949" s="248" t="n"/>
      <c r="I949" s="252" t="n"/>
      <c r="J949" s="252" t="n"/>
      <c r="K949" s="331" t="n"/>
      <c r="L949" s="252" t="n"/>
      <c r="M949" s="252" t="n"/>
      <c r="N949" s="252" t="n"/>
      <c r="O949" s="244">
        <f>M949*N949</f>
        <v/>
      </c>
      <c r="P949" s="252" t="n"/>
      <c r="Q949" s="252" t="n"/>
      <c r="R949" s="252" t="n"/>
      <c r="S949" s="244">
        <f>Q949*R949</f>
        <v/>
      </c>
    </row>
    <row r="950" ht="22.2" customHeight="1" s="330">
      <c r="A950" s="4" t="n"/>
      <c r="E950" s="4" t="n"/>
      <c r="G950" s="252" t="n"/>
      <c r="H950" s="249" t="inlineStr">
        <is>
          <t> </t>
        </is>
      </c>
      <c r="I950" s="252" t="n"/>
      <c r="J950" s="252" t="n"/>
      <c r="K950" s="331" t="n"/>
      <c r="L950" s="252" t="n"/>
      <c r="M950" s="252" t="n"/>
      <c r="N950" s="252" t="n"/>
      <c r="O950" s="244">
        <f>M950*N950</f>
        <v/>
      </c>
      <c r="P950" s="252" t="n"/>
      <c r="Q950" s="252" t="n"/>
      <c r="R950" s="252" t="n"/>
      <c r="S950" s="244">
        <f>Q950*R950</f>
        <v/>
      </c>
    </row>
    <row r="951" ht="22.2" customHeight="1" s="330">
      <c r="A951" s="4" t="n"/>
      <c r="E951" s="4" t="n"/>
      <c r="F951" s="4" t="n"/>
      <c r="G951" s="278" t="n"/>
      <c r="H951" s="301" t="n"/>
      <c r="I951" s="276" t="n"/>
      <c r="J951" s="276" t="n"/>
      <c r="K951" s="476" t="n"/>
      <c r="L951" s="276" t="n"/>
      <c r="M951" s="276" t="n"/>
      <c r="N951" s="276" t="n"/>
      <c r="O951" s="244">
        <f>M951*N951</f>
        <v/>
      </c>
      <c r="P951" s="276" t="n"/>
      <c r="Q951" s="276" t="n"/>
      <c r="R951" s="276" t="n"/>
      <c r="S951" s="244">
        <f>Q951*R951</f>
        <v/>
      </c>
    </row>
    <row r="952" ht="22.2" customHeight="1" s="330">
      <c r="A952" s="4" t="n"/>
      <c r="E952" s="4" t="n"/>
      <c r="F952" s="4" t="n"/>
      <c r="G952" s="17" t="inlineStr">
        <is>
          <t>รวมขั่วโมงที่สอนแยก ภาระงาน/ เกินภาระงาน</t>
        </is>
      </c>
      <c r="H952" s="467" t="n"/>
      <c r="I952" s="467" t="n"/>
      <c r="J952" s="467" t="n"/>
      <c r="K952" s="362" t="n"/>
      <c r="L952" s="17">
        <f>SUM(L927:L951)</f>
        <v/>
      </c>
      <c r="M952" s="17">
        <f>SUM(M927:M951)</f>
        <v/>
      </c>
      <c r="N952" s="17" t="n"/>
      <c r="O952" s="17" t="n"/>
      <c r="P952" s="17">
        <f>SUM(P927:P951)</f>
        <v/>
      </c>
      <c r="Q952" s="17">
        <f>SUM(Q927:Q951)</f>
        <v/>
      </c>
      <c r="R952" s="279" t="n"/>
      <c r="S952" s="17" t="n"/>
    </row>
    <row r="953" ht="22.2" customHeight="1" s="330">
      <c r="A953" s="4" t="n"/>
      <c r="E953" s="4" t="n"/>
      <c r="F953" s="4" t="n"/>
      <c r="G953" s="17" t="inlineStr">
        <is>
          <t>รวมจำนวนชั่วโมงสอนคาบต่อสับดาห์</t>
        </is>
      </c>
      <c r="H953" s="467" t="n"/>
      <c r="I953" s="467" t="n"/>
      <c r="J953" s="467" t="n"/>
      <c r="K953" s="362" t="n"/>
      <c r="L953" s="17">
        <f>L952+M952</f>
        <v/>
      </c>
      <c r="M953" s="362" t="n"/>
      <c r="N953" s="17" t="n"/>
      <c r="O953" s="298" t="n"/>
      <c r="P953" s="17">
        <f>P952+Q952</f>
        <v/>
      </c>
      <c r="Q953" s="362" t="n"/>
      <c r="R953" s="278" t="n"/>
      <c r="S953" s="276" t="n"/>
    </row>
    <row r="954" ht="22.2" customHeight="1" s="330">
      <c r="A954" s="4" t="n"/>
      <c r="E954" s="4" t="n"/>
      <c r="F954" s="4" t="n"/>
      <c r="G954" s="17" t="inlineStr">
        <is>
          <t>จำนวนชั่วโมงสอนตามภาระงานสอน</t>
        </is>
      </c>
      <c r="H954" s="467" t="n"/>
      <c r="I954" s="467" t="n"/>
      <c r="J954" s="467" t="n"/>
      <c r="K954" s="362" t="n"/>
      <c r="L954" s="17" t="n">
        <v>18</v>
      </c>
      <c r="M954" s="362" t="n"/>
      <c r="N954" s="17" t="n"/>
      <c r="O954" s="298" t="n"/>
      <c r="P954" s="17" t="n">
        <v>0</v>
      </c>
      <c r="Q954" s="362" t="n"/>
      <c r="R954" s="249" t="n"/>
      <c r="S954" s="252" t="n"/>
    </row>
    <row r="955" ht="22.2" customHeight="1" s="330" thickBot="1">
      <c r="A955" s="4" t="n"/>
      <c r="E955" s="4" t="n"/>
      <c r="F955" s="15" t="n"/>
      <c r="G955" s="17" t="inlineStr">
        <is>
          <t>จำนวนชั่วโมงบิกเกินภาระงานสอน/ค่าสอน</t>
        </is>
      </c>
      <c r="H955" s="467" t="n"/>
      <c r="I955" s="467" t="n"/>
      <c r="J955" s="467" t="n"/>
      <c r="K955" s="362" t="n"/>
      <c r="L955" s="18" t="n">
        <v>0</v>
      </c>
      <c r="M955" s="18">
        <f>SUM(M927:M951)</f>
        <v/>
      </c>
      <c r="N955" s="18" t="n"/>
      <c r="O955" s="18">
        <f>SUM(O927:O951)</f>
        <v/>
      </c>
      <c r="P955" s="18" t="n">
        <v>0</v>
      </c>
      <c r="Q955" s="18">
        <f>SUM(Q927:Q951)</f>
        <v/>
      </c>
      <c r="R955" s="19" t="n"/>
      <c r="S955" s="18">
        <f>SUM(S927:S951)</f>
        <v/>
      </c>
    </row>
    <row r="956" ht="22.2" customHeight="1" s="330" thickTop="1">
      <c r="A956" s="299" t="inlineStr">
        <is>
          <t>รวมจำนวนหน่วยชั่วโมงที่ขอเบิกค่าสอน ….</t>
        </is>
      </c>
      <c r="B956" s="467" t="n"/>
      <c r="C956" s="467" t="n"/>
      <c r="D956" s="467" t="n"/>
      <c r="E956" s="467" t="n"/>
      <c r="F956" s="467" t="n"/>
      <c r="G956" s="467" t="n"/>
      <c r="H956" s="298">
        <f>M955+Q955</f>
        <v/>
      </c>
      <c r="I956" s="298" t="inlineStr">
        <is>
          <t>….ชั่วโมง</t>
        </is>
      </c>
      <c r="J956" s="298" t="n"/>
      <c r="K956" s="301" t="inlineStr">
        <is>
          <t>ยอดเงินรวม</t>
        </is>
      </c>
      <c r="L956" s="471" t="n"/>
      <c r="M956" s="471" t="n"/>
      <c r="N956" s="301" t="n"/>
      <c r="O956" s="301" t="n"/>
      <c r="P956" s="302">
        <f>S955+O955</f>
        <v/>
      </c>
      <c r="Q956" s="482" t="n"/>
      <c r="R956" s="21" t="n"/>
      <c r="S956" s="20" t="inlineStr">
        <is>
          <t>..บาท</t>
        </is>
      </c>
    </row>
    <row r="957" ht="22.2" customHeight="1" s="330">
      <c r="A957" s="207" t="inlineStr">
        <is>
          <t>ผู้ขอเบิก</t>
        </is>
      </c>
      <c r="B957" s="334" t="n"/>
      <c r="C957" s="334" t="n"/>
      <c r="D957" s="334" t="n"/>
      <c r="E957" s="334" t="n"/>
      <c r="F957" s="334" t="n"/>
      <c r="G957" s="335" t="n"/>
      <c r="H957" s="207" t="inlineStr">
        <is>
          <t>ผู้รับรอง</t>
        </is>
      </c>
      <c r="I957" s="334" t="n"/>
      <c r="J957" s="334" t="n"/>
      <c r="K957" s="334" t="n"/>
      <c r="L957" s="335" t="n"/>
      <c r="M957" s="207" t="inlineStr">
        <is>
          <t>ผู้ตรวจ</t>
        </is>
      </c>
      <c r="N957" s="334" t="n"/>
      <c r="O957" s="334" t="n"/>
      <c r="P957" s="334" t="n"/>
      <c r="Q957" s="334" t="n"/>
      <c r="R957" s="334" t="n"/>
      <c r="S957" s="335" t="n"/>
    </row>
    <row r="958" ht="22.2" customHeight="1" s="330">
      <c r="A958" s="252" t="inlineStr">
        <is>
          <t>ลงชื่อ……………………………………………</t>
        </is>
      </c>
      <c r="G958" s="331" t="n"/>
      <c r="H958" s="252" t="inlineStr">
        <is>
          <t>ลงชื่อ……………………………………………</t>
        </is>
      </c>
      <c r="L958" s="331" t="n"/>
      <c r="M958" s="252" t="inlineStr">
        <is>
          <t>ลงชื่อ……………………………………………</t>
        </is>
      </c>
      <c r="S958" s="331" t="n"/>
    </row>
    <row r="959" ht="22.2" customHeight="1" s="330">
      <c r="A959" s="12" t="inlineStr">
        <is>
          <t>(</t>
        </is>
      </c>
      <c r="B959" s="309">
        <f>B927</f>
        <v/>
      </c>
      <c r="G959" s="310" t="inlineStr">
        <is>
          <t>)</t>
        </is>
      </c>
      <c r="H959" s="309" t="inlineStr">
        <is>
          <t>(</t>
        </is>
      </c>
      <c r="I959" s="314">
        <f>I913</f>
        <v/>
      </c>
      <c r="L959" s="13" t="inlineStr">
        <is>
          <t>)</t>
        </is>
      </c>
      <c r="M959" s="61" t="inlineStr">
        <is>
          <t>(</t>
        </is>
      </c>
      <c r="N959" s="61" t="n"/>
      <c r="O959" s="309" t="inlineStr">
        <is>
          <t>นายพิสุทธิศักดิ์  กล่อมนาค</t>
        </is>
      </c>
      <c r="R959" s="29" t="n"/>
      <c r="S959" s="310" t="inlineStr">
        <is>
          <t>)</t>
        </is>
      </c>
    </row>
    <row r="960" ht="22.2" customHeight="1" s="330">
      <c r="A960" s="483" t="inlineStr">
        <is>
          <t xml:space="preserve">                 ตำแหน่ง  ครูพิเศษ</t>
        </is>
      </c>
      <c r="G960" s="331" t="n"/>
      <c r="H960" s="62" t="inlineStr">
        <is>
          <t>ตำแหน่ง หัวหน้าแผนก</t>
        </is>
      </c>
      <c r="L960" s="331" t="n"/>
      <c r="M960" s="62" t="inlineStr">
        <is>
          <t>ตำแหน่ง   ผู้ตรวจสอบ</t>
        </is>
      </c>
      <c r="S960" s="331" t="n"/>
    </row>
    <row r="961" ht="22.2" customHeight="1" s="330">
      <c r="A961" s="63">
        <f>A41</f>
        <v/>
      </c>
      <c r="B961" s="471" t="n"/>
      <c r="C961" s="471" t="n"/>
      <c r="D961" s="471" t="n"/>
      <c r="E961" s="471" t="n"/>
      <c r="F961" s="471" t="n"/>
      <c r="G961" s="476" t="n"/>
      <c r="H961" s="62">
        <f>A41</f>
        <v/>
      </c>
      <c r="L961" s="331" t="n"/>
      <c r="M961" s="63">
        <f>A41</f>
        <v/>
      </c>
      <c r="N961" s="471" t="n"/>
      <c r="O961" s="471" t="n"/>
      <c r="P961" s="471" t="n"/>
      <c r="Q961" s="471" t="n"/>
      <c r="R961" s="471" t="n"/>
      <c r="S961" s="476" t="n"/>
    </row>
    <row r="962" ht="22.2" customHeight="1" s="330">
      <c r="A962" s="207" t="inlineStr">
        <is>
          <t>ผู้ตรวจ</t>
        </is>
      </c>
      <c r="B962" s="334" t="n"/>
      <c r="C962" s="334" t="n"/>
      <c r="D962" s="334" t="n"/>
      <c r="E962" s="334" t="n"/>
      <c r="F962" s="334" t="n"/>
      <c r="G962" s="334" t="n"/>
      <c r="H962" s="334" t="n"/>
      <c r="I962" s="335" t="n"/>
      <c r="J962" s="207" t="inlineStr">
        <is>
          <t>ผู้เห็นชอบ</t>
        </is>
      </c>
      <c r="K962" s="334" t="n"/>
      <c r="L962" s="334" t="n"/>
      <c r="M962" s="334" t="n"/>
      <c r="N962" s="334" t="n"/>
      <c r="O962" s="334" t="n"/>
      <c r="P962" s="334" t="n"/>
      <c r="Q962" s="334" t="n"/>
      <c r="R962" s="334" t="n"/>
      <c r="S962" s="335" t="n"/>
    </row>
    <row r="963" ht="22.2" customHeight="1" s="330">
      <c r="A963" s="252" t="inlineStr">
        <is>
          <t>ลงชื่อ……………………………………………</t>
        </is>
      </c>
      <c r="I963" s="331" t="n"/>
      <c r="J963" s="252" t="inlineStr">
        <is>
          <t>ลงชื่อ……………………………………………</t>
        </is>
      </c>
      <c r="S963" s="331" t="n"/>
    </row>
    <row r="964" ht="22.2" customHeight="1" s="330">
      <c r="A964" s="12" t="n"/>
      <c r="B964" s="309" t="inlineStr">
        <is>
          <t xml:space="preserve">          (นางศิวรักษ์   บุญประเสริฐ)</t>
        </is>
      </c>
      <c r="I964" s="310" t="n"/>
      <c r="J964" s="29" t="n"/>
      <c r="K964" s="29" t="n"/>
      <c r="L964" s="309" t="inlineStr">
        <is>
          <t>(นายปรีชา  โพธิ์เกิด)</t>
        </is>
      </c>
      <c r="R964" s="29" t="n"/>
      <c r="S964" s="13" t="n"/>
    </row>
    <row r="965" ht="22.2" customHeight="1" s="330">
      <c r="A965" s="62" t="inlineStr">
        <is>
          <t>ตำแหน่งครู  หัวหน้างานพัฒนาหลักสูตร ฯ</t>
        </is>
      </c>
      <c r="I965" s="331" t="n"/>
      <c r="J965" s="62" t="inlineStr">
        <is>
          <t>ตำแหน่ง  รองผู้อำนวยการฝ่ายวิชาการ</t>
        </is>
      </c>
      <c r="S965" s="331" t="n"/>
    </row>
    <row r="966" ht="22.2" customHeight="1" s="330">
      <c r="A966" s="63">
        <f>A41</f>
        <v/>
      </c>
      <c r="B966" s="471" t="n"/>
      <c r="C966" s="471" t="n"/>
      <c r="D966" s="471" t="n"/>
      <c r="E966" s="471" t="n"/>
      <c r="F966" s="471" t="n"/>
      <c r="G966" s="471" t="n"/>
      <c r="H966" s="471" t="n"/>
      <c r="I966" s="476" t="n"/>
      <c r="J966" s="63">
        <f>A41</f>
        <v/>
      </c>
      <c r="K966" s="471" t="n"/>
      <c r="L966" s="471" t="n"/>
      <c r="M966" s="471" t="n"/>
      <c r="N966" s="471" t="n"/>
      <c r="O966" s="471" t="n"/>
      <c r="P966" s="471" t="n"/>
      <c r="Q966" s="471" t="n"/>
      <c r="R966" s="471" t="n"/>
      <c r="S966" s="476" t="n"/>
    </row>
    <row r="967" ht="22.2" customHeight="1" s="330">
      <c r="A96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68" ht="22.2" customHeight="1" s="330">
      <c r="A968" s="254">
        <f>A2</f>
        <v/>
      </c>
    </row>
    <row r="969" ht="22.2" customHeight="1" s="330">
      <c r="A969" s="253" t="inlineStr">
        <is>
          <t xml:space="preserve">    ระหว่างวันที่</t>
        </is>
      </c>
      <c r="D969" s="254">
        <f>D3</f>
        <v/>
      </c>
      <c r="E969" s="254" t="inlineStr">
        <is>
          <t xml:space="preserve">   เดือน  </t>
        </is>
      </c>
      <c r="F969" s="254">
        <f>F3</f>
        <v/>
      </c>
      <c r="H969" s="254">
        <f>H3</f>
        <v/>
      </c>
      <c r="I969" s="254" t="inlineStr">
        <is>
          <t xml:space="preserve">     ถึง วันที่</t>
        </is>
      </c>
      <c r="J969" s="254">
        <f>J3</f>
        <v/>
      </c>
      <c r="K969" s="254" t="inlineStr">
        <is>
          <t xml:space="preserve">   เดือน </t>
        </is>
      </c>
      <c r="L969" s="254">
        <f>L3</f>
        <v/>
      </c>
      <c r="N969" s="254">
        <f>N3</f>
        <v/>
      </c>
      <c r="P969" s="254" t="n"/>
      <c r="R969" s="254" t="n"/>
    </row>
    <row r="970" ht="22.2" customHeight="1" s="330">
      <c r="G970" s="58" t="inlineStr">
        <is>
          <t>ü</t>
        </is>
      </c>
      <c r="H970" s="8" t="inlineStr">
        <is>
          <t>ครูพิเศษ</t>
        </is>
      </c>
      <c r="I970" s="249" t="inlineStr">
        <is>
          <t>หน้าที่พิเศษ</t>
        </is>
      </c>
      <c r="K970" s="290" t="n"/>
    </row>
    <row r="971" ht="22.2" customHeight="1" s="330">
      <c r="A971" s="28" t="inlineStr">
        <is>
          <t>ที่</t>
        </is>
      </c>
      <c r="B971" s="28" t="inlineStr">
        <is>
          <t>ชื่อ-สกุล</t>
        </is>
      </c>
      <c r="C971" s="334" t="n"/>
      <c r="D971" s="335" t="n"/>
      <c r="E971" s="16" t="inlineStr">
        <is>
          <t>ตำแหน่ง</t>
        </is>
      </c>
      <c r="F971" s="17" t="inlineStr">
        <is>
          <t>ระยะเวลาที่สอน</t>
        </is>
      </c>
      <c r="G971" s="362" t="n"/>
      <c r="H971" s="17" t="inlineStr">
        <is>
          <t>รหัสวิชา</t>
        </is>
      </c>
      <c r="I971" s="275" t="inlineStr">
        <is>
          <t>ชั้น,แผนก,ห้อง</t>
        </is>
      </c>
      <c r="J971" s="17" t="inlineStr">
        <is>
          <t>เวลาสอน</t>
        </is>
      </c>
      <c r="K971" s="335" t="n"/>
      <c r="L971" s="17" t="inlineStr">
        <is>
          <t>ปวช.(คาบ)</t>
        </is>
      </c>
      <c r="M971" s="362" t="n"/>
      <c r="N971" s="244" t="inlineStr">
        <is>
          <t>เงิน</t>
        </is>
      </c>
      <c r="O971" s="275" t="inlineStr">
        <is>
          <t>ยอดเงิน</t>
        </is>
      </c>
      <c r="P971" s="473" t="inlineStr">
        <is>
          <t>ปวส.(คาบ)</t>
        </is>
      </c>
      <c r="Q971" s="362" t="n"/>
      <c r="R971" s="244" t="inlineStr">
        <is>
          <t>เงิน</t>
        </is>
      </c>
      <c r="S971" s="275" t="inlineStr">
        <is>
          <t>ยอดเงิน</t>
        </is>
      </c>
    </row>
    <row r="972" ht="22.2" customHeight="1" s="330">
      <c r="A972" s="60" t="n"/>
      <c r="B972" s="9" t="n"/>
      <c r="C972" s="10" t="n"/>
      <c r="D972" s="14" t="n"/>
      <c r="E972" s="11" t="n"/>
      <c r="F972" s="276" t="inlineStr">
        <is>
          <t>ส.</t>
        </is>
      </c>
      <c r="G972" s="276" t="inlineStr">
        <is>
          <t>วดป.</t>
        </is>
      </c>
      <c r="H972" s="474" t="n"/>
      <c r="I972" s="276" t="n"/>
      <c r="J972" s="475" t="n"/>
      <c r="K972" s="476" t="n"/>
      <c r="L972" s="276" t="inlineStr">
        <is>
          <t>ใน</t>
        </is>
      </c>
      <c r="M972" s="276" t="inlineStr">
        <is>
          <t>นอก</t>
        </is>
      </c>
      <c r="N972" s="276" t="inlineStr">
        <is>
          <t>ต่อ ชม.</t>
        </is>
      </c>
      <c r="O972" s="276" t="inlineStr">
        <is>
          <t>(บาท)</t>
        </is>
      </c>
      <c r="P972" s="60" t="inlineStr">
        <is>
          <t>ใน</t>
        </is>
      </c>
      <c r="Q972" s="60" t="inlineStr">
        <is>
          <t>นอก</t>
        </is>
      </c>
      <c r="R972" s="276" t="inlineStr">
        <is>
          <t>ต่อ ชม.</t>
        </is>
      </c>
      <c r="S972" s="276" t="inlineStr">
        <is>
          <t>(บาท)</t>
        </is>
      </c>
    </row>
    <row r="973" ht="22.2" customHeight="1" s="330">
      <c r="A973" s="275" t="n">
        <v>22</v>
      </c>
      <c r="B973" s="477">
        <f>AB24</f>
        <v/>
      </c>
      <c r="C973" s="334" t="n"/>
      <c r="D973" s="335" t="n"/>
      <c r="E973" s="275" t="inlineStr">
        <is>
          <t>ครู</t>
        </is>
      </c>
      <c r="F973" s="6">
        <f>F7</f>
        <v/>
      </c>
      <c r="G973" s="303" t="inlineStr">
        <is>
          <t>จันทร์</t>
        </is>
      </c>
      <c r="H973" s="332" t="inlineStr">
        <is>
          <t>20101-2104</t>
        </is>
      </c>
      <c r="I973" s="325" t="inlineStr">
        <is>
          <t>ปวช.3/1 ชย. (ปกติ)</t>
        </is>
      </c>
      <c r="J973" s="332" t="inlineStr">
        <is>
          <t>08.10-12.10</t>
        </is>
      </c>
      <c r="K973" s="335" t="n"/>
      <c r="L973" s="265" t="n"/>
      <c r="M973" s="332" t="n"/>
      <c r="N973" s="332" t="n"/>
      <c r="O973" s="244">
        <f>M973*N973</f>
        <v/>
      </c>
      <c r="P973" s="332" t="n"/>
      <c r="Q973" s="265" t="n"/>
      <c r="R973" s="332" t="n"/>
      <c r="S973" s="244">
        <f>Q973*R973</f>
        <v/>
      </c>
    </row>
    <row r="974" ht="22.2" customHeight="1" s="330">
      <c r="A974" s="4" t="n"/>
      <c r="E974" s="252" t="inlineStr">
        <is>
          <t>พิเศษ</t>
        </is>
      </c>
      <c r="F974" s="249" t="n"/>
      <c r="G974" s="308">
        <f>G928</f>
        <v/>
      </c>
      <c r="H974" s="325" t="inlineStr">
        <is>
          <t>20101-2104</t>
        </is>
      </c>
      <c r="I974" s="325" t="inlineStr">
        <is>
          <t>ปวช.3/1 ชย. (ปกติ)</t>
        </is>
      </c>
      <c r="J974" s="252" t="inlineStr">
        <is>
          <t>13.10-16.10</t>
        </is>
      </c>
      <c r="K974" s="331" t="n"/>
      <c r="L974" s="252" t="n"/>
      <c r="M974" s="252" t="n"/>
      <c r="N974" s="252" t="n"/>
      <c r="O974" s="244">
        <f>M974*N974</f>
        <v/>
      </c>
      <c r="P974" s="252" t="n"/>
      <c r="Q974" s="252" t="n"/>
      <c r="R974" s="252" t="n"/>
      <c r="S974" s="244">
        <f>Q974*R974</f>
        <v/>
      </c>
    </row>
    <row r="975" ht="22.2" customHeight="1" s="330">
      <c r="A975" s="4" t="n"/>
      <c r="E975" s="4" t="n"/>
      <c r="F975" s="249" t="n"/>
      <c r="G975" s="248" t="n"/>
      <c r="H975" s="252" t="n"/>
      <c r="I975" s="252" t="n"/>
      <c r="J975" s="252" t="n"/>
      <c r="K975" s="331" t="n"/>
      <c r="L975" s="252" t="n"/>
      <c r="M975" s="252" t="n"/>
      <c r="N975" s="252" t="n"/>
      <c r="O975" s="244">
        <f>M975*N975</f>
        <v/>
      </c>
      <c r="P975" s="252" t="n"/>
      <c r="Q975" s="252" t="n"/>
      <c r="R975" s="252" t="n"/>
      <c r="S975" s="244">
        <f>Q975*R975</f>
        <v/>
      </c>
    </row>
    <row r="976" ht="22.2" customHeight="1" s="330">
      <c r="A976" s="4" t="n"/>
      <c r="B976" s="5" t="n"/>
      <c r="E976" s="4" t="n"/>
      <c r="F976" s="249" t="n"/>
      <c r="G976" s="248" t="n"/>
      <c r="H976" s="252" t="n"/>
      <c r="I976" s="252" t="n"/>
      <c r="J976" s="252" t="n"/>
      <c r="K976" s="331" t="n"/>
      <c r="L976" s="252" t="n"/>
      <c r="M976" s="252" t="n"/>
      <c r="N976" s="252" t="n"/>
      <c r="O976" s="244">
        <f>M976*N976</f>
        <v/>
      </c>
      <c r="P976" s="252" t="n"/>
      <c r="Q976" s="252" t="n"/>
      <c r="R976" s="252" t="n"/>
      <c r="S976" s="244">
        <f>Q976*R976</f>
        <v/>
      </c>
    </row>
    <row r="977" ht="22.2" customHeight="1" s="330">
      <c r="A977" s="4" t="n"/>
      <c r="E977" s="4" t="n"/>
      <c r="G977" s="311" t="n"/>
      <c r="H977" s="276" t="n"/>
      <c r="I977" s="276" t="n"/>
      <c r="J977" s="276" t="n"/>
      <c r="K977" s="476" t="n"/>
      <c r="L977" s="252" t="n"/>
      <c r="M977" s="252" t="n"/>
      <c r="N977" s="252" t="n"/>
      <c r="O977" s="244">
        <f>M977*N977</f>
        <v/>
      </c>
      <c r="P977" s="252" t="n"/>
      <c r="Q977" s="252" t="n"/>
      <c r="R977" s="252" t="n"/>
      <c r="S977" s="244">
        <f>Q977*R977</f>
        <v/>
      </c>
    </row>
    <row r="978" ht="22.2" customHeight="1" s="330">
      <c r="A978" s="4" t="n"/>
      <c r="E978" s="4" t="n"/>
      <c r="G978" s="62" t="inlineStr">
        <is>
          <t>อังคาร</t>
        </is>
      </c>
      <c r="H978" s="332" t="inlineStr">
        <is>
          <t>20101-2104</t>
        </is>
      </c>
      <c r="I978" s="325" t="inlineStr">
        <is>
          <t>ปวช.3/2 ชย. (ปกติ)</t>
        </is>
      </c>
      <c r="J978" s="332" t="inlineStr">
        <is>
          <t>08.10-12.10</t>
        </is>
      </c>
      <c r="K978" s="335" t="n"/>
      <c r="L978" s="265" t="n"/>
      <c r="M978" s="332" t="n"/>
      <c r="N978" s="332" t="n"/>
      <c r="O978" s="244">
        <f>M978*N978</f>
        <v/>
      </c>
      <c r="P978" s="332" t="n"/>
      <c r="Q978" s="265" t="n"/>
      <c r="R978" s="332" t="n"/>
      <c r="S978" s="244">
        <f>Q978*R978</f>
        <v/>
      </c>
    </row>
    <row r="979" ht="22.2" customHeight="1" s="330">
      <c r="A979" s="4" t="n"/>
      <c r="E979" s="4" t="n"/>
      <c r="G979" s="308">
        <f>G933</f>
        <v/>
      </c>
      <c r="H979" s="325" t="inlineStr">
        <is>
          <t>20101-2104</t>
        </is>
      </c>
      <c r="I979" s="325" t="inlineStr">
        <is>
          <t>ปวช.3/2 ชย. (ปกติ)</t>
        </is>
      </c>
      <c r="J979" s="252" t="inlineStr">
        <is>
          <t>13.10-16.10</t>
        </is>
      </c>
      <c r="K979" s="331" t="n"/>
      <c r="L979" s="252" t="n"/>
      <c r="M979" s="252" t="n"/>
      <c r="N979" s="252" t="n"/>
      <c r="O979" s="244">
        <f>M979*N979</f>
        <v/>
      </c>
      <c r="P979" s="252" t="n"/>
      <c r="Q979" s="252" t="n"/>
      <c r="R979" s="252" t="n"/>
      <c r="S979" s="244">
        <f>Q979*R979</f>
        <v/>
      </c>
    </row>
    <row r="980" ht="22.2" customHeight="1" s="330">
      <c r="A980" s="4" t="n"/>
      <c r="B980" s="5" t="n"/>
      <c r="D980" s="3" t="n"/>
      <c r="E980" s="3" t="n"/>
      <c r="G980" s="252" t="n"/>
      <c r="H980" s="248" t="n"/>
      <c r="I980" s="252" t="n"/>
      <c r="J980" s="252" t="n"/>
      <c r="K980" s="331" t="n"/>
      <c r="L980" s="252" t="n"/>
      <c r="M980" s="252" t="n"/>
      <c r="N980" s="252" t="n"/>
      <c r="O980" s="244">
        <f>M980*N980</f>
        <v/>
      </c>
      <c r="P980" s="252" t="n"/>
      <c r="Q980" s="252" t="n"/>
      <c r="R980" s="252" t="n"/>
      <c r="S980" s="244">
        <f>Q980*R980</f>
        <v/>
      </c>
    </row>
    <row r="981" ht="22.2" customHeight="1" s="330">
      <c r="A981" s="4" t="n"/>
      <c r="E981" s="4" t="n"/>
      <c r="G981" s="62" t="n"/>
      <c r="H981" s="248" t="n"/>
      <c r="I981" s="252" t="n"/>
      <c r="J981" s="252" t="n"/>
      <c r="K981" s="331" t="n"/>
      <c r="L981" s="252" t="n"/>
      <c r="M981" s="252" t="n"/>
      <c r="N981" s="252" t="n"/>
      <c r="O981" s="244">
        <f>M981*N981</f>
        <v/>
      </c>
      <c r="P981" s="252" t="n"/>
      <c r="Q981" s="252" t="n"/>
      <c r="R981" s="252" t="n"/>
      <c r="S981" s="244">
        <f>Q981*R981</f>
        <v/>
      </c>
    </row>
    <row r="982" ht="22.2" customHeight="1" s="330">
      <c r="A982" s="4" t="n"/>
      <c r="D982" s="8" t="inlineStr">
        <is>
          <t> </t>
        </is>
      </c>
      <c r="E982" s="4" t="n"/>
      <c r="G982" s="63" t="n"/>
      <c r="H982" s="276" t="n"/>
      <c r="I982" s="276" t="n"/>
      <c r="J982" s="276" t="n"/>
      <c r="K982" s="476" t="n"/>
      <c r="L982" s="252" t="n"/>
      <c r="M982" s="252" t="n"/>
      <c r="N982" s="252" t="n"/>
      <c r="O982" s="244">
        <f>M982*N982</f>
        <v/>
      </c>
      <c r="P982" s="252" t="n"/>
      <c r="Q982" s="252" t="n"/>
      <c r="R982" s="252" t="n"/>
      <c r="S982" s="244">
        <f>Q982*R982</f>
        <v/>
      </c>
    </row>
    <row r="983" ht="22.2" customHeight="1" s="330">
      <c r="A983" s="4" t="n"/>
      <c r="E983" s="4" t="n"/>
      <c r="G983" s="308" t="inlineStr">
        <is>
          <t>พุธ</t>
        </is>
      </c>
      <c r="H983" s="332" t="inlineStr">
        <is>
          <t>20101-2104</t>
        </is>
      </c>
      <c r="I983" s="325" t="inlineStr">
        <is>
          <t>ปวช.3/3 ชย. (ปกติ)</t>
        </is>
      </c>
      <c r="J983" s="332" t="inlineStr">
        <is>
          <t>08.10-12.10</t>
        </is>
      </c>
      <c r="K983" s="335" t="n"/>
      <c r="L983" s="265" t="n"/>
      <c r="M983" s="332" t="n"/>
      <c r="N983" s="332" t="n"/>
      <c r="O983" s="244">
        <f>M983*N983</f>
        <v/>
      </c>
      <c r="P983" s="332" t="n"/>
      <c r="Q983" s="265" t="n"/>
      <c r="R983" s="332" t="n"/>
      <c r="S983" s="244">
        <f>Q983*R983</f>
        <v/>
      </c>
    </row>
    <row r="984" ht="22.2" customHeight="1" s="330">
      <c r="A984" s="4" t="n"/>
      <c r="B984" s="248" t="n"/>
      <c r="C984" s="249" t="n"/>
      <c r="D984" s="249" t="n"/>
      <c r="E984" s="252" t="n"/>
      <c r="G984" s="308">
        <f>G938</f>
        <v/>
      </c>
      <c r="H984" s="325" t="inlineStr">
        <is>
          <t>20101-2104</t>
        </is>
      </c>
      <c r="I984" s="325" t="inlineStr">
        <is>
          <t>ปวช.3/3 ชย. (ปกติ)</t>
        </is>
      </c>
      <c r="J984" s="252" t="inlineStr">
        <is>
          <t>13.10-16.10</t>
        </is>
      </c>
      <c r="K984" s="331" t="n"/>
      <c r="L984" s="252" t="n"/>
      <c r="M984" s="252" t="n"/>
      <c r="N984" s="252" t="n"/>
      <c r="O984" s="244">
        <f>M984*N984</f>
        <v/>
      </c>
      <c r="P984" s="252" t="n"/>
      <c r="Q984" s="252" t="n"/>
      <c r="R984" s="252" t="n"/>
      <c r="S984" s="244">
        <f>Q984*R984</f>
        <v/>
      </c>
    </row>
    <row r="985" ht="22.2" customHeight="1" s="330">
      <c r="A985" s="4" t="n"/>
      <c r="B985" s="5" t="n"/>
      <c r="D985" s="3" t="n"/>
      <c r="E985" s="3" t="n"/>
      <c r="G985" s="252" t="n"/>
      <c r="H985" s="252" t="n"/>
      <c r="I985" s="325" t="n"/>
      <c r="J985" s="252" t="n"/>
      <c r="K985" s="331" t="n"/>
      <c r="L985" s="252" t="n"/>
      <c r="M985" s="252" t="n"/>
      <c r="N985" s="252" t="n"/>
      <c r="O985" s="244">
        <f>M985*N985</f>
        <v/>
      </c>
      <c r="P985" s="252" t="n"/>
      <c r="Q985" s="252" t="n"/>
      <c r="R985" s="252" t="n"/>
      <c r="S985" s="244">
        <f>Q985*R985</f>
        <v/>
      </c>
    </row>
    <row r="986" ht="22.2" customHeight="1" s="330">
      <c r="A986" s="4" t="n"/>
      <c r="E986" s="4" t="n"/>
      <c r="G986" s="248" t="n"/>
      <c r="H986" s="248" t="n"/>
      <c r="I986" s="252" t="n"/>
      <c r="J986" s="252" t="n"/>
      <c r="K986" s="331" t="n"/>
      <c r="L986" s="252" t="n"/>
      <c r="M986" s="252" t="n"/>
      <c r="N986" s="252" t="n"/>
      <c r="O986" s="244">
        <f>M986*N986</f>
        <v/>
      </c>
      <c r="P986" s="252" t="n"/>
      <c r="Q986" s="252" t="n"/>
      <c r="R986" s="252" t="n"/>
      <c r="S986" s="244">
        <f>Q986*R986</f>
        <v/>
      </c>
    </row>
    <row r="987" ht="22.2" customHeight="1" s="330">
      <c r="A987" s="4" t="n"/>
      <c r="E987" s="4" t="n"/>
      <c r="G987" s="277" t="n"/>
      <c r="H987" s="277" t="n"/>
      <c r="I987" s="276" t="n"/>
      <c r="J987" s="276" t="n"/>
      <c r="K987" s="476" t="n"/>
      <c r="L987" s="276" t="n"/>
      <c r="M987" s="276" t="n"/>
      <c r="N987" s="276" t="n"/>
      <c r="O987" s="244">
        <f>M987*N987</f>
        <v/>
      </c>
      <c r="P987" s="276" t="n"/>
      <c r="Q987" s="276" t="n"/>
      <c r="R987" s="276" t="n"/>
      <c r="S987" s="244">
        <f>Q987*R987</f>
        <v/>
      </c>
    </row>
    <row r="988" ht="22.2" customHeight="1" s="330">
      <c r="A988" s="4" t="n"/>
      <c r="E988" s="4" t="n"/>
      <c r="G988" s="62" t="inlineStr">
        <is>
          <t>พฤหัส</t>
        </is>
      </c>
      <c r="H988" s="325" t="inlineStr">
        <is>
          <t>20101-2106</t>
        </is>
      </c>
      <c r="I988" s="325" t="inlineStr">
        <is>
          <t>ปวช.3/5 ชย. (ปกติ)</t>
        </is>
      </c>
      <c r="J988" s="332" t="inlineStr">
        <is>
          <t>08.10-12.10</t>
        </is>
      </c>
      <c r="K988" s="335" t="n"/>
      <c r="L988" s="265" t="n"/>
      <c r="M988" s="332" t="n"/>
      <c r="N988" s="332" t="n"/>
      <c r="O988" s="244">
        <f>M988*N988</f>
        <v/>
      </c>
      <c r="P988" s="332" t="n"/>
      <c r="Q988" s="265" t="n"/>
      <c r="R988" s="332" t="n"/>
      <c r="S988" s="244">
        <f>Q988*R988</f>
        <v/>
      </c>
    </row>
    <row r="989" ht="22.2" customHeight="1" s="330">
      <c r="A989" s="4" t="n"/>
      <c r="E989" s="4" t="n"/>
      <c r="G989" s="308">
        <f>G943</f>
        <v/>
      </c>
      <c r="H989" s="325" t="n"/>
      <c r="I989" s="325" t="n"/>
      <c r="J989" s="252" t="n"/>
      <c r="K989" s="331" t="n"/>
      <c r="L989" s="252" t="n"/>
      <c r="M989" s="252" t="n"/>
      <c r="N989" s="252" t="n"/>
      <c r="O989" s="244">
        <f>M989*N989</f>
        <v/>
      </c>
      <c r="P989" s="252" t="n"/>
      <c r="Q989" s="252" t="n"/>
      <c r="R989" s="252" t="n"/>
      <c r="S989" s="244">
        <f>Q989*R989</f>
        <v/>
      </c>
    </row>
    <row r="990" ht="22.2" customHeight="1" s="330">
      <c r="A990" s="4" t="n"/>
      <c r="B990" s="5" t="n"/>
      <c r="E990" s="4" t="n"/>
      <c r="G990" s="252" t="n"/>
      <c r="H990" s="325" t="n"/>
      <c r="I990" s="325" t="n"/>
      <c r="J990" s="252" t="n"/>
      <c r="K990" s="331" t="n"/>
      <c r="L990" s="252" t="n"/>
      <c r="M990" s="252" t="n"/>
      <c r="N990" s="252" t="n"/>
      <c r="O990" s="244">
        <f>M990*N990</f>
        <v/>
      </c>
      <c r="P990" s="252" t="n"/>
      <c r="Q990" s="252" t="n"/>
      <c r="R990" s="252" t="n"/>
      <c r="S990" s="244">
        <f>Q990*R990</f>
        <v/>
      </c>
    </row>
    <row r="991" ht="22.2" customHeight="1" s="330">
      <c r="A991" s="4" t="n"/>
      <c r="E991" s="4" t="n"/>
      <c r="G991" s="252" t="n"/>
      <c r="H991" s="252" t="n"/>
      <c r="I991" s="252" t="n"/>
      <c r="J991" s="252" t="n"/>
      <c r="K991" s="331" t="n"/>
      <c r="L991" s="252" t="n"/>
      <c r="M991" s="252" t="n"/>
      <c r="N991" s="252" t="n"/>
      <c r="O991" s="244">
        <f>M991*N991</f>
        <v/>
      </c>
      <c r="P991" s="252" t="n"/>
      <c r="Q991" s="252" t="n"/>
      <c r="R991" s="252" t="n"/>
      <c r="S991" s="244">
        <f>Q991*R991</f>
        <v/>
      </c>
    </row>
    <row r="992" ht="22.2" customHeight="1" s="330">
      <c r="A992" s="4" t="n"/>
      <c r="E992" s="4" t="n"/>
      <c r="G992" s="276" t="n"/>
      <c r="H992" s="301" t="n"/>
      <c r="I992" s="276" t="n"/>
      <c r="J992" s="276" t="n"/>
      <c r="K992" s="476" t="n"/>
      <c r="L992" s="276" t="n"/>
      <c r="M992" s="276" t="n"/>
      <c r="N992" s="276" t="n"/>
      <c r="O992" s="244">
        <f>M992*N992</f>
        <v/>
      </c>
      <c r="P992" s="276" t="n"/>
      <c r="Q992" s="276" t="n"/>
      <c r="R992" s="276" t="n"/>
      <c r="S992" s="244">
        <f>Q992*R992</f>
        <v/>
      </c>
    </row>
    <row r="993" ht="22.2" customHeight="1" s="330">
      <c r="A993" s="4" t="n"/>
      <c r="E993" s="4" t="n"/>
      <c r="G993" s="62" t="inlineStr">
        <is>
          <t>ศุกร์</t>
        </is>
      </c>
      <c r="H993" s="325" t="inlineStr">
        <is>
          <t>20101-2104</t>
        </is>
      </c>
      <c r="I993" s="325" t="inlineStr">
        <is>
          <t>ปวช.3/4 ชย. (ปกติ)</t>
        </is>
      </c>
      <c r="J993" s="332" t="inlineStr">
        <is>
          <t>09.10-12.10</t>
        </is>
      </c>
      <c r="K993" s="335" t="n"/>
      <c r="L993" s="265" t="n"/>
      <c r="M993" s="332" t="n"/>
      <c r="N993" s="332" t="n"/>
      <c r="O993" s="244">
        <f>M993*N993</f>
        <v/>
      </c>
      <c r="P993" s="332" t="n"/>
      <c r="Q993" s="265" t="n"/>
      <c r="R993" s="332" t="n"/>
      <c r="S993" s="244">
        <f>Q993*R993</f>
        <v/>
      </c>
    </row>
    <row r="994" ht="22.2" customHeight="1" s="330">
      <c r="A994" s="4" t="n"/>
      <c r="E994" s="4" t="n"/>
      <c r="G994" s="308">
        <f>G948</f>
        <v/>
      </c>
      <c r="H994" s="325" t="inlineStr">
        <is>
          <t>20101-2104</t>
        </is>
      </c>
      <c r="I994" s="325" t="inlineStr">
        <is>
          <t>ปวช.3/4 ชย. (ปกติ)</t>
        </is>
      </c>
      <c r="J994" s="252" t="inlineStr">
        <is>
          <t>13.10-17.10</t>
        </is>
      </c>
      <c r="K994" s="331" t="n"/>
      <c r="L994" s="252" t="n"/>
      <c r="M994" s="252" t="n"/>
      <c r="N994" s="252" t="n"/>
      <c r="O994" s="244">
        <f>M994*N994</f>
        <v/>
      </c>
      <c r="P994" s="252" t="n"/>
      <c r="Q994" s="252" t="n"/>
      <c r="R994" s="252" t="n"/>
      <c r="S994" s="244">
        <f>Q994*R994</f>
        <v/>
      </c>
    </row>
    <row r="995" ht="22.2" customHeight="1" s="330">
      <c r="A995" s="4" t="n"/>
      <c r="E995" s="4" t="n"/>
      <c r="G995" s="252" t="n"/>
      <c r="H995" s="252" t="n"/>
      <c r="I995" s="252" t="n"/>
      <c r="J995" s="325" t="n"/>
      <c r="K995" s="331" t="n"/>
      <c r="L995" s="285" t="n"/>
      <c r="M995" s="325" t="n"/>
      <c r="N995" s="325" t="n"/>
      <c r="O995" s="244">
        <f>M995*N995</f>
        <v/>
      </c>
      <c r="P995" s="325" t="n"/>
      <c r="Q995" s="285" t="n"/>
      <c r="R995" s="325" t="n"/>
      <c r="S995" s="244">
        <f>Q995*R995</f>
        <v/>
      </c>
    </row>
    <row r="996" ht="22.2" customHeight="1" s="330">
      <c r="A996" s="4" t="n"/>
      <c r="E996" s="4" t="n"/>
      <c r="G996" s="252" t="n"/>
      <c r="H996" s="252" t="n"/>
      <c r="I996" s="252" t="n"/>
      <c r="J996" s="252" t="n"/>
      <c r="K996" s="331" t="n"/>
      <c r="L996" s="252" t="n"/>
      <c r="M996" s="252" t="n"/>
      <c r="N996" s="252" t="n"/>
      <c r="O996" s="244">
        <f>M996*N996</f>
        <v/>
      </c>
      <c r="P996" s="252" t="n"/>
      <c r="Q996" s="252" t="n"/>
      <c r="R996" s="252" t="n"/>
      <c r="S996" s="244">
        <f>Q996*R996</f>
        <v/>
      </c>
    </row>
    <row r="997" ht="22.2" customHeight="1" s="330">
      <c r="A997" s="4" t="n"/>
      <c r="E997" s="4" t="n"/>
      <c r="F997" s="4" t="n"/>
      <c r="G997" s="278" t="n"/>
      <c r="H997" s="277" t="n"/>
      <c r="I997" s="276" t="n"/>
      <c r="J997" s="276" t="n"/>
      <c r="K997" s="476" t="n"/>
      <c r="L997" s="276" t="n"/>
      <c r="M997" s="276" t="n"/>
      <c r="N997" s="276" t="n"/>
      <c r="O997" s="244">
        <f>M997*N997</f>
        <v/>
      </c>
      <c r="P997" s="276" t="n"/>
      <c r="Q997" s="276" t="n"/>
      <c r="R997" s="276" t="n"/>
      <c r="S997" s="244">
        <f>Q997*R997</f>
        <v/>
      </c>
    </row>
    <row r="998" ht="22.2" customHeight="1" s="330">
      <c r="A998" s="4" t="n"/>
      <c r="E998" s="4" t="n"/>
      <c r="F998" s="4" t="n"/>
      <c r="G998" s="17" t="inlineStr">
        <is>
          <t>รวมขั่วโมงที่สอนแยก ภาระงาน/ เกินภาระงาน</t>
        </is>
      </c>
      <c r="H998" s="467" t="n"/>
      <c r="I998" s="467" t="n"/>
      <c r="J998" s="467" t="n"/>
      <c r="K998" s="362" t="n"/>
      <c r="L998" s="17">
        <f>SUM(L973:L997)</f>
        <v/>
      </c>
      <c r="M998" s="17">
        <f>SUM(M973:M997)</f>
        <v/>
      </c>
      <c r="N998" s="17" t="n"/>
      <c r="O998" s="17" t="n"/>
      <c r="P998" s="17">
        <f>SUM(P973:P997)</f>
        <v/>
      </c>
      <c r="Q998" s="17">
        <f>SUM(Q973:Q997)</f>
        <v/>
      </c>
      <c r="R998" s="279" t="n"/>
      <c r="S998" s="17" t="n"/>
      <c r="T998" s="25" t="n"/>
      <c r="U998" s="26" t="inlineStr">
        <is>
          <t xml:space="preserve">     PLC</t>
        </is>
      </c>
      <c r="V998" s="64" t="n"/>
      <c r="W998" s="27" t="n"/>
      <c r="X998" s="27" t="n"/>
    </row>
    <row r="999" ht="22.2" customHeight="1" s="330">
      <c r="A999" s="4" t="n"/>
      <c r="E999" s="4" t="n"/>
      <c r="F999" s="4" t="n"/>
      <c r="G999" s="17" t="inlineStr">
        <is>
          <t>รวมจำนวนชั่วโมงสอนคาบต่อสับดาห์</t>
        </is>
      </c>
      <c r="H999" s="467" t="n"/>
      <c r="I999" s="467" t="n"/>
      <c r="J999" s="467" t="n"/>
      <c r="K999" s="362" t="n"/>
      <c r="L999" s="17">
        <f>L998+M998</f>
        <v/>
      </c>
      <c r="M999" s="362" t="n"/>
      <c r="N999" s="298" t="n"/>
      <c r="O999" s="17" t="n"/>
      <c r="P999" s="17">
        <f>P998+Q998</f>
        <v/>
      </c>
      <c r="Q999" s="362" t="n"/>
      <c r="R999" s="278" t="n"/>
      <c r="S999" s="276" t="n"/>
      <c r="T999" s="27" t="inlineStr">
        <is>
          <t> </t>
        </is>
      </c>
      <c r="U999" s="26" t="inlineStr">
        <is>
          <t>17.10-19.10</t>
        </is>
      </c>
      <c r="V999" s="64" t="n"/>
      <c r="W999" s="27" t="n"/>
      <c r="X999" s="27" t="n"/>
    </row>
    <row r="1000" ht="22.2" customHeight="1" s="330">
      <c r="A1000" s="4" t="n"/>
      <c r="E1000" s="4" t="n"/>
      <c r="F1000" s="4" t="n"/>
      <c r="G1000" s="17" t="inlineStr">
        <is>
          <t>จำนวนชั่วโมงสอนตามภาระงานสอน</t>
        </is>
      </c>
      <c r="H1000" s="467" t="n"/>
      <c r="I1000" s="467" t="n"/>
      <c r="J1000" s="467" t="n"/>
      <c r="K1000" s="362" t="n"/>
      <c r="L1000" s="17" t="n">
        <v>18</v>
      </c>
      <c r="M1000" s="362" t="n"/>
      <c r="N1000" s="298" t="n"/>
      <c r="O1000" s="17" t="n"/>
      <c r="P1000" s="17" t="n">
        <v>0</v>
      </c>
      <c r="Q1000" s="362" t="n"/>
      <c r="R1000" s="249" t="n"/>
      <c r="S1000" s="252" t="n"/>
    </row>
    <row r="1001" ht="22.2" customHeight="1" s="330" thickBot="1">
      <c r="A1001" s="4" t="n"/>
      <c r="E1001" s="4" t="n"/>
      <c r="F1001" s="15" t="n"/>
      <c r="G1001" s="17" t="inlineStr">
        <is>
          <t>จำนวนชั่วโมงบิกเกินภาระงานสอน/ค่าสอน</t>
        </is>
      </c>
      <c r="H1001" s="467" t="n"/>
      <c r="I1001" s="467" t="n"/>
      <c r="J1001" s="467" t="n"/>
      <c r="K1001" s="362" t="n"/>
      <c r="L1001" s="18" t="n">
        <v>0</v>
      </c>
      <c r="M1001" s="18">
        <f>SUM(M973:M997)</f>
        <v/>
      </c>
      <c r="N1001" s="18" t="n"/>
      <c r="O1001" s="18">
        <f>SUM(O973:O997)</f>
        <v/>
      </c>
      <c r="P1001" s="18" t="n">
        <v>0</v>
      </c>
      <c r="Q1001" s="18">
        <f>SUM(Q973:Q997)</f>
        <v/>
      </c>
      <c r="R1001" s="19" t="n"/>
      <c r="S1001" s="18">
        <f>SUM(S973:S997)</f>
        <v/>
      </c>
    </row>
    <row r="1002" ht="22.2" customHeight="1" s="330" thickTop="1">
      <c r="A1002" s="299" t="inlineStr">
        <is>
          <t>รวมจำนวนหน่วยชั่วโมงที่ขอเบิกค่าสอน ….</t>
        </is>
      </c>
      <c r="B1002" s="467" t="n"/>
      <c r="C1002" s="467" t="n"/>
      <c r="D1002" s="467" t="n"/>
      <c r="E1002" s="467" t="n"/>
      <c r="F1002" s="467" t="n"/>
      <c r="G1002" s="467" t="n"/>
      <c r="H1002" s="298">
        <f>M1001+Q1001</f>
        <v/>
      </c>
      <c r="I1002" s="298" t="inlineStr">
        <is>
          <t>….ชั่วโมง</t>
        </is>
      </c>
      <c r="J1002" s="298" t="n"/>
      <c r="K1002" s="301" t="inlineStr">
        <is>
          <t>ยอดเงินรวม</t>
        </is>
      </c>
      <c r="L1002" s="471" t="n"/>
      <c r="M1002" s="471" t="n"/>
      <c r="N1002" s="301" t="n"/>
      <c r="O1002" s="301" t="n"/>
      <c r="P1002" s="302">
        <f>S1001+O1001</f>
        <v/>
      </c>
      <c r="Q1002" s="482" t="n"/>
      <c r="R1002" s="21" t="n"/>
      <c r="S1002" s="20" t="inlineStr">
        <is>
          <t>..บาท</t>
        </is>
      </c>
    </row>
    <row r="1003" ht="22.2" customHeight="1" s="330">
      <c r="A1003" s="207" t="inlineStr">
        <is>
          <t>ผู้ขอเบิก</t>
        </is>
      </c>
      <c r="B1003" s="334" t="n"/>
      <c r="C1003" s="334" t="n"/>
      <c r="D1003" s="334" t="n"/>
      <c r="E1003" s="334" t="n"/>
      <c r="F1003" s="334" t="n"/>
      <c r="G1003" s="335" t="n"/>
      <c r="H1003" s="207" t="inlineStr">
        <is>
          <t>ผู้รับรอง</t>
        </is>
      </c>
      <c r="I1003" s="334" t="n"/>
      <c r="J1003" s="334" t="n"/>
      <c r="K1003" s="334" t="n"/>
      <c r="L1003" s="335" t="n"/>
      <c r="M1003" s="207" t="inlineStr">
        <is>
          <t>ผู้ตรวจ</t>
        </is>
      </c>
      <c r="N1003" s="334" t="n"/>
      <c r="O1003" s="334" t="n"/>
      <c r="P1003" s="334" t="n"/>
      <c r="Q1003" s="334" t="n"/>
      <c r="R1003" s="334" t="n"/>
      <c r="S1003" s="335" t="n"/>
    </row>
    <row r="1004" ht="22.2" customHeight="1" s="330">
      <c r="A1004" s="252" t="inlineStr">
        <is>
          <t>ลงชื่อ……………………………………………</t>
        </is>
      </c>
      <c r="G1004" s="331" t="n"/>
      <c r="H1004" s="252" t="inlineStr">
        <is>
          <t>ลงชื่อ……………………………………………</t>
        </is>
      </c>
      <c r="L1004" s="331" t="n"/>
      <c r="M1004" s="252" t="inlineStr">
        <is>
          <t>ลงชื่อ……………………………………………</t>
        </is>
      </c>
      <c r="S1004" s="331" t="n"/>
    </row>
    <row r="1005" ht="22.2" customHeight="1" s="330">
      <c r="A1005" s="12" t="inlineStr">
        <is>
          <t>(</t>
        </is>
      </c>
      <c r="B1005" s="309">
        <f>B973</f>
        <v/>
      </c>
      <c r="G1005" s="310" t="inlineStr">
        <is>
          <t>)</t>
        </is>
      </c>
      <c r="H1005" s="309" t="inlineStr">
        <is>
          <t>(</t>
        </is>
      </c>
      <c r="I1005" s="314">
        <f>I959</f>
        <v/>
      </c>
      <c r="L1005" s="13" t="inlineStr">
        <is>
          <t>)</t>
        </is>
      </c>
      <c r="M1005" s="61" t="inlineStr">
        <is>
          <t>(</t>
        </is>
      </c>
      <c r="N1005" s="61" t="n"/>
      <c r="O1005" s="309" t="inlineStr">
        <is>
          <t>นายพิสุทธิศักดิ์  กล่อมนาค</t>
        </is>
      </c>
      <c r="R1005" s="29" t="n"/>
      <c r="S1005" s="310" t="inlineStr">
        <is>
          <t>)</t>
        </is>
      </c>
    </row>
    <row r="1006" ht="22.2" customHeight="1" s="330">
      <c r="A1006" s="483" t="inlineStr">
        <is>
          <t xml:space="preserve">                 ตำแหน่ง  ครูพิเศษ</t>
        </is>
      </c>
      <c r="G1006" s="331" t="n"/>
      <c r="H1006" s="62" t="inlineStr">
        <is>
          <t>ตำแหน่ง หัวหน้าแผนก</t>
        </is>
      </c>
      <c r="L1006" s="331" t="n"/>
      <c r="M1006" s="62" t="inlineStr">
        <is>
          <t>ตำแหน่ง   ผู้ตรวจสอบ</t>
        </is>
      </c>
      <c r="S1006" s="331" t="n"/>
    </row>
    <row r="1007" ht="22.2" customHeight="1" s="330">
      <c r="A1007" s="63">
        <f>A41</f>
        <v/>
      </c>
      <c r="B1007" s="471" t="n"/>
      <c r="C1007" s="471" t="n"/>
      <c r="D1007" s="471" t="n"/>
      <c r="E1007" s="471" t="n"/>
      <c r="F1007" s="471" t="n"/>
      <c r="G1007" s="476" t="n"/>
      <c r="H1007" s="62">
        <f>A41</f>
        <v/>
      </c>
      <c r="L1007" s="331" t="n"/>
      <c r="M1007" s="63">
        <f>A41</f>
        <v/>
      </c>
      <c r="N1007" s="471" t="n"/>
      <c r="O1007" s="471" t="n"/>
      <c r="P1007" s="471" t="n"/>
      <c r="Q1007" s="471" t="n"/>
      <c r="R1007" s="471" t="n"/>
      <c r="S1007" s="476" t="n"/>
    </row>
    <row r="1008" ht="22.2" customHeight="1" s="330">
      <c r="A1008" s="207" t="inlineStr">
        <is>
          <t>ผู้ตรวจ</t>
        </is>
      </c>
      <c r="B1008" s="334" t="n"/>
      <c r="C1008" s="334" t="n"/>
      <c r="D1008" s="334" t="n"/>
      <c r="E1008" s="334" t="n"/>
      <c r="F1008" s="334" t="n"/>
      <c r="G1008" s="334" t="n"/>
      <c r="H1008" s="334" t="n"/>
      <c r="I1008" s="335" t="n"/>
      <c r="J1008" s="207" t="inlineStr">
        <is>
          <t>ผู้เห็นชอบ</t>
        </is>
      </c>
      <c r="K1008" s="334" t="n"/>
      <c r="L1008" s="334" t="n"/>
      <c r="M1008" s="334" t="n"/>
      <c r="N1008" s="334" t="n"/>
      <c r="O1008" s="334" t="n"/>
      <c r="P1008" s="334" t="n"/>
      <c r="Q1008" s="334" t="n"/>
      <c r="R1008" s="334" t="n"/>
      <c r="S1008" s="335" t="n"/>
    </row>
    <row r="1009" ht="22.2" customHeight="1" s="330">
      <c r="A1009" s="252" t="inlineStr">
        <is>
          <t>ลงชื่อ……………………………………………</t>
        </is>
      </c>
      <c r="I1009" s="331" t="n"/>
      <c r="J1009" s="252" t="inlineStr">
        <is>
          <t>ลงชื่อ……………………………………………</t>
        </is>
      </c>
      <c r="S1009" s="331" t="n"/>
    </row>
    <row r="1010" ht="22.2" customHeight="1" s="330">
      <c r="A1010" s="12" t="n"/>
      <c r="B1010" s="309" t="inlineStr">
        <is>
          <t xml:space="preserve">          (นางศิวรักษ์   บุญประเสริฐ)</t>
        </is>
      </c>
      <c r="I1010" s="310" t="n"/>
      <c r="J1010" s="29" t="n"/>
      <c r="K1010" s="29" t="n"/>
      <c r="L1010" s="309" t="inlineStr">
        <is>
          <t>(นายปรีชา  โพธิ์เกิด)</t>
        </is>
      </c>
      <c r="R1010" s="29" t="n"/>
      <c r="S1010" s="13" t="n"/>
    </row>
    <row r="1011" ht="22.2" customHeight="1" s="330">
      <c r="A1011" s="62" t="inlineStr">
        <is>
          <t>ตำแหน่งครู  หัวหน้างานพัฒนาหลักสูตร ฯ</t>
        </is>
      </c>
      <c r="I1011" s="331" t="n"/>
      <c r="J1011" s="62" t="inlineStr">
        <is>
          <t>ตำแหน่ง  รองผู้อำนวยการฝ่ายวิชาการ</t>
        </is>
      </c>
      <c r="S1011" s="331" t="n"/>
    </row>
    <row r="1012" ht="22.2" customHeight="1" s="330">
      <c r="A1012" s="63">
        <f>A41</f>
        <v/>
      </c>
      <c r="B1012" s="471" t="n"/>
      <c r="C1012" s="471" t="n"/>
      <c r="D1012" s="471" t="n"/>
      <c r="E1012" s="471" t="n"/>
      <c r="F1012" s="471" t="n"/>
      <c r="G1012" s="471" t="n"/>
      <c r="H1012" s="471" t="n"/>
      <c r="I1012" s="476" t="n"/>
      <c r="J1012" s="63">
        <f>A41</f>
        <v/>
      </c>
      <c r="K1012" s="471" t="n"/>
      <c r="L1012" s="471" t="n"/>
      <c r="M1012" s="471" t="n"/>
      <c r="N1012" s="471" t="n"/>
      <c r="O1012" s="471" t="n"/>
      <c r="P1012" s="471" t="n"/>
      <c r="Q1012" s="471" t="n"/>
      <c r="R1012" s="471" t="n"/>
      <c r="S1012" s="476" t="n"/>
    </row>
    <row r="1013" ht="22.2" customHeight="1" s="330">
      <c r="A101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014" ht="22.2" customHeight="1" s="330">
      <c r="A1014" s="254">
        <f>A2</f>
        <v/>
      </c>
    </row>
    <row r="1015" ht="22.2" customHeight="1" s="330">
      <c r="A1015" s="253" t="inlineStr">
        <is>
          <t xml:space="preserve">    ระหว่างวันที่</t>
        </is>
      </c>
      <c r="D1015" s="254">
        <f>D3</f>
        <v/>
      </c>
      <c r="E1015" s="254" t="inlineStr">
        <is>
          <t xml:space="preserve">   เดือน  </t>
        </is>
      </c>
      <c r="F1015" s="254">
        <f>F3</f>
        <v/>
      </c>
      <c r="H1015" s="254">
        <f>H3</f>
        <v/>
      </c>
      <c r="I1015" s="254" t="inlineStr">
        <is>
          <t xml:space="preserve">     ถึง วันที่</t>
        </is>
      </c>
      <c r="J1015" s="254">
        <f>J3</f>
        <v/>
      </c>
      <c r="K1015" s="254" t="inlineStr">
        <is>
          <t xml:space="preserve">   เดือน </t>
        </is>
      </c>
      <c r="L1015" s="254">
        <f>L3</f>
        <v/>
      </c>
      <c r="N1015" s="254">
        <f>N3</f>
        <v/>
      </c>
      <c r="P1015" s="254" t="n"/>
      <c r="R1015" s="254" t="n"/>
    </row>
    <row r="1016" ht="22.2" customHeight="1" s="330">
      <c r="G1016" s="58" t="inlineStr">
        <is>
          <t>ü</t>
        </is>
      </c>
      <c r="H1016" s="8" t="inlineStr">
        <is>
          <t>ครูพิเศษ</t>
        </is>
      </c>
      <c r="I1016" s="249" t="inlineStr">
        <is>
          <t>หน้าที่พิเศษ</t>
        </is>
      </c>
      <c r="K1016" s="290" t="n"/>
    </row>
    <row r="1017" ht="22.2" customHeight="1" s="330">
      <c r="A1017" s="28" t="inlineStr">
        <is>
          <t>ที่</t>
        </is>
      </c>
      <c r="B1017" s="28" t="inlineStr">
        <is>
          <t>ชื่อ-สกุล</t>
        </is>
      </c>
      <c r="C1017" s="334" t="n"/>
      <c r="D1017" s="335" t="n"/>
      <c r="E1017" s="16" t="inlineStr">
        <is>
          <t>ตำแหน่ง</t>
        </is>
      </c>
      <c r="F1017" s="17" t="inlineStr">
        <is>
          <t>ระยะเวลาที่สอน</t>
        </is>
      </c>
      <c r="G1017" s="362" t="n"/>
      <c r="H1017" s="17" t="inlineStr">
        <is>
          <t>รหัสวิชา</t>
        </is>
      </c>
      <c r="I1017" s="275" t="inlineStr">
        <is>
          <t>ชั้น,แผนก,ห้อง</t>
        </is>
      </c>
      <c r="J1017" s="17" t="inlineStr">
        <is>
          <t>เวลาสอน</t>
        </is>
      </c>
      <c r="K1017" s="335" t="n"/>
      <c r="L1017" s="17" t="inlineStr">
        <is>
          <t>ปวช.(คาบ)</t>
        </is>
      </c>
      <c r="M1017" s="362" t="n"/>
      <c r="N1017" s="244" t="inlineStr">
        <is>
          <t>เงิน</t>
        </is>
      </c>
      <c r="O1017" s="275" t="inlineStr">
        <is>
          <t>ยอดเงิน</t>
        </is>
      </c>
      <c r="P1017" s="473" t="inlineStr">
        <is>
          <t>ปวส.(คาบ)</t>
        </is>
      </c>
      <c r="Q1017" s="362" t="n"/>
      <c r="R1017" s="244" t="inlineStr">
        <is>
          <t>เงิน</t>
        </is>
      </c>
      <c r="S1017" s="275" t="inlineStr">
        <is>
          <t>ยอดเงิน</t>
        </is>
      </c>
    </row>
    <row r="1018" ht="22.2" customHeight="1" s="330">
      <c r="A1018" s="60" t="n"/>
      <c r="B1018" s="9" t="n"/>
      <c r="C1018" s="10" t="n"/>
      <c r="D1018" s="14" t="n"/>
      <c r="E1018" s="11" t="n"/>
      <c r="F1018" s="276" t="inlineStr">
        <is>
          <t>ส.</t>
        </is>
      </c>
      <c r="G1018" s="276" t="inlineStr">
        <is>
          <t>วดป.</t>
        </is>
      </c>
      <c r="H1018" s="474" t="n"/>
      <c r="I1018" s="276" t="n"/>
      <c r="J1018" s="475" t="n"/>
      <c r="K1018" s="476" t="n"/>
      <c r="L1018" s="276" t="inlineStr">
        <is>
          <t>ใน</t>
        </is>
      </c>
      <c r="M1018" s="276" t="inlineStr">
        <is>
          <t>นอก</t>
        </is>
      </c>
      <c r="N1018" s="276" t="inlineStr">
        <is>
          <t>ต่อ ชม.</t>
        </is>
      </c>
      <c r="O1018" s="276" t="inlineStr">
        <is>
          <t>(บาท)</t>
        </is>
      </c>
      <c r="P1018" s="60" t="inlineStr">
        <is>
          <t>ใน</t>
        </is>
      </c>
      <c r="Q1018" s="60" t="inlineStr">
        <is>
          <t>นอก</t>
        </is>
      </c>
      <c r="R1018" s="276" t="inlineStr">
        <is>
          <t>ต่อ ชม.</t>
        </is>
      </c>
      <c r="S1018" s="276" t="inlineStr">
        <is>
          <t>(บาท)</t>
        </is>
      </c>
    </row>
    <row r="1019" ht="22.2" customHeight="1" s="330">
      <c r="A1019" s="275" t="n">
        <v>23</v>
      </c>
      <c r="B1019" s="477">
        <f>AB25</f>
        <v/>
      </c>
      <c r="C1019" s="334" t="n"/>
      <c r="D1019" s="335" t="n"/>
      <c r="E1019" s="275" t="inlineStr">
        <is>
          <t>ครู</t>
        </is>
      </c>
      <c r="F1019" s="6">
        <f>F7</f>
        <v/>
      </c>
      <c r="G1019" s="303" t="inlineStr">
        <is>
          <t>จันทร์</t>
        </is>
      </c>
      <c r="H1019" s="252" t="inlineStr">
        <is>
          <t>20101-8501</t>
        </is>
      </c>
      <c r="I1019" s="325" t="inlineStr">
        <is>
          <t>ปวช.3/9,10 ชย. (ทวิ)</t>
        </is>
      </c>
      <c r="J1019" s="332" t="inlineStr">
        <is>
          <t>08.10-12.10</t>
        </is>
      </c>
      <c r="K1019" s="335" t="n"/>
      <c r="L1019" s="265" t="n"/>
      <c r="M1019" s="332" t="n"/>
      <c r="N1019" s="332" t="n"/>
      <c r="O1019" s="244">
        <f>M1019*N1019</f>
        <v/>
      </c>
      <c r="P1019" s="332" t="n"/>
      <c r="Q1019" s="265" t="n"/>
      <c r="R1019" s="332" t="n"/>
      <c r="S1019" s="244">
        <f>Q1019*R1019</f>
        <v/>
      </c>
    </row>
    <row r="1020" ht="22.2" customHeight="1" s="330">
      <c r="A1020" s="4" t="n"/>
      <c r="B1020" s="478" t="n"/>
      <c r="D1020" s="331" t="n"/>
      <c r="E1020" s="252" t="inlineStr">
        <is>
          <t>พิเศษ</t>
        </is>
      </c>
      <c r="F1020" s="249" t="n"/>
      <c r="G1020" s="308">
        <f>G974</f>
        <v/>
      </c>
      <c r="H1020" s="252" t="n"/>
      <c r="I1020" s="325" t="n"/>
      <c r="J1020" s="325" t="n"/>
      <c r="K1020" s="331" t="n"/>
      <c r="L1020" s="252" t="n"/>
      <c r="M1020" s="252" t="n"/>
      <c r="N1020" s="252" t="n"/>
      <c r="O1020" s="244">
        <f>M1020*N1020</f>
        <v/>
      </c>
      <c r="P1020" s="252" t="n"/>
      <c r="Q1020" s="252" t="n"/>
      <c r="R1020" s="252" t="n"/>
      <c r="S1020" s="244">
        <f>Q1020*R1020</f>
        <v/>
      </c>
    </row>
    <row r="1021" ht="22.2" customHeight="1" s="330">
      <c r="A1021" s="4" t="n"/>
      <c r="B1021" s="5" t="n"/>
      <c r="D1021" s="3" t="n"/>
      <c r="E1021" s="3" t="n"/>
      <c r="F1021" s="249" t="n"/>
      <c r="G1021" s="248" t="n"/>
      <c r="H1021" s="252" t="n"/>
      <c r="I1021" s="252" t="n"/>
      <c r="J1021" s="252" t="n"/>
      <c r="K1021" s="331" t="n"/>
      <c r="L1021" s="252" t="n"/>
      <c r="M1021" s="252" t="n"/>
      <c r="N1021" s="252" t="n"/>
      <c r="O1021" s="244">
        <f>M1021*N1021</f>
        <v/>
      </c>
      <c r="P1021" s="252" t="n"/>
      <c r="Q1021" s="252" t="n"/>
      <c r="R1021" s="252" t="n"/>
      <c r="S1021" s="244">
        <f>Q1021*R1021</f>
        <v/>
      </c>
    </row>
    <row r="1022" ht="22.2" customHeight="1" s="330">
      <c r="A1022" s="4" t="n"/>
      <c r="B1022" s="5" t="n"/>
      <c r="E1022" s="4" t="n"/>
      <c r="F1022" s="249" t="n"/>
      <c r="G1022" s="248" t="n"/>
      <c r="H1022" s="252" t="n"/>
      <c r="I1022" s="252" t="n"/>
      <c r="J1022" s="252" t="n"/>
      <c r="K1022" s="331" t="n"/>
      <c r="L1022" s="252" t="n"/>
      <c r="M1022" s="252" t="n"/>
      <c r="N1022" s="252" t="n"/>
      <c r="O1022" s="244">
        <f>M1022*N1022</f>
        <v/>
      </c>
      <c r="P1022" s="252" t="n"/>
      <c r="Q1022" s="252" t="n"/>
      <c r="R1022" s="252" t="n"/>
      <c r="S1022" s="244">
        <f>Q1022*R1022</f>
        <v/>
      </c>
    </row>
    <row r="1023" ht="22.2" customHeight="1" s="330">
      <c r="A1023" s="4" t="n"/>
      <c r="E1023" s="4" t="n"/>
      <c r="G1023" s="311" t="n"/>
      <c r="H1023" s="276" t="n"/>
      <c r="I1023" s="276" t="n"/>
      <c r="J1023" s="276" t="n"/>
      <c r="K1023" s="476" t="n"/>
      <c r="L1023" s="252" t="n"/>
      <c r="M1023" s="252" t="n"/>
      <c r="N1023" s="252" t="n"/>
      <c r="O1023" s="244">
        <f>M1023*N1023</f>
        <v/>
      </c>
      <c r="P1023" s="252" t="n"/>
      <c r="Q1023" s="252" t="n"/>
      <c r="R1023" s="252" t="n"/>
      <c r="S1023" s="244">
        <f>Q1023*R1023</f>
        <v/>
      </c>
    </row>
    <row r="1024" ht="22.2" customHeight="1" s="330">
      <c r="A1024" s="4" t="n"/>
      <c r="E1024" s="4" t="n"/>
      <c r="G1024" s="62" t="inlineStr">
        <is>
          <t>อังคาร</t>
        </is>
      </c>
      <c r="H1024" s="252" t="inlineStr">
        <is>
          <t>20101-2001</t>
        </is>
      </c>
      <c r="I1024" s="325" t="inlineStr">
        <is>
          <t>ปวช.1/10 ชย. (ทวิ)</t>
        </is>
      </c>
      <c r="J1024" s="332" t="inlineStr">
        <is>
          <t>08.10-12.10</t>
        </is>
      </c>
      <c r="K1024" s="335" t="n"/>
      <c r="L1024" s="265" t="n"/>
      <c r="M1024" s="332" t="n"/>
      <c r="N1024" s="332" t="n"/>
      <c r="O1024" s="244">
        <f>M1024*N1024</f>
        <v/>
      </c>
      <c r="P1024" s="332" t="n"/>
      <c r="Q1024" s="265" t="n"/>
      <c r="R1024" s="332" t="n"/>
      <c r="S1024" s="244">
        <f>Q1024*R1024</f>
        <v/>
      </c>
    </row>
    <row r="1025" ht="22.2" customHeight="1" s="330">
      <c r="A1025" s="4" t="n"/>
      <c r="E1025" s="4" t="n"/>
      <c r="G1025" s="308">
        <f>G979</f>
        <v/>
      </c>
      <c r="H1025" s="252" t="inlineStr">
        <is>
          <t>20101-2001</t>
        </is>
      </c>
      <c r="I1025" s="325" t="inlineStr">
        <is>
          <t>ปวช.1/10 ชย. (ทวิ)</t>
        </is>
      </c>
      <c r="J1025" s="252" t="inlineStr">
        <is>
          <t>13.10-16.10</t>
        </is>
      </c>
      <c r="K1025" s="331" t="n"/>
      <c r="L1025" s="252" t="n"/>
      <c r="M1025" s="252" t="n"/>
      <c r="N1025" s="252" t="n"/>
      <c r="O1025" s="244">
        <f>M1025*N1025</f>
        <v/>
      </c>
      <c r="P1025" s="252" t="n"/>
      <c r="Q1025" s="252" t="n"/>
      <c r="R1025" s="252" t="n"/>
      <c r="S1025" s="244">
        <f>Q1025*R1025</f>
        <v/>
      </c>
    </row>
    <row r="1026" ht="22.2" customHeight="1" s="330">
      <c r="A1026" s="4" t="n"/>
      <c r="B1026" s="5" t="n"/>
      <c r="D1026" s="3" t="n"/>
      <c r="E1026" s="3" t="n"/>
      <c r="G1026" s="252" t="n"/>
      <c r="H1026" s="252" t="n"/>
      <c r="I1026" s="252" t="n"/>
      <c r="J1026" s="252" t="n"/>
      <c r="K1026" s="331" t="n"/>
      <c r="L1026" s="252" t="n"/>
      <c r="M1026" s="252" t="n"/>
      <c r="N1026" s="252" t="n"/>
      <c r="O1026" s="244">
        <f>M1026*N1026</f>
        <v/>
      </c>
      <c r="P1026" s="252" t="n"/>
      <c r="Q1026" s="252" t="n"/>
      <c r="R1026" s="252" t="n"/>
      <c r="S1026" s="244">
        <f>Q1026*R1026</f>
        <v/>
      </c>
    </row>
    <row r="1027" ht="22.2" customHeight="1" s="330">
      <c r="A1027" s="4" t="n"/>
      <c r="E1027" s="4" t="n"/>
      <c r="G1027" s="62" t="n"/>
      <c r="H1027" s="252" t="n"/>
      <c r="I1027" s="252" t="n"/>
      <c r="J1027" s="252" t="n"/>
      <c r="K1027" s="331" t="n"/>
      <c r="L1027" s="252" t="n"/>
      <c r="M1027" s="252" t="n"/>
      <c r="N1027" s="252" t="n"/>
      <c r="O1027" s="244">
        <f>M1027*N1027</f>
        <v/>
      </c>
      <c r="P1027" s="252" t="n"/>
      <c r="Q1027" s="252" t="n"/>
      <c r="R1027" s="252" t="n"/>
      <c r="S1027" s="244">
        <f>Q1027*R1027</f>
        <v/>
      </c>
    </row>
    <row r="1028" ht="22.2" customHeight="1" s="330">
      <c r="A1028" s="4" t="n"/>
      <c r="D1028" s="8" t="inlineStr">
        <is>
          <t> </t>
        </is>
      </c>
      <c r="E1028" s="4" t="n"/>
      <c r="G1028" s="63" t="n"/>
      <c r="H1028" s="276" t="n"/>
      <c r="I1028" s="276" t="n"/>
      <c r="J1028" s="276" t="n"/>
      <c r="K1028" s="476" t="n"/>
      <c r="L1028" s="252" t="n"/>
      <c r="M1028" s="252" t="n"/>
      <c r="N1028" s="252" t="n"/>
      <c r="O1028" s="244">
        <f>M1028*N1028</f>
        <v/>
      </c>
      <c r="P1028" s="252" t="n"/>
      <c r="Q1028" s="252" t="n"/>
      <c r="R1028" s="252" t="n"/>
      <c r="S1028" s="244">
        <f>Q1028*R1028</f>
        <v/>
      </c>
    </row>
    <row r="1029" ht="22.2" customHeight="1" s="330">
      <c r="A1029" s="4" t="n"/>
      <c r="E1029" s="4" t="n"/>
      <c r="G1029" s="308" t="inlineStr">
        <is>
          <t>พุธ</t>
        </is>
      </c>
      <c r="H1029" s="252" t="inlineStr">
        <is>
          <t>20101-2101</t>
        </is>
      </c>
      <c r="I1029" s="325" t="inlineStr">
        <is>
          <t>ปวช.1/4 ชย. (ปกติ)</t>
        </is>
      </c>
      <c r="J1029" s="332" t="inlineStr">
        <is>
          <t>08.10-12.10</t>
        </is>
      </c>
      <c r="K1029" s="335" t="n"/>
      <c r="L1029" s="265" t="n"/>
      <c r="M1029" s="332" t="n"/>
      <c r="N1029" s="332" t="n"/>
      <c r="O1029" s="244">
        <f>M1029*N1029</f>
        <v/>
      </c>
      <c r="P1029" s="332" t="n"/>
      <c r="Q1029" s="265" t="n"/>
      <c r="R1029" s="332" t="n"/>
      <c r="S1029" s="244">
        <f>Q1029*R1029</f>
        <v/>
      </c>
    </row>
    <row r="1030" ht="22.2" customHeight="1" s="330">
      <c r="A1030" s="4" t="n"/>
      <c r="B1030" s="248" t="n"/>
      <c r="C1030" s="249" t="n"/>
      <c r="D1030" s="249" t="n"/>
      <c r="E1030" s="252" t="n"/>
      <c r="G1030" s="308">
        <f>G984</f>
        <v/>
      </c>
      <c r="H1030" s="252" t="inlineStr">
        <is>
          <t>20101-2101</t>
        </is>
      </c>
      <c r="I1030" s="325" t="inlineStr">
        <is>
          <t>ปวช.1/4 ชย. (ปกติ)</t>
        </is>
      </c>
      <c r="J1030" s="252" t="inlineStr">
        <is>
          <t>13.10-16.10</t>
        </is>
      </c>
      <c r="K1030" s="331" t="n"/>
      <c r="L1030" s="252" t="n"/>
      <c r="M1030" s="252" t="n"/>
      <c r="N1030" s="252" t="n"/>
      <c r="O1030" s="244">
        <f>M1030*N1030</f>
        <v/>
      </c>
      <c r="P1030" s="252" t="n"/>
      <c r="Q1030" s="252" t="n"/>
      <c r="R1030" s="252" t="n"/>
      <c r="S1030" s="244">
        <f>Q1030*R1030</f>
        <v/>
      </c>
    </row>
    <row r="1031" ht="22.2" customHeight="1" s="330">
      <c r="A1031" s="4" t="n"/>
      <c r="B1031" s="5" t="n"/>
      <c r="D1031" s="3" t="n"/>
      <c r="E1031" s="3" t="n"/>
      <c r="G1031" s="252" t="n"/>
      <c r="H1031" s="252" t="n"/>
      <c r="I1031" s="325" t="n"/>
      <c r="J1031" s="252" t="n"/>
      <c r="K1031" s="331" t="n"/>
      <c r="L1031" s="252" t="n"/>
      <c r="M1031" s="252" t="n"/>
      <c r="N1031" s="252" t="n"/>
      <c r="O1031" s="244">
        <f>M1031*N1031</f>
        <v/>
      </c>
      <c r="P1031" s="252" t="n"/>
      <c r="Q1031" s="252" t="n"/>
      <c r="R1031" s="252" t="n"/>
      <c r="S1031" s="244">
        <f>Q1031*R1031</f>
        <v/>
      </c>
    </row>
    <row r="1032" ht="22.2" customHeight="1" s="330">
      <c r="A1032" s="4" t="n"/>
      <c r="E1032" s="4" t="n"/>
      <c r="G1032" s="248" t="n"/>
      <c r="H1032" s="248" t="n"/>
      <c r="I1032" s="252" t="n"/>
      <c r="J1032" s="252" t="n"/>
      <c r="K1032" s="331" t="n"/>
      <c r="L1032" s="252" t="n"/>
      <c r="M1032" s="252" t="n"/>
      <c r="N1032" s="252" t="n"/>
      <c r="O1032" s="244">
        <f>M1032*N1032</f>
        <v/>
      </c>
      <c r="P1032" s="252" t="n"/>
      <c r="Q1032" s="252" t="n"/>
      <c r="R1032" s="252" t="n"/>
      <c r="S1032" s="244">
        <f>Q1032*R1032</f>
        <v/>
      </c>
    </row>
    <row r="1033" ht="22.2" customHeight="1" s="330">
      <c r="A1033" s="4" t="n"/>
      <c r="E1033" s="4" t="n"/>
      <c r="G1033" s="277" t="n"/>
      <c r="H1033" s="277" t="n"/>
      <c r="I1033" s="276" t="n"/>
      <c r="J1033" s="276" t="n"/>
      <c r="K1033" s="476" t="n"/>
      <c r="L1033" s="276" t="n"/>
      <c r="M1033" s="276" t="n"/>
      <c r="N1033" s="276" t="n"/>
      <c r="O1033" s="244">
        <f>M1033*N1033</f>
        <v/>
      </c>
      <c r="P1033" s="276" t="n"/>
      <c r="Q1033" s="276" t="n"/>
      <c r="R1033" s="276" t="n"/>
      <c r="S1033" s="244">
        <f>Q1033*R1033</f>
        <v/>
      </c>
    </row>
    <row r="1034" ht="22.2" customHeight="1" s="330">
      <c r="A1034" s="4" t="n"/>
      <c r="E1034" s="4" t="n"/>
      <c r="G1034" s="62" t="inlineStr">
        <is>
          <t>พฤหัส</t>
        </is>
      </c>
      <c r="H1034" s="252" t="inlineStr">
        <is>
          <t>20101-2101</t>
        </is>
      </c>
      <c r="I1034" s="325" t="inlineStr">
        <is>
          <t>ปวช.1/1 ชย. (ปกติ)</t>
        </is>
      </c>
      <c r="J1034" s="332" t="inlineStr">
        <is>
          <t>08.10-12.10</t>
        </is>
      </c>
      <c r="K1034" s="335" t="n"/>
      <c r="L1034" s="325" t="n"/>
      <c r="M1034" s="275" t="n"/>
      <c r="N1034" s="275" t="n"/>
      <c r="O1034" s="244">
        <f>M1034*N1034</f>
        <v/>
      </c>
      <c r="P1034" s="275" t="n"/>
      <c r="Q1034" s="275" t="n"/>
      <c r="R1034" s="275" t="n"/>
      <c r="S1034" s="244">
        <f>Q1034*R1034</f>
        <v/>
      </c>
      <c r="T1034" s="25" t="n"/>
      <c r="U1034" s="26" t="inlineStr">
        <is>
          <t xml:space="preserve">     PLC</t>
        </is>
      </c>
      <c r="V1034" s="64" t="n"/>
      <c r="W1034" s="27" t="n"/>
      <c r="X1034" s="27" t="n"/>
    </row>
    <row r="1035" ht="22.2" customHeight="1" s="330">
      <c r="A1035" s="4" t="n"/>
      <c r="E1035" s="4" t="n"/>
      <c r="G1035" s="308">
        <f>G989</f>
        <v/>
      </c>
      <c r="H1035" s="252" t="inlineStr">
        <is>
          <t>20101-2101</t>
        </is>
      </c>
      <c r="I1035" s="325" t="inlineStr">
        <is>
          <t>ปวช.1/1 ชย. (ปกติ)</t>
        </is>
      </c>
      <c r="J1035" s="252" t="inlineStr">
        <is>
          <t>15.10-18.10</t>
        </is>
      </c>
      <c r="K1035" s="331" t="n"/>
      <c r="L1035" s="252" t="n"/>
      <c r="M1035" s="252" t="n"/>
      <c r="N1035" s="252" t="n"/>
      <c r="O1035" s="244">
        <f>M1035*N1035</f>
        <v/>
      </c>
      <c r="P1035" s="252" t="n"/>
      <c r="Q1035" s="252" t="n"/>
      <c r="R1035" s="252" t="n"/>
      <c r="S1035" s="244">
        <f>Q1035*R1035</f>
        <v/>
      </c>
      <c r="T1035" s="27" t="inlineStr">
        <is>
          <t> </t>
        </is>
      </c>
      <c r="U1035" s="26" t="inlineStr">
        <is>
          <t>17.10-19.10</t>
        </is>
      </c>
      <c r="V1035" s="64" t="n"/>
      <c r="W1035" s="27" t="n"/>
      <c r="X1035" s="27" t="n"/>
    </row>
    <row r="1036" ht="22.2" customHeight="1" s="330">
      <c r="A1036" s="4" t="n"/>
      <c r="B1036" s="5" t="n"/>
      <c r="E1036" s="4" t="n"/>
      <c r="G1036" s="252" t="n"/>
      <c r="H1036" s="252" t="n"/>
      <c r="I1036" s="325" t="n"/>
      <c r="J1036" s="252" t="n"/>
      <c r="K1036" s="331" t="n"/>
      <c r="L1036" s="252" t="n"/>
      <c r="M1036" s="325" t="n"/>
      <c r="N1036" s="325" t="n"/>
      <c r="O1036" s="244">
        <f>M1036*N1036</f>
        <v/>
      </c>
      <c r="P1036" s="325" t="n"/>
      <c r="Q1036" s="325" t="n"/>
      <c r="R1036" s="325" t="n"/>
      <c r="S1036" s="244">
        <f>Q1036*R1036</f>
        <v/>
      </c>
    </row>
    <row r="1037" ht="22.2" customHeight="1" s="330">
      <c r="A1037" s="4" t="n"/>
      <c r="E1037" s="4" t="n"/>
      <c r="G1037" s="252" t="n"/>
      <c r="H1037" s="252" t="n"/>
      <c r="I1037" s="252" t="n"/>
      <c r="J1037" s="252" t="n"/>
      <c r="K1037" s="331" t="n"/>
      <c r="L1037" s="252" t="n"/>
      <c r="M1037" s="252" t="n"/>
      <c r="N1037" s="252" t="n"/>
      <c r="O1037" s="244">
        <f>M1037*N1037</f>
        <v/>
      </c>
      <c r="P1037" s="252" t="n"/>
      <c r="Q1037" s="252" t="n"/>
      <c r="R1037" s="252" t="n"/>
      <c r="S1037" s="244">
        <f>Q1037*R1037</f>
        <v/>
      </c>
    </row>
    <row r="1038" ht="22.2" customHeight="1" s="330">
      <c r="A1038" s="4" t="n"/>
      <c r="E1038" s="4" t="n"/>
      <c r="G1038" s="276" t="n"/>
      <c r="H1038" s="277" t="n"/>
      <c r="I1038" s="276" t="n"/>
      <c r="J1038" s="276" t="n"/>
      <c r="K1038" s="476" t="n"/>
      <c r="L1038" s="276" t="n"/>
      <c r="M1038" s="276" t="n"/>
      <c r="N1038" s="276" t="n"/>
      <c r="O1038" s="244">
        <f>M1038*N1038</f>
        <v/>
      </c>
      <c r="P1038" s="276" t="n"/>
      <c r="Q1038" s="276" t="n"/>
      <c r="R1038" s="276" t="n"/>
      <c r="S1038" s="244">
        <f>Q1038*R1038</f>
        <v/>
      </c>
    </row>
    <row r="1039" ht="22.2" customHeight="1" s="330">
      <c r="A1039" s="4" t="n"/>
      <c r="E1039" s="4" t="n"/>
      <c r="G1039" s="62" t="inlineStr">
        <is>
          <t>ศุกร์</t>
        </is>
      </c>
      <c r="H1039" s="252" t="inlineStr">
        <is>
          <t>20101-2101</t>
        </is>
      </c>
      <c r="I1039" s="325" t="inlineStr">
        <is>
          <t>ปวช.1/3 ชย. (ปกติ)</t>
        </is>
      </c>
      <c r="J1039" s="332" t="inlineStr">
        <is>
          <t>08.10-12.10</t>
        </is>
      </c>
      <c r="K1039" s="335" t="n"/>
      <c r="L1039" s="252" t="n"/>
      <c r="M1039" s="252" t="n"/>
      <c r="N1039" s="252" t="n"/>
      <c r="O1039" s="244">
        <f>M1039*N1039</f>
        <v/>
      </c>
      <c r="P1039" s="332" t="n"/>
      <c r="Q1039" s="265" t="n"/>
      <c r="R1039" s="332" t="n"/>
      <c r="S1039" s="244">
        <f>Q1039*R1039</f>
        <v/>
      </c>
    </row>
    <row r="1040" ht="22.2" customHeight="1" s="330">
      <c r="A1040" s="4" t="n"/>
      <c r="E1040" s="4" t="n"/>
      <c r="G1040" s="308">
        <f>G994</f>
        <v/>
      </c>
      <c r="H1040" s="252" t="inlineStr">
        <is>
          <t>20101-2101</t>
        </is>
      </c>
      <c r="I1040" s="325" t="inlineStr">
        <is>
          <t>ปวช.1/3 ชย. (ปกติ)</t>
        </is>
      </c>
      <c r="J1040" s="252" t="inlineStr">
        <is>
          <t>13.10-16.10</t>
        </is>
      </c>
      <c r="K1040" s="331" t="n"/>
      <c r="L1040" s="252" t="n"/>
      <c r="M1040" s="252" t="n"/>
      <c r="N1040" s="252" t="n"/>
      <c r="O1040" s="244">
        <f>M1040*N1040</f>
        <v/>
      </c>
      <c r="P1040" s="252" t="n"/>
      <c r="Q1040" s="252" t="n"/>
      <c r="R1040" s="252" t="n"/>
      <c r="S1040" s="244">
        <f>Q1040*R1040</f>
        <v/>
      </c>
    </row>
    <row r="1041" ht="22.2" customHeight="1" s="330">
      <c r="A1041" s="4" t="n"/>
      <c r="E1041" s="4" t="n"/>
      <c r="G1041" s="252" t="n"/>
      <c r="H1041" s="252" t="n"/>
      <c r="I1041" s="252" t="n"/>
      <c r="J1041" s="252" t="n"/>
      <c r="K1041" s="331" t="n"/>
      <c r="L1041" s="252" t="n"/>
      <c r="M1041" s="252" t="n"/>
      <c r="N1041" s="252" t="n"/>
      <c r="O1041" s="244">
        <f>M1041*N1041</f>
        <v/>
      </c>
      <c r="P1041" s="252" t="n"/>
      <c r="Q1041" s="252" t="n"/>
      <c r="R1041" s="252" t="n"/>
      <c r="S1041" s="244">
        <f>Q1041*R1041</f>
        <v/>
      </c>
    </row>
    <row r="1042" ht="22.2" customHeight="1" s="330">
      <c r="A1042" s="4" t="n"/>
      <c r="E1042" s="4" t="n"/>
      <c r="G1042" s="252" t="n"/>
      <c r="H1042" s="252" t="n"/>
      <c r="I1042" s="252" t="n"/>
      <c r="J1042" s="252" t="n"/>
      <c r="K1042" s="331" t="n"/>
      <c r="L1042" s="252" t="n"/>
      <c r="M1042" s="252" t="n"/>
      <c r="N1042" s="252" t="n"/>
      <c r="O1042" s="244">
        <f>M1042*N1042</f>
        <v/>
      </c>
      <c r="P1042" s="252" t="n"/>
      <c r="Q1042" s="252" t="n"/>
      <c r="R1042" s="252" t="n"/>
      <c r="S1042" s="244">
        <f>Q1042*R1042</f>
        <v/>
      </c>
    </row>
    <row r="1043" ht="22.2" customHeight="1" s="330">
      <c r="A1043" s="4" t="n"/>
      <c r="E1043" s="4" t="n"/>
      <c r="F1043" s="4" t="n"/>
      <c r="G1043" s="278" t="n"/>
      <c r="H1043" s="301" t="n"/>
      <c r="I1043" s="276" t="n"/>
      <c r="J1043" s="276" t="n"/>
      <c r="K1043" s="476" t="n"/>
      <c r="L1043" s="276" t="n"/>
      <c r="M1043" s="276" t="n"/>
      <c r="N1043" s="276" t="n"/>
      <c r="O1043" s="244">
        <f>M1043*N1043</f>
        <v/>
      </c>
      <c r="P1043" s="276" t="n"/>
      <c r="Q1043" s="276" t="n"/>
      <c r="R1043" s="276" t="n"/>
      <c r="S1043" s="244">
        <f>Q1043*R1043</f>
        <v/>
      </c>
    </row>
    <row r="1044" ht="22.2" customHeight="1" s="330">
      <c r="A1044" s="4" t="n"/>
      <c r="E1044" s="4" t="n"/>
      <c r="F1044" s="4" t="n"/>
      <c r="G1044" s="17" t="inlineStr">
        <is>
          <t>รวมขั่วโมงที่สอนแยก ภาระงาน/ เกินภาระงาน</t>
        </is>
      </c>
      <c r="H1044" s="467" t="n"/>
      <c r="I1044" s="467" t="n"/>
      <c r="J1044" s="467" t="n"/>
      <c r="K1044" s="362" t="n"/>
      <c r="L1044" s="17">
        <f>SUM(L1019:L1043)</f>
        <v/>
      </c>
      <c r="M1044" s="17">
        <f>SUM(M1019:M1043)</f>
        <v/>
      </c>
      <c r="N1044" s="17" t="n"/>
      <c r="O1044" s="17" t="n"/>
      <c r="P1044" s="17">
        <f>SUM(P1019:P1043)</f>
        <v/>
      </c>
      <c r="Q1044" s="17">
        <f>SUM(Q1019:Q1043)</f>
        <v/>
      </c>
      <c r="R1044" s="279" t="n"/>
      <c r="S1044" s="17" t="n"/>
    </row>
    <row r="1045" ht="22.2" customHeight="1" s="330">
      <c r="A1045" s="4" t="n"/>
      <c r="E1045" s="4" t="n"/>
      <c r="F1045" s="4" t="n"/>
      <c r="G1045" s="17" t="inlineStr">
        <is>
          <t>รวมจำนวนชั่วโมงสอนคาบต่อสับดาห์</t>
        </is>
      </c>
      <c r="H1045" s="467" t="n"/>
      <c r="I1045" s="467" t="n"/>
      <c r="J1045" s="467" t="n"/>
      <c r="K1045" s="362" t="n"/>
      <c r="L1045" s="17">
        <f>L1044+M1044</f>
        <v/>
      </c>
      <c r="M1045" s="362" t="n"/>
      <c r="N1045" s="298" t="n"/>
      <c r="O1045" s="17" t="n"/>
      <c r="P1045" s="17">
        <f>P1044+Q1044</f>
        <v/>
      </c>
      <c r="Q1045" s="362" t="n"/>
      <c r="R1045" s="278" t="n"/>
      <c r="S1045" s="276" t="n"/>
    </row>
    <row r="1046" ht="22.2" customHeight="1" s="330">
      <c r="A1046" s="4" t="n"/>
      <c r="E1046" s="4" t="n"/>
      <c r="F1046" s="4" t="n"/>
      <c r="G1046" s="17" t="inlineStr">
        <is>
          <t>จำนวนชั่วโมงสอนตามภาระงานสอน</t>
        </is>
      </c>
      <c r="H1046" s="467" t="n"/>
      <c r="I1046" s="467" t="n"/>
      <c r="J1046" s="467" t="n"/>
      <c r="K1046" s="362" t="n"/>
      <c r="L1046" s="17" t="n">
        <v>18</v>
      </c>
      <c r="M1046" s="362" t="n"/>
      <c r="N1046" s="298" t="n"/>
      <c r="O1046" s="17" t="n"/>
      <c r="P1046" s="17" t="n">
        <v>0</v>
      </c>
      <c r="Q1046" s="362" t="n"/>
      <c r="R1046" s="249" t="n"/>
      <c r="S1046" s="252" t="n"/>
    </row>
    <row r="1047" ht="22.2" customHeight="1" s="330" thickBot="1">
      <c r="A1047" s="4" t="n"/>
      <c r="E1047" s="4" t="n"/>
      <c r="F1047" s="15" t="n"/>
      <c r="G1047" s="17" t="inlineStr">
        <is>
          <t>จำนวนชั่วโมงบิกเกินภาระงานสอน/ค่าสอน</t>
        </is>
      </c>
      <c r="H1047" s="467" t="n"/>
      <c r="I1047" s="467" t="n"/>
      <c r="J1047" s="467" t="n"/>
      <c r="K1047" s="362" t="n"/>
      <c r="L1047" s="18" t="n">
        <v>0</v>
      </c>
      <c r="M1047" s="18">
        <f>SUM(M1019:M1043)</f>
        <v/>
      </c>
      <c r="N1047" s="18" t="n"/>
      <c r="O1047" s="18">
        <f>SUM(O1019:O1043)</f>
        <v/>
      </c>
      <c r="P1047" s="18" t="n">
        <v>0</v>
      </c>
      <c r="Q1047" s="18">
        <f>SUM(Q1019:Q1043)</f>
        <v/>
      </c>
      <c r="R1047" s="19" t="n"/>
      <c r="S1047" s="18">
        <f>SUM(S1019:S1043)</f>
        <v/>
      </c>
    </row>
    <row r="1048" ht="22.2" customHeight="1" s="330" thickTop="1">
      <c r="A1048" s="299" t="inlineStr">
        <is>
          <t>รวมจำนวนหน่วยชั่วโมงที่ขอเบิกค่าสอน ….</t>
        </is>
      </c>
      <c r="B1048" s="467" t="n"/>
      <c r="C1048" s="467" t="n"/>
      <c r="D1048" s="467" t="n"/>
      <c r="E1048" s="467" t="n"/>
      <c r="F1048" s="467" t="n"/>
      <c r="G1048" s="467" t="n"/>
      <c r="H1048" s="298">
        <f>M1047+Q1047</f>
        <v/>
      </c>
      <c r="I1048" s="298" t="inlineStr">
        <is>
          <t>….ชั่วโมง</t>
        </is>
      </c>
      <c r="J1048" s="298" t="n"/>
      <c r="K1048" s="301" t="inlineStr">
        <is>
          <t>ยอดเงินรวม</t>
        </is>
      </c>
      <c r="L1048" s="471" t="n"/>
      <c r="M1048" s="471" t="n"/>
      <c r="N1048" s="301" t="n"/>
      <c r="O1048" s="301" t="n"/>
      <c r="P1048" s="302">
        <f>S1047+O1047</f>
        <v/>
      </c>
      <c r="Q1048" s="482" t="n"/>
      <c r="R1048" s="21" t="n"/>
      <c r="S1048" s="20" t="inlineStr">
        <is>
          <t>..บาท</t>
        </is>
      </c>
    </row>
    <row r="1049" ht="22.2" customHeight="1" s="330">
      <c r="A1049" s="207" t="inlineStr">
        <is>
          <t>ผู้ขอเบิก</t>
        </is>
      </c>
      <c r="B1049" s="334" t="n"/>
      <c r="C1049" s="334" t="n"/>
      <c r="D1049" s="334" t="n"/>
      <c r="E1049" s="334" t="n"/>
      <c r="F1049" s="334" t="n"/>
      <c r="G1049" s="335" t="n"/>
      <c r="H1049" s="207" t="inlineStr">
        <is>
          <t>ผู้รับรอง</t>
        </is>
      </c>
      <c r="I1049" s="334" t="n"/>
      <c r="J1049" s="334" t="n"/>
      <c r="K1049" s="334" t="n"/>
      <c r="L1049" s="335" t="n"/>
      <c r="M1049" s="207" t="inlineStr">
        <is>
          <t>ผู้ตรวจ</t>
        </is>
      </c>
      <c r="N1049" s="334" t="n"/>
      <c r="O1049" s="334" t="n"/>
      <c r="P1049" s="334" t="n"/>
      <c r="Q1049" s="334" t="n"/>
      <c r="R1049" s="334" t="n"/>
      <c r="S1049" s="335" t="n"/>
    </row>
    <row r="1050" ht="22.2" customHeight="1" s="330">
      <c r="A1050" s="252" t="inlineStr">
        <is>
          <t>ลงชื่อ……………………………………………</t>
        </is>
      </c>
      <c r="G1050" s="331" t="n"/>
      <c r="H1050" s="252" t="inlineStr">
        <is>
          <t>ลงชื่อ……………………………………………</t>
        </is>
      </c>
      <c r="L1050" s="331" t="n"/>
      <c r="M1050" s="252" t="inlineStr">
        <is>
          <t>ลงชื่อ……………………………………………</t>
        </is>
      </c>
      <c r="S1050" s="331" t="n"/>
    </row>
    <row r="1051" ht="22.2" customHeight="1" s="330">
      <c r="A1051" s="12" t="inlineStr">
        <is>
          <t>(</t>
        </is>
      </c>
      <c r="B1051" s="309">
        <f>B1019</f>
        <v/>
      </c>
      <c r="G1051" s="310" t="inlineStr">
        <is>
          <t>)</t>
        </is>
      </c>
      <c r="H1051" s="309" t="inlineStr">
        <is>
          <t>(</t>
        </is>
      </c>
      <c r="I1051" s="314">
        <f>I1005</f>
        <v/>
      </c>
      <c r="L1051" s="13" t="inlineStr">
        <is>
          <t>)</t>
        </is>
      </c>
      <c r="M1051" s="61" t="inlineStr">
        <is>
          <t>(</t>
        </is>
      </c>
      <c r="N1051" s="61" t="n"/>
      <c r="O1051" s="309" t="inlineStr">
        <is>
          <t>นายพิสุทธิศักดิ์  กล่อมนาค</t>
        </is>
      </c>
      <c r="R1051" s="29" t="n"/>
      <c r="S1051" s="310" t="inlineStr">
        <is>
          <t>)</t>
        </is>
      </c>
    </row>
    <row r="1052" ht="22.2" customHeight="1" s="330">
      <c r="A1052" s="483" t="inlineStr">
        <is>
          <t xml:space="preserve">                 ตำแหน่ง  ครูพิเศษ</t>
        </is>
      </c>
      <c r="G1052" s="331" t="n"/>
      <c r="H1052" s="62" t="inlineStr">
        <is>
          <t>ตำแหน่ง หัวหน้าแผนก</t>
        </is>
      </c>
      <c r="L1052" s="331" t="n"/>
      <c r="M1052" s="62" t="inlineStr">
        <is>
          <t>ตำแหน่ง   ผู้ตรวจสอบ</t>
        </is>
      </c>
      <c r="S1052" s="331" t="n"/>
    </row>
    <row r="1053" ht="22.2" customHeight="1" s="330">
      <c r="A1053" s="63">
        <f>A41</f>
        <v/>
      </c>
      <c r="B1053" s="471" t="n"/>
      <c r="C1053" s="471" t="n"/>
      <c r="D1053" s="471" t="n"/>
      <c r="E1053" s="471" t="n"/>
      <c r="F1053" s="471" t="n"/>
      <c r="G1053" s="476" t="n"/>
      <c r="H1053" s="62">
        <f>A41</f>
        <v/>
      </c>
      <c r="L1053" s="331" t="n"/>
      <c r="M1053" s="63">
        <f>A41</f>
        <v/>
      </c>
      <c r="N1053" s="471" t="n"/>
      <c r="O1053" s="471" t="n"/>
      <c r="P1053" s="471" t="n"/>
      <c r="Q1053" s="471" t="n"/>
      <c r="R1053" s="471" t="n"/>
      <c r="S1053" s="476" t="n"/>
    </row>
    <row r="1054" ht="22.2" customHeight="1" s="330">
      <c r="A1054" s="207" t="inlineStr">
        <is>
          <t>ผู้ตรวจ</t>
        </is>
      </c>
      <c r="B1054" s="334" t="n"/>
      <c r="C1054" s="334" t="n"/>
      <c r="D1054" s="334" t="n"/>
      <c r="E1054" s="334" t="n"/>
      <c r="F1054" s="334" t="n"/>
      <c r="G1054" s="334" t="n"/>
      <c r="H1054" s="334" t="n"/>
      <c r="I1054" s="335" t="n"/>
      <c r="J1054" s="207" t="inlineStr">
        <is>
          <t>ผู้เห็นชอบ</t>
        </is>
      </c>
      <c r="K1054" s="334" t="n"/>
      <c r="L1054" s="334" t="n"/>
      <c r="M1054" s="334" t="n"/>
      <c r="N1054" s="334" t="n"/>
      <c r="O1054" s="334" t="n"/>
      <c r="P1054" s="334" t="n"/>
      <c r="Q1054" s="334" t="n"/>
      <c r="R1054" s="334" t="n"/>
      <c r="S1054" s="335" t="n"/>
    </row>
    <row r="1055" ht="22.2" customHeight="1" s="330">
      <c r="A1055" s="252" t="inlineStr">
        <is>
          <t>ลงชื่อ……………………………………………</t>
        </is>
      </c>
      <c r="I1055" s="331" t="n"/>
      <c r="J1055" s="252" t="inlineStr">
        <is>
          <t>ลงชื่อ……………………………………………</t>
        </is>
      </c>
      <c r="S1055" s="331" t="n"/>
    </row>
    <row r="1056" ht="22.2" customHeight="1" s="330">
      <c r="A1056" s="12" t="n"/>
      <c r="B1056" s="309" t="inlineStr">
        <is>
          <t xml:space="preserve">          (นางศิวรักษ์   บุญประเสริฐ)</t>
        </is>
      </c>
      <c r="I1056" s="310" t="n"/>
      <c r="J1056" s="29" t="n"/>
      <c r="K1056" s="29" t="n"/>
      <c r="L1056" s="309" t="inlineStr">
        <is>
          <t>(นายปรีชา  โพธิ์เกิด)</t>
        </is>
      </c>
      <c r="R1056" s="29" t="n"/>
      <c r="S1056" s="13" t="n"/>
    </row>
    <row r="1057" ht="22.2" customHeight="1" s="330">
      <c r="A1057" s="62" t="inlineStr">
        <is>
          <t>ตำแหน่งครู  หัวหน้างานพัฒนาหลักสูตร ฯ</t>
        </is>
      </c>
      <c r="I1057" s="331" t="n"/>
      <c r="J1057" s="62" t="inlineStr">
        <is>
          <t>ตำแหน่ง  รองผู้อำนวยการฝ่ายวิชาการ</t>
        </is>
      </c>
      <c r="S1057" s="331" t="n"/>
    </row>
    <row r="1058" ht="22.2" customHeight="1" s="330">
      <c r="A1058" s="63">
        <f>A41</f>
        <v/>
      </c>
      <c r="B1058" s="471" t="n"/>
      <c r="C1058" s="471" t="n"/>
      <c r="D1058" s="471" t="n"/>
      <c r="E1058" s="471" t="n"/>
      <c r="F1058" s="471" t="n"/>
      <c r="G1058" s="471" t="n"/>
      <c r="H1058" s="471" t="n"/>
      <c r="I1058" s="476" t="n"/>
      <c r="J1058" s="63">
        <f>A41</f>
        <v/>
      </c>
      <c r="K1058" s="471" t="n"/>
      <c r="L1058" s="471" t="n"/>
      <c r="M1058" s="471" t="n"/>
      <c r="N1058" s="471" t="n"/>
      <c r="O1058" s="471" t="n"/>
      <c r="P1058" s="471" t="n"/>
      <c r="Q1058" s="471" t="n"/>
      <c r="R1058" s="471" t="n"/>
      <c r="S1058" s="476" t="n"/>
    </row>
    <row r="1059" ht="22.2" customHeight="1" s="330">
      <c r="A105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060" ht="22.2" customHeight="1" s="330">
      <c r="A1060" s="254">
        <f>A2</f>
        <v/>
      </c>
    </row>
    <row r="1061" ht="22.2" customHeight="1" s="330">
      <c r="A1061" s="253" t="inlineStr">
        <is>
          <t xml:space="preserve">    ระหว่างวันที่</t>
        </is>
      </c>
      <c r="D1061" s="254">
        <f>D3</f>
        <v/>
      </c>
      <c r="E1061" s="254" t="inlineStr">
        <is>
          <t xml:space="preserve">   เดือน  </t>
        </is>
      </c>
      <c r="F1061" s="254">
        <f>F3</f>
        <v/>
      </c>
      <c r="H1061" s="254">
        <f>H3</f>
        <v/>
      </c>
      <c r="I1061" s="254" t="inlineStr">
        <is>
          <t xml:space="preserve">     ถึง วันที่</t>
        </is>
      </c>
      <c r="J1061" s="254">
        <f>J3</f>
        <v/>
      </c>
      <c r="K1061" s="254" t="inlineStr">
        <is>
          <t xml:space="preserve">   เดือน </t>
        </is>
      </c>
      <c r="L1061" s="254">
        <f>L3</f>
        <v/>
      </c>
      <c r="N1061" s="254">
        <f>N3</f>
        <v/>
      </c>
      <c r="P1061" s="254" t="n"/>
      <c r="R1061" s="254" t="n"/>
    </row>
    <row r="1062" ht="22.2" customHeight="1" s="330">
      <c r="G1062" s="58" t="inlineStr">
        <is>
          <t>ü</t>
        </is>
      </c>
      <c r="H1062" s="8" t="inlineStr">
        <is>
          <t>ครูพิเศษ</t>
        </is>
      </c>
      <c r="I1062" s="249" t="inlineStr">
        <is>
          <t>หน้าที่พิเศษ</t>
        </is>
      </c>
      <c r="K1062" s="290" t="n"/>
    </row>
    <row r="1063" ht="22.2" customHeight="1" s="330">
      <c r="A1063" s="28" t="inlineStr">
        <is>
          <t>ที่</t>
        </is>
      </c>
      <c r="B1063" s="28" t="inlineStr">
        <is>
          <t>ชื่อ-สกุล</t>
        </is>
      </c>
      <c r="C1063" s="334" t="n"/>
      <c r="D1063" s="335" t="n"/>
      <c r="E1063" s="16" t="inlineStr">
        <is>
          <t>ตำแหน่ง</t>
        </is>
      </c>
      <c r="F1063" s="17" t="inlineStr">
        <is>
          <t>ระยะเวลาที่สอน</t>
        </is>
      </c>
      <c r="G1063" s="362" t="n"/>
      <c r="H1063" s="17" t="inlineStr">
        <is>
          <t>รหัสวิชา</t>
        </is>
      </c>
      <c r="I1063" s="275" t="inlineStr">
        <is>
          <t>ชั้น,แผนก,ห้อง</t>
        </is>
      </c>
      <c r="J1063" s="17" t="inlineStr">
        <is>
          <t>เวลาสอน</t>
        </is>
      </c>
      <c r="K1063" s="335" t="n"/>
      <c r="L1063" s="17" t="inlineStr">
        <is>
          <t>ปวช.(คาบ)</t>
        </is>
      </c>
      <c r="M1063" s="362" t="n"/>
      <c r="N1063" s="244" t="inlineStr">
        <is>
          <t>เงิน</t>
        </is>
      </c>
      <c r="O1063" s="275" t="inlineStr">
        <is>
          <t>ยอดเงิน</t>
        </is>
      </c>
      <c r="P1063" s="473" t="inlineStr">
        <is>
          <t>ปวส.(คาบ)</t>
        </is>
      </c>
      <c r="Q1063" s="362" t="n"/>
      <c r="R1063" s="244" t="inlineStr">
        <is>
          <t>เงิน</t>
        </is>
      </c>
      <c r="S1063" s="275" t="inlineStr">
        <is>
          <t>ยอดเงิน</t>
        </is>
      </c>
    </row>
    <row r="1064" ht="22.2" customHeight="1" s="330">
      <c r="A1064" s="60" t="n"/>
      <c r="B1064" s="9" t="n"/>
      <c r="C1064" s="10" t="n"/>
      <c r="D1064" s="14" t="n"/>
      <c r="E1064" s="11" t="n"/>
      <c r="F1064" s="276" t="inlineStr">
        <is>
          <t>ส.</t>
        </is>
      </c>
      <c r="G1064" s="276" t="inlineStr">
        <is>
          <t>วดป.</t>
        </is>
      </c>
      <c r="H1064" s="474" t="n"/>
      <c r="I1064" s="276" t="n"/>
      <c r="J1064" s="475" t="n"/>
      <c r="K1064" s="476" t="n"/>
      <c r="L1064" s="276" t="inlineStr">
        <is>
          <t>ใน</t>
        </is>
      </c>
      <c r="M1064" s="276" t="inlineStr">
        <is>
          <t>นอก</t>
        </is>
      </c>
      <c r="N1064" s="276" t="inlineStr">
        <is>
          <t>ต่อ ชม.</t>
        </is>
      </c>
      <c r="O1064" s="276" t="inlineStr">
        <is>
          <t>(บาท)</t>
        </is>
      </c>
      <c r="P1064" s="60" t="inlineStr">
        <is>
          <t>ใน</t>
        </is>
      </c>
      <c r="Q1064" s="60" t="inlineStr">
        <is>
          <t>นอก</t>
        </is>
      </c>
      <c r="R1064" s="276" t="inlineStr">
        <is>
          <t>ต่อ ชม.</t>
        </is>
      </c>
      <c r="S1064" s="276" t="inlineStr">
        <is>
          <t>(บาท)</t>
        </is>
      </c>
    </row>
    <row r="1065" ht="22.2" customHeight="1" s="330">
      <c r="A1065" s="275" t="n">
        <v>24</v>
      </c>
      <c r="B1065" s="477">
        <f>AB26</f>
        <v/>
      </c>
      <c r="C1065" s="334" t="n"/>
      <c r="D1065" s="335" t="n"/>
      <c r="E1065" s="275" t="inlineStr">
        <is>
          <t>ครู</t>
        </is>
      </c>
      <c r="F1065" s="6">
        <f>F7</f>
        <v/>
      </c>
      <c r="G1065" s="303" t="inlineStr">
        <is>
          <t>จันทร์</t>
        </is>
      </c>
      <c r="H1065" s="252" t="inlineStr">
        <is>
          <t>20101-5102</t>
        </is>
      </c>
      <c r="I1065" s="325" t="inlineStr">
        <is>
          <t>ปวช.2/9 ชย. (ทวิ)</t>
        </is>
      </c>
      <c r="J1065" s="332" t="inlineStr">
        <is>
          <t>08.10-12.10</t>
        </is>
      </c>
      <c r="K1065" s="335" t="n"/>
      <c r="L1065" s="265" t="n"/>
      <c r="M1065" s="332" t="n"/>
      <c r="N1065" s="332" t="n"/>
      <c r="O1065" s="244">
        <f>M1065*N1065</f>
        <v/>
      </c>
      <c r="P1065" s="332" t="n"/>
      <c r="Q1065" s="265" t="n"/>
      <c r="R1065" s="332" t="n"/>
      <c r="S1065" s="244">
        <f>Q1065*R1065</f>
        <v/>
      </c>
    </row>
    <row r="1066" ht="22.2" customHeight="1" s="330">
      <c r="A1066" s="4" t="n"/>
      <c r="B1066" s="478" t="n"/>
      <c r="D1066" s="331" t="n"/>
      <c r="E1066" s="252" t="inlineStr">
        <is>
          <t>พิเศษ</t>
        </is>
      </c>
      <c r="F1066" s="249" t="n"/>
      <c r="G1066" s="308">
        <f>G1020</f>
        <v/>
      </c>
      <c r="H1066" s="252" t="inlineStr">
        <is>
          <t>20101-5102</t>
        </is>
      </c>
      <c r="I1066" s="325" t="inlineStr">
        <is>
          <t>ปวช.2/9 ชย. (ทวิ)</t>
        </is>
      </c>
      <c r="J1066" s="325" t="inlineStr">
        <is>
          <t>13.10-16.10</t>
        </is>
      </c>
      <c r="K1066" s="331" t="n"/>
      <c r="L1066" s="252" t="n"/>
      <c r="M1066" s="252" t="n"/>
      <c r="N1066" s="252" t="n"/>
      <c r="O1066" s="244">
        <f>M1066*N1066</f>
        <v/>
      </c>
      <c r="P1066" s="252" t="n"/>
      <c r="Q1066" s="252" t="n"/>
      <c r="R1066" s="252" t="n"/>
      <c r="S1066" s="244">
        <f>Q1066*R1066</f>
        <v/>
      </c>
    </row>
    <row r="1067" ht="22.2" customHeight="1" s="330">
      <c r="A1067" s="4" t="n"/>
      <c r="B1067" s="5" t="n"/>
      <c r="D1067" s="3" t="n"/>
      <c r="E1067" s="3" t="n"/>
      <c r="F1067" s="249" t="n"/>
      <c r="G1067" s="248" t="n"/>
      <c r="H1067" s="252" t="inlineStr">
        <is>
          <t>20101-8501</t>
        </is>
      </c>
      <c r="I1067" s="325" t="inlineStr">
        <is>
          <t>ปวช.3/3,4 ชย. (ปกติ)</t>
        </is>
      </c>
      <c r="J1067" s="325" t="inlineStr">
        <is>
          <t>16.10-18.10</t>
        </is>
      </c>
      <c r="K1067" s="331" t="n"/>
      <c r="L1067" s="252" t="n"/>
      <c r="M1067" s="252" t="n"/>
      <c r="N1067" s="252" t="n"/>
      <c r="O1067" s="244">
        <f>M1067*N1067</f>
        <v/>
      </c>
      <c r="P1067" s="252" t="n"/>
      <c r="Q1067" s="252" t="n"/>
      <c r="R1067" s="252" t="n"/>
      <c r="S1067" s="244">
        <f>Q1067*R1067</f>
        <v/>
      </c>
    </row>
    <row r="1068" ht="22.2" customHeight="1" s="330">
      <c r="A1068" s="4" t="n"/>
      <c r="B1068" s="5" t="n"/>
      <c r="E1068" s="4" t="n"/>
      <c r="F1068" s="249" t="n"/>
      <c r="G1068" s="248" t="n"/>
      <c r="H1068" s="252" t="n"/>
      <c r="I1068" s="252" t="n"/>
      <c r="J1068" s="252" t="n"/>
      <c r="K1068" s="331" t="n"/>
      <c r="L1068" s="252" t="n"/>
      <c r="M1068" s="252" t="n"/>
      <c r="N1068" s="252" t="n"/>
      <c r="O1068" s="244">
        <f>M1068*N1068</f>
        <v/>
      </c>
      <c r="P1068" s="252" t="n"/>
      <c r="Q1068" s="252" t="n"/>
      <c r="R1068" s="252" t="n"/>
      <c r="S1068" s="244">
        <f>Q1068*R1068</f>
        <v/>
      </c>
    </row>
    <row r="1069" ht="22.2" customHeight="1" s="330">
      <c r="A1069" s="4" t="n"/>
      <c r="D1069" s="8" t="inlineStr">
        <is>
          <t> </t>
        </is>
      </c>
      <c r="E1069" s="4" t="n"/>
      <c r="G1069" s="311" t="n"/>
      <c r="H1069" s="276" t="n"/>
      <c r="I1069" s="57" t="n"/>
      <c r="J1069" s="276" t="n"/>
      <c r="K1069" s="476" t="n"/>
      <c r="L1069" s="252" t="n"/>
      <c r="M1069" s="252" t="n"/>
      <c r="N1069" s="252" t="n"/>
      <c r="O1069" s="244">
        <f>M1069*N1069</f>
        <v/>
      </c>
      <c r="P1069" s="252" t="n"/>
      <c r="Q1069" s="252" t="n"/>
      <c r="R1069" s="252" t="n"/>
      <c r="S1069" s="244">
        <f>Q1069*R1069</f>
        <v/>
      </c>
    </row>
    <row r="1070" ht="22.2" customHeight="1" s="330">
      <c r="A1070" s="4" t="n"/>
      <c r="E1070" s="4" t="n"/>
      <c r="G1070" s="62" t="inlineStr">
        <is>
          <t>อังคาร</t>
        </is>
      </c>
      <c r="H1070" s="252" t="inlineStr">
        <is>
          <t>20101-2001</t>
        </is>
      </c>
      <c r="I1070" s="325" t="inlineStr">
        <is>
          <t>ปวช.1/9 ชย. (ทวิ)</t>
        </is>
      </c>
      <c r="J1070" s="332" t="inlineStr">
        <is>
          <t>08.10-12.10</t>
        </is>
      </c>
      <c r="K1070" s="335" t="n"/>
      <c r="L1070" s="265" t="n"/>
      <c r="M1070" s="332" t="n"/>
      <c r="N1070" s="332" t="n"/>
      <c r="O1070" s="244">
        <f>M1070*N1070</f>
        <v/>
      </c>
      <c r="P1070" s="332" t="n"/>
      <c r="Q1070" s="265" t="n"/>
      <c r="R1070" s="332" t="n"/>
      <c r="S1070" s="244">
        <f>Q1070*R1070</f>
        <v/>
      </c>
    </row>
    <row r="1071" ht="22.2" customHeight="1" s="330">
      <c r="A1071" s="4" t="n"/>
      <c r="B1071" s="248" t="n"/>
      <c r="C1071" s="249" t="n"/>
      <c r="D1071" s="249" t="n"/>
      <c r="E1071" s="252" t="n"/>
      <c r="G1071" s="62">
        <f>G1025</f>
        <v/>
      </c>
      <c r="H1071" s="252" t="inlineStr">
        <is>
          <t>20101-2001</t>
        </is>
      </c>
      <c r="I1071" s="325" t="inlineStr">
        <is>
          <t>ปวช.1/9 ชย. (ทวิ)</t>
        </is>
      </c>
      <c r="J1071" s="325" t="inlineStr">
        <is>
          <t>13.10-16.10</t>
        </is>
      </c>
      <c r="K1071" s="331" t="n"/>
      <c r="L1071" s="252" t="n"/>
      <c r="M1071" s="252" t="n"/>
      <c r="N1071" s="252" t="n"/>
      <c r="O1071" s="244">
        <f>M1071*N1071</f>
        <v/>
      </c>
      <c r="P1071" s="252" t="n"/>
      <c r="Q1071" s="252" t="n"/>
      <c r="R1071" s="252" t="n"/>
      <c r="S1071" s="244">
        <f>Q1071*R1071</f>
        <v/>
      </c>
    </row>
    <row r="1072" ht="22.2" customHeight="1" s="330">
      <c r="A1072" s="4" t="n"/>
      <c r="B1072" s="5" t="n"/>
      <c r="D1072" s="3" t="n"/>
      <c r="E1072" s="3" t="n"/>
      <c r="G1072" s="252" t="n"/>
      <c r="H1072" s="325" t="n"/>
      <c r="I1072" s="286" t="n"/>
      <c r="J1072" s="325" t="n"/>
      <c r="K1072" s="331" t="n"/>
      <c r="L1072" s="252" t="n"/>
      <c r="M1072" s="252" t="n"/>
      <c r="N1072" s="252" t="n"/>
      <c r="O1072" s="244">
        <f>M1072*N1072</f>
        <v/>
      </c>
      <c r="P1072" s="252" t="n"/>
      <c r="Q1072" s="252" t="n"/>
      <c r="R1072" s="252" t="n"/>
      <c r="S1072" s="244">
        <f>Q1072*R1072</f>
        <v/>
      </c>
    </row>
    <row r="1073" ht="22.2" customHeight="1" s="330">
      <c r="A1073" s="4" t="n"/>
      <c r="E1073" s="4" t="n"/>
      <c r="G1073" s="62" t="n"/>
      <c r="H1073" s="249" t="n"/>
      <c r="I1073" s="252" t="n"/>
      <c r="J1073" s="252" t="n"/>
      <c r="K1073" s="331" t="n"/>
      <c r="L1073" s="252" t="n"/>
      <c r="M1073" s="252" t="n"/>
      <c r="N1073" s="252" t="n"/>
      <c r="O1073" s="244">
        <f>M1073*N1073</f>
        <v/>
      </c>
      <c r="P1073" s="252" t="n"/>
      <c r="Q1073" s="252" t="n"/>
      <c r="R1073" s="252" t="n"/>
      <c r="S1073" s="244">
        <f>Q1073*R1073</f>
        <v/>
      </c>
    </row>
    <row r="1074" ht="22.2" customHeight="1" s="330">
      <c r="A1074" s="4" t="n"/>
      <c r="D1074" s="8" t="inlineStr">
        <is>
          <t> </t>
        </is>
      </c>
      <c r="E1074" s="4" t="n"/>
      <c r="G1074" s="63" t="n"/>
      <c r="H1074" s="276" t="n"/>
      <c r="I1074" s="276" t="n"/>
      <c r="J1074" s="276" t="n"/>
      <c r="K1074" s="476" t="n"/>
      <c r="L1074" s="252" t="n"/>
      <c r="M1074" s="252" t="n"/>
      <c r="N1074" s="252" t="n"/>
      <c r="O1074" s="244">
        <f>M1074*N1074</f>
        <v/>
      </c>
      <c r="P1074" s="252" t="n"/>
      <c r="Q1074" s="252" t="n"/>
      <c r="R1074" s="252" t="n"/>
      <c r="S1074" s="244">
        <f>Q1074*R1074</f>
        <v/>
      </c>
    </row>
    <row r="1075" ht="22.2" customHeight="1" s="330">
      <c r="A1075" s="4" t="n"/>
      <c r="E1075" s="4" t="n"/>
      <c r="G1075" s="308" t="inlineStr">
        <is>
          <t>พุธ</t>
        </is>
      </c>
      <c r="H1075" s="252" t="inlineStr">
        <is>
          <t>20101-8501</t>
        </is>
      </c>
      <c r="I1075" s="325" t="inlineStr">
        <is>
          <t>ปวช.3/3,4 ชย. (ปกติ)</t>
        </is>
      </c>
      <c r="J1075" s="332" t="inlineStr">
        <is>
          <t>16.10-18.10</t>
        </is>
      </c>
      <c r="K1075" s="335" t="n"/>
      <c r="L1075" s="265" t="n"/>
      <c r="M1075" s="332" t="n"/>
      <c r="N1075" s="332" t="n"/>
      <c r="O1075" s="244">
        <f>M1075*N1075</f>
        <v/>
      </c>
      <c r="P1075" s="332" t="n"/>
      <c r="Q1075" s="265" t="n"/>
      <c r="R1075" s="332" t="n"/>
      <c r="S1075" s="244">
        <f>Q1075*R1075</f>
        <v/>
      </c>
    </row>
    <row r="1076" ht="22.2" customHeight="1" s="330">
      <c r="A1076" s="4" t="n"/>
      <c r="B1076" s="248" t="n"/>
      <c r="C1076" s="249" t="n"/>
      <c r="D1076" s="249" t="n"/>
      <c r="E1076" s="252" t="n"/>
      <c r="G1076" s="308">
        <f>G1030</f>
        <v/>
      </c>
      <c r="H1076" s="325" t="n"/>
      <c r="I1076" s="325" t="n"/>
      <c r="J1076" s="325" t="n"/>
      <c r="K1076" s="331" t="n"/>
      <c r="L1076" s="252" t="n"/>
      <c r="M1076" s="252" t="n"/>
      <c r="N1076" s="252" t="n"/>
      <c r="O1076" s="244">
        <f>M1076*N1076</f>
        <v/>
      </c>
      <c r="P1076" s="252" t="n"/>
      <c r="Q1076" s="252" t="n"/>
      <c r="R1076" s="252" t="n"/>
      <c r="S1076" s="244">
        <f>Q1076*R1076</f>
        <v/>
      </c>
    </row>
    <row r="1077" ht="22.2" customHeight="1" s="330">
      <c r="A1077" s="4" t="n"/>
      <c r="B1077" s="5" t="n"/>
      <c r="D1077" s="3" t="n"/>
      <c r="E1077" s="3" t="n"/>
      <c r="G1077" s="252" t="n"/>
      <c r="H1077" s="286" t="n"/>
      <c r="I1077" s="325" t="n"/>
      <c r="J1077" s="325" t="n"/>
      <c r="K1077" s="331" t="n"/>
      <c r="L1077" s="252" t="n"/>
      <c r="M1077" s="252" t="n"/>
      <c r="N1077" s="252" t="n"/>
      <c r="O1077" s="244">
        <f>M1077*N1077</f>
        <v/>
      </c>
      <c r="P1077" s="252" t="n"/>
      <c r="Q1077" s="252" t="n"/>
      <c r="R1077" s="252" t="n"/>
      <c r="S1077" s="244">
        <f>Q1077*R1077</f>
        <v/>
      </c>
    </row>
    <row r="1078" ht="22.2" customHeight="1" s="330">
      <c r="A1078" s="4" t="n"/>
      <c r="E1078" s="4" t="n"/>
      <c r="G1078" s="252" t="n"/>
      <c r="H1078" s="249" t="n"/>
      <c r="I1078" s="252" t="n"/>
      <c r="J1078" s="252" t="n"/>
      <c r="K1078" s="331" t="n"/>
      <c r="L1078" s="252" t="n"/>
      <c r="M1078" s="252" t="n"/>
      <c r="N1078" s="252" t="n"/>
      <c r="O1078" s="244">
        <f>M1078*N1078</f>
        <v/>
      </c>
      <c r="P1078" s="252" t="n"/>
      <c r="Q1078" s="252" t="n"/>
      <c r="R1078" s="252" t="n"/>
      <c r="S1078" s="244">
        <f>Q1078*R1078</f>
        <v/>
      </c>
    </row>
    <row r="1079" ht="22.2" customHeight="1" s="330">
      <c r="A1079" s="4" t="n"/>
      <c r="E1079" s="4" t="n"/>
      <c r="G1079" s="277" t="n"/>
      <c r="H1079" s="277" t="n"/>
      <c r="I1079" s="276" t="n"/>
      <c r="J1079" s="276" t="n"/>
      <c r="K1079" s="476" t="n"/>
      <c r="L1079" s="276" t="n"/>
      <c r="M1079" s="276" t="n"/>
      <c r="N1079" s="276" t="n"/>
      <c r="O1079" s="244">
        <f>M1079*N1079</f>
        <v/>
      </c>
      <c r="P1079" s="276" t="n"/>
      <c r="Q1079" s="276" t="n"/>
      <c r="R1079" s="276" t="n"/>
      <c r="S1079" s="244">
        <f>Q1079*R1079</f>
        <v/>
      </c>
    </row>
    <row r="1080" ht="22.2" customHeight="1" s="330">
      <c r="A1080" s="4" t="n"/>
      <c r="E1080" s="4" t="n"/>
      <c r="G1080" s="62" t="inlineStr">
        <is>
          <t>พฤหัส</t>
        </is>
      </c>
      <c r="H1080" s="252" t="inlineStr">
        <is>
          <t>20101-2001</t>
        </is>
      </c>
      <c r="I1080" s="325" t="inlineStr">
        <is>
          <t>ปวช.1/7 ชย. (ปกติ)</t>
        </is>
      </c>
      <c r="J1080" s="332" t="inlineStr">
        <is>
          <t>08.10-12.10</t>
        </is>
      </c>
      <c r="K1080" s="335" t="n"/>
      <c r="L1080" s="265" t="n"/>
      <c r="M1080" s="252" t="n"/>
      <c r="N1080" s="252" t="n"/>
      <c r="O1080" s="244">
        <f>M1080*N1080</f>
        <v/>
      </c>
      <c r="P1080" s="252" t="n"/>
      <c r="Q1080" s="275" t="n"/>
      <c r="R1080" s="275" t="n"/>
      <c r="S1080" s="244">
        <f>Q1080*R1080</f>
        <v/>
      </c>
    </row>
    <row r="1081" ht="22.2" customHeight="1" s="330">
      <c r="A1081" s="4" t="n"/>
      <c r="E1081" s="4" t="n"/>
      <c r="G1081" s="308">
        <f>G1035</f>
        <v/>
      </c>
      <c r="H1081" s="252" t="inlineStr">
        <is>
          <t>20101-2001</t>
        </is>
      </c>
      <c r="I1081" s="325" t="inlineStr">
        <is>
          <t>ปวช.1/7 ชย. (ปกติ)</t>
        </is>
      </c>
      <c r="J1081" s="325" t="inlineStr">
        <is>
          <t>15.10-18.10</t>
        </is>
      </c>
      <c r="K1081" s="331" t="n"/>
      <c r="L1081" s="252" t="n"/>
      <c r="M1081" s="252" t="n"/>
      <c r="N1081" s="252" t="n"/>
      <c r="O1081" s="244">
        <f>M1081*N1081</f>
        <v/>
      </c>
      <c r="P1081" s="252" t="n"/>
      <c r="Q1081" s="252" t="n"/>
      <c r="R1081" s="252" t="n"/>
      <c r="S1081" s="244">
        <f>Q1081*R1081</f>
        <v/>
      </c>
    </row>
    <row r="1082" ht="22.2" customHeight="1" s="330">
      <c r="A1082" s="4" t="n"/>
      <c r="B1082" s="5" t="n"/>
      <c r="E1082" s="4" t="n"/>
      <c r="G1082" s="252" t="n"/>
      <c r="H1082" s="325" t="n"/>
      <c r="I1082" s="325" t="n"/>
      <c r="J1082" s="325" t="n"/>
      <c r="K1082" s="331" t="n"/>
      <c r="L1082" s="252" t="n"/>
      <c r="M1082" s="325" t="n"/>
      <c r="N1082" s="325" t="n"/>
      <c r="O1082" s="244">
        <f>M1082*N1082</f>
        <v/>
      </c>
      <c r="P1082" s="325" t="n"/>
      <c r="Q1082" s="325" t="n"/>
      <c r="R1082" s="325" t="n"/>
      <c r="S1082" s="244">
        <f>Q1082*R1082</f>
        <v/>
      </c>
    </row>
    <row r="1083" ht="22.2" customHeight="1" s="330">
      <c r="A1083" s="4" t="n"/>
      <c r="E1083" s="4" t="n"/>
      <c r="G1083" s="252" t="n"/>
      <c r="H1083" s="252" t="n"/>
      <c r="I1083" s="252" t="n"/>
      <c r="J1083" s="252" t="n"/>
      <c r="K1083" s="331" t="n"/>
      <c r="L1083" s="252" t="n"/>
      <c r="M1083" s="252" t="n"/>
      <c r="N1083" s="252" t="n"/>
      <c r="O1083" s="244">
        <f>M1083*N1083</f>
        <v/>
      </c>
      <c r="P1083" s="252" t="n"/>
      <c r="Q1083" s="252" t="n"/>
      <c r="R1083" s="252" t="n"/>
      <c r="S1083" s="244">
        <f>Q1083*R1083</f>
        <v/>
      </c>
    </row>
    <row r="1084" ht="22.2" customHeight="1" s="330">
      <c r="A1084" s="4" t="n"/>
      <c r="E1084" s="4" t="n"/>
      <c r="G1084" s="276" t="n"/>
      <c r="H1084" s="301" t="n"/>
      <c r="I1084" s="276" t="n"/>
      <c r="J1084" s="276" t="n"/>
      <c r="K1084" s="476" t="n"/>
      <c r="L1084" s="276" t="n"/>
      <c r="M1084" s="276" t="n"/>
      <c r="N1084" s="276" t="n"/>
      <c r="O1084" s="244">
        <f>M1084*N1084</f>
        <v/>
      </c>
      <c r="P1084" s="276" t="n"/>
      <c r="Q1084" s="276" t="n"/>
      <c r="R1084" s="276" t="n"/>
      <c r="S1084" s="244">
        <f>Q1084*R1084</f>
        <v/>
      </c>
    </row>
    <row r="1085" ht="22.2" customHeight="1" s="330">
      <c r="A1085" s="4" t="n"/>
      <c r="E1085" s="4" t="n"/>
      <c r="G1085" s="62" t="inlineStr">
        <is>
          <t>ศุกร์</t>
        </is>
      </c>
      <c r="H1085" s="252" t="inlineStr">
        <is>
          <t>20101-2001</t>
        </is>
      </c>
      <c r="I1085" s="325" t="inlineStr">
        <is>
          <t>ปวช.1/8 ชย. (ปกติ)</t>
        </is>
      </c>
      <c r="J1085" s="332" t="inlineStr">
        <is>
          <t>08.10-12.10</t>
        </is>
      </c>
      <c r="K1085" s="335" t="n"/>
      <c r="L1085" s="265" t="n"/>
      <c r="M1085" s="252" t="n"/>
      <c r="N1085" s="252" t="n"/>
      <c r="O1085" s="244">
        <f>M1085*N1085</f>
        <v/>
      </c>
      <c r="P1085" s="332" t="n"/>
      <c r="Q1085" s="265" t="n"/>
      <c r="R1085" s="332" t="n"/>
      <c r="S1085" s="244">
        <f>Q1085*R1085</f>
        <v/>
      </c>
      <c r="T1085" s="25" t="n"/>
      <c r="U1085" s="26" t="inlineStr">
        <is>
          <t xml:space="preserve">     PLC</t>
        </is>
      </c>
      <c r="V1085" s="64" t="n"/>
      <c r="W1085" s="27" t="n"/>
      <c r="X1085" s="27" t="n"/>
    </row>
    <row r="1086" ht="22.2" customHeight="1" s="330">
      <c r="A1086" s="4" t="n"/>
      <c r="E1086" s="4" t="n"/>
      <c r="G1086" s="308">
        <f>G1040</f>
        <v/>
      </c>
      <c r="H1086" s="252" t="inlineStr">
        <is>
          <t>20101-2001</t>
        </is>
      </c>
      <c r="I1086" s="325" t="inlineStr">
        <is>
          <t>ปวช.1/8 ชย. (ปกติ)</t>
        </is>
      </c>
      <c r="J1086" s="325" t="inlineStr">
        <is>
          <t>13.10-16.10</t>
        </is>
      </c>
      <c r="K1086" s="331" t="n"/>
      <c r="L1086" s="252" t="n"/>
      <c r="M1086" s="252" t="n"/>
      <c r="N1086" s="252" t="n"/>
      <c r="O1086" s="244">
        <f>M1086*N1086</f>
        <v/>
      </c>
      <c r="P1086" s="252" t="n"/>
      <c r="Q1086" s="252" t="n"/>
      <c r="R1086" s="252" t="n"/>
      <c r="S1086" s="244">
        <f>Q1086*R1086</f>
        <v/>
      </c>
      <c r="T1086" s="27" t="inlineStr">
        <is>
          <t> </t>
        </is>
      </c>
      <c r="U1086" s="26" t="inlineStr">
        <is>
          <t>17.10-19.10</t>
        </is>
      </c>
      <c r="V1086" s="64" t="n"/>
      <c r="W1086" s="27" t="n"/>
      <c r="X1086" s="27" t="n"/>
    </row>
    <row r="1087" ht="22.2" customHeight="1" s="330">
      <c r="A1087" s="4" t="n"/>
      <c r="D1087" s="331" t="n"/>
      <c r="E1087" s="56" t="n"/>
      <c r="G1087" s="252" t="n"/>
      <c r="H1087" s="325" t="n"/>
      <c r="I1087" s="325" t="n"/>
      <c r="J1087" s="325" t="n"/>
      <c r="K1087" s="331" t="n"/>
      <c r="L1087" s="252" t="n"/>
      <c r="M1087" s="252" t="n"/>
      <c r="N1087" s="252" t="n"/>
      <c r="O1087" s="244">
        <f>M1087*N1087</f>
        <v/>
      </c>
      <c r="P1087" s="252" t="n"/>
      <c r="Q1087" s="252" t="n"/>
      <c r="R1087" s="252" t="n"/>
      <c r="S1087" s="244">
        <f>Q1087*R1087</f>
        <v/>
      </c>
    </row>
    <row r="1088" ht="22.2" customHeight="1" s="330">
      <c r="A1088" s="4" t="n"/>
      <c r="E1088" s="4" t="n"/>
      <c r="G1088" s="252" t="n"/>
      <c r="H1088" s="249" t="inlineStr">
        <is>
          <t> </t>
        </is>
      </c>
      <c r="I1088" s="252" t="n"/>
      <c r="J1088" s="252" t="n"/>
      <c r="K1088" s="331" t="n"/>
      <c r="L1088" s="252" t="n"/>
      <c r="M1088" s="252" t="n"/>
      <c r="N1088" s="252" t="n"/>
      <c r="O1088" s="244">
        <f>M1088*N1088</f>
        <v/>
      </c>
      <c r="P1088" s="252" t="n"/>
      <c r="Q1088" s="252" t="n"/>
      <c r="R1088" s="252" t="n"/>
      <c r="S1088" s="244">
        <f>Q1088*R1088</f>
        <v/>
      </c>
    </row>
    <row r="1089" ht="22.2" customHeight="1" s="330">
      <c r="A1089" s="4" t="n"/>
      <c r="E1089" s="4" t="n"/>
      <c r="F1089" s="4" t="n"/>
      <c r="G1089" s="278" t="n"/>
      <c r="H1089" s="301" t="n"/>
      <c r="I1089" s="276" t="n"/>
      <c r="J1089" s="276" t="n"/>
      <c r="K1089" s="476" t="n"/>
      <c r="L1089" s="276" t="n"/>
      <c r="M1089" s="276" t="n"/>
      <c r="N1089" s="276" t="n"/>
      <c r="O1089" s="244">
        <f>M1089*N1089</f>
        <v/>
      </c>
      <c r="P1089" s="276" t="n"/>
      <c r="Q1089" s="276" t="n"/>
      <c r="R1089" s="276" t="n"/>
      <c r="S1089" s="244">
        <f>Q1089*R1089</f>
        <v/>
      </c>
    </row>
    <row r="1090" ht="22.2" customHeight="1" s="330">
      <c r="A1090" s="4" t="n"/>
      <c r="E1090" s="4" t="n"/>
      <c r="F1090" s="4" t="n"/>
      <c r="G1090" s="17" t="inlineStr">
        <is>
          <t>รวมขั่วโมงที่สอนแยก ภาระงาน/ เกินภาระงาน</t>
        </is>
      </c>
      <c r="H1090" s="467" t="n"/>
      <c r="I1090" s="467" t="n"/>
      <c r="J1090" s="467" t="n"/>
      <c r="K1090" s="362" t="n"/>
      <c r="L1090" s="17">
        <f>SUM(L1065:L1089)</f>
        <v/>
      </c>
      <c r="M1090" s="17">
        <f>SUM(M1065:M1089)</f>
        <v/>
      </c>
      <c r="N1090" s="17" t="n"/>
      <c r="O1090" s="17" t="n"/>
      <c r="P1090" s="17">
        <f>SUM(P1065:P1089)</f>
        <v/>
      </c>
      <c r="Q1090" s="17">
        <f>SUM(Q1065:Q1089)</f>
        <v/>
      </c>
      <c r="R1090" s="279" t="n"/>
      <c r="S1090" s="17" t="n"/>
    </row>
    <row r="1091" ht="22.2" customHeight="1" s="330">
      <c r="A1091" s="4" t="n"/>
      <c r="E1091" s="4" t="n"/>
      <c r="F1091" s="4" t="n"/>
      <c r="G1091" s="17" t="inlineStr">
        <is>
          <t>รวมจำนวนชั่วโมงสอนคาบต่อสับดาห์</t>
        </is>
      </c>
      <c r="H1091" s="467" t="n"/>
      <c r="I1091" s="467" t="n"/>
      <c r="J1091" s="467" t="n"/>
      <c r="K1091" s="362" t="n"/>
      <c r="L1091" s="17">
        <f>L1090+M1090</f>
        <v/>
      </c>
      <c r="M1091" s="362" t="n"/>
      <c r="N1091" s="298" t="n"/>
      <c r="O1091" s="17" t="n"/>
      <c r="P1091" s="17">
        <f>P1090+Q1090</f>
        <v/>
      </c>
      <c r="Q1091" s="362" t="n"/>
      <c r="R1091" s="278" t="n"/>
      <c r="S1091" s="276" t="n"/>
    </row>
    <row r="1092" ht="22.2" customHeight="1" s="330">
      <c r="A1092" s="4" t="n"/>
      <c r="E1092" s="4" t="n"/>
      <c r="F1092" s="4" t="n"/>
      <c r="G1092" s="17" t="inlineStr">
        <is>
          <t>จำนวนชั่วโมงสอนตามภาระงานสอน</t>
        </is>
      </c>
      <c r="H1092" s="467" t="n"/>
      <c r="I1092" s="467" t="n"/>
      <c r="J1092" s="467" t="n"/>
      <c r="K1092" s="362" t="n"/>
      <c r="L1092" s="17" t="n">
        <v>18</v>
      </c>
      <c r="M1092" s="362" t="n"/>
      <c r="N1092" s="298" t="n"/>
      <c r="O1092" s="17" t="n"/>
      <c r="P1092" s="17" t="n">
        <v>0</v>
      </c>
      <c r="Q1092" s="362" t="n"/>
      <c r="R1092" s="249" t="n"/>
      <c r="S1092" s="252" t="n"/>
    </row>
    <row r="1093" ht="22.2" customHeight="1" s="330" thickBot="1">
      <c r="A1093" s="4" t="n"/>
      <c r="E1093" s="4" t="n"/>
      <c r="F1093" s="15" t="n"/>
      <c r="G1093" s="17" t="inlineStr">
        <is>
          <t>จำนวนชั่วโมงบิกเกินภาระงานสอน/ค่าสอน</t>
        </is>
      </c>
      <c r="H1093" s="467" t="n"/>
      <c r="I1093" s="467" t="n"/>
      <c r="J1093" s="467" t="n"/>
      <c r="K1093" s="362" t="n"/>
      <c r="L1093" s="18" t="n">
        <v>0</v>
      </c>
      <c r="M1093" s="18">
        <f>SUM(M1065:M1089)</f>
        <v/>
      </c>
      <c r="N1093" s="18" t="n"/>
      <c r="O1093" s="18">
        <f>SUM(O1065:O1089)</f>
        <v/>
      </c>
      <c r="P1093" s="18" t="n">
        <v>0</v>
      </c>
      <c r="Q1093" s="18">
        <f>SUM(Q1065:Q1089)</f>
        <v/>
      </c>
      <c r="R1093" s="19" t="n"/>
      <c r="S1093" s="18">
        <f>SUM(S1065:S1089)</f>
        <v/>
      </c>
    </row>
    <row r="1094" ht="22.2" customHeight="1" s="330" thickTop="1">
      <c r="A1094" s="299" t="inlineStr">
        <is>
          <t>รวมจำนวนหน่วยชั่วโมงที่ขอเบิกค่าสอน ….</t>
        </is>
      </c>
      <c r="B1094" s="467" t="n"/>
      <c r="C1094" s="467" t="n"/>
      <c r="D1094" s="467" t="n"/>
      <c r="E1094" s="467" t="n"/>
      <c r="F1094" s="467" t="n"/>
      <c r="G1094" s="467" t="n"/>
      <c r="H1094" s="298">
        <f>M1093+Q1093</f>
        <v/>
      </c>
      <c r="I1094" s="298" t="inlineStr">
        <is>
          <t>….ชั่วโมง</t>
        </is>
      </c>
      <c r="J1094" s="298" t="n"/>
      <c r="K1094" s="301" t="inlineStr">
        <is>
          <t>ยอดเงินรวม</t>
        </is>
      </c>
      <c r="L1094" s="471" t="n"/>
      <c r="M1094" s="471" t="n"/>
      <c r="N1094" s="301" t="n"/>
      <c r="O1094" s="301" t="n"/>
      <c r="P1094" s="302">
        <f>S1093+O1093</f>
        <v/>
      </c>
      <c r="Q1094" s="482" t="n"/>
      <c r="R1094" s="21" t="n"/>
      <c r="S1094" s="20" t="inlineStr">
        <is>
          <t>..บาท</t>
        </is>
      </c>
    </row>
    <row r="1095" ht="22.2" customHeight="1" s="330">
      <c r="A1095" s="207" t="inlineStr">
        <is>
          <t>ผู้ขอเบิก</t>
        </is>
      </c>
      <c r="B1095" s="334" t="n"/>
      <c r="C1095" s="334" t="n"/>
      <c r="D1095" s="334" t="n"/>
      <c r="E1095" s="334" t="n"/>
      <c r="F1095" s="334" t="n"/>
      <c r="G1095" s="335" t="n"/>
      <c r="H1095" s="207" t="inlineStr">
        <is>
          <t>ผู้รับรอง</t>
        </is>
      </c>
      <c r="I1095" s="334" t="n"/>
      <c r="J1095" s="334" t="n"/>
      <c r="K1095" s="334" t="n"/>
      <c r="L1095" s="335" t="n"/>
      <c r="M1095" s="207" t="inlineStr">
        <is>
          <t>ผู้ตรวจ</t>
        </is>
      </c>
      <c r="N1095" s="334" t="n"/>
      <c r="O1095" s="334" t="n"/>
      <c r="P1095" s="334" t="n"/>
      <c r="Q1095" s="334" t="n"/>
      <c r="R1095" s="334" t="n"/>
      <c r="S1095" s="335" t="n"/>
    </row>
    <row r="1096" ht="22.2" customHeight="1" s="330">
      <c r="A1096" s="252" t="inlineStr">
        <is>
          <t>ลงชื่อ……………………………………………</t>
        </is>
      </c>
      <c r="G1096" s="331" t="n"/>
      <c r="H1096" s="252" t="inlineStr">
        <is>
          <t>ลงชื่อ……………………………………………</t>
        </is>
      </c>
      <c r="L1096" s="331" t="n"/>
      <c r="M1096" s="252" t="inlineStr">
        <is>
          <t>ลงชื่อ……………………………………………</t>
        </is>
      </c>
      <c r="S1096" s="331" t="n"/>
    </row>
    <row r="1097" ht="22.2" customHeight="1" s="330">
      <c r="A1097" s="12" t="inlineStr">
        <is>
          <t>(</t>
        </is>
      </c>
      <c r="B1097" s="309">
        <f>B1065</f>
        <v/>
      </c>
      <c r="G1097" s="310" t="inlineStr">
        <is>
          <t>)</t>
        </is>
      </c>
      <c r="H1097" s="309" t="inlineStr">
        <is>
          <t>(</t>
        </is>
      </c>
      <c r="I1097" s="314">
        <f>I1051</f>
        <v/>
      </c>
      <c r="L1097" s="13" t="inlineStr">
        <is>
          <t>)</t>
        </is>
      </c>
      <c r="M1097" s="61" t="inlineStr">
        <is>
          <t>(</t>
        </is>
      </c>
      <c r="N1097" s="61" t="n"/>
      <c r="O1097" s="309" t="inlineStr">
        <is>
          <t>นายพิสุทธิศักดิ์  กล่อมนาค</t>
        </is>
      </c>
      <c r="R1097" s="29" t="n"/>
      <c r="S1097" s="310" t="inlineStr">
        <is>
          <t>)</t>
        </is>
      </c>
    </row>
    <row r="1098" ht="22.2" customHeight="1" s="330">
      <c r="A1098" s="483" t="inlineStr">
        <is>
          <t xml:space="preserve">                 ตำแหน่ง  ครูพิเศษ</t>
        </is>
      </c>
      <c r="G1098" s="331" t="n"/>
      <c r="H1098" s="62" t="inlineStr">
        <is>
          <t>ตำแหน่ง หัวหน้าแผนก</t>
        </is>
      </c>
      <c r="L1098" s="331" t="n"/>
      <c r="M1098" s="62" t="inlineStr">
        <is>
          <t>ตำแหน่ง   ผู้ตรวจสอบ</t>
        </is>
      </c>
      <c r="S1098" s="331" t="n"/>
    </row>
    <row r="1099" ht="22.2" customHeight="1" s="330">
      <c r="A1099" s="63">
        <f>A41</f>
        <v/>
      </c>
      <c r="B1099" s="471" t="n"/>
      <c r="C1099" s="471" t="n"/>
      <c r="D1099" s="471" t="n"/>
      <c r="E1099" s="471" t="n"/>
      <c r="F1099" s="471" t="n"/>
      <c r="G1099" s="476" t="n"/>
      <c r="H1099" s="62">
        <f>A41</f>
        <v/>
      </c>
      <c r="L1099" s="331" t="n"/>
      <c r="M1099" s="63">
        <f>A41</f>
        <v/>
      </c>
      <c r="N1099" s="471" t="n"/>
      <c r="O1099" s="471" t="n"/>
      <c r="P1099" s="471" t="n"/>
      <c r="Q1099" s="471" t="n"/>
      <c r="R1099" s="471" t="n"/>
      <c r="S1099" s="476" t="n"/>
    </row>
    <row r="1100" ht="22.2" customHeight="1" s="330">
      <c r="A1100" s="207" t="inlineStr">
        <is>
          <t>ผู้ตรวจ</t>
        </is>
      </c>
      <c r="B1100" s="334" t="n"/>
      <c r="C1100" s="334" t="n"/>
      <c r="D1100" s="334" t="n"/>
      <c r="E1100" s="334" t="n"/>
      <c r="F1100" s="334" t="n"/>
      <c r="G1100" s="334" t="n"/>
      <c r="H1100" s="334" t="n"/>
      <c r="I1100" s="335" t="n"/>
      <c r="J1100" s="207" t="inlineStr">
        <is>
          <t>ผู้เห็นชอบ</t>
        </is>
      </c>
      <c r="K1100" s="334" t="n"/>
      <c r="L1100" s="334" t="n"/>
      <c r="M1100" s="334" t="n"/>
      <c r="N1100" s="334" t="n"/>
      <c r="O1100" s="334" t="n"/>
      <c r="P1100" s="334" t="n"/>
      <c r="Q1100" s="334" t="n"/>
      <c r="R1100" s="334" t="n"/>
      <c r="S1100" s="335" t="n"/>
    </row>
    <row r="1101" ht="22.2" customHeight="1" s="330">
      <c r="A1101" s="252" t="inlineStr">
        <is>
          <t>ลงชื่อ……………………………………………</t>
        </is>
      </c>
      <c r="I1101" s="331" t="n"/>
      <c r="J1101" s="252" t="inlineStr">
        <is>
          <t>ลงชื่อ……………………………………………</t>
        </is>
      </c>
      <c r="S1101" s="331" t="n"/>
    </row>
    <row r="1102" ht="22.2" customHeight="1" s="330">
      <c r="A1102" s="12" t="n"/>
      <c r="B1102" s="309" t="inlineStr">
        <is>
          <t xml:space="preserve">          (นางศิวรักษ์   บุญประเสริฐ)</t>
        </is>
      </c>
      <c r="I1102" s="310" t="n"/>
      <c r="J1102" s="29" t="n"/>
      <c r="K1102" s="29" t="n"/>
      <c r="L1102" s="309" t="inlineStr">
        <is>
          <t>(นายปรีชา  โพธิ์เกิด)</t>
        </is>
      </c>
      <c r="R1102" s="29" t="n"/>
      <c r="S1102" s="13" t="n"/>
    </row>
    <row r="1103" ht="22.2" customHeight="1" s="330">
      <c r="A1103" s="62" t="inlineStr">
        <is>
          <t>ตำแหน่งครู  หัวหน้างานพัฒนาหลักสูตร ฯ</t>
        </is>
      </c>
      <c r="I1103" s="331" t="n"/>
      <c r="J1103" s="62" t="inlineStr">
        <is>
          <t>ตำแหน่ง  รองผู้อำนวยการฝ่ายวิชาการ</t>
        </is>
      </c>
      <c r="S1103" s="331" t="n"/>
    </row>
    <row r="1104" ht="22.2" customHeight="1" s="330">
      <c r="A1104" s="63">
        <f>A41</f>
        <v/>
      </c>
      <c r="B1104" s="471" t="n"/>
      <c r="C1104" s="471" t="n"/>
      <c r="D1104" s="471" t="n"/>
      <c r="E1104" s="471" t="n"/>
      <c r="F1104" s="471" t="n"/>
      <c r="G1104" s="471" t="n"/>
      <c r="H1104" s="471" t="n"/>
      <c r="I1104" s="476" t="n"/>
      <c r="J1104" s="63">
        <f>A41</f>
        <v/>
      </c>
      <c r="K1104" s="471" t="n"/>
      <c r="L1104" s="471" t="n"/>
      <c r="M1104" s="471" t="n"/>
      <c r="N1104" s="471" t="n"/>
      <c r="O1104" s="471" t="n"/>
      <c r="P1104" s="471" t="n"/>
      <c r="Q1104" s="471" t="n"/>
      <c r="R1104" s="471" t="n"/>
      <c r="S1104" s="476" t="n"/>
    </row>
    <row r="1105" ht="22.2" customHeight="1" s="330">
      <c r="A110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06" ht="22.2" customHeight="1" s="330">
      <c r="A1106" s="254">
        <f>A2</f>
        <v/>
      </c>
    </row>
    <row r="1107" ht="22.2" customHeight="1" s="330">
      <c r="A1107" s="253" t="inlineStr">
        <is>
          <t xml:space="preserve">    ระหว่างวันที่</t>
        </is>
      </c>
      <c r="D1107" s="254">
        <f>D3</f>
        <v/>
      </c>
      <c r="E1107" s="254" t="inlineStr">
        <is>
          <t xml:space="preserve">   เดือน  </t>
        </is>
      </c>
      <c r="F1107" s="254">
        <f>F3</f>
        <v/>
      </c>
      <c r="H1107" s="254">
        <f>H3</f>
        <v/>
      </c>
      <c r="I1107" s="254" t="inlineStr">
        <is>
          <t xml:space="preserve">     ถึง วันที่</t>
        </is>
      </c>
      <c r="J1107" s="254">
        <f>J3</f>
        <v/>
      </c>
      <c r="K1107" s="254" t="inlineStr">
        <is>
          <t xml:space="preserve">   เดือน </t>
        </is>
      </c>
      <c r="L1107" s="254">
        <f>L3</f>
        <v/>
      </c>
      <c r="N1107" s="254">
        <f>N3</f>
        <v/>
      </c>
      <c r="P1107" s="254" t="n"/>
      <c r="R1107" s="254" t="n"/>
    </row>
    <row r="1108" ht="22.2" customHeight="1" s="330">
      <c r="G1108" s="58" t="inlineStr">
        <is>
          <t>ü</t>
        </is>
      </c>
      <c r="H1108" s="8" t="inlineStr">
        <is>
          <t>ครูพิเศษ</t>
        </is>
      </c>
      <c r="I1108" s="249" t="inlineStr">
        <is>
          <t>หน้าที่พิเศษ</t>
        </is>
      </c>
      <c r="K1108" s="290" t="n"/>
    </row>
    <row r="1109" ht="22.2" customHeight="1" s="330">
      <c r="A1109" s="28" t="inlineStr">
        <is>
          <t>ที่</t>
        </is>
      </c>
      <c r="B1109" s="28" t="inlineStr">
        <is>
          <t>ชื่อ-สกุล</t>
        </is>
      </c>
      <c r="C1109" s="334" t="n"/>
      <c r="D1109" s="335" t="n"/>
      <c r="E1109" s="16" t="inlineStr">
        <is>
          <t>ตำแหน่ง</t>
        </is>
      </c>
      <c r="F1109" s="17" t="inlineStr">
        <is>
          <t>ระยะเวลาที่สอน</t>
        </is>
      </c>
      <c r="G1109" s="362" t="n"/>
      <c r="H1109" s="17" t="inlineStr">
        <is>
          <t>รหัสวิชา</t>
        </is>
      </c>
      <c r="I1109" s="275" t="inlineStr">
        <is>
          <t>ชั้น,แผนก,ห้อง</t>
        </is>
      </c>
      <c r="J1109" s="17" t="inlineStr">
        <is>
          <t>เวลาสอน</t>
        </is>
      </c>
      <c r="K1109" s="335" t="n"/>
      <c r="L1109" s="17" t="inlineStr">
        <is>
          <t>ปวช.(คาบ)</t>
        </is>
      </c>
      <c r="M1109" s="362" t="n"/>
      <c r="N1109" s="244" t="inlineStr">
        <is>
          <t>เงิน</t>
        </is>
      </c>
      <c r="O1109" s="275" t="inlineStr">
        <is>
          <t>ยอดเงิน</t>
        </is>
      </c>
      <c r="P1109" s="473" t="inlineStr">
        <is>
          <t>ปวส.(คาบ)</t>
        </is>
      </c>
      <c r="Q1109" s="362" t="n"/>
      <c r="R1109" s="244" t="inlineStr">
        <is>
          <t>เงิน</t>
        </is>
      </c>
      <c r="S1109" s="275" t="inlineStr">
        <is>
          <t>ยอดเงิน</t>
        </is>
      </c>
    </row>
    <row r="1110" ht="22.2" customHeight="1" s="330">
      <c r="A1110" s="60" t="n"/>
      <c r="B1110" s="9" t="n"/>
      <c r="C1110" s="10" t="n"/>
      <c r="D1110" s="14" t="n"/>
      <c r="E1110" s="11" t="n"/>
      <c r="F1110" s="276" t="inlineStr">
        <is>
          <t>ส.</t>
        </is>
      </c>
      <c r="G1110" s="276" t="inlineStr">
        <is>
          <t>วดป.</t>
        </is>
      </c>
      <c r="H1110" s="474" t="n"/>
      <c r="I1110" s="276" t="n"/>
      <c r="J1110" s="475" t="n"/>
      <c r="K1110" s="476" t="n"/>
      <c r="L1110" s="276" t="inlineStr">
        <is>
          <t>ใน</t>
        </is>
      </c>
      <c r="M1110" s="276" t="inlineStr">
        <is>
          <t>นอก</t>
        </is>
      </c>
      <c r="N1110" s="276" t="inlineStr">
        <is>
          <t>ต่อ ชม.</t>
        </is>
      </c>
      <c r="O1110" s="276" t="inlineStr">
        <is>
          <t>(บาท)</t>
        </is>
      </c>
      <c r="P1110" s="60" t="inlineStr">
        <is>
          <t>ใน</t>
        </is>
      </c>
      <c r="Q1110" s="60" t="inlineStr">
        <is>
          <t>นอก</t>
        </is>
      </c>
      <c r="R1110" s="276" t="inlineStr">
        <is>
          <t>ต่อ ชม.</t>
        </is>
      </c>
      <c r="S1110" s="276" t="inlineStr">
        <is>
          <t>(บาท)</t>
        </is>
      </c>
    </row>
    <row r="1111" ht="22.2" customHeight="1" s="330">
      <c r="A1111" s="275" t="n">
        <v>25</v>
      </c>
      <c r="B1111" s="477">
        <f>AB27</f>
        <v/>
      </c>
      <c r="C1111" s="334" t="n"/>
      <c r="D1111" s="335" t="n"/>
      <c r="E1111" s="275" t="inlineStr">
        <is>
          <t>ครู</t>
        </is>
      </c>
      <c r="F1111" s="6">
        <f>F7</f>
        <v/>
      </c>
      <c r="G1111" s="303" t="inlineStr">
        <is>
          <t>จันทร์</t>
        </is>
      </c>
      <c r="H1111" s="332" t="n"/>
      <c r="I1111" s="325" t="n"/>
      <c r="J1111" s="275" t="n"/>
      <c r="K1111" s="335" t="n"/>
      <c r="L1111" s="332" t="n"/>
      <c r="M1111" s="156" t="n"/>
      <c r="N1111" s="156" t="n"/>
      <c r="O1111" s="244">
        <f>M1111*N1111</f>
        <v/>
      </c>
      <c r="P1111" s="332" t="n"/>
      <c r="Q1111" s="265" t="n"/>
      <c r="R1111" s="332" t="n"/>
      <c r="S1111" s="244">
        <f>Q1111*R1111</f>
        <v/>
      </c>
    </row>
    <row r="1112" ht="22.2" customHeight="1" s="330">
      <c r="A1112" s="4" t="n"/>
      <c r="B1112" s="478" t="n"/>
      <c r="D1112" s="331" t="n"/>
      <c r="E1112" s="252" t="inlineStr">
        <is>
          <t>พิเศษ</t>
        </is>
      </c>
      <c r="F1112" s="249" t="n"/>
      <c r="G1112" s="308">
        <f>G1066</f>
        <v/>
      </c>
      <c r="H1112" s="325" t="n"/>
      <c r="I1112" s="325" t="n"/>
      <c r="J1112" s="252" t="n"/>
      <c r="K1112" s="331" t="n"/>
      <c r="L1112" s="252" t="n"/>
      <c r="M1112" s="56" t="n"/>
      <c r="N1112" s="56" t="n"/>
      <c r="O1112" s="244">
        <f>M1112*N1112</f>
        <v/>
      </c>
      <c r="P1112" s="252" t="n"/>
      <c r="Q1112" s="252" t="n"/>
      <c r="R1112" s="252" t="n"/>
      <c r="S1112" s="244">
        <f>Q1112*R1112</f>
        <v/>
      </c>
    </row>
    <row r="1113" ht="22.2" customHeight="1" s="330">
      <c r="A1113" s="4" t="n"/>
      <c r="B1113" s="5" t="n"/>
      <c r="D1113" s="3" t="n"/>
      <c r="E1113" s="3" t="n"/>
      <c r="F1113" s="249" t="n"/>
      <c r="G1113" s="248" t="n"/>
      <c r="H1113" s="325" t="n"/>
      <c r="I1113" s="325" t="n"/>
      <c r="J1113" s="252" t="n"/>
      <c r="K1113" s="331" t="n"/>
      <c r="L1113" s="252" t="n"/>
      <c r="M1113" s="252" t="n"/>
      <c r="N1113" s="252" t="n"/>
      <c r="O1113" s="244">
        <f>M1113*N1113</f>
        <v/>
      </c>
      <c r="P1113" s="252" t="n"/>
      <c r="Q1113" s="252" t="n"/>
      <c r="R1113" s="252" t="n"/>
      <c r="S1113" s="244">
        <f>Q1113*R1113</f>
        <v/>
      </c>
    </row>
    <row r="1114" ht="22.2" customHeight="1" s="330">
      <c r="A1114" s="4" t="n"/>
      <c r="B1114" s="5" t="n"/>
      <c r="E1114" s="4" t="n"/>
      <c r="F1114" s="249" t="n"/>
      <c r="G1114" s="248" t="n"/>
      <c r="H1114" s="252" t="n"/>
      <c r="I1114" s="252" t="n"/>
      <c r="J1114" s="252" t="n"/>
      <c r="K1114" s="331" t="n"/>
      <c r="L1114" s="252" t="n"/>
      <c r="M1114" s="252" t="n"/>
      <c r="N1114" s="252" t="n"/>
      <c r="O1114" s="244">
        <f>M1114*N1114</f>
        <v/>
      </c>
      <c r="P1114" s="252" t="n"/>
      <c r="Q1114" s="252" t="n"/>
      <c r="R1114" s="252" t="n"/>
      <c r="S1114" s="244">
        <f>Q1114*R1114</f>
        <v/>
      </c>
    </row>
    <row r="1115" ht="22.2" customHeight="1" s="330">
      <c r="A1115" s="4" t="n"/>
      <c r="E1115" s="4" t="n"/>
      <c r="G1115" s="311" t="n"/>
      <c r="H1115" s="276" t="n"/>
      <c r="I1115" s="276" t="n"/>
      <c r="J1115" s="276" t="n"/>
      <c r="K1115" s="476" t="n"/>
      <c r="L1115" s="252" t="n"/>
      <c r="M1115" s="276" t="n"/>
      <c r="N1115" s="276" t="n"/>
      <c r="O1115" s="244">
        <f>M1115*N1115</f>
        <v/>
      </c>
      <c r="P1115" s="252" t="n"/>
      <c r="Q1115" s="252" t="n"/>
      <c r="R1115" s="252" t="n"/>
      <c r="S1115" s="244">
        <f>Q1115*R1115</f>
        <v/>
      </c>
    </row>
    <row r="1116" ht="22.2" customHeight="1" s="330">
      <c r="A1116" s="4" t="n"/>
      <c r="E1116" s="4" t="n"/>
      <c r="G1116" s="62" t="inlineStr">
        <is>
          <t>อังคาร</t>
        </is>
      </c>
      <c r="H1116" s="332" t="inlineStr">
        <is>
          <t>30101-2605</t>
        </is>
      </c>
      <c r="I1116" s="325" t="inlineStr">
        <is>
          <t>ปวส.1/6 สย. (ม.6)</t>
        </is>
      </c>
      <c r="J1116" s="275" t="inlineStr">
        <is>
          <t>08.10-12.10</t>
        </is>
      </c>
      <c r="K1116" s="335" t="n"/>
      <c r="L1116" s="332" t="n"/>
      <c r="M1116" s="182" t="n"/>
      <c r="N1116" s="179" t="n"/>
      <c r="O1116" s="244">
        <f>M1116*N1116</f>
        <v/>
      </c>
      <c r="P1116" s="332" t="n"/>
      <c r="Q1116" s="265" t="n"/>
      <c r="R1116" s="332" t="n"/>
      <c r="S1116" s="244">
        <f>Q1116*R1116</f>
        <v/>
      </c>
    </row>
    <row r="1117" ht="22.2" customHeight="1" s="330">
      <c r="A1117" s="4" t="n"/>
      <c r="E1117" s="4" t="n"/>
      <c r="G1117" s="308">
        <f>G1071</f>
        <v/>
      </c>
      <c r="H1117" s="325" t="inlineStr">
        <is>
          <t>30101-2605</t>
        </is>
      </c>
      <c r="I1117" s="325" t="inlineStr">
        <is>
          <t>ปวส.1/6 สย. (ม.6)</t>
        </is>
      </c>
      <c r="J1117" s="252" t="inlineStr">
        <is>
          <t>13.10-14.10</t>
        </is>
      </c>
      <c r="K1117" s="331" t="n"/>
      <c r="L1117" s="252" t="n"/>
      <c r="M1117" s="250" t="n"/>
      <c r="N1117" s="252" t="n"/>
      <c r="O1117" s="244">
        <f>M1117*N1117</f>
        <v/>
      </c>
      <c r="P1117" s="252" t="n"/>
      <c r="Q1117" s="252" t="n"/>
      <c r="R1117" s="252" t="n"/>
      <c r="S1117" s="244">
        <f>Q1117*R1117</f>
        <v/>
      </c>
    </row>
    <row r="1118" ht="22.2" customHeight="1" s="330">
      <c r="A1118" s="4" t="n"/>
      <c r="B1118" s="5" t="n"/>
      <c r="D1118" s="3" t="n"/>
      <c r="E1118" s="3" t="n"/>
      <c r="G1118" s="252" t="n"/>
      <c r="H1118" s="325" t="inlineStr">
        <is>
          <t>30101-2605</t>
        </is>
      </c>
      <c r="I1118" s="325" t="inlineStr">
        <is>
          <t>ปวส.1/5 สย. (ม.6)</t>
        </is>
      </c>
      <c r="J1118" s="252" t="inlineStr">
        <is>
          <t>14.10-19.10</t>
        </is>
      </c>
      <c r="K1118" s="331" t="n"/>
      <c r="L1118" s="252" t="n"/>
      <c r="M1118" s="252" t="n"/>
      <c r="N1118" s="252" t="n"/>
      <c r="O1118" s="244">
        <f>M1118*N1118</f>
        <v/>
      </c>
      <c r="P1118" s="252" t="n"/>
      <c r="Q1118" s="252" t="n"/>
      <c r="R1118" s="252" t="n"/>
      <c r="S1118" s="244">
        <f>Q1118*R1118</f>
        <v/>
      </c>
    </row>
    <row r="1119" ht="22.2" customHeight="1" s="330">
      <c r="A1119" s="4" t="n"/>
      <c r="E1119" s="4" t="n"/>
      <c r="G1119" s="62" t="n"/>
      <c r="H1119" s="249" t="n"/>
      <c r="I1119" s="252" t="n"/>
      <c r="J1119" s="252" t="n"/>
      <c r="K1119" s="331" t="n"/>
      <c r="L1119" s="252" t="n"/>
      <c r="M1119" s="252" t="n"/>
      <c r="N1119" s="252" t="n"/>
      <c r="O1119" s="244">
        <f>M1119*N1119</f>
        <v/>
      </c>
      <c r="P1119" s="252" t="n"/>
      <c r="Q1119" s="252" t="n"/>
      <c r="R1119" s="252" t="n"/>
      <c r="S1119" s="244">
        <f>Q1119*R1119</f>
        <v/>
      </c>
    </row>
    <row r="1120" ht="22.2" customHeight="1" s="330">
      <c r="A1120" s="4" t="n"/>
      <c r="D1120" s="8" t="inlineStr">
        <is>
          <t> </t>
        </is>
      </c>
      <c r="E1120" s="4" t="n"/>
      <c r="G1120" s="63" t="n"/>
      <c r="H1120" s="276" t="n"/>
      <c r="I1120" s="276" t="n"/>
      <c r="J1120" s="276" t="n"/>
      <c r="K1120" s="476" t="n"/>
      <c r="L1120" s="252" t="n"/>
      <c r="M1120" s="276" t="n"/>
      <c r="N1120" s="276" t="n"/>
      <c r="O1120" s="244">
        <f>M1120*N1120</f>
        <v/>
      </c>
      <c r="P1120" s="252" t="n"/>
      <c r="Q1120" s="252" t="n"/>
      <c r="R1120" s="252" t="n"/>
      <c r="S1120" s="244">
        <f>Q1120*R1120</f>
        <v/>
      </c>
    </row>
    <row r="1121" ht="22.2" customHeight="1" s="330">
      <c r="A1121" s="4" t="n"/>
      <c r="E1121" s="4" t="n"/>
      <c r="G1121" s="308" t="inlineStr">
        <is>
          <t>พุธ</t>
        </is>
      </c>
      <c r="H1121" s="325" t="inlineStr">
        <is>
          <t>30101-2105</t>
        </is>
      </c>
      <c r="I1121" s="325" t="inlineStr">
        <is>
          <t>ปวส.1/2 สย. (ปกติ)</t>
        </is>
      </c>
      <c r="J1121" s="275" t="inlineStr">
        <is>
          <t>08.10-12.10</t>
        </is>
      </c>
      <c r="K1121" s="335" t="n"/>
      <c r="L1121" s="332" t="n"/>
      <c r="M1121" s="179" t="n"/>
      <c r="N1121" s="179" t="n"/>
      <c r="O1121" s="244">
        <f>M1121*N1121</f>
        <v/>
      </c>
      <c r="P1121" s="332" t="n"/>
      <c r="Q1121" s="265" t="n"/>
      <c r="R1121" s="332" t="n"/>
      <c r="S1121" s="244">
        <f>Q1121*R1121</f>
        <v/>
      </c>
    </row>
    <row r="1122" ht="22.2" customHeight="1" s="330">
      <c r="A1122" s="4" t="n"/>
      <c r="B1122" s="248" t="n"/>
      <c r="C1122" s="249" t="n"/>
      <c r="D1122" s="249" t="n"/>
      <c r="E1122" s="252" t="n"/>
      <c r="G1122" s="308">
        <f>G1076</f>
        <v/>
      </c>
      <c r="H1122" s="325" t="inlineStr">
        <is>
          <t>30101-2105</t>
        </is>
      </c>
      <c r="I1122" s="325" t="inlineStr">
        <is>
          <t>ปวส.1/2 สย. (ปกติ)</t>
        </is>
      </c>
      <c r="J1122" s="252" t="inlineStr">
        <is>
          <t>13.10-14.10</t>
        </is>
      </c>
      <c r="K1122" s="331" t="n"/>
      <c r="L1122" s="252" t="n"/>
      <c r="M1122" s="180" t="n"/>
      <c r="N1122" s="180" t="n"/>
      <c r="O1122" s="244">
        <f>M1122*N1122</f>
        <v/>
      </c>
      <c r="P1122" s="252" t="n"/>
      <c r="Q1122" s="252" t="n"/>
      <c r="R1122" s="252" t="n"/>
      <c r="S1122" s="244">
        <f>Q1122*R1122</f>
        <v/>
      </c>
    </row>
    <row r="1123" ht="22.2" customHeight="1" s="330">
      <c r="A1123" s="4" t="n"/>
      <c r="B1123" s="5" t="n"/>
      <c r="D1123" s="3" t="n"/>
      <c r="E1123" s="3" t="n"/>
      <c r="G1123" s="252" t="n"/>
      <c r="H1123" s="325" t="inlineStr">
        <is>
          <t>30101-2105</t>
        </is>
      </c>
      <c r="I1123" s="325" t="inlineStr">
        <is>
          <t>ปวส.1/1 สย. (ปกติ)</t>
        </is>
      </c>
      <c r="J1123" s="252" t="inlineStr">
        <is>
          <t>14.10-19.10</t>
        </is>
      </c>
      <c r="K1123" s="331" t="n"/>
      <c r="L1123" s="252" t="n"/>
      <c r="M1123" s="180" t="n"/>
      <c r="N1123" s="180" t="n"/>
      <c r="O1123" s="244">
        <f>M1123*N1123</f>
        <v/>
      </c>
      <c r="P1123" s="252" t="n"/>
      <c r="Q1123" s="252" t="n"/>
      <c r="R1123" s="252" t="n"/>
      <c r="S1123" s="244">
        <f>Q1123*R1123</f>
        <v/>
      </c>
    </row>
    <row r="1124" ht="22.2" customHeight="1" s="330">
      <c r="A1124" s="4" t="n"/>
      <c r="E1124" s="4" t="n"/>
      <c r="G1124" s="252" t="n"/>
      <c r="H1124" s="248" t="n"/>
      <c r="I1124" s="252" t="n"/>
      <c r="J1124" s="252" t="n"/>
      <c r="K1124" s="331" t="n"/>
      <c r="L1124" s="252" t="n"/>
      <c r="M1124" s="252" t="n"/>
      <c r="N1124" s="252" t="n"/>
      <c r="O1124" s="244">
        <f>M1124*N1124</f>
        <v/>
      </c>
      <c r="P1124" s="252" t="n"/>
      <c r="Q1124" s="252" t="n"/>
      <c r="R1124" s="252" t="n"/>
      <c r="S1124" s="244">
        <f>Q1124*R1124</f>
        <v/>
      </c>
    </row>
    <row r="1125" ht="22.2" customHeight="1" s="330">
      <c r="A1125" s="4" t="n"/>
      <c r="E1125" s="4" t="n"/>
      <c r="G1125" s="277" t="n"/>
      <c r="H1125" s="277" t="n"/>
      <c r="I1125" s="276" t="n"/>
      <c r="J1125" s="276" t="n"/>
      <c r="K1125" s="476" t="n"/>
      <c r="L1125" s="276" t="n"/>
      <c r="M1125" s="276" t="n"/>
      <c r="N1125" s="276" t="n"/>
      <c r="O1125" s="244">
        <f>M1125*N1125</f>
        <v/>
      </c>
      <c r="P1125" s="276" t="n"/>
      <c r="Q1125" s="276" t="n"/>
      <c r="R1125" s="276" t="n"/>
      <c r="S1125" s="244">
        <f>Q1125*R1125</f>
        <v/>
      </c>
    </row>
    <row r="1126" ht="22.2" customHeight="1" s="330">
      <c r="A1126" s="4" t="n"/>
      <c r="E1126" s="4" t="n"/>
      <c r="G1126" s="62" t="inlineStr">
        <is>
          <t>พฤหัส</t>
        </is>
      </c>
      <c r="H1126" s="325" t="inlineStr">
        <is>
          <t>30101-0001</t>
        </is>
      </c>
      <c r="I1126" s="325" t="inlineStr">
        <is>
          <t>ปวส.2/6 สย. (ม.6)</t>
        </is>
      </c>
      <c r="J1126" s="275" t="inlineStr">
        <is>
          <t>08.10-11.10</t>
        </is>
      </c>
      <c r="K1126" s="335" t="n"/>
      <c r="L1126" s="252" t="n"/>
      <c r="M1126" s="252" t="n"/>
      <c r="N1126" s="252" t="n"/>
      <c r="O1126" s="244">
        <f>M1126*N1126</f>
        <v/>
      </c>
      <c r="P1126" s="252" t="n"/>
      <c r="Q1126" s="275" t="n"/>
      <c r="R1126" s="275" t="n"/>
      <c r="S1126" s="244">
        <f>Q1126*R1126</f>
        <v/>
      </c>
      <c r="T1126" s="25" t="n"/>
      <c r="U1126" s="26" t="inlineStr">
        <is>
          <t xml:space="preserve">     PLC</t>
        </is>
      </c>
      <c r="V1126" s="64" t="n"/>
      <c r="W1126" s="27" t="n"/>
      <c r="X1126" s="27" t="n"/>
    </row>
    <row r="1127" ht="22.2" customHeight="1" s="330">
      <c r="A1127" s="4" t="n"/>
      <c r="E1127" s="4" t="n"/>
      <c r="G1127" s="308">
        <f>G1081</f>
        <v/>
      </c>
      <c r="H1127" s="325" t="inlineStr">
        <is>
          <t>30000-2002</t>
        </is>
      </c>
      <c r="I1127" s="325" t="inlineStr">
        <is>
          <t xml:space="preserve">ปวส.2/7 1/7 สย. </t>
        </is>
      </c>
      <c r="J1127" s="252" t="inlineStr">
        <is>
          <t>13.10-15.10</t>
        </is>
      </c>
      <c r="K1127" s="331" t="n"/>
      <c r="L1127" s="252" t="n"/>
      <c r="M1127" s="252" t="n"/>
      <c r="N1127" s="252" t="n"/>
      <c r="O1127" s="244">
        <f>M1127*N1127</f>
        <v/>
      </c>
      <c r="P1127" s="252" t="n"/>
      <c r="Q1127" s="252" t="n"/>
      <c r="R1127" s="252" t="n"/>
      <c r="S1127" s="244">
        <f>Q1127*R1127</f>
        <v/>
      </c>
      <c r="T1127" s="27" t="inlineStr">
        <is>
          <t> </t>
        </is>
      </c>
      <c r="U1127" s="26" t="inlineStr">
        <is>
          <t>17.10-19.10</t>
        </is>
      </c>
      <c r="V1127" s="64" t="n"/>
      <c r="W1127" s="27" t="n"/>
      <c r="X1127" s="27" t="n"/>
    </row>
    <row r="1128" ht="22.2" customHeight="1" s="330">
      <c r="A1128" s="4" t="n"/>
      <c r="B1128" s="5" t="n"/>
      <c r="E1128" s="4" t="n"/>
      <c r="G1128" s="252" t="n"/>
      <c r="H1128" s="325" t="n"/>
      <c r="I1128" s="325" t="n"/>
      <c r="J1128" s="252" t="n"/>
      <c r="K1128" s="331" t="n"/>
      <c r="L1128" s="325" t="n"/>
      <c r="M1128" s="325" t="n"/>
      <c r="N1128" s="325" t="n"/>
      <c r="O1128" s="244">
        <f>M1128*N1128</f>
        <v/>
      </c>
      <c r="P1128" s="325" t="n"/>
      <c r="Q1128" s="325" t="n"/>
      <c r="R1128" s="325" t="n"/>
      <c r="S1128" s="244">
        <f>Q1128*R1128</f>
        <v/>
      </c>
    </row>
    <row r="1129" ht="22.2" customHeight="1" s="330">
      <c r="A1129" s="4" t="n"/>
      <c r="E1129" s="4" t="n"/>
      <c r="G1129" s="252" t="n"/>
      <c r="H1129" s="252" t="n"/>
      <c r="I1129" s="252" t="n"/>
      <c r="J1129" s="252" t="n"/>
      <c r="K1129" s="331" t="n"/>
      <c r="L1129" s="252" t="n"/>
      <c r="M1129" s="252" t="n"/>
      <c r="N1129" s="252" t="n"/>
      <c r="O1129" s="244">
        <f>M1129*N1129</f>
        <v/>
      </c>
      <c r="P1129" s="252" t="n"/>
      <c r="Q1129" s="252" t="n"/>
      <c r="R1129" s="252" t="n"/>
      <c r="S1129" s="244">
        <f>Q1129*R1129</f>
        <v/>
      </c>
    </row>
    <row r="1130" ht="22.2" customHeight="1" s="330">
      <c r="A1130" s="4" t="n"/>
      <c r="E1130" s="4" t="n"/>
      <c r="G1130" s="276" t="n"/>
      <c r="H1130" s="301" t="n"/>
      <c r="I1130" s="276" t="n"/>
      <c r="J1130" s="276" t="n"/>
      <c r="K1130" s="476" t="n"/>
      <c r="L1130" s="276" t="n"/>
      <c r="M1130" s="276" t="n"/>
      <c r="N1130" s="276" t="n"/>
      <c r="O1130" s="244">
        <f>M1130*N1130</f>
        <v/>
      </c>
      <c r="P1130" s="276" t="n"/>
      <c r="Q1130" s="276" t="n"/>
      <c r="R1130" s="276" t="n"/>
      <c r="S1130" s="244">
        <f>Q1130*R1130</f>
        <v/>
      </c>
    </row>
    <row r="1131" ht="22.2" customHeight="1" s="330">
      <c r="A1131" s="4" t="n"/>
      <c r="E1131" s="4" t="n"/>
      <c r="G1131" s="62" t="inlineStr">
        <is>
          <t>ศุกร์</t>
        </is>
      </c>
      <c r="H1131" s="325" t="inlineStr">
        <is>
          <t>30101-2109</t>
        </is>
      </c>
      <c r="I1131" s="325" t="inlineStr">
        <is>
          <t>ปวส.2/6 สย. (ม.6)</t>
        </is>
      </c>
      <c r="J1131" s="275" t="inlineStr">
        <is>
          <t>08.10-12.10</t>
        </is>
      </c>
      <c r="K1131" s="335" t="n"/>
      <c r="L1131" s="252" t="n"/>
      <c r="M1131" s="252" t="n"/>
      <c r="N1131" s="252" t="n"/>
      <c r="O1131" s="244">
        <f>M1131*N1131</f>
        <v/>
      </c>
      <c r="P1131" s="332" t="n"/>
      <c r="Q1131" s="265" t="n"/>
      <c r="R1131" s="332" t="n"/>
      <c r="S1131" s="244">
        <f>Q1131*R1131</f>
        <v/>
      </c>
    </row>
    <row r="1132" ht="22.2" customHeight="1" s="330">
      <c r="A1132" s="4" t="n"/>
      <c r="E1132" s="4" t="n"/>
      <c r="G1132" s="308">
        <f>G1086</f>
        <v/>
      </c>
      <c r="H1132" s="325" t="inlineStr">
        <is>
          <t>30101-2109</t>
        </is>
      </c>
      <c r="I1132" s="325" t="inlineStr">
        <is>
          <t>ปวส.2/6 สย. (ม.6)</t>
        </is>
      </c>
      <c r="J1132" s="252" t="inlineStr">
        <is>
          <t>13.10-14.10</t>
        </is>
      </c>
      <c r="K1132" s="331" t="n"/>
      <c r="L1132" s="252" t="n"/>
      <c r="M1132" s="252" t="n"/>
      <c r="N1132" s="252" t="n"/>
      <c r="O1132" s="244">
        <f>M1132*N1132</f>
        <v/>
      </c>
      <c r="P1132" s="252" t="n"/>
      <c r="Q1132" s="252" t="n"/>
      <c r="R1132" s="252" t="n"/>
      <c r="S1132" s="244">
        <f>Q1132*R1132</f>
        <v/>
      </c>
    </row>
    <row r="1133" ht="22.2" customHeight="1" s="330">
      <c r="A1133" s="4" t="n"/>
      <c r="E1133" s="4" t="n"/>
      <c r="G1133" s="252" t="n"/>
      <c r="H1133" s="252" t="n"/>
      <c r="I1133" s="252" t="n"/>
      <c r="J1133" s="252" t="n"/>
      <c r="K1133" s="331" t="n"/>
      <c r="L1133" s="252" t="n"/>
      <c r="M1133" s="252" t="n"/>
      <c r="N1133" s="252" t="n"/>
      <c r="O1133" s="244">
        <f>M1133*N1133</f>
        <v/>
      </c>
      <c r="P1133" s="252" t="n"/>
      <c r="Q1133" s="252" t="n"/>
      <c r="R1133" s="252" t="n"/>
      <c r="S1133" s="244">
        <f>Q1133*R1133</f>
        <v/>
      </c>
    </row>
    <row r="1134" ht="22.2" customHeight="1" s="330">
      <c r="A1134" s="4" t="n"/>
      <c r="E1134" s="4" t="n"/>
      <c r="G1134" s="252" t="n"/>
      <c r="H1134" s="249" t="inlineStr">
        <is>
          <t> </t>
        </is>
      </c>
      <c r="I1134" s="252" t="n"/>
      <c r="J1134" s="252" t="n"/>
      <c r="K1134" s="331" t="n"/>
      <c r="L1134" s="252" t="n"/>
      <c r="M1134" s="252" t="n"/>
      <c r="N1134" s="252" t="n"/>
      <c r="O1134" s="244">
        <f>M1134*N1134</f>
        <v/>
      </c>
      <c r="P1134" s="252" t="n"/>
      <c r="Q1134" s="252" t="n"/>
      <c r="R1134" s="252" t="n"/>
      <c r="S1134" s="244">
        <f>Q1134*R1134</f>
        <v/>
      </c>
    </row>
    <row r="1135" ht="22.2" customHeight="1" s="330">
      <c r="A1135" s="4" t="n"/>
      <c r="E1135" s="4" t="n"/>
      <c r="F1135" s="4" t="n"/>
      <c r="G1135" s="278" t="n"/>
      <c r="H1135" s="301" t="n"/>
      <c r="I1135" s="276" t="n"/>
      <c r="J1135" s="276" t="n"/>
      <c r="K1135" s="476" t="n"/>
      <c r="L1135" s="276" t="n"/>
      <c r="M1135" s="276" t="n"/>
      <c r="N1135" s="276" t="n"/>
      <c r="O1135" s="244">
        <f>M1135*N1135</f>
        <v/>
      </c>
      <c r="P1135" s="276" t="n"/>
      <c r="Q1135" s="276" t="n"/>
      <c r="R1135" s="276" t="n"/>
      <c r="S1135" s="244">
        <f>Q1135*R1135</f>
        <v/>
      </c>
    </row>
    <row r="1136" ht="22.2" customHeight="1" s="330">
      <c r="A1136" s="4" t="n"/>
      <c r="E1136" s="4" t="n"/>
      <c r="F1136" s="4" t="n"/>
      <c r="G1136" s="17" t="inlineStr">
        <is>
          <t>รวมขั่วโมงที่สอนแยก ภาระงาน/ เกินภาระงาน</t>
        </is>
      </c>
      <c r="H1136" s="467" t="n"/>
      <c r="I1136" s="467" t="n"/>
      <c r="J1136" s="467" t="n"/>
      <c r="K1136" s="362" t="n"/>
      <c r="L1136" s="17">
        <f>SUM(L1111:L1135)</f>
        <v/>
      </c>
      <c r="M1136" s="17">
        <f>SUM(M1111:M1135)</f>
        <v/>
      </c>
      <c r="N1136" s="17" t="n"/>
      <c r="O1136" s="17" t="n"/>
      <c r="P1136" s="17">
        <f>SUM(P1111:P1135)</f>
        <v/>
      </c>
      <c r="Q1136" s="17">
        <f>SUM(Q1111:Q1135)</f>
        <v/>
      </c>
      <c r="R1136" s="279" t="n"/>
      <c r="S1136" s="17" t="n"/>
    </row>
    <row r="1137" ht="22.2" customHeight="1" s="330">
      <c r="A1137" s="4" t="n"/>
      <c r="E1137" s="4" t="n"/>
      <c r="F1137" s="4" t="n"/>
      <c r="G1137" s="17" t="inlineStr">
        <is>
          <t>รวมจำนวนชั่วโมงสอนคาบต่อสับดาห์</t>
        </is>
      </c>
      <c r="H1137" s="467" t="n"/>
      <c r="I1137" s="467" t="n"/>
      <c r="J1137" s="467" t="n"/>
      <c r="K1137" s="362" t="n"/>
      <c r="L1137" s="17">
        <f>L1136+M1136</f>
        <v/>
      </c>
      <c r="M1137" s="362" t="n"/>
      <c r="N1137" s="298" t="n"/>
      <c r="O1137" s="17" t="n"/>
      <c r="P1137" s="17">
        <f>P1136+Q1136</f>
        <v/>
      </c>
      <c r="Q1137" s="362" t="n"/>
      <c r="R1137" s="278" t="n"/>
      <c r="S1137" s="276" t="n"/>
    </row>
    <row r="1138" ht="22.2" customHeight="1" s="330">
      <c r="A1138" s="4" t="n"/>
      <c r="E1138" s="4" t="n"/>
      <c r="F1138" s="4" t="n"/>
      <c r="G1138" s="17" t="inlineStr">
        <is>
          <t>จำนวนชั่วโมงสอนตามภาระงานสอน</t>
        </is>
      </c>
      <c r="H1138" s="467" t="n"/>
      <c r="I1138" s="467" t="n"/>
      <c r="J1138" s="467" t="n"/>
      <c r="K1138" s="362" t="n"/>
      <c r="L1138" s="153" t="inlineStr">
        <is>
          <t>0</t>
        </is>
      </c>
      <c r="M1138" s="362" t="n"/>
      <c r="N1138" s="151" t="n"/>
      <c r="O1138" s="154" t="n"/>
      <c r="P1138" s="485" t="inlineStr">
        <is>
          <t>15</t>
        </is>
      </c>
      <c r="Q1138" s="362" t="n"/>
      <c r="R1138" s="249" t="n"/>
      <c r="S1138" s="252" t="n"/>
    </row>
    <row r="1139" ht="22.2" customHeight="1" s="330" thickBot="1">
      <c r="A1139" s="4" t="n"/>
      <c r="E1139" s="4" t="n"/>
      <c r="F1139" s="15" t="n"/>
      <c r="G1139" s="17" t="inlineStr">
        <is>
          <t>จำนวนชั่วโมงบิกเกินภาระงานสอน/ค่าสอน</t>
        </is>
      </c>
      <c r="H1139" s="467" t="n"/>
      <c r="I1139" s="467" t="n"/>
      <c r="J1139" s="467" t="n"/>
      <c r="K1139" s="362" t="n"/>
      <c r="L1139" s="18" t="n">
        <v>0</v>
      </c>
      <c r="M1139" s="18">
        <f>SUM(M1111:M1135)</f>
        <v/>
      </c>
      <c r="N1139" s="18" t="n"/>
      <c r="O1139" s="18">
        <f>SUM(O1111:O1135)</f>
        <v/>
      </c>
      <c r="P1139" s="18" t="n">
        <v>0</v>
      </c>
      <c r="Q1139" s="18">
        <f>SUM(Q1111:Q1135)</f>
        <v/>
      </c>
      <c r="R1139" s="19" t="n"/>
      <c r="S1139" s="18">
        <f>SUM(S1111:S1135)</f>
        <v/>
      </c>
    </row>
    <row r="1140" ht="22.2" customHeight="1" s="330" thickTop="1">
      <c r="A1140" s="299" t="inlineStr">
        <is>
          <t>รวมจำนวนหน่วยชั่วโมงที่ขอเบิกค่าสอน ….</t>
        </is>
      </c>
      <c r="B1140" s="467" t="n"/>
      <c r="C1140" s="467" t="n"/>
      <c r="D1140" s="467" t="n"/>
      <c r="E1140" s="467" t="n"/>
      <c r="F1140" s="467" t="n"/>
      <c r="G1140" s="467" t="n"/>
      <c r="H1140" s="298">
        <f>M1139+Q1139</f>
        <v/>
      </c>
      <c r="I1140" s="298" t="inlineStr">
        <is>
          <t>….ชั่วโมง</t>
        </is>
      </c>
      <c r="J1140" s="298" t="n"/>
      <c r="K1140" s="301" t="inlineStr">
        <is>
          <t>ยอดเงินรวม</t>
        </is>
      </c>
      <c r="L1140" s="471" t="n"/>
      <c r="M1140" s="471" t="n"/>
      <c r="N1140" s="301" t="n"/>
      <c r="O1140" s="301" t="n"/>
      <c r="P1140" s="302">
        <f>S1139+O1139</f>
        <v/>
      </c>
      <c r="Q1140" s="482" t="n"/>
      <c r="R1140" s="21" t="n"/>
      <c r="S1140" s="20" t="inlineStr">
        <is>
          <t>..บาท</t>
        </is>
      </c>
    </row>
    <row r="1141" ht="22.2" customHeight="1" s="330">
      <c r="A1141" s="207" t="inlineStr">
        <is>
          <t>ผู้ขอเบิก</t>
        </is>
      </c>
      <c r="B1141" s="334" t="n"/>
      <c r="C1141" s="334" t="n"/>
      <c r="D1141" s="334" t="n"/>
      <c r="E1141" s="334" t="n"/>
      <c r="F1141" s="334" t="n"/>
      <c r="G1141" s="335" t="n"/>
      <c r="H1141" s="207" t="inlineStr">
        <is>
          <t>ผู้รับรอง</t>
        </is>
      </c>
      <c r="I1141" s="334" t="n"/>
      <c r="J1141" s="334" t="n"/>
      <c r="K1141" s="334" t="n"/>
      <c r="L1141" s="335" t="n"/>
      <c r="M1141" s="207" t="inlineStr">
        <is>
          <t>ผู้ตรวจ</t>
        </is>
      </c>
      <c r="N1141" s="334" t="n"/>
      <c r="O1141" s="334" t="n"/>
      <c r="P1141" s="334" t="n"/>
      <c r="Q1141" s="334" t="n"/>
      <c r="R1141" s="334" t="n"/>
      <c r="S1141" s="335" t="n"/>
    </row>
    <row r="1142" ht="22.2" customHeight="1" s="330">
      <c r="A1142" s="252" t="inlineStr">
        <is>
          <t>ลงชื่อ……………………………………………</t>
        </is>
      </c>
      <c r="G1142" s="331" t="n"/>
      <c r="H1142" s="252" t="inlineStr">
        <is>
          <t>ลงชื่อ……………………………………………</t>
        </is>
      </c>
      <c r="L1142" s="331" t="n"/>
      <c r="M1142" s="252" t="inlineStr">
        <is>
          <t>ลงชื่อ……………………………………………</t>
        </is>
      </c>
      <c r="S1142" s="331" t="n"/>
    </row>
    <row r="1143" ht="22.2" customHeight="1" s="330">
      <c r="A1143" s="12" t="inlineStr">
        <is>
          <t>(</t>
        </is>
      </c>
      <c r="B1143" s="309">
        <f>B1111</f>
        <v/>
      </c>
      <c r="G1143" s="310" t="inlineStr">
        <is>
          <t>)</t>
        </is>
      </c>
      <c r="H1143" s="309" t="inlineStr">
        <is>
          <t>(</t>
        </is>
      </c>
      <c r="I1143" s="314">
        <f>I1097</f>
        <v/>
      </c>
      <c r="L1143" s="13" t="inlineStr">
        <is>
          <t>)</t>
        </is>
      </c>
      <c r="M1143" s="61" t="inlineStr">
        <is>
          <t>(</t>
        </is>
      </c>
      <c r="N1143" s="61" t="n"/>
      <c r="O1143" s="309" t="inlineStr">
        <is>
          <t>นายพิสุทธิศักดิ์  กล่อมนาค</t>
        </is>
      </c>
      <c r="R1143" s="29" t="n"/>
      <c r="S1143" s="310" t="inlineStr">
        <is>
          <t>)</t>
        </is>
      </c>
    </row>
    <row r="1144" ht="22.2" customHeight="1" s="330">
      <c r="A1144" s="483" t="inlineStr">
        <is>
          <t xml:space="preserve">                 ตำแหน่ง  ครูพิเศษ</t>
        </is>
      </c>
      <c r="G1144" s="331" t="n"/>
      <c r="H1144" s="62" t="inlineStr">
        <is>
          <t>ตำแหน่ง หัวหน้าแผนก</t>
        </is>
      </c>
      <c r="L1144" s="331" t="n"/>
      <c r="M1144" s="62" t="inlineStr">
        <is>
          <t>ตำแหน่ง   ผู้ตรวจสอบ</t>
        </is>
      </c>
      <c r="S1144" s="331" t="n"/>
    </row>
    <row r="1145" ht="22.2" customHeight="1" s="330">
      <c r="A1145" s="63">
        <f>A41</f>
        <v/>
      </c>
      <c r="B1145" s="471" t="n"/>
      <c r="C1145" s="471" t="n"/>
      <c r="D1145" s="471" t="n"/>
      <c r="E1145" s="471" t="n"/>
      <c r="F1145" s="471" t="n"/>
      <c r="G1145" s="476" t="n"/>
      <c r="H1145" s="62">
        <f>A41</f>
        <v/>
      </c>
      <c r="L1145" s="331" t="n"/>
      <c r="M1145" s="63">
        <f>A41</f>
        <v/>
      </c>
      <c r="N1145" s="471" t="n"/>
      <c r="O1145" s="471" t="n"/>
      <c r="P1145" s="471" t="n"/>
      <c r="Q1145" s="471" t="n"/>
      <c r="R1145" s="471" t="n"/>
      <c r="S1145" s="476" t="n"/>
    </row>
    <row r="1146" ht="22.2" customHeight="1" s="330">
      <c r="A1146" s="207" t="inlineStr">
        <is>
          <t>ผู้ตรวจ</t>
        </is>
      </c>
      <c r="B1146" s="334" t="n"/>
      <c r="C1146" s="334" t="n"/>
      <c r="D1146" s="334" t="n"/>
      <c r="E1146" s="334" t="n"/>
      <c r="F1146" s="334" t="n"/>
      <c r="G1146" s="334" t="n"/>
      <c r="H1146" s="334" t="n"/>
      <c r="I1146" s="335" t="n"/>
      <c r="J1146" s="207" t="inlineStr">
        <is>
          <t>ผู้เห็นชอบ</t>
        </is>
      </c>
      <c r="K1146" s="334" t="n"/>
      <c r="L1146" s="334" t="n"/>
      <c r="M1146" s="334" t="n"/>
      <c r="N1146" s="334" t="n"/>
      <c r="O1146" s="334" t="n"/>
      <c r="P1146" s="334" t="n"/>
      <c r="Q1146" s="334" t="n"/>
      <c r="R1146" s="334" t="n"/>
      <c r="S1146" s="335" t="n"/>
    </row>
    <row r="1147" ht="22.2" customHeight="1" s="330">
      <c r="A1147" s="252" t="inlineStr">
        <is>
          <t>ลงชื่อ……………………………………………</t>
        </is>
      </c>
      <c r="I1147" s="331" t="n"/>
      <c r="J1147" s="252" t="inlineStr">
        <is>
          <t>ลงชื่อ……………………………………………</t>
        </is>
      </c>
      <c r="S1147" s="331" t="n"/>
    </row>
    <row r="1148" ht="22.2" customHeight="1" s="330">
      <c r="A1148" s="12" t="n"/>
      <c r="B1148" s="309" t="inlineStr">
        <is>
          <t xml:space="preserve">          (นางศิวรักษ์   บุญประเสริฐ)</t>
        </is>
      </c>
      <c r="I1148" s="310" t="n"/>
      <c r="J1148" s="29" t="n"/>
      <c r="K1148" s="29" t="n"/>
      <c r="L1148" s="309" t="inlineStr">
        <is>
          <t>(นายปรีชา  โพธิ์เกิด)</t>
        </is>
      </c>
      <c r="R1148" s="29" t="n"/>
      <c r="S1148" s="13" t="n"/>
    </row>
    <row r="1149" ht="22.2" customHeight="1" s="330">
      <c r="A1149" s="62" t="inlineStr">
        <is>
          <t>ตำแหน่งครู  หัวหน้างานพัฒนาหลักสูตร ฯ</t>
        </is>
      </c>
      <c r="I1149" s="331" t="n"/>
      <c r="J1149" s="62" t="inlineStr">
        <is>
          <t>ตำแหน่ง  รองผู้อำนวยการฝ่ายวิชาการ</t>
        </is>
      </c>
      <c r="S1149" s="331" t="n"/>
    </row>
    <row r="1150" ht="22.2" customHeight="1" s="330">
      <c r="A1150" s="63">
        <f>A41</f>
        <v/>
      </c>
      <c r="B1150" s="471" t="n"/>
      <c r="C1150" s="471" t="n"/>
      <c r="D1150" s="471" t="n"/>
      <c r="E1150" s="471" t="n"/>
      <c r="F1150" s="471" t="n"/>
      <c r="G1150" s="471" t="n"/>
      <c r="H1150" s="471" t="n"/>
      <c r="I1150" s="476" t="n"/>
      <c r="J1150" s="63">
        <f>A41</f>
        <v/>
      </c>
      <c r="K1150" s="471" t="n"/>
      <c r="L1150" s="471" t="n"/>
      <c r="M1150" s="471" t="n"/>
      <c r="N1150" s="471" t="n"/>
      <c r="O1150" s="471" t="n"/>
      <c r="P1150" s="471" t="n"/>
      <c r="Q1150" s="471" t="n"/>
      <c r="R1150" s="471" t="n"/>
      <c r="S1150" s="476" t="n"/>
    </row>
    <row r="1151" ht="22.2" customHeight="1" s="330">
      <c r="A115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52" ht="22.2" customHeight="1" s="330">
      <c r="A1152" s="254">
        <f>A2</f>
        <v/>
      </c>
    </row>
    <row r="1153" ht="22.2" customHeight="1" s="330">
      <c r="A1153" s="253" t="inlineStr">
        <is>
          <t xml:space="preserve">    ระหว่างวันที่</t>
        </is>
      </c>
      <c r="D1153" s="254">
        <f>D3</f>
        <v/>
      </c>
      <c r="E1153" s="254" t="inlineStr">
        <is>
          <t xml:space="preserve">   เดือน  </t>
        </is>
      </c>
      <c r="F1153" s="254">
        <f>F3</f>
        <v/>
      </c>
      <c r="H1153" s="254">
        <f>H3</f>
        <v/>
      </c>
      <c r="I1153" s="254" t="inlineStr">
        <is>
          <t xml:space="preserve">     ถึง วันที่</t>
        </is>
      </c>
      <c r="J1153" s="254">
        <f>J3</f>
        <v/>
      </c>
      <c r="K1153" s="254" t="inlineStr">
        <is>
          <t xml:space="preserve">   เดือน </t>
        </is>
      </c>
      <c r="L1153" s="254">
        <f>L3</f>
        <v/>
      </c>
      <c r="N1153" s="254">
        <f>N3</f>
        <v/>
      </c>
      <c r="P1153" s="254" t="n"/>
      <c r="R1153" s="254" t="n"/>
    </row>
    <row r="1154" ht="22.2" customHeight="1" s="330">
      <c r="G1154" s="58" t="inlineStr">
        <is>
          <t>ü</t>
        </is>
      </c>
      <c r="H1154" s="8" t="inlineStr">
        <is>
          <t>ครูพิเศษ</t>
        </is>
      </c>
      <c r="I1154" s="249" t="inlineStr">
        <is>
          <t>หน้าที่พิเศษ</t>
        </is>
      </c>
      <c r="K1154" s="290" t="n"/>
    </row>
    <row r="1155" ht="22.2" customHeight="1" s="330">
      <c r="A1155" s="28" t="inlineStr">
        <is>
          <t>ที่</t>
        </is>
      </c>
      <c r="B1155" s="28" t="inlineStr">
        <is>
          <t>ชื่อ-สกุล</t>
        </is>
      </c>
      <c r="C1155" s="334" t="n"/>
      <c r="D1155" s="335" t="n"/>
      <c r="E1155" s="16" t="inlineStr">
        <is>
          <t>ตำแหน่ง</t>
        </is>
      </c>
      <c r="F1155" s="17" t="inlineStr">
        <is>
          <t>ระยะเวลาที่สอน</t>
        </is>
      </c>
      <c r="G1155" s="362" t="n"/>
      <c r="H1155" s="17" t="inlineStr">
        <is>
          <t>รหัสวิชา</t>
        </is>
      </c>
      <c r="I1155" s="275" t="inlineStr">
        <is>
          <t>ชั้น,แผนก,ห้อง</t>
        </is>
      </c>
      <c r="J1155" s="17" t="inlineStr">
        <is>
          <t>เวลาสอน</t>
        </is>
      </c>
      <c r="K1155" s="335" t="n"/>
      <c r="L1155" s="17" t="inlineStr">
        <is>
          <t>ปวช.(คาบ)</t>
        </is>
      </c>
      <c r="M1155" s="362" t="n"/>
      <c r="N1155" s="244" t="inlineStr">
        <is>
          <t>เงิน</t>
        </is>
      </c>
      <c r="O1155" s="275" t="inlineStr">
        <is>
          <t>ยอดเงิน</t>
        </is>
      </c>
      <c r="P1155" s="473" t="inlineStr">
        <is>
          <t>ปวส.(คาบ)</t>
        </is>
      </c>
      <c r="Q1155" s="362" t="n"/>
      <c r="R1155" s="244" t="inlineStr">
        <is>
          <t>เงิน</t>
        </is>
      </c>
      <c r="S1155" s="275" t="inlineStr">
        <is>
          <t>ยอดเงิน</t>
        </is>
      </c>
    </row>
    <row r="1156" ht="22.2" customHeight="1" s="330">
      <c r="A1156" s="60" t="n"/>
      <c r="B1156" s="9" t="n"/>
      <c r="C1156" s="10" t="n"/>
      <c r="D1156" s="14" t="n"/>
      <c r="E1156" s="11" t="n"/>
      <c r="F1156" s="276" t="inlineStr">
        <is>
          <t>ส.</t>
        </is>
      </c>
      <c r="G1156" s="276" t="inlineStr">
        <is>
          <t>วดป.</t>
        </is>
      </c>
      <c r="H1156" s="474" t="n"/>
      <c r="I1156" s="276" t="n"/>
      <c r="J1156" s="475" t="n"/>
      <c r="K1156" s="476" t="n"/>
      <c r="L1156" s="276" t="inlineStr">
        <is>
          <t>ใน</t>
        </is>
      </c>
      <c r="M1156" s="276" t="inlineStr">
        <is>
          <t>นอก</t>
        </is>
      </c>
      <c r="N1156" s="276" t="inlineStr">
        <is>
          <t>ต่อ ชม.</t>
        </is>
      </c>
      <c r="O1156" s="276" t="inlineStr">
        <is>
          <t>(บาท)</t>
        </is>
      </c>
      <c r="P1156" s="60" t="inlineStr">
        <is>
          <t>ใน</t>
        </is>
      </c>
      <c r="Q1156" s="60" t="inlineStr">
        <is>
          <t>นอก</t>
        </is>
      </c>
      <c r="R1156" s="276" t="inlineStr">
        <is>
          <t>ต่อ ชม.</t>
        </is>
      </c>
      <c r="S1156" s="276" t="inlineStr">
        <is>
          <t>(บาท)</t>
        </is>
      </c>
    </row>
    <row r="1157" ht="22.2" customHeight="1" s="330">
      <c r="A1157" s="275" t="n">
        <v>26</v>
      </c>
      <c r="B1157" s="477">
        <f>AB28</f>
        <v/>
      </c>
      <c r="C1157" s="334" t="n"/>
      <c r="D1157" s="335" t="n"/>
      <c r="E1157" s="275" t="inlineStr">
        <is>
          <t>ครู</t>
        </is>
      </c>
      <c r="F1157" s="6">
        <f>F7</f>
        <v/>
      </c>
      <c r="G1157" s="303" t="inlineStr">
        <is>
          <t>จันทร์</t>
        </is>
      </c>
      <c r="H1157" s="332" t="n"/>
      <c r="I1157" s="325" t="n"/>
      <c r="J1157" s="275" t="n"/>
      <c r="K1157" s="335" t="n"/>
      <c r="L1157" s="332" t="n"/>
      <c r="M1157" s="156" t="n"/>
      <c r="N1157" s="156" t="n"/>
      <c r="O1157" s="244">
        <f>M1157*N1157</f>
        <v/>
      </c>
      <c r="P1157" s="332" t="n"/>
      <c r="Q1157" s="265" t="n"/>
      <c r="R1157" s="332" t="n"/>
      <c r="S1157" s="244">
        <f>Q1157*R1157</f>
        <v/>
      </c>
    </row>
    <row r="1158" ht="22.2" customHeight="1" s="330">
      <c r="A1158" s="4" t="n"/>
      <c r="B1158" s="478" t="n"/>
      <c r="D1158" s="331" t="n"/>
      <c r="E1158" s="252" t="inlineStr">
        <is>
          <t>พิเศษ</t>
        </is>
      </c>
      <c r="F1158" s="249" t="n"/>
      <c r="G1158" s="308">
        <f>G1112</f>
        <v/>
      </c>
      <c r="H1158" s="325" t="n"/>
      <c r="I1158" s="325" t="n"/>
      <c r="J1158" s="252" t="n"/>
      <c r="K1158" s="331" t="n"/>
      <c r="L1158" s="252" t="n"/>
      <c r="M1158" s="56" t="n"/>
      <c r="N1158" s="56" t="n"/>
      <c r="O1158" s="244">
        <f>M1158*N1158</f>
        <v/>
      </c>
      <c r="P1158" s="252" t="n"/>
      <c r="Q1158" s="252" t="n"/>
      <c r="R1158" s="252" t="n"/>
      <c r="S1158" s="244">
        <f>Q1158*R1158</f>
        <v/>
      </c>
    </row>
    <row r="1159" ht="22.2" customHeight="1" s="330">
      <c r="A1159" s="4" t="n"/>
      <c r="B1159" s="5" t="n"/>
      <c r="D1159" s="3" t="n"/>
      <c r="E1159" s="3" t="n"/>
      <c r="F1159" s="249" t="n"/>
      <c r="G1159" s="248" t="n"/>
      <c r="H1159" s="252" t="n"/>
      <c r="I1159" s="252" t="n"/>
      <c r="J1159" s="252" t="n"/>
      <c r="K1159" s="331" t="n"/>
      <c r="L1159" s="252" t="n"/>
      <c r="M1159" s="252" t="n"/>
      <c r="N1159" s="252" t="n"/>
      <c r="O1159" s="244">
        <f>M1159*N1159</f>
        <v/>
      </c>
      <c r="P1159" s="252" t="n"/>
      <c r="Q1159" s="252" t="n"/>
      <c r="R1159" s="252" t="n"/>
      <c r="S1159" s="244">
        <f>Q1159*R1159</f>
        <v/>
      </c>
    </row>
    <row r="1160" ht="22.2" customHeight="1" s="330">
      <c r="A1160" s="4" t="n"/>
      <c r="B1160" s="5" t="n"/>
      <c r="E1160" s="4" t="n"/>
      <c r="F1160" s="249" t="n"/>
      <c r="G1160" s="248" t="n"/>
      <c r="H1160" s="252" t="n"/>
      <c r="I1160" s="252" t="n"/>
      <c r="J1160" s="252" t="n"/>
      <c r="K1160" s="331" t="n"/>
      <c r="L1160" s="252" t="n"/>
      <c r="M1160" s="252" t="n"/>
      <c r="N1160" s="252" t="n"/>
      <c r="O1160" s="244">
        <f>M1160*N1160</f>
        <v/>
      </c>
      <c r="P1160" s="252" t="n"/>
      <c r="Q1160" s="252" t="n"/>
      <c r="R1160" s="252" t="n"/>
      <c r="S1160" s="244">
        <f>Q1160*R1160</f>
        <v/>
      </c>
    </row>
    <row r="1161" ht="22.2" customHeight="1" s="330">
      <c r="A1161" s="4" t="n"/>
      <c r="E1161" s="4" t="n"/>
      <c r="G1161" s="311" t="n"/>
      <c r="H1161" s="276" t="n"/>
      <c r="I1161" s="276" t="n"/>
      <c r="J1161" s="276" t="n"/>
      <c r="K1161" s="476" t="n"/>
      <c r="L1161" s="252" t="n"/>
      <c r="M1161" s="276" t="n"/>
      <c r="N1161" s="276" t="n"/>
      <c r="O1161" s="244">
        <f>M1161*N1161</f>
        <v/>
      </c>
      <c r="P1161" s="252" t="n"/>
      <c r="Q1161" s="252" t="n"/>
      <c r="R1161" s="252" t="n"/>
      <c r="S1161" s="244">
        <f>Q1161*R1161</f>
        <v/>
      </c>
    </row>
    <row r="1162" ht="22.2" customHeight="1" s="330">
      <c r="A1162" s="4" t="n"/>
      <c r="E1162" s="4" t="n"/>
      <c r="G1162" s="62" t="inlineStr">
        <is>
          <t>อังคาร</t>
        </is>
      </c>
      <c r="H1162" s="325" t="inlineStr">
        <is>
          <t>20101-2004</t>
        </is>
      </c>
      <c r="I1162" s="325" t="inlineStr">
        <is>
          <t>ปวช.1/3 ชย. (ปกติ)</t>
        </is>
      </c>
      <c r="J1162" s="275" t="inlineStr">
        <is>
          <t>08.10-12.10</t>
        </is>
      </c>
      <c r="K1162" s="335" t="n"/>
      <c r="L1162" s="332" t="n"/>
      <c r="M1162" s="182" t="n"/>
      <c r="N1162" s="179" t="n"/>
      <c r="O1162" s="244">
        <f>M1162*N1162</f>
        <v/>
      </c>
      <c r="P1162" s="332" t="n"/>
      <c r="Q1162" s="265" t="n"/>
      <c r="R1162" s="332" t="n"/>
      <c r="S1162" s="244">
        <f>Q1162*R1162</f>
        <v/>
      </c>
      <c r="T1162" s="25" t="n"/>
      <c r="U1162" s="26" t="inlineStr">
        <is>
          <t xml:space="preserve">     PLC</t>
        </is>
      </c>
      <c r="V1162" s="64" t="n"/>
      <c r="W1162" s="27" t="n"/>
      <c r="X1162" s="27" t="n"/>
    </row>
    <row r="1163" ht="22.2" customHeight="1" s="330">
      <c r="A1163" s="4" t="n"/>
      <c r="E1163" s="4" t="n"/>
      <c r="G1163" s="308">
        <f>G1117</f>
        <v/>
      </c>
      <c r="H1163" s="325" t="inlineStr">
        <is>
          <t>20101-2004</t>
        </is>
      </c>
      <c r="I1163" s="325" t="inlineStr">
        <is>
          <t>ปวช.1/4 ชย. (ปกติ)</t>
        </is>
      </c>
      <c r="J1163" s="252" t="inlineStr">
        <is>
          <t>13.10-17.10</t>
        </is>
      </c>
      <c r="K1163" s="331" t="n"/>
      <c r="L1163" s="252" t="n"/>
      <c r="M1163" s="250" t="n"/>
      <c r="N1163" s="252" t="n"/>
      <c r="O1163" s="244">
        <f>M1163*N1163</f>
        <v/>
      </c>
      <c r="P1163" s="252" t="n"/>
      <c r="Q1163" s="252" t="n"/>
      <c r="R1163" s="252" t="n"/>
      <c r="S1163" s="244">
        <f>Q1163*R1163</f>
        <v/>
      </c>
      <c r="T1163" s="27" t="inlineStr">
        <is>
          <t> </t>
        </is>
      </c>
      <c r="U1163" s="26" t="inlineStr">
        <is>
          <t>17.10-19.10</t>
        </is>
      </c>
      <c r="V1163" s="64" t="n"/>
      <c r="W1163" s="27" t="n"/>
      <c r="X1163" s="27" t="n"/>
    </row>
    <row r="1164" ht="22.2" customHeight="1" s="330">
      <c r="A1164" s="4" t="n"/>
      <c r="B1164" s="5" t="n"/>
      <c r="D1164" s="3" t="n"/>
      <c r="E1164" s="3" t="n"/>
      <c r="G1164" s="252" t="n"/>
      <c r="H1164" s="252" t="n"/>
      <c r="I1164" s="252" t="n"/>
      <c r="J1164" s="252" t="n"/>
      <c r="K1164" s="331" t="n"/>
      <c r="L1164" s="252" t="n"/>
      <c r="M1164" s="252" t="n"/>
      <c r="N1164" s="252" t="n"/>
      <c r="O1164" s="244">
        <f>M1164*N1164</f>
        <v/>
      </c>
      <c r="P1164" s="252" t="n"/>
      <c r="Q1164" s="252" t="n"/>
      <c r="R1164" s="252" t="n"/>
      <c r="S1164" s="244">
        <f>Q1164*R1164</f>
        <v/>
      </c>
    </row>
    <row r="1165" ht="22.2" customHeight="1" s="330">
      <c r="A1165" s="4" t="n"/>
      <c r="E1165" s="4" t="n"/>
      <c r="G1165" s="62" t="n"/>
      <c r="H1165" s="249" t="n"/>
      <c r="I1165" s="252" t="n"/>
      <c r="J1165" s="252" t="n"/>
      <c r="K1165" s="331" t="n"/>
      <c r="L1165" s="252" t="n"/>
      <c r="M1165" s="252" t="n"/>
      <c r="N1165" s="252" t="n"/>
      <c r="O1165" s="244">
        <f>M1165*N1165</f>
        <v/>
      </c>
      <c r="P1165" s="252" t="n"/>
      <c r="Q1165" s="252" t="n"/>
      <c r="R1165" s="252" t="n"/>
      <c r="S1165" s="244">
        <f>Q1165*R1165</f>
        <v/>
      </c>
    </row>
    <row r="1166" ht="22.2" customHeight="1" s="330">
      <c r="A1166" s="4" t="n"/>
      <c r="D1166" s="8" t="inlineStr">
        <is>
          <t> </t>
        </is>
      </c>
      <c r="E1166" s="4" t="n"/>
      <c r="G1166" s="63" t="n"/>
      <c r="H1166" s="276" t="n"/>
      <c r="I1166" s="276" t="n"/>
      <c r="J1166" s="276" t="n"/>
      <c r="K1166" s="476" t="n"/>
      <c r="L1166" s="252" t="n"/>
      <c r="M1166" s="276" t="n"/>
      <c r="N1166" s="276" t="n"/>
      <c r="O1166" s="244">
        <f>M1166*N1166</f>
        <v/>
      </c>
      <c r="P1166" s="252" t="n"/>
      <c r="Q1166" s="252" t="n"/>
      <c r="R1166" s="252" t="n"/>
      <c r="S1166" s="244">
        <f>Q1166*R1166</f>
        <v/>
      </c>
    </row>
    <row r="1167" ht="22.2" customHeight="1" s="330">
      <c r="A1167" s="4" t="n"/>
      <c r="E1167" s="4" t="n"/>
      <c r="G1167" s="308" t="inlineStr">
        <is>
          <t>พุธ</t>
        </is>
      </c>
      <c r="H1167" s="325" t="inlineStr">
        <is>
          <t>20101-2001</t>
        </is>
      </c>
      <c r="I1167" s="325" t="inlineStr">
        <is>
          <t>ปวช.1/5 ชย. (ปกติ)</t>
        </is>
      </c>
      <c r="J1167" s="275" t="inlineStr">
        <is>
          <t>08.10-12.10</t>
        </is>
      </c>
      <c r="K1167" s="335" t="n"/>
      <c r="L1167" s="332" t="n"/>
      <c r="M1167" s="179" t="n"/>
      <c r="N1167" s="179" t="n"/>
      <c r="O1167" s="244">
        <f>M1167*N1167</f>
        <v/>
      </c>
      <c r="P1167" s="332" t="n"/>
      <c r="Q1167" s="265" t="n"/>
      <c r="R1167" s="332" t="n"/>
      <c r="S1167" s="244">
        <f>Q1167*R1167</f>
        <v/>
      </c>
    </row>
    <row r="1168" ht="22.2" customHeight="1" s="330">
      <c r="A1168" s="4" t="n"/>
      <c r="B1168" s="248" t="n"/>
      <c r="C1168" s="249" t="n"/>
      <c r="D1168" s="249" t="n"/>
      <c r="E1168" s="252" t="n"/>
      <c r="G1168" s="308">
        <f>G1122</f>
        <v/>
      </c>
      <c r="H1168" s="325" t="inlineStr">
        <is>
          <t>20101-2001</t>
        </is>
      </c>
      <c r="I1168" s="325" t="inlineStr">
        <is>
          <t>ปวช.1/5 ชย. (ปกติ)</t>
        </is>
      </c>
      <c r="J1168" s="252" t="inlineStr">
        <is>
          <t>13.10-16.10</t>
        </is>
      </c>
      <c r="K1168" s="331" t="n"/>
      <c r="L1168" s="252" t="n"/>
      <c r="M1168" s="180" t="n"/>
      <c r="N1168" s="180" t="n"/>
      <c r="O1168" s="244">
        <f>M1168*N1168</f>
        <v/>
      </c>
      <c r="P1168" s="252" t="n"/>
      <c r="Q1168" s="252" t="n"/>
      <c r="R1168" s="252" t="n"/>
      <c r="S1168" s="244">
        <f>Q1168*R1168</f>
        <v/>
      </c>
    </row>
    <row r="1169" ht="22.2" customHeight="1" s="330">
      <c r="A1169" s="4" t="n"/>
      <c r="B1169" s="5" t="n"/>
      <c r="D1169" s="3" t="n"/>
      <c r="E1169" s="3" t="n"/>
      <c r="G1169" s="252" t="n"/>
      <c r="H1169" s="325" t="n"/>
      <c r="I1169" s="325" t="n"/>
      <c r="J1169" s="252" t="n"/>
      <c r="K1169" s="331" t="n"/>
      <c r="L1169" s="252" t="n"/>
      <c r="M1169" s="180" t="n"/>
      <c r="N1169" s="180" t="n"/>
      <c r="O1169" s="244">
        <f>M1169*N1169</f>
        <v/>
      </c>
      <c r="P1169" s="252" t="n"/>
      <c r="Q1169" s="252" t="n"/>
      <c r="R1169" s="252" t="n"/>
      <c r="S1169" s="244">
        <f>Q1169*R1169</f>
        <v/>
      </c>
    </row>
    <row r="1170" ht="22.2" customHeight="1" s="330">
      <c r="A1170" s="4" t="n"/>
      <c r="E1170" s="4" t="n"/>
      <c r="G1170" s="248" t="n"/>
      <c r="H1170" s="248" t="n"/>
      <c r="I1170" s="252" t="n"/>
      <c r="J1170" s="252" t="n"/>
      <c r="K1170" s="331" t="n"/>
      <c r="L1170" s="252" t="n"/>
      <c r="M1170" s="252" t="n"/>
      <c r="N1170" s="252" t="n"/>
      <c r="O1170" s="244">
        <f>M1170*N1170</f>
        <v/>
      </c>
      <c r="P1170" s="252" t="n"/>
      <c r="Q1170" s="252" t="n"/>
      <c r="R1170" s="252" t="n"/>
      <c r="S1170" s="244">
        <f>Q1170*R1170</f>
        <v/>
      </c>
    </row>
    <row r="1171" ht="22.2" customHeight="1" s="330">
      <c r="A1171" s="4" t="n"/>
      <c r="E1171" s="4" t="n"/>
      <c r="G1171" s="277" t="n"/>
      <c r="H1171" s="277" t="n"/>
      <c r="I1171" s="276" t="n"/>
      <c r="J1171" s="276" t="n"/>
      <c r="K1171" s="476" t="n"/>
      <c r="L1171" s="276" t="n"/>
      <c r="M1171" s="276" t="n"/>
      <c r="N1171" s="276" t="n"/>
      <c r="O1171" s="244">
        <f>M1171*N1171</f>
        <v/>
      </c>
      <c r="P1171" s="276" t="n"/>
      <c r="Q1171" s="276" t="n"/>
      <c r="R1171" s="276" t="n"/>
      <c r="S1171" s="244">
        <f>Q1171*R1171</f>
        <v/>
      </c>
    </row>
    <row r="1172" ht="22.2" customHeight="1" s="330">
      <c r="A1172" s="4" t="n"/>
      <c r="E1172" s="4" t="n"/>
      <c r="G1172" s="62" t="inlineStr">
        <is>
          <t>พฤหัส</t>
        </is>
      </c>
      <c r="H1172" s="325" t="inlineStr">
        <is>
          <t>20101-2008</t>
        </is>
      </c>
      <c r="I1172" s="325" t="inlineStr">
        <is>
          <t>ปวช.3/9 ชย. (ทวิ)</t>
        </is>
      </c>
      <c r="J1172" s="275" t="inlineStr">
        <is>
          <t>08.10-12.10</t>
        </is>
      </c>
      <c r="K1172" s="335" t="n"/>
      <c r="L1172" s="252" t="n"/>
      <c r="M1172" s="252" t="n"/>
      <c r="N1172" s="252" t="n"/>
      <c r="O1172" s="244">
        <f>M1172*N1172</f>
        <v/>
      </c>
      <c r="P1172" s="252" t="n"/>
      <c r="Q1172" s="275" t="n"/>
      <c r="R1172" s="275" t="n"/>
      <c r="S1172" s="244">
        <f>Q1172*R1172</f>
        <v/>
      </c>
    </row>
    <row r="1173" ht="22.2" customHeight="1" s="330">
      <c r="A1173" s="4" t="n"/>
      <c r="E1173" s="4" t="n"/>
      <c r="G1173" s="308">
        <f>G1127</f>
        <v/>
      </c>
      <c r="H1173" s="325" t="inlineStr">
        <is>
          <t>20000-2002</t>
        </is>
      </c>
      <c r="I1173" s="325" t="inlineStr">
        <is>
          <t>ปวช.1/9,10 ชย. (ทวิ)</t>
        </is>
      </c>
      <c r="J1173" s="252" t="inlineStr">
        <is>
          <t>13.10-15.10</t>
        </is>
      </c>
      <c r="K1173" s="331" t="n"/>
      <c r="L1173" s="252" t="n"/>
      <c r="M1173" s="252" t="n"/>
      <c r="N1173" s="252" t="n"/>
      <c r="O1173" s="244">
        <f>M1173*N1173</f>
        <v/>
      </c>
      <c r="P1173" s="252" t="n"/>
      <c r="Q1173" s="252" t="n"/>
      <c r="R1173" s="252" t="n"/>
      <c r="S1173" s="244">
        <f>Q1173*R1173</f>
        <v/>
      </c>
    </row>
    <row r="1174" ht="22.2" customHeight="1" s="330">
      <c r="A1174" s="4" t="n"/>
      <c r="B1174" s="5" t="n"/>
      <c r="E1174" s="4" t="n"/>
      <c r="G1174" s="252" t="n"/>
      <c r="H1174" s="325" t="inlineStr">
        <is>
          <t>20101-2009</t>
        </is>
      </c>
      <c r="I1174" s="325" t="inlineStr">
        <is>
          <t>ปวช.1/10 ชย. (ทวิ)</t>
        </is>
      </c>
      <c r="J1174" s="252" t="inlineStr">
        <is>
          <t>15.10-19.10</t>
        </is>
      </c>
      <c r="K1174" s="331" t="n"/>
      <c r="L1174" s="325" t="n"/>
      <c r="M1174" s="325" t="n"/>
      <c r="N1174" s="325" t="n"/>
      <c r="O1174" s="244">
        <f>M1174*N1174</f>
        <v/>
      </c>
      <c r="P1174" s="325" t="n"/>
      <c r="Q1174" s="325" t="n"/>
      <c r="R1174" s="325" t="n"/>
      <c r="S1174" s="244">
        <f>Q1174*R1174</f>
        <v/>
      </c>
    </row>
    <row r="1175" ht="22.2" customHeight="1" s="330">
      <c r="A1175" s="4" t="n"/>
      <c r="E1175" s="4" t="n"/>
      <c r="G1175" s="252" t="n"/>
      <c r="H1175" s="252" t="n"/>
      <c r="I1175" s="252" t="n"/>
      <c r="J1175" s="252" t="n"/>
      <c r="K1175" s="331" t="n"/>
      <c r="L1175" s="252" t="n"/>
      <c r="M1175" s="252" t="n"/>
      <c r="N1175" s="252" t="n"/>
      <c r="O1175" s="244">
        <f>M1175*N1175</f>
        <v/>
      </c>
      <c r="P1175" s="252" t="n"/>
      <c r="Q1175" s="252" t="n"/>
      <c r="R1175" s="252" t="n"/>
      <c r="S1175" s="244">
        <f>Q1175*R1175</f>
        <v/>
      </c>
    </row>
    <row r="1176" ht="22.2" customHeight="1" s="330">
      <c r="A1176" s="4" t="n"/>
      <c r="E1176" s="4" t="n"/>
      <c r="G1176" s="276" t="n"/>
      <c r="H1176" s="301" t="n"/>
      <c r="I1176" s="276" t="n"/>
      <c r="J1176" s="276" t="n"/>
      <c r="K1176" s="476" t="n"/>
      <c r="L1176" s="276" t="n"/>
      <c r="M1176" s="276" t="n"/>
      <c r="N1176" s="276" t="n"/>
      <c r="O1176" s="244">
        <f>M1176*N1176</f>
        <v/>
      </c>
      <c r="P1176" s="276" t="n"/>
      <c r="Q1176" s="276" t="n"/>
      <c r="R1176" s="276" t="n"/>
      <c r="S1176" s="244">
        <f>Q1176*R1176</f>
        <v/>
      </c>
    </row>
    <row r="1177" ht="22.2" customHeight="1" s="330">
      <c r="A1177" s="4" t="n"/>
      <c r="E1177" s="4" t="n"/>
      <c r="G1177" s="62" t="inlineStr">
        <is>
          <t>ศุกร์</t>
        </is>
      </c>
      <c r="H1177" s="325" t="inlineStr">
        <is>
          <t>20101-2004</t>
        </is>
      </c>
      <c r="I1177" s="325" t="inlineStr">
        <is>
          <t>ปวช.1/2 ชย. (ปกติ)</t>
        </is>
      </c>
      <c r="J1177" s="275" t="inlineStr">
        <is>
          <t>08.10-12.10</t>
        </is>
      </c>
      <c r="K1177" s="335" t="n"/>
      <c r="L1177" s="252" t="n"/>
      <c r="M1177" s="252" t="n"/>
      <c r="N1177" s="252" t="n"/>
      <c r="O1177" s="244">
        <f>M1177*N1177</f>
        <v/>
      </c>
      <c r="P1177" s="332" t="n"/>
      <c r="Q1177" s="265" t="n"/>
      <c r="R1177" s="332" t="n"/>
      <c r="S1177" s="244">
        <f>Q1177*R1177</f>
        <v/>
      </c>
    </row>
    <row r="1178" ht="22.2" customHeight="1" s="330">
      <c r="A1178" s="4" t="n"/>
      <c r="E1178" s="4" t="n"/>
      <c r="G1178" s="308">
        <f>G1132</f>
        <v/>
      </c>
      <c r="H1178" s="325" t="inlineStr">
        <is>
          <t>20101-2004</t>
        </is>
      </c>
      <c r="I1178" s="325" t="inlineStr">
        <is>
          <t>ปวช.1/1 ชย. (ปกติ)</t>
        </is>
      </c>
      <c r="J1178" s="252" t="inlineStr">
        <is>
          <t>13.10-17.10</t>
        </is>
      </c>
      <c r="K1178" s="331" t="n"/>
      <c r="L1178" s="252" t="n"/>
      <c r="M1178" s="252" t="n"/>
      <c r="N1178" s="252" t="n"/>
      <c r="O1178" s="244">
        <f>M1178*N1178</f>
        <v/>
      </c>
      <c r="P1178" s="252" t="n"/>
      <c r="Q1178" s="252" t="n"/>
      <c r="R1178" s="252" t="n"/>
      <c r="S1178" s="244">
        <f>Q1178*R1178</f>
        <v/>
      </c>
    </row>
    <row r="1179" ht="22.2" customHeight="1" s="330">
      <c r="A1179" s="4" t="n"/>
      <c r="E1179" s="4" t="n"/>
      <c r="G1179" s="252" t="n"/>
      <c r="H1179" s="252" t="n"/>
      <c r="I1179" s="252" t="n"/>
      <c r="J1179" s="252" t="n"/>
      <c r="K1179" s="331" t="n"/>
      <c r="L1179" s="252" t="n"/>
      <c r="M1179" s="252" t="n"/>
      <c r="N1179" s="252" t="n"/>
      <c r="O1179" s="244">
        <f>M1179*N1179</f>
        <v/>
      </c>
      <c r="P1179" s="252" t="n"/>
      <c r="Q1179" s="252" t="n"/>
      <c r="R1179" s="252" t="n"/>
      <c r="S1179" s="244">
        <f>Q1179*R1179</f>
        <v/>
      </c>
    </row>
    <row r="1180" ht="22.2" customHeight="1" s="330">
      <c r="A1180" s="4" t="n"/>
      <c r="E1180" s="4" t="n"/>
      <c r="G1180" s="252" t="n"/>
      <c r="H1180" s="249" t="inlineStr">
        <is>
          <t> </t>
        </is>
      </c>
      <c r="I1180" s="252" t="n"/>
      <c r="J1180" s="252" t="n"/>
      <c r="K1180" s="331" t="n"/>
      <c r="L1180" s="252" t="n"/>
      <c r="M1180" s="252" t="n"/>
      <c r="N1180" s="252" t="n"/>
      <c r="O1180" s="244">
        <f>M1180*N1180</f>
        <v/>
      </c>
      <c r="P1180" s="252" t="n"/>
      <c r="Q1180" s="252" t="n"/>
      <c r="R1180" s="252" t="n"/>
      <c r="S1180" s="244">
        <f>Q1180*R1180</f>
        <v/>
      </c>
    </row>
    <row r="1181" ht="22.2" customHeight="1" s="330">
      <c r="A1181" s="4" t="n"/>
      <c r="E1181" s="4" t="n"/>
      <c r="F1181" s="4" t="n"/>
      <c r="G1181" s="278" t="n"/>
      <c r="H1181" s="301" t="n"/>
      <c r="I1181" s="276" t="n"/>
      <c r="J1181" s="276" t="n"/>
      <c r="K1181" s="476" t="n"/>
      <c r="L1181" s="276" t="n"/>
      <c r="M1181" s="276" t="n"/>
      <c r="N1181" s="276" t="n"/>
      <c r="O1181" s="244">
        <f>M1181*N1181</f>
        <v/>
      </c>
      <c r="P1181" s="276" t="n"/>
      <c r="Q1181" s="276" t="n"/>
      <c r="R1181" s="276" t="n"/>
      <c r="S1181" s="244">
        <f>Q1181*R1181</f>
        <v/>
      </c>
    </row>
    <row r="1182" ht="22.2" customHeight="1" s="330">
      <c r="A1182" s="4" t="n"/>
      <c r="E1182" s="4" t="n"/>
      <c r="F1182" s="4" t="n"/>
      <c r="G1182" s="17" t="inlineStr">
        <is>
          <t>รวมขั่วโมงที่สอนแยก ภาระงาน/ เกินภาระงาน</t>
        </is>
      </c>
      <c r="H1182" s="467" t="n"/>
      <c r="I1182" s="467" t="n"/>
      <c r="J1182" s="467" t="n"/>
      <c r="K1182" s="362" t="n"/>
      <c r="L1182" s="17">
        <f>SUM(L1157:L1181)</f>
        <v/>
      </c>
      <c r="M1182" s="17">
        <f>SUM(M1157:M1181)</f>
        <v/>
      </c>
      <c r="N1182" s="17" t="n"/>
      <c r="O1182" s="17" t="n"/>
      <c r="P1182" s="17">
        <f>SUM(P1157:P1181)</f>
        <v/>
      </c>
      <c r="Q1182" s="17">
        <f>SUM(Q1157:Q1181)</f>
        <v/>
      </c>
      <c r="R1182" s="279" t="n"/>
      <c r="S1182" s="17" t="n"/>
    </row>
    <row r="1183" ht="22.2" customHeight="1" s="330">
      <c r="A1183" s="4" t="n"/>
      <c r="E1183" s="4" t="n"/>
      <c r="F1183" s="4" t="n"/>
      <c r="G1183" s="17" t="inlineStr">
        <is>
          <t>รวมจำนวนชั่วโมงสอนคาบต่อสับดาห์</t>
        </is>
      </c>
      <c r="H1183" s="467" t="n"/>
      <c r="I1183" s="467" t="n"/>
      <c r="J1183" s="467" t="n"/>
      <c r="K1183" s="362" t="n"/>
      <c r="L1183" s="17">
        <f>L1182+M1182</f>
        <v/>
      </c>
      <c r="M1183" s="362" t="n"/>
      <c r="N1183" s="298" t="n"/>
      <c r="O1183" s="17" t="n"/>
      <c r="P1183" s="17">
        <f>P1182+Q1182</f>
        <v/>
      </c>
      <c r="Q1183" s="362" t="n"/>
      <c r="R1183" s="278" t="n"/>
      <c r="S1183" s="276" t="n"/>
    </row>
    <row r="1184" ht="22.2" customHeight="1" s="330">
      <c r="A1184" s="4" t="n"/>
      <c r="E1184" s="4" t="n"/>
      <c r="F1184" s="4" t="n"/>
      <c r="G1184" s="17" t="inlineStr">
        <is>
          <t>จำนวนชั่วโมงสอนตามภาระงานสอน</t>
        </is>
      </c>
      <c r="H1184" s="467" t="n"/>
      <c r="I1184" s="467" t="n"/>
      <c r="J1184" s="467" t="n"/>
      <c r="K1184" s="362" t="n"/>
      <c r="L1184" s="17" t="n">
        <v>18</v>
      </c>
      <c r="M1184" s="362" t="n"/>
      <c r="N1184" s="252" t="n"/>
      <c r="O1184" s="252" t="n"/>
      <c r="P1184" s="17" t="n">
        <v>0</v>
      </c>
      <c r="Q1184" s="362" t="n"/>
      <c r="R1184" s="249" t="n"/>
      <c r="S1184" s="252" t="n"/>
    </row>
    <row r="1185" ht="22.2" customHeight="1" s="330" thickBot="1">
      <c r="A1185" s="4" t="n"/>
      <c r="E1185" s="4" t="n"/>
      <c r="F1185" s="15" t="n"/>
      <c r="G1185" s="17" t="inlineStr">
        <is>
          <t>จำนวนชั่วโมงบิกเกินภาระงานสอน/ค่าสอน</t>
        </is>
      </c>
      <c r="H1185" s="467" t="n"/>
      <c r="I1185" s="467" t="n"/>
      <c r="J1185" s="467" t="n"/>
      <c r="K1185" s="362" t="n"/>
      <c r="L1185" s="18" t="n">
        <v>0</v>
      </c>
      <c r="M1185" s="18">
        <f>SUM(M1157:M1181)</f>
        <v/>
      </c>
      <c r="N1185" s="18" t="n"/>
      <c r="O1185" s="18">
        <f>SUM(O1157:O1181)</f>
        <v/>
      </c>
      <c r="P1185" s="18" t="n">
        <v>0</v>
      </c>
      <c r="Q1185" s="18">
        <f>SUM(Q1157:Q1181)</f>
        <v/>
      </c>
      <c r="R1185" s="19" t="n"/>
      <c r="S1185" s="18">
        <f>SUM(S1157:S1181)</f>
        <v/>
      </c>
    </row>
    <row r="1186" ht="22.2" customHeight="1" s="330" thickTop="1">
      <c r="A1186" s="299" t="inlineStr">
        <is>
          <t>รวมจำนวนหน่วยชั่วโมงที่ขอเบิกค่าสอน ….</t>
        </is>
      </c>
      <c r="B1186" s="467" t="n"/>
      <c r="C1186" s="467" t="n"/>
      <c r="D1186" s="467" t="n"/>
      <c r="E1186" s="467" t="n"/>
      <c r="F1186" s="467" t="n"/>
      <c r="G1186" s="467" t="n"/>
      <c r="H1186" s="298">
        <f>M1185+Q1185</f>
        <v/>
      </c>
      <c r="I1186" s="298" t="inlineStr">
        <is>
          <t>….ชั่วโมง</t>
        </is>
      </c>
      <c r="J1186" s="298" t="n"/>
      <c r="K1186" s="301" t="inlineStr">
        <is>
          <t>ยอดเงินรวม</t>
        </is>
      </c>
      <c r="L1186" s="471" t="n"/>
      <c r="M1186" s="471" t="n"/>
      <c r="N1186" s="301" t="n"/>
      <c r="O1186" s="301" t="n"/>
      <c r="P1186" s="302">
        <f>S1185+O1185</f>
        <v/>
      </c>
      <c r="Q1186" s="482" t="n"/>
      <c r="R1186" s="21" t="n"/>
      <c r="S1186" s="53" t="inlineStr">
        <is>
          <t>..บาท</t>
        </is>
      </c>
    </row>
    <row r="1187" ht="22.2" customHeight="1" s="330">
      <c r="A1187" s="207" t="inlineStr">
        <is>
          <t>ผู้ขอเบิก</t>
        </is>
      </c>
      <c r="B1187" s="334" t="n"/>
      <c r="C1187" s="334" t="n"/>
      <c r="D1187" s="334" t="n"/>
      <c r="E1187" s="334" t="n"/>
      <c r="F1187" s="334" t="n"/>
      <c r="G1187" s="335" t="n"/>
      <c r="H1187" s="207" t="inlineStr">
        <is>
          <t>ผู้รับรอง</t>
        </is>
      </c>
      <c r="I1187" s="334" t="n"/>
      <c r="J1187" s="334" t="n"/>
      <c r="K1187" s="334" t="n"/>
      <c r="L1187" s="335" t="n"/>
      <c r="M1187" s="207" t="inlineStr">
        <is>
          <t>ผู้ตรวจ</t>
        </is>
      </c>
      <c r="N1187" s="334" t="n"/>
      <c r="O1187" s="334" t="n"/>
      <c r="P1187" s="334" t="n"/>
      <c r="Q1187" s="334" t="n"/>
      <c r="R1187" s="334" t="n"/>
      <c r="S1187" s="335" t="n"/>
    </row>
    <row r="1188" ht="22.2" customHeight="1" s="330">
      <c r="A1188" s="252" t="inlineStr">
        <is>
          <t>ลงชื่อ……………………………………………</t>
        </is>
      </c>
      <c r="G1188" s="331" t="n"/>
      <c r="H1188" s="252" t="inlineStr">
        <is>
          <t>ลงชื่อ……………………………………………</t>
        </is>
      </c>
      <c r="L1188" s="331" t="n"/>
      <c r="M1188" s="252" t="inlineStr">
        <is>
          <t>ลงชื่อ……………………………………………</t>
        </is>
      </c>
      <c r="S1188" s="331" t="n"/>
    </row>
    <row r="1189" ht="22.2" customHeight="1" s="330">
      <c r="A1189" s="12" t="inlineStr">
        <is>
          <t>(</t>
        </is>
      </c>
      <c r="B1189" s="309">
        <f>B1157</f>
        <v/>
      </c>
      <c r="G1189" s="310" t="inlineStr">
        <is>
          <t>)</t>
        </is>
      </c>
      <c r="H1189" s="309" t="inlineStr">
        <is>
          <t>(</t>
        </is>
      </c>
      <c r="I1189" s="314">
        <f>I1143</f>
        <v/>
      </c>
      <c r="L1189" s="13" t="inlineStr">
        <is>
          <t>)</t>
        </is>
      </c>
      <c r="M1189" s="61" t="inlineStr">
        <is>
          <t>(</t>
        </is>
      </c>
      <c r="N1189" s="61" t="n"/>
      <c r="O1189" s="309" t="inlineStr">
        <is>
          <t>นายพิสุทธิศักดิ์  กล่อมนาค</t>
        </is>
      </c>
      <c r="R1189" s="29" t="n"/>
      <c r="S1189" s="310" t="inlineStr">
        <is>
          <t>)</t>
        </is>
      </c>
    </row>
    <row r="1190" ht="22.2" customHeight="1" s="330">
      <c r="A1190" s="483" t="inlineStr">
        <is>
          <t xml:space="preserve">                 ตำแหน่ง  ครูพิเศษ</t>
        </is>
      </c>
      <c r="G1190" s="331" t="n"/>
      <c r="H1190" s="62" t="inlineStr">
        <is>
          <t>ตำแหน่ง หัวหน้าแผนก</t>
        </is>
      </c>
      <c r="L1190" s="331" t="n"/>
      <c r="M1190" s="62" t="inlineStr">
        <is>
          <t>ตำแหน่ง   ผู้ตรวจสอบ</t>
        </is>
      </c>
      <c r="S1190" s="331" t="n"/>
    </row>
    <row r="1191" ht="22.2" customHeight="1" s="330">
      <c r="A1191" s="63">
        <f>A41</f>
        <v/>
      </c>
      <c r="B1191" s="471" t="n"/>
      <c r="C1191" s="471" t="n"/>
      <c r="D1191" s="471" t="n"/>
      <c r="E1191" s="471" t="n"/>
      <c r="F1191" s="471" t="n"/>
      <c r="G1191" s="476" t="n"/>
      <c r="H1191" s="62">
        <f>A41</f>
        <v/>
      </c>
      <c r="L1191" s="331" t="n"/>
      <c r="M1191" s="63">
        <f>A41</f>
        <v/>
      </c>
      <c r="N1191" s="471" t="n"/>
      <c r="O1191" s="471" t="n"/>
      <c r="P1191" s="471" t="n"/>
      <c r="Q1191" s="471" t="n"/>
      <c r="R1191" s="471" t="n"/>
      <c r="S1191" s="476" t="n"/>
    </row>
    <row r="1192" ht="22.2" customHeight="1" s="330">
      <c r="A1192" s="207" t="inlineStr">
        <is>
          <t>ผู้ตรวจ</t>
        </is>
      </c>
      <c r="B1192" s="334" t="n"/>
      <c r="C1192" s="334" t="n"/>
      <c r="D1192" s="334" t="n"/>
      <c r="E1192" s="334" t="n"/>
      <c r="F1192" s="334" t="n"/>
      <c r="G1192" s="334" t="n"/>
      <c r="H1192" s="334" t="n"/>
      <c r="I1192" s="335" t="n"/>
      <c r="J1192" s="207" t="inlineStr">
        <is>
          <t>ผู้เห็นชอบ</t>
        </is>
      </c>
      <c r="K1192" s="334" t="n"/>
      <c r="L1192" s="334" t="n"/>
      <c r="M1192" s="334" t="n"/>
      <c r="N1192" s="334" t="n"/>
      <c r="O1192" s="334" t="n"/>
      <c r="P1192" s="334" t="n"/>
      <c r="Q1192" s="334" t="n"/>
      <c r="R1192" s="334" t="n"/>
      <c r="S1192" s="335" t="n"/>
    </row>
    <row r="1193" ht="22.2" customHeight="1" s="330">
      <c r="A1193" s="252" t="inlineStr">
        <is>
          <t>ลงชื่อ……………………………………………</t>
        </is>
      </c>
      <c r="I1193" s="331" t="n"/>
      <c r="J1193" s="252" t="inlineStr">
        <is>
          <t>ลงชื่อ……………………………………………</t>
        </is>
      </c>
      <c r="S1193" s="331" t="n"/>
    </row>
    <row r="1194" ht="22.2" customHeight="1" s="330">
      <c r="A1194" s="12" t="n"/>
      <c r="B1194" s="309" t="inlineStr">
        <is>
          <t xml:space="preserve">          (นางศิวรักษ์   บุญประเสริฐ)</t>
        </is>
      </c>
      <c r="I1194" s="310" t="n"/>
      <c r="J1194" s="29" t="n"/>
      <c r="K1194" s="29" t="n"/>
      <c r="L1194" s="309" t="inlineStr">
        <is>
          <t>(นายปรีชา  โพธิ์เกิด)</t>
        </is>
      </c>
      <c r="R1194" s="29" t="n"/>
      <c r="S1194" s="13" t="n"/>
    </row>
    <row r="1195" ht="22.2" customHeight="1" s="330">
      <c r="A1195" s="62" t="inlineStr">
        <is>
          <t>ตำแหน่งครู  หัวหน้างานพัฒนาหลักสูตร ฯ</t>
        </is>
      </c>
      <c r="I1195" s="331" t="n"/>
      <c r="J1195" s="62" t="inlineStr">
        <is>
          <t>ตำแหน่ง  รองผู้อำนวยการฝ่ายวิชาการ</t>
        </is>
      </c>
      <c r="S1195" s="331" t="n"/>
    </row>
    <row r="1196" ht="22.2" customHeight="1" s="330">
      <c r="A1196" s="63">
        <f>A41</f>
        <v/>
      </c>
      <c r="B1196" s="471" t="n"/>
      <c r="C1196" s="471" t="n"/>
      <c r="D1196" s="471" t="n"/>
      <c r="E1196" s="471" t="n"/>
      <c r="F1196" s="471" t="n"/>
      <c r="G1196" s="471" t="n"/>
      <c r="H1196" s="471" t="n"/>
      <c r="I1196" s="476" t="n"/>
      <c r="J1196" s="63">
        <f>A41</f>
        <v/>
      </c>
      <c r="K1196" s="471" t="n"/>
      <c r="L1196" s="471" t="n"/>
      <c r="M1196" s="471" t="n"/>
      <c r="N1196" s="471" t="n"/>
      <c r="O1196" s="471" t="n"/>
      <c r="P1196" s="471" t="n"/>
      <c r="Q1196" s="471" t="n"/>
      <c r="R1196" s="471" t="n"/>
      <c r="S1196" s="476" t="n"/>
    </row>
    <row r="1197" ht="22.2" customHeight="1" s="330">
      <c r="A119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98" ht="22.2" customHeight="1" s="330">
      <c r="A1198" s="254">
        <f>A2</f>
        <v/>
      </c>
    </row>
    <row r="1199" ht="22.2" customHeight="1" s="330">
      <c r="A1199" s="253" t="inlineStr">
        <is>
          <t xml:space="preserve">    ระหว่างวันที่</t>
        </is>
      </c>
      <c r="D1199" s="254">
        <f>D3</f>
        <v/>
      </c>
      <c r="E1199" s="254" t="inlineStr">
        <is>
          <t xml:space="preserve">   เดือน  </t>
        </is>
      </c>
      <c r="F1199" s="254">
        <f>F3</f>
        <v/>
      </c>
      <c r="H1199" s="254">
        <f>H3</f>
        <v/>
      </c>
      <c r="I1199" s="254" t="inlineStr">
        <is>
          <t xml:space="preserve">     ถึง วันที่</t>
        </is>
      </c>
      <c r="J1199" s="254">
        <f>J3</f>
        <v/>
      </c>
      <c r="K1199" s="254" t="inlineStr">
        <is>
          <t xml:space="preserve">   เดือน </t>
        </is>
      </c>
      <c r="L1199" s="254">
        <f>L3</f>
        <v/>
      </c>
      <c r="N1199" s="254">
        <f>N3</f>
        <v/>
      </c>
      <c r="P1199" s="254" t="n"/>
      <c r="R1199" s="254" t="n"/>
    </row>
    <row r="1200" ht="22.2" customHeight="1" s="330">
      <c r="H1200" s="290" t="inlineStr">
        <is>
          <t>ครู</t>
        </is>
      </c>
      <c r="I1200" s="249" t="inlineStr">
        <is>
          <t>หน้าที่พิเศษ</t>
        </is>
      </c>
      <c r="J1200" s="290" t="n"/>
    </row>
    <row r="1201" ht="22.2" customHeight="1" s="330">
      <c r="G1201" s="58" t="inlineStr">
        <is>
          <t>ü</t>
        </is>
      </c>
      <c r="H1201" s="8" t="inlineStr">
        <is>
          <t>ครูพิเศษ</t>
        </is>
      </c>
      <c r="I1201" s="249" t="inlineStr">
        <is>
          <t>หน้าที่พิเศษ</t>
        </is>
      </c>
      <c r="K1201" s="290" t="n"/>
    </row>
    <row r="1202" ht="22.2" customHeight="1" s="330">
      <c r="A1202" s="28" t="inlineStr">
        <is>
          <t>ที่</t>
        </is>
      </c>
      <c r="B1202" s="28" t="inlineStr">
        <is>
          <t>ชื่อ-สกุล</t>
        </is>
      </c>
      <c r="C1202" s="334" t="n"/>
      <c r="D1202" s="335" t="n"/>
      <c r="E1202" s="16" t="inlineStr">
        <is>
          <t>ตำแหน่ง</t>
        </is>
      </c>
      <c r="F1202" s="17" t="inlineStr">
        <is>
          <t>ระยะเวลาที่สอน</t>
        </is>
      </c>
      <c r="G1202" s="362" t="n"/>
      <c r="H1202" s="17" t="inlineStr">
        <is>
          <t>รหัสวิชา</t>
        </is>
      </c>
      <c r="I1202" s="275" t="inlineStr">
        <is>
          <t>ชั้น,แผนก,ห้อง</t>
        </is>
      </c>
      <c r="J1202" s="17" t="inlineStr">
        <is>
          <t>เวลาสอน</t>
        </is>
      </c>
      <c r="K1202" s="335" t="n"/>
      <c r="L1202" s="17" t="inlineStr">
        <is>
          <t>ปวช.(คาบ)</t>
        </is>
      </c>
      <c r="M1202" s="362" t="n"/>
      <c r="N1202" s="244" t="inlineStr">
        <is>
          <t>เงิน</t>
        </is>
      </c>
      <c r="O1202" s="275" t="inlineStr">
        <is>
          <t>ยอดเงิน</t>
        </is>
      </c>
      <c r="P1202" s="473" t="inlineStr">
        <is>
          <t>ปวส.(คาบ)</t>
        </is>
      </c>
      <c r="Q1202" s="362" t="n"/>
      <c r="R1202" s="244" t="inlineStr">
        <is>
          <t>เงิน</t>
        </is>
      </c>
      <c r="S1202" s="275" t="inlineStr">
        <is>
          <t>ยอดเงิน</t>
        </is>
      </c>
    </row>
    <row r="1203" ht="22.2" customHeight="1" s="330">
      <c r="A1203" s="60" t="n"/>
      <c r="B1203" s="9" t="n"/>
      <c r="C1203" s="10" t="n"/>
      <c r="D1203" s="14" t="n"/>
      <c r="E1203" s="11" t="n"/>
      <c r="F1203" s="276" t="inlineStr">
        <is>
          <t>ส.</t>
        </is>
      </c>
      <c r="G1203" s="276" t="inlineStr">
        <is>
          <t>วดป.</t>
        </is>
      </c>
      <c r="H1203" s="474" t="n"/>
      <c r="I1203" s="276" t="n"/>
      <c r="J1203" s="475" t="n"/>
      <c r="K1203" s="476" t="n"/>
      <c r="L1203" s="276" t="inlineStr">
        <is>
          <t>ใน</t>
        </is>
      </c>
      <c r="M1203" s="276" t="inlineStr">
        <is>
          <t>นอก</t>
        </is>
      </c>
      <c r="N1203" s="276" t="inlineStr">
        <is>
          <t>ต่อ ชม.</t>
        </is>
      </c>
      <c r="O1203" s="276" t="inlineStr">
        <is>
          <t>(บาท)</t>
        </is>
      </c>
      <c r="P1203" s="60" t="inlineStr">
        <is>
          <t>ใน</t>
        </is>
      </c>
      <c r="Q1203" s="60" t="inlineStr">
        <is>
          <t>นอก</t>
        </is>
      </c>
      <c r="R1203" s="276" t="inlineStr">
        <is>
          <t>ต่อ ชม.</t>
        </is>
      </c>
      <c r="S1203" s="276" t="inlineStr">
        <is>
          <t>(บาท)</t>
        </is>
      </c>
    </row>
    <row r="1204" ht="22.2" customHeight="1" s="330">
      <c r="A1204" s="275" t="n">
        <v>27</v>
      </c>
      <c r="B1204" s="477">
        <f>AB29</f>
        <v/>
      </c>
      <c r="C1204" s="334" t="n"/>
      <c r="D1204" s="335" t="n"/>
      <c r="E1204" s="275" t="inlineStr">
        <is>
          <t>ครู</t>
        </is>
      </c>
      <c r="F1204" s="6">
        <f>F7</f>
        <v/>
      </c>
      <c r="G1204" s="303" t="inlineStr">
        <is>
          <t>จันทร์</t>
        </is>
      </c>
      <c r="H1204" s="332" t="n"/>
      <c r="I1204" s="332" t="n"/>
      <c r="J1204" s="332" t="n"/>
      <c r="K1204" s="335" t="n"/>
      <c r="L1204" s="265" t="n"/>
      <c r="M1204" s="332" t="n"/>
      <c r="N1204" s="332" t="n"/>
      <c r="O1204" s="244">
        <f>M1204*N1204</f>
        <v/>
      </c>
      <c r="P1204" s="332" t="n"/>
      <c r="Q1204" s="265" t="n"/>
      <c r="R1204" s="332" t="n"/>
      <c r="S1204" s="244">
        <f>Q1204*R1204</f>
        <v/>
      </c>
    </row>
    <row r="1205" ht="22.2" customHeight="1" s="330">
      <c r="A1205" s="4" t="n"/>
      <c r="B1205" s="478" t="n"/>
      <c r="D1205" s="331" t="n"/>
      <c r="E1205" s="252" t="inlineStr">
        <is>
          <t>พิเศษ</t>
        </is>
      </c>
      <c r="F1205" s="249" t="n"/>
      <c r="G1205" s="308">
        <f>G1158</f>
        <v/>
      </c>
      <c r="H1205" s="252" t="n"/>
      <c r="I1205" s="252" t="n"/>
      <c r="J1205" s="252" t="n"/>
      <c r="K1205" s="331" t="n"/>
      <c r="L1205" s="252" t="n"/>
      <c r="M1205" s="252" t="n"/>
      <c r="N1205" s="252" t="n"/>
      <c r="O1205" s="244">
        <f>M1205*N1205</f>
        <v/>
      </c>
      <c r="P1205" s="252" t="n"/>
      <c r="Q1205" s="252" t="n"/>
      <c r="R1205" s="252" t="n"/>
      <c r="S1205" s="244">
        <f>Q1205*R1205</f>
        <v/>
      </c>
    </row>
    <row r="1206" ht="22.2" customHeight="1" s="330">
      <c r="A1206" s="4" t="n"/>
      <c r="B1206" s="5" t="n"/>
      <c r="D1206" s="3" t="n"/>
      <c r="E1206" s="3" t="n"/>
      <c r="F1206" s="249" t="n"/>
      <c r="G1206" s="248" t="n"/>
      <c r="H1206" s="252" t="n"/>
      <c r="I1206" s="252" t="n"/>
      <c r="J1206" s="252" t="n"/>
      <c r="K1206" s="331" t="n"/>
      <c r="L1206" s="252" t="n"/>
      <c r="M1206" s="252" t="n"/>
      <c r="N1206" s="252" t="n"/>
      <c r="O1206" s="244">
        <f>M1206*N1206</f>
        <v/>
      </c>
      <c r="P1206" s="252" t="n"/>
      <c r="Q1206" s="252" t="n"/>
      <c r="R1206" s="252" t="n"/>
      <c r="S1206" s="244">
        <f>Q1206*R1206</f>
        <v/>
      </c>
    </row>
    <row r="1207" ht="22.2" customHeight="1" s="330">
      <c r="A1207" s="4" t="n"/>
      <c r="B1207" s="5" t="n"/>
      <c r="E1207" s="4" t="n"/>
      <c r="F1207" s="249" t="n"/>
      <c r="G1207" s="248" t="n"/>
      <c r="H1207" s="252" t="n"/>
      <c r="I1207" s="252" t="n"/>
      <c r="J1207" s="252" t="n"/>
      <c r="K1207" s="331" t="n"/>
      <c r="L1207" s="252" t="n"/>
      <c r="M1207" s="252" t="n"/>
      <c r="N1207" s="252" t="n"/>
      <c r="O1207" s="244">
        <f>M1207*N1207</f>
        <v/>
      </c>
      <c r="P1207" s="252" t="n"/>
      <c r="Q1207" s="252" t="n"/>
      <c r="R1207" s="252" t="n"/>
      <c r="S1207" s="244">
        <f>Q1207*R1207</f>
        <v/>
      </c>
    </row>
    <row r="1208" ht="22.2" customHeight="1" s="330">
      <c r="A1208" s="4" t="n"/>
      <c r="E1208" s="4" t="n"/>
      <c r="G1208" s="311" t="n"/>
      <c r="H1208" s="276" t="n"/>
      <c r="I1208" s="252" t="n"/>
      <c r="J1208" s="276" t="n"/>
      <c r="K1208" s="476" t="n"/>
      <c r="L1208" s="252" t="n"/>
      <c r="M1208" s="252" t="n"/>
      <c r="N1208" s="252" t="n"/>
      <c r="O1208" s="244">
        <f>M1208*N1208</f>
        <v/>
      </c>
      <c r="P1208" s="252" t="n"/>
      <c r="Q1208" s="252" t="n"/>
      <c r="R1208" s="252" t="n"/>
      <c r="S1208" s="244">
        <f>Q1208*R1208</f>
        <v/>
      </c>
    </row>
    <row r="1209" ht="22.2" customHeight="1" s="330">
      <c r="A1209" s="4" t="n"/>
      <c r="E1209" s="4" t="n"/>
      <c r="G1209" s="62" t="inlineStr">
        <is>
          <t>อังคาร</t>
        </is>
      </c>
      <c r="H1209" s="332" t="n"/>
      <c r="I1209" s="332" t="n"/>
      <c r="J1209" s="332" t="n"/>
      <c r="K1209" s="335" t="n"/>
      <c r="L1209" s="265" t="n"/>
      <c r="M1209" s="332" t="n"/>
      <c r="N1209" s="332" t="n"/>
      <c r="O1209" s="244">
        <f>M1209*N1209</f>
        <v/>
      </c>
      <c r="P1209" s="332" t="n"/>
      <c r="Q1209" s="265" t="n"/>
      <c r="R1209" s="332" t="n"/>
      <c r="S1209" s="244">
        <f>Q1209*R1209</f>
        <v/>
      </c>
    </row>
    <row r="1210" ht="22.2" customHeight="1" s="330">
      <c r="A1210" s="4" t="n"/>
      <c r="E1210" s="4" t="n"/>
      <c r="G1210" s="308">
        <f>G1163</f>
        <v/>
      </c>
      <c r="H1210" s="252" t="n"/>
      <c r="I1210" s="252" t="n"/>
      <c r="J1210" s="252" t="n"/>
      <c r="K1210" s="331" t="n"/>
      <c r="L1210" s="252" t="n"/>
      <c r="M1210" s="252" t="n"/>
      <c r="N1210" s="252" t="n"/>
      <c r="O1210" s="244">
        <f>M1210*N1210</f>
        <v/>
      </c>
      <c r="P1210" s="252" t="n"/>
      <c r="Q1210" s="252" t="n"/>
      <c r="R1210" s="252" t="n"/>
      <c r="S1210" s="244">
        <f>Q1210*R1210</f>
        <v/>
      </c>
    </row>
    <row r="1211" ht="22.2" customHeight="1" s="330">
      <c r="A1211" s="4" t="n"/>
      <c r="B1211" s="5" t="n"/>
      <c r="D1211" s="3" t="n"/>
      <c r="E1211" s="3" t="n"/>
      <c r="G1211" s="252" t="n"/>
      <c r="H1211" s="252" t="n"/>
      <c r="I1211" s="252" t="n"/>
      <c r="J1211" s="252" t="n"/>
      <c r="K1211" s="331" t="n"/>
      <c r="L1211" s="252" t="n"/>
      <c r="M1211" s="252" t="n"/>
      <c r="N1211" s="252" t="n"/>
      <c r="O1211" s="244">
        <f>M1211*N1211</f>
        <v/>
      </c>
      <c r="P1211" s="252" t="n"/>
      <c r="Q1211" s="252" t="n"/>
      <c r="R1211" s="252" t="n"/>
      <c r="S1211" s="244">
        <f>Q1211*R1211</f>
        <v/>
      </c>
    </row>
    <row r="1212" ht="22.2" customHeight="1" s="330">
      <c r="A1212" s="4" t="n"/>
      <c r="E1212" s="4" t="n"/>
      <c r="G1212" s="62" t="n"/>
      <c r="H1212" s="249" t="n"/>
      <c r="I1212" s="252" t="n"/>
      <c r="J1212" s="252" t="n"/>
      <c r="K1212" s="331" t="n"/>
      <c r="L1212" s="252" t="n"/>
      <c r="M1212" s="252" t="n"/>
      <c r="N1212" s="252" t="n"/>
      <c r="O1212" s="244">
        <f>M1212*N1212</f>
        <v/>
      </c>
      <c r="P1212" s="252" t="n"/>
      <c r="Q1212" s="252" t="n"/>
      <c r="R1212" s="252" t="n"/>
      <c r="S1212" s="244">
        <f>Q1212*R1212</f>
        <v/>
      </c>
    </row>
    <row r="1213" ht="22.2" customHeight="1" s="330">
      <c r="A1213" s="4" t="n"/>
      <c r="D1213" s="8" t="inlineStr">
        <is>
          <t> </t>
        </is>
      </c>
      <c r="E1213" s="4" t="n"/>
      <c r="G1213" s="63" t="n"/>
      <c r="H1213" s="249" t="n"/>
      <c r="I1213" s="252" t="n"/>
      <c r="J1213" s="276" t="n"/>
      <c r="K1213" s="476" t="n"/>
      <c r="L1213" s="252" t="n"/>
      <c r="M1213" s="252" t="n"/>
      <c r="N1213" s="252" t="n"/>
      <c r="O1213" s="244">
        <f>M1213*N1213</f>
        <v/>
      </c>
      <c r="P1213" s="252" t="n"/>
      <c r="Q1213" s="252" t="n"/>
      <c r="R1213" s="252" t="n"/>
      <c r="S1213" s="244">
        <f>Q1213*R1213</f>
        <v/>
      </c>
    </row>
    <row r="1214" ht="22.2" customHeight="1" s="330">
      <c r="A1214" s="4" t="n"/>
      <c r="E1214" s="4" t="n"/>
      <c r="G1214" s="308" t="inlineStr">
        <is>
          <t>พุธ</t>
        </is>
      </c>
      <c r="H1214" s="332" t="n"/>
      <c r="I1214" s="332" t="n"/>
      <c r="J1214" s="332" t="n"/>
      <c r="K1214" s="335" t="n"/>
      <c r="L1214" s="265" t="n"/>
      <c r="M1214" s="332" t="n"/>
      <c r="N1214" s="332" t="n"/>
      <c r="O1214" s="244">
        <f>M1214*N1214</f>
        <v/>
      </c>
      <c r="P1214" s="332" t="n"/>
      <c r="Q1214" s="265" t="n"/>
      <c r="R1214" s="332" t="n"/>
      <c r="S1214" s="244">
        <f>Q1214*R1214</f>
        <v/>
      </c>
      <c r="T1214" s="25" t="n"/>
      <c r="U1214" s="26" t="inlineStr">
        <is>
          <t xml:space="preserve">     PLC</t>
        </is>
      </c>
      <c r="V1214" s="64" t="n"/>
      <c r="W1214" s="27" t="n"/>
      <c r="X1214" s="27" t="n"/>
    </row>
    <row r="1215" ht="22.2" customHeight="1" s="330">
      <c r="A1215" s="4" t="n"/>
      <c r="B1215" s="248" t="n"/>
      <c r="C1215" s="249" t="n"/>
      <c r="D1215" s="249" t="n"/>
      <c r="E1215" s="252" t="n"/>
      <c r="G1215" s="308">
        <f>G1168</f>
        <v/>
      </c>
      <c r="H1215" s="252" t="n"/>
      <c r="I1215" s="325" t="n"/>
      <c r="J1215" s="252" t="n"/>
      <c r="K1215" s="331" t="n"/>
      <c r="L1215" s="252" t="n"/>
      <c r="M1215" s="252" t="n"/>
      <c r="N1215" s="252" t="n"/>
      <c r="O1215" s="244">
        <f>M1215*N1215</f>
        <v/>
      </c>
      <c r="P1215" s="252" t="n"/>
      <c r="Q1215" s="252" t="n"/>
      <c r="R1215" s="252" t="n"/>
      <c r="S1215" s="244">
        <f>Q1215*R1215</f>
        <v/>
      </c>
      <c r="T1215" s="27" t="inlineStr">
        <is>
          <t> </t>
        </is>
      </c>
      <c r="U1215" s="26" t="inlineStr">
        <is>
          <t>17.10-19.10</t>
        </is>
      </c>
      <c r="V1215" s="64" t="n"/>
      <c r="W1215" s="27" t="n"/>
      <c r="X1215" s="27" t="n"/>
    </row>
    <row r="1216" ht="22.2" customHeight="1" s="330">
      <c r="A1216" s="4" t="n"/>
      <c r="B1216" s="5" t="n"/>
      <c r="D1216" s="3" t="n"/>
      <c r="E1216" s="3" t="n"/>
      <c r="G1216" s="252" t="n"/>
      <c r="H1216" s="252" t="n"/>
      <c r="I1216" s="325" t="n"/>
      <c r="J1216" s="252" t="n"/>
      <c r="K1216" s="331" t="n"/>
      <c r="L1216" s="252" t="n"/>
      <c r="M1216" s="252" t="n"/>
      <c r="N1216" s="252" t="n"/>
      <c r="O1216" s="244">
        <f>M1216*N1216</f>
        <v/>
      </c>
      <c r="P1216" s="252" t="n"/>
      <c r="Q1216" s="252" t="n"/>
      <c r="R1216" s="252" t="n"/>
      <c r="S1216" s="244">
        <f>Q1216*R1216</f>
        <v/>
      </c>
    </row>
    <row r="1217" ht="22.2" customHeight="1" s="330">
      <c r="A1217" s="4" t="n"/>
      <c r="E1217" s="4" t="n"/>
      <c r="G1217" s="248" t="n"/>
      <c r="H1217" s="248" t="n"/>
      <c r="I1217" s="252" t="n"/>
      <c r="J1217" s="252" t="n"/>
      <c r="K1217" s="331" t="n"/>
      <c r="L1217" s="252" t="n"/>
      <c r="M1217" s="252" t="n"/>
      <c r="N1217" s="252" t="n"/>
      <c r="O1217" s="244">
        <f>M1217*N1217</f>
        <v/>
      </c>
      <c r="P1217" s="252" t="n"/>
      <c r="Q1217" s="252" t="n"/>
      <c r="R1217" s="252" t="n"/>
      <c r="S1217" s="244">
        <f>Q1217*R1217</f>
        <v/>
      </c>
    </row>
    <row r="1218" ht="22.2" customHeight="1" s="330">
      <c r="A1218" s="4" t="n"/>
      <c r="E1218" s="4" t="n"/>
      <c r="G1218" s="277" t="n"/>
      <c r="H1218" s="277" t="n"/>
      <c r="I1218" s="276" t="n"/>
      <c r="J1218" s="276" t="n"/>
      <c r="K1218" s="476" t="n"/>
      <c r="L1218" s="276" t="n"/>
      <c r="M1218" s="276" t="n"/>
      <c r="N1218" s="276" t="n"/>
      <c r="O1218" s="244">
        <f>M1218*N1218</f>
        <v/>
      </c>
      <c r="P1218" s="276" t="n"/>
      <c r="Q1218" s="276" t="n"/>
      <c r="R1218" s="276" t="n"/>
      <c r="S1218" s="244">
        <f>Q1218*R1218</f>
        <v/>
      </c>
    </row>
    <row r="1219" ht="22.2" customHeight="1" s="330">
      <c r="A1219" s="4" t="n"/>
      <c r="E1219" s="4" t="n"/>
      <c r="G1219" s="62" t="inlineStr">
        <is>
          <t>พฤหัส</t>
        </is>
      </c>
      <c r="H1219" s="332" t="n"/>
      <c r="I1219" s="332" t="n"/>
      <c r="J1219" s="275" t="n"/>
      <c r="K1219" s="335" t="n"/>
      <c r="L1219" s="252" t="n"/>
      <c r="M1219" s="252" t="n"/>
      <c r="N1219" s="252" t="n"/>
      <c r="O1219" s="244">
        <f>M1219*N1219</f>
        <v/>
      </c>
      <c r="P1219" s="252" t="n"/>
      <c r="Q1219" s="275" t="n"/>
      <c r="R1219" s="275" t="n"/>
      <c r="S1219" s="244">
        <f>Q1219*R1219</f>
        <v/>
      </c>
    </row>
    <row r="1220" ht="22.2" customHeight="1" s="330">
      <c r="A1220" s="4" t="n"/>
      <c r="E1220" s="4" t="n"/>
      <c r="G1220" s="308">
        <f>G1173</f>
        <v/>
      </c>
      <c r="H1220" s="252" t="n"/>
      <c r="I1220" s="325" t="n"/>
      <c r="J1220" s="252" t="n"/>
      <c r="K1220" s="331" t="n"/>
      <c r="L1220" s="252" t="n"/>
      <c r="M1220" s="252" t="n"/>
      <c r="N1220" s="252" t="n"/>
      <c r="O1220" s="244">
        <f>M1220*N1220</f>
        <v/>
      </c>
      <c r="P1220" s="252" t="n"/>
      <c r="Q1220" s="252" t="n"/>
      <c r="R1220" s="252" t="n"/>
      <c r="S1220" s="244">
        <f>Q1220*R1220</f>
        <v/>
      </c>
    </row>
    <row r="1221" ht="22.2" customHeight="1" s="330">
      <c r="A1221" s="4" t="n"/>
      <c r="B1221" s="5" t="n"/>
      <c r="E1221" s="4" t="n"/>
      <c r="G1221" s="252" t="n"/>
      <c r="H1221" s="252" t="n"/>
      <c r="I1221" s="325" t="n"/>
      <c r="J1221" s="252" t="n"/>
      <c r="K1221" s="331" t="n"/>
      <c r="L1221" s="325" t="n"/>
      <c r="M1221" s="325" t="n"/>
      <c r="N1221" s="325" t="n"/>
      <c r="O1221" s="244">
        <f>M1221*N1221</f>
        <v/>
      </c>
      <c r="P1221" s="325" t="n"/>
      <c r="Q1221" s="325" t="n"/>
      <c r="R1221" s="325" t="n"/>
      <c r="S1221" s="244">
        <f>Q1221*R1221</f>
        <v/>
      </c>
    </row>
    <row r="1222" ht="22.2" customHeight="1" s="330">
      <c r="A1222" s="4" t="n"/>
      <c r="E1222" s="4" t="n"/>
      <c r="G1222" s="252" t="n"/>
      <c r="H1222" s="252" t="n"/>
      <c r="I1222" s="252" t="n"/>
      <c r="J1222" s="252" t="n"/>
      <c r="K1222" s="331" t="n"/>
      <c r="L1222" s="252" t="n"/>
      <c r="M1222" s="252" t="n"/>
      <c r="N1222" s="252" t="n"/>
      <c r="O1222" s="244">
        <f>M1222*N1222</f>
        <v/>
      </c>
      <c r="P1222" s="252" t="n"/>
      <c r="Q1222" s="252" t="n"/>
      <c r="R1222" s="252" t="n"/>
      <c r="S1222" s="244">
        <f>Q1222*R1222</f>
        <v/>
      </c>
    </row>
    <row r="1223" ht="22.2" customHeight="1" s="330">
      <c r="A1223" s="4" t="n"/>
      <c r="E1223" s="4" t="n"/>
      <c r="G1223" s="276" t="n"/>
      <c r="H1223" s="301" t="n"/>
      <c r="I1223" s="276" t="n"/>
      <c r="J1223" s="276" t="n"/>
      <c r="K1223" s="476" t="n"/>
      <c r="L1223" s="276" t="n"/>
      <c r="M1223" s="276" t="n"/>
      <c r="N1223" s="276" t="n"/>
      <c r="O1223" s="244">
        <f>M1223*N1223</f>
        <v/>
      </c>
      <c r="P1223" s="276" t="n"/>
      <c r="Q1223" s="276" t="n"/>
      <c r="R1223" s="276" t="n"/>
      <c r="S1223" s="244">
        <f>Q1223*R1223</f>
        <v/>
      </c>
    </row>
    <row r="1224" ht="22.2" customHeight="1" s="330">
      <c r="A1224" s="4" t="n"/>
      <c r="E1224" s="4" t="n"/>
      <c r="G1224" s="62" t="inlineStr">
        <is>
          <t>ศุกร์</t>
        </is>
      </c>
      <c r="H1224" s="332" t="n"/>
      <c r="I1224" s="252" t="n"/>
      <c r="J1224" s="332" t="n"/>
      <c r="K1224" s="335" t="n"/>
      <c r="L1224" s="252" t="n"/>
      <c r="M1224" s="252" t="n"/>
      <c r="N1224" s="252" t="n"/>
      <c r="O1224" s="244">
        <f>M1224*N1224</f>
        <v/>
      </c>
      <c r="P1224" s="332" t="n"/>
      <c r="Q1224" s="265" t="n"/>
      <c r="R1224" s="332" t="n"/>
      <c r="S1224" s="244">
        <f>Q1224*R1224</f>
        <v/>
      </c>
    </row>
    <row r="1225" ht="22.2" customHeight="1" s="330">
      <c r="A1225" s="4" t="n"/>
      <c r="E1225" s="4" t="n"/>
      <c r="G1225" s="308">
        <f>G1178</f>
        <v/>
      </c>
      <c r="H1225" s="252" t="n"/>
      <c r="I1225" s="252" t="n"/>
      <c r="J1225" s="252" t="n"/>
      <c r="K1225" s="331" t="n"/>
      <c r="L1225" s="252" t="n"/>
      <c r="M1225" s="252" t="n"/>
      <c r="N1225" s="252" t="n"/>
      <c r="O1225" s="244">
        <f>M1225*N1225</f>
        <v/>
      </c>
      <c r="P1225" s="252" t="n"/>
      <c r="Q1225" s="252" t="n"/>
      <c r="R1225" s="252" t="n"/>
      <c r="S1225" s="244">
        <f>Q1225*R1225</f>
        <v/>
      </c>
    </row>
    <row r="1226" ht="22.2" customHeight="1" s="330">
      <c r="A1226" s="4" t="n"/>
      <c r="E1226" s="4" t="n"/>
      <c r="G1226" s="252" t="n"/>
      <c r="H1226" s="252" t="n"/>
      <c r="I1226" s="252" t="n"/>
      <c r="J1226" s="252" t="n"/>
      <c r="K1226" s="331" t="n"/>
      <c r="L1226" s="252" t="n"/>
      <c r="M1226" s="252" t="n"/>
      <c r="N1226" s="252" t="n"/>
      <c r="O1226" s="244">
        <f>M1226*N1226</f>
        <v/>
      </c>
      <c r="P1226" s="252" t="n"/>
      <c r="Q1226" s="252" t="n"/>
      <c r="R1226" s="252" t="n"/>
      <c r="S1226" s="244">
        <f>Q1226*R1226</f>
        <v/>
      </c>
    </row>
    <row r="1227" ht="22.2" customHeight="1" s="330">
      <c r="A1227" s="4" t="n"/>
      <c r="E1227" s="4" t="n"/>
      <c r="G1227" s="252" t="n"/>
      <c r="H1227" s="249" t="inlineStr">
        <is>
          <t> </t>
        </is>
      </c>
      <c r="I1227" s="252" t="n"/>
      <c r="J1227" s="252" t="n"/>
      <c r="K1227" s="331" t="n"/>
      <c r="L1227" s="252" t="n"/>
      <c r="M1227" s="252" t="n"/>
      <c r="N1227" s="252" t="n"/>
      <c r="O1227" s="244">
        <f>M1227*N1227</f>
        <v/>
      </c>
      <c r="P1227" s="252" t="n"/>
      <c r="Q1227" s="252" t="n"/>
      <c r="R1227" s="252" t="n"/>
      <c r="S1227" s="244">
        <f>Q1227*R1227</f>
        <v/>
      </c>
    </row>
    <row r="1228" ht="22.2" customHeight="1" s="330">
      <c r="A1228" s="4" t="n"/>
      <c r="E1228" s="4" t="n"/>
      <c r="F1228" s="4" t="n"/>
      <c r="G1228" s="278" t="n"/>
      <c r="H1228" s="301" t="n"/>
      <c r="I1228" s="276" t="n"/>
      <c r="J1228" s="276" t="n"/>
      <c r="K1228" s="476" t="n"/>
      <c r="L1228" s="276" t="n"/>
      <c r="M1228" s="276" t="n"/>
      <c r="N1228" s="276" t="n"/>
      <c r="O1228" s="244">
        <f>M1228*N1228</f>
        <v/>
      </c>
      <c r="P1228" s="276" t="n"/>
      <c r="Q1228" s="276" t="n"/>
      <c r="R1228" s="276" t="n"/>
      <c r="S1228" s="244">
        <f>Q1228*R1228</f>
        <v/>
      </c>
    </row>
    <row r="1229" ht="22.2" customHeight="1" s="330">
      <c r="A1229" s="4" t="n"/>
      <c r="E1229" s="4" t="n"/>
      <c r="F1229" s="4" t="n"/>
      <c r="G1229" s="17" t="inlineStr">
        <is>
          <t>รวมขั่วโมงที่สอนแยก ภาระงาน/ เกินภาระงาน</t>
        </is>
      </c>
      <c r="H1229" s="467" t="n"/>
      <c r="I1229" s="467" t="n"/>
      <c r="J1229" s="467" t="n"/>
      <c r="K1229" s="362" t="n"/>
      <c r="L1229" s="17">
        <f>SUM(L1204:L1228)</f>
        <v/>
      </c>
      <c r="M1229" s="17">
        <f>SUM(M1204:M1228)</f>
        <v/>
      </c>
      <c r="N1229" s="17" t="n"/>
      <c r="O1229" s="17" t="n"/>
      <c r="P1229" s="17">
        <f>SUM(P1204:P1228)</f>
        <v/>
      </c>
      <c r="Q1229" s="17">
        <f>SUM(Q1204:Q1228)</f>
        <v/>
      </c>
      <c r="R1229" s="279" t="n"/>
      <c r="S1229" s="17" t="n"/>
    </row>
    <row r="1230" ht="22.2" customHeight="1" s="330">
      <c r="A1230" s="4" t="n"/>
      <c r="E1230" s="4" t="n"/>
      <c r="F1230" s="4" t="n"/>
      <c r="G1230" s="17" t="inlineStr">
        <is>
          <t>รวมจำนวนชั่วโมงสอนคาบต่อสับดาห์</t>
        </is>
      </c>
      <c r="H1230" s="467" t="n"/>
      <c r="I1230" s="467" t="n"/>
      <c r="J1230" s="467" t="n"/>
      <c r="K1230" s="362" t="n"/>
      <c r="L1230" s="17">
        <f>L1229+M1229</f>
        <v/>
      </c>
      <c r="M1230" s="362" t="n"/>
      <c r="N1230" s="298" t="n"/>
      <c r="O1230" s="17" t="n"/>
      <c r="P1230" s="17">
        <f>P1229+Q1229</f>
        <v/>
      </c>
      <c r="Q1230" s="362" t="n"/>
      <c r="R1230" s="278" t="n"/>
      <c r="S1230" s="276" t="n"/>
    </row>
    <row r="1231" ht="22.2" customHeight="1" s="330">
      <c r="A1231" s="4" t="n"/>
      <c r="E1231" s="4" t="n"/>
      <c r="F1231" s="4" t="n"/>
      <c r="G1231" s="17" t="inlineStr">
        <is>
          <t>จำนวนชั่วโมงสอนตามภาระงานสอน</t>
        </is>
      </c>
      <c r="H1231" s="467" t="n"/>
      <c r="I1231" s="467" t="n"/>
      <c r="J1231" s="467" t="n"/>
      <c r="K1231" s="362" t="n"/>
      <c r="L1231" s="252" t="n">
        <v>18</v>
      </c>
      <c r="M1231" s="252" t="inlineStr">
        <is>
          <t>ปวช.</t>
        </is>
      </c>
      <c r="N1231" s="252" t="n"/>
      <c r="O1231" s="252" t="n"/>
      <c r="P1231" s="252" t="n"/>
      <c r="Q1231" s="252" t="inlineStr">
        <is>
          <t>ปวส.</t>
        </is>
      </c>
      <c r="R1231" s="249" t="n"/>
      <c r="S1231" s="252" t="n"/>
    </row>
    <row r="1232" ht="22.2" customHeight="1" s="330" thickBot="1">
      <c r="A1232" s="4" t="n"/>
      <c r="E1232" s="4" t="n"/>
      <c r="F1232" s="15" t="n"/>
      <c r="G1232" s="17" t="inlineStr">
        <is>
          <t>จำนวนชั่วโมงบิกเกินภาระงานสอน/ค่าสอน</t>
        </is>
      </c>
      <c r="H1232" s="467" t="n"/>
      <c r="I1232" s="467" t="n"/>
      <c r="J1232" s="467" t="n"/>
      <c r="K1232" s="362" t="n"/>
      <c r="L1232" s="18" t="n">
        <v>0</v>
      </c>
      <c r="M1232" s="18">
        <f>SUM(M1204:M1228)</f>
        <v/>
      </c>
      <c r="N1232" s="18" t="n"/>
      <c r="O1232" s="18">
        <f>SUM(O1204:O1228)</f>
        <v/>
      </c>
      <c r="P1232" s="18" t="n">
        <v>0</v>
      </c>
      <c r="Q1232" s="18">
        <f>SUM(Q1204:Q1228)</f>
        <v/>
      </c>
      <c r="R1232" s="19" t="n"/>
      <c r="S1232" s="18">
        <f>SUM(S1204:S1228)</f>
        <v/>
      </c>
    </row>
    <row r="1233" ht="22.2" customHeight="1" s="330" thickTop="1">
      <c r="A1233" s="299" t="inlineStr">
        <is>
          <t>รวมจำนวนหน่วยชั่วโมงที่ขอเบิกค่าสอน ….</t>
        </is>
      </c>
      <c r="B1233" s="467" t="n"/>
      <c r="C1233" s="467" t="n"/>
      <c r="D1233" s="467" t="n"/>
      <c r="E1233" s="467" t="n"/>
      <c r="F1233" s="467" t="n"/>
      <c r="G1233" s="467" t="n"/>
      <c r="H1233" s="298">
        <f>M1232+Q1232</f>
        <v/>
      </c>
      <c r="I1233" s="298" t="inlineStr">
        <is>
          <t>….ชั่วโมง</t>
        </is>
      </c>
      <c r="J1233" s="298" t="n"/>
      <c r="K1233" s="301" t="inlineStr">
        <is>
          <t>ยอดเงินรวม</t>
        </is>
      </c>
      <c r="L1233" s="471" t="n"/>
      <c r="M1233" s="471" t="n"/>
      <c r="N1233" s="301" t="n"/>
      <c r="O1233" s="301" t="n"/>
      <c r="P1233" s="302">
        <f>S1232+O1232</f>
        <v/>
      </c>
      <c r="Q1233" s="482" t="n"/>
      <c r="R1233" s="21" t="n"/>
      <c r="S1233" s="20" t="inlineStr">
        <is>
          <t>..บาท</t>
        </is>
      </c>
    </row>
    <row r="1234" ht="22.2" customHeight="1" s="330">
      <c r="A1234" s="207" t="inlineStr">
        <is>
          <t>ผู้ขอเบิก</t>
        </is>
      </c>
      <c r="B1234" s="334" t="n"/>
      <c r="C1234" s="334" t="n"/>
      <c r="D1234" s="334" t="n"/>
      <c r="E1234" s="334" t="n"/>
      <c r="F1234" s="334" t="n"/>
      <c r="G1234" s="335" t="n"/>
      <c r="H1234" s="207" t="inlineStr">
        <is>
          <t>ผู้รับรอง</t>
        </is>
      </c>
      <c r="I1234" s="334" t="n"/>
      <c r="J1234" s="334" t="n"/>
      <c r="K1234" s="334" t="n"/>
      <c r="L1234" s="335" t="n"/>
      <c r="M1234" s="207" t="inlineStr">
        <is>
          <t>ผู้ตรวจ</t>
        </is>
      </c>
      <c r="N1234" s="334" t="n"/>
      <c r="O1234" s="334" t="n"/>
      <c r="P1234" s="334" t="n"/>
      <c r="Q1234" s="334" t="n"/>
      <c r="R1234" s="334" t="n"/>
      <c r="S1234" s="335" t="n"/>
    </row>
    <row r="1235" ht="22.2" customHeight="1" s="330">
      <c r="A1235" s="252" t="inlineStr">
        <is>
          <t>ลงชื่อ……………………………………………</t>
        </is>
      </c>
      <c r="G1235" s="331" t="n"/>
      <c r="H1235" s="252" t="inlineStr">
        <is>
          <t>ลงชื่อ……………………………………………</t>
        </is>
      </c>
      <c r="L1235" s="331" t="n"/>
      <c r="M1235" s="252" t="inlineStr">
        <is>
          <t>ลงชื่อ……………………………………………</t>
        </is>
      </c>
      <c r="S1235" s="331" t="n"/>
    </row>
    <row r="1236" ht="22.2" customHeight="1" s="330">
      <c r="A1236" s="12" t="inlineStr">
        <is>
          <t>(</t>
        </is>
      </c>
      <c r="B1236" s="309">
        <f>AB27</f>
        <v/>
      </c>
      <c r="G1236" s="310" t="inlineStr">
        <is>
          <t>)</t>
        </is>
      </c>
      <c r="H1236" s="309" t="inlineStr">
        <is>
          <t>(</t>
        </is>
      </c>
      <c r="I1236" s="314" t="inlineStr">
        <is>
          <t>นายไพรัช  อินทุรัตน์</t>
        </is>
      </c>
      <c r="L1236" s="13" t="inlineStr">
        <is>
          <t>)</t>
        </is>
      </c>
      <c r="M1236" s="61" t="inlineStr">
        <is>
          <t>(</t>
        </is>
      </c>
      <c r="N1236" s="61" t="n"/>
      <c r="O1236" s="309" t="inlineStr">
        <is>
          <t>นายพิสุทธิศักดิ์  กล่อมนาค</t>
        </is>
      </c>
      <c r="R1236" s="29" t="n"/>
      <c r="S1236" s="310" t="inlineStr">
        <is>
          <t>)</t>
        </is>
      </c>
    </row>
    <row r="1237" ht="22.2" customHeight="1" s="330">
      <c r="A1237" s="483" t="inlineStr">
        <is>
          <t xml:space="preserve">                 ตำแหน่ง  ครูพิเศษ</t>
        </is>
      </c>
      <c r="G1237" s="331" t="n"/>
      <c r="H1237" s="62" t="inlineStr">
        <is>
          <t>ตำแหน่ง หัวหน้าแผนก</t>
        </is>
      </c>
      <c r="L1237" s="331" t="n"/>
      <c r="M1237" s="62" t="inlineStr">
        <is>
          <t>ตำแหน่ง   ผู้ตรวจสอบ</t>
        </is>
      </c>
      <c r="S1237" s="331" t="n"/>
    </row>
    <row r="1238" ht="22.2" customHeight="1" s="330">
      <c r="A1238" s="63">
        <f>A41</f>
        <v/>
      </c>
      <c r="B1238" s="471" t="n"/>
      <c r="C1238" s="471" t="n"/>
      <c r="D1238" s="471" t="n"/>
      <c r="E1238" s="471" t="n"/>
      <c r="F1238" s="471" t="n"/>
      <c r="G1238" s="476" t="n"/>
      <c r="H1238" s="62">
        <f>A41</f>
        <v/>
      </c>
      <c r="L1238" s="331" t="n"/>
      <c r="M1238" s="63">
        <f>A41</f>
        <v/>
      </c>
      <c r="N1238" s="471" t="n"/>
      <c r="O1238" s="471" t="n"/>
      <c r="P1238" s="471" t="n"/>
      <c r="Q1238" s="471" t="n"/>
      <c r="R1238" s="471" t="n"/>
      <c r="S1238" s="476" t="n"/>
    </row>
    <row r="1239" ht="22.2" customHeight="1" s="330">
      <c r="A1239" s="207" t="inlineStr">
        <is>
          <t>ผู้ตรวจ</t>
        </is>
      </c>
      <c r="B1239" s="334" t="n"/>
      <c r="C1239" s="334" t="n"/>
      <c r="D1239" s="334" t="n"/>
      <c r="E1239" s="334" t="n"/>
      <c r="F1239" s="334" t="n"/>
      <c r="G1239" s="334" t="n"/>
      <c r="H1239" s="334" t="n"/>
      <c r="I1239" s="335" t="n"/>
      <c r="J1239" s="207" t="inlineStr">
        <is>
          <t>ผู้เห็นชอบ</t>
        </is>
      </c>
      <c r="K1239" s="334" t="n"/>
      <c r="L1239" s="334" t="n"/>
      <c r="M1239" s="334" t="n"/>
      <c r="N1239" s="334" t="n"/>
      <c r="O1239" s="334" t="n"/>
      <c r="P1239" s="334" t="n"/>
      <c r="Q1239" s="334" t="n"/>
      <c r="R1239" s="334" t="n"/>
      <c r="S1239" s="335" t="n"/>
    </row>
    <row r="1240" ht="22.2" customHeight="1" s="330">
      <c r="A1240" s="252" t="inlineStr">
        <is>
          <t>ลงชื่อ……………………………………………</t>
        </is>
      </c>
      <c r="I1240" s="331" t="n"/>
      <c r="J1240" s="252" t="inlineStr">
        <is>
          <t>ลงชื่อ……………………………………………</t>
        </is>
      </c>
      <c r="S1240" s="331" t="n"/>
    </row>
    <row r="1241" ht="22.2" customHeight="1" s="330">
      <c r="A1241" s="12" t="n"/>
      <c r="B1241" s="309" t="inlineStr">
        <is>
          <t xml:space="preserve">          (นางศิวรักษ์   บุญประเสริฐ)</t>
        </is>
      </c>
      <c r="I1241" s="310" t="n"/>
      <c r="J1241" s="29" t="n"/>
      <c r="K1241" s="29" t="n"/>
      <c r="L1241" s="309" t="inlineStr">
        <is>
          <t>(นายปรีชา  โพธิ์เกิด)</t>
        </is>
      </c>
      <c r="R1241" s="29" t="n"/>
      <c r="S1241" s="13" t="n"/>
    </row>
    <row r="1242" ht="22.2" customHeight="1" s="330">
      <c r="A1242" s="62" t="inlineStr">
        <is>
          <t>ตำแหน่งครู  หัวหน้างานพัฒนาหลักสูตร ฯ</t>
        </is>
      </c>
      <c r="I1242" s="331" t="n"/>
      <c r="J1242" s="62" t="inlineStr">
        <is>
          <t>ตำแหน่ง  รองผู้อำนวยการฝ่ายวิชาการ</t>
        </is>
      </c>
      <c r="S1242" s="331" t="n"/>
    </row>
    <row r="1243" ht="22.2" customHeight="1" s="330">
      <c r="A1243" s="63">
        <f>A41</f>
        <v/>
      </c>
      <c r="B1243" s="471" t="n"/>
      <c r="C1243" s="471" t="n"/>
      <c r="D1243" s="471" t="n"/>
      <c r="E1243" s="471" t="n"/>
      <c r="F1243" s="471" t="n"/>
      <c r="G1243" s="471" t="n"/>
      <c r="H1243" s="471" t="n"/>
      <c r="I1243" s="476" t="n"/>
      <c r="J1243" s="63">
        <f>A41</f>
        <v/>
      </c>
      <c r="K1243" s="471" t="n"/>
      <c r="L1243" s="471" t="n"/>
      <c r="M1243" s="471" t="n"/>
      <c r="N1243" s="471" t="n"/>
      <c r="O1243" s="471" t="n"/>
      <c r="P1243" s="471" t="n"/>
      <c r="Q1243" s="471" t="n"/>
      <c r="R1243" s="471" t="n"/>
      <c r="S1243" s="476" t="n"/>
    </row>
  </sheetData>
  <mergeCells count="2170">
    <mergeCell ref="H451:L451"/>
    <mergeCell ref="H961:L961"/>
    <mergeCell ref="P496:Q496"/>
    <mergeCell ref="J933:K933"/>
    <mergeCell ref="M221:S221"/>
    <mergeCell ref="AH27:AJ27"/>
    <mergeCell ref="J288:K288"/>
    <mergeCell ref="J207:K207"/>
    <mergeCell ref="L263:M263"/>
    <mergeCell ref="B1005:F1005"/>
    <mergeCell ref="J5:K6"/>
    <mergeCell ref="J824:S824"/>
    <mergeCell ref="B734:H734"/>
    <mergeCell ref="J1147:S1147"/>
    <mergeCell ref="J934:K934"/>
    <mergeCell ref="J928:K928"/>
    <mergeCell ref="J805:K805"/>
    <mergeCell ref="AH22:AJ22"/>
    <mergeCell ref="J963:S963"/>
    <mergeCell ref="H593:L593"/>
    <mergeCell ref="N785:O785"/>
    <mergeCell ref="O269:Q269"/>
    <mergeCell ref="A776:G776"/>
    <mergeCell ref="K1233:M1233"/>
    <mergeCell ref="B882:D882"/>
    <mergeCell ref="G492:K492"/>
    <mergeCell ref="J347:K347"/>
    <mergeCell ref="P1183:Q1183"/>
    <mergeCell ref="K1048:M1048"/>
    <mergeCell ref="A963:I963"/>
    <mergeCell ref="A1199:C1199"/>
    <mergeCell ref="J349:K349"/>
    <mergeCell ref="P511:Q511"/>
    <mergeCell ref="J981:K981"/>
    <mergeCell ref="L412:Q412"/>
    <mergeCell ref="J518:K518"/>
    <mergeCell ref="H911:L911"/>
    <mergeCell ref="P542:Q542"/>
    <mergeCell ref="J947:K947"/>
    <mergeCell ref="L741:M741"/>
    <mergeCell ref="A83:G83"/>
    <mergeCell ref="J344:K344"/>
    <mergeCell ref="J520:K520"/>
    <mergeCell ref="A186:S186"/>
    <mergeCell ref="J976:K976"/>
    <mergeCell ref="J375:K375"/>
    <mergeCell ref="G539:K539"/>
    <mergeCell ref="B1051:F1051"/>
    <mergeCell ref="P141:Q141"/>
    <mergeCell ref="J1193:S1193"/>
    <mergeCell ref="J246:K246"/>
    <mergeCell ref="J459:S459"/>
    <mergeCell ref="J675:K675"/>
    <mergeCell ref="I453:K453"/>
    <mergeCell ref="J973:K973"/>
    <mergeCell ref="P1202:Q1202"/>
    <mergeCell ref="P143:Q143"/>
    <mergeCell ref="J248:K248"/>
    <mergeCell ref="A45:I45"/>
    <mergeCell ref="J975:K975"/>
    <mergeCell ref="L1092:M1092"/>
    <mergeCell ref="J1029:K1029"/>
    <mergeCell ref="L642:Q642"/>
    <mergeCell ref="M914:S914"/>
    <mergeCell ref="B606:D606"/>
    <mergeCell ref="M313:S313"/>
    <mergeCell ref="O683:Q683"/>
    <mergeCell ref="A1190:G1190"/>
    <mergeCell ref="F925:G925"/>
    <mergeCell ref="H1003:L1003"/>
    <mergeCell ref="M911:S911"/>
    <mergeCell ref="J747:K747"/>
    <mergeCell ref="H787:H788"/>
    <mergeCell ref="J180:S180"/>
    <mergeCell ref="J1176:K1176"/>
    <mergeCell ref="J292:K292"/>
    <mergeCell ref="J286:K286"/>
    <mergeCell ref="J302:K302"/>
    <mergeCell ref="N877:O877"/>
    <mergeCell ref="A732:I732"/>
    <mergeCell ref="A275:I275"/>
    <mergeCell ref="B550:H550"/>
    <mergeCell ref="J287:K287"/>
    <mergeCell ref="I499:K499"/>
    <mergeCell ref="J1073:K1073"/>
    <mergeCell ref="J14:K14"/>
    <mergeCell ref="J610:K610"/>
    <mergeCell ref="AH9:AJ9"/>
    <mergeCell ref="AE8:AG8"/>
    <mergeCell ref="I223:K223"/>
    <mergeCell ref="J13:K13"/>
    <mergeCell ref="A450:G450"/>
    <mergeCell ref="J1075:K1075"/>
    <mergeCell ref="J618:K618"/>
    <mergeCell ref="J1202:K1203"/>
    <mergeCell ref="AE10:AG10"/>
    <mergeCell ref="AH11:AJ11"/>
    <mergeCell ref="J15:K15"/>
    <mergeCell ref="J1068:K1068"/>
    <mergeCell ref="G494:K494"/>
    <mergeCell ref="H129:L129"/>
    <mergeCell ref="M1003:S1003"/>
    <mergeCell ref="A589:G589"/>
    <mergeCell ref="J51:K52"/>
    <mergeCell ref="B695:D695"/>
    <mergeCell ref="G34:K34"/>
    <mergeCell ref="L1045:M1045"/>
    <mergeCell ref="H727:L727"/>
    <mergeCell ref="A962:I962"/>
    <mergeCell ref="A501:G501"/>
    <mergeCell ref="A279:C279"/>
    <mergeCell ref="F509:G509"/>
    <mergeCell ref="J974:K974"/>
    <mergeCell ref="J1215:K1215"/>
    <mergeCell ref="P264:Q264"/>
    <mergeCell ref="A592:G592"/>
    <mergeCell ref="B315:F315"/>
    <mergeCell ref="AE21:AG21"/>
    <mergeCell ref="L1061:M1061"/>
    <mergeCell ref="J244:K244"/>
    <mergeCell ref="J1119:K1119"/>
    <mergeCell ref="J700:K700"/>
    <mergeCell ref="A690:I690"/>
    <mergeCell ref="AE23:AG23"/>
    <mergeCell ref="L1063:M1063"/>
    <mergeCell ref="O591:Q591"/>
    <mergeCell ref="L3:M3"/>
    <mergeCell ref="A1060:S1060"/>
    <mergeCell ref="J272:S272"/>
    <mergeCell ref="A819:G819"/>
    <mergeCell ref="L5:M5"/>
    <mergeCell ref="P1015:Q1015"/>
    <mergeCell ref="B281:D281"/>
    <mergeCell ref="A599:S599"/>
    <mergeCell ref="H55:K55"/>
    <mergeCell ref="K358:M358"/>
    <mergeCell ref="J384:K384"/>
    <mergeCell ref="M129:S129"/>
    <mergeCell ref="A87:G87"/>
    <mergeCell ref="P125:Q125"/>
    <mergeCell ref="J989:K989"/>
    <mergeCell ref="J255:K255"/>
    <mergeCell ref="M638:S638"/>
    <mergeCell ref="K956:M956"/>
    <mergeCell ref="B913:F913"/>
    <mergeCell ref="H684:L684"/>
    <mergeCell ref="B642:H642"/>
    <mergeCell ref="J982:K982"/>
    <mergeCell ref="J842:K842"/>
    <mergeCell ref="M727:S727"/>
    <mergeCell ref="J713:K713"/>
    <mergeCell ref="G217:K217"/>
    <mergeCell ref="J511:K512"/>
    <mergeCell ref="J110:K110"/>
    <mergeCell ref="H1098:L1098"/>
    <mergeCell ref="H501:L501"/>
    <mergeCell ref="J715:K715"/>
    <mergeCell ref="M1238:S1238"/>
    <mergeCell ref="L356:M356"/>
    <mergeCell ref="H38:L38"/>
    <mergeCell ref="A961:G961"/>
    <mergeCell ref="A542:G542"/>
    <mergeCell ref="Z27:AA27"/>
    <mergeCell ref="B790:D790"/>
    <mergeCell ref="G400:K400"/>
    <mergeCell ref="H40:L40"/>
    <mergeCell ref="J1069:K1069"/>
    <mergeCell ref="A544:G544"/>
    <mergeCell ref="J99:K99"/>
    <mergeCell ref="G402:K402"/>
    <mergeCell ref="J397:K397"/>
    <mergeCell ref="A1107:C1107"/>
    <mergeCell ref="A414:I414"/>
    <mergeCell ref="J1071:K1071"/>
    <mergeCell ref="P1233:Q1233"/>
    <mergeCell ref="Z22:AA22"/>
    <mergeCell ref="AE6:AG6"/>
    <mergeCell ref="J101:K101"/>
    <mergeCell ref="J1160:K1160"/>
    <mergeCell ref="A1054:I1054"/>
    <mergeCell ref="J100:K100"/>
    <mergeCell ref="B872:H872"/>
    <mergeCell ref="F601:G601"/>
    <mergeCell ref="J1066:K1066"/>
    <mergeCell ref="A1055:I1055"/>
    <mergeCell ref="G32:K32"/>
    <mergeCell ref="J1101:S1101"/>
    <mergeCell ref="M37:S37"/>
    <mergeCell ref="H97:H98"/>
    <mergeCell ref="O407:Q407"/>
    <mergeCell ref="J29:K29"/>
    <mergeCell ref="J1082:K1082"/>
    <mergeCell ref="P51:Q51"/>
    <mergeCell ref="A588:G588"/>
    <mergeCell ref="G630:K630"/>
    <mergeCell ref="J1213:K1213"/>
    <mergeCell ref="M1098:S1098"/>
    <mergeCell ref="AE17:AG17"/>
    <mergeCell ref="P954:Q954"/>
    <mergeCell ref="M38:S38"/>
    <mergeCell ref="J1084:K1084"/>
    <mergeCell ref="J329:K329"/>
    <mergeCell ref="G632:K632"/>
    <mergeCell ref="J627:K627"/>
    <mergeCell ref="P649:Q649"/>
    <mergeCell ref="AE19:AG19"/>
    <mergeCell ref="J481:K481"/>
    <mergeCell ref="J552:S552"/>
    <mergeCell ref="M1004:S1004"/>
    <mergeCell ref="J24:K24"/>
    <mergeCell ref="J1208:K1208"/>
    <mergeCell ref="P680:Q680"/>
    <mergeCell ref="L1183:M1183"/>
    <mergeCell ref="J1085:K1085"/>
    <mergeCell ref="J26:K26"/>
    <mergeCell ref="L126:M126"/>
    <mergeCell ref="N601:O601"/>
    <mergeCell ref="A43:I43"/>
    <mergeCell ref="J482:K482"/>
    <mergeCell ref="P1094:Q1094"/>
    <mergeCell ref="A914:G914"/>
    <mergeCell ref="B1189:F1189"/>
    <mergeCell ref="J813:K813"/>
    <mergeCell ref="I591:K591"/>
    <mergeCell ref="J807:K807"/>
    <mergeCell ref="J1111:K1111"/>
    <mergeCell ref="J350:K350"/>
    <mergeCell ref="J386:K386"/>
    <mergeCell ref="A738:S738"/>
    <mergeCell ref="J352:K352"/>
    <mergeCell ref="J711:K711"/>
    <mergeCell ref="I407:K407"/>
    <mergeCell ref="L1202:M1202"/>
    <mergeCell ref="L780:Q780"/>
    <mergeCell ref="P693:Q693"/>
    <mergeCell ref="B419:D419"/>
    <mergeCell ref="K680:M680"/>
    <mergeCell ref="M451:S451"/>
    <mergeCell ref="A1003:G1003"/>
    <mergeCell ref="P726:Q726"/>
    <mergeCell ref="P263:Q263"/>
    <mergeCell ref="J70:K70"/>
    <mergeCell ref="J235:K236"/>
    <mergeCell ref="K1094:M1094"/>
    <mergeCell ref="J63:K63"/>
    <mergeCell ref="H925:H926"/>
    <mergeCell ref="AB49:AD49"/>
    <mergeCell ref="J422:K422"/>
    <mergeCell ref="J1166:K1166"/>
    <mergeCell ref="J851:K851"/>
    <mergeCell ref="J833:K834"/>
    <mergeCell ref="B743:D743"/>
    <mergeCell ref="J424:K424"/>
    <mergeCell ref="H823:L823"/>
    <mergeCell ref="J1037:K1037"/>
    <mergeCell ref="L1230:M1230"/>
    <mergeCell ref="J853:K853"/>
    <mergeCell ref="AB50:AD50"/>
    <mergeCell ref="O499:Q499"/>
    <mergeCell ref="A870:I870"/>
    <mergeCell ref="G1185:K1185"/>
    <mergeCell ref="Z9:AA9"/>
    <mergeCell ref="A784:S784"/>
    <mergeCell ref="H362:L362"/>
    <mergeCell ref="P1046:Q1046"/>
    <mergeCell ref="I637:K637"/>
    <mergeCell ref="Z11:AA11"/>
    <mergeCell ref="J421:K421"/>
    <mergeCell ref="G724:K724"/>
    <mergeCell ref="J579:K579"/>
    <mergeCell ref="P923:Q923"/>
    <mergeCell ref="J755:K755"/>
    <mergeCell ref="B223:F223"/>
    <mergeCell ref="J152:K152"/>
    <mergeCell ref="J748:K748"/>
    <mergeCell ref="J1177:K1177"/>
    <mergeCell ref="A135:I135"/>
    <mergeCell ref="J750:K750"/>
    <mergeCell ref="J1100:S1100"/>
    <mergeCell ref="J1204:K1204"/>
    <mergeCell ref="J1179:K1179"/>
    <mergeCell ref="J147:K147"/>
    <mergeCell ref="O131:Q131"/>
    <mergeCell ref="A727:G727"/>
    <mergeCell ref="H409:L409"/>
    <mergeCell ref="P678:Q678"/>
    <mergeCell ref="H235:H236"/>
    <mergeCell ref="O729:Q729"/>
    <mergeCell ref="J468:K468"/>
    <mergeCell ref="P373:Q373"/>
    <mergeCell ref="A417:C417"/>
    <mergeCell ref="P33:Q33"/>
    <mergeCell ref="L511:M511"/>
    <mergeCell ref="H1049:L1049"/>
    <mergeCell ref="J163:K163"/>
    <mergeCell ref="M823:S823"/>
    <mergeCell ref="J294:K294"/>
    <mergeCell ref="A1238:G1238"/>
    <mergeCell ref="J365:S365"/>
    <mergeCell ref="J890:K890"/>
    <mergeCell ref="A364:I364"/>
    <mergeCell ref="J165:K165"/>
    <mergeCell ref="A1239:I1239"/>
    <mergeCell ref="J382:K382"/>
    <mergeCell ref="L872:Q872"/>
    <mergeCell ref="J892:K892"/>
    <mergeCell ref="J811:K811"/>
    <mergeCell ref="AB2:AD2"/>
    <mergeCell ref="J77:K77"/>
    <mergeCell ref="J348:K348"/>
    <mergeCell ref="J1223:K1223"/>
    <mergeCell ref="L264:M264"/>
    <mergeCell ref="A1240:I1240"/>
    <mergeCell ref="A181:I181"/>
    <mergeCell ref="M820:S820"/>
    <mergeCell ref="L141:M141"/>
    <mergeCell ref="J522:K522"/>
    <mergeCell ref="J735:S735"/>
    <mergeCell ref="A505:I505"/>
    <mergeCell ref="J524:K524"/>
    <mergeCell ref="M409:S409"/>
    <mergeCell ref="B780:H780"/>
    <mergeCell ref="J61:K61"/>
    <mergeCell ref="A876:S876"/>
    <mergeCell ref="H175:L175"/>
    <mergeCell ref="A1098:G1098"/>
    <mergeCell ref="M1049:S1049"/>
    <mergeCell ref="J1122:K1122"/>
    <mergeCell ref="L125:M125"/>
    <mergeCell ref="B741:D741"/>
    <mergeCell ref="P831:Q831"/>
    <mergeCell ref="A38:G38"/>
    <mergeCell ref="J519:K519"/>
    <mergeCell ref="AB48:AD48"/>
    <mergeCell ref="P404:Q404"/>
    <mergeCell ref="H176:L176"/>
    <mergeCell ref="Z7:AA7"/>
    <mergeCell ref="A40:G40"/>
    <mergeCell ref="A680:G680"/>
    <mergeCell ref="G538:K538"/>
    <mergeCell ref="J1192:S1192"/>
    <mergeCell ref="J664:K664"/>
    <mergeCell ref="H178:L178"/>
    <mergeCell ref="L310:M310"/>
    <mergeCell ref="J237:K237"/>
    <mergeCell ref="G540:K540"/>
    <mergeCell ref="Z8:AA8"/>
    <mergeCell ref="J535:K535"/>
    <mergeCell ref="J1173:K1173"/>
    <mergeCell ref="Z2:AA2"/>
    <mergeCell ref="G1136:K1136"/>
    <mergeCell ref="F141:G141"/>
    <mergeCell ref="P1045:Q1045"/>
    <mergeCell ref="A736:I736"/>
    <mergeCell ref="J239:K239"/>
    <mergeCell ref="J537:K537"/>
    <mergeCell ref="J1175:K1175"/>
    <mergeCell ref="J118:K118"/>
    <mergeCell ref="A1192:I1192"/>
    <mergeCell ref="O637:Q637"/>
    <mergeCell ref="F739:G739"/>
    <mergeCell ref="A1106:S1106"/>
    <mergeCell ref="I775:K775"/>
    <mergeCell ref="F741:G741"/>
    <mergeCell ref="P1061:Q1061"/>
    <mergeCell ref="F1153:G1153"/>
    <mergeCell ref="M175:S175"/>
    <mergeCell ref="J563:K563"/>
    <mergeCell ref="J167:K167"/>
    <mergeCell ref="G768:K768"/>
    <mergeCell ref="A726:G726"/>
    <mergeCell ref="J894:K894"/>
    <mergeCell ref="J932:K932"/>
    <mergeCell ref="J888:K888"/>
    <mergeCell ref="H133:L133"/>
    <mergeCell ref="M176:S176"/>
    <mergeCell ref="G770:K770"/>
    <mergeCell ref="P787:Q787"/>
    <mergeCell ref="J690:S690"/>
    <mergeCell ref="J162:K162"/>
    <mergeCell ref="L51:M51"/>
    <mergeCell ref="H547:L547"/>
    <mergeCell ref="AH13:AJ13"/>
    <mergeCell ref="P818:Q818"/>
    <mergeCell ref="L954:M954"/>
    <mergeCell ref="J164:K164"/>
    <mergeCell ref="H1109:H1110"/>
    <mergeCell ref="A739:C739"/>
    <mergeCell ref="G909:K909"/>
    <mergeCell ref="B836:D836"/>
    <mergeCell ref="P171:Q171"/>
    <mergeCell ref="L649:M649"/>
    <mergeCell ref="J616:K616"/>
    <mergeCell ref="F785:G785"/>
    <mergeCell ref="K1186:M1186"/>
    <mergeCell ref="J372:S372"/>
    <mergeCell ref="J487:K487"/>
    <mergeCell ref="A1052:G1052"/>
    <mergeCell ref="AH8:AJ8"/>
    <mergeCell ref="H1191:L1191"/>
    <mergeCell ref="AB16:AD16"/>
    <mergeCell ref="J1214:K1214"/>
    <mergeCell ref="J410:S410"/>
    <mergeCell ref="AH10:AJ10"/>
    <mergeCell ref="AB9:AD9"/>
    <mergeCell ref="J609:K609"/>
    <mergeCell ref="J945:K945"/>
    <mergeCell ref="J146:K146"/>
    <mergeCell ref="G449:K449"/>
    <mergeCell ref="J488:K488"/>
    <mergeCell ref="A503:I503"/>
    <mergeCell ref="J1008:S1008"/>
    <mergeCell ref="AB11:AD11"/>
    <mergeCell ref="J515:K515"/>
    <mergeCell ref="J92:S92"/>
    <mergeCell ref="I545:K545"/>
    <mergeCell ref="B557:D557"/>
    <mergeCell ref="J331:K331"/>
    <mergeCell ref="I1143:K1143"/>
    <mergeCell ref="J629:K629"/>
    <mergeCell ref="AH28:AJ28"/>
    <mergeCell ref="P97:Q97"/>
    <mergeCell ref="P401:Q401"/>
    <mergeCell ref="J736:S736"/>
    <mergeCell ref="J208:K208"/>
    <mergeCell ref="G79:K79"/>
    <mergeCell ref="J373:K374"/>
    <mergeCell ref="M547:S547"/>
    <mergeCell ref="AH21:AJ21"/>
    <mergeCell ref="J89:S89"/>
    <mergeCell ref="L693:M693"/>
    <mergeCell ref="J201:K201"/>
    <mergeCell ref="A823:G823"/>
    <mergeCell ref="AH23:AJ23"/>
    <mergeCell ref="O39:Q39"/>
    <mergeCell ref="A179:G179"/>
    <mergeCell ref="J971:K972"/>
    <mergeCell ref="L596:Q596"/>
    <mergeCell ref="J203:K203"/>
    <mergeCell ref="B881:D881"/>
    <mergeCell ref="K174:M174"/>
    <mergeCell ref="A89:I89"/>
    <mergeCell ref="H1202:H1203"/>
    <mergeCell ref="J259:K259"/>
    <mergeCell ref="A818:G818"/>
    <mergeCell ref="H957:L957"/>
    <mergeCell ref="H500:L500"/>
    <mergeCell ref="B458:H458"/>
    <mergeCell ref="P1184:Q1184"/>
    <mergeCell ref="J261:K261"/>
    <mergeCell ref="H741:H742"/>
    <mergeCell ref="J559:K559"/>
    <mergeCell ref="A820:G820"/>
    <mergeCell ref="G862:K862"/>
    <mergeCell ref="F5:G5"/>
    <mergeCell ref="J254:K254"/>
    <mergeCell ref="M270:S270"/>
    <mergeCell ref="J561:K561"/>
    <mergeCell ref="J859:K859"/>
    <mergeCell ref="P126:Q126"/>
    <mergeCell ref="J256:K256"/>
    <mergeCell ref="A229:I229"/>
    <mergeCell ref="F877:G877"/>
    <mergeCell ref="A409:G409"/>
    <mergeCell ref="J502:S502"/>
    <mergeCell ref="M497:S497"/>
    <mergeCell ref="P816:Q816"/>
    <mergeCell ref="H373:H374"/>
    <mergeCell ref="A404:G404"/>
    <mergeCell ref="H1187:L1187"/>
    <mergeCell ref="G906:K906"/>
    <mergeCell ref="J281:K282"/>
    <mergeCell ref="J432:K432"/>
    <mergeCell ref="B191:D191"/>
    <mergeCell ref="J503:S503"/>
    <mergeCell ref="H271:L271"/>
    <mergeCell ref="P1230:Q1230"/>
    <mergeCell ref="AH6:AJ6"/>
    <mergeCell ref="L678:M678"/>
    <mergeCell ref="G908:K908"/>
    <mergeCell ref="J941:K941"/>
    <mergeCell ref="J1212:K1212"/>
    <mergeCell ref="M957:S957"/>
    <mergeCell ref="L373:M373"/>
    <mergeCell ref="L1010:Q1010"/>
    <mergeCell ref="J1030:K1030"/>
    <mergeCell ref="L33:M33"/>
    <mergeCell ref="A130:G130"/>
    <mergeCell ref="B649:D649"/>
    <mergeCell ref="H869:L869"/>
    <mergeCell ref="B192:D192"/>
    <mergeCell ref="J486:K486"/>
    <mergeCell ref="A916:I916"/>
    <mergeCell ref="A132:G132"/>
    <mergeCell ref="P493:Q493"/>
    <mergeCell ref="J300:K300"/>
    <mergeCell ref="J644:S644"/>
    <mergeCell ref="M639:S639"/>
    <mergeCell ref="H268:L268"/>
    <mergeCell ref="F1109:G1109"/>
    <mergeCell ref="G1232:K1232"/>
    <mergeCell ref="AH24:AJ24"/>
    <mergeCell ref="J879:K880"/>
    <mergeCell ref="AH17:AJ17"/>
    <mergeCell ref="J931:K931"/>
    <mergeCell ref="P953:Q953"/>
    <mergeCell ref="A644:I644"/>
    <mergeCell ref="J1083:K1083"/>
    <mergeCell ref="J626:K626"/>
    <mergeCell ref="M1099:S1099"/>
    <mergeCell ref="A643:I643"/>
    <mergeCell ref="AH19:AJ19"/>
    <mergeCell ref="J662:K662"/>
    <mergeCell ref="J199:K199"/>
    <mergeCell ref="A1014:S1014"/>
    <mergeCell ref="J628:K628"/>
    <mergeCell ref="I867:K867"/>
    <mergeCell ref="F95:G95"/>
    <mergeCell ref="B879:D879"/>
    <mergeCell ref="P969:Q969"/>
    <mergeCell ref="A176:G176"/>
    <mergeCell ref="J657:K657"/>
    <mergeCell ref="F97:G97"/>
    <mergeCell ref="P971:Q971"/>
    <mergeCell ref="A178:G178"/>
    <mergeCell ref="F693:G693"/>
    <mergeCell ref="J874:S874"/>
    <mergeCell ref="J346:K346"/>
    <mergeCell ref="M869:S869"/>
    <mergeCell ref="J340:K340"/>
    <mergeCell ref="J252:K252"/>
    <mergeCell ref="J944:K944"/>
    <mergeCell ref="J804:K804"/>
    <mergeCell ref="M268:S268"/>
    <mergeCell ref="J1109:K1110"/>
    <mergeCell ref="J341:K341"/>
    <mergeCell ref="A1145:G1145"/>
    <mergeCell ref="B1019:D1019"/>
    <mergeCell ref="J377:K377"/>
    <mergeCell ref="G861:K861"/>
    <mergeCell ref="L1046:M1046"/>
    <mergeCell ref="N49:O49"/>
    <mergeCell ref="O775:Q775"/>
    <mergeCell ref="M866:S866"/>
    <mergeCell ref="A185:S185"/>
    <mergeCell ref="H1095:L1095"/>
    <mergeCell ref="I913:K913"/>
    <mergeCell ref="J59:K59"/>
    <mergeCell ref="J672:K672"/>
    <mergeCell ref="G1000:K1000"/>
    <mergeCell ref="F1202:G1202"/>
    <mergeCell ref="F143:G143"/>
    <mergeCell ref="P1199:Q1199"/>
    <mergeCell ref="A42:I42"/>
    <mergeCell ref="A411:I411"/>
    <mergeCell ref="A1103:I1103"/>
    <mergeCell ref="J97:K98"/>
    <mergeCell ref="J1026:K1026"/>
    <mergeCell ref="J184:S184"/>
    <mergeCell ref="J1028:K1028"/>
    <mergeCell ref="A128:G128"/>
    <mergeCell ref="G1047:K1047"/>
    <mergeCell ref="P309:Q309"/>
    <mergeCell ref="G584:K584"/>
    <mergeCell ref="A129:G129"/>
    <mergeCell ref="L787:M787"/>
    <mergeCell ref="J754:K754"/>
    <mergeCell ref="J439:K439"/>
    <mergeCell ref="K542:M542"/>
    <mergeCell ref="J510:S510"/>
    <mergeCell ref="H224:L224"/>
    <mergeCell ref="J710:K710"/>
    <mergeCell ref="J291:K291"/>
    <mergeCell ref="A1191:G1191"/>
    <mergeCell ref="J293:K293"/>
    <mergeCell ref="M1095:S1095"/>
    <mergeCell ref="A272:I272"/>
    <mergeCell ref="G587:K587"/>
    <mergeCell ref="F189:G189"/>
    <mergeCell ref="A270:G270"/>
    <mergeCell ref="J230:S230"/>
    <mergeCell ref="J11:K11"/>
    <mergeCell ref="J467:K467"/>
    <mergeCell ref="T76:X76"/>
    <mergeCell ref="B1143:F1143"/>
    <mergeCell ref="P233:Q233"/>
    <mergeCell ref="AE7:AG7"/>
    <mergeCell ref="J469:K469"/>
    <mergeCell ref="J767:K767"/>
    <mergeCell ref="J12:K12"/>
    <mergeCell ref="J1065:K1065"/>
    <mergeCell ref="P235:Q235"/>
    <mergeCell ref="J978:K978"/>
    <mergeCell ref="B85:F85"/>
    <mergeCell ref="M685:S685"/>
    <mergeCell ref="J227:S227"/>
    <mergeCell ref="L831:M831"/>
    <mergeCell ref="A1152:S1152"/>
    <mergeCell ref="O1051:Q1051"/>
    <mergeCell ref="AE2:AG2"/>
    <mergeCell ref="L833:M833"/>
    <mergeCell ref="J339:K339"/>
    <mergeCell ref="L401:M401"/>
    <mergeCell ref="B283:D283"/>
    <mergeCell ref="P864:Q864"/>
    <mergeCell ref="H1155:H1156"/>
    <mergeCell ref="A957:G957"/>
    <mergeCell ref="A500:G500"/>
    <mergeCell ref="L1194:Q1194"/>
    <mergeCell ref="J65:K65"/>
    <mergeCell ref="H638:L638"/>
    <mergeCell ref="J480:K480"/>
    <mergeCell ref="J551:S551"/>
    <mergeCell ref="J399:K399"/>
    <mergeCell ref="J670:K670"/>
    <mergeCell ref="J697:K697"/>
    <mergeCell ref="A958:G958"/>
    <mergeCell ref="J1126:K1126"/>
    <mergeCell ref="J1120:K1120"/>
    <mergeCell ref="J392:K392"/>
    <mergeCell ref="J25:K25"/>
    <mergeCell ref="J663:K663"/>
    <mergeCell ref="J699:K699"/>
    <mergeCell ref="J997:K997"/>
    <mergeCell ref="H777:L777"/>
    <mergeCell ref="L1184:M1184"/>
    <mergeCell ref="N187:O187"/>
    <mergeCell ref="J394:K394"/>
    <mergeCell ref="J665:K665"/>
    <mergeCell ref="A1101:I1101"/>
    <mergeCell ref="P279:Q279"/>
    <mergeCell ref="L879:M879"/>
    <mergeCell ref="J1121:K1121"/>
    <mergeCell ref="F1015:G1015"/>
    <mergeCell ref="A1099:G1099"/>
    <mergeCell ref="F1017:G1017"/>
    <mergeCell ref="Z6:AA6"/>
    <mergeCell ref="G81:K81"/>
    <mergeCell ref="J640:S640"/>
    <mergeCell ref="J112:K112"/>
    <mergeCell ref="J383:K383"/>
    <mergeCell ref="M635:S635"/>
    <mergeCell ref="J839:K839"/>
    <mergeCell ref="J376:K376"/>
    <mergeCell ref="G679:K679"/>
    <mergeCell ref="J419:K420"/>
    <mergeCell ref="J534:K534"/>
    <mergeCell ref="J841:K841"/>
    <mergeCell ref="B329:D329"/>
    <mergeCell ref="J597:S597"/>
    <mergeCell ref="J107:K107"/>
    <mergeCell ref="J378:K378"/>
    <mergeCell ref="L816:M816"/>
    <mergeCell ref="L172:M172"/>
    <mergeCell ref="J712:K712"/>
    <mergeCell ref="L171:M171"/>
    <mergeCell ref="B787:D787"/>
    <mergeCell ref="H1007:L1007"/>
    <mergeCell ref="B330:D330"/>
    <mergeCell ref="A461:S461"/>
    <mergeCell ref="H37:L37"/>
    <mergeCell ref="A268:G268"/>
    <mergeCell ref="P631:Q631"/>
    <mergeCell ref="A864:G864"/>
    <mergeCell ref="B1112:D1112"/>
    <mergeCell ref="J438:K438"/>
    <mergeCell ref="J782:S782"/>
    <mergeCell ref="B177:F177"/>
    <mergeCell ref="M777:S777"/>
    <mergeCell ref="H406:L406"/>
    <mergeCell ref="J319:S319"/>
    <mergeCell ref="Z19:AA19"/>
    <mergeCell ref="A866:G866"/>
    <mergeCell ref="AE3:AG3"/>
    <mergeCell ref="J763:K763"/>
    <mergeCell ref="G311:K311"/>
    <mergeCell ref="F603:G603"/>
    <mergeCell ref="J852:K852"/>
    <mergeCell ref="M1235:S1235"/>
    <mergeCell ref="J1017:K1018"/>
    <mergeCell ref="J765:K765"/>
    <mergeCell ref="J10:K10"/>
    <mergeCell ref="J606:K606"/>
    <mergeCell ref="J1221:K1221"/>
    <mergeCell ref="A456:I456"/>
    <mergeCell ref="M774:S774"/>
    <mergeCell ref="A93:S93"/>
    <mergeCell ref="J766:K766"/>
    <mergeCell ref="H546:L546"/>
    <mergeCell ref="L953:M953"/>
    <mergeCell ref="N1015:O1015"/>
    <mergeCell ref="A1050:G1050"/>
    <mergeCell ref="A371:C371"/>
    <mergeCell ref="P1107:Q1107"/>
    <mergeCell ref="A691:S691"/>
    <mergeCell ref="J607:K607"/>
    <mergeCell ref="J905:K905"/>
    <mergeCell ref="P1109:Q1109"/>
    <mergeCell ref="A316:G316"/>
    <mergeCell ref="A1193:I1193"/>
    <mergeCell ref="J1012:S1012"/>
    <mergeCell ref="M1007:S1007"/>
    <mergeCell ref="H636:L636"/>
    <mergeCell ref="AE16:AG16"/>
    <mergeCell ref="AB15:AD15"/>
    <mergeCell ref="J478:K478"/>
    <mergeCell ref="J549:S549"/>
    <mergeCell ref="J21:K21"/>
    <mergeCell ref="J1211:K1211"/>
    <mergeCell ref="L969:M969"/>
    <mergeCell ref="J1205:K1205"/>
    <mergeCell ref="AE18:AG18"/>
    <mergeCell ref="I361:K361"/>
    <mergeCell ref="J23:K23"/>
    <mergeCell ref="M406:S406"/>
    <mergeCell ref="A313:G313"/>
    <mergeCell ref="L971:M971"/>
    <mergeCell ref="J479:K479"/>
    <mergeCell ref="B1157:D1157"/>
    <mergeCell ref="J1206:K1206"/>
    <mergeCell ref="J91:S91"/>
    <mergeCell ref="L448:M448"/>
    <mergeCell ref="O913:Q913"/>
    <mergeCell ref="A3:C3"/>
    <mergeCell ref="A911:G911"/>
    <mergeCell ref="G769:K769"/>
    <mergeCell ref="A323:S323"/>
    <mergeCell ref="K450:M450"/>
    <mergeCell ref="J689:S689"/>
    <mergeCell ref="H1017:H1018"/>
    <mergeCell ref="A601:C601"/>
    <mergeCell ref="J810:K810"/>
    <mergeCell ref="J835:K835"/>
    <mergeCell ref="G1138:K1138"/>
    <mergeCell ref="M1187:S1187"/>
    <mergeCell ref="A91:I91"/>
    <mergeCell ref="M546:S546"/>
    <mergeCell ref="A180:I180"/>
    <mergeCell ref="J837:K837"/>
    <mergeCell ref="P999:Q999"/>
    <mergeCell ref="J1135:K1135"/>
    <mergeCell ref="AB28:AD28"/>
    <mergeCell ref="J103:K103"/>
    <mergeCell ref="P417:Q417"/>
    <mergeCell ref="M1144:S1144"/>
    <mergeCell ref="AB29:AD29"/>
    <mergeCell ref="J778:S778"/>
    <mergeCell ref="A2:S2"/>
    <mergeCell ref="J321:S321"/>
    <mergeCell ref="J436:K436"/>
    <mergeCell ref="J848:K848"/>
    <mergeCell ref="J919:S919"/>
    <mergeCell ref="J429:K429"/>
    <mergeCell ref="J858:K858"/>
    <mergeCell ref="L494:M494"/>
    <mergeCell ref="J850:K850"/>
    <mergeCell ref="J431:K431"/>
    <mergeCell ref="L44:Q44"/>
    <mergeCell ref="L493:M493"/>
    <mergeCell ref="F325:G325"/>
    <mergeCell ref="L309:M309"/>
    <mergeCell ref="A783:S783"/>
    <mergeCell ref="H822:L822"/>
    <mergeCell ref="H7:K8"/>
    <mergeCell ref="B925:D925"/>
    <mergeCell ref="J1158:K1158"/>
    <mergeCell ref="H359:L359"/>
    <mergeCell ref="H1063:H1064"/>
    <mergeCell ref="F327:G327"/>
    <mergeCell ref="A408:G408"/>
    <mergeCell ref="J576:K576"/>
    <mergeCell ref="G124:K124"/>
    <mergeCell ref="J113:K113"/>
    <mergeCell ref="J149:K149"/>
    <mergeCell ref="P448:Q448"/>
    <mergeCell ref="H5:H6"/>
    <mergeCell ref="A1006:G1006"/>
    <mergeCell ref="J121:K121"/>
    <mergeCell ref="J1174:K1174"/>
    <mergeCell ref="J115:K115"/>
    <mergeCell ref="Z28:AA28"/>
    <mergeCell ref="A138:I138"/>
    <mergeCell ref="M498:S498"/>
    <mergeCell ref="J571:K571"/>
    <mergeCell ref="J150:K150"/>
    <mergeCell ref="A920:I920"/>
    <mergeCell ref="N95:O95"/>
    <mergeCell ref="J573:K573"/>
    <mergeCell ref="J116:K116"/>
    <mergeCell ref="A231:S231"/>
    <mergeCell ref="H868:L868"/>
    <mergeCell ref="N693:O693"/>
    <mergeCell ref="J477:K477"/>
    <mergeCell ref="L235:M235"/>
    <mergeCell ref="M87:S87"/>
    <mergeCell ref="A829:S829"/>
    <mergeCell ref="A638:G638"/>
    <mergeCell ref="J284:K284"/>
    <mergeCell ref="J800:K800"/>
    <mergeCell ref="J1150:S1150"/>
    <mergeCell ref="J364:S364"/>
    <mergeCell ref="M359:S359"/>
    <mergeCell ref="B237:D237"/>
    <mergeCell ref="J808:K808"/>
    <mergeCell ref="J1228:K1228"/>
    <mergeCell ref="J1220:K1220"/>
    <mergeCell ref="J801:K801"/>
    <mergeCell ref="AB26:AD26"/>
    <mergeCell ref="J76:K76"/>
    <mergeCell ref="N325:O325"/>
    <mergeCell ref="J803:K803"/>
    <mergeCell ref="M1142:S1142"/>
    <mergeCell ref="L1017:M1017"/>
    <mergeCell ref="H1188:L1188"/>
    <mergeCell ref="H454:L454"/>
    <mergeCell ref="AB27:AD27"/>
    <mergeCell ref="A1237:G1237"/>
    <mergeCell ref="N923:O923"/>
    <mergeCell ref="A774:G774"/>
    <mergeCell ref="J948:K948"/>
    <mergeCell ref="G219:K219"/>
    <mergeCell ref="J942:K942"/>
    <mergeCell ref="M868:S868"/>
    <mergeCell ref="J521:K521"/>
    <mergeCell ref="M224:S224"/>
    <mergeCell ref="L279:M279"/>
    <mergeCell ref="J673:K673"/>
    <mergeCell ref="P80:Q80"/>
    <mergeCell ref="J977:K977"/>
    <mergeCell ref="J514:K514"/>
    <mergeCell ref="G817:K817"/>
    <mergeCell ref="J943:K943"/>
    <mergeCell ref="J979:K979"/>
    <mergeCell ref="J516:K516"/>
    <mergeCell ref="A1:S1"/>
    <mergeCell ref="J460:S460"/>
    <mergeCell ref="A506:I506"/>
    <mergeCell ref="A37:G37"/>
    <mergeCell ref="I729:K729"/>
    <mergeCell ref="G448:K448"/>
    <mergeCell ref="A406:G406"/>
    <mergeCell ref="J58:K58"/>
    <mergeCell ref="J574:K574"/>
    <mergeCell ref="A1002:G1002"/>
    <mergeCell ref="J920:S920"/>
    <mergeCell ref="M915:S915"/>
    <mergeCell ref="K818:M818"/>
    <mergeCell ref="J457:S457"/>
    <mergeCell ref="J567:K567"/>
    <mergeCell ref="A1004:G1004"/>
    <mergeCell ref="J656:K656"/>
    <mergeCell ref="M1188:S1188"/>
    <mergeCell ref="J569:K569"/>
    <mergeCell ref="M454:S454"/>
    <mergeCell ref="L631:M631"/>
    <mergeCell ref="J658:K658"/>
    <mergeCell ref="J440:K440"/>
    <mergeCell ref="F465:G465"/>
    <mergeCell ref="A546:G546"/>
    <mergeCell ref="M912:S912"/>
    <mergeCell ref="F1061:G1061"/>
    <mergeCell ref="F1063:G1063"/>
    <mergeCell ref="A1144:G1144"/>
    <mergeCell ref="A509:C509"/>
    <mergeCell ref="A873:I873"/>
    <mergeCell ref="A276:I276"/>
    <mergeCell ref="J885:K885"/>
    <mergeCell ref="A1242:I1242"/>
    <mergeCell ref="J745:K745"/>
    <mergeCell ref="P907:Q907"/>
    <mergeCell ref="J1043:K1043"/>
    <mergeCell ref="J687:S687"/>
    <mergeCell ref="B361:F361"/>
    <mergeCell ref="J159:K159"/>
    <mergeCell ref="B235:D235"/>
    <mergeCell ref="A553:S553"/>
    <mergeCell ref="J153:K153"/>
    <mergeCell ref="J290:K290"/>
    <mergeCell ref="L1107:M1107"/>
    <mergeCell ref="J582:K582"/>
    <mergeCell ref="A273:I273"/>
    <mergeCell ref="L217:M217"/>
    <mergeCell ref="A451:G451"/>
    <mergeCell ref="L1109:M1109"/>
    <mergeCell ref="B833:D833"/>
    <mergeCell ref="B376:D376"/>
    <mergeCell ref="H73:K74"/>
    <mergeCell ref="J613:K613"/>
    <mergeCell ref="P1140:Q1140"/>
    <mergeCell ref="J285:K285"/>
    <mergeCell ref="A141:C141"/>
    <mergeCell ref="J828:S828"/>
    <mergeCell ref="P49:Q49"/>
    <mergeCell ref="K588:M588"/>
    <mergeCell ref="J614:K614"/>
    <mergeCell ref="J827:S827"/>
    <mergeCell ref="J608:K608"/>
    <mergeCell ref="AH7:AJ7"/>
    <mergeCell ref="M222:S222"/>
    <mergeCell ref="J1063:K1064"/>
    <mergeCell ref="J301:K301"/>
    <mergeCell ref="J939:K939"/>
    <mergeCell ref="P1137:Q1137"/>
    <mergeCell ref="B136:H136"/>
    <mergeCell ref="B973:D973"/>
    <mergeCell ref="G815:K815"/>
    <mergeCell ref="H267:L267"/>
    <mergeCell ref="A502:I502"/>
    <mergeCell ref="N463:O463"/>
    <mergeCell ref="F49:G49"/>
    <mergeCell ref="H592:L592"/>
    <mergeCell ref="N1061:O1061"/>
    <mergeCell ref="P1153:Q1153"/>
    <mergeCell ref="A140:S140"/>
    <mergeCell ref="P1155:Q1155"/>
    <mergeCell ref="J652:K652"/>
    <mergeCell ref="G955:K955"/>
    <mergeCell ref="P95:Q95"/>
    <mergeCell ref="J986:K986"/>
    <mergeCell ref="J1057:S1057"/>
    <mergeCell ref="J654:K654"/>
    <mergeCell ref="J996:K996"/>
    <mergeCell ref="J988:K988"/>
    <mergeCell ref="A359:G359"/>
    <mergeCell ref="A1100:I1100"/>
    <mergeCell ref="L182:Q182"/>
    <mergeCell ref="J525:K525"/>
    <mergeCell ref="T104:X104"/>
    <mergeCell ref="J456:S456"/>
    <mergeCell ref="A921:S921"/>
    <mergeCell ref="J873:S873"/>
    <mergeCell ref="H497:L497"/>
    <mergeCell ref="J380:K380"/>
    <mergeCell ref="B1205:D1205"/>
    <mergeCell ref="J714:K714"/>
    <mergeCell ref="J985:K985"/>
    <mergeCell ref="B453:F453"/>
    <mergeCell ref="J251:K251"/>
    <mergeCell ref="B182:H182"/>
    <mergeCell ref="J595:S595"/>
    <mergeCell ref="M267:S267"/>
    <mergeCell ref="L1199:M1199"/>
    <mergeCell ref="H143:H144"/>
    <mergeCell ref="J253:K253"/>
    <mergeCell ref="M636:S636"/>
    <mergeCell ref="G676:K676"/>
    <mergeCell ref="M592:S592"/>
    <mergeCell ref="J709:K709"/>
    <mergeCell ref="J980:K980"/>
    <mergeCell ref="H41:L41"/>
    <mergeCell ref="G126:K126"/>
    <mergeCell ref="N233:O233"/>
    <mergeCell ref="J598:S598"/>
    <mergeCell ref="H1096:L1096"/>
    <mergeCell ref="H639:L639"/>
    <mergeCell ref="N831:O831"/>
    <mergeCell ref="J698:K698"/>
    <mergeCell ref="G1001:K1001"/>
    <mergeCell ref="B928:D928"/>
    <mergeCell ref="A225:G225"/>
    <mergeCell ref="J393:K393"/>
    <mergeCell ref="A967:S967"/>
    <mergeCell ref="J1067:K1067"/>
    <mergeCell ref="AH3:AJ3"/>
    <mergeCell ref="J395:K395"/>
    <mergeCell ref="B683:F683"/>
    <mergeCell ref="J1027:K1027"/>
    <mergeCell ref="AH5:AJ5"/>
    <mergeCell ref="G173:K173"/>
    <mergeCell ref="A1188:G1188"/>
    <mergeCell ref="A454:G454"/>
    <mergeCell ref="G170:K170"/>
    <mergeCell ref="P187:Q187"/>
    <mergeCell ref="J1209:K1209"/>
    <mergeCell ref="P494:Q494"/>
    <mergeCell ref="K726:M726"/>
    <mergeCell ref="J965:S965"/>
    <mergeCell ref="L999:M999"/>
    <mergeCell ref="AE13:AG13"/>
    <mergeCell ref="G1231:K1231"/>
    <mergeCell ref="G172:K172"/>
    <mergeCell ref="A912:G912"/>
    <mergeCell ref="A641:I641"/>
    <mergeCell ref="A877:C877"/>
    <mergeCell ref="A455:G455"/>
    <mergeCell ref="P189:Q189"/>
    <mergeCell ref="A184:I184"/>
    <mergeCell ref="J1086:K1086"/>
    <mergeCell ref="J1080:K1080"/>
    <mergeCell ref="M1096:S1096"/>
    <mergeCell ref="AH16:AJ16"/>
    <mergeCell ref="AE15:AG15"/>
    <mergeCell ref="L90:Q90"/>
    <mergeCell ref="J20:K20"/>
    <mergeCell ref="B1010:H1010"/>
    <mergeCell ref="J196:K196"/>
    <mergeCell ref="P218:Q218"/>
    <mergeCell ref="J625:K625"/>
    <mergeCell ref="B269:F269"/>
    <mergeCell ref="J1081:K1081"/>
    <mergeCell ref="J22:K22"/>
    <mergeCell ref="A1013:S1013"/>
    <mergeCell ref="P1091:Q1091"/>
    <mergeCell ref="L80:M80"/>
    <mergeCell ref="F971:G971"/>
    <mergeCell ref="A175:G175"/>
    <mergeCell ref="A781:I781"/>
    <mergeCell ref="J137:S137"/>
    <mergeCell ref="J793:K793"/>
    <mergeCell ref="J1222:K1222"/>
    <mergeCell ref="J338:K338"/>
    <mergeCell ref="J138:S138"/>
    <mergeCell ref="L770:M770"/>
    <mergeCell ref="AE28:AG28"/>
    <mergeCell ref="J794:K794"/>
    <mergeCell ref="A956:G956"/>
    <mergeCell ref="J707:K707"/>
    <mergeCell ref="L320:Q320"/>
    <mergeCell ref="B596:H596"/>
    <mergeCell ref="A1059:S1059"/>
    <mergeCell ref="B284:D284"/>
    <mergeCell ref="H635:L635"/>
    <mergeCell ref="A923:C923"/>
    <mergeCell ref="F1199:G1199"/>
    <mergeCell ref="A221:G221"/>
    <mergeCell ref="J66:K66"/>
    <mergeCell ref="H360:L360"/>
    <mergeCell ref="J389:K389"/>
    <mergeCell ref="H465:H466"/>
    <mergeCell ref="G999:K999"/>
    <mergeCell ref="G265:K265"/>
    <mergeCell ref="A647:C647"/>
    <mergeCell ref="A1011:I1011"/>
    <mergeCell ref="G998:K998"/>
    <mergeCell ref="J1023:K1023"/>
    <mergeCell ref="J122:K122"/>
    <mergeCell ref="H879:H880"/>
    <mergeCell ref="A410:I410"/>
    <mergeCell ref="J718:K718"/>
    <mergeCell ref="J849:K849"/>
    <mergeCell ref="J1025:K1025"/>
    <mergeCell ref="A324:S324"/>
    <mergeCell ref="J720:K720"/>
    <mergeCell ref="I1236:K1236"/>
    <mergeCell ref="I177:K177"/>
    <mergeCell ref="L1091:M1091"/>
    <mergeCell ref="A1008:I1008"/>
    <mergeCell ref="N969:O969"/>
    <mergeCell ref="J1178:K1178"/>
    <mergeCell ref="J751:K751"/>
    <mergeCell ref="A48:S48"/>
    <mergeCell ref="J148:K148"/>
    <mergeCell ref="J104:K104"/>
    <mergeCell ref="J966:S966"/>
    <mergeCell ref="J1165:K1165"/>
    <mergeCell ref="J752:K752"/>
    <mergeCell ref="J746:K746"/>
    <mergeCell ref="J105:K105"/>
    <mergeCell ref="M360:S360"/>
    <mergeCell ref="A267:G267"/>
    <mergeCell ref="L49:M49"/>
    <mergeCell ref="B1111:D1111"/>
    <mergeCell ref="H405:L405"/>
    <mergeCell ref="F187:G187"/>
    <mergeCell ref="J143:K144"/>
    <mergeCell ref="K404:M404"/>
    <mergeCell ref="H730:L730"/>
    <mergeCell ref="B53:D53"/>
    <mergeCell ref="J430:K430"/>
    <mergeCell ref="P634:Q634"/>
    <mergeCell ref="L1137:M1137"/>
    <mergeCell ref="N1199:O1199"/>
    <mergeCell ref="A1234:G1234"/>
    <mergeCell ref="J46:S46"/>
    <mergeCell ref="J764:K764"/>
    <mergeCell ref="A779:I779"/>
    <mergeCell ref="A593:G593"/>
    <mergeCell ref="J1218:K1218"/>
    <mergeCell ref="J161:K161"/>
    <mergeCell ref="M684:S684"/>
    <mergeCell ref="H1190:L1190"/>
    <mergeCell ref="P356:Q356"/>
    <mergeCell ref="AE24:AG24"/>
    <mergeCell ref="G1093:K1093"/>
    <mergeCell ref="A1151:S1151"/>
    <mergeCell ref="A94:S94"/>
    <mergeCell ref="AE26:AG26"/>
    <mergeCell ref="J792:K792"/>
    <mergeCell ref="A782:I782"/>
    <mergeCell ref="J31:K31"/>
    <mergeCell ref="A319:I319"/>
    <mergeCell ref="O867:Q867"/>
    <mergeCell ref="A497:G497"/>
    <mergeCell ref="K36:M36"/>
    <mergeCell ref="J1011:S1011"/>
    <mergeCell ref="J62:K62"/>
    <mergeCell ref="I1005:K1005"/>
    <mergeCell ref="J1123:K1123"/>
    <mergeCell ref="J64:K64"/>
    <mergeCell ref="M316:S316"/>
    <mergeCell ref="J1117:K1117"/>
    <mergeCell ref="K634:M634"/>
    <mergeCell ref="B591:F591"/>
    <mergeCell ref="J660:K660"/>
    <mergeCell ref="J733:S733"/>
    <mergeCell ref="B8:D8"/>
    <mergeCell ref="M405:S405"/>
    <mergeCell ref="J276:S276"/>
    <mergeCell ref="J57:K57"/>
    <mergeCell ref="J391:K391"/>
    <mergeCell ref="J189:K190"/>
    <mergeCell ref="M730:S730"/>
    <mergeCell ref="B918:H918"/>
    <mergeCell ref="J1118:K1118"/>
    <mergeCell ref="T114:X114"/>
    <mergeCell ref="H776:L776"/>
    <mergeCell ref="B99:D99"/>
    <mergeCell ref="P586:Q586"/>
    <mergeCell ref="G264:K264"/>
    <mergeCell ref="A639:G639"/>
    <mergeCell ref="Z3:AA3"/>
    <mergeCell ref="G78:K78"/>
    <mergeCell ref="A36:G36"/>
    <mergeCell ref="B5:D5"/>
    <mergeCell ref="H1234:L1234"/>
    <mergeCell ref="P402:Q402"/>
    <mergeCell ref="Z5:AA5"/>
    <mergeCell ref="G80:K80"/>
    <mergeCell ref="G1139:K1139"/>
    <mergeCell ref="J75:K75"/>
    <mergeCell ref="A785:C785"/>
    <mergeCell ref="B1066:D1066"/>
    <mergeCell ref="A363:G363"/>
    <mergeCell ref="A634:G634"/>
    <mergeCell ref="A92:I92"/>
    <mergeCell ref="J531:K531"/>
    <mergeCell ref="J444:K444"/>
    <mergeCell ref="G1045:K1045"/>
    <mergeCell ref="L1241:Q1241"/>
    <mergeCell ref="J533:K533"/>
    <mergeCell ref="J1171:K1171"/>
    <mergeCell ref="A548:I548"/>
    <mergeCell ref="J856:K856"/>
    <mergeCell ref="O1236:Q1236"/>
    <mergeCell ref="J744:K744"/>
    <mergeCell ref="B145:D145"/>
    <mergeCell ref="A1146:I1146"/>
    <mergeCell ref="J889:K889"/>
    <mergeCell ref="J322:S322"/>
    <mergeCell ref="Z16:AA16"/>
    <mergeCell ref="I39:K39"/>
    <mergeCell ref="J760:K760"/>
    <mergeCell ref="G308:K308"/>
    <mergeCell ref="A266:G266"/>
    <mergeCell ref="B499:F499"/>
    <mergeCell ref="P325:Q325"/>
    <mergeCell ref="Z18:AA18"/>
    <mergeCell ref="B51:D51"/>
    <mergeCell ref="J4:N4"/>
    <mergeCell ref="P632:Q632"/>
    <mergeCell ref="H189:H190"/>
    <mergeCell ref="G310:K310"/>
    <mergeCell ref="J762:K762"/>
    <mergeCell ref="Z17:AA17"/>
    <mergeCell ref="A874:I874"/>
    <mergeCell ref="M1145:S1145"/>
    <mergeCell ref="J884:K884"/>
    <mergeCell ref="P327:Q327"/>
    <mergeCell ref="M682:S682"/>
    <mergeCell ref="G722:K722"/>
    <mergeCell ref="M1234:S1234"/>
    <mergeCell ref="L228:Q228"/>
    <mergeCell ref="J886:K886"/>
    <mergeCell ref="H87:L87"/>
    <mergeCell ref="L861:M861"/>
    <mergeCell ref="N279:O279"/>
    <mergeCell ref="H543:L543"/>
    <mergeCell ref="J757:K757"/>
    <mergeCell ref="L826:Q826"/>
    <mergeCell ref="J887:K887"/>
    <mergeCell ref="A1049:G1049"/>
    <mergeCell ref="P772:Q772"/>
    <mergeCell ref="L218:M218"/>
    <mergeCell ref="J902:K902"/>
    <mergeCell ref="AB12:AD12"/>
    <mergeCell ref="J475:K475"/>
    <mergeCell ref="J904:K904"/>
    <mergeCell ref="J605:K605"/>
    <mergeCell ref="F51:G51"/>
    <mergeCell ref="J897:K897"/>
    <mergeCell ref="AB13:AD13"/>
    <mergeCell ref="J476:K476"/>
    <mergeCell ref="A232:S232"/>
    <mergeCell ref="AB7:AD7"/>
    <mergeCell ref="A1104:I1104"/>
    <mergeCell ref="J1114:K1114"/>
    <mergeCell ref="J899:K899"/>
    <mergeCell ref="J88:S88"/>
    <mergeCell ref="A459:I459"/>
    <mergeCell ref="L458:Q458"/>
    <mergeCell ref="P371:Q371"/>
    <mergeCell ref="J1116:K1116"/>
    <mergeCell ref="L417:M417"/>
    <mergeCell ref="B97:D97"/>
    <mergeCell ref="A1197:S1197"/>
    <mergeCell ref="J1149:S1149"/>
    <mergeCell ref="J930:K930"/>
    <mergeCell ref="H773:L773"/>
    <mergeCell ref="AH18:AJ18"/>
    <mergeCell ref="A88:I88"/>
    <mergeCell ref="J204:K204"/>
    <mergeCell ref="J1055:S1055"/>
    <mergeCell ref="J198:K198"/>
    <mergeCell ref="J548:S548"/>
    <mergeCell ref="M543:S543"/>
    <mergeCell ref="G1137:K1137"/>
    <mergeCell ref="A1095:G1095"/>
    <mergeCell ref="AB25:AD25"/>
    <mergeCell ref="J529:K529"/>
    <mergeCell ref="J802:K802"/>
    <mergeCell ref="J327:K328"/>
    <mergeCell ref="B1056:H1056"/>
    <mergeCell ref="J1146:S1146"/>
    <mergeCell ref="H914:L914"/>
    <mergeCell ref="O177:Q177"/>
    <mergeCell ref="J1127:K1127"/>
    <mergeCell ref="J68:K68"/>
    <mergeCell ref="B1202:D1202"/>
    <mergeCell ref="B143:D143"/>
    <mergeCell ref="P724:Q724"/>
    <mergeCell ref="H915:L915"/>
    <mergeCell ref="J1129:K1129"/>
    <mergeCell ref="I315:K315"/>
    <mergeCell ref="H281:H282"/>
    <mergeCell ref="N1107:O1107"/>
    <mergeCell ref="J257:K257"/>
    <mergeCell ref="P419:Q419"/>
    <mergeCell ref="B1204:D1204"/>
    <mergeCell ref="A230:I230"/>
    <mergeCell ref="H498:L498"/>
    <mergeCell ref="J242:K242"/>
    <mergeCell ref="J855:K855"/>
    <mergeCell ref="Z13:AA13"/>
    <mergeCell ref="J428:K428"/>
    <mergeCell ref="B44:H44"/>
    <mergeCell ref="J857:K857"/>
    <mergeCell ref="Z15:AA15"/>
    <mergeCell ref="J840:K840"/>
    <mergeCell ref="A227:I227"/>
    <mergeCell ref="A405:G405"/>
    <mergeCell ref="M41:S41"/>
    <mergeCell ref="L187:M187"/>
    <mergeCell ref="A508:S508"/>
    <mergeCell ref="A95:C95"/>
    <mergeCell ref="L189:M189"/>
    <mergeCell ref="P34:Q34"/>
    <mergeCell ref="Z25:AA25"/>
    <mergeCell ref="P463:Q463"/>
    <mergeCell ref="H511:H512"/>
    <mergeCell ref="J568:K568"/>
    <mergeCell ref="P770:Q770"/>
    <mergeCell ref="J781:S781"/>
    <mergeCell ref="P36:Q36"/>
    <mergeCell ref="A693:C693"/>
    <mergeCell ref="P465:Q465"/>
    <mergeCell ref="L550:Q550"/>
    <mergeCell ref="J570:K570"/>
    <mergeCell ref="J893:K893"/>
    <mergeCell ref="B189:D189"/>
    <mergeCell ref="L366:Q366"/>
    <mergeCell ref="B826:H826"/>
    <mergeCell ref="G1046:K1046"/>
    <mergeCell ref="AB3:AD3"/>
    <mergeCell ref="H865:L865"/>
    <mergeCell ref="J901:K901"/>
    <mergeCell ref="J895:K895"/>
    <mergeCell ref="A547:G547"/>
    <mergeCell ref="L964:Q964"/>
    <mergeCell ref="AB5:AD5"/>
    <mergeCell ref="J169:K169"/>
    <mergeCell ref="T19:X19"/>
    <mergeCell ref="J1224:K1224"/>
    <mergeCell ref="A457:I457"/>
    <mergeCell ref="O1005:Q1005"/>
    <mergeCell ref="A1057:I1057"/>
    <mergeCell ref="AH20:AJ20"/>
    <mergeCell ref="J200:K200"/>
    <mergeCell ref="J1226:K1226"/>
    <mergeCell ref="A1243:I1243"/>
    <mergeCell ref="J623:K623"/>
    <mergeCell ref="J927:K927"/>
    <mergeCell ref="G1230:K1230"/>
    <mergeCell ref="A640:I640"/>
    <mergeCell ref="J202:K202"/>
    <mergeCell ref="J798:K798"/>
    <mergeCell ref="A554:S554"/>
    <mergeCell ref="AH15:AJ15"/>
    <mergeCell ref="J929:K929"/>
    <mergeCell ref="J1227:K1227"/>
    <mergeCell ref="J950:K950"/>
    <mergeCell ref="J195:K195"/>
    <mergeCell ref="J624:K624"/>
    <mergeCell ref="A597:I597"/>
    <mergeCell ref="P509:Q509"/>
    <mergeCell ref="J197:K197"/>
    <mergeCell ref="B560:D560"/>
    <mergeCell ref="P82:Q82"/>
    <mergeCell ref="I821:K821"/>
    <mergeCell ref="AB18:AD18"/>
    <mergeCell ref="A777:G777"/>
    <mergeCell ref="G216:K216"/>
    <mergeCell ref="A174:G174"/>
    <mergeCell ref="J870:S870"/>
    <mergeCell ref="J342:K342"/>
    <mergeCell ref="M865:S865"/>
    <mergeCell ref="P540:Q540"/>
    <mergeCell ref="G218:K218"/>
    <mergeCell ref="A1235:G1235"/>
    <mergeCell ref="G541:K541"/>
    <mergeCell ref="J213:K213"/>
    <mergeCell ref="G814:K814"/>
    <mergeCell ref="A772:G772"/>
    <mergeCell ref="J649:K650"/>
    <mergeCell ref="J940:K940"/>
    <mergeCell ref="M133:S133"/>
    <mergeCell ref="H179:L179"/>
    <mergeCell ref="J215:K215"/>
    <mergeCell ref="L95:M95"/>
    <mergeCell ref="J337:K337"/>
    <mergeCell ref="J513:K513"/>
    <mergeCell ref="L402:M402"/>
    <mergeCell ref="J671:K671"/>
    <mergeCell ref="O315:Q315"/>
    <mergeCell ref="L97:M97"/>
    <mergeCell ref="F233:G233"/>
    <mergeCell ref="B1017:D1017"/>
    <mergeCell ref="J210:K210"/>
    <mergeCell ref="P739:Q739"/>
    <mergeCell ref="F235:G235"/>
    <mergeCell ref="P217:Q217"/>
    <mergeCell ref="F831:G831"/>
    <mergeCell ref="J564:K564"/>
    <mergeCell ref="F833:G833"/>
    <mergeCell ref="B637:F637"/>
    <mergeCell ref="J566:K566"/>
    <mergeCell ref="J109:K109"/>
    <mergeCell ref="H327:H328"/>
    <mergeCell ref="J1022:K1022"/>
    <mergeCell ref="A1012:I1012"/>
    <mergeCell ref="A549:I549"/>
    <mergeCell ref="A543:G543"/>
    <mergeCell ref="J1024:K1024"/>
    <mergeCell ref="L325:M325"/>
    <mergeCell ref="H225:L225"/>
    <mergeCell ref="H681:L681"/>
    <mergeCell ref="A233:C233"/>
    <mergeCell ref="L327:M327"/>
    <mergeCell ref="F463:G463"/>
    <mergeCell ref="M179:S179"/>
    <mergeCell ref="B603:D603"/>
    <mergeCell ref="A1187:G1187"/>
    <mergeCell ref="P910:Q910"/>
    <mergeCell ref="A831:C831"/>
    <mergeCell ref="J1040:K1040"/>
    <mergeCell ref="P447:Q447"/>
    <mergeCell ref="G125:K125"/>
    <mergeCell ref="J437:K437"/>
    <mergeCell ref="L688:Q688"/>
    <mergeCell ref="M960:S960"/>
    <mergeCell ref="H222:L222"/>
    <mergeCell ref="B964:H964"/>
    <mergeCell ref="J1042:K1042"/>
    <mergeCell ref="J1164:K1164"/>
    <mergeCell ref="G127:K127"/>
    <mergeCell ref="A869:G869"/>
    <mergeCell ref="O85:Q85"/>
    <mergeCell ref="J1035:K1035"/>
    <mergeCell ref="J193:K193"/>
    <mergeCell ref="A370:S370"/>
    <mergeCell ref="J226:S226"/>
    <mergeCell ref="J305:K305"/>
    <mergeCell ref="A1015:C1015"/>
    <mergeCell ref="A968:S968"/>
    <mergeCell ref="J307:K307"/>
    <mergeCell ref="AH4:AJ4"/>
    <mergeCell ref="P79:Q79"/>
    <mergeCell ref="M225:S225"/>
    <mergeCell ref="K910:M910"/>
    <mergeCell ref="L371:M371"/>
    <mergeCell ref="J936:K936"/>
    <mergeCell ref="M681:S681"/>
    <mergeCell ref="J1195:S1195"/>
    <mergeCell ref="J938:K938"/>
    <mergeCell ref="L274:Q274"/>
    <mergeCell ref="J465:K466"/>
    <mergeCell ref="B1194:H1194"/>
    <mergeCell ref="F923:G923"/>
    <mergeCell ref="J335:K335"/>
    <mergeCell ref="H1052:L1052"/>
    <mergeCell ref="B375:D375"/>
    <mergeCell ref="AH26:AJ26"/>
    <mergeCell ref="P220:Q220"/>
    <mergeCell ref="J368:S368"/>
    <mergeCell ref="J669:K669"/>
    <mergeCell ref="H1238:L1238"/>
    <mergeCell ref="J206:K206"/>
    <mergeCell ref="A915:G915"/>
    <mergeCell ref="A496:G496"/>
    <mergeCell ref="M1006:S1006"/>
    <mergeCell ref="G354:K354"/>
    <mergeCell ref="P555:Q555"/>
    <mergeCell ref="P862:Q862"/>
    <mergeCell ref="H419:H420"/>
    <mergeCell ref="J992:K992"/>
    <mergeCell ref="A498:G498"/>
    <mergeCell ref="G356:K356"/>
    <mergeCell ref="P557:Q557"/>
    <mergeCell ref="J351:K351"/>
    <mergeCell ref="J326:K326"/>
    <mergeCell ref="G952:K952"/>
    <mergeCell ref="A910:G910"/>
    <mergeCell ref="A368:I368"/>
    <mergeCell ref="M271:S271"/>
    <mergeCell ref="A1096:G1096"/>
    <mergeCell ref="J353:K353"/>
    <mergeCell ref="L724:M724"/>
    <mergeCell ref="J651:K651"/>
    <mergeCell ref="G954:K954"/>
    <mergeCell ref="J993:K993"/>
    <mergeCell ref="J987:K987"/>
    <mergeCell ref="O1189:Q1189"/>
    <mergeCell ref="L419:M419"/>
    <mergeCell ref="H53:K54"/>
    <mergeCell ref="F555:G555"/>
    <mergeCell ref="J653:K653"/>
    <mergeCell ref="J995:K995"/>
    <mergeCell ref="P1002:Q1002"/>
    <mergeCell ref="F557:G557"/>
    <mergeCell ref="A365:I365"/>
    <mergeCell ref="H314:L314"/>
    <mergeCell ref="H51:H52"/>
    <mergeCell ref="J379:K379"/>
    <mergeCell ref="F1155:G1155"/>
    <mergeCell ref="A82:G82"/>
    <mergeCell ref="J250:K250"/>
    <mergeCell ref="J594:S594"/>
    <mergeCell ref="H649:H650"/>
    <mergeCell ref="J706:K706"/>
    <mergeCell ref="A462:S462"/>
    <mergeCell ref="P908:Q908"/>
    <mergeCell ref="G586:K586"/>
    <mergeCell ref="A865:G865"/>
    <mergeCell ref="J708:K708"/>
    <mergeCell ref="J1031:K1031"/>
    <mergeCell ref="B327:D327"/>
    <mergeCell ref="Z20:AA20"/>
    <mergeCell ref="J674:K674"/>
    <mergeCell ref="N555:O555"/>
    <mergeCell ref="J1033:K1033"/>
    <mergeCell ref="A685:G685"/>
    <mergeCell ref="L1102:Q1102"/>
    <mergeCell ref="M317:S317"/>
    <mergeCell ref="M773:S773"/>
    <mergeCell ref="N1153:O1153"/>
    <mergeCell ref="P1048:Q1048"/>
    <mergeCell ref="J303:K303"/>
    <mergeCell ref="A868:G868"/>
    <mergeCell ref="A224:G224"/>
    <mergeCell ref="H544:L544"/>
    <mergeCell ref="J557:K558"/>
    <mergeCell ref="B467:D467"/>
    <mergeCell ref="J123:K123"/>
    <mergeCell ref="J761:K761"/>
    <mergeCell ref="J304:K304"/>
    <mergeCell ref="A321:I321"/>
    <mergeCell ref="M314:S314"/>
    <mergeCell ref="J1155:K1156"/>
    <mergeCell ref="A692:S692"/>
    <mergeCell ref="B1065:D1065"/>
    <mergeCell ref="J423:K423"/>
    <mergeCell ref="J306:K306"/>
    <mergeCell ref="G907:K907"/>
    <mergeCell ref="O821:Q821"/>
    <mergeCell ref="A735:I735"/>
    <mergeCell ref="P647:Q647"/>
    <mergeCell ref="I959:K959"/>
    <mergeCell ref="J1077:K1077"/>
    <mergeCell ref="J18:K18"/>
    <mergeCell ref="AE12:AG12"/>
    <mergeCell ref="J474:K474"/>
    <mergeCell ref="J17:K17"/>
    <mergeCell ref="J903:K903"/>
    <mergeCell ref="J1079:K1079"/>
    <mergeCell ref="AE14:AG14"/>
    <mergeCell ref="J787:K788"/>
    <mergeCell ref="L1148:Q1148"/>
    <mergeCell ref="J1078:K1078"/>
    <mergeCell ref="J19:K19"/>
    <mergeCell ref="J1072:K1072"/>
    <mergeCell ref="B697:D697"/>
    <mergeCell ref="J991:K991"/>
    <mergeCell ref="L233:M233"/>
    <mergeCell ref="L540:M540"/>
    <mergeCell ref="O453:Q453"/>
    <mergeCell ref="M544:S544"/>
    <mergeCell ref="H316:L316"/>
    <mergeCell ref="H731:L731"/>
    <mergeCell ref="P1000:Q1000"/>
    <mergeCell ref="H557:H558"/>
    <mergeCell ref="G678:K678"/>
    <mergeCell ref="P695:Q695"/>
    <mergeCell ref="F373:G373"/>
    <mergeCell ref="P355:Q355"/>
    <mergeCell ref="J1219:K1219"/>
    <mergeCell ref="F969:G969"/>
    <mergeCell ref="G33:K33"/>
    <mergeCell ref="J702:K702"/>
    <mergeCell ref="J1131:K1131"/>
    <mergeCell ref="AE25:AG25"/>
    <mergeCell ref="AB24:AD24"/>
    <mergeCell ref="G35:K35"/>
    <mergeCell ref="B775:F775"/>
    <mergeCell ref="M1141:S1141"/>
    <mergeCell ref="L739:M739"/>
    <mergeCell ref="J704:K704"/>
    <mergeCell ref="J1133:K1133"/>
    <mergeCell ref="A1150:I1150"/>
    <mergeCell ref="A687:I687"/>
    <mergeCell ref="H1099:L1099"/>
    <mergeCell ref="J243:K243"/>
    <mergeCell ref="A681:G681"/>
    <mergeCell ref="A46:I46"/>
    <mergeCell ref="L463:M463"/>
    <mergeCell ref="H363:L363"/>
    <mergeCell ref="G262:K262"/>
    <mergeCell ref="A220:G220"/>
    <mergeCell ref="L465:M465"/>
    <mergeCell ref="J916:S916"/>
    <mergeCell ref="J117:K117"/>
    <mergeCell ref="J388:K388"/>
    <mergeCell ref="J844:K844"/>
    <mergeCell ref="A222:G222"/>
    <mergeCell ref="P925:Q925"/>
    <mergeCell ref="A969:C969"/>
    <mergeCell ref="P585:Q585"/>
    <mergeCell ref="J119:K119"/>
    <mergeCell ref="P281:Q281"/>
    <mergeCell ref="J390:K390"/>
    <mergeCell ref="G263:K263"/>
    <mergeCell ref="A827:I827"/>
    <mergeCell ref="J846:K846"/>
    <mergeCell ref="M731:S731"/>
    <mergeCell ref="J917:S917"/>
    <mergeCell ref="J427:K427"/>
    <mergeCell ref="B1102:H1102"/>
    <mergeCell ref="A1198:S1198"/>
    <mergeCell ref="P312:Q312"/>
    <mergeCell ref="H603:H604"/>
    <mergeCell ref="J717:K717"/>
    <mergeCell ref="H84:L84"/>
    <mergeCell ref="P741:Q741"/>
    <mergeCell ref="A1007:G1007"/>
    <mergeCell ref="J114:K114"/>
    <mergeCell ref="J385:K385"/>
    <mergeCell ref="L447:M447"/>
    <mergeCell ref="Z4:AA4"/>
    <mergeCell ref="F279:G279"/>
    <mergeCell ref="B1063:D1063"/>
    <mergeCell ref="J719:K719"/>
    <mergeCell ref="J572:K572"/>
    <mergeCell ref="H86:L86"/>
    <mergeCell ref="J145:K145"/>
    <mergeCell ref="F281:G281"/>
    <mergeCell ref="A733:I733"/>
    <mergeCell ref="J443:K443"/>
    <mergeCell ref="B821:F821"/>
    <mergeCell ref="H1145:L1145"/>
    <mergeCell ref="G860:K860"/>
    <mergeCell ref="A47:S47"/>
    <mergeCell ref="J111:K111"/>
    <mergeCell ref="J445:K445"/>
    <mergeCell ref="J743:K743"/>
    <mergeCell ref="L632:M632"/>
    <mergeCell ref="J1172:K1172"/>
    <mergeCell ref="Z26:AA26"/>
    <mergeCell ref="L509:M509"/>
    <mergeCell ref="A830:S830"/>
    <mergeCell ref="A1058:I1058"/>
    <mergeCell ref="I683:K683"/>
    <mergeCell ref="J1070:K1070"/>
    <mergeCell ref="P785:Q785"/>
    <mergeCell ref="AE5:AG5"/>
    <mergeCell ref="H833:H834"/>
    <mergeCell ref="J1103:S1103"/>
    <mergeCell ref="P358:Q358"/>
    <mergeCell ref="J686:S686"/>
    <mergeCell ref="J158:K158"/>
    <mergeCell ref="A1233:G1233"/>
    <mergeCell ref="P956:Q956"/>
    <mergeCell ref="J45:S45"/>
    <mergeCell ref="M84:S84"/>
    <mergeCell ref="G1091:K1091"/>
    <mergeCell ref="A636:G636"/>
    <mergeCell ref="J1217:K1217"/>
    <mergeCell ref="J489:K489"/>
    <mergeCell ref="J160:K160"/>
    <mergeCell ref="G1090:K1090"/>
    <mergeCell ref="A1048:G1048"/>
    <mergeCell ref="M86:S86"/>
    <mergeCell ref="J1210:K1210"/>
    <mergeCell ref="L555:M555"/>
    <mergeCell ref="H455:L455"/>
    <mergeCell ref="J491:K491"/>
    <mergeCell ref="L862:M862"/>
    <mergeCell ref="AB22:AD22"/>
    <mergeCell ref="J72:K72"/>
    <mergeCell ref="J789:K789"/>
    <mergeCell ref="G1092:K1092"/>
    <mergeCell ref="J799:K799"/>
    <mergeCell ref="L557:M557"/>
    <mergeCell ref="J484:K484"/>
    <mergeCell ref="A416:S416"/>
    <mergeCell ref="H1053:L1053"/>
    <mergeCell ref="J30:K30"/>
    <mergeCell ref="I269:K269"/>
    <mergeCell ref="A314:G314"/>
    <mergeCell ref="F695:G695"/>
    <mergeCell ref="P677:Q677"/>
    <mergeCell ref="B1158:D1158"/>
    <mergeCell ref="F1107:G1107"/>
    <mergeCell ref="H452:L452"/>
    <mergeCell ref="G171:K171"/>
    <mergeCell ref="J517:K517"/>
    <mergeCell ref="J809:K809"/>
    <mergeCell ref="G357:K357"/>
    <mergeCell ref="J212:K212"/>
    <mergeCell ref="A919:I919"/>
    <mergeCell ref="J732:S732"/>
    <mergeCell ref="B7:D7"/>
    <mergeCell ref="J1115:K1115"/>
    <mergeCell ref="J56:K56"/>
    <mergeCell ref="J214:K214"/>
    <mergeCell ref="A825:I825"/>
    <mergeCell ref="B465:D465"/>
    <mergeCell ref="H685:L685"/>
    <mergeCell ref="B421:D421"/>
    <mergeCell ref="A139:S139"/>
    <mergeCell ref="P310:Q310"/>
    <mergeCell ref="J812:K812"/>
    <mergeCell ref="J414:S414"/>
    <mergeCell ref="A1094:G1094"/>
    <mergeCell ref="M455:S455"/>
    <mergeCell ref="K1140:M1140"/>
    <mergeCell ref="J441:K441"/>
    <mergeCell ref="A362:G362"/>
    <mergeCell ref="P723:Q723"/>
    <mergeCell ref="J1058:S1058"/>
    <mergeCell ref="J530:K530"/>
    <mergeCell ref="M1053:S1053"/>
    <mergeCell ref="H682:L682"/>
    <mergeCell ref="G401:K401"/>
    <mergeCell ref="J1168:K1168"/>
    <mergeCell ref="J695:K696"/>
    <mergeCell ref="B605:D605"/>
    <mergeCell ref="J1039:K1039"/>
    <mergeCell ref="J532:K532"/>
    <mergeCell ref="J1170:K1170"/>
    <mergeCell ref="G403:K403"/>
    <mergeCell ref="O361:Q361"/>
    <mergeCell ref="P539:Q539"/>
    <mergeCell ref="M452:S452"/>
    <mergeCell ref="O959:Q959"/>
    <mergeCell ref="A49:C49"/>
    <mergeCell ref="B959:F959"/>
    <mergeCell ref="A1140:G1140"/>
    <mergeCell ref="A369:S369"/>
    <mergeCell ref="J154:K154"/>
    <mergeCell ref="I1097:K1097"/>
    <mergeCell ref="J583:K583"/>
    <mergeCell ref="J881:K881"/>
    <mergeCell ref="A1142:G1142"/>
    <mergeCell ref="G1184:K1184"/>
    <mergeCell ref="A871:I871"/>
    <mergeCell ref="J120:K120"/>
    <mergeCell ref="A137:I137"/>
    <mergeCell ref="L136:Q136"/>
    <mergeCell ref="J156:K156"/>
    <mergeCell ref="J43:S43"/>
    <mergeCell ref="L647:M647"/>
    <mergeCell ref="J883:K883"/>
    <mergeCell ref="J155:K155"/>
    <mergeCell ref="J426:K426"/>
    <mergeCell ref="J1181:K1181"/>
    <mergeCell ref="J1041:K1041"/>
    <mergeCell ref="J578:K578"/>
    <mergeCell ref="J925:K926"/>
    <mergeCell ref="J157:K157"/>
    <mergeCell ref="J641:S641"/>
    <mergeCell ref="J151:K151"/>
    <mergeCell ref="B835:D835"/>
    <mergeCell ref="A1153:C1153"/>
    <mergeCell ref="AH2:AJ2"/>
    <mergeCell ref="A731:G731"/>
    <mergeCell ref="P769:Q769"/>
    <mergeCell ref="G447:K447"/>
    <mergeCell ref="J611:K611"/>
    <mergeCell ref="K128:M128"/>
    <mergeCell ref="J296:K296"/>
    <mergeCell ref="M819:S819"/>
    <mergeCell ref="J367:S367"/>
    <mergeCell ref="P1138:Q1138"/>
    <mergeCell ref="H695:H696"/>
    <mergeCell ref="G816:K816"/>
    <mergeCell ref="J298:K298"/>
    <mergeCell ref="J603:K604"/>
    <mergeCell ref="T83:Z83"/>
    <mergeCell ref="B513:D513"/>
    <mergeCell ref="J825:S825"/>
    <mergeCell ref="J297:K297"/>
    <mergeCell ref="AB4:AD4"/>
    <mergeCell ref="A367:I367"/>
    <mergeCell ref="A183:I183"/>
    <mergeCell ref="A1186:G1186"/>
    <mergeCell ref="J299:K299"/>
    <mergeCell ref="F371:G371"/>
    <mergeCell ref="M822:S822"/>
    <mergeCell ref="J1113:K1113"/>
    <mergeCell ref="L355:M355"/>
    <mergeCell ref="B971:D971"/>
    <mergeCell ref="B514:D514"/>
    <mergeCell ref="H1237:L1237"/>
    <mergeCell ref="J381:K381"/>
    <mergeCell ref="J622:K622"/>
    <mergeCell ref="H590:L590"/>
    <mergeCell ref="J655:K655"/>
    <mergeCell ref="A358:G358"/>
    <mergeCell ref="J983:K983"/>
    <mergeCell ref="J1054:S1054"/>
    <mergeCell ref="J526:K526"/>
    <mergeCell ref="J949:K949"/>
    <mergeCell ref="A360:G360"/>
    <mergeCell ref="A966:I966"/>
    <mergeCell ref="J528:K528"/>
    <mergeCell ref="G953:K953"/>
    <mergeCell ref="J1124:K1124"/>
    <mergeCell ref="A965:I965"/>
    <mergeCell ref="J984:K984"/>
    <mergeCell ref="P877:Q877"/>
    <mergeCell ref="A84:G84"/>
    <mergeCell ref="A277:S277"/>
    <mergeCell ref="I1189:K1189"/>
    <mergeCell ref="P879:Q879"/>
    <mergeCell ref="A86:G86"/>
    <mergeCell ref="L925:M925"/>
    <mergeCell ref="J523:K523"/>
    <mergeCell ref="L281:M281"/>
    <mergeCell ref="L585:M585"/>
    <mergeCell ref="F417:G417"/>
    <mergeCell ref="M593:S593"/>
    <mergeCell ref="A278:S278"/>
    <mergeCell ref="J247:K247"/>
    <mergeCell ref="A684:G684"/>
    <mergeCell ref="I131:K131"/>
    <mergeCell ref="F419:G419"/>
    <mergeCell ref="J1196:S1196"/>
    <mergeCell ref="J668:K668"/>
    <mergeCell ref="H820:L820"/>
    <mergeCell ref="J249:K249"/>
    <mergeCell ref="J241:K241"/>
    <mergeCell ref="J854:K854"/>
    <mergeCell ref="A598:I598"/>
    <mergeCell ref="G725:K725"/>
    <mergeCell ref="M1237:S1237"/>
    <mergeCell ref="A1196:I1196"/>
    <mergeCell ref="G1183:K1183"/>
    <mergeCell ref="N371:O371"/>
    <mergeCell ref="O1097:Q1097"/>
    <mergeCell ref="A507:S507"/>
    <mergeCell ref="H971:H972"/>
    <mergeCell ref="J994:K994"/>
    <mergeCell ref="J183:S183"/>
    <mergeCell ref="B1148:H1148"/>
    <mergeCell ref="J289:K289"/>
    <mergeCell ref="L1000:M1000"/>
    <mergeCell ref="H130:L130"/>
    <mergeCell ref="N3:O3"/>
    <mergeCell ref="A1053:G1053"/>
    <mergeCell ref="J166:K166"/>
    <mergeCell ref="L695:M695"/>
    <mergeCell ref="H866:L866"/>
    <mergeCell ref="H132:L132"/>
    <mergeCell ref="B90:H90"/>
    <mergeCell ref="M363:S363"/>
    <mergeCell ref="T9:X9"/>
    <mergeCell ref="A1105:S1105"/>
    <mergeCell ref="J191:K191"/>
    <mergeCell ref="A452:G452"/>
    <mergeCell ref="N417:O417"/>
    <mergeCell ref="J620:K620"/>
    <mergeCell ref="G493:K493"/>
    <mergeCell ref="J1076:K1076"/>
    <mergeCell ref="M961:S961"/>
    <mergeCell ref="L79:M79"/>
    <mergeCell ref="G309:K309"/>
    <mergeCell ref="K864:M864"/>
    <mergeCell ref="AH12:AJ12"/>
    <mergeCell ref="G1229:K1229"/>
    <mergeCell ref="J192:K192"/>
    <mergeCell ref="G495:K495"/>
    <mergeCell ref="O1143:Q1143"/>
    <mergeCell ref="J621:K621"/>
    <mergeCell ref="J615:K615"/>
    <mergeCell ref="L677:M677"/>
    <mergeCell ref="AH14:AJ14"/>
    <mergeCell ref="J194:K194"/>
    <mergeCell ref="F511:G511"/>
    <mergeCell ref="B559:D559"/>
    <mergeCell ref="J333:K333"/>
    <mergeCell ref="AE29:AG29"/>
    <mergeCell ref="L918:Q918"/>
    <mergeCell ref="A322:I322"/>
    <mergeCell ref="J135:S135"/>
    <mergeCell ref="J245:K245"/>
    <mergeCell ref="M130:S130"/>
    <mergeCell ref="A682:G682"/>
    <mergeCell ref="J791:K791"/>
    <mergeCell ref="J1089:K1089"/>
    <mergeCell ref="J334:K334"/>
    <mergeCell ref="AH25:AJ25"/>
    <mergeCell ref="M132:S132"/>
    <mergeCell ref="B407:F407"/>
    <mergeCell ref="J205:K205"/>
    <mergeCell ref="J336:K336"/>
    <mergeCell ref="L1153:M1153"/>
    <mergeCell ref="J659:K659"/>
    <mergeCell ref="P588:Q588"/>
    <mergeCell ref="P1017:Q1017"/>
    <mergeCell ref="M590:S590"/>
    <mergeCell ref="L1155:M1155"/>
    <mergeCell ref="L723:M723"/>
    <mergeCell ref="V5:X5"/>
    <mergeCell ref="P1186:Q1186"/>
    <mergeCell ref="J275:S275"/>
    <mergeCell ref="A822:G822"/>
    <mergeCell ref="A187:C187"/>
    <mergeCell ref="A551:I551"/>
    <mergeCell ref="J990:K990"/>
    <mergeCell ref="B1097:F1097"/>
    <mergeCell ref="J1020:K1020"/>
    <mergeCell ref="H960:L960"/>
    <mergeCell ref="J721:K721"/>
    <mergeCell ref="P128:Q128"/>
    <mergeCell ref="J1019:K1019"/>
    <mergeCell ref="A1009:I1009"/>
    <mergeCell ref="J258:K258"/>
    <mergeCell ref="L908:M908"/>
    <mergeCell ref="J565:K565"/>
    <mergeCell ref="B39:F39"/>
    <mergeCell ref="J181:S181"/>
    <mergeCell ref="A646:S646"/>
    <mergeCell ref="L785:M785"/>
    <mergeCell ref="J1021:K1021"/>
    <mergeCell ref="J260:K260"/>
    <mergeCell ref="J716:K716"/>
    <mergeCell ref="B511:D511"/>
    <mergeCell ref="P601:Q601"/>
    <mergeCell ref="P603:Q603"/>
    <mergeCell ref="J506:S506"/>
    <mergeCell ref="G585:K585"/>
    <mergeCell ref="A1149:I1149"/>
    <mergeCell ref="J1239:S1239"/>
    <mergeCell ref="J962:S962"/>
    <mergeCell ref="K266:M266"/>
    <mergeCell ref="J434:K434"/>
    <mergeCell ref="J705:K705"/>
    <mergeCell ref="J505:S505"/>
    <mergeCell ref="J1161:K1161"/>
    <mergeCell ref="J1074:K1074"/>
    <mergeCell ref="L769:M769"/>
    <mergeCell ref="J741:K742"/>
    <mergeCell ref="J617:K617"/>
    <mergeCell ref="J1032:K1032"/>
    <mergeCell ref="P815:Q815"/>
    <mergeCell ref="B651:D651"/>
    <mergeCell ref="J1163:K1163"/>
    <mergeCell ref="J951:K951"/>
    <mergeCell ref="L1138:M1138"/>
    <mergeCell ref="N141:O141"/>
    <mergeCell ref="J619:K619"/>
    <mergeCell ref="J1034:K1034"/>
    <mergeCell ref="H1006:L1006"/>
    <mergeCell ref="B1109:D1109"/>
    <mergeCell ref="H270:L270"/>
    <mergeCell ref="B652:D652"/>
    <mergeCell ref="N739:O739"/>
    <mergeCell ref="J946:K946"/>
    <mergeCell ref="A590:G590"/>
    <mergeCell ref="G631:K631"/>
    <mergeCell ref="J1104:S1104"/>
    <mergeCell ref="A318:I318"/>
    <mergeCell ref="H728:L728"/>
    <mergeCell ref="AE27:AG27"/>
    <mergeCell ref="P833:Q833"/>
    <mergeCell ref="J330:K330"/>
    <mergeCell ref="G633:K633"/>
    <mergeCell ref="AE20:AG20"/>
    <mergeCell ref="J1087:K1087"/>
    <mergeCell ref="J332:K332"/>
    <mergeCell ref="AE22:AG22"/>
    <mergeCell ref="A778:I778"/>
    <mergeCell ref="A415:S415"/>
    <mergeCell ref="J790:K790"/>
    <mergeCell ref="J1088:K1088"/>
    <mergeCell ref="J661:K661"/>
    <mergeCell ref="B131:F131"/>
    <mergeCell ref="J60:K60"/>
    <mergeCell ref="J273:S273"/>
    <mergeCell ref="L877:M877"/>
    <mergeCell ref="B729:F729"/>
    <mergeCell ref="J806:K806"/>
    <mergeCell ref="H958:L958"/>
    <mergeCell ref="J387:K387"/>
    <mergeCell ref="J871:S871"/>
    <mergeCell ref="J343:K343"/>
    <mergeCell ref="G863:K863"/>
    <mergeCell ref="H9:K9"/>
    <mergeCell ref="J345:K345"/>
    <mergeCell ref="G677:K677"/>
    <mergeCell ref="A635:G635"/>
    <mergeCell ref="M728:S728"/>
    <mergeCell ref="H774:L774"/>
    <mergeCell ref="H317:L317"/>
    <mergeCell ref="N509:O509"/>
    <mergeCell ref="B1241:H1241"/>
    <mergeCell ref="A325:C325"/>
    <mergeCell ref="J71:K71"/>
    <mergeCell ref="A645:S645"/>
    <mergeCell ref="K772:M772"/>
    <mergeCell ref="J1157:K1157"/>
    <mergeCell ref="J1132:K1132"/>
    <mergeCell ref="A1147:I1147"/>
    <mergeCell ref="B1020:D1020"/>
    <mergeCell ref="A413:I413"/>
    <mergeCell ref="M1052:S1052"/>
    <mergeCell ref="J1159:K1159"/>
    <mergeCell ref="J1134:K1134"/>
    <mergeCell ref="J102:K102"/>
    <mergeCell ref="J425:K425"/>
    <mergeCell ref="J318:S318"/>
    <mergeCell ref="Z12:AA12"/>
    <mergeCell ref="H1004:L1004"/>
    <mergeCell ref="G723:K723"/>
    <mergeCell ref="J756:K756"/>
    <mergeCell ref="B228:H228"/>
    <mergeCell ref="P172:Q172"/>
    <mergeCell ref="J643:S643"/>
    <mergeCell ref="Z14:AA14"/>
    <mergeCell ref="A555:C555"/>
    <mergeCell ref="A133:G133"/>
    <mergeCell ref="J758:K758"/>
    <mergeCell ref="J295:K295"/>
    <mergeCell ref="J847:K847"/>
    <mergeCell ref="M40:S40"/>
    <mergeCell ref="K1002:M1002"/>
    <mergeCell ref="B688:H688"/>
    <mergeCell ref="B789:D789"/>
    <mergeCell ref="J882:K882"/>
    <mergeCell ref="J1180:K1180"/>
    <mergeCell ref="J1216:K1216"/>
    <mergeCell ref="J759:K759"/>
    <mergeCell ref="J1243:S1243"/>
    <mergeCell ref="J753:K753"/>
    <mergeCell ref="F647:G647"/>
    <mergeCell ref="H1144:L1144"/>
    <mergeCell ref="F649:G649"/>
    <mergeCell ref="O223:Q223"/>
    <mergeCell ref="A730:G730"/>
    <mergeCell ref="J898:K898"/>
    <mergeCell ref="G446:K446"/>
    <mergeCell ref="H1050:L1050"/>
    <mergeCell ref="B373:D373"/>
    <mergeCell ref="AE9:AG9"/>
    <mergeCell ref="AB8:AD8"/>
    <mergeCell ref="J471:K471"/>
    <mergeCell ref="J900:K900"/>
    <mergeCell ref="L1056:Q1056"/>
    <mergeCell ref="G1044:K1044"/>
    <mergeCell ref="A460:I460"/>
    <mergeCell ref="H1141:L1141"/>
    <mergeCell ref="AB10:AD10"/>
    <mergeCell ref="AE11:AG11"/>
    <mergeCell ref="J473:K473"/>
    <mergeCell ref="J16:K16"/>
    <mergeCell ref="J229:S229"/>
    <mergeCell ref="J1200:K1200"/>
    <mergeCell ref="J168:K168"/>
    <mergeCell ref="J472:K472"/>
    <mergeCell ref="AE4:AG4"/>
    <mergeCell ref="L143:M143"/>
    <mergeCell ref="B545:F545"/>
    <mergeCell ref="B274:H274"/>
    <mergeCell ref="A737:S737"/>
    <mergeCell ref="J1112:K1112"/>
    <mergeCell ref="J797:K797"/>
    <mergeCell ref="H313:L313"/>
    <mergeCell ref="J67:K67"/>
    <mergeCell ref="J413:S413"/>
    <mergeCell ref="F879:G879"/>
    <mergeCell ref="A960:G960"/>
    <mergeCell ref="A689:I689"/>
    <mergeCell ref="J1128:K1128"/>
    <mergeCell ref="J69:K69"/>
    <mergeCell ref="AB21:AD21"/>
    <mergeCell ref="G355:K355"/>
    <mergeCell ref="J701:K701"/>
    <mergeCell ref="P266:Q266"/>
    <mergeCell ref="J1130:K1130"/>
    <mergeCell ref="AB23:AD23"/>
    <mergeCell ref="J396:K396"/>
    <mergeCell ref="J667:K667"/>
    <mergeCell ref="J527:K527"/>
    <mergeCell ref="M1050:S1050"/>
    <mergeCell ref="J703:K703"/>
    <mergeCell ref="J485:K485"/>
    <mergeCell ref="B320:H320"/>
    <mergeCell ref="K496:M496"/>
    <mergeCell ref="J398:K398"/>
    <mergeCell ref="A686:I686"/>
    <mergeCell ref="N647:O647"/>
    <mergeCell ref="J1125:K1125"/>
    <mergeCell ref="B744:D744"/>
    <mergeCell ref="A41:G41"/>
    <mergeCell ref="AB51:AD51"/>
    <mergeCell ref="A226:I226"/>
    <mergeCell ref="Z10:AA10"/>
    <mergeCell ref="L586:M586"/>
    <mergeCell ref="J238:K238"/>
    <mergeCell ref="J843:K843"/>
    <mergeCell ref="L601:M601"/>
    <mergeCell ref="J240:K240"/>
    <mergeCell ref="J845:K845"/>
    <mergeCell ref="L603:M603"/>
    <mergeCell ref="J749:K749"/>
    <mergeCell ref="A600:S600"/>
    <mergeCell ref="J838:K838"/>
    <mergeCell ref="A1195:I1195"/>
    <mergeCell ref="H83:L83"/>
    <mergeCell ref="A828:I828"/>
    <mergeCell ref="P1063:Q1063"/>
    <mergeCell ref="H1142:L1142"/>
    <mergeCell ref="K82:M82"/>
    <mergeCell ref="B366:H366"/>
    <mergeCell ref="H408:L408"/>
    <mergeCell ref="J108:K108"/>
    <mergeCell ref="Z21:AA21"/>
    <mergeCell ref="P1092:Q1092"/>
    <mergeCell ref="L815:M815"/>
    <mergeCell ref="J1240:S1240"/>
    <mergeCell ref="I1051:K1051"/>
    <mergeCell ref="J442:K442"/>
    <mergeCell ref="A728:G728"/>
    <mergeCell ref="A271:G271"/>
    <mergeCell ref="J896:K896"/>
    <mergeCell ref="Z29:AA29"/>
    <mergeCell ref="J1169:K1169"/>
    <mergeCell ref="M362:S362"/>
    <mergeCell ref="Z23:AA23"/>
    <mergeCell ref="J1242:S1242"/>
    <mergeCell ref="M178:S178"/>
    <mergeCell ref="AB6:AD6"/>
    <mergeCell ref="J779:S779"/>
    <mergeCell ref="B54:D54"/>
    <mergeCell ref="G771:K771"/>
    <mergeCell ref="J891:K891"/>
    <mergeCell ref="M776:S776"/>
    <mergeCell ref="Z24:AA24"/>
    <mergeCell ref="J1225:K1225"/>
    <mergeCell ref="J470:K470"/>
    <mergeCell ref="B468:D468"/>
    <mergeCell ref="O545:Q545"/>
    <mergeCell ref="F787:G787"/>
    <mergeCell ref="J42:S42"/>
    <mergeCell ref="P174:Q174"/>
    <mergeCell ref="J795:K795"/>
    <mergeCell ref="K312:M312"/>
    <mergeCell ref="AB17:AD17"/>
    <mergeCell ref="J411:S411"/>
    <mergeCell ref="M83:S83"/>
    <mergeCell ref="L1015:M1015"/>
    <mergeCell ref="J1207:K1207"/>
    <mergeCell ref="J490:K490"/>
    <mergeCell ref="AB19:AD19"/>
    <mergeCell ref="A594:I594"/>
    <mergeCell ref="B867:F867"/>
    <mergeCell ref="M408:S408"/>
    <mergeCell ref="J796:K796"/>
    <mergeCell ref="J1009:S1009"/>
    <mergeCell ref="B412:H412"/>
    <mergeCell ref="J612:K612"/>
    <mergeCell ref="B100:D100"/>
    <mergeCell ref="A317:G317"/>
    <mergeCell ref="AB20:AD20"/>
    <mergeCell ref="J483:K483"/>
    <mergeCell ref="L734:Q734"/>
    <mergeCell ref="AB14:AD14"/>
    <mergeCell ref="L539:M539"/>
    <mergeCell ref="A595:I595"/>
    <mergeCell ref="A773:G773"/>
    <mergeCell ref="B1155:D1155"/>
    <mergeCell ref="H912:L912"/>
    <mergeCell ref="B698:D698"/>
    <mergeCell ref="H1235:L1235"/>
    <mergeCell ref="J935:K935"/>
    <mergeCell ref="I85:K85"/>
    <mergeCell ref="A463:C463"/>
    <mergeCell ref="AH29:AJ29"/>
    <mergeCell ref="A312:G312"/>
    <mergeCell ref="J666:K666"/>
    <mergeCell ref="J937:K937"/>
    <mergeCell ref="J209:K209"/>
    <mergeCell ref="P861:Q861"/>
    <mergeCell ref="M1191:S1191"/>
    <mergeCell ref="A1061:C1061"/>
    <mergeCell ref="J211:K211"/>
    <mergeCell ref="M1190:S1190"/>
    <mergeCell ref="A922:S922"/>
    <mergeCell ref="J536:K536"/>
    <mergeCell ref="L907:M907"/>
    <mergeCell ref="H589:L589"/>
    <mergeCell ref="A824:I824"/>
    <mergeCell ref="H27:K28"/>
    <mergeCell ref="J836:K836"/>
    <mergeCell ref="J560:K560"/>
    <mergeCell ref="B1236:F1236"/>
    <mergeCell ref="P3:Q3"/>
    <mergeCell ref="J106:K106"/>
    <mergeCell ref="L923:M923"/>
    <mergeCell ref="J562:K562"/>
    <mergeCell ref="A552:I552"/>
    <mergeCell ref="P5:Q5"/>
    <mergeCell ref="J1167:K1167"/>
    <mergeCell ref="J433:K433"/>
    <mergeCell ref="B927:D927"/>
    <mergeCell ref="H221:L221"/>
    <mergeCell ref="J435:K435"/>
    <mergeCell ref="J134:S134"/>
    <mergeCell ref="L504:Q504"/>
    <mergeCell ref="J1162:K1162"/>
    <mergeCell ref="F3:G3"/>
    <mergeCell ref="K220:M220"/>
    <mergeCell ref="H819:L819"/>
    <mergeCell ref="P450:Q450"/>
    <mergeCell ref="J580:K580"/>
    <mergeCell ref="J1036:K1036"/>
    <mergeCell ref="M500:S500"/>
    <mergeCell ref="A134:I134"/>
    <mergeCell ref="B504:H504"/>
    <mergeCell ref="M589:S589"/>
    <mergeCell ref="A1141:G1141"/>
    <mergeCell ref="J1038:K1038"/>
    <mergeCell ref="J283:K283"/>
    <mergeCell ref="J581:K581"/>
    <mergeCell ref="J575:K575"/>
    <mergeCell ref="G1182:K1182"/>
    <mergeCell ref="M958:S958"/>
    <mergeCell ref="M501:S501"/>
    <mergeCell ref="L34:M34"/>
    <mergeCell ref="J577:K577"/>
    <mergeCell ref="A917:I917"/>
    <mergeCell ref="A875:S875"/>
  </mergeCells>
  <printOptions horizontalCentered="1"/>
  <pageMargins left="0.1574803149606299" right="0.1574803149606299" top="0.1968503937007874" bottom="0.1968503937007874" header="0.3149606299212598" footer="0.3149606299212598"/>
  <pageSetup orientation="portrait" paperSize="9" scale="73" horizontalDpi="4294967293" verticalDpi="360"/>
  <rowBreaks count="26" manualBreakCount="26">
    <brk id="46" min="0" max="34" man="1"/>
    <brk id="92" min="0" max="34" man="1"/>
    <brk id="138" min="0" max="34" man="1"/>
    <brk id="184" min="0" max="34" man="1"/>
    <brk id="230" min="0" max="34" man="1"/>
    <brk id="276" min="0" max="34" man="1"/>
    <brk id="322" min="0" max="36" man="1"/>
    <brk id="368" min="0" max="36" man="1"/>
    <brk id="414" min="0" max="34" man="1"/>
    <brk id="460" min="0" max="34" man="1"/>
    <brk id="506" min="0" max="36" man="1"/>
    <brk id="552" min="0" max="34" man="1"/>
    <brk id="598" min="0" max="36" man="1"/>
    <brk id="644" min="0" max="36" man="1"/>
    <brk id="690" min="0" max="36" man="1"/>
    <brk id="736" min="0" max="36" man="1"/>
    <brk id="782" min="0" max="36" man="1"/>
    <brk id="828" min="0" max="34" man="1"/>
    <brk id="874" min="0" max="34" man="1"/>
    <brk id="920" min="0" max="34" man="1"/>
    <brk id="966" min="0" max="34" man="1"/>
    <brk id="1012" min="0" max="34" man="1"/>
    <brk id="1058" min="0" max="34" man="1"/>
    <brk id="1104" min="0" max="34" man="1"/>
    <brk id="1150" min="0" max="34" man="1"/>
    <brk id="1196" min="0" max="34" man="1"/>
  </rowBreaks>
  <colBreaks count="1" manualBreakCount="1">
    <brk id="19" min="0" max="1199" man="1"/>
  </col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7"/>
  <sheetViews>
    <sheetView tabSelected="1" view="pageBreakPreview" topLeftCell="A4" zoomScale="85" zoomScaleNormal="85" zoomScaleSheetLayoutView="85" workbookViewId="0">
      <selection activeCell="B7" sqref="B7"/>
    </sheetView>
  </sheetViews>
  <sheetFormatPr baseColWidth="8" defaultRowHeight="23.4"/>
  <cols>
    <col width="6.88671875" customWidth="1" style="330" min="1" max="1"/>
    <col width="31.88671875" customWidth="1" style="330" min="2" max="2"/>
    <col width="6.6640625" customWidth="1" style="330" min="3" max="3"/>
    <col width="13.5546875" customWidth="1" style="330" min="4" max="4"/>
    <col width="6.6640625" customWidth="1" style="330" min="5" max="5"/>
    <col width="13.5546875" customWidth="1" style="330" min="6" max="6"/>
    <col width="6.6640625" customWidth="1" style="330" min="7" max="7"/>
    <col width="13.5546875" customWidth="1" style="330" min="8" max="8"/>
    <col width="6.6640625" customWidth="1" style="330" min="9" max="9"/>
    <col width="13.5546875" customWidth="1" style="330" min="10" max="10"/>
    <col width="6.6640625" customWidth="1" style="330" min="11" max="11"/>
    <col width="13.5546875" customWidth="1" style="330" min="12" max="12"/>
    <col width="6.88671875" customWidth="1" style="330" min="13" max="13"/>
    <col width="13.5546875" customWidth="1" style="330" min="14" max="15"/>
    <col width="17.33203125" customWidth="1" style="330" min="16" max="16"/>
  </cols>
  <sheetData>
    <row r="1" ht="13.5" customHeight="1" s="330">
      <c r="A1" s="30" t="n"/>
      <c r="B1" s="30" t="n"/>
      <c r="C1" s="30" t="n"/>
      <c r="D1" s="373" t="inlineStr">
        <is>
          <t>ครูประจำ</t>
        </is>
      </c>
      <c r="I1" s="31" t="n"/>
      <c r="J1" s="30" t="n"/>
      <c r="K1" s="30" t="n"/>
      <c r="L1" s="30" t="n"/>
      <c r="M1" s="30" t="n"/>
      <c r="N1" s="30" t="n"/>
      <c r="O1" s="30" t="n"/>
      <c r="P1" s="30" t="n"/>
    </row>
    <row r="2" ht="15" customHeight="1" s="330">
      <c r="A2" s="30" t="n"/>
      <c r="B2" s="30" t="n"/>
      <c r="C2" s="30" t="n"/>
      <c r="I2" s="31" t="n"/>
      <c r="J2" s="30" t="n"/>
      <c r="K2" s="30" t="n"/>
      <c r="L2" s="30" t="n"/>
      <c r="M2" s="30" t="n"/>
      <c r="N2" s="30" t="n"/>
      <c r="O2" s="30" t="n"/>
      <c r="P2" s="30" t="n"/>
    </row>
    <row r="3" ht="15" customHeight="1" s="330">
      <c r="A3" s="30" t="n"/>
      <c r="B3" s="30" t="n"/>
      <c r="C3" s="30" t="n"/>
      <c r="D3" s="31" t="n"/>
      <c r="E3" s="31" t="n"/>
      <c r="F3" s="31" t="n"/>
      <c r="G3" s="31" t="n"/>
      <c r="H3" s="31" t="n"/>
      <c r="I3" s="31" t="n"/>
      <c r="J3" s="30" t="n"/>
      <c r="K3" s="30" t="n"/>
      <c r="L3" s="30" t="n"/>
      <c r="M3" s="30" t="n"/>
      <c r="N3" s="30" t="n"/>
      <c r="O3" s="30" t="n"/>
      <c r="P3" s="30" t="n"/>
    </row>
    <row r="4" ht="21.75" customHeight="1" s="330">
      <c r="A4" s="491" t="inlineStr">
        <is>
          <t>ลำดับ</t>
        </is>
      </c>
      <c r="B4" s="492" t="inlineStr">
        <is>
          <t>ชื่อ-สกุล</t>
        </is>
      </c>
      <c r="C4" s="493" t="n">
        <v>1</v>
      </c>
      <c r="D4" s="362" t="n"/>
      <c r="E4" s="493" t="n">
        <v>2</v>
      </c>
      <c r="F4" s="362" t="n"/>
      <c r="G4" s="493" t="n">
        <v>3</v>
      </c>
      <c r="H4" s="362" t="n"/>
      <c r="I4" s="493" t="n">
        <v>4</v>
      </c>
      <c r="J4" s="362" t="n"/>
      <c r="K4" s="493" t="n">
        <v>5</v>
      </c>
      <c r="L4" s="362" t="n"/>
      <c r="M4" s="493" t="n">
        <v>6</v>
      </c>
      <c r="N4" s="362" t="n"/>
      <c r="O4" s="492" t="inlineStr">
        <is>
          <t>รวม / ชม.</t>
        </is>
      </c>
      <c r="P4" s="492" t="inlineStr">
        <is>
          <t>รวม</t>
        </is>
      </c>
    </row>
    <row r="5" ht="21.75" customHeight="1" s="330">
      <c r="A5" s="474" t="n"/>
      <c r="B5" s="474" t="n"/>
      <c r="C5" s="32" t="inlineStr">
        <is>
          <t>ชม/ส</t>
        </is>
      </c>
      <c r="D5" s="32" t="inlineStr">
        <is>
          <t>เงิน</t>
        </is>
      </c>
      <c r="E5" s="32" t="inlineStr">
        <is>
          <t>ชม/ส</t>
        </is>
      </c>
      <c r="F5" s="32" t="inlineStr">
        <is>
          <t>เงิน</t>
        </is>
      </c>
      <c r="G5" s="32" t="inlineStr">
        <is>
          <t>ชม/ส</t>
        </is>
      </c>
      <c r="H5" s="32" t="inlineStr">
        <is>
          <t>เงิน</t>
        </is>
      </c>
      <c r="I5" s="32" t="inlineStr">
        <is>
          <t>ชม/ส</t>
        </is>
      </c>
      <c r="J5" s="32" t="inlineStr">
        <is>
          <t>เงิน</t>
        </is>
      </c>
      <c r="K5" s="32" t="n">
        <v>5</v>
      </c>
      <c r="L5" s="32" t="inlineStr">
        <is>
          <t>เงิน</t>
        </is>
      </c>
      <c r="M5" s="32" t="inlineStr">
        <is>
          <t>ชม/ส</t>
        </is>
      </c>
      <c r="N5" s="32" t="inlineStr">
        <is>
          <t>เงิน</t>
        </is>
      </c>
      <c r="O5" s="474" t="n"/>
      <c r="P5" s="474" t="n"/>
    </row>
    <row r="6" ht="21.75" customHeight="1" s="330">
      <c r="A6" s="33" t="n">
        <v>1</v>
      </c>
      <c r="B6" s="34">
        <f>#REF!</f>
        <v/>
      </c>
      <c r="C6" s="34">
        <f>'สัปดาห์ที่ 1'!AE3</f>
        <v/>
      </c>
      <c r="D6" s="35">
        <f>'สัปดาห์ที่ 1'!AH3</f>
        <v/>
      </c>
      <c r="E6" s="155">
        <f>'สัปดาห์ที่ 2'!AE3</f>
        <v/>
      </c>
      <c r="F6" s="35">
        <f>'สัปดาห์ที่ 2'!AH3</f>
        <v/>
      </c>
      <c r="G6" s="155">
        <f>'สัปดาห์ที่ 3'!AE3</f>
        <v/>
      </c>
      <c r="H6" s="35">
        <f>'สัปดาห์ที่ 3'!AH3</f>
        <v/>
      </c>
      <c r="I6" s="155">
        <f>'สัปดาห์ที่ 4'!AE3</f>
        <v/>
      </c>
      <c r="J6" s="35">
        <f>'สัปดาห์ที่ 4'!AH3</f>
        <v/>
      </c>
      <c r="K6" s="35">
        <f>'สัปดาห์ที่ 5'!AE3</f>
        <v/>
      </c>
      <c r="L6" s="35">
        <f>'สัปดาห์ที่ 5'!AH3</f>
        <v/>
      </c>
      <c r="M6" s="35" t="n">
        <v>0</v>
      </c>
      <c r="N6" s="35" t="n">
        <v>0</v>
      </c>
      <c r="O6" s="35">
        <f>C6+E6+G6+I6+K6+M6</f>
        <v/>
      </c>
      <c r="P6" s="35">
        <f>D6+F6+H6+J6+L6+N6</f>
        <v/>
      </c>
    </row>
    <row r="7" ht="21.75" customHeight="1" s="330">
      <c r="A7" s="33" t="n">
        <v>2</v>
      </c>
      <c r="B7" s="34">
        <f>#REF!</f>
        <v/>
      </c>
      <c r="C7" s="34">
        <f>'สัปดาห์ที่ 1'!AE4</f>
        <v/>
      </c>
      <c r="D7" s="35">
        <f>'สัปดาห์ที่ 1'!AH4</f>
        <v/>
      </c>
      <c r="E7" s="155">
        <f>'สัปดาห์ที่ 2'!AE4</f>
        <v/>
      </c>
      <c r="F7" s="35">
        <f>'สัปดาห์ที่ 2'!AH4</f>
        <v/>
      </c>
      <c r="G7" s="155">
        <f>'สัปดาห์ที่ 3'!AE4</f>
        <v/>
      </c>
      <c r="H7" s="35">
        <f>'สัปดาห์ที่ 3'!AH4</f>
        <v/>
      </c>
      <c r="I7" s="155">
        <f>'สัปดาห์ที่ 4'!AE4</f>
        <v/>
      </c>
      <c r="J7" s="35">
        <f>'สัปดาห์ที่ 4'!AH4</f>
        <v/>
      </c>
      <c r="K7" s="35">
        <f>'สัปดาห์ที่ 5'!AE4</f>
        <v/>
      </c>
      <c r="L7" s="35">
        <f>'สัปดาห์ที่ 5'!AH4</f>
        <v/>
      </c>
      <c r="M7" s="35" t="n">
        <v>0</v>
      </c>
      <c r="N7" s="35" t="n">
        <v>0</v>
      </c>
      <c r="O7" s="35">
        <f>C7+E7+G7+I7+K7</f>
        <v/>
      </c>
      <c r="P7" s="35">
        <f>D7+F7+H7+J7+L7</f>
        <v/>
      </c>
    </row>
    <row r="8" ht="21.75" customHeight="1" s="330">
      <c r="A8" s="33" t="n">
        <v>3</v>
      </c>
      <c r="B8" s="34">
        <f>#REF!</f>
        <v/>
      </c>
      <c r="C8" s="34">
        <f>'สัปดาห์ที่ 1'!AE5</f>
        <v/>
      </c>
      <c r="D8" s="35">
        <f>'สัปดาห์ที่ 1'!AH5</f>
        <v/>
      </c>
      <c r="E8" s="155">
        <f>'สัปดาห์ที่ 2'!AE5</f>
        <v/>
      </c>
      <c r="F8" s="35">
        <f>'สัปดาห์ที่ 2'!AH5</f>
        <v/>
      </c>
      <c r="G8" s="155">
        <f>'สัปดาห์ที่ 3'!AE5</f>
        <v/>
      </c>
      <c r="H8" s="35">
        <f>'สัปดาห์ที่ 3'!AH5</f>
        <v/>
      </c>
      <c r="I8" s="155">
        <f>'สัปดาห์ที่ 4'!AE5</f>
        <v/>
      </c>
      <c r="J8" s="35">
        <f>'สัปดาห์ที่ 4'!AH5</f>
        <v/>
      </c>
      <c r="K8" s="35">
        <f>'สัปดาห์ที่ 5'!AE5</f>
        <v/>
      </c>
      <c r="L8" s="35">
        <f>'สัปดาห์ที่ 5'!AH5</f>
        <v/>
      </c>
      <c r="M8" s="35" t="n">
        <v>0</v>
      </c>
      <c r="N8" s="35" t="n">
        <v>0</v>
      </c>
      <c r="O8" s="35">
        <f>C8+E8+G8+I8+K8</f>
        <v/>
      </c>
      <c r="P8" s="35">
        <f>D8+F8+H8+J8+L8</f>
        <v/>
      </c>
    </row>
    <row r="9" ht="21.75" customHeight="1" s="330">
      <c r="A9" s="33" t="n">
        <v>4</v>
      </c>
      <c r="B9" s="34">
        <f>#REF!</f>
        <v/>
      </c>
      <c r="C9" s="34">
        <f>'สัปดาห์ที่ 1'!AE6</f>
        <v/>
      </c>
      <c r="D9" s="35">
        <f>'สัปดาห์ที่ 1'!AH6</f>
        <v/>
      </c>
      <c r="E9" s="155">
        <f>'สัปดาห์ที่ 2'!AE6</f>
        <v/>
      </c>
      <c r="F9" s="35">
        <f>'สัปดาห์ที่ 2'!AH6</f>
        <v/>
      </c>
      <c r="G9" s="155">
        <f>'สัปดาห์ที่ 3'!AE6</f>
        <v/>
      </c>
      <c r="H9" s="35">
        <f>'สัปดาห์ที่ 3'!AH6</f>
        <v/>
      </c>
      <c r="I9" s="155">
        <f>'สัปดาห์ที่ 4'!AE6</f>
        <v/>
      </c>
      <c r="J9" s="35">
        <f>'สัปดาห์ที่ 4'!AH6</f>
        <v/>
      </c>
      <c r="K9" s="35">
        <f>'สัปดาห์ที่ 5'!AE6</f>
        <v/>
      </c>
      <c r="L9" s="35">
        <f>'สัปดาห์ที่ 5'!AH6</f>
        <v/>
      </c>
      <c r="M9" s="35" t="n">
        <v>0</v>
      </c>
      <c r="N9" s="35" t="n">
        <v>0</v>
      </c>
      <c r="O9" s="35">
        <f>C9+E9+G9+I9+K9</f>
        <v/>
      </c>
      <c r="P9" s="35">
        <f>D9+F9+H9+J9+L9</f>
        <v/>
      </c>
    </row>
    <row r="10" ht="21.75" customHeight="1" s="330">
      <c r="A10" s="33" t="n">
        <v>5</v>
      </c>
      <c r="B10" s="34">
        <f>#REF!</f>
        <v/>
      </c>
      <c r="C10" s="34">
        <f>'สัปดาห์ที่ 1'!AE7</f>
        <v/>
      </c>
      <c r="D10" s="35">
        <f>'สัปดาห์ที่ 1'!AH7</f>
        <v/>
      </c>
      <c r="E10" s="155">
        <f>'สัปดาห์ที่ 2'!AE7</f>
        <v/>
      </c>
      <c r="F10" s="35">
        <f>'สัปดาห์ที่ 2'!AH7</f>
        <v/>
      </c>
      <c r="G10" s="155">
        <f>'สัปดาห์ที่ 3'!AE7</f>
        <v/>
      </c>
      <c r="H10" s="35">
        <f>'สัปดาห์ที่ 3'!AH7</f>
        <v/>
      </c>
      <c r="I10" s="155">
        <f>'สัปดาห์ที่ 4'!AE7</f>
        <v/>
      </c>
      <c r="J10" s="35">
        <f>'สัปดาห์ที่ 4'!AH7</f>
        <v/>
      </c>
      <c r="K10" s="35">
        <f>'สัปดาห์ที่ 5'!AE7</f>
        <v/>
      </c>
      <c r="L10" s="35">
        <f>'สัปดาห์ที่ 5'!AH7</f>
        <v/>
      </c>
      <c r="M10" s="35" t="n">
        <v>0</v>
      </c>
      <c r="N10" s="35" t="n">
        <v>0</v>
      </c>
      <c r="O10" s="35">
        <f>C10+E10+G10+I10+K10</f>
        <v/>
      </c>
      <c r="P10" s="35">
        <f>D10+F10+H10+J10+L10</f>
        <v/>
      </c>
    </row>
    <row r="11" ht="21.75" customHeight="1" s="330">
      <c r="A11" s="33" t="n">
        <v>6</v>
      </c>
      <c r="B11" s="34">
        <f>#REF!</f>
        <v/>
      </c>
      <c r="C11" s="34">
        <f>'สัปดาห์ที่ 1'!AE8</f>
        <v/>
      </c>
      <c r="D11" s="35">
        <f>'สัปดาห์ที่ 1'!AH8</f>
        <v/>
      </c>
      <c r="E11" s="155">
        <f>'สัปดาห์ที่ 2'!AE8</f>
        <v/>
      </c>
      <c r="F11" s="35">
        <f>'สัปดาห์ที่ 2'!AH8</f>
        <v/>
      </c>
      <c r="G11" s="155">
        <f>'สัปดาห์ที่ 3'!AE8</f>
        <v/>
      </c>
      <c r="H11" s="35">
        <f>'สัปดาห์ที่ 3'!AH8</f>
        <v/>
      </c>
      <c r="I11" s="155">
        <f>'สัปดาห์ที่ 4'!AE8</f>
        <v/>
      </c>
      <c r="J11" s="35">
        <f>'สัปดาห์ที่ 4'!AH8</f>
        <v/>
      </c>
      <c r="K11" s="35">
        <f>'สัปดาห์ที่ 5'!AE8</f>
        <v/>
      </c>
      <c r="L11" s="35">
        <f>'สัปดาห์ที่ 5'!AH8</f>
        <v/>
      </c>
      <c r="M11" s="35" t="n">
        <v>0</v>
      </c>
      <c r="N11" s="35" t="n">
        <v>0</v>
      </c>
      <c r="O11" s="35">
        <f>C11+E11+G11+I11+K11</f>
        <v/>
      </c>
      <c r="P11" s="35">
        <f>D11+F11+H11+J11+L11</f>
        <v/>
      </c>
    </row>
    <row r="12" ht="21.75" customHeight="1" s="330">
      <c r="A12" s="33" t="n">
        <v>7</v>
      </c>
      <c r="B12" s="34">
        <f>#REF!</f>
        <v/>
      </c>
      <c r="C12" s="34">
        <f>'สัปดาห์ที่ 1'!AE9</f>
        <v/>
      </c>
      <c r="D12" s="35">
        <f>'สัปดาห์ที่ 1'!AH9</f>
        <v/>
      </c>
      <c r="E12" s="155">
        <f>'สัปดาห์ที่ 2'!AE9</f>
        <v/>
      </c>
      <c r="F12" s="35">
        <f>'สัปดาห์ที่ 2'!AH9</f>
        <v/>
      </c>
      <c r="G12" s="155">
        <f>'สัปดาห์ที่ 3'!AE9</f>
        <v/>
      </c>
      <c r="H12" s="35">
        <f>'สัปดาห์ที่ 3'!AH9</f>
        <v/>
      </c>
      <c r="I12" s="155">
        <f>'สัปดาห์ที่ 4'!AE9</f>
        <v/>
      </c>
      <c r="J12" s="35">
        <f>'สัปดาห์ที่ 4'!AH9</f>
        <v/>
      </c>
      <c r="K12" s="35">
        <f>'สัปดาห์ที่ 5'!AE9</f>
        <v/>
      </c>
      <c r="L12" s="35">
        <f>'สัปดาห์ที่ 5'!AH9</f>
        <v/>
      </c>
      <c r="M12" s="35" t="n">
        <v>0</v>
      </c>
      <c r="N12" s="35" t="n">
        <v>0</v>
      </c>
      <c r="O12" s="35">
        <f>C12+E12+G12+I12+K12</f>
        <v/>
      </c>
      <c r="P12" s="35">
        <f>D12+F12+H12+J12+L12</f>
        <v/>
      </c>
    </row>
    <row r="13" ht="21.75" customHeight="1" s="330">
      <c r="A13" s="33" t="n">
        <v>8</v>
      </c>
      <c r="B13" s="34">
        <f>#REF!</f>
        <v/>
      </c>
      <c r="C13" s="34">
        <f>'สัปดาห์ที่ 1'!AE10</f>
        <v/>
      </c>
      <c r="D13" s="35">
        <f>'สัปดาห์ที่ 1'!AH10</f>
        <v/>
      </c>
      <c r="E13" s="155">
        <f>'สัปดาห์ที่ 2'!AE10</f>
        <v/>
      </c>
      <c r="F13" s="35">
        <f>'สัปดาห์ที่ 2'!AH10</f>
        <v/>
      </c>
      <c r="G13" s="155">
        <f>'สัปดาห์ที่ 3'!AE10</f>
        <v/>
      </c>
      <c r="H13" s="35">
        <f>'สัปดาห์ที่ 3'!AH10</f>
        <v/>
      </c>
      <c r="I13" s="155">
        <f>'สัปดาห์ที่ 4'!AE10</f>
        <v/>
      </c>
      <c r="J13" s="35">
        <f>'สัปดาห์ที่ 4'!AH10</f>
        <v/>
      </c>
      <c r="K13" s="35">
        <f>'สัปดาห์ที่ 5'!AE10</f>
        <v/>
      </c>
      <c r="L13" s="35">
        <f>'สัปดาห์ที่ 5'!AH10</f>
        <v/>
      </c>
      <c r="M13" s="35" t="n">
        <v>0</v>
      </c>
      <c r="N13" s="35" t="n">
        <v>0</v>
      </c>
      <c r="O13" s="35">
        <f>C13+E13+G13+I13+K13</f>
        <v/>
      </c>
      <c r="P13" s="35">
        <f>D13+F13+H13+J13+L13</f>
        <v/>
      </c>
    </row>
    <row r="14" ht="21.75" customHeight="1" s="330">
      <c r="A14" s="33" t="n">
        <v>9</v>
      </c>
      <c r="B14" s="34">
        <f>#REF!</f>
        <v/>
      </c>
      <c r="C14" s="34">
        <f>'สัปดาห์ที่ 1'!AE11</f>
        <v/>
      </c>
      <c r="D14" s="35">
        <f>'สัปดาห์ที่ 1'!AH11</f>
        <v/>
      </c>
      <c r="E14" s="155">
        <f>'สัปดาห์ที่ 2'!AE11</f>
        <v/>
      </c>
      <c r="F14" s="35">
        <f>'สัปดาห์ที่ 2'!AH11</f>
        <v/>
      </c>
      <c r="G14" s="155">
        <f>'สัปดาห์ที่ 3'!AE11</f>
        <v/>
      </c>
      <c r="H14" s="35">
        <f>'สัปดาห์ที่ 3'!AH11</f>
        <v/>
      </c>
      <c r="I14" s="155">
        <f>'สัปดาห์ที่ 4'!AE11</f>
        <v/>
      </c>
      <c r="J14" s="35">
        <f>'สัปดาห์ที่ 4'!AH11</f>
        <v/>
      </c>
      <c r="K14" s="35">
        <f>'สัปดาห์ที่ 5'!AE11</f>
        <v/>
      </c>
      <c r="L14" s="35">
        <f>'สัปดาห์ที่ 5'!AH11</f>
        <v/>
      </c>
      <c r="M14" s="35" t="n">
        <v>0</v>
      </c>
      <c r="N14" s="35" t="n">
        <v>0</v>
      </c>
      <c r="O14" s="35">
        <f>C14+E14+G14+I14+K14</f>
        <v/>
      </c>
      <c r="P14" s="35">
        <f>D14+F14+H14+J14+L14</f>
        <v/>
      </c>
    </row>
    <row r="15" ht="21.75" customHeight="1" s="330">
      <c r="A15" s="33" t="n">
        <v>10</v>
      </c>
      <c r="B15" s="34">
        <f>#REF!</f>
        <v/>
      </c>
      <c r="C15" s="34">
        <f>'สัปดาห์ที่ 1'!AE12</f>
        <v/>
      </c>
      <c r="D15" s="35">
        <f>'สัปดาห์ที่ 1'!AH12</f>
        <v/>
      </c>
      <c r="E15" s="155">
        <f>'สัปดาห์ที่ 2'!AE12</f>
        <v/>
      </c>
      <c r="F15" s="35">
        <f>'สัปดาห์ที่ 2'!AH12</f>
        <v/>
      </c>
      <c r="G15" s="155">
        <f>'สัปดาห์ที่ 3'!AE12</f>
        <v/>
      </c>
      <c r="H15" s="35">
        <f>'สัปดาห์ที่ 3'!AH12</f>
        <v/>
      </c>
      <c r="I15" s="155">
        <f>'สัปดาห์ที่ 4'!AE12</f>
        <v/>
      </c>
      <c r="J15" s="35">
        <f>'สัปดาห์ที่ 4'!AH12</f>
        <v/>
      </c>
      <c r="K15" s="35">
        <f>'สัปดาห์ที่ 5'!AE12</f>
        <v/>
      </c>
      <c r="L15" s="35">
        <f>'สัปดาห์ที่ 5'!AH12</f>
        <v/>
      </c>
      <c r="M15" s="35" t="n">
        <v>0</v>
      </c>
      <c r="N15" s="35" t="n">
        <v>0</v>
      </c>
      <c r="O15" s="35">
        <f>C15+E15+G15+I15+K15</f>
        <v/>
      </c>
      <c r="P15" s="35">
        <f>D15+F15+H15+J15+L15</f>
        <v/>
      </c>
    </row>
    <row r="16" ht="21.75" customHeight="1" s="330">
      <c r="A16" s="33" t="n">
        <v>11</v>
      </c>
      <c r="B16" s="34">
        <f>#REF!</f>
        <v/>
      </c>
      <c r="C16" s="34">
        <f>'สัปดาห์ที่ 1'!AE13</f>
        <v/>
      </c>
      <c r="D16" s="35">
        <f>'สัปดาห์ที่ 1'!AH13</f>
        <v/>
      </c>
      <c r="E16" s="155">
        <f>'สัปดาห์ที่ 2'!AE13</f>
        <v/>
      </c>
      <c r="F16" s="35">
        <f>'สัปดาห์ที่ 2'!AH13</f>
        <v/>
      </c>
      <c r="G16" s="155">
        <f>'สัปดาห์ที่ 3'!AE13</f>
        <v/>
      </c>
      <c r="H16" s="35">
        <f>'สัปดาห์ที่ 3'!AH13</f>
        <v/>
      </c>
      <c r="I16" s="155">
        <f>'สัปดาห์ที่ 4'!AE13</f>
        <v/>
      </c>
      <c r="J16" s="35">
        <f>'สัปดาห์ที่ 4'!AH13</f>
        <v/>
      </c>
      <c r="K16" s="35">
        <f>'สัปดาห์ที่ 5'!AE13</f>
        <v/>
      </c>
      <c r="L16" s="35">
        <f>'สัปดาห์ที่ 5'!AH13</f>
        <v/>
      </c>
      <c r="M16" s="35" t="n">
        <v>0</v>
      </c>
      <c r="N16" s="35" t="n">
        <v>0</v>
      </c>
      <c r="O16" s="35">
        <f>C16+E16+G16+I16+K16</f>
        <v/>
      </c>
      <c r="P16" s="35">
        <f>D16+F16+H16+J16+L16</f>
        <v/>
      </c>
    </row>
    <row r="17" ht="21.75" customHeight="1" s="330">
      <c r="A17" s="33" t="n">
        <v>12</v>
      </c>
      <c r="B17" s="34">
        <f>#REF!</f>
        <v/>
      </c>
      <c r="C17" s="34">
        <f>'สัปดาห์ที่ 1'!AE14</f>
        <v/>
      </c>
      <c r="D17" s="35">
        <f>'สัปดาห์ที่ 1'!AH14</f>
        <v/>
      </c>
      <c r="E17" s="155">
        <f>'สัปดาห์ที่ 2'!AE14</f>
        <v/>
      </c>
      <c r="F17" s="35">
        <f>'สัปดาห์ที่ 2'!AH14</f>
        <v/>
      </c>
      <c r="G17" s="155">
        <f>'สัปดาห์ที่ 3'!AE14</f>
        <v/>
      </c>
      <c r="H17" s="35">
        <f>'สัปดาห์ที่ 3'!AH14</f>
        <v/>
      </c>
      <c r="I17" s="155">
        <f>'สัปดาห์ที่ 4'!AE14</f>
        <v/>
      </c>
      <c r="J17" s="35">
        <f>'สัปดาห์ที่ 4'!AH14</f>
        <v/>
      </c>
      <c r="K17" s="35">
        <f>'สัปดาห์ที่ 5'!AE14</f>
        <v/>
      </c>
      <c r="L17" s="35">
        <f>'สัปดาห์ที่ 5'!AH14</f>
        <v/>
      </c>
      <c r="M17" s="35" t="n">
        <v>0</v>
      </c>
      <c r="N17" s="35" t="n">
        <v>0</v>
      </c>
      <c r="O17" s="35">
        <f>C17+E17+G17+I17+K17</f>
        <v/>
      </c>
      <c r="P17" s="35">
        <f>D17+F17+H17+J17+L17</f>
        <v/>
      </c>
    </row>
    <row r="18" ht="21.75" customHeight="1" s="330">
      <c r="A18" s="33" t="n">
        <v>13</v>
      </c>
      <c r="B18" s="34">
        <f>#REF!</f>
        <v/>
      </c>
      <c r="C18" s="34">
        <f>'สัปดาห์ที่ 1'!AE15</f>
        <v/>
      </c>
      <c r="D18" s="35">
        <f>'สัปดาห์ที่ 1'!AH15</f>
        <v/>
      </c>
      <c r="E18" s="155">
        <f>'สัปดาห์ที่ 2'!AE15</f>
        <v/>
      </c>
      <c r="F18" s="35">
        <f>'สัปดาห์ที่ 2'!AH15</f>
        <v/>
      </c>
      <c r="G18" s="155">
        <f>'สัปดาห์ที่ 3'!AE15</f>
        <v/>
      </c>
      <c r="H18" s="35">
        <f>'สัปดาห์ที่ 3'!AH15</f>
        <v/>
      </c>
      <c r="I18" s="155">
        <f>'สัปดาห์ที่ 4'!AE15</f>
        <v/>
      </c>
      <c r="J18" s="35">
        <f>'สัปดาห์ที่ 4'!AH15</f>
        <v/>
      </c>
      <c r="K18" s="35">
        <f>'สัปดาห์ที่ 5'!AE15</f>
        <v/>
      </c>
      <c r="L18" s="35">
        <f>'สัปดาห์ที่ 5'!AH15</f>
        <v/>
      </c>
      <c r="M18" s="35" t="n">
        <v>0</v>
      </c>
      <c r="N18" s="35" t="n">
        <v>0</v>
      </c>
      <c r="O18" s="35">
        <f>C18+E18+G18+I18+K18</f>
        <v/>
      </c>
      <c r="P18" s="35">
        <f>D18+F18+H18+J18+L18</f>
        <v/>
      </c>
    </row>
    <row r="19" ht="21.75" customHeight="1" s="330">
      <c r="A19" s="33" t="n">
        <v>14</v>
      </c>
      <c r="B19" s="34">
        <f>#REF!</f>
        <v/>
      </c>
      <c r="C19" s="34">
        <f>'สัปดาห์ที่ 1'!AE16</f>
        <v/>
      </c>
      <c r="D19" s="35">
        <f>'สัปดาห์ที่ 1'!AH16</f>
        <v/>
      </c>
      <c r="E19" s="155">
        <f>'สัปดาห์ที่ 2'!AE16</f>
        <v/>
      </c>
      <c r="F19" s="35">
        <f>'สัปดาห์ที่ 2'!AH16</f>
        <v/>
      </c>
      <c r="G19" s="155">
        <f>'สัปดาห์ที่ 3'!AE16</f>
        <v/>
      </c>
      <c r="H19" s="35">
        <f>'สัปดาห์ที่ 3'!AH16</f>
        <v/>
      </c>
      <c r="I19" s="155">
        <f>'สัปดาห์ที่ 4'!AE16</f>
        <v/>
      </c>
      <c r="J19" s="35">
        <f>'สัปดาห์ที่ 4'!AH16</f>
        <v/>
      </c>
      <c r="K19" s="35">
        <f>'สัปดาห์ที่ 5'!AE16</f>
        <v/>
      </c>
      <c r="L19" s="35">
        <f>'สัปดาห์ที่ 5'!AH16</f>
        <v/>
      </c>
      <c r="M19" s="35" t="n">
        <v>0</v>
      </c>
      <c r="N19" s="35" t="n">
        <v>0</v>
      </c>
      <c r="O19" s="35">
        <f>C19+E19+G19+I19+K19</f>
        <v/>
      </c>
      <c r="P19" s="35">
        <f>D19+F19+H19+J19+L19</f>
        <v/>
      </c>
    </row>
    <row r="20" ht="21.75" customHeight="1" s="330">
      <c r="A20" s="33" t="n">
        <v>15</v>
      </c>
      <c r="B20" s="34">
        <f>#REF!</f>
        <v/>
      </c>
      <c r="C20" s="34">
        <f>'สัปดาห์ที่ 1'!AE17</f>
        <v/>
      </c>
      <c r="D20" s="35">
        <f>'สัปดาห์ที่ 1'!AH17</f>
        <v/>
      </c>
      <c r="E20" s="155">
        <f>'สัปดาห์ที่ 2'!AE17</f>
        <v/>
      </c>
      <c r="F20" s="35">
        <f>'สัปดาห์ที่ 2'!AH17</f>
        <v/>
      </c>
      <c r="G20" s="155">
        <f>'สัปดาห์ที่ 3'!AE17</f>
        <v/>
      </c>
      <c r="H20" s="35">
        <f>'สัปดาห์ที่ 3'!AH17</f>
        <v/>
      </c>
      <c r="I20" s="155">
        <f>'สัปดาห์ที่ 4'!AE17</f>
        <v/>
      </c>
      <c r="J20" s="35">
        <f>'สัปดาห์ที่ 4'!AH17</f>
        <v/>
      </c>
      <c r="K20" s="35">
        <f>'สัปดาห์ที่ 5'!AE17</f>
        <v/>
      </c>
      <c r="L20" s="35">
        <f>'สัปดาห์ที่ 5'!AH17</f>
        <v/>
      </c>
      <c r="M20" s="35" t="n">
        <v>0</v>
      </c>
      <c r="N20" s="35" t="n">
        <v>0</v>
      </c>
      <c r="O20" s="35">
        <f>C20+E20+G20+I20+K20</f>
        <v/>
      </c>
      <c r="P20" s="35">
        <f>D20+F20+H20+J20+L20</f>
        <v/>
      </c>
    </row>
    <row r="21" ht="21.75" customHeight="1" s="330">
      <c r="A21" s="33" t="n">
        <v>16</v>
      </c>
      <c r="B21" s="34">
        <f>#REF!</f>
        <v/>
      </c>
      <c r="C21" s="34">
        <f>'สัปดาห์ที่ 1'!AE18</f>
        <v/>
      </c>
      <c r="D21" s="35">
        <f>'สัปดาห์ที่ 1'!AH18</f>
        <v/>
      </c>
      <c r="E21" s="155">
        <f>'สัปดาห์ที่ 2'!AE18</f>
        <v/>
      </c>
      <c r="F21" s="35">
        <f>'สัปดาห์ที่ 2'!AH18</f>
        <v/>
      </c>
      <c r="G21" s="155">
        <f>'สัปดาห์ที่ 3'!AE18</f>
        <v/>
      </c>
      <c r="H21" s="35">
        <f>'สัปดาห์ที่ 3'!AH18</f>
        <v/>
      </c>
      <c r="I21" s="155">
        <f>'สัปดาห์ที่ 4'!AE18</f>
        <v/>
      </c>
      <c r="J21" s="35">
        <f>'สัปดาห์ที่ 4'!AH18</f>
        <v/>
      </c>
      <c r="K21" s="35">
        <f>'สัปดาห์ที่ 5'!AE18</f>
        <v/>
      </c>
      <c r="L21" s="35">
        <f>'สัปดาห์ที่ 5'!AH18</f>
        <v/>
      </c>
      <c r="M21" s="35" t="n">
        <v>0</v>
      </c>
      <c r="N21" s="35" t="n">
        <v>0</v>
      </c>
      <c r="O21" s="35">
        <f>C21+E21+G21+I21+K21</f>
        <v/>
      </c>
      <c r="P21" s="35">
        <f>D21+F21+H21+J21+L21</f>
        <v/>
      </c>
    </row>
    <row r="22" ht="21.75" customHeight="1" s="330">
      <c r="A22" s="33" t="n">
        <v>17</v>
      </c>
      <c r="B22" s="34">
        <f>#REF!</f>
        <v/>
      </c>
      <c r="C22" s="34">
        <f>'สัปดาห์ที่ 1'!AE19</f>
        <v/>
      </c>
      <c r="D22" s="35">
        <f>'สัปดาห์ที่ 1'!AH19</f>
        <v/>
      </c>
      <c r="E22" s="155">
        <f>'สัปดาห์ที่ 2'!AE19</f>
        <v/>
      </c>
      <c r="F22" s="35">
        <f>'สัปดาห์ที่ 2'!AH19</f>
        <v/>
      </c>
      <c r="G22" s="155">
        <f>'สัปดาห์ที่ 3'!AE19</f>
        <v/>
      </c>
      <c r="H22" s="35">
        <f>'สัปดาห์ที่ 3'!AH19</f>
        <v/>
      </c>
      <c r="I22" s="155">
        <f>'สัปดาห์ที่ 4'!AE19</f>
        <v/>
      </c>
      <c r="J22" s="35">
        <f>'สัปดาห์ที่ 4'!AH19</f>
        <v/>
      </c>
      <c r="K22" s="35">
        <f>'สัปดาห์ที่ 5'!AE19</f>
        <v/>
      </c>
      <c r="L22" s="35">
        <f>'สัปดาห์ที่ 5'!AH19</f>
        <v/>
      </c>
      <c r="M22" s="35" t="n">
        <v>0</v>
      </c>
      <c r="N22" s="35" t="n">
        <v>0</v>
      </c>
      <c r="O22" s="35">
        <f>C22+E22+G22+I22+K22</f>
        <v/>
      </c>
      <c r="P22" s="35">
        <f>D22+F22+H22+J22+L22</f>
        <v/>
      </c>
    </row>
    <row r="23" ht="21.75" customHeight="1" s="330">
      <c r="A23" s="33" t="n">
        <v>18</v>
      </c>
      <c r="B23" s="34">
        <f>#REF!</f>
        <v/>
      </c>
      <c r="C23" s="34">
        <f>'สัปดาห์ที่ 1'!AE20</f>
        <v/>
      </c>
      <c r="D23" s="35">
        <f>'สัปดาห์ที่ 1'!AH20</f>
        <v/>
      </c>
      <c r="E23" s="155">
        <f>'สัปดาห์ที่ 2'!AE20</f>
        <v/>
      </c>
      <c r="F23" s="35">
        <f>'สัปดาห์ที่ 2'!AH20</f>
        <v/>
      </c>
      <c r="G23" s="155">
        <f>'สัปดาห์ที่ 3'!AE20</f>
        <v/>
      </c>
      <c r="H23" s="35">
        <f>'สัปดาห์ที่ 3'!AH20</f>
        <v/>
      </c>
      <c r="I23" s="155">
        <f>'สัปดาห์ที่ 4'!AE20</f>
        <v/>
      </c>
      <c r="J23" s="35">
        <f>'สัปดาห์ที่ 4'!AH20</f>
        <v/>
      </c>
      <c r="K23" s="35">
        <f>'สัปดาห์ที่ 5'!AE20</f>
        <v/>
      </c>
      <c r="L23" s="35">
        <f>'สัปดาห์ที่ 5'!AH20</f>
        <v/>
      </c>
      <c r="M23" s="35" t="n">
        <v>0</v>
      </c>
      <c r="N23" s="35" t="n">
        <v>0</v>
      </c>
      <c r="O23" s="35">
        <f>C23+E23+G23+I23+K23</f>
        <v/>
      </c>
      <c r="P23" s="35">
        <f>D23+F23+H23+J23+L23</f>
        <v/>
      </c>
    </row>
    <row r="24" ht="21.75" customHeight="1" s="330">
      <c r="A24" s="33" t="n">
        <v>19</v>
      </c>
      <c r="B24" s="34">
        <f>#REF!</f>
        <v/>
      </c>
      <c r="C24" s="34">
        <f>'สัปดาห์ที่ 1'!AE21</f>
        <v/>
      </c>
      <c r="D24" s="35">
        <f>'สัปดาห์ที่ 1'!AH21</f>
        <v/>
      </c>
      <c r="E24" s="155">
        <f>'สัปดาห์ที่ 2'!AE21</f>
        <v/>
      </c>
      <c r="F24" s="35">
        <f>'สัปดาห์ที่ 2'!AH21</f>
        <v/>
      </c>
      <c r="G24" s="155">
        <f>'สัปดาห์ที่ 3'!AE21</f>
        <v/>
      </c>
      <c r="H24" s="35">
        <f>'สัปดาห์ที่ 3'!AH21</f>
        <v/>
      </c>
      <c r="I24" s="155">
        <f>'สัปดาห์ที่ 4'!AE21</f>
        <v/>
      </c>
      <c r="J24" s="35">
        <f>'สัปดาห์ที่ 4'!AH21</f>
        <v/>
      </c>
      <c r="K24" s="35">
        <f>'สัปดาห์ที่ 5'!AE21</f>
        <v/>
      </c>
      <c r="L24" s="35">
        <f>'สัปดาห์ที่ 5'!AH21</f>
        <v/>
      </c>
      <c r="M24" s="35" t="n">
        <v>0</v>
      </c>
      <c r="N24" s="35" t="n">
        <v>0</v>
      </c>
      <c r="O24" s="35">
        <f>C24+E24+G24+I24+K24</f>
        <v/>
      </c>
      <c r="P24" s="35">
        <f>D24+F24+H24+J24+L24</f>
        <v/>
      </c>
    </row>
    <row r="25" ht="21.75" customHeight="1" s="330">
      <c r="A25" s="401" t="inlineStr">
        <is>
          <t xml:space="preserve">รวมเงินครูประจำ </t>
        </is>
      </c>
      <c r="B25" s="467" t="n"/>
      <c r="C25" s="467" t="n"/>
      <c r="D25" s="467" t="n"/>
      <c r="E25" s="467" t="n"/>
      <c r="F25" s="467" t="n"/>
      <c r="G25" s="467" t="n"/>
      <c r="H25" s="467" t="n"/>
      <c r="I25" s="467" t="n"/>
      <c r="J25" s="467" t="n"/>
      <c r="K25" s="402" t="n"/>
      <c r="L25" s="402" t="n"/>
      <c r="M25" s="402" t="n"/>
      <c r="N25" s="402" t="n"/>
      <c r="O25" s="36" t="n"/>
      <c r="P25" s="37">
        <f>SUM(P6:P24)</f>
        <v/>
      </c>
    </row>
    <row r="26" ht="15.75" customHeight="1" s="330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  <c r="J26" s="30" t="n"/>
      <c r="K26" s="30" t="n"/>
      <c r="L26" s="30" t="n"/>
      <c r="M26" s="30" t="n"/>
      <c r="N26" s="30" t="n"/>
      <c r="O26" s="30" t="n"/>
      <c r="P26" s="30" t="n"/>
    </row>
    <row r="27" ht="15" customHeight="1" s="330">
      <c r="A27" s="30" t="n"/>
      <c r="C27" s="30" t="n"/>
      <c r="D27" s="373" t="inlineStr">
        <is>
          <t>ครูพิเศษ</t>
        </is>
      </c>
      <c r="I27" s="31" t="n"/>
      <c r="J27" s="30" t="n"/>
      <c r="K27" s="30" t="n"/>
      <c r="L27" s="30" t="n"/>
      <c r="M27" s="30" t="n"/>
      <c r="N27" s="30" t="n"/>
      <c r="O27" s="30" t="n"/>
      <c r="P27" s="30" t="n"/>
    </row>
    <row r="28" ht="15.75" customHeight="1" s="330">
      <c r="A28" s="30" t="n"/>
      <c r="C28" s="30" t="n"/>
      <c r="I28" s="31" t="n"/>
      <c r="J28" s="30" t="n"/>
      <c r="K28" s="30" t="n"/>
      <c r="L28" s="30" t="n"/>
      <c r="M28" s="30" t="n"/>
      <c r="N28" s="30" t="n"/>
      <c r="O28" s="30" t="n"/>
      <c r="P28" s="30" t="n"/>
    </row>
    <row r="29" ht="15" customHeight="1" s="330">
      <c r="A29" s="30" t="n"/>
      <c r="B29" s="30" t="n"/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  <c r="N29" s="30" t="n"/>
      <c r="O29" s="30" t="n"/>
      <c r="P29" s="30" t="n"/>
    </row>
    <row r="30" ht="21.75" customHeight="1" s="330">
      <c r="A30" s="491" t="inlineStr">
        <is>
          <t>ลำดับ</t>
        </is>
      </c>
      <c r="B30" s="492" t="inlineStr">
        <is>
          <t>ชื่อ-สกุล</t>
        </is>
      </c>
      <c r="C30" s="491" t="n">
        <v>1</v>
      </c>
      <c r="D30" s="362" t="n"/>
      <c r="E30" s="491" t="n">
        <v>2</v>
      </c>
      <c r="F30" s="362" t="n"/>
      <c r="G30" s="491" t="n">
        <v>3</v>
      </c>
      <c r="H30" s="362" t="n"/>
      <c r="I30" s="491" t="n">
        <v>4</v>
      </c>
      <c r="J30" s="362" t="n"/>
      <c r="K30" s="491" t="n">
        <v>5</v>
      </c>
      <c r="L30" s="362" t="n"/>
      <c r="M30" s="493" t="n">
        <v>6</v>
      </c>
      <c r="N30" s="362" t="n"/>
      <c r="O30" s="492" t="inlineStr">
        <is>
          <t>รวม / ชม.</t>
        </is>
      </c>
      <c r="P30" s="492" t="inlineStr">
        <is>
          <t>รวม</t>
        </is>
      </c>
    </row>
    <row r="31" ht="22.5" customHeight="1" s="330">
      <c r="A31" s="474" t="n"/>
      <c r="B31" s="474" t="n"/>
      <c r="C31" s="38" t="inlineStr">
        <is>
          <t>ชม/ส</t>
        </is>
      </c>
      <c r="D31" s="38" t="inlineStr">
        <is>
          <t>เงิน</t>
        </is>
      </c>
      <c r="E31" s="38" t="inlineStr">
        <is>
          <t>ชม/ส</t>
        </is>
      </c>
      <c r="F31" s="38" t="inlineStr">
        <is>
          <t>เงิน</t>
        </is>
      </c>
      <c r="G31" s="38" t="inlineStr">
        <is>
          <t>ชม/ส</t>
        </is>
      </c>
      <c r="H31" s="38" t="inlineStr">
        <is>
          <t>เงิน</t>
        </is>
      </c>
      <c r="I31" s="38" t="inlineStr">
        <is>
          <t>ชม/ส</t>
        </is>
      </c>
      <c r="J31" s="38" t="inlineStr">
        <is>
          <t>เงิน</t>
        </is>
      </c>
      <c r="K31" s="32" t="inlineStr">
        <is>
          <t>ชม/ส</t>
        </is>
      </c>
      <c r="L31" s="32" t="inlineStr">
        <is>
          <t>เงิน</t>
        </is>
      </c>
      <c r="M31" s="32" t="inlineStr">
        <is>
          <t>ชม/ส</t>
        </is>
      </c>
      <c r="N31" s="32" t="inlineStr">
        <is>
          <t>เงิน</t>
        </is>
      </c>
      <c r="O31" s="474" t="n"/>
      <c r="P31" s="474" t="n"/>
    </row>
    <row r="32" ht="21.75" customHeight="1" s="330">
      <c r="A32" s="33" t="n">
        <v>1</v>
      </c>
      <c r="B32" s="34">
        <f>#REF!</f>
        <v/>
      </c>
      <c r="C32" s="155">
        <f>#REF!</f>
        <v/>
      </c>
      <c r="D32" s="155">
        <f>#REF!</f>
        <v/>
      </c>
      <c r="E32" s="155">
        <f>#REF!</f>
        <v/>
      </c>
      <c r="F32" s="155">
        <f>#REF!</f>
        <v/>
      </c>
      <c r="G32" s="155">
        <f>#REF!</f>
        <v/>
      </c>
      <c r="H32" s="35">
        <f>#REF!</f>
        <v/>
      </c>
      <c r="I32" s="155" t="n">
        <v>0</v>
      </c>
      <c r="J32" s="35" t="n">
        <v>0</v>
      </c>
      <c r="K32" s="35" t="n">
        <v>0</v>
      </c>
      <c r="L32" s="35" t="n">
        <v>0</v>
      </c>
      <c r="M32" s="35" t="n"/>
      <c r="N32" s="35" t="n"/>
      <c r="O32" s="35">
        <f>C32+E32+G32+I32+K32</f>
        <v/>
      </c>
      <c r="P32" s="35">
        <f>D32+F32+H32+J32+L32</f>
        <v/>
      </c>
    </row>
    <row r="33">
      <c r="A33" s="33" t="n">
        <v>2</v>
      </c>
      <c r="B33" s="34">
        <f>#REF!</f>
        <v/>
      </c>
      <c r="C33" s="155">
        <f>#REF!</f>
        <v/>
      </c>
      <c r="D33" s="155">
        <f>#REF!</f>
        <v/>
      </c>
      <c r="E33" s="155">
        <f>#REF!</f>
        <v/>
      </c>
      <c r="F33" s="155">
        <f>#REF!</f>
        <v/>
      </c>
      <c r="G33" s="155">
        <f>#REF!</f>
        <v/>
      </c>
      <c r="H33" s="35">
        <f>#REF!</f>
        <v/>
      </c>
      <c r="I33" s="155" t="n">
        <v>0</v>
      </c>
      <c r="J33" s="35" t="n">
        <v>0</v>
      </c>
      <c r="K33" s="35" t="n">
        <v>0</v>
      </c>
      <c r="L33" s="35" t="n">
        <v>0</v>
      </c>
      <c r="M33" s="35" t="n"/>
      <c r="N33" s="35" t="n"/>
      <c r="O33" s="35">
        <f>C33+E33+G33+I33+K33</f>
        <v/>
      </c>
      <c r="P33" s="35">
        <f>D33+F33+H33+J33+L33</f>
        <v/>
      </c>
    </row>
    <row r="34">
      <c r="A34" s="33" t="n">
        <v>3</v>
      </c>
      <c r="B34" s="34">
        <f>#REF!</f>
        <v/>
      </c>
      <c r="C34" s="155">
        <f>#REF!</f>
        <v/>
      </c>
      <c r="D34" s="155">
        <f>#REF!</f>
        <v/>
      </c>
      <c r="E34" s="155">
        <f>#REF!</f>
        <v/>
      </c>
      <c r="F34" s="155">
        <f>#REF!</f>
        <v/>
      </c>
      <c r="G34" s="155">
        <f>#REF!</f>
        <v/>
      </c>
      <c r="H34" s="35">
        <f>#REF!</f>
        <v/>
      </c>
      <c r="I34" s="155" t="n">
        <v>0</v>
      </c>
      <c r="J34" s="35" t="n">
        <v>0</v>
      </c>
      <c r="K34" s="35" t="n">
        <v>0</v>
      </c>
      <c r="L34" s="35" t="n">
        <v>0</v>
      </c>
      <c r="M34" s="35" t="n"/>
      <c r="N34" s="35" t="n"/>
      <c r="O34" s="35">
        <f>C34+E34+G34+I34+K34</f>
        <v/>
      </c>
      <c r="P34" s="35">
        <f>D34+F34+H34+J34+L34</f>
        <v/>
      </c>
    </row>
    <row r="35">
      <c r="A35" s="33" t="n">
        <v>4</v>
      </c>
      <c r="B35" s="34">
        <f>#REF!</f>
        <v/>
      </c>
      <c r="C35" s="155">
        <f>#REF!</f>
        <v/>
      </c>
      <c r="D35" s="155">
        <f>#REF!</f>
        <v/>
      </c>
      <c r="E35" s="155">
        <f>#REF!</f>
        <v/>
      </c>
      <c r="F35" s="155">
        <f>#REF!</f>
        <v/>
      </c>
      <c r="G35" s="155">
        <f>#REF!</f>
        <v/>
      </c>
      <c r="H35" s="35">
        <f>#REF!</f>
        <v/>
      </c>
      <c r="I35" s="155" t="n">
        <v>0</v>
      </c>
      <c r="J35" s="35" t="n">
        <v>0</v>
      </c>
      <c r="K35" s="35" t="n">
        <v>0</v>
      </c>
      <c r="L35" s="35" t="n">
        <v>0</v>
      </c>
      <c r="M35" s="35" t="n"/>
      <c r="N35" s="35" t="n"/>
      <c r="O35" s="35">
        <f>C35+E35+G35+I35+K35</f>
        <v/>
      </c>
      <c r="P35" s="35">
        <f>D35+F35+H35+J35+L35</f>
        <v/>
      </c>
    </row>
    <row r="36">
      <c r="A36" s="33" t="n">
        <v>5</v>
      </c>
      <c r="B36" s="34">
        <f>#REF!</f>
        <v/>
      </c>
      <c r="C36" s="155">
        <f>#REF!</f>
        <v/>
      </c>
      <c r="D36" s="155">
        <f>#REF!</f>
        <v/>
      </c>
      <c r="E36" s="155">
        <f>#REF!</f>
        <v/>
      </c>
      <c r="F36" s="155">
        <f>#REF!</f>
        <v/>
      </c>
      <c r="G36" s="155">
        <f>#REF!</f>
        <v/>
      </c>
      <c r="H36" s="35">
        <f>#REF!</f>
        <v/>
      </c>
      <c r="I36" s="155" t="n">
        <v>0</v>
      </c>
      <c r="J36" s="35" t="n">
        <v>0</v>
      </c>
      <c r="K36" s="35" t="n">
        <v>0</v>
      </c>
      <c r="L36" s="35" t="n">
        <v>0</v>
      </c>
      <c r="M36" s="35" t="n"/>
      <c r="N36" s="35" t="n"/>
      <c r="O36" s="35">
        <f>C36+E36+G36+I36+K36</f>
        <v/>
      </c>
      <c r="P36" s="35">
        <f>D36+F36+H36+J36+L36</f>
        <v/>
      </c>
    </row>
    <row r="37">
      <c r="A37" s="33" t="n">
        <v>6</v>
      </c>
      <c r="B37" s="34">
        <f>#REF!</f>
        <v/>
      </c>
      <c r="C37" s="155">
        <f>#REF!</f>
        <v/>
      </c>
      <c r="D37" s="155">
        <f>#REF!</f>
        <v/>
      </c>
      <c r="E37" s="155">
        <f>#REF!</f>
        <v/>
      </c>
      <c r="F37" s="155">
        <f>#REF!</f>
        <v/>
      </c>
      <c r="G37" s="155">
        <f>#REF!</f>
        <v/>
      </c>
      <c r="H37" s="35">
        <f>#REF!</f>
        <v/>
      </c>
      <c r="I37" s="155" t="n">
        <v>0</v>
      </c>
      <c r="J37" s="35" t="n">
        <v>0</v>
      </c>
      <c r="K37" s="35" t="n">
        <v>0</v>
      </c>
      <c r="L37" s="35" t="n">
        <v>0</v>
      </c>
      <c r="M37" s="35" t="n"/>
      <c r="N37" s="35" t="n"/>
      <c r="O37" s="35">
        <f>C37+E37+G37+I37+K37</f>
        <v/>
      </c>
      <c r="P37" s="35">
        <f>D37+F37+H37+J37+L37</f>
        <v/>
      </c>
    </row>
    <row r="38">
      <c r="A38" s="33" t="n">
        <v>7</v>
      </c>
      <c r="B38" s="34">
        <f>#REF!</f>
        <v/>
      </c>
      <c r="C38" s="155">
        <f>#REF!</f>
        <v/>
      </c>
      <c r="D38" s="155">
        <f>#REF!</f>
        <v/>
      </c>
      <c r="E38" s="155">
        <f>#REF!</f>
        <v/>
      </c>
      <c r="F38" s="155">
        <f>#REF!</f>
        <v/>
      </c>
      <c r="G38" s="155">
        <f>#REF!</f>
        <v/>
      </c>
      <c r="H38" s="35">
        <f>#REF!</f>
        <v/>
      </c>
      <c r="I38" s="155" t="n">
        <v>0</v>
      </c>
      <c r="J38" s="35" t="n">
        <v>0</v>
      </c>
      <c r="K38" s="35" t="n">
        <v>0</v>
      </c>
      <c r="L38" s="35" t="n">
        <v>0</v>
      </c>
      <c r="M38" s="35" t="n"/>
      <c r="N38" s="35" t="n"/>
      <c r="O38" s="35">
        <f>C38+E38+G38+I38+K38</f>
        <v/>
      </c>
      <c r="P38" s="35">
        <f>D38+F38+H38+J38+L38</f>
        <v/>
      </c>
    </row>
    <row r="39">
      <c r="A39" s="33" t="n">
        <v>8</v>
      </c>
      <c r="B39" s="34">
        <f>#REF!</f>
        <v/>
      </c>
      <c r="C39" s="155">
        <f>#REF!</f>
        <v/>
      </c>
      <c r="D39" s="155">
        <f>#REF!</f>
        <v/>
      </c>
      <c r="E39" s="155">
        <f>#REF!</f>
        <v/>
      </c>
      <c r="F39" s="155">
        <f>#REF!</f>
        <v/>
      </c>
      <c r="G39" s="155">
        <f>#REF!</f>
        <v/>
      </c>
      <c r="H39" s="35">
        <f>#REF!</f>
        <v/>
      </c>
      <c r="I39" s="155" t="n">
        <v>0</v>
      </c>
      <c r="J39" s="35" t="n">
        <v>0</v>
      </c>
      <c r="K39" s="35" t="n">
        <v>0</v>
      </c>
      <c r="L39" s="35" t="n">
        <v>0</v>
      </c>
      <c r="M39" s="35" t="n"/>
      <c r="N39" s="35" t="n"/>
      <c r="O39" s="35">
        <f>C39+E39+G39+I39+K39</f>
        <v/>
      </c>
      <c r="P39" s="35">
        <f>D39+F39+H39+J39+L39</f>
        <v/>
      </c>
    </row>
    <row r="40">
      <c r="A40" s="33" t="n">
        <v>9</v>
      </c>
      <c r="B40" s="34">
        <f>#REF!</f>
        <v/>
      </c>
      <c r="C40" s="155">
        <f>#REF!</f>
        <v/>
      </c>
      <c r="D40" s="155">
        <f>#REF!</f>
        <v/>
      </c>
      <c r="E40" s="155">
        <f>#REF!</f>
        <v/>
      </c>
      <c r="F40" s="155">
        <f>#REF!</f>
        <v/>
      </c>
      <c r="G40" s="155">
        <f>#REF!</f>
        <v/>
      </c>
      <c r="H40" s="35">
        <f>#REF!</f>
        <v/>
      </c>
      <c r="I40" s="155" t="n">
        <v>0</v>
      </c>
      <c r="J40" s="35" t="n">
        <v>0</v>
      </c>
      <c r="K40" s="35" t="n">
        <v>0</v>
      </c>
      <c r="L40" s="35" t="n">
        <v>0</v>
      </c>
      <c r="M40" s="35" t="n"/>
      <c r="N40" s="35" t="n"/>
      <c r="O40" s="35">
        <f>C40+E40+G40+I40+K40</f>
        <v/>
      </c>
      <c r="P40" s="35">
        <f>D40+F40+H40+J40+L40</f>
        <v/>
      </c>
    </row>
    <row r="41">
      <c r="A41" s="401" t="inlineStr">
        <is>
          <t xml:space="preserve">รวมเงินครูพิเศษ </t>
        </is>
      </c>
      <c r="B41" s="467" t="n"/>
      <c r="C41" s="467" t="n"/>
      <c r="D41" s="467" t="n"/>
      <c r="E41" s="467" t="n"/>
      <c r="F41" s="467" t="n"/>
      <c r="G41" s="467" t="n"/>
      <c r="H41" s="467" t="n"/>
      <c r="I41" s="467" t="n"/>
      <c r="J41" s="467" t="n"/>
      <c r="K41" s="402" t="n"/>
      <c r="L41" s="402" t="n"/>
      <c r="M41" s="402" t="n"/>
      <c r="N41" s="402" t="n"/>
      <c r="O41" s="36" t="n"/>
      <c r="P41" s="37">
        <f>SUM(P32:P40)</f>
        <v/>
      </c>
    </row>
    <row r="42">
      <c r="A42" s="30" t="n"/>
      <c r="B42" s="30" t="n"/>
      <c r="C42" s="30" t="n"/>
      <c r="D42" s="30" t="n"/>
      <c r="E42" s="30" t="n"/>
      <c r="F42" s="30" t="n"/>
      <c r="G42" s="30" t="n"/>
      <c r="H42" s="30" t="n"/>
      <c r="I42" s="30" t="n"/>
      <c r="J42" s="30" t="n"/>
      <c r="K42" s="30" t="n"/>
      <c r="L42" s="30" t="n"/>
      <c r="M42" s="30" t="n"/>
      <c r="N42" s="30" t="n"/>
      <c r="O42" s="30" t="n"/>
      <c r="P42" s="30" t="n"/>
    </row>
    <row r="43" ht="28.8" customHeight="1" s="330">
      <c r="A43" s="380" t="inlineStr">
        <is>
          <t xml:space="preserve">   ยอดเงินรายรับ ( ครูประจำ + ครูพิเศษ )</t>
        </is>
      </c>
      <c r="G43" s="222" t="n"/>
      <c r="H43" s="403">
        <f>P25+P41</f>
        <v/>
      </c>
      <c r="K43" s="403" t="n"/>
      <c r="L43" s="403" t="n"/>
      <c r="M43" s="403" t="n"/>
      <c r="N43" s="403" t="n"/>
      <c r="O43" s="39" t="n"/>
      <c r="P43" s="30" t="n"/>
    </row>
    <row r="44" ht="28.8" customHeight="1" s="330">
      <c r="A44" s="380" t="inlineStr">
        <is>
          <t xml:space="preserve">   ยอดเงินรายรับ ÷ ยอดคน</t>
        </is>
      </c>
      <c r="D44" s="222">
        <f>H43</f>
        <v/>
      </c>
      <c r="E44" s="222" t="inlineStr">
        <is>
          <t xml:space="preserve">  ÷</t>
        </is>
      </c>
      <c r="F44" s="222" t="n">
        <v>26</v>
      </c>
      <c r="G44" s="222" t="n"/>
      <c r="H44" s="216" t="inlineStr">
        <is>
          <t>=</t>
        </is>
      </c>
      <c r="I44" s="403" t="n"/>
      <c r="J44" s="214">
        <f>D44/F44</f>
        <v/>
      </c>
      <c r="K44" s="403" t="n"/>
      <c r="L44" s="403" t="n"/>
      <c r="M44" s="403" t="n"/>
      <c r="N44" s="403" t="n"/>
      <c r="O44" s="39" t="n"/>
      <c r="P44" s="30" t="n"/>
    </row>
    <row r="45" ht="24.9" customHeight="1" s="330">
      <c r="A45" s="380" t="inlineStr">
        <is>
          <t xml:space="preserve">   หักเข้ากองกลาง (3 ส.x100) x 26 คน</t>
        </is>
      </c>
      <c r="D45" s="222" t="n">
        <v>300</v>
      </c>
      <c r="E45" s="222" t="inlineStr">
        <is>
          <t xml:space="preserve">  x</t>
        </is>
      </c>
      <c r="F45" s="222" t="n">
        <v>26</v>
      </c>
      <c r="G45" s="42" t="n"/>
      <c r="H45" s="212" t="inlineStr">
        <is>
          <t>=</t>
        </is>
      </c>
      <c r="I45" s="222" t="n"/>
      <c r="J45" s="214">
        <f>D45*F45</f>
        <v/>
      </c>
      <c r="K45" s="403" t="n"/>
      <c r="L45" s="403" t="n"/>
      <c r="M45" s="403" t="n"/>
      <c r="N45" s="403" t="n"/>
      <c r="O45" s="39" t="n"/>
      <c r="P45" s="30" t="n"/>
    </row>
    <row r="46" ht="24.9" customHeight="1" s="330">
      <c r="A46" s="380" t="n"/>
      <c r="D46" s="222" t="n"/>
      <c r="E46" s="222" t="n"/>
      <c r="F46" s="222" t="n"/>
      <c r="G46" s="42" t="n"/>
      <c r="H46" s="212" t="n"/>
      <c r="I46" s="222" t="n"/>
      <c r="J46" s="403" t="n"/>
      <c r="K46" s="403" t="n"/>
      <c r="L46" s="403" t="n"/>
      <c r="M46" s="403" t="n"/>
      <c r="N46" s="403" t="n"/>
      <c r="O46" s="39" t="n"/>
      <c r="P46" s="30" t="n"/>
    </row>
    <row r="47" ht="24.9" customHeight="1" s="330">
      <c r="A47" s="30" t="n"/>
      <c r="B47" s="222" t="n"/>
      <c r="C47" s="222" t="n"/>
      <c r="D47" s="222" t="n"/>
      <c r="E47" s="222" t="n"/>
      <c r="F47" s="222" t="n"/>
      <c r="G47" s="222" t="n"/>
      <c r="H47" s="222" t="n"/>
      <c r="I47" s="222" t="n"/>
      <c r="J47" s="222" t="n"/>
      <c r="K47" s="222" t="n"/>
      <c r="L47" s="222" t="n"/>
      <c r="M47" s="222" t="n"/>
      <c r="N47" s="222" t="n"/>
      <c r="O47" s="39" t="n"/>
      <c r="P47" s="30" t="n"/>
    </row>
    <row r="48" ht="21.75" customHeight="1" s="330">
      <c r="A48" s="387" t="inlineStr">
        <is>
          <t xml:space="preserve">   เงินที่ได้รับ คนละ</t>
        </is>
      </c>
      <c r="C48" s="44" t="n"/>
      <c r="D48" s="224">
        <f>J44</f>
        <v/>
      </c>
      <c r="E48" s="224" t="inlineStr">
        <is>
          <t>-</t>
        </is>
      </c>
      <c r="F48" s="224">
        <f>D45</f>
        <v/>
      </c>
      <c r="G48" s="364" t="n"/>
      <c r="H48" s="212" t="n"/>
      <c r="I48" s="217" t="n"/>
      <c r="J48" s="218" t="inlineStr">
        <is>
          <t>=</t>
        </is>
      </c>
      <c r="K48" s="364">
        <f>J44-D45-D46</f>
        <v/>
      </c>
      <c r="M48" s="364" t="n"/>
      <c r="N48" s="364" t="n"/>
      <c r="O48" s="40" t="n"/>
      <c r="P48" s="30" t="n"/>
    </row>
    <row r="49" ht="21.75" customHeight="1" s="330" thickBot="1">
      <c r="A49" s="388" t="inlineStr">
        <is>
          <t xml:space="preserve">    ปัดให้ลงตัว</t>
        </is>
      </c>
      <c r="D49" s="227">
        <f>K48</f>
        <v/>
      </c>
      <c r="E49" s="216" t="inlineStr">
        <is>
          <t>+</t>
        </is>
      </c>
      <c r="F49" s="216" t="n">
        <v>22</v>
      </c>
      <c r="G49" s="216" t="n"/>
      <c r="H49" s="216" t="n"/>
      <c r="I49" s="216" t="n"/>
      <c r="J49" s="228" t="inlineStr">
        <is>
          <t>=</t>
        </is>
      </c>
      <c r="K49" s="366">
        <f>D49+F49</f>
        <v/>
      </c>
      <c r="M49" s="367" t="n"/>
      <c r="N49" s="367" t="n"/>
      <c r="O49" s="226" t="n"/>
      <c r="P49" s="225" t="n"/>
    </row>
    <row r="50" ht="21.75" customHeight="1" s="330" thickTop="1">
      <c r="A50" s="47" t="n"/>
      <c r="B50" s="48" t="n"/>
      <c r="C50" s="46" t="n"/>
      <c r="D50" s="46" t="n"/>
      <c r="E50" s="46" t="n"/>
      <c r="F50" s="46" t="n"/>
      <c r="G50" s="46" t="n"/>
      <c r="H50" s="46" t="n"/>
      <c r="I50" s="46" t="n"/>
      <c r="J50" s="46" t="n"/>
      <c r="K50" s="229" t="n"/>
      <c r="L50" s="229" t="n"/>
      <c r="M50" s="46" t="n"/>
      <c r="N50" s="46" t="n"/>
      <c r="O50" s="30" t="n"/>
      <c r="P50" s="30" t="n"/>
    </row>
    <row r="51" ht="21.75" customHeight="1" s="330">
      <c r="A51" s="386" t="inlineStr">
        <is>
          <t xml:space="preserve">    เงินกองกลาง</t>
        </is>
      </c>
      <c r="C51" s="45" t="n"/>
      <c r="D51" s="46" t="n"/>
      <c r="E51" s="46" t="n"/>
      <c r="F51" s="46" t="n"/>
      <c r="G51" s="46" t="n"/>
      <c r="H51" s="46" t="n"/>
      <c r="I51" s="46" t="n"/>
      <c r="J51" s="218" t="inlineStr">
        <is>
          <t>=</t>
        </is>
      </c>
      <c r="K51" s="365">
        <f>J45</f>
        <v/>
      </c>
      <c r="M51" s="365" t="n"/>
      <c r="N51" s="365" t="n"/>
      <c r="O51" s="30" t="n"/>
      <c r="P51" s="30" t="n"/>
    </row>
    <row r="52" ht="21.75" customHeight="1" s="330" thickBot="1">
      <c r="A52" s="388" t="inlineStr">
        <is>
          <t xml:space="preserve">    เงินเข้ากองกลางคงเหลือ</t>
        </is>
      </c>
      <c r="C52" s="223" t="n"/>
      <c r="D52" s="230">
        <f>J45</f>
        <v/>
      </c>
      <c r="E52" s="216" t="inlineStr">
        <is>
          <t>-</t>
        </is>
      </c>
      <c r="F52" s="230">
        <f>F49*F44</f>
        <v/>
      </c>
      <c r="G52" s="223" t="n"/>
      <c r="H52" s="223" t="n"/>
      <c r="I52" s="223" t="n"/>
      <c r="J52" s="218" t="inlineStr">
        <is>
          <t>=</t>
        </is>
      </c>
      <c r="K52" s="368">
        <f>D52-F52</f>
        <v/>
      </c>
      <c r="L52" s="494" t="n"/>
      <c r="M52" s="236" t="n"/>
      <c r="N52" s="236" t="n"/>
      <c r="O52" s="223" t="n"/>
      <c r="P52" s="223" t="n"/>
    </row>
    <row r="53" ht="24" customHeight="1" s="330" thickTop="1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  <c r="J53" s="30" t="n"/>
      <c r="K53" s="30" t="n"/>
      <c r="L53" s="30" t="n"/>
      <c r="M53" s="30" t="n"/>
      <c r="N53" s="30" t="n"/>
      <c r="O53" s="30" t="n"/>
      <c r="P53" s="30" t="n"/>
    </row>
    <row r="54"/>
    <row r="55" ht="27.75" customHeight="1" s="330">
      <c r="A55" s="495" t="inlineStr">
        <is>
          <t>ลำดับ</t>
        </is>
      </c>
      <c r="B55" s="496" t="inlineStr">
        <is>
          <t>ชื่อ-สกุล</t>
        </is>
      </c>
      <c r="C55" s="497" t="inlineStr">
        <is>
          <t>การจัดสรรค์เงินรายได้แผนก</t>
        </is>
      </c>
      <c r="D55" s="467" t="n"/>
      <c r="E55" s="467" t="n"/>
      <c r="F55" s="467" t="n"/>
      <c r="G55" s="467" t="n"/>
      <c r="H55" s="362" t="n"/>
      <c r="I55" s="498" t="inlineStr">
        <is>
          <t>ลงชื่อ</t>
        </is>
      </c>
      <c r="J55" s="335" t="n"/>
      <c r="K55" s="165" t="n"/>
      <c r="L55" s="165" t="n"/>
      <c r="M55" s="165" t="n"/>
      <c r="N55" s="165" t="n"/>
    </row>
    <row r="56" ht="27.75" customHeight="1" s="330">
      <c r="A56" s="474" t="n"/>
      <c r="B56" s="474" t="n"/>
      <c r="C56" s="499" t="inlineStr">
        <is>
          <t>รายรับ / บุคคล</t>
        </is>
      </c>
      <c r="D56" s="362" t="n"/>
      <c r="E56" s="500" t="inlineStr">
        <is>
          <t>คืนกองกลางแผนก ( - )</t>
        </is>
      </c>
      <c r="F56" s="362" t="n"/>
      <c r="G56" s="501" t="inlineStr">
        <is>
          <t>แผนกจ่ายเพิ่ม ( + )</t>
        </is>
      </c>
      <c r="H56" s="362" t="n"/>
      <c r="I56" s="475" t="n"/>
      <c r="J56" s="476" t="n"/>
      <c r="K56" s="165" t="n"/>
      <c r="L56" s="165" t="n"/>
      <c r="M56" s="165" t="n"/>
      <c r="N56" s="165" t="n"/>
    </row>
    <row r="57" ht="25.35" customHeight="1" s="330">
      <c r="A57" s="49" t="n">
        <v>1</v>
      </c>
      <c r="B57" s="50">
        <f>#REF!</f>
        <v/>
      </c>
      <c r="C57" s="502">
        <f>P6</f>
        <v/>
      </c>
      <c r="D57" s="362" t="n"/>
      <c r="E57" s="503">
        <f>H48-C57</f>
        <v/>
      </c>
      <c r="F57" s="467" t="n"/>
      <c r="G57" s="467" t="n"/>
      <c r="H57" s="362" t="n"/>
      <c r="I57" s="504" t="n"/>
      <c r="J57" s="362" t="n"/>
      <c r="K57" s="166" t="n"/>
      <c r="L57" s="166" t="n"/>
      <c r="M57" s="166" t="n"/>
      <c r="N57" s="166" t="n"/>
    </row>
    <row r="58" ht="25.35" customHeight="1" s="330">
      <c r="A58" s="49" t="n">
        <v>2</v>
      </c>
      <c r="B58" s="50">
        <f>#REF!</f>
        <v/>
      </c>
      <c r="C58" s="502">
        <f>P7</f>
        <v/>
      </c>
      <c r="D58" s="362" t="n"/>
      <c r="E58" s="505">
        <f>H48-C58</f>
        <v/>
      </c>
      <c r="F58" s="467" t="n"/>
      <c r="G58" s="467" t="n"/>
      <c r="H58" s="362" t="n"/>
      <c r="I58" s="504" t="n"/>
      <c r="J58" s="362" t="n"/>
      <c r="K58" s="166" t="n"/>
      <c r="L58" s="166" t="n"/>
      <c r="M58" s="166" t="n"/>
      <c r="N58" s="166" t="n"/>
    </row>
    <row r="59" ht="25.35" customHeight="1" s="330">
      <c r="A59" s="49" t="n">
        <v>3</v>
      </c>
      <c r="B59" s="50">
        <f>#REF!</f>
        <v/>
      </c>
      <c r="C59" s="502">
        <f>P8</f>
        <v/>
      </c>
      <c r="D59" s="362" t="n"/>
      <c r="E59" s="505">
        <f>H48-C59</f>
        <v/>
      </c>
      <c r="F59" s="467" t="n"/>
      <c r="G59" s="467" t="n"/>
      <c r="H59" s="362" t="n"/>
      <c r="I59" s="504" t="n"/>
      <c r="J59" s="362" t="n"/>
      <c r="K59" s="166" t="n"/>
      <c r="L59" s="166" t="n"/>
      <c r="M59" s="166" t="n"/>
      <c r="N59" s="166" t="n"/>
    </row>
    <row r="60" ht="25.35" customHeight="1" s="330">
      <c r="A60" s="49" t="n">
        <v>4</v>
      </c>
      <c r="B60" s="50">
        <f>#REF!</f>
        <v/>
      </c>
      <c r="C60" s="502">
        <f>P9</f>
        <v/>
      </c>
      <c r="D60" s="362" t="n"/>
      <c r="E60" s="505">
        <f>H48-C60</f>
        <v/>
      </c>
      <c r="F60" s="467" t="n"/>
      <c r="G60" s="467" t="n"/>
      <c r="H60" s="362" t="n"/>
      <c r="I60" s="504" t="n"/>
      <c r="J60" s="362" t="n"/>
      <c r="K60" s="166" t="n"/>
      <c r="L60" s="166" t="n"/>
      <c r="M60" s="166" t="n"/>
      <c r="N60" s="166" t="n"/>
    </row>
    <row r="61" ht="25.35" customHeight="1" s="330">
      <c r="A61" s="49" t="n">
        <v>5</v>
      </c>
      <c r="B61" s="50">
        <f>#REF!</f>
        <v/>
      </c>
      <c r="C61" s="502">
        <f>P10</f>
        <v/>
      </c>
      <c r="D61" s="362" t="n"/>
      <c r="E61" s="505">
        <f>H48-C61</f>
        <v/>
      </c>
      <c r="F61" s="467" t="n"/>
      <c r="G61" s="467" t="n"/>
      <c r="H61" s="362" t="n"/>
      <c r="I61" s="504" t="n"/>
      <c r="J61" s="362" t="n"/>
      <c r="K61" s="166" t="n"/>
      <c r="L61" s="166" t="n"/>
      <c r="M61" s="166" t="n"/>
      <c r="N61" s="166" t="n"/>
    </row>
    <row r="62" ht="25.35" customHeight="1" s="330">
      <c r="A62" s="49" t="n">
        <v>6</v>
      </c>
      <c r="B62" s="50">
        <f>#REF!</f>
        <v/>
      </c>
      <c r="C62" s="502">
        <f>P11</f>
        <v/>
      </c>
      <c r="D62" s="362" t="n"/>
      <c r="E62" s="505">
        <f>H48-C62</f>
        <v/>
      </c>
      <c r="F62" s="467" t="n"/>
      <c r="G62" s="467" t="n"/>
      <c r="H62" s="362" t="n"/>
      <c r="I62" s="504" t="n"/>
      <c r="J62" s="362" t="n"/>
      <c r="K62" s="166" t="n"/>
      <c r="L62" s="166" t="n"/>
      <c r="M62" s="166" t="n"/>
      <c r="N62" s="166" t="n"/>
    </row>
    <row r="63" ht="25.35" customHeight="1" s="330">
      <c r="A63" s="49" t="n">
        <v>7</v>
      </c>
      <c r="B63" s="50">
        <f>#REF!</f>
        <v/>
      </c>
      <c r="C63" s="502">
        <f>P12</f>
        <v/>
      </c>
      <c r="D63" s="362" t="n"/>
      <c r="E63" s="503">
        <f>H48-C63</f>
        <v/>
      </c>
      <c r="F63" s="467" t="n"/>
      <c r="G63" s="467" t="n"/>
      <c r="H63" s="362" t="n"/>
      <c r="I63" s="504" t="n"/>
      <c r="J63" s="362" t="n"/>
      <c r="K63" s="166" t="n"/>
      <c r="L63" s="166" t="n"/>
      <c r="M63" s="166" t="n"/>
      <c r="N63" s="166" t="n"/>
    </row>
    <row r="64" ht="25.35" customHeight="1" s="330">
      <c r="A64" s="49" t="n">
        <v>8</v>
      </c>
      <c r="B64" s="50">
        <f>#REF!</f>
        <v/>
      </c>
      <c r="C64" s="502">
        <f>P13</f>
        <v/>
      </c>
      <c r="D64" s="362" t="n"/>
      <c r="E64" s="505">
        <f>H48-C64</f>
        <v/>
      </c>
      <c r="F64" s="467" t="n"/>
      <c r="G64" s="467" t="n"/>
      <c r="H64" s="362" t="n"/>
      <c r="I64" s="504" t="n"/>
      <c r="J64" s="362" t="n"/>
      <c r="K64" s="166" t="n"/>
      <c r="L64" s="166" t="n"/>
      <c r="M64" s="166" t="n"/>
      <c r="N64" s="166" t="n"/>
    </row>
    <row r="65" ht="25.35" customHeight="1" s="330">
      <c r="A65" s="49" t="n">
        <v>9</v>
      </c>
      <c r="B65" s="50">
        <f>#REF!</f>
        <v/>
      </c>
      <c r="C65" s="502">
        <f>P14</f>
        <v/>
      </c>
      <c r="D65" s="362" t="n"/>
      <c r="E65" s="505">
        <f>H48-C65</f>
        <v/>
      </c>
      <c r="F65" s="467" t="n"/>
      <c r="G65" s="467" t="n"/>
      <c r="H65" s="362" t="n"/>
      <c r="I65" s="504" t="n"/>
      <c r="J65" s="362" t="n"/>
      <c r="K65" s="166" t="n"/>
      <c r="L65" s="166" t="n"/>
      <c r="M65" s="166" t="n"/>
      <c r="N65" s="166" t="n"/>
    </row>
    <row r="66" ht="25.35" customHeight="1" s="330">
      <c r="A66" s="49" t="n">
        <v>10</v>
      </c>
      <c r="B66" s="50">
        <f>#REF!</f>
        <v/>
      </c>
      <c r="C66" s="502">
        <f>P15</f>
        <v/>
      </c>
      <c r="D66" s="362" t="n"/>
      <c r="E66" s="505">
        <f>H48-C66</f>
        <v/>
      </c>
      <c r="F66" s="467" t="n"/>
      <c r="G66" s="467" t="n"/>
      <c r="H66" s="362" t="n"/>
      <c r="I66" s="504" t="n"/>
      <c r="J66" s="362" t="n"/>
      <c r="K66" s="166" t="n"/>
      <c r="L66" s="166" t="n"/>
      <c r="M66" s="166" t="n"/>
      <c r="N66" s="166" t="n"/>
    </row>
    <row r="67" ht="25.35" customHeight="1" s="330">
      <c r="A67" s="49" t="n">
        <v>11</v>
      </c>
      <c r="B67" s="50">
        <f>#REF!</f>
        <v/>
      </c>
      <c r="C67" s="502">
        <f>P16</f>
        <v/>
      </c>
      <c r="D67" s="362" t="n"/>
      <c r="E67" s="505">
        <f>H48-C67</f>
        <v/>
      </c>
      <c r="F67" s="467" t="n"/>
      <c r="G67" s="467" t="n"/>
      <c r="H67" s="362" t="n"/>
      <c r="I67" s="504" t="n"/>
      <c r="J67" s="362" t="n"/>
      <c r="K67" s="166" t="n"/>
      <c r="L67" s="166" t="n"/>
      <c r="M67" s="166" t="n"/>
      <c r="N67" s="166" t="n"/>
    </row>
    <row r="68" ht="25.35" customHeight="1" s="330">
      <c r="A68" s="49" t="n">
        <v>12</v>
      </c>
      <c r="B68" s="50">
        <f>#REF!</f>
        <v/>
      </c>
      <c r="C68" s="502">
        <f>P17</f>
        <v/>
      </c>
      <c r="D68" s="362" t="n"/>
      <c r="E68" s="505">
        <f>H48-C68</f>
        <v/>
      </c>
      <c r="F68" s="467" t="n"/>
      <c r="G68" s="467" t="n"/>
      <c r="H68" s="362" t="n"/>
      <c r="I68" s="504" t="n"/>
      <c r="J68" s="362" t="n"/>
      <c r="K68" s="166" t="n"/>
      <c r="L68" s="166" t="n"/>
      <c r="M68" s="166" t="n"/>
      <c r="N68" s="166" t="n"/>
    </row>
    <row r="69" ht="25.35" customHeight="1" s="330">
      <c r="A69" s="49" t="n">
        <v>13</v>
      </c>
      <c r="B69" s="50">
        <f>#REF!</f>
        <v/>
      </c>
      <c r="C69" s="502">
        <f>P18</f>
        <v/>
      </c>
      <c r="D69" s="362" t="n"/>
      <c r="E69" s="506">
        <f>H48-C69</f>
        <v/>
      </c>
      <c r="F69" s="467" t="n"/>
      <c r="G69" s="467" t="n"/>
      <c r="H69" s="362" t="n"/>
      <c r="I69" s="504" t="n"/>
      <c r="J69" s="362" t="n"/>
      <c r="K69" s="166" t="n"/>
      <c r="L69" s="166" t="n"/>
      <c r="M69" s="166" t="n"/>
      <c r="N69" s="166" t="n"/>
    </row>
    <row r="70" ht="25.35" customHeight="1" s="330">
      <c r="A70" s="49" t="n">
        <v>14</v>
      </c>
      <c r="B70" s="50">
        <f>#REF!</f>
        <v/>
      </c>
      <c r="C70" s="502">
        <f>P19</f>
        <v/>
      </c>
      <c r="D70" s="362" t="n"/>
      <c r="E70" s="503">
        <f>H48-C70</f>
        <v/>
      </c>
      <c r="F70" s="467" t="n"/>
      <c r="G70" s="467" t="n"/>
      <c r="H70" s="362" t="n"/>
      <c r="I70" s="504" t="n"/>
      <c r="J70" s="362" t="n"/>
      <c r="K70" s="166" t="n"/>
      <c r="L70" s="166" t="n"/>
      <c r="M70" s="166" t="n"/>
      <c r="N70" s="166" t="n"/>
    </row>
    <row r="71" ht="25.35" customHeight="1" s="330">
      <c r="A71" s="49" t="n">
        <v>15</v>
      </c>
      <c r="B71" s="50">
        <f>#REF!</f>
        <v/>
      </c>
      <c r="C71" s="502">
        <f>P20</f>
        <v/>
      </c>
      <c r="D71" s="362" t="n"/>
      <c r="E71" s="503">
        <f>H48-C71</f>
        <v/>
      </c>
      <c r="F71" s="467" t="n"/>
      <c r="G71" s="467" t="n"/>
      <c r="H71" s="362" t="n"/>
      <c r="I71" s="504" t="n"/>
      <c r="J71" s="362" t="n"/>
      <c r="K71" s="166" t="n"/>
      <c r="L71" s="166" t="n"/>
      <c r="M71" s="166" t="n"/>
      <c r="N71" s="166" t="n"/>
    </row>
    <row r="72" ht="25.35" customHeight="1" s="330">
      <c r="A72" s="49" t="n">
        <v>16</v>
      </c>
      <c r="B72" s="50">
        <f>#REF!</f>
        <v/>
      </c>
      <c r="C72" s="502">
        <f>P21</f>
        <v/>
      </c>
      <c r="D72" s="362" t="n"/>
      <c r="E72" s="505">
        <f>H48-C72</f>
        <v/>
      </c>
      <c r="F72" s="467" t="n"/>
      <c r="G72" s="467" t="n"/>
      <c r="H72" s="362" t="n"/>
      <c r="I72" s="504" t="n"/>
      <c r="J72" s="362" t="n"/>
      <c r="K72" s="166" t="n"/>
      <c r="L72" s="166" t="n"/>
      <c r="M72" s="166" t="n"/>
      <c r="N72" s="166" t="n"/>
    </row>
    <row r="73" ht="25.35" customHeight="1" s="330">
      <c r="A73" s="49" t="n">
        <v>17</v>
      </c>
      <c r="B73" s="50">
        <f>#REF!</f>
        <v/>
      </c>
      <c r="C73" s="502">
        <f>P22</f>
        <v/>
      </c>
      <c r="D73" s="362" t="n"/>
      <c r="E73" s="503">
        <f>H48-C73</f>
        <v/>
      </c>
      <c r="F73" s="467" t="n"/>
      <c r="G73" s="467" t="n"/>
      <c r="H73" s="362" t="n"/>
      <c r="I73" s="504" t="n"/>
      <c r="J73" s="362" t="n"/>
      <c r="K73" s="166" t="n"/>
      <c r="L73" s="166" t="n"/>
      <c r="M73" s="166" t="n"/>
      <c r="N73" s="166" t="n"/>
    </row>
    <row r="74" ht="25.35" customHeight="1" s="330">
      <c r="A74" s="49" t="n">
        <v>18</v>
      </c>
      <c r="B74" s="50">
        <f>#REF!</f>
        <v/>
      </c>
      <c r="C74" s="502">
        <f>P23</f>
        <v/>
      </c>
      <c r="D74" s="362" t="n"/>
      <c r="E74" s="505">
        <f>H48-C74</f>
        <v/>
      </c>
      <c r="F74" s="467" t="n"/>
      <c r="G74" s="467" t="n"/>
      <c r="H74" s="362" t="n"/>
      <c r="I74" s="504" t="n"/>
      <c r="J74" s="362" t="n"/>
      <c r="K74" s="166" t="n"/>
      <c r="L74" s="166" t="n"/>
      <c r="M74" s="166" t="n"/>
      <c r="N74" s="166" t="n"/>
    </row>
    <row r="75" ht="25.35" customHeight="1" s="330">
      <c r="A75" s="49" t="n">
        <v>19</v>
      </c>
      <c r="B75" s="50">
        <f>#REF!</f>
        <v/>
      </c>
      <c r="C75" s="502">
        <f>P24</f>
        <v/>
      </c>
      <c r="D75" s="362" t="n"/>
      <c r="E75" s="505">
        <f>H48-C75</f>
        <v/>
      </c>
      <c r="F75" s="467" t="n"/>
      <c r="G75" s="467" t="n"/>
      <c r="H75" s="362" t="n"/>
      <c r="I75" s="504" t="n"/>
      <c r="J75" s="362" t="n"/>
      <c r="K75" s="166" t="n"/>
      <c r="L75" s="166" t="n"/>
      <c r="M75" s="166" t="n"/>
      <c r="N75" s="166" t="n"/>
    </row>
    <row r="76" ht="25.35" customHeight="1" s="330">
      <c r="A76" s="49" t="n">
        <v>20</v>
      </c>
      <c r="B76" s="50">
        <f>#REF!</f>
        <v/>
      </c>
      <c r="C76" s="502">
        <f>P32</f>
        <v/>
      </c>
      <c r="D76" s="362" t="n"/>
      <c r="E76" s="505">
        <f>H48-C76</f>
        <v/>
      </c>
      <c r="F76" s="467" t="n"/>
      <c r="G76" s="467" t="n"/>
      <c r="H76" s="362" t="n"/>
      <c r="I76" s="504" t="n"/>
      <c r="J76" s="362" t="n"/>
      <c r="K76" s="166" t="n"/>
      <c r="L76" s="166" t="n"/>
      <c r="M76" s="166" t="n"/>
      <c r="N76" s="166" t="n"/>
    </row>
    <row r="77" ht="25.35" customHeight="1" s="330">
      <c r="A77" s="49" t="n">
        <v>21</v>
      </c>
      <c r="B77" s="50">
        <f>#REF!</f>
        <v/>
      </c>
      <c r="C77" s="502">
        <f>P33</f>
        <v/>
      </c>
      <c r="D77" s="362" t="n"/>
      <c r="E77" s="503">
        <f>H48-C77</f>
        <v/>
      </c>
      <c r="F77" s="467" t="n"/>
      <c r="G77" s="467" t="n"/>
      <c r="H77" s="362" t="n"/>
      <c r="I77" s="504" t="n"/>
      <c r="J77" s="362" t="n"/>
      <c r="K77" s="166" t="n"/>
      <c r="L77" s="166" t="n"/>
      <c r="M77" s="166" t="n"/>
      <c r="N77" s="166" t="n"/>
    </row>
    <row r="78" ht="25.35" customHeight="1" s="330">
      <c r="A78" s="49" t="n">
        <v>22</v>
      </c>
      <c r="B78" s="50">
        <f>#REF!</f>
        <v/>
      </c>
      <c r="C78" s="502">
        <f>P34</f>
        <v/>
      </c>
      <c r="D78" s="362" t="n"/>
      <c r="E78" s="505">
        <f>H48-C78</f>
        <v/>
      </c>
      <c r="F78" s="467" t="n"/>
      <c r="G78" s="467" t="n"/>
      <c r="H78" s="362" t="n"/>
      <c r="I78" s="504" t="n"/>
      <c r="J78" s="362" t="n"/>
      <c r="K78" s="166" t="n"/>
      <c r="L78" s="166" t="n"/>
      <c r="M78" s="166" t="n"/>
      <c r="N78" s="166" t="n"/>
    </row>
    <row r="79" ht="26.4" customHeight="1" s="330">
      <c r="A79" s="49" t="n">
        <v>23</v>
      </c>
      <c r="B79" s="50">
        <f>#REF!</f>
        <v/>
      </c>
      <c r="C79" s="502">
        <f>P35</f>
        <v/>
      </c>
      <c r="D79" s="362" t="n"/>
      <c r="E79" s="505">
        <f>H48-C79</f>
        <v/>
      </c>
      <c r="F79" s="467" t="n"/>
      <c r="G79" s="467" t="n"/>
      <c r="H79" s="362" t="n"/>
      <c r="I79" s="504" t="n"/>
      <c r="J79" s="362" t="n"/>
      <c r="K79" s="166" t="n"/>
      <c r="L79" s="166" t="n"/>
      <c r="M79" s="166" t="n"/>
      <c r="N79" s="166" t="n"/>
    </row>
    <row r="80" ht="26.4" customHeight="1" s="330">
      <c r="A80" s="49" t="n">
        <v>24</v>
      </c>
      <c r="B80" s="50">
        <f>#REF!</f>
        <v/>
      </c>
      <c r="C80" s="351">
        <f>P36</f>
        <v/>
      </c>
      <c r="D80" s="362" t="n"/>
      <c r="E80" s="503">
        <f>H48-C80</f>
        <v/>
      </c>
      <c r="F80" s="467" t="n"/>
      <c r="G80" s="467" t="n"/>
      <c r="H80" s="362" t="n"/>
      <c r="I80" s="504" t="n"/>
      <c r="J80" s="362" t="n"/>
    </row>
    <row r="81" ht="26.4" customHeight="1" s="330">
      <c r="A81" s="220" t="n">
        <v>25</v>
      </c>
      <c r="B81" s="50">
        <f>#REF!</f>
        <v/>
      </c>
      <c r="C81" s="351">
        <f>P37</f>
        <v/>
      </c>
      <c r="D81" s="362" t="n"/>
      <c r="E81" s="503">
        <f>H48-C81</f>
        <v/>
      </c>
      <c r="F81" s="467" t="n"/>
      <c r="G81" s="467" t="n"/>
      <c r="H81" s="362" t="n"/>
      <c r="I81" s="507" t="n"/>
      <c r="J81" s="362" t="n"/>
    </row>
    <row r="82" ht="26.4" customHeight="1" s="330">
      <c r="A82" s="221" t="n">
        <v>26</v>
      </c>
      <c r="B82" s="50">
        <f>#REF!</f>
        <v/>
      </c>
      <c r="C82" s="351">
        <f>P38</f>
        <v/>
      </c>
      <c r="D82" s="362" t="n"/>
      <c r="E82" s="503">
        <f>H48-C82</f>
        <v/>
      </c>
      <c r="F82" s="467" t="n"/>
      <c r="G82" s="467" t="n"/>
      <c r="H82" s="362" t="n"/>
      <c r="I82" s="507" t="n"/>
      <c r="J82" s="362" t="n"/>
    </row>
    <row r="83"/>
    <row r="84"/>
    <row r="85" ht="25.8" customHeight="1" s="330">
      <c r="E85" s="349" t="inlineStr">
        <is>
          <t>ลงชื่อ..................................................................................................................................</t>
        </is>
      </c>
      <c r="K85" s="349" t="n"/>
      <c r="L85" s="349" t="n"/>
      <c r="M85" s="349" t="n"/>
      <c r="N85" s="349" t="n"/>
    </row>
    <row r="86" ht="23.25" customHeight="1" s="330">
      <c r="F86" s="363" t="inlineStr">
        <is>
          <t xml:space="preserve"> ( นายชำนาญ แก้วจงประสิทธิ์ )</t>
        </is>
      </c>
      <c r="K86" s="363" t="n"/>
      <c r="L86" s="363" t="n"/>
      <c r="M86" s="363" t="n"/>
      <c r="N86" s="363" t="n"/>
    </row>
    <row r="87" ht="25.2" customHeight="1" s="330">
      <c r="F87" s="348" t="inlineStr">
        <is>
          <t>ตำแหน่ง    หัวหน้าแผนกวิชา ช่างยนต์</t>
        </is>
      </c>
      <c r="K87" s="349" t="n"/>
      <c r="L87" s="349" t="n"/>
      <c r="M87" s="349" t="n"/>
      <c r="N87" s="349" t="n"/>
    </row>
  </sheetData>
  <mergeCells count="125">
    <mergeCell ref="K49:L49"/>
    <mergeCell ref="C55:H55"/>
    <mergeCell ref="C62:D62"/>
    <mergeCell ref="E61:H61"/>
    <mergeCell ref="A46:C46"/>
    <mergeCell ref="I81:J81"/>
    <mergeCell ref="A51:B51"/>
    <mergeCell ref="K4:L4"/>
    <mergeCell ref="C64:D64"/>
    <mergeCell ref="C79:D79"/>
    <mergeCell ref="C73:D73"/>
    <mergeCell ref="I76:J76"/>
    <mergeCell ref="C63:D63"/>
    <mergeCell ref="E62:H62"/>
    <mergeCell ref="I71:J71"/>
    <mergeCell ref="I66:J66"/>
    <mergeCell ref="E71:H71"/>
    <mergeCell ref="C56:D56"/>
    <mergeCell ref="I58:J58"/>
    <mergeCell ref="K52:L52"/>
    <mergeCell ref="E64:H64"/>
    <mergeCell ref="E79:H79"/>
    <mergeCell ref="E73:H73"/>
    <mergeCell ref="C76:D76"/>
    <mergeCell ref="E82:H82"/>
    <mergeCell ref="E63:H63"/>
    <mergeCell ref="C67:D67"/>
    <mergeCell ref="E65:H65"/>
    <mergeCell ref="E74:H74"/>
    <mergeCell ref="I69:J69"/>
    <mergeCell ref="C69:D69"/>
    <mergeCell ref="I30:J30"/>
    <mergeCell ref="A48:B48"/>
    <mergeCell ref="K30:L30"/>
    <mergeCell ref="C30:D30"/>
    <mergeCell ref="F87:J87"/>
    <mergeCell ref="I77:J77"/>
    <mergeCell ref="I80:J80"/>
    <mergeCell ref="O4:O5"/>
    <mergeCell ref="I61:J61"/>
    <mergeCell ref="O30:O31"/>
    <mergeCell ref="E75:H75"/>
    <mergeCell ref="I70:J70"/>
    <mergeCell ref="C4:D4"/>
    <mergeCell ref="E4:F4"/>
    <mergeCell ref="I57:J57"/>
    <mergeCell ref="K51:L51"/>
    <mergeCell ref="I72:J72"/>
    <mergeCell ref="E67:H67"/>
    <mergeCell ref="A44:C44"/>
    <mergeCell ref="C60:D60"/>
    <mergeCell ref="C71:D71"/>
    <mergeCell ref="B55:B56"/>
    <mergeCell ref="A25:J25"/>
    <mergeCell ref="B30:B31"/>
    <mergeCell ref="I82:J82"/>
    <mergeCell ref="A52:B52"/>
    <mergeCell ref="C82:D82"/>
    <mergeCell ref="P30:P31"/>
    <mergeCell ref="C57:D57"/>
    <mergeCell ref="C66:D66"/>
    <mergeCell ref="I59:J59"/>
    <mergeCell ref="I60:J60"/>
    <mergeCell ref="I74:J74"/>
    <mergeCell ref="C77:D77"/>
    <mergeCell ref="C68:D68"/>
    <mergeCell ref="A49:B49"/>
    <mergeCell ref="C58:D58"/>
    <mergeCell ref="E76:H76"/>
    <mergeCell ref="E66:H66"/>
    <mergeCell ref="I55:J56"/>
    <mergeCell ref="C65:D65"/>
    <mergeCell ref="C75:D75"/>
    <mergeCell ref="E68:H68"/>
    <mergeCell ref="C80:D80"/>
    <mergeCell ref="C59:D59"/>
    <mergeCell ref="E85:J85"/>
    <mergeCell ref="A4:A5"/>
    <mergeCell ref="I62:J62"/>
    <mergeCell ref="C61:D61"/>
    <mergeCell ref="C70:D70"/>
    <mergeCell ref="A41:J41"/>
    <mergeCell ref="I64:J64"/>
    <mergeCell ref="I79:J79"/>
    <mergeCell ref="D27:H28"/>
    <mergeCell ref="I73:J73"/>
    <mergeCell ref="E78:H78"/>
    <mergeCell ref="B4:B5"/>
    <mergeCell ref="I63:J63"/>
    <mergeCell ref="P4:P5"/>
    <mergeCell ref="E80:H80"/>
    <mergeCell ref="E56:F56"/>
    <mergeCell ref="G56:H56"/>
    <mergeCell ref="I65:J65"/>
    <mergeCell ref="E70:H70"/>
    <mergeCell ref="E57:H57"/>
    <mergeCell ref="E72:H72"/>
    <mergeCell ref="C74:D74"/>
    <mergeCell ref="E81:H81"/>
    <mergeCell ref="E58:H58"/>
    <mergeCell ref="F86:J86"/>
    <mergeCell ref="A55:A56"/>
    <mergeCell ref="I75:J75"/>
    <mergeCell ref="A43:F43"/>
    <mergeCell ref="M30:N30"/>
    <mergeCell ref="I68:J68"/>
    <mergeCell ref="E30:F30"/>
    <mergeCell ref="G30:H30"/>
    <mergeCell ref="D1:H2"/>
    <mergeCell ref="I67:J67"/>
    <mergeCell ref="K48:L48"/>
    <mergeCell ref="H43:J43"/>
    <mergeCell ref="G4:H4"/>
    <mergeCell ref="E60:H60"/>
    <mergeCell ref="I4:J4"/>
    <mergeCell ref="E69:H69"/>
    <mergeCell ref="A45:C45"/>
    <mergeCell ref="C72:D72"/>
    <mergeCell ref="I78:J78"/>
    <mergeCell ref="C81:D81"/>
    <mergeCell ref="E59:H59"/>
    <mergeCell ref="E77:H77"/>
    <mergeCell ref="C78:D78"/>
    <mergeCell ref="M4:N4"/>
    <mergeCell ref="A30:A31"/>
  </mergeCells>
  <printOptions horizontalCentered="1"/>
  <pageMargins left="0" right="0" top="0" bottom="0" header="0" footer="0"/>
  <pageSetup orientation="portrait" scale="54" horizontalDpi="4294967293"/>
  <rowBreaks count="1" manualBreakCount="1">
    <brk id="53" min="0" max="13" man="1"/>
  </rowBreaks>
</worksheet>
</file>

<file path=xl/worksheets/sheet6.xml><?xml version="1.0" encoding="utf-8"?>
<worksheet xmlns="http://schemas.openxmlformats.org/spreadsheetml/2006/main">
  <sheetPr codeName="Sheet80">
    <outlinePr summaryBelow="1" summaryRight="1"/>
    <pageSetUpPr/>
  </sheetPr>
  <dimension ref="A1:P104"/>
  <sheetViews>
    <sheetView view="pageBreakPreview" zoomScaleNormal="90" zoomScaleSheetLayoutView="100" workbookViewId="0">
      <selection activeCell="H13" sqref="H13"/>
    </sheetView>
  </sheetViews>
  <sheetFormatPr baseColWidth="8" defaultColWidth="9.109375" defaultRowHeight="19.8"/>
  <cols>
    <col width="6.33203125" customWidth="1" style="81" min="1" max="1"/>
    <col width="21.6640625" customWidth="1" style="81" min="2" max="2"/>
    <col width="9.5546875" customWidth="1" style="81" min="3" max="3"/>
    <col width="5.44140625" customWidth="1" style="81" min="4" max="4"/>
    <col width="5.5546875" customWidth="1" style="81" min="5" max="5"/>
    <col width="10.44140625" customWidth="1" style="81" min="6" max="6"/>
    <col width="18.88671875" customWidth="1" style="81" min="7" max="7"/>
    <col width="16.6640625" customWidth="1" style="81" min="8" max="8"/>
    <col width="14.44140625" customWidth="1" style="81" min="9" max="9"/>
    <col width="17.44140625" customWidth="1" style="81" min="10" max="10"/>
    <col width="15.44140625" customWidth="1" style="81" min="11" max="11"/>
    <col width="9.44140625" customWidth="1" style="81" min="12" max="12"/>
    <col width="10.33203125" customWidth="1" style="81" min="13" max="13"/>
    <col width="9.109375" customWidth="1" style="81" min="14" max="16384"/>
  </cols>
  <sheetData>
    <row r="1" ht="29.85" customFormat="1" customHeight="1" s="462">
      <c r="A1" s="412" t="inlineStr">
        <is>
          <t>หลักฐานการเบิกจ่ายเงินค่าสอนพิเศษและค่าสอนเกินภาระงานสอนในสถานศึกษา</t>
        </is>
      </c>
    </row>
    <row r="2" ht="25.2" customFormat="1" customHeight="1" s="462">
      <c r="C2" s="82" t="inlineStr">
        <is>
          <t>ส่วนราชการ    วิทยาลัยเทคนิคนครสวรรค์</t>
        </is>
      </c>
      <c r="H2" s="83" t="inlineStr">
        <is>
          <t>ประจำเดือน</t>
        </is>
      </c>
      <c r="I2" s="412" t="inlineStr">
        <is>
          <t>27 พฤศจิกายน 2566 - 29 ธันวาคม 2566</t>
        </is>
      </c>
      <c r="K2" s="76" t="n"/>
    </row>
    <row r="3" ht="20.1" customFormat="1" customHeight="1" s="462">
      <c r="H3" s="84" t="n"/>
      <c r="K3" s="85" t="n"/>
    </row>
    <row r="4" ht="20.1" customFormat="1" customHeight="1" s="462">
      <c r="A4" s="86" t="n"/>
      <c r="B4" s="87" t="n"/>
      <c r="C4" s="88" t="n"/>
      <c r="D4" s="88" t="n"/>
      <c r="E4" s="89" t="n"/>
      <c r="F4" s="90" t="n"/>
      <c r="G4" s="508" t="inlineStr">
        <is>
          <t>ระดับการสอน</t>
        </is>
      </c>
      <c r="H4" s="362" t="n"/>
      <c r="I4" s="90" t="inlineStr">
        <is>
          <t>จำนวนหน่วย</t>
        </is>
      </c>
      <c r="J4" s="509" t="inlineStr">
        <is>
          <t>จำนวนเงิน</t>
        </is>
      </c>
      <c r="K4" s="509" t="inlineStr">
        <is>
          <t>ลายมือชื่อผู้รับเงิน</t>
        </is>
      </c>
      <c r="L4" s="446" t="inlineStr">
        <is>
          <t>วัน/เดือน/ปี</t>
        </is>
      </c>
      <c r="M4" s="509" t="inlineStr">
        <is>
          <t>หมายเหตุ</t>
        </is>
      </c>
    </row>
    <row r="5" ht="20.1" customFormat="1" customHeight="1" s="462">
      <c r="A5" s="416" t="inlineStr">
        <is>
          <t>ลำดับที่</t>
        </is>
      </c>
      <c r="B5" s="510" t="inlineStr">
        <is>
          <t>ชื่อ - นามสกุล</t>
        </is>
      </c>
      <c r="E5" s="331" t="n"/>
      <c r="F5" s="433" t="inlineStr">
        <is>
          <t>ตำแหน่ง</t>
        </is>
      </c>
      <c r="G5" s="90" t="inlineStr">
        <is>
          <t>มัธยมศึกษาตอนต้น</t>
        </is>
      </c>
      <c r="H5" s="429" t="inlineStr">
        <is>
          <t>สูงกว่า</t>
        </is>
      </c>
      <c r="I5" s="433" t="inlineStr">
        <is>
          <t>ชั่วโมงที่ทำการสอน</t>
        </is>
      </c>
      <c r="J5" s="56" t="n"/>
      <c r="K5" s="56" t="n"/>
      <c r="L5" s="56" t="n"/>
      <c r="M5" s="56" t="n"/>
    </row>
    <row r="6" ht="20.1" customFormat="1" customHeight="1" s="462">
      <c r="A6" s="416" t="n"/>
      <c r="B6" s="418" t="n"/>
      <c r="C6" s="419" t="n"/>
      <c r="D6" s="419" t="n"/>
      <c r="E6" s="420" t="n"/>
      <c r="F6" s="97" t="inlineStr">
        <is>
          <t>ผู้ทำการสอน</t>
        </is>
      </c>
      <c r="G6" s="433" t="inlineStr">
        <is>
          <t>หรือมัธยมศึกษาตอนปลาย</t>
        </is>
      </c>
      <c r="H6" s="429" t="inlineStr">
        <is>
          <t>มัธยมศึกษาตอนปลาย</t>
        </is>
      </c>
      <c r="I6" s="433" t="inlineStr">
        <is>
          <t>พิเศษและสอนเกิน</t>
        </is>
      </c>
      <c r="J6" s="56" t="n"/>
      <c r="K6" s="56" t="n"/>
      <c r="L6" s="417" t="inlineStr">
        <is>
          <t>ที่รับเงิน</t>
        </is>
      </c>
      <c r="M6" s="56" t="n"/>
    </row>
    <row r="7" ht="20.1" customFormat="1" customHeight="1" s="77">
      <c r="A7" s="98" t="n"/>
      <c r="B7" s="424" t="n"/>
      <c r="C7" s="425" t="n"/>
      <c r="D7" s="425" t="n"/>
      <c r="E7" s="426" t="n"/>
      <c r="F7" s="98" t="n"/>
      <c r="G7" s="434" t="inlineStr">
        <is>
          <t>หรือเทียบเท่า</t>
        </is>
      </c>
      <c r="H7" s="423" t="inlineStr">
        <is>
          <t>หรือเทียบเท่า</t>
        </is>
      </c>
      <c r="I7" s="434" t="inlineStr">
        <is>
          <t>ภาระงานสอน</t>
        </is>
      </c>
      <c r="J7" s="474" t="n"/>
      <c r="K7" s="474" t="n"/>
      <c r="L7" s="474" t="n"/>
      <c r="M7" s="474" t="n"/>
      <c r="O7" s="78">
        <f>#REF!</f>
        <v/>
      </c>
      <c r="P7" s="79" t="n"/>
    </row>
    <row r="8" ht="20.1" customFormat="1" customHeight="1" s="77">
      <c r="A8" s="104" t="n">
        <v>1</v>
      </c>
      <c r="B8" s="511">
        <f>ตารางแจงเงินรายบุคคล!B6</f>
        <v/>
      </c>
      <c r="C8" s="467" t="n"/>
      <c r="D8" s="467" t="n"/>
      <c r="E8" s="362" t="n"/>
      <c r="F8" s="104" t="inlineStr">
        <is>
          <t>ครู</t>
        </is>
      </c>
      <c r="G8" s="232" t="inlineStr">
        <is>
          <t>ü</t>
        </is>
      </c>
      <c r="H8" s="232" t="n"/>
      <c r="I8" s="106">
        <f>ตารางแจงเงินรายบุคคล!O6</f>
        <v/>
      </c>
      <c r="J8" s="107">
        <f>ตารางแจงเงินรายบุคคล!P6</f>
        <v/>
      </c>
      <c r="K8" s="108" t="n"/>
      <c r="L8" s="109" t="n"/>
      <c r="M8" s="110" t="n"/>
      <c r="O8" s="78">
        <f>#REF!</f>
        <v/>
      </c>
      <c r="P8" s="79" t="n"/>
    </row>
    <row r="9" ht="20.1" customFormat="1" customHeight="1" s="77">
      <c r="A9" s="111" t="n">
        <v>2</v>
      </c>
      <c r="B9" s="511">
        <f>ตารางแจงเงินรายบุคคล!B7</f>
        <v/>
      </c>
      <c r="C9" s="467" t="n"/>
      <c r="D9" s="467" t="n"/>
      <c r="E9" s="362" t="n"/>
      <c r="F9" s="113" t="inlineStr">
        <is>
          <t>พนง.ราชการ</t>
        </is>
      </c>
      <c r="G9" s="237" t="inlineStr">
        <is>
          <t>ü</t>
        </is>
      </c>
      <c r="H9" s="231" t="n"/>
      <c r="I9" s="104">
        <f>ตารางแจงเงินรายบุคคล!O7</f>
        <v/>
      </c>
      <c r="J9" s="238">
        <f>ตารางแจงเงินรายบุคคล!P7</f>
        <v/>
      </c>
      <c r="K9" s="108" t="n"/>
      <c r="L9" s="109" t="n"/>
      <c r="M9" s="113" t="n"/>
      <c r="O9" s="78">
        <f>#REF!</f>
        <v/>
      </c>
      <c r="P9" s="79" t="n"/>
    </row>
    <row r="10" ht="20.1" customFormat="1" customHeight="1" s="77">
      <c r="A10" s="111" t="n">
        <v>3</v>
      </c>
      <c r="B10" s="511" t="n"/>
      <c r="C10" s="467" t="n"/>
      <c r="D10" s="467" t="n"/>
      <c r="E10" s="362" t="n"/>
      <c r="F10" s="104" t="n"/>
      <c r="G10" s="139" t="n"/>
      <c r="I10" s="111" t="n"/>
      <c r="J10" s="112" t="n"/>
      <c r="K10" s="108" t="n"/>
      <c r="L10" s="109" t="n"/>
      <c r="M10" s="113" t="n"/>
      <c r="O10" s="78">
        <f>#REF!</f>
        <v/>
      </c>
      <c r="P10" s="79" t="n"/>
    </row>
    <row r="11" ht="20.1" customFormat="1" customHeight="1" s="77">
      <c r="A11" s="111" t="n">
        <v>4</v>
      </c>
      <c r="B11" s="511" t="n"/>
      <c r="C11" s="467" t="n"/>
      <c r="D11" s="467" t="n"/>
      <c r="E11" s="362" t="n"/>
      <c r="F11" s="104" t="n"/>
      <c r="G11" s="139" t="n"/>
      <c r="H11" s="231" t="n"/>
      <c r="I11" s="111" t="n"/>
      <c r="J11" s="112" t="n"/>
      <c r="K11" s="451" t="n"/>
      <c r="L11" s="109" t="n"/>
      <c r="M11" s="113" t="n"/>
      <c r="O11" s="78">
        <f>#REF!</f>
        <v/>
      </c>
      <c r="P11" s="79" t="n"/>
    </row>
    <row r="12" ht="20.1" customFormat="1" customHeight="1" s="77">
      <c r="A12" s="111" t="n">
        <v>5</v>
      </c>
      <c r="B12" s="511" t="n"/>
      <c r="C12" s="467" t="n"/>
      <c r="D12" s="467" t="n"/>
      <c r="E12" s="362" t="n"/>
      <c r="F12" s="104" t="n"/>
      <c r="G12" s="139" t="n"/>
      <c r="H12" s="231" t="n"/>
      <c r="I12" s="111" t="n"/>
      <c r="J12" s="112" t="n"/>
      <c r="K12" s="451" t="n"/>
      <c r="L12" s="109" t="n"/>
      <c r="M12" s="113" t="n"/>
      <c r="O12" s="78">
        <f>#REF!</f>
        <v/>
      </c>
      <c r="P12" s="79" t="n"/>
    </row>
    <row r="13" ht="20.1" customFormat="1" customHeight="1" s="77">
      <c r="A13" s="111" t="n">
        <v>6</v>
      </c>
      <c r="B13" s="511" t="n"/>
      <c r="C13" s="467" t="n"/>
      <c r="D13" s="467" t="n"/>
      <c r="E13" s="362" t="n"/>
      <c r="F13" s="104" t="n"/>
      <c r="G13" s="139" t="n"/>
      <c r="H13" s="231" t="n"/>
      <c r="I13" s="111" t="n"/>
      <c r="J13" s="112" t="n"/>
      <c r="K13" s="451" t="n"/>
      <c r="L13" s="113" t="n"/>
      <c r="M13" s="113" t="n"/>
      <c r="O13" s="78">
        <f>#REF!</f>
        <v/>
      </c>
      <c r="P13" s="79" t="n"/>
    </row>
    <row r="14" ht="20.1" customFormat="1" customHeight="1" s="77">
      <c r="A14" s="111" t="n">
        <v>7</v>
      </c>
      <c r="B14" s="511" t="n"/>
      <c r="C14" s="467" t="n"/>
      <c r="D14" s="467" t="n"/>
      <c r="E14" s="362" t="n"/>
      <c r="F14" s="104" t="n"/>
      <c r="G14" s="139" t="n"/>
      <c r="I14" s="111" t="n"/>
      <c r="J14" s="115" t="n"/>
      <c r="K14" s="451" t="n"/>
      <c r="L14" s="113" t="n"/>
      <c r="M14" s="113" t="n"/>
      <c r="O14" s="78">
        <f>#REF!</f>
        <v/>
      </c>
      <c r="P14" s="79" t="n"/>
    </row>
    <row r="15" ht="20.1" customFormat="1" customHeight="1" s="77">
      <c r="A15" s="116" t="n">
        <v>8</v>
      </c>
      <c r="B15" s="98" t="n"/>
      <c r="C15" s="471" t="n"/>
      <c r="D15" s="471" t="n"/>
      <c r="E15" s="476" t="n"/>
      <c r="F15" s="104" t="n"/>
      <c r="H15" s="105" t="n"/>
      <c r="I15" s="117" t="n"/>
      <c r="J15" s="118" t="n"/>
      <c r="K15" s="119" t="n"/>
      <c r="L15" s="120" t="n"/>
      <c r="M15" s="120" t="n"/>
      <c r="O15" s="78">
        <f>#REF!</f>
        <v/>
      </c>
    </row>
    <row r="16" ht="20.1" customFormat="1" customHeight="1" s="77" thickBot="1">
      <c r="A16" s="121" t="n"/>
      <c r="B16" s="122" t="n"/>
      <c r="C16" s="122" t="n"/>
      <c r="D16" s="122" t="n"/>
      <c r="E16" s="441" t="inlineStr">
        <is>
          <t>รวมจำนวนเงิน</t>
        </is>
      </c>
      <c r="F16" s="512" t="n"/>
      <c r="G16" s="442">
        <f>B19</f>
        <v/>
      </c>
      <c r="H16" s="512" t="n"/>
      <c r="I16" s="513" t="n"/>
      <c r="J16" s="123">
        <f>SUM(J8:J15)</f>
        <v/>
      </c>
      <c r="K16" s="121" t="n"/>
      <c r="L16" s="122" t="n"/>
      <c r="M16" s="124" t="n"/>
      <c r="O16" s="78">
        <f>#REF!</f>
        <v/>
      </c>
    </row>
    <row r="17" ht="20.1" customFormat="1" customHeight="1" s="77" thickTop="1">
      <c r="A17" s="97" t="n"/>
      <c r="E17" s="331" t="n"/>
      <c r="F17" s="416" t="inlineStr">
        <is>
          <t>ผู้ทำ</t>
        </is>
      </c>
      <c r="I17" s="331" t="n"/>
      <c r="J17" s="416" t="inlineStr">
        <is>
          <t>ผู้จ่ายเงิน</t>
        </is>
      </c>
      <c r="M17" s="331" t="n"/>
      <c r="O17" s="78">
        <f>#REF!</f>
        <v/>
      </c>
    </row>
    <row r="18" ht="20.1" customFormat="1" customHeight="1" s="77">
      <c r="A18" s="427" t="inlineStr">
        <is>
          <t>รวมจำนวนเงินค่าสอนพิเศษทั้งสิ้น</t>
        </is>
      </c>
      <c r="C18" s="146">
        <f>J16</f>
        <v/>
      </c>
      <c r="D18" s="428" t="inlineStr">
        <is>
          <t>บาท</t>
        </is>
      </c>
      <c r="E18" s="463" t="n"/>
      <c r="F18" s="433" t="inlineStr">
        <is>
          <t>ลงชื่อ.........................................</t>
        </is>
      </c>
      <c r="I18" s="331" t="n"/>
      <c r="J18" s="433" t="inlineStr">
        <is>
          <t>ลงชื่อ.........................................</t>
        </is>
      </c>
      <c r="M18" s="331" t="n"/>
      <c r="O18" s="78">
        <f>#REF!</f>
        <v/>
      </c>
    </row>
    <row r="19" ht="20.1" customFormat="1" customHeight="1" s="77">
      <c r="A19" s="445" t="inlineStr">
        <is>
          <t>(</t>
        </is>
      </c>
      <c r="B19" s="428">
        <f>BAHTTEXT(C18)</f>
        <v/>
      </c>
      <c r="E19" s="130" t="inlineStr">
        <is>
          <t>)</t>
        </is>
      </c>
      <c r="F19" s="433" t="inlineStr">
        <is>
          <t>(นายอาทิตย์  แก้วแดง)</t>
        </is>
      </c>
      <c r="I19" s="331" t="n"/>
      <c r="J19" s="433" t="inlineStr">
        <is>
          <t>(นางวีณา กฐินทอง )</t>
        </is>
      </c>
      <c r="M19" s="331" t="n"/>
      <c r="O19" s="78">
        <f>#REF!</f>
        <v/>
      </c>
    </row>
    <row r="20" ht="20.1" customFormat="1" customHeight="1" s="77">
      <c r="A20" s="514" t="n"/>
      <c r="E20" s="331" t="n"/>
      <c r="F20" s="433" t="inlineStr">
        <is>
          <t>ตำแหน่งครู  หัวหน้าแผนกวิชายานยนต์ไฟฟ้า</t>
        </is>
      </c>
      <c r="I20" s="331" t="n"/>
      <c r="J20" s="433" t="inlineStr">
        <is>
          <t>ตำแหน่ง  หัวหน้างานการเงิน</t>
        </is>
      </c>
      <c r="M20" s="331" t="n"/>
      <c r="O20" s="78">
        <f>#REF!</f>
        <v/>
      </c>
    </row>
    <row r="21" ht="20.1" customFormat="1" customHeight="1" s="77">
      <c r="A21" s="98" t="n"/>
      <c r="B21" s="471" t="n"/>
      <c r="C21" s="471" t="n"/>
      <c r="D21" s="471" t="n"/>
      <c r="E21" s="476" t="n"/>
      <c r="F21" s="434" t="inlineStr">
        <is>
          <t>วันที่.......เดือน..........................พ.ศ..............</t>
        </is>
      </c>
      <c r="G21" s="471" t="n"/>
      <c r="H21" s="471" t="n"/>
      <c r="I21" s="476" t="n"/>
      <c r="J21" s="434" t="inlineStr">
        <is>
          <t>วันที่........เดือน...............พ.ศ...........</t>
        </is>
      </c>
      <c r="K21" s="471" t="n"/>
      <c r="L21" s="471" t="n"/>
      <c r="M21" s="476" t="n"/>
    </row>
    <row r="22" ht="20.1" customFormat="1" customHeight="1" s="462">
      <c r="A22" s="90" t="inlineStr">
        <is>
          <t>ผู้รับรอง</t>
        </is>
      </c>
      <c r="B22" s="334" t="n"/>
      <c r="C22" s="334" t="n"/>
      <c r="D22" s="334" t="n"/>
      <c r="E22" s="335" t="n"/>
      <c r="F22" s="90" t="inlineStr">
        <is>
          <t>ผู้เห็นชอบ</t>
        </is>
      </c>
      <c r="G22" s="334" t="n"/>
      <c r="H22" s="334" t="n"/>
      <c r="I22" s="335" t="n"/>
      <c r="J22" s="90" t="inlineStr">
        <is>
          <t>ผู้อนุมัติ</t>
        </is>
      </c>
      <c r="K22" s="334" t="n"/>
      <c r="L22" s="334" t="n"/>
      <c r="M22" s="335" t="n"/>
      <c r="O22" s="80">
        <f>O7+O8+O9+O10+O11+O12+O13+O14+O15+O16+O17+O18+O19+O20</f>
        <v/>
      </c>
    </row>
    <row r="23" ht="20.1" customFormat="1" customHeight="1" s="462">
      <c r="A23" s="433" t="inlineStr">
        <is>
          <t>ลงชื่อ...........................................................................</t>
        </is>
      </c>
      <c r="E23" s="331" t="n"/>
      <c r="F23" s="433" t="inlineStr">
        <is>
          <t>ลงชื่อ...............................................................</t>
        </is>
      </c>
      <c r="I23" s="331" t="n"/>
      <c r="J23" s="433" t="inlineStr">
        <is>
          <t>ลงชื่อ...................................................................</t>
        </is>
      </c>
      <c r="M23" s="331" t="n"/>
    </row>
    <row r="24" ht="20.1" customFormat="1" customHeight="1" s="462">
      <c r="A24" s="427" t="n"/>
      <c r="B24" s="428" t="inlineStr">
        <is>
          <t>(นายปรีชา โพธิ์เกิด)</t>
        </is>
      </c>
      <c r="D24" s="428" t="n"/>
      <c r="E24" s="463" t="n"/>
      <c r="F24" s="84" t="n"/>
      <c r="G24" s="428" t="inlineStr">
        <is>
          <t>(นางกุสุมา ขันกสิกรรม)</t>
        </is>
      </c>
      <c r="I24" s="463" t="n"/>
      <c r="J24" s="428" t="n"/>
      <c r="K24" s="428" t="inlineStr">
        <is>
          <t>(นายปริวิชญ์ ไชยประเสริฐ)</t>
        </is>
      </c>
      <c r="M24" s="429" t="n"/>
    </row>
    <row r="25" ht="20.1" customFormat="1" customHeight="1" s="462">
      <c r="A25" s="433" t="inlineStr">
        <is>
          <t>ตำแหน่ง รองผู้อำนวยการฝ่ายวิชาการ</t>
        </is>
      </c>
      <c r="E25" s="331" t="n"/>
      <c r="F25" s="433" t="inlineStr">
        <is>
          <t>ตำแหน่ง รองผู้อำนวยการฝ่ายบริหารทรัพยากร</t>
        </is>
      </c>
      <c r="I25" s="331" t="n"/>
      <c r="J25" s="433" t="inlineStr">
        <is>
          <t>ตำแหน่ง ผู้อำนวยการวิทยาลัยเทคนิคนครสวรรค์</t>
        </is>
      </c>
      <c r="M25" s="331" t="n"/>
    </row>
    <row r="26" ht="23.85" customFormat="1" customHeight="1" s="462">
      <c r="A26" s="434" t="inlineStr">
        <is>
          <t>วันที่..................เดือน..........................พ.ศ................</t>
        </is>
      </c>
      <c r="B26" s="471" t="n"/>
      <c r="C26" s="471" t="n"/>
      <c r="D26" s="471" t="n"/>
      <c r="E26" s="476" t="n"/>
      <c r="F26" s="434" t="inlineStr">
        <is>
          <t>วันที่.............เดือน.......................พ.ศ.............</t>
        </is>
      </c>
      <c r="G26" s="471" t="n"/>
      <c r="H26" s="471" t="n"/>
      <c r="I26" s="476" t="n"/>
      <c r="J26" s="434" t="inlineStr">
        <is>
          <t>วันที่...........เดือน...................พ.ศ..........</t>
        </is>
      </c>
      <c r="K26" s="471" t="n"/>
      <c r="L26" s="471" t="n"/>
      <c r="M26" s="476" t="n"/>
    </row>
    <row r="27" ht="29.25" customFormat="1" customHeight="1" s="462">
      <c r="A27" s="412" t="inlineStr">
        <is>
          <t>หลักฐานการเบิกจ่ายเงินค่าสอนพิเศษและค่าสอนเกินภาระงานสอนในสถานศึกษา</t>
        </is>
      </c>
    </row>
    <row r="28" ht="25.2" customFormat="1" customHeight="1" s="462">
      <c r="C28" s="82" t="inlineStr">
        <is>
          <t>ส่วนราชการ    วิทยาลัยเทคนิคนครสวรรค์</t>
        </is>
      </c>
      <c r="H28" s="83" t="inlineStr">
        <is>
          <t>ประจำเดือน</t>
        </is>
      </c>
      <c r="I28" s="412">
        <f>I2</f>
        <v/>
      </c>
      <c r="K28" s="76" t="n"/>
    </row>
    <row r="29" ht="20.1" customFormat="1" customHeight="1" s="462" thickBot="1">
      <c r="H29" s="84" t="n"/>
      <c r="K29" s="85" t="n"/>
    </row>
    <row r="30" ht="20.1" customFormat="1" customHeight="1" s="462" thickTop="1">
      <c r="A30" s="132" t="n"/>
      <c r="B30" s="133" t="n"/>
      <c r="C30" s="134" t="n"/>
      <c r="D30" s="134" t="n"/>
      <c r="E30" s="135" t="n"/>
      <c r="F30" s="136" t="n"/>
      <c r="G30" s="515" t="inlineStr">
        <is>
          <t>ระดับการสอน</t>
        </is>
      </c>
      <c r="H30" s="516" t="n"/>
      <c r="I30" s="136" t="inlineStr">
        <is>
          <t>จำนวนหน่วย</t>
        </is>
      </c>
      <c r="J30" s="517" t="inlineStr">
        <is>
          <t>จำนวนเงิน</t>
        </is>
      </c>
      <c r="K30" s="137" t="n"/>
      <c r="L30" s="138" t="n"/>
      <c r="M30" s="517" t="inlineStr">
        <is>
          <t>หมายเหตุ</t>
        </is>
      </c>
    </row>
    <row r="31" ht="20.1" customFormat="1" customHeight="1" s="462">
      <c r="A31" s="416" t="inlineStr">
        <is>
          <t>ลำดับที่</t>
        </is>
      </c>
      <c r="B31" s="510" t="inlineStr">
        <is>
          <t>ชื่อ - นามสกุล</t>
        </is>
      </c>
      <c r="E31" s="331" t="n"/>
      <c r="F31" s="433" t="inlineStr">
        <is>
          <t>ตำแหน่ง</t>
        </is>
      </c>
      <c r="G31" s="90" t="inlineStr">
        <is>
          <t>มัธยมศึกษาตอนต้น</t>
        </is>
      </c>
      <c r="H31" s="429" t="inlineStr">
        <is>
          <t>สูงกว่า</t>
        </is>
      </c>
      <c r="I31" s="433" t="inlineStr">
        <is>
          <t>ชั่วโมงที่ทำการสอน</t>
        </is>
      </c>
      <c r="J31" s="56" t="n"/>
      <c r="K31" s="428" t="inlineStr">
        <is>
          <t>ลายมือชื่อ</t>
        </is>
      </c>
      <c r="L31" s="433" t="inlineStr">
        <is>
          <t>วัน/เดือน/ปี</t>
        </is>
      </c>
      <c r="M31" s="56" t="n"/>
    </row>
    <row r="32" ht="20.1" customFormat="1" customHeight="1" s="462">
      <c r="A32" s="416" t="n"/>
      <c r="B32" s="418" t="n"/>
      <c r="C32" s="419" t="n"/>
      <c r="D32" s="419" t="n"/>
      <c r="E32" s="420" t="n"/>
      <c r="F32" s="97" t="inlineStr">
        <is>
          <t>ผู้ทำการสอน</t>
        </is>
      </c>
      <c r="G32" s="433" t="inlineStr">
        <is>
          <t>หรือมัธยมศึกษาตอนปลาย</t>
        </is>
      </c>
      <c r="H32" s="429" t="inlineStr">
        <is>
          <t>มัธยมศึกษาตอนปลาย</t>
        </is>
      </c>
      <c r="I32" s="433" t="inlineStr">
        <is>
          <t>พิเศษและสอนเกิน</t>
        </is>
      </c>
      <c r="J32" s="56" t="n"/>
      <c r="K32" s="428" t="inlineStr">
        <is>
          <t>ผู้รับเงิน</t>
        </is>
      </c>
      <c r="L32" s="433" t="inlineStr">
        <is>
          <t>ที่รับเงิน</t>
        </is>
      </c>
      <c r="M32" s="56" t="n"/>
    </row>
    <row r="33" ht="20.1" customFormat="1" customHeight="1" s="462">
      <c r="A33" s="98" t="n"/>
      <c r="B33" s="424" t="n"/>
      <c r="C33" s="425" t="n"/>
      <c r="D33" s="425" t="n"/>
      <c r="E33" s="426" t="n"/>
      <c r="F33" s="98" t="n"/>
      <c r="G33" s="434" t="inlineStr">
        <is>
          <t>หรือเทียบเท่า</t>
        </is>
      </c>
      <c r="H33" s="423" t="inlineStr">
        <is>
          <t>หรือเทียบเท่า</t>
        </is>
      </c>
      <c r="I33" s="434" t="inlineStr">
        <is>
          <t>ภาระงานสอน</t>
        </is>
      </c>
      <c r="J33" s="474" t="n"/>
      <c r="K33" s="425" t="n"/>
      <c r="L33" s="98" t="n"/>
      <c r="M33" s="474" t="n"/>
    </row>
    <row r="34" ht="20.1" customFormat="1" customHeight="1" s="462">
      <c r="A34" s="104" t="n"/>
      <c r="B34" s="508" t="inlineStr">
        <is>
          <t>ย/ม</t>
        </is>
      </c>
      <c r="C34" s="467" t="n"/>
      <c r="D34" s="467" t="n"/>
      <c r="E34" s="362" t="n"/>
      <c r="F34" s="111" t="n"/>
      <c r="G34" s="113" t="n"/>
      <c r="H34" s="231" t="n"/>
      <c r="I34" s="111" t="n"/>
      <c r="J34" s="115">
        <f>J16</f>
        <v/>
      </c>
      <c r="K34" s="108" t="n"/>
      <c r="L34" s="109" t="n"/>
      <c r="M34" s="110" t="n"/>
    </row>
    <row r="35" ht="20.1" customFormat="1" customHeight="1" s="462">
      <c r="A35" s="111" t="n">
        <v>9</v>
      </c>
      <c r="B35" s="511">
        <f>ตารางแจงเงินรายบุคคล!B14</f>
        <v/>
      </c>
      <c r="C35" s="467" t="n"/>
      <c r="D35" s="467" t="n"/>
      <c r="E35" s="362" t="n"/>
      <c r="F35" s="111" t="inlineStr">
        <is>
          <t>ครู</t>
        </is>
      </c>
      <c r="G35" s="139" t="inlineStr">
        <is>
          <t>ü</t>
        </is>
      </c>
      <c r="H35" s="105" t="n"/>
      <c r="I35" s="111">
        <f>ตารางแจงเงินรายบุคคล!O14</f>
        <v/>
      </c>
      <c r="J35" s="115">
        <f>ตารางแจงเงินรายบุคคล!P14</f>
        <v/>
      </c>
      <c r="K35" s="108" t="n"/>
      <c r="L35" s="109" t="n"/>
      <c r="M35" s="113" t="n"/>
    </row>
    <row r="36" ht="20.1" customFormat="1" customHeight="1" s="462">
      <c r="A36" s="111" t="n">
        <v>10</v>
      </c>
      <c r="B36" s="511">
        <f>ตารางแจงเงินรายบุคคล!B15</f>
        <v/>
      </c>
      <c r="C36" s="467" t="n"/>
      <c r="D36" s="467" t="n"/>
      <c r="E36" s="362" t="n"/>
      <c r="F36" s="111" t="inlineStr">
        <is>
          <t>ครู</t>
        </is>
      </c>
      <c r="G36" s="139" t="inlineStr">
        <is>
          <t>ü</t>
        </is>
      </c>
      <c r="H36" s="231" t="n"/>
      <c r="I36" s="111">
        <f>ตารางแจงเงินรายบุคคล!O15</f>
        <v/>
      </c>
      <c r="J36" s="115">
        <f>ตารางแจงเงินรายบุคคล!P15</f>
        <v/>
      </c>
      <c r="K36" s="108" t="n"/>
      <c r="L36" s="109" t="n"/>
      <c r="M36" s="113" t="n"/>
    </row>
    <row r="37" ht="20.1" customFormat="1" customHeight="1" s="462">
      <c r="A37" s="111" t="n">
        <v>11</v>
      </c>
      <c r="B37" s="97">
        <f>ตารางแจงเงินรายบุคคล!B16</f>
        <v/>
      </c>
      <c r="E37" s="331" t="n"/>
      <c r="F37" s="111" t="inlineStr">
        <is>
          <t>ครู</t>
        </is>
      </c>
      <c r="G37" s="105" t="inlineStr">
        <is>
          <t>ü</t>
        </is>
      </c>
      <c r="H37" s="105" t="n"/>
      <c r="I37" s="111">
        <f>ตารางแจงเงินรายบุคคล!O16</f>
        <v/>
      </c>
      <c r="J37" s="115">
        <f>ตารางแจงเงินรายบุคคล!P16</f>
        <v/>
      </c>
      <c r="K37" s="451" t="n"/>
      <c r="L37" s="109" t="n"/>
      <c r="M37" s="113" t="n"/>
    </row>
    <row r="38" ht="20.1" customFormat="1" customHeight="1" s="462">
      <c r="A38" s="111" t="n">
        <v>12</v>
      </c>
      <c r="B38" s="511">
        <f>ตารางแจงเงินรายบุคคล!B17</f>
        <v/>
      </c>
      <c r="C38" s="467" t="n"/>
      <c r="D38" s="467" t="n"/>
      <c r="E38" s="362" t="n"/>
      <c r="F38" s="111" t="inlineStr">
        <is>
          <t>ครู</t>
        </is>
      </c>
      <c r="G38" s="105" t="inlineStr">
        <is>
          <t>ü</t>
        </is>
      </c>
      <c r="H38" s="105" t="n"/>
      <c r="I38" s="111">
        <f>ตารางแจงเงินรายบุคคล!O17</f>
        <v/>
      </c>
      <c r="J38" s="115">
        <f>ตารางแจงเงินรายบุคคล!P17</f>
        <v/>
      </c>
      <c r="K38" s="451" t="n"/>
      <c r="L38" s="109" t="n"/>
      <c r="M38" s="113" t="n"/>
    </row>
    <row r="39" ht="20.1" customHeight="1" s="330">
      <c r="A39" s="111" t="n">
        <v>13</v>
      </c>
      <c r="B39" s="98">
        <f>ตารางแจงเงินรายบุคคล!B18</f>
        <v/>
      </c>
      <c r="C39" s="471" t="n"/>
      <c r="D39" s="471" t="n"/>
      <c r="E39" s="476" t="n"/>
      <c r="F39" s="111" t="inlineStr">
        <is>
          <t>ครู</t>
        </is>
      </c>
      <c r="G39" s="105" t="inlineStr">
        <is>
          <t>ü</t>
        </is>
      </c>
      <c r="H39" s="105" t="n"/>
      <c r="I39" s="111">
        <f>ตารางแจงเงินรายบุคคล!O18</f>
        <v/>
      </c>
      <c r="J39" s="115">
        <f>ตารางแจงเงินรายบุคคล!P18</f>
        <v/>
      </c>
      <c r="K39" s="451" t="n"/>
      <c r="L39" s="113" t="n"/>
      <c r="M39" s="113" t="n"/>
    </row>
    <row r="40" ht="20.1" customHeight="1" s="330">
      <c r="A40" s="111" t="n">
        <v>14</v>
      </c>
      <c r="B40" s="98">
        <f>ตารางแจงเงินรายบุคคล!B19</f>
        <v/>
      </c>
      <c r="C40" s="471" t="n"/>
      <c r="D40" s="471" t="n"/>
      <c r="E40" s="476" t="n"/>
      <c r="F40" s="111" t="inlineStr">
        <is>
          <t>ครู</t>
        </is>
      </c>
      <c r="G40" s="105" t="n"/>
      <c r="H40" s="105" t="inlineStr">
        <is>
          <t>ü</t>
        </is>
      </c>
      <c r="I40" s="111">
        <f>ตารางแจงเงินรายบุคคล!O19</f>
        <v/>
      </c>
      <c r="J40" s="115">
        <f>ตารางแจงเงินรายบุคคล!P19</f>
        <v/>
      </c>
      <c r="K40" s="451" t="n"/>
      <c r="L40" s="113" t="n"/>
      <c r="M40" s="113" t="n"/>
    </row>
    <row r="41" ht="20.1" customHeight="1" s="330">
      <c r="A41" s="116" t="n">
        <v>15</v>
      </c>
      <c r="B41" s="98">
        <f>ตารางแจงเงินรายบุคคล!B20</f>
        <v/>
      </c>
      <c r="C41" s="471" t="n"/>
      <c r="D41" s="471" t="n"/>
      <c r="E41" s="476" t="n"/>
      <c r="F41" s="111" t="inlineStr">
        <is>
          <t>ครู</t>
        </is>
      </c>
      <c r="G41" s="105" t="n"/>
      <c r="H41" s="105" t="inlineStr">
        <is>
          <t>ü</t>
        </is>
      </c>
      <c r="I41" s="111">
        <f>ตารางแจงเงินรายบุคคล!O20</f>
        <v/>
      </c>
      <c r="J41" s="184">
        <f>ตารางแจงเงินรายบุคคล!P20</f>
        <v/>
      </c>
      <c r="K41" s="119" t="n"/>
      <c r="L41" s="120" t="n"/>
      <c r="M41" s="120" t="n"/>
    </row>
    <row r="42" ht="20.1" customHeight="1" s="330" thickBot="1">
      <c r="A42" s="121" t="n"/>
      <c r="B42" s="122" t="n"/>
      <c r="C42" s="122" t="inlineStr">
        <is>
          <t>ย/ป</t>
        </is>
      </c>
      <c r="D42" s="122" t="n"/>
      <c r="E42" s="441" t="inlineStr">
        <is>
          <t>รวมจำนวนเงิน</t>
        </is>
      </c>
      <c r="F42" s="512" t="n"/>
      <c r="G42" s="442">
        <f>B45</f>
        <v/>
      </c>
      <c r="H42" s="512" t="n"/>
      <c r="I42" s="513" t="n"/>
      <c r="J42" s="140">
        <f>SUM(J34:J41)</f>
        <v/>
      </c>
      <c r="K42" s="121" t="n"/>
      <c r="L42" s="122" t="n"/>
      <c r="M42" s="124" t="n"/>
    </row>
    <row r="43" ht="20.1" customHeight="1" s="330" thickTop="1">
      <c r="A43" s="430" t="n"/>
      <c r="B43" s="462" t="n"/>
      <c r="C43" s="462" t="n"/>
      <c r="D43" s="462" t="n"/>
      <c r="E43" s="463" t="n"/>
      <c r="F43" s="415" t="inlineStr">
        <is>
          <t>ผู้ทำ</t>
        </is>
      </c>
      <c r="G43" s="518" t="n"/>
      <c r="H43" s="518" t="n"/>
      <c r="I43" s="519" t="n"/>
      <c r="J43" s="415" t="inlineStr">
        <is>
          <t>ผู้จ่ายเงิน</t>
        </is>
      </c>
      <c r="K43" s="518" t="n"/>
      <c r="L43" s="518" t="n"/>
      <c r="M43" s="519" t="n"/>
    </row>
    <row r="44" ht="20.1" customHeight="1" s="330">
      <c r="A44" s="427" t="inlineStr">
        <is>
          <t>รวมจำนวนเงินค่าสอนพิเศษทั้งสิ้น</t>
        </is>
      </c>
      <c r="C44" s="146">
        <f>J42</f>
        <v/>
      </c>
      <c r="D44" s="428" t="inlineStr">
        <is>
          <t>บาท</t>
        </is>
      </c>
      <c r="E44" s="463" t="n"/>
      <c r="F44" s="433" t="inlineStr">
        <is>
          <t>ลงชื่อ.........................................</t>
        </is>
      </c>
      <c r="I44" s="331" t="n"/>
      <c r="J44" s="433" t="inlineStr">
        <is>
          <t>ลงชื่อ.........................................</t>
        </is>
      </c>
      <c r="M44" s="331" t="n"/>
    </row>
    <row r="45" ht="20.1" customHeight="1" s="330">
      <c r="A45" s="445" t="inlineStr">
        <is>
          <t>(</t>
        </is>
      </c>
      <c r="B45" s="428">
        <f>BAHTTEXT(C44)</f>
        <v/>
      </c>
      <c r="E45" s="130" t="inlineStr">
        <is>
          <t>)</t>
        </is>
      </c>
      <c r="F45" s="433" t="inlineStr">
        <is>
          <t>(นายชำนาญ แก้วจงประสิทธิ์)</t>
        </is>
      </c>
      <c r="I45" s="331" t="n"/>
      <c r="J45" s="433" t="inlineStr">
        <is>
          <t>(นางวีณา กฐินทอง )</t>
        </is>
      </c>
      <c r="M45" s="331" t="n"/>
    </row>
    <row r="46" ht="20.1" customHeight="1" s="330">
      <c r="A46" s="445" t="n"/>
      <c r="B46" s="462" t="n"/>
      <c r="C46" s="462" t="n"/>
      <c r="D46" s="462" t="n"/>
      <c r="E46" s="130" t="n"/>
      <c r="F46" s="433" t="inlineStr">
        <is>
          <t>ตำแหน่งครู  หัวหน้าแผนกวิชาช่างยนต์</t>
        </is>
      </c>
      <c r="I46" s="331" t="n"/>
      <c r="J46" s="433" t="inlineStr">
        <is>
          <t>ตำแหน่ง  หัวหน้างานการเงิน</t>
        </is>
      </c>
      <c r="M46" s="331" t="n"/>
    </row>
    <row r="47" ht="20.1" customHeight="1" s="330">
      <c r="A47" s="424" t="n"/>
      <c r="B47" s="425" t="n"/>
      <c r="C47" s="425" t="n"/>
      <c r="D47" s="425" t="n"/>
      <c r="E47" s="426" t="n"/>
      <c r="F47" s="434" t="inlineStr">
        <is>
          <t>วันที่.......เดือน..........................พ.ศ..............</t>
        </is>
      </c>
      <c r="G47" s="471" t="n"/>
      <c r="H47" s="471" t="n"/>
      <c r="I47" s="476" t="n"/>
      <c r="J47" s="434" t="inlineStr">
        <is>
          <t>วันที่........เดือน...............พ.ศ...........</t>
        </is>
      </c>
      <c r="K47" s="471" t="n"/>
      <c r="L47" s="471" t="n"/>
      <c r="M47" s="476" t="n"/>
    </row>
    <row r="48" ht="20.1" customHeight="1" s="330">
      <c r="A48" s="90" t="inlineStr">
        <is>
          <t>ผู้รับรอง</t>
        </is>
      </c>
      <c r="B48" s="334" t="n"/>
      <c r="C48" s="334" t="n"/>
      <c r="D48" s="334" t="n"/>
      <c r="E48" s="335" t="n"/>
      <c r="F48" s="90" t="inlineStr">
        <is>
          <t>ผู้เห็นชอบ</t>
        </is>
      </c>
      <c r="G48" s="334" t="n"/>
      <c r="H48" s="334" t="n"/>
      <c r="I48" s="335" t="n"/>
      <c r="J48" s="90" t="inlineStr">
        <is>
          <t>ผู้อนุมัติ</t>
        </is>
      </c>
      <c r="K48" s="334" t="n"/>
      <c r="L48" s="334" t="n"/>
      <c r="M48" s="335" t="n"/>
    </row>
    <row r="49" ht="20.1" customHeight="1" s="330">
      <c r="A49" s="433" t="inlineStr">
        <is>
          <t>ลงชื่อ...........................................................................</t>
        </is>
      </c>
      <c r="E49" s="331" t="n"/>
      <c r="F49" s="433" t="inlineStr">
        <is>
          <t>ลงชื่อ...............................................................</t>
        </is>
      </c>
      <c r="I49" s="331" t="n"/>
      <c r="J49" s="433" t="inlineStr">
        <is>
          <t>ลงชื่อ...................................................................</t>
        </is>
      </c>
      <c r="M49" s="331" t="n"/>
    </row>
    <row r="50" ht="20.1" customHeight="1" s="330">
      <c r="A50" s="427" t="n"/>
      <c r="B50" s="428" t="inlineStr">
        <is>
          <t>(นายปรีชา โพธิ์เกิด)</t>
        </is>
      </c>
      <c r="D50" s="428" t="n"/>
      <c r="E50" s="463" t="n"/>
      <c r="F50" s="84" t="n"/>
      <c r="G50" s="428" t="inlineStr">
        <is>
          <t>(นางกุสุมา ขันกสิกรรม)</t>
        </is>
      </c>
      <c r="I50" s="463" t="n"/>
      <c r="J50" s="428" t="n"/>
      <c r="K50" s="428" t="inlineStr">
        <is>
          <t>(นายปริวิชญ์ ไชยประเสริฐ)</t>
        </is>
      </c>
      <c r="M50" s="429" t="n"/>
    </row>
    <row r="51" ht="20.1" customHeight="1" s="330">
      <c r="A51" s="433" t="inlineStr">
        <is>
          <t>ตำแหน่ง รองผู้อำนวยการฝ่ายวิชาการ</t>
        </is>
      </c>
      <c r="E51" s="331" t="n"/>
      <c r="F51" s="433" t="inlineStr">
        <is>
          <t>ตำแหน่ง รองผู้อำนวยการฝ่ายบริหารทรัพยากร</t>
        </is>
      </c>
      <c r="I51" s="331" t="n"/>
      <c r="J51" s="433" t="inlineStr">
        <is>
          <t>ตำแหน่ง ผู้อำนวยการวิทยาลัยเทคนิคนครสวรรค์</t>
        </is>
      </c>
      <c r="M51" s="331" t="n"/>
    </row>
    <row r="52" ht="22.5" customHeight="1" s="330">
      <c r="A52" s="434" t="inlineStr">
        <is>
          <t>วันที่..................เดือน..........................พ.ศ................</t>
        </is>
      </c>
      <c r="B52" s="471" t="n"/>
      <c r="C52" s="471" t="n"/>
      <c r="D52" s="471" t="n"/>
      <c r="E52" s="476" t="n"/>
      <c r="F52" s="434" t="inlineStr">
        <is>
          <t>วันที่.............เดือน.......................พ.ศ.............</t>
        </is>
      </c>
      <c r="G52" s="471" t="n"/>
      <c r="H52" s="471" t="n"/>
      <c r="I52" s="476" t="n"/>
      <c r="J52" s="434" t="inlineStr">
        <is>
          <t>วันที่...........เดือน...................พ.ศ..........</t>
        </is>
      </c>
      <c r="K52" s="471" t="n"/>
      <c r="L52" s="471" t="n"/>
      <c r="M52" s="476" t="n"/>
    </row>
    <row r="53" ht="28.5" customHeight="1" s="330">
      <c r="A53" s="412" t="inlineStr">
        <is>
          <t>หลักฐานการเบิกจ่ายเงินค่าสอนพิเศษและค่าสอนเกินภาระงานสอนในสถานศึกษา</t>
        </is>
      </c>
    </row>
    <row r="54" ht="20.1" customHeight="1" s="330">
      <c r="A54" s="462" t="n"/>
      <c r="B54" s="462" t="n"/>
      <c r="C54" s="82" t="inlineStr">
        <is>
          <t>ส่วนราชการ    วิทยาลัยเทคนิคนครสวรรค์</t>
        </is>
      </c>
      <c r="D54" s="462" t="n"/>
      <c r="E54" s="462" t="n"/>
      <c r="F54" s="462" t="n"/>
      <c r="G54" s="462" t="n"/>
      <c r="H54" s="83" t="inlineStr">
        <is>
          <t>ประจำเดือน</t>
        </is>
      </c>
      <c r="I54" s="412">
        <f>I28</f>
        <v/>
      </c>
      <c r="K54" s="76" t="n"/>
      <c r="L54" s="462" t="n"/>
      <c r="M54" s="462" t="n"/>
    </row>
    <row r="55" ht="20.1" customHeight="1" s="330" thickBot="1">
      <c r="A55" s="462" t="n"/>
      <c r="B55" s="462" t="n"/>
      <c r="C55" s="462" t="n"/>
      <c r="D55" s="462" t="n"/>
      <c r="E55" s="462" t="n"/>
      <c r="F55" s="462" t="n"/>
      <c r="G55" s="462" t="n"/>
      <c r="H55" s="84" t="n"/>
      <c r="I55" s="462" t="n"/>
      <c r="J55" s="462" t="n"/>
      <c r="K55" s="85" t="n"/>
      <c r="L55" s="462" t="n"/>
      <c r="M55" s="462" t="n"/>
    </row>
    <row r="56" ht="20.1" customHeight="1" s="330" thickTop="1">
      <c r="A56" s="132" t="n"/>
      <c r="B56" s="133" t="n"/>
      <c r="C56" s="134" t="n"/>
      <c r="D56" s="134" t="n"/>
      <c r="E56" s="135" t="n"/>
      <c r="F56" s="136" t="n"/>
      <c r="G56" s="515" t="inlineStr">
        <is>
          <t>ระดับการสอน</t>
        </is>
      </c>
      <c r="H56" s="516" t="n"/>
      <c r="I56" s="136" t="inlineStr">
        <is>
          <t>จำนวนหน่วย</t>
        </is>
      </c>
      <c r="J56" s="517" t="inlineStr">
        <is>
          <t>จำนวนเงิน</t>
        </is>
      </c>
      <c r="K56" s="137" t="n"/>
      <c r="L56" s="138" t="n"/>
      <c r="M56" s="517" t="inlineStr">
        <is>
          <t>หมายเหตุ</t>
        </is>
      </c>
    </row>
    <row r="57" ht="20.1" customHeight="1" s="330">
      <c r="A57" s="416" t="inlineStr">
        <is>
          <t>ลำดับที่</t>
        </is>
      </c>
      <c r="B57" s="510" t="inlineStr">
        <is>
          <t>ชื่อ - นามสกุล</t>
        </is>
      </c>
      <c r="E57" s="331" t="n"/>
      <c r="F57" s="433" t="inlineStr">
        <is>
          <t>ตำแหน่ง</t>
        </is>
      </c>
      <c r="G57" s="90" t="inlineStr">
        <is>
          <t>มัธยมศึกษาตอนต้น</t>
        </is>
      </c>
      <c r="H57" s="429" t="inlineStr">
        <is>
          <t>สูงกว่า</t>
        </is>
      </c>
      <c r="I57" s="433" t="inlineStr">
        <is>
          <t>ชั่วโมงที่ทำการสอน</t>
        </is>
      </c>
      <c r="J57" s="56" t="n"/>
      <c r="K57" s="428" t="inlineStr">
        <is>
          <t>ลายมือชื่อ</t>
        </is>
      </c>
      <c r="L57" s="433" t="inlineStr">
        <is>
          <t>วัน/เดือน/ปี</t>
        </is>
      </c>
      <c r="M57" s="56" t="n"/>
    </row>
    <row r="58" ht="20.1" customHeight="1" s="330">
      <c r="A58" s="416" t="n"/>
      <c r="B58" s="418" t="n"/>
      <c r="C58" s="419" t="n"/>
      <c r="D58" s="419" t="n"/>
      <c r="E58" s="420" t="n"/>
      <c r="F58" s="97" t="inlineStr">
        <is>
          <t>ผู้ทำการสอน</t>
        </is>
      </c>
      <c r="G58" s="433" t="inlineStr">
        <is>
          <t>หรือมัธยมศึกษาตอนปลาย</t>
        </is>
      </c>
      <c r="H58" s="429" t="inlineStr">
        <is>
          <t>มัธยมศึกษาตอนปลาย</t>
        </is>
      </c>
      <c r="I58" s="433" t="inlineStr">
        <is>
          <t>พิเศษและสอนเกิน</t>
        </is>
      </c>
      <c r="J58" s="56" t="n"/>
      <c r="K58" s="428" t="inlineStr">
        <is>
          <t>ผู้รับเงิน</t>
        </is>
      </c>
      <c r="L58" s="433" t="inlineStr">
        <is>
          <t>ที่รับเงิน</t>
        </is>
      </c>
      <c r="M58" s="56" t="n"/>
    </row>
    <row r="59" ht="20.1" customHeight="1" s="330">
      <c r="A59" s="98" t="n"/>
      <c r="B59" s="424" t="n"/>
      <c r="C59" s="425" t="n"/>
      <c r="D59" s="425" t="n"/>
      <c r="E59" s="426" t="n"/>
      <c r="F59" s="98" t="n"/>
      <c r="G59" s="434" t="inlineStr">
        <is>
          <t>หรือเทียบเท่า</t>
        </is>
      </c>
      <c r="H59" s="423" t="inlineStr">
        <is>
          <t>หรือเทียบเท่า</t>
        </is>
      </c>
      <c r="I59" s="434" t="inlineStr">
        <is>
          <t>ภาระงานสอน</t>
        </is>
      </c>
      <c r="J59" s="474" t="n"/>
      <c r="K59" s="425" t="n"/>
      <c r="L59" s="98" t="n"/>
      <c r="M59" s="474" t="n"/>
    </row>
    <row r="60" ht="20.1" customHeight="1" s="330">
      <c r="A60" s="104" t="n"/>
      <c r="B60" s="508" t="inlineStr">
        <is>
          <t>ย/ม</t>
        </is>
      </c>
      <c r="C60" s="467" t="n"/>
      <c r="D60" s="467" t="n"/>
      <c r="E60" s="362" t="n"/>
      <c r="F60" s="111" t="n"/>
      <c r="G60" s="113" t="n"/>
      <c r="H60" s="462" t="n"/>
      <c r="I60" s="111" t="n"/>
      <c r="J60" s="115">
        <f>J42</f>
        <v/>
      </c>
      <c r="K60" s="108" t="n"/>
      <c r="L60" s="109" t="n"/>
      <c r="M60" s="110" t="n"/>
    </row>
    <row r="61" ht="20.1" customHeight="1" s="330">
      <c r="A61" s="111" t="n">
        <v>16</v>
      </c>
      <c r="B61" s="511">
        <f>ตารางแจงเงินรายบุคคล!B21</f>
        <v/>
      </c>
      <c r="C61" s="467" t="n"/>
      <c r="D61" s="467" t="n"/>
      <c r="E61" s="362" t="n"/>
      <c r="F61" s="111" t="inlineStr">
        <is>
          <t>ครู</t>
        </is>
      </c>
      <c r="G61" s="105" t="inlineStr">
        <is>
          <t>ü</t>
        </is>
      </c>
      <c r="H61" s="105" t="n"/>
      <c r="I61" s="111">
        <f>ตารางแจงเงินรายบุคคล!O21</f>
        <v/>
      </c>
      <c r="J61" s="115">
        <f>ตารางแจงเงินรายบุคคล!P21</f>
        <v/>
      </c>
      <c r="K61" s="108" t="n"/>
      <c r="L61" s="109" t="n"/>
      <c r="M61" s="113" t="n"/>
    </row>
    <row r="62" ht="20.1" customHeight="1" s="330">
      <c r="A62" s="111" t="n">
        <v>17</v>
      </c>
      <c r="B62" s="511">
        <f>ตารางแจงเงินรายบุคคล!B22</f>
        <v/>
      </c>
      <c r="C62" s="467" t="n"/>
      <c r="D62" s="467" t="n"/>
      <c r="E62" s="362" t="n"/>
      <c r="F62" s="111" t="inlineStr">
        <is>
          <t>ครู</t>
        </is>
      </c>
      <c r="G62" s="105" t="inlineStr">
        <is>
          <t>ü</t>
        </is>
      </c>
      <c r="H62" s="105" t="n"/>
      <c r="I62" s="111">
        <f>ตารางแจงเงินรายบุคคล!O22</f>
        <v/>
      </c>
      <c r="J62" s="115">
        <f>ตารางแจงเงินรายบุคคล!P22</f>
        <v/>
      </c>
      <c r="K62" s="108" t="n"/>
      <c r="L62" s="109" t="n"/>
      <c r="M62" s="113" t="n"/>
    </row>
    <row r="63" ht="20.1" customHeight="1" s="330">
      <c r="A63" s="111" t="n">
        <v>18</v>
      </c>
      <c r="B63" s="511">
        <f>ตารางแจงเงินรายบุคคล!B23</f>
        <v/>
      </c>
      <c r="C63" s="467" t="n"/>
      <c r="D63" s="467" t="n"/>
      <c r="E63" s="362" t="n"/>
      <c r="F63" s="111" t="inlineStr">
        <is>
          <t>ครู</t>
        </is>
      </c>
      <c r="G63" s="105" t="inlineStr">
        <is>
          <t>ü</t>
        </is>
      </c>
      <c r="H63" s="105" t="n"/>
      <c r="I63" s="111">
        <f>ตารางแจงเงินรายบุคคล!O23</f>
        <v/>
      </c>
      <c r="J63" s="115">
        <f>ตารางแจงเงินรายบุคคล!P23</f>
        <v/>
      </c>
      <c r="K63" s="451" t="n"/>
      <c r="L63" s="109" t="n"/>
      <c r="M63" s="113" t="n"/>
    </row>
    <row r="64" ht="20.1" customHeight="1" s="330">
      <c r="A64" s="111" t="n">
        <v>19</v>
      </c>
      <c r="B64" s="511">
        <f>ตารางแจงเงินรายบุคคล!B24</f>
        <v/>
      </c>
      <c r="C64" s="467" t="n"/>
      <c r="D64" s="467" t="n"/>
      <c r="E64" s="362" t="n"/>
      <c r="F64" s="113" t="inlineStr">
        <is>
          <t>พนง.ราชการ</t>
        </is>
      </c>
      <c r="G64" s="105" t="inlineStr">
        <is>
          <t>ü</t>
        </is>
      </c>
      <c r="H64" s="105" t="n"/>
      <c r="I64" s="111">
        <f>ตารางแจงเงินรายบุคคล!O24</f>
        <v/>
      </c>
      <c r="J64" s="115">
        <f>ตารางแจงเงินรายบุคคล!P24</f>
        <v/>
      </c>
      <c r="K64" s="451" t="n"/>
      <c r="L64" s="109" t="n"/>
      <c r="M64" s="113" t="n"/>
    </row>
    <row r="65" ht="20.1" customHeight="1" s="330">
      <c r="A65" s="111" t="n"/>
      <c r="B65" s="511" t="n"/>
      <c r="C65" s="467" t="n"/>
      <c r="D65" s="467" t="n"/>
      <c r="E65" s="362" t="n"/>
      <c r="F65" s="111" t="n"/>
      <c r="G65" s="105" t="n"/>
      <c r="H65" s="105" t="n"/>
      <c r="I65" s="111" t="n"/>
      <c r="J65" s="115" t="n"/>
      <c r="K65" s="451" t="n"/>
      <c r="L65" s="113" t="n"/>
      <c r="M65" s="113" t="n"/>
    </row>
    <row r="66" ht="20.1" customHeight="1" s="330">
      <c r="A66" s="111" t="n"/>
      <c r="B66" s="511" t="n"/>
      <c r="C66" s="467" t="n"/>
      <c r="D66" s="467" t="n"/>
      <c r="E66" s="362" t="n"/>
      <c r="F66" s="111" t="n"/>
      <c r="G66" s="105" t="n"/>
      <c r="H66" s="139" t="n"/>
      <c r="I66" s="111" t="n"/>
      <c r="J66" s="115" t="n"/>
      <c r="K66" s="451" t="n"/>
      <c r="L66" s="113" t="n"/>
      <c r="M66" s="113" t="n"/>
    </row>
    <row r="67" ht="20.1" customHeight="1" s="330">
      <c r="A67" s="116" t="n"/>
      <c r="B67" s="511" t="n"/>
      <c r="C67" s="467" t="n"/>
      <c r="D67" s="467" t="n"/>
      <c r="E67" s="362" t="n"/>
      <c r="F67" s="113" t="n"/>
      <c r="G67" s="105" t="n"/>
      <c r="H67" s="139" t="n"/>
      <c r="I67" s="111" t="n"/>
      <c r="J67" s="184" t="n"/>
      <c r="K67" s="119" t="n"/>
      <c r="L67" s="120" t="n"/>
      <c r="M67" s="120" t="n"/>
    </row>
    <row r="68" ht="20.1" customHeight="1" s="330" thickBot="1">
      <c r="A68" s="121" t="n"/>
      <c r="B68" s="122" t="n"/>
      <c r="C68" s="122" t="n"/>
      <c r="D68" s="122" t="n"/>
      <c r="E68" s="441" t="inlineStr">
        <is>
          <t>รวมจำนวนเงิน</t>
        </is>
      </c>
      <c r="F68" s="512" t="n"/>
      <c r="G68" s="442">
        <f>B71</f>
        <v/>
      </c>
      <c r="H68" s="512" t="n"/>
      <c r="I68" s="513" t="n"/>
      <c r="J68" s="140">
        <f>SUM(J60:J67)</f>
        <v/>
      </c>
      <c r="K68" s="121" t="n"/>
      <c r="L68" s="122" t="n"/>
      <c r="M68" s="124" t="n"/>
    </row>
    <row r="69" ht="20.1" customHeight="1" s="330" thickTop="1">
      <c r="A69" s="430" t="n"/>
      <c r="B69" s="462" t="n"/>
      <c r="C69" s="462" t="n"/>
      <c r="D69" s="462" t="n"/>
      <c r="E69" s="463" t="n"/>
      <c r="F69" s="415" t="inlineStr">
        <is>
          <t>ผู้ทำ</t>
        </is>
      </c>
      <c r="G69" s="518" t="n"/>
      <c r="H69" s="518" t="n"/>
      <c r="I69" s="519" t="n"/>
      <c r="J69" s="415" t="inlineStr">
        <is>
          <t>ผู้จ่ายเงิน</t>
        </is>
      </c>
      <c r="K69" s="518" t="n"/>
      <c r="L69" s="518" t="n"/>
      <c r="M69" s="519" t="n"/>
    </row>
    <row r="70" ht="20.1" customHeight="1" s="330">
      <c r="A70" s="427" t="inlineStr">
        <is>
          <t>รวมจำนวนเงินค่าสอนพิเศษทั้งสิ้น</t>
        </is>
      </c>
      <c r="C70" s="146">
        <f>J68</f>
        <v/>
      </c>
      <c r="D70" s="428" t="inlineStr">
        <is>
          <t>บาท</t>
        </is>
      </c>
      <c r="E70" s="463" t="n"/>
      <c r="F70" s="433" t="inlineStr">
        <is>
          <t>ลงชื่อ.........................................</t>
        </is>
      </c>
      <c r="I70" s="331" t="n"/>
      <c r="J70" s="433" t="inlineStr">
        <is>
          <t>ลงชื่อ.........................................</t>
        </is>
      </c>
      <c r="M70" s="331" t="n"/>
    </row>
    <row r="71" ht="20.1" customHeight="1" s="330">
      <c r="A71" s="445" t="inlineStr">
        <is>
          <t>(</t>
        </is>
      </c>
      <c r="B71" s="428">
        <f>BAHTTEXT(C70)</f>
        <v/>
      </c>
      <c r="E71" s="130" t="inlineStr">
        <is>
          <t>)</t>
        </is>
      </c>
      <c r="F71" s="433" t="inlineStr">
        <is>
          <t>(นายชำนาญ แก้วจงประสิทธิ์)</t>
        </is>
      </c>
      <c r="I71" s="331" t="n"/>
      <c r="J71" s="433" t="inlineStr">
        <is>
          <t>(นางวีณา กฐินทอง )</t>
        </is>
      </c>
      <c r="M71" s="331" t="n"/>
    </row>
    <row r="72" ht="20.1" customHeight="1" s="330">
      <c r="A72" s="445" t="n"/>
      <c r="B72" s="462" t="n"/>
      <c r="C72" s="462" t="n"/>
      <c r="D72" s="462" t="n"/>
      <c r="E72" s="130" t="n"/>
      <c r="F72" s="433" t="inlineStr">
        <is>
          <t>ตำแหน่งครู  หัวหน้าแผนกวิชาช่างยนต์</t>
        </is>
      </c>
      <c r="I72" s="331" t="n"/>
      <c r="J72" s="433" t="inlineStr">
        <is>
          <t>ตำแหน่ง  หัวหน้างานการเงิน</t>
        </is>
      </c>
      <c r="M72" s="331" t="n"/>
    </row>
    <row r="73" ht="20.1" customHeight="1" s="330">
      <c r="A73" s="424" t="n"/>
      <c r="B73" s="425" t="n"/>
      <c r="C73" s="425" t="n"/>
      <c r="D73" s="425" t="n"/>
      <c r="E73" s="426" t="n"/>
      <c r="F73" s="434" t="inlineStr">
        <is>
          <t>วันที่.......เดือน..........................พ.ศ..............</t>
        </is>
      </c>
      <c r="G73" s="471" t="n"/>
      <c r="H73" s="471" t="n"/>
      <c r="I73" s="476" t="n"/>
      <c r="J73" s="434" t="inlineStr">
        <is>
          <t>วันที่........เดือน...............พ.ศ...........</t>
        </is>
      </c>
      <c r="K73" s="471" t="n"/>
      <c r="L73" s="471" t="n"/>
      <c r="M73" s="476" t="n"/>
    </row>
    <row r="74" ht="20.1" customHeight="1" s="330">
      <c r="A74" s="90" t="inlineStr">
        <is>
          <t>ผู้รับรอง</t>
        </is>
      </c>
      <c r="B74" s="334" t="n"/>
      <c r="C74" s="334" t="n"/>
      <c r="D74" s="334" t="n"/>
      <c r="E74" s="335" t="n"/>
      <c r="F74" s="90" t="inlineStr">
        <is>
          <t>ผู้เห็นชอบ</t>
        </is>
      </c>
      <c r="G74" s="334" t="n"/>
      <c r="H74" s="334" t="n"/>
      <c r="I74" s="335" t="n"/>
      <c r="J74" s="90" t="inlineStr">
        <is>
          <t>ผู้อนุมัติ</t>
        </is>
      </c>
      <c r="K74" s="334" t="n"/>
      <c r="L74" s="334" t="n"/>
      <c r="M74" s="335" t="n"/>
    </row>
    <row r="75" ht="20.1" customHeight="1" s="330">
      <c r="A75" s="433" t="inlineStr">
        <is>
          <t>ลงชื่อ...........................................................................</t>
        </is>
      </c>
      <c r="E75" s="331" t="n"/>
      <c r="F75" s="433" t="inlineStr">
        <is>
          <t>ลงชื่อ...............................................................</t>
        </is>
      </c>
      <c r="I75" s="331" t="n"/>
      <c r="J75" s="433" t="inlineStr">
        <is>
          <t>ลงชื่อ...................................................................</t>
        </is>
      </c>
      <c r="M75" s="331" t="n"/>
    </row>
    <row r="76" ht="20.1" customHeight="1" s="330">
      <c r="A76" s="427" t="n"/>
      <c r="B76" s="428" t="inlineStr">
        <is>
          <t>(นายปรีชา โพธิ์เกิด)</t>
        </is>
      </c>
      <c r="D76" s="428" t="n"/>
      <c r="E76" s="463" t="n"/>
      <c r="F76" s="84" t="n"/>
      <c r="G76" s="428" t="inlineStr">
        <is>
          <t>(นางกุสุมา ขันกสิกรรม)</t>
        </is>
      </c>
      <c r="I76" s="463" t="n"/>
      <c r="J76" s="428" t="n"/>
      <c r="K76" s="428" t="inlineStr">
        <is>
          <t>(นายปริวิชญ์ ไชยประเสริฐ)</t>
        </is>
      </c>
      <c r="M76" s="429" t="n"/>
    </row>
    <row r="77" ht="20.1" customHeight="1" s="330">
      <c r="A77" s="433" t="inlineStr">
        <is>
          <t>ตำแหน่ง รองผู้อำนวยการฝ่ายวิชาการ</t>
        </is>
      </c>
      <c r="E77" s="331" t="n"/>
      <c r="F77" s="433" t="inlineStr">
        <is>
          <t>ตำแหน่ง รองผู้อำนวยการฝ่ายบริหารทรัพยากร</t>
        </is>
      </c>
      <c r="I77" s="331" t="n"/>
      <c r="J77" s="433" t="inlineStr">
        <is>
          <t>ตำแหน่ง ผู้อำนวยการวิทยาลัยเทคนิคนครสวรรค์</t>
        </is>
      </c>
      <c r="M77" s="331" t="n"/>
    </row>
    <row r="78" ht="22.5" customHeight="1" s="330">
      <c r="A78" s="434" t="inlineStr">
        <is>
          <t>วันที่..................เดือน..........................พ.ศ................</t>
        </is>
      </c>
      <c r="B78" s="471" t="n"/>
      <c r="C78" s="471" t="n"/>
      <c r="D78" s="471" t="n"/>
      <c r="E78" s="476" t="n"/>
      <c r="F78" s="434" t="inlineStr">
        <is>
          <t>วันที่.............เดือน.......................พ.ศ.............</t>
        </is>
      </c>
      <c r="G78" s="471" t="n"/>
      <c r="H78" s="471" t="n"/>
      <c r="I78" s="476" t="n"/>
      <c r="J78" s="434" t="inlineStr">
        <is>
          <t>วันที่...........เดือน...................พ.ศ..........</t>
        </is>
      </c>
      <c r="K78" s="471" t="n"/>
      <c r="L78" s="471" t="n"/>
      <c r="M78" s="476" t="n"/>
    </row>
    <row r="79" ht="28.5" customHeight="1" s="330">
      <c r="A79" s="412" t="inlineStr">
        <is>
          <t>หลักฐานการเบิกจ่ายเงินค่าสอนพิเศษและค่าสอนเกินภาระงานสอนในสถานศึกษา</t>
        </is>
      </c>
    </row>
    <row r="80" ht="20.1" customHeight="1" s="330">
      <c r="A80" s="462" t="n"/>
      <c r="B80" s="462" t="n"/>
      <c r="C80" s="82" t="inlineStr">
        <is>
          <t>ส่วนราชการ    วิทยาลัยเทคนิคนครสวรรค์</t>
        </is>
      </c>
      <c r="D80" s="462" t="n"/>
      <c r="E80" s="462" t="n"/>
      <c r="F80" s="462" t="n"/>
      <c r="G80" s="462" t="n"/>
      <c r="H80" s="83" t="inlineStr">
        <is>
          <t>ประจำเดือน</t>
        </is>
      </c>
      <c r="I80" s="412" t="inlineStr">
        <is>
          <t>กรกฎาคม</t>
        </is>
      </c>
      <c r="K80" s="76" t="inlineStr">
        <is>
          <t>พ.ศ.2563</t>
        </is>
      </c>
      <c r="L80" s="462" t="n"/>
      <c r="M80" s="462" t="n"/>
    </row>
    <row r="81" ht="20.1" customHeight="1" s="330" thickBot="1">
      <c r="A81" s="462" t="n"/>
      <c r="B81" s="462" t="n"/>
      <c r="C81" s="462" t="n"/>
      <c r="D81" s="462" t="n"/>
      <c r="E81" s="462" t="n"/>
      <c r="F81" s="462" t="n"/>
      <c r="G81" s="462" t="n"/>
      <c r="H81" s="84" t="n"/>
      <c r="I81" s="462" t="n"/>
      <c r="J81" s="462" t="n"/>
      <c r="K81" s="85" t="n"/>
      <c r="L81" s="462" t="n"/>
      <c r="M81" s="462" t="n"/>
    </row>
    <row r="82" ht="20.1" customHeight="1" s="330" thickTop="1">
      <c r="A82" s="132" t="n"/>
      <c r="B82" s="133" t="n"/>
      <c r="C82" s="134" t="n"/>
      <c r="D82" s="134" t="n"/>
      <c r="E82" s="135" t="n"/>
      <c r="F82" s="136" t="n"/>
      <c r="G82" s="515" t="inlineStr">
        <is>
          <t>ระดับการสอน</t>
        </is>
      </c>
      <c r="H82" s="516" t="n"/>
      <c r="I82" s="136" t="inlineStr">
        <is>
          <t>จำนวนหน่วย</t>
        </is>
      </c>
      <c r="J82" s="517" t="inlineStr">
        <is>
          <t>จำนวนเงิน</t>
        </is>
      </c>
      <c r="K82" s="137" t="n"/>
      <c r="L82" s="138" t="n"/>
      <c r="M82" s="517" t="inlineStr">
        <is>
          <t>หมายเหตุ</t>
        </is>
      </c>
    </row>
    <row r="83" ht="20.1" customHeight="1" s="330">
      <c r="A83" s="416" t="inlineStr">
        <is>
          <t>ลำดับที่</t>
        </is>
      </c>
      <c r="B83" s="510" t="inlineStr">
        <is>
          <t>ชื่อ - นามสกุล</t>
        </is>
      </c>
      <c r="E83" s="331" t="n"/>
      <c r="F83" s="433" t="inlineStr">
        <is>
          <t>ตำแหน่ง</t>
        </is>
      </c>
      <c r="G83" s="90" t="inlineStr">
        <is>
          <t>มัธยมศึกษาตอนต้น</t>
        </is>
      </c>
      <c r="H83" s="429" t="inlineStr">
        <is>
          <t>สูงกว่า</t>
        </is>
      </c>
      <c r="I83" s="433" t="inlineStr">
        <is>
          <t>ชั่วโมงที่ทำการสอน</t>
        </is>
      </c>
      <c r="J83" s="56" t="n"/>
      <c r="K83" s="428" t="inlineStr">
        <is>
          <t>ลายมือชื่อ</t>
        </is>
      </c>
      <c r="L83" s="433" t="inlineStr">
        <is>
          <t>วัน/เดือน/ปี</t>
        </is>
      </c>
      <c r="M83" s="56" t="n"/>
    </row>
    <row r="84" ht="20.1" customHeight="1" s="330">
      <c r="A84" s="416" t="n"/>
      <c r="B84" s="418" t="n"/>
      <c r="C84" s="419" t="n"/>
      <c r="D84" s="419" t="n"/>
      <c r="E84" s="420" t="n"/>
      <c r="F84" s="97" t="inlineStr">
        <is>
          <t>ผู้ทำการสอน</t>
        </is>
      </c>
      <c r="G84" s="433" t="inlineStr">
        <is>
          <t>หรือมัธยมศึกษาตอนปลาย</t>
        </is>
      </c>
      <c r="H84" s="429" t="inlineStr">
        <is>
          <t>มัธยมศึกษาตอนปลาย</t>
        </is>
      </c>
      <c r="I84" s="433" t="inlineStr">
        <is>
          <t>พิเศษและสอนเกิน</t>
        </is>
      </c>
      <c r="J84" s="56" t="n"/>
      <c r="K84" s="428" t="inlineStr">
        <is>
          <t>ผู้รับเงิน</t>
        </is>
      </c>
      <c r="L84" s="433" t="inlineStr">
        <is>
          <t>ที่รับเงิน</t>
        </is>
      </c>
      <c r="M84" s="56" t="n"/>
    </row>
    <row r="85" ht="20.1" customHeight="1" s="330">
      <c r="A85" s="98" t="n"/>
      <c r="B85" s="424" t="n"/>
      <c r="C85" s="425" t="n"/>
      <c r="D85" s="425" t="n"/>
      <c r="E85" s="426" t="n"/>
      <c r="F85" s="98" t="n"/>
      <c r="G85" s="434" t="inlineStr">
        <is>
          <t>หรือเทียบเท่า</t>
        </is>
      </c>
      <c r="H85" s="423" t="inlineStr">
        <is>
          <t>หรือเทียบเท่า</t>
        </is>
      </c>
      <c r="I85" s="434" t="inlineStr">
        <is>
          <t>ภาระงานสอน</t>
        </is>
      </c>
      <c r="J85" s="474" t="n"/>
      <c r="K85" s="425" t="n"/>
      <c r="L85" s="98" t="n"/>
      <c r="M85" s="474" t="n"/>
    </row>
    <row r="86" ht="20.1" customHeight="1" s="330">
      <c r="A86" s="104" t="n"/>
      <c r="B86" s="106" t="inlineStr">
        <is>
          <t>ย/ม</t>
        </is>
      </c>
      <c r="C86" s="520" t="n"/>
      <c r="D86" s="520" t="n"/>
      <c r="E86" s="521" t="n"/>
      <c r="F86" s="104" t="n"/>
      <c r="G86" s="113" t="n"/>
      <c r="H86" s="452" t="n"/>
      <c r="I86" s="111" t="n"/>
      <c r="J86" s="142" t="n"/>
      <c r="K86" s="108" t="n"/>
      <c r="L86" s="109" t="n"/>
      <c r="M86" s="110" t="n"/>
    </row>
    <row r="87" ht="20.1" customHeight="1" s="330">
      <c r="A87" s="111" t="n">
        <v>9</v>
      </c>
      <c r="B87" s="113" t="inlineStr">
        <is>
          <t>นายคงศักดิ์  มากซุง</t>
        </is>
      </c>
      <c r="C87" s="522" t="n"/>
      <c r="D87" s="522" t="n"/>
      <c r="E87" s="523" t="n"/>
      <c r="F87" s="111" t="inlineStr">
        <is>
          <t>ครู</t>
        </is>
      </c>
      <c r="G87" s="462" t="n"/>
      <c r="H87" s="105" t="inlineStr">
        <is>
          <t>ü</t>
        </is>
      </c>
      <c r="I87" s="111" t="n"/>
      <c r="J87" s="115" t="n"/>
      <c r="K87" s="108" t="n"/>
      <c r="L87" s="109" t="n"/>
      <c r="M87" s="113" t="n"/>
    </row>
    <row r="88" ht="20.1" customHeight="1" s="330">
      <c r="A88" s="111" t="n">
        <v>10</v>
      </c>
      <c r="B88" s="524" t="inlineStr">
        <is>
          <t>นายชำนาญ  แก้วจงประสิทธิ์</t>
        </is>
      </c>
      <c r="C88" s="522" t="n"/>
      <c r="D88" s="522" t="n"/>
      <c r="E88" s="523" t="n"/>
      <c r="F88" s="111" t="inlineStr">
        <is>
          <t>ครู</t>
        </is>
      </c>
      <c r="G88" s="105" t="n"/>
      <c r="H88" s="105" t="inlineStr">
        <is>
          <t>ü</t>
        </is>
      </c>
      <c r="I88" s="111" t="n"/>
      <c r="J88" s="115" t="n"/>
      <c r="K88" s="108" t="n"/>
      <c r="L88" s="109" t="n"/>
      <c r="M88" s="113" t="n"/>
    </row>
    <row r="89" ht="20.1" customHeight="1" s="330">
      <c r="A89" s="111" t="n">
        <v>11</v>
      </c>
      <c r="B89" s="524" t="inlineStr">
        <is>
          <t>นายสานนท์  ไชยศาสตร์</t>
        </is>
      </c>
      <c r="C89" s="522" t="n"/>
      <c r="D89" s="522" t="n"/>
      <c r="E89" s="523" t="n"/>
      <c r="F89" s="111" t="inlineStr">
        <is>
          <t>ครู</t>
        </is>
      </c>
      <c r="G89" s="105" t="inlineStr">
        <is>
          <t>ü</t>
        </is>
      </c>
      <c r="H89" s="105" t="inlineStr">
        <is>
          <t>ü</t>
        </is>
      </c>
      <c r="I89" s="111" t="n"/>
      <c r="J89" s="115" t="n"/>
      <c r="K89" s="451" t="n"/>
      <c r="L89" s="109" t="n"/>
      <c r="M89" s="113" t="n"/>
    </row>
    <row r="90" ht="20.1" customHeight="1" s="330">
      <c r="A90" s="111" t="n">
        <v>12</v>
      </c>
      <c r="B90" s="113" t="inlineStr">
        <is>
          <t>นายวิรัติ  นุมัติ</t>
        </is>
      </c>
      <c r="C90" s="522" t="n"/>
      <c r="D90" s="522" t="n"/>
      <c r="E90" s="523" t="n"/>
      <c r="F90" s="111" t="inlineStr">
        <is>
          <t>ครู</t>
        </is>
      </c>
      <c r="G90" s="105" t="inlineStr">
        <is>
          <t>ü</t>
        </is>
      </c>
      <c r="H90" s="462" t="n"/>
      <c r="I90" s="111" t="n"/>
      <c r="J90" s="143" t="n"/>
      <c r="K90" s="451" t="n"/>
      <c r="L90" s="109" t="n"/>
      <c r="M90" s="113" t="n"/>
    </row>
    <row r="91" ht="20.1" customHeight="1" s="330">
      <c r="A91" s="111" t="n">
        <v>13</v>
      </c>
      <c r="B91" s="113" t="inlineStr">
        <is>
          <t>นางสาววินิทร  อนันตกูล</t>
        </is>
      </c>
      <c r="C91" s="522" t="n"/>
      <c r="D91" s="522" t="n"/>
      <c r="E91" s="523" t="n"/>
      <c r="F91" s="111" t="inlineStr">
        <is>
          <t>ครู</t>
        </is>
      </c>
      <c r="H91" s="105" t="inlineStr">
        <is>
          <t>ü</t>
        </is>
      </c>
      <c r="I91" s="111" t="n"/>
      <c r="J91" s="143" t="n"/>
      <c r="K91" s="451" t="n"/>
      <c r="L91" s="113" t="n"/>
      <c r="M91" s="113" t="n"/>
    </row>
    <row r="92" ht="20.1" customHeight="1" s="330">
      <c r="A92" s="111" t="n">
        <v>14</v>
      </c>
      <c r="B92" s="113" t="inlineStr">
        <is>
          <t>นายสถาปนิก  คุ้มสะอาด</t>
        </is>
      </c>
      <c r="C92" s="522" t="n"/>
      <c r="D92" s="522" t="n"/>
      <c r="E92" s="523" t="n"/>
      <c r="F92" s="113" t="inlineStr">
        <is>
          <t>พนง.ราชการ</t>
        </is>
      </c>
      <c r="G92" s="105" t="inlineStr">
        <is>
          <t>ü</t>
        </is>
      </c>
      <c r="H92" s="139" t="n"/>
      <c r="I92" s="111" t="n"/>
      <c r="J92" s="143" t="n"/>
      <c r="K92" s="451" t="n"/>
      <c r="L92" s="113" t="n"/>
      <c r="M92" s="113" t="n"/>
    </row>
    <row r="93" ht="20.1" customHeight="1" s="330">
      <c r="A93" s="116" t="n"/>
      <c r="B93" s="116" t="n"/>
      <c r="C93" s="525" t="n"/>
      <c r="D93" s="525" t="n"/>
      <c r="E93" s="526" t="n"/>
      <c r="F93" s="120" t="n"/>
      <c r="G93" s="139" t="n"/>
      <c r="H93" s="139" t="n"/>
      <c r="I93" s="120" t="n"/>
      <c r="J93" s="120" t="n"/>
      <c r="K93" s="119" t="n"/>
      <c r="L93" s="120" t="n"/>
      <c r="M93" s="120" t="n"/>
    </row>
    <row r="94" ht="20.1" customHeight="1" s="330" thickBot="1">
      <c r="A94" s="121" t="n"/>
      <c r="B94" s="122" t="n"/>
      <c r="C94" s="122" t="n"/>
      <c r="D94" s="122" t="n"/>
      <c r="E94" s="122" t="n"/>
      <c r="F94" s="441" t="inlineStr">
        <is>
          <t>รวมจำนวนเงิน</t>
        </is>
      </c>
      <c r="G94" s="441" t="n"/>
      <c r="H94" s="441" t="n"/>
      <c r="I94" s="442" t="n"/>
      <c r="J94" s="140" t="n"/>
      <c r="K94" s="121" t="n"/>
      <c r="L94" s="122" t="n"/>
      <c r="M94" s="124" t="n"/>
    </row>
    <row r="95" ht="20.1" customHeight="1" s="330" thickTop="1">
      <c r="A95" s="430" t="n"/>
      <c r="B95" s="462" t="n"/>
      <c r="C95" s="462" t="n"/>
      <c r="D95" s="462" t="n"/>
      <c r="E95" s="463" t="n"/>
      <c r="F95" s="527" t="inlineStr">
        <is>
          <t>ผู้จัดทำ</t>
        </is>
      </c>
      <c r="G95" s="518" t="n"/>
      <c r="H95" s="518" t="n"/>
      <c r="I95" s="519" t="n"/>
      <c r="J95" s="527" t="inlineStr">
        <is>
          <t>ผู้จ่ายเงิน</t>
        </is>
      </c>
      <c r="K95" s="518" t="n"/>
      <c r="L95" s="518" t="n"/>
      <c r="M95" s="519" t="n"/>
    </row>
    <row r="96" ht="20.1" customHeight="1" s="330">
      <c r="A96" s="430" t="inlineStr">
        <is>
          <t>รวมจำนวนเงินค่าสอนพิเศษทั้งสิ้น</t>
        </is>
      </c>
      <c r="B96" s="462" t="n"/>
      <c r="C96" s="126" t="n"/>
      <c r="D96" s="428" t="inlineStr">
        <is>
          <t>บาท</t>
        </is>
      </c>
      <c r="E96" s="463" t="n"/>
      <c r="F96" s="433" t="inlineStr">
        <is>
          <t>ลงชื่อ.........................................</t>
        </is>
      </c>
      <c r="I96" s="331" t="n"/>
      <c r="J96" s="433" t="inlineStr">
        <is>
          <t>ลงชื่อ.........................................</t>
        </is>
      </c>
      <c r="M96" s="331" t="n"/>
    </row>
    <row r="97" ht="20.1" customHeight="1" s="330">
      <c r="A97" s="445" t="inlineStr">
        <is>
          <t>(</t>
        </is>
      </c>
      <c r="B97" s="428" t="n"/>
      <c r="E97" s="130" t="inlineStr">
        <is>
          <t>)</t>
        </is>
      </c>
      <c r="F97" s="433" t="inlineStr">
        <is>
          <t>(นายไพรัช  อินทุรัตน์)</t>
        </is>
      </c>
      <c r="I97" s="331" t="n"/>
      <c r="J97" s="433" t="inlineStr">
        <is>
          <t>(นางวีณา กฐินทอง )</t>
        </is>
      </c>
      <c r="M97" s="331" t="n"/>
    </row>
    <row r="98" ht="20.1" customHeight="1" s="330">
      <c r="A98" s="445" t="n"/>
      <c r="B98" s="462" t="n"/>
      <c r="C98" s="462" t="n"/>
      <c r="D98" s="462" t="n"/>
      <c r="E98" s="130" t="n"/>
      <c r="F98" s="433" t="inlineStr">
        <is>
          <t>ตำแหน่งครู  หัวหน้าแผนกวิชาเครื่องกล</t>
        </is>
      </c>
      <c r="I98" s="331" t="n"/>
      <c r="J98" s="433" t="inlineStr">
        <is>
          <t>ตำแหน่ง  หัวหน้างานการเงิน</t>
        </is>
      </c>
      <c r="M98" s="331" t="n"/>
    </row>
    <row r="99" ht="20.1" customHeight="1" s="330">
      <c r="A99" s="424" t="n"/>
      <c r="B99" s="425" t="n"/>
      <c r="C99" s="425" t="n"/>
      <c r="D99" s="425" t="n"/>
      <c r="E99" s="426" t="n"/>
      <c r="F99" s="434" t="inlineStr">
        <is>
          <t>วันที่.......เดือน..........................พ.ศ..............</t>
        </is>
      </c>
      <c r="G99" s="471" t="n"/>
      <c r="H99" s="471" t="n"/>
      <c r="I99" s="476" t="n"/>
      <c r="J99" s="434" t="inlineStr">
        <is>
          <t>วันที่........เดือน...............พ.ศ...........</t>
        </is>
      </c>
      <c r="K99" s="471" t="n"/>
      <c r="L99" s="471" t="n"/>
      <c r="M99" s="476" t="n"/>
    </row>
    <row r="100" ht="20.1" customHeight="1" s="330">
      <c r="A100" s="528" t="inlineStr">
        <is>
          <t>ผู้รับรอง</t>
        </is>
      </c>
      <c r="B100" s="334" t="n"/>
      <c r="C100" s="334" t="n"/>
      <c r="D100" s="334" t="n"/>
      <c r="E100" s="335" t="n"/>
      <c r="F100" s="528" t="inlineStr">
        <is>
          <t>ผู้เห็นชอบ</t>
        </is>
      </c>
      <c r="G100" s="334" t="n"/>
      <c r="H100" s="334" t="n"/>
      <c r="I100" s="335" t="n"/>
      <c r="J100" s="528" t="inlineStr">
        <is>
          <t>ผู้อนุมัติ</t>
        </is>
      </c>
      <c r="K100" s="334" t="n"/>
      <c r="L100" s="334" t="n"/>
      <c r="M100" s="335" t="n"/>
    </row>
    <row r="101" ht="20.1" customHeight="1" s="330">
      <c r="A101" s="433" t="inlineStr">
        <is>
          <t>ลงชื่อ...........................................................................</t>
        </is>
      </c>
      <c r="E101" s="331" t="n"/>
      <c r="F101" s="433" t="inlineStr">
        <is>
          <t>ลงชื่อ...............................................................</t>
        </is>
      </c>
      <c r="I101" s="331" t="n"/>
      <c r="J101" s="433" t="inlineStr">
        <is>
          <t>ลงชื่อ...................................................................</t>
        </is>
      </c>
      <c r="M101" s="331" t="n"/>
    </row>
    <row r="102" ht="20.1" customHeight="1" s="330">
      <c r="A102" s="427" t="inlineStr">
        <is>
          <t>(</t>
        </is>
      </c>
      <c r="B102" s="428" t="inlineStr">
        <is>
          <t>นายแทน  โมราราย</t>
        </is>
      </c>
      <c r="D102" s="428" t="inlineStr">
        <is>
          <t>)</t>
        </is>
      </c>
      <c r="E102" s="463" t="n"/>
      <c r="F102" s="84" t="inlineStr">
        <is>
          <t>(</t>
        </is>
      </c>
      <c r="G102" s="428" t="inlineStr">
        <is>
          <t>(นางกุสุมา ขันกสิกรรม)</t>
        </is>
      </c>
      <c r="I102" s="463" t="inlineStr">
        <is>
          <t>)</t>
        </is>
      </c>
      <c r="J102" s="428" t="inlineStr">
        <is>
          <t>(</t>
        </is>
      </c>
      <c r="K102" s="428" t="inlineStr">
        <is>
          <t>นายสาคร ศิริวัฒนาโรจน์</t>
        </is>
      </c>
      <c r="M102" s="429" t="inlineStr">
        <is>
          <t>)</t>
        </is>
      </c>
    </row>
    <row r="103" ht="20.1" customHeight="1" s="330">
      <c r="A103" s="433" t="inlineStr">
        <is>
          <t>ตำแหน่ง รองผู้อำนวยการฝ่ายวิชาการ</t>
        </is>
      </c>
      <c r="E103" s="331" t="n"/>
      <c r="F103" s="433" t="inlineStr">
        <is>
          <t>ตำแหน่ง รองผู้อำนวยการฝ่ายบริหารทรัพยากร</t>
        </is>
      </c>
      <c r="I103" s="331" t="n"/>
      <c r="J103" s="433" t="inlineStr">
        <is>
          <t>ตำแหน่ง ผู้อำนวยการวิทยาลัยเทคนิคนครสวรรค์</t>
        </is>
      </c>
      <c r="M103" s="331" t="n"/>
    </row>
    <row r="104" ht="20.1" customHeight="1" s="330">
      <c r="A104" s="434" t="inlineStr">
        <is>
          <t>วันที่..................เดือน..........................พ.ศ................</t>
        </is>
      </c>
      <c r="B104" s="471" t="n"/>
      <c r="C104" s="471" t="n"/>
      <c r="D104" s="471" t="n"/>
      <c r="E104" s="476" t="n"/>
      <c r="F104" s="434" t="inlineStr">
        <is>
          <t>วันที่.............เดือน.......................พ.ศ.............</t>
        </is>
      </c>
      <c r="G104" s="471" t="n"/>
      <c r="H104" s="471" t="n"/>
      <c r="I104" s="476" t="n"/>
      <c r="J104" s="434" t="inlineStr">
        <is>
          <t>วันที่...........เดือน...................พ.ศ..........</t>
        </is>
      </c>
      <c r="K104" s="471" t="n"/>
      <c r="L104" s="471" t="n"/>
      <c r="M104" s="476" t="n"/>
    </row>
  </sheetData>
  <mergeCells count="175">
    <mergeCell ref="A48:E48"/>
    <mergeCell ref="B65:E65"/>
    <mergeCell ref="J96:M96"/>
    <mergeCell ref="K24:L24"/>
    <mergeCell ref="J43:M43"/>
    <mergeCell ref="A103:E103"/>
    <mergeCell ref="A70:B70"/>
    <mergeCell ref="B102:C102"/>
    <mergeCell ref="J18:M18"/>
    <mergeCell ref="B36:E36"/>
    <mergeCell ref="J17:M17"/>
    <mergeCell ref="B91:E91"/>
    <mergeCell ref="K76:L76"/>
    <mergeCell ref="K50:L50"/>
    <mergeCell ref="L4:L5"/>
    <mergeCell ref="J44:M44"/>
    <mergeCell ref="F25:I25"/>
    <mergeCell ref="F103:I103"/>
    <mergeCell ref="J19:M19"/>
    <mergeCell ref="B93:E93"/>
    <mergeCell ref="A21:E21"/>
    <mergeCell ref="B31:E31"/>
    <mergeCell ref="G16:I16"/>
    <mergeCell ref="J4:J7"/>
    <mergeCell ref="A26:E26"/>
    <mergeCell ref="B12:E12"/>
    <mergeCell ref="J69:M69"/>
    <mergeCell ref="B86:E86"/>
    <mergeCell ref="B39:E39"/>
    <mergeCell ref="A23:E23"/>
    <mergeCell ref="F95:I95"/>
    <mergeCell ref="B14:E14"/>
    <mergeCell ref="J45:M45"/>
    <mergeCell ref="B24:C24"/>
    <mergeCell ref="A100:E100"/>
    <mergeCell ref="F70:I70"/>
    <mergeCell ref="J56:J59"/>
    <mergeCell ref="G42:I42"/>
    <mergeCell ref="A27:M27"/>
    <mergeCell ref="A52:E52"/>
    <mergeCell ref="B13:E13"/>
    <mergeCell ref="F97:I97"/>
    <mergeCell ref="B38:E38"/>
    <mergeCell ref="J95:M95"/>
    <mergeCell ref="B87:E87"/>
    <mergeCell ref="F72:I72"/>
    <mergeCell ref="F23:I23"/>
    <mergeCell ref="G102:H102"/>
    <mergeCell ref="A77:E77"/>
    <mergeCell ref="B40:E40"/>
    <mergeCell ref="F96:I96"/>
    <mergeCell ref="F71:I71"/>
    <mergeCell ref="F43:I43"/>
    <mergeCell ref="J47:M47"/>
    <mergeCell ref="I80:J80"/>
    <mergeCell ref="B64:E64"/>
    <mergeCell ref="F52:I52"/>
    <mergeCell ref="A49:E49"/>
    <mergeCell ref="F98:I98"/>
    <mergeCell ref="J71:M71"/>
    <mergeCell ref="B63:E63"/>
    <mergeCell ref="J23:M23"/>
    <mergeCell ref="B41:E41"/>
    <mergeCell ref="B19:D19"/>
    <mergeCell ref="A78:E78"/>
    <mergeCell ref="B35:E35"/>
    <mergeCell ref="I54:J54"/>
    <mergeCell ref="F44:I44"/>
    <mergeCell ref="J73:M73"/>
    <mergeCell ref="B90:E90"/>
    <mergeCell ref="A75:E75"/>
    <mergeCell ref="F19:I19"/>
    <mergeCell ref="F99:I99"/>
    <mergeCell ref="B66:E66"/>
    <mergeCell ref="G24:H24"/>
    <mergeCell ref="A79:M79"/>
    <mergeCell ref="A104:E104"/>
    <mergeCell ref="B45:D45"/>
    <mergeCell ref="J77:M77"/>
    <mergeCell ref="L6:L7"/>
    <mergeCell ref="B11:E11"/>
    <mergeCell ref="J99:M99"/>
    <mergeCell ref="F20:I20"/>
    <mergeCell ref="F45:I45"/>
    <mergeCell ref="J49:M49"/>
    <mergeCell ref="B67:E67"/>
    <mergeCell ref="B61:E61"/>
    <mergeCell ref="E16:F16"/>
    <mergeCell ref="F17:I17"/>
    <mergeCell ref="J101:M101"/>
    <mergeCell ref="G76:H76"/>
    <mergeCell ref="F75:I75"/>
    <mergeCell ref="J20:M20"/>
    <mergeCell ref="F47:I47"/>
    <mergeCell ref="J100:M100"/>
    <mergeCell ref="B37:E37"/>
    <mergeCell ref="F46:I46"/>
    <mergeCell ref="J75:M75"/>
    <mergeCell ref="J22:M22"/>
    <mergeCell ref="E68:F68"/>
    <mergeCell ref="I2:J2"/>
    <mergeCell ref="F48:I48"/>
    <mergeCell ref="B15:E15"/>
    <mergeCell ref="A53:M53"/>
    <mergeCell ref="J21:M21"/>
    <mergeCell ref="J46:M46"/>
    <mergeCell ref="B89:E89"/>
    <mergeCell ref="G68:I68"/>
    <mergeCell ref="J51:M51"/>
    <mergeCell ref="J97:M97"/>
    <mergeCell ref="J48:M48"/>
    <mergeCell ref="F73:I73"/>
    <mergeCell ref="A25:E25"/>
    <mergeCell ref="A1:M1"/>
    <mergeCell ref="M30:M33"/>
    <mergeCell ref="F74:I74"/>
    <mergeCell ref="A22:E22"/>
    <mergeCell ref="B60:E60"/>
    <mergeCell ref="F18:I18"/>
    <mergeCell ref="F101:I101"/>
    <mergeCell ref="J74:M74"/>
    <mergeCell ref="B57:E57"/>
    <mergeCell ref="K4:K7"/>
    <mergeCell ref="A20:E20"/>
    <mergeCell ref="J26:M26"/>
    <mergeCell ref="M4:M7"/>
    <mergeCell ref="B76:C76"/>
    <mergeCell ref="M56:M59"/>
    <mergeCell ref="F100:I100"/>
    <mergeCell ref="G50:H50"/>
    <mergeCell ref="B34:E34"/>
    <mergeCell ref="J103:M103"/>
    <mergeCell ref="J25:M25"/>
    <mergeCell ref="G56:H56"/>
    <mergeCell ref="F22:I22"/>
    <mergeCell ref="B9:E9"/>
    <mergeCell ref="B83:E83"/>
    <mergeCell ref="B92:E92"/>
    <mergeCell ref="F77:I77"/>
    <mergeCell ref="A51:E51"/>
    <mergeCell ref="M82:M85"/>
    <mergeCell ref="E42:F42"/>
    <mergeCell ref="B5:E5"/>
    <mergeCell ref="F49:I49"/>
    <mergeCell ref="G82:H82"/>
    <mergeCell ref="J52:M52"/>
    <mergeCell ref="F69:I69"/>
    <mergeCell ref="B62:E62"/>
    <mergeCell ref="F78:I78"/>
    <mergeCell ref="J72:M72"/>
    <mergeCell ref="A18:B18"/>
    <mergeCell ref="I28:J28"/>
    <mergeCell ref="A74:E74"/>
    <mergeCell ref="J30:J33"/>
    <mergeCell ref="K102:L102"/>
    <mergeCell ref="A101:E101"/>
    <mergeCell ref="G30:H30"/>
    <mergeCell ref="J78:M78"/>
    <mergeCell ref="B97:D97"/>
    <mergeCell ref="F21:I21"/>
    <mergeCell ref="F104:I104"/>
    <mergeCell ref="F51:I51"/>
    <mergeCell ref="J98:M98"/>
    <mergeCell ref="A17:E17"/>
    <mergeCell ref="G4:H4"/>
    <mergeCell ref="F26:I26"/>
    <mergeCell ref="B8:E8"/>
    <mergeCell ref="J70:M70"/>
    <mergeCell ref="B88:E88"/>
    <mergeCell ref="B71:D71"/>
    <mergeCell ref="J104:M104"/>
    <mergeCell ref="J82:J85"/>
    <mergeCell ref="A44:B44"/>
    <mergeCell ref="B50:C50"/>
    <mergeCell ref="B10:E10"/>
  </mergeCells>
  <printOptions horizontalCentered="1" verticalCentered="1"/>
  <pageMargins left="0.7874015748031497" right="0.2755905511811024" top="0" bottom="0" header="0" footer="0"/>
  <pageSetup orientation="landscape" paperSize="9" scale="89" horizontalDpi="4294967293" verticalDpi="360"/>
  <rowBreaks count="3" manualBreakCount="3">
    <brk id="26" min="0" max="12" man="1"/>
    <brk id="52" min="0" max="12" man="1"/>
    <brk id="78" min="0" max="12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243"/>
  <sheetViews>
    <sheetView workbookViewId="0">
      <selection activeCell="A1" sqref="A1"/>
    </sheetView>
  </sheetViews>
  <sheetFormatPr baseColWidth="8" defaultColWidth="9.109375" defaultRowHeight="18"/>
  <cols>
    <col width="3.33203125" customWidth="1" style="8" min="1" max="1"/>
    <col width="5" customWidth="1" style="8" min="2" max="2"/>
    <col width="3.6640625" customWidth="1" style="8" min="3" max="3"/>
    <col width="11.5546875" customWidth="1" style="8" min="4" max="4"/>
    <col width="6.5546875" customWidth="1" style="8" min="5" max="5"/>
    <col width="3.44140625" customWidth="1" style="8" min="6" max="6"/>
    <col width="11.88671875" customWidth="1" style="8" min="7" max="7"/>
    <col width="10.44140625" customWidth="1" style="8" min="8" max="8"/>
    <col width="16.109375" customWidth="1" style="249" min="9" max="9"/>
    <col width="4.44140625" customWidth="1" style="8" min="10" max="10"/>
    <col width="6.5546875" customWidth="1" style="8" min="11" max="11"/>
    <col width="6.6640625" customWidth="1" style="8" min="12" max="13"/>
    <col width="8.6640625" customWidth="1" style="8" min="14" max="14"/>
    <col width="9.5546875" customWidth="1" style="8" min="15" max="15"/>
    <col width="6.6640625" customWidth="1" style="8" min="16" max="17"/>
    <col width="8.6640625" customWidth="1" style="8" min="18" max="18"/>
    <col width="9.6640625" customWidth="1" style="8" min="19" max="19"/>
    <col width="8.6640625" customWidth="1" style="8" min="20" max="20"/>
    <col width="3" customWidth="1" style="8" min="21" max="21"/>
    <col width="8.6640625" customWidth="1" style="8" min="22" max="22"/>
    <col width="3" customWidth="1" style="8" min="23" max="23"/>
    <col width="8.6640625" customWidth="1" style="8" min="24" max="24"/>
    <col width="3" customWidth="1" style="8" min="25" max="25"/>
    <col width="8.6640625" customWidth="1" style="8" min="26" max="26"/>
    <col width="3" customWidth="1" style="8" min="27" max="27"/>
    <col width="9.109375" customWidth="1" style="8" min="28" max="16384"/>
  </cols>
  <sheetData>
    <row r="1" ht="22.2" customHeight="1" s="330">
      <c r="A1" s="254" t="inlineStr">
        <is>
          <t>ใบเบิกจ่ายเงินค่าสอนพิเศษและค่าสอนเกินภาระงานสอนในสถานศึกษา</t>
        </is>
      </c>
      <c r="Z1" s="261" t="n"/>
      <c r="AA1" s="261" t="n"/>
    </row>
    <row r="2" ht="22.2" customHeight="1" s="330">
      <c r="A2" s="254" t="inlineStr">
        <is>
          <t>แผนกวิชายานยนต์ไฟฟ้า</t>
        </is>
      </c>
      <c r="Y2" s="331" t="n"/>
      <c r="Z2" s="260" t="inlineStr">
        <is>
          <t>ลำดับ</t>
        </is>
      </c>
      <c r="AA2" s="362" t="n"/>
      <c r="AB2" s="257" t="inlineStr">
        <is>
          <t>รายชื่อ</t>
        </is>
      </c>
      <c r="AC2" s="467" t="n"/>
      <c r="AD2" s="467" t="n"/>
      <c r="AE2" s="260" t="inlineStr">
        <is>
          <t>รวม ชม./ ส.</t>
        </is>
      </c>
      <c r="AF2" s="467" t="n"/>
      <c r="AG2" s="362" t="n"/>
      <c r="AH2" s="260" t="inlineStr">
        <is>
          <t>รวม ค่าสอน / สัปดาห์</t>
        </is>
      </c>
      <c r="AI2" s="467" t="n"/>
      <c r="AJ2" s="362" t="n"/>
    </row>
    <row r="3" ht="22.2" customHeight="1" s="330">
      <c r="A3" s="253" t="inlineStr">
        <is>
          <t xml:space="preserve">    ระหว่างวันที่</t>
        </is>
      </c>
      <c r="D3" s="254" t="n">
        <v>27</v>
      </c>
      <c r="E3" s="254" t="inlineStr">
        <is>
          <t xml:space="preserve">   เดือน  </t>
        </is>
      </c>
      <c r="F3" s="254" t="inlineStr">
        <is>
          <t>พฤศจิกายน</t>
        </is>
      </c>
      <c r="H3" s="254" t="inlineStr">
        <is>
          <t>พ.ศ. 2566</t>
        </is>
      </c>
      <c r="I3" s="254" t="inlineStr">
        <is>
          <t xml:space="preserve">     ถึง วันที่</t>
        </is>
      </c>
      <c r="J3" s="254" t="n">
        <v>1</v>
      </c>
      <c r="K3" s="254" t="inlineStr">
        <is>
          <t xml:space="preserve">   เดือน </t>
        </is>
      </c>
      <c r="L3" s="254" t="inlineStr">
        <is>
          <t>ธันวาคม</t>
        </is>
      </c>
      <c r="N3" s="254" t="inlineStr">
        <is>
          <t>พ.ศ. 2566</t>
        </is>
      </c>
      <c r="P3" s="254" t="n"/>
      <c r="R3" s="254" t="n"/>
      <c r="Y3" s="331" t="n"/>
      <c r="Z3" s="468" t="n">
        <v>1</v>
      </c>
      <c r="AA3" s="335" t="n"/>
      <c r="AB3" s="469" t="inlineStr">
        <is>
          <t>นายอาทิตย์  แก้วแดง</t>
        </is>
      </c>
      <c r="AD3" s="331" t="n"/>
      <c r="AE3" s="275">
        <f>H36</f>
        <v/>
      </c>
      <c r="AF3" s="334" t="n"/>
      <c r="AG3" s="335" t="n"/>
      <c r="AH3" s="470">
        <f>P36</f>
        <v/>
      </c>
      <c r="AI3" s="334" t="n"/>
      <c r="AJ3" s="335" t="n"/>
    </row>
    <row r="4" ht="22.2" customHeight="1" s="330">
      <c r="G4" s="58" t="inlineStr">
        <is>
          <t>ü</t>
        </is>
      </c>
      <c r="H4" s="290" t="inlineStr">
        <is>
          <t>ครู</t>
        </is>
      </c>
      <c r="I4" s="249" t="inlineStr">
        <is>
          <t>หน้าที่พิเศษ</t>
        </is>
      </c>
      <c r="J4" s="261" t="inlineStr">
        <is>
          <t>หัวหน้าแผนกยานยนต์ไฟฟ้า</t>
        </is>
      </c>
      <c r="K4" s="471" t="n"/>
      <c r="L4" s="471" t="n"/>
      <c r="M4" s="471" t="n"/>
      <c r="N4" s="471" t="n"/>
      <c r="Y4" s="331" t="n"/>
      <c r="Z4" s="472" t="n">
        <v>2</v>
      </c>
      <c r="AA4" s="331" t="n"/>
      <c r="AB4" s="240" t="n"/>
      <c r="AE4" s="252">
        <f>H82</f>
        <v/>
      </c>
      <c r="AG4" s="331" t="n"/>
      <c r="AH4" s="251">
        <f>P82</f>
        <v/>
      </c>
      <c r="AJ4" s="331" t="n"/>
    </row>
    <row r="5" ht="22.2" customHeight="1" s="330">
      <c r="A5" s="28" t="inlineStr">
        <is>
          <t>ที่</t>
        </is>
      </c>
      <c r="B5" s="28" t="inlineStr">
        <is>
          <t>ชื่อ-สกุล</t>
        </is>
      </c>
      <c r="C5" s="334" t="n"/>
      <c r="D5" s="335" t="n"/>
      <c r="E5" s="16" t="inlineStr">
        <is>
          <t>ตำแหน่ง</t>
        </is>
      </c>
      <c r="F5" s="17" t="inlineStr">
        <is>
          <t>ระยะเวลาที่สอน</t>
        </is>
      </c>
      <c r="G5" s="362" t="n"/>
      <c r="H5" s="17" t="inlineStr">
        <is>
          <t>รหัสวิชา</t>
        </is>
      </c>
      <c r="I5" s="275" t="inlineStr">
        <is>
          <t>ชั้น,แผนก,ห้อง</t>
        </is>
      </c>
      <c r="J5" s="17" t="inlineStr">
        <is>
          <t>เวลาสอน</t>
        </is>
      </c>
      <c r="K5" s="335" t="n"/>
      <c r="L5" s="17" t="inlineStr">
        <is>
          <t>ปวช.(คาบ)</t>
        </is>
      </c>
      <c r="M5" s="362" t="n"/>
      <c r="N5" s="244" t="inlineStr">
        <is>
          <t>เงิน</t>
        </is>
      </c>
      <c r="O5" s="275" t="inlineStr">
        <is>
          <t>ยอดเงิน</t>
        </is>
      </c>
      <c r="P5" s="473" t="inlineStr">
        <is>
          <t>ปวส.(คาบ)</t>
        </is>
      </c>
      <c r="Q5" s="362" t="n"/>
      <c r="R5" s="244" t="inlineStr">
        <is>
          <t>เงิน</t>
        </is>
      </c>
      <c r="S5" s="275" t="inlineStr">
        <is>
          <t>ยอดเงิน</t>
        </is>
      </c>
      <c r="V5" s="240" t="n"/>
      <c r="Y5" s="331" t="n"/>
      <c r="Z5" s="472" t="n">
        <v>3</v>
      </c>
      <c r="AA5" s="331" t="n"/>
      <c r="AB5" s="240" t="n"/>
      <c r="AE5" s="252">
        <f>H128</f>
        <v/>
      </c>
      <c r="AG5" s="331" t="n"/>
      <c r="AH5" s="251">
        <f>P128</f>
        <v/>
      </c>
      <c r="AJ5" s="331" t="n"/>
    </row>
    <row r="6" ht="22.2" customHeight="1" s="330">
      <c r="A6" s="60" t="n"/>
      <c r="B6" s="9" t="n"/>
      <c r="C6" s="10" t="n"/>
      <c r="D6" s="14" t="n"/>
      <c r="E6" s="11" t="n"/>
      <c r="F6" s="276" t="inlineStr">
        <is>
          <t>ส.</t>
        </is>
      </c>
      <c r="G6" s="276" t="inlineStr">
        <is>
          <t>วดป.</t>
        </is>
      </c>
      <c r="H6" s="474" t="n"/>
      <c r="I6" s="276" t="n"/>
      <c r="J6" s="475" t="n"/>
      <c r="K6" s="476" t="n"/>
      <c r="L6" s="276" t="inlineStr">
        <is>
          <t>ใน</t>
        </is>
      </c>
      <c r="M6" s="276" t="inlineStr">
        <is>
          <t>นอก</t>
        </is>
      </c>
      <c r="N6" s="276" t="inlineStr">
        <is>
          <t>ต่อ ชม.</t>
        </is>
      </c>
      <c r="O6" s="276" t="inlineStr">
        <is>
          <t>(บาท)</t>
        </is>
      </c>
      <c r="P6" s="60" t="inlineStr">
        <is>
          <t>ใน</t>
        </is>
      </c>
      <c r="Q6" s="60" t="inlineStr">
        <is>
          <t>นอก</t>
        </is>
      </c>
      <c r="R6" s="276" t="inlineStr">
        <is>
          <t>ต่อ ชม.</t>
        </is>
      </c>
      <c r="S6" s="276" t="inlineStr">
        <is>
          <t>(บาท)</t>
        </is>
      </c>
      <c r="Y6" s="331" t="n"/>
      <c r="Z6" s="472" t="n">
        <v>4</v>
      </c>
      <c r="AA6" s="331" t="n"/>
      <c r="AB6" s="241" t="n"/>
      <c r="AD6" s="331" t="n"/>
      <c r="AE6" s="252">
        <f>H174</f>
        <v/>
      </c>
      <c r="AG6" s="331" t="n"/>
      <c r="AH6" s="251">
        <f>P174</f>
        <v/>
      </c>
      <c r="AJ6" s="331" t="n"/>
    </row>
    <row r="7" ht="22.2" customHeight="1" s="330">
      <c r="A7" s="275" t="n">
        <v>1</v>
      </c>
      <c r="B7" s="477">
        <f>AB3</f>
        <v/>
      </c>
      <c r="C7" s="334" t="n"/>
      <c r="D7" s="335" t="n"/>
      <c r="E7" s="275" t="inlineStr">
        <is>
          <t>ครู</t>
        </is>
      </c>
      <c r="F7" s="6" t="n">
        <v>5</v>
      </c>
      <c r="G7" s="303" t="inlineStr">
        <is>
          <t>จันทร์</t>
        </is>
      </c>
      <c r="H7" s="332" t="inlineStr">
        <is>
          <t>30101-2607</t>
        </is>
      </c>
      <c r="I7" s="325" t="inlineStr">
        <is>
          <t>ปวส.2/5 สยฟ. (ม.6)</t>
        </is>
      </c>
      <c r="J7" s="332" t="inlineStr">
        <is>
          <t>08.10-12.10</t>
        </is>
      </c>
      <c r="K7" s="335" t="n"/>
      <c r="L7" s="265" t="n"/>
      <c r="M7" s="332" t="n"/>
      <c r="N7" s="332" t="n"/>
      <c r="O7" s="244">
        <f>M7*N7</f>
        <v/>
      </c>
      <c r="P7" s="332" t="n"/>
      <c r="Q7" s="265" t="n">
        <v>4</v>
      </c>
      <c r="R7" s="332" t="n">
        <v>270</v>
      </c>
      <c r="S7" s="244">
        <f>Q7*R7</f>
        <v/>
      </c>
      <c r="Y7" s="3" t="n"/>
      <c r="Z7" s="472" t="n">
        <v>5</v>
      </c>
      <c r="AA7" s="331" t="n"/>
      <c r="AB7" s="241" t="n"/>
      <c r="AD7" s="331" t="n"/>
      <c r="AE7" s="252">
        <f>H220</f>
        <v/>
      </c>
      <c r="AG7" s="331" t="n"/>
      <c r="AH7" s="251">
        <f>P220</f>
        <v/>
      </c>
      <c r="AJ7" s="331" t="n"/>
    </row>
    <row r="8" ht="22.2" customHeight="1" s="330">
      <c r="A8" s="4" t="n"/>
      <c r="B8" s="478" t="n"/>
      <c r="D8" s="331" t="n"/>
      <c r="E8" s="252" t="n"/>
      <c r="F8" s="249" t="n"/>
      <c r="G8" s="74" t="inlineStr">
        <is>
          <t>27 พ.ย.66</t>
        </is>
      </c>
      <c r="H8" s="325" t="inlineStr">
        <is>
          <t>30143-2005</t>
        </is>
      </c>
      <c r="I8" s="325" t="inlineStr">
        <is>
          <t>ปวส.1/2 สยฟ. (ทวิ)</t>
        </is>
      </c>
      <c r="J8" s="325" t="inlineStr">
        <is>
          <t>14.10-19.10</t>
        </is>
      </c>
      <c r="K8" s="331" t="n"/>
      <c r="L8" s="252" t="n"/>
      <c r="M8" s="252" t="n"/>
      <c r="N8" s="252" t="n"/>
      <c r="O8" s="244">
        <f>M8*N8</f>
        <v/>
      </c>
      <c r="P8" s="252" t="n">
        <v>5</v>
      </c>
      <c r="Q8" s="252" t="n"/>
      <c r="R8" s="252" t="n"/>
      <c r="S8" s="244">
        <f>Q8*R8</f>
        <v/>
      </c>
      <c r="Z8" s="472" t="n">
        <v>6</v>
      </c>
      <c r="AA8" s="331" t="n"/>
      <c r="AB8" s="469" t="n"/>
      <c r="AD8" s="331" t="n"/>
      <c r="AE8" s="252">
        <f>H266</f>
        <v/>
      </c>
      <c r="AG8" s="331" t="n"/>
      <c r="AH8" s="251">
        <f>P266</f>
        <v/>
      </c>
      <c r="AJ8" s="331" t="n"/>
    </row>
    <row r="9" ht="22.2" customHeight="1" s="330">
      <c r="A9" s="4" t="n"/>
      <c r="B9" s="5" t="n"/>
      <c r="D9" s="3" t="n"/>
      <c r="E9" s="3" t="n"/>
      <c r="F9" s="249" t="n"/>
      <c r="G9" s="248" t="n"/>
      <c r="H9" s="325" t="n"/>
      <c r="I9" s="325" t="n"/>
      <c r="J9" s="325" t="n"/>
      <c r="K9" s="331" t="n"/>
      <c r="L9" s="252" t="n"/>
      <c r="M9" s="252" t="n"/>
      <c r="N9" s="252" t="n"/>
      <c r="O9" s="244">
        <f>M9*N9</f>
        <v/>
      </c>
      <c r="P9" s="252" t="n"/>
      <c r="Q9" s="252" t="n"/>
      <c r="R9" s="252" t="n"/>
      <c r="S9" s="244">
        <f>Q9*R9</f>
        <v/>
      </c>
      <c r="T9" s="287" t="inlineStr">
        <is>
          <t>สอน ป.ตรี</t>
        </is>
      </c>
      <c r="Y9" s="71" t="n"/>
      <c r="Z9" s="472" t="n">
        <v>7</v>
      </c>
      <c r="AA9" s="331" t="n"/>
      <c r="AB9" s="469" t="n"/>
      <c r="AD9" s="331" t="n"/>
      <c r="AE9" s="252">
        <f>H312</f>
        <v/>
      </c>
      <c r="AG9" s="331" t="n"/>
      <c r="AH9" s="251">
        <f>P312</f>
        <v/>
      </c>
      <c r="AJ9" s="331" t="n"/>
    </row>
    <row r="10" ht="22.2" customHeight="1" s="330">
      <c r="A10" s="4" t="n"/>
      <c r="B10" s="5" t="n"/>
      <c r="E10" s="4" t="n"/>
      <c r="F10" s="249" t="n"/>
      <c r="G10" s="248" t="n"/>
      <c r="H10" s="252" t="n"/>
      <c r="I10" s="252" t="n"/>
      <c r="J10" s="252" t="n"/>
      <c r="K10" s="331" t="n"/>
      <c r="L10" s="252" t="n"/>
      <c r="M10" s="252" t="n"/>
      <c r="N10" s="252" t="n"/>
      <c r="O10" s="244">
        <f>M10*N10</f>
        <v/>
      </c>
      <c r="P10" s="252" t="n"/>
      <c r="Q10" s="252" t="n"/>
      <c r="R10" s="252" t="n"/>
      <c r="S10" s="244">
        <f>Q10*R10</f>
        <v/>
      </c>
      <c r="T10" s="24" t="n"/>
      <c r="U10" s="24" t="inlineStr">
        <is>
          <t>19.10-20.10</t>
        </is>
      </c>
      <c r="V10" s="65" t="n"/>
      <c r="W10" s="24" t="n"/>
      <c r="X10" s="24" t="n"/>
      <c r="Y10" s="72" t="n"/>
      <c r="Z10" s="472" t="n">
        <v>8</v>
      </c>
      <c r="AA10" s="331" t="n"/>
      <c r="AB10" s="469" t="n"/>
      <c r="AD10" s="331" t="n"/>
      <c r="AE10" s="252">
        <f>H358</f>
        <v/>
      </c>
      <c r="AG10" s="331" t="n"/>
      <c r="AH10" s="251">
        <f>P358</f>
        <v/>
      </c>
      <c r="AJ10" s="331" t="n"/>
    </row>
    <row r="11" ht="22.2" customHeight="1" s="330">
      <c r="A11" s="4" t="n"/>
      <c r="D11" s="70" t="n"/>
      <c r="E11" s="4" t="n"/>
      <c r="G11" s="311" t="n"/>
      <c r="H11" s="276" t="n"/>
      <c r="I11" s="276" t="n"/>
      <c r="J11" s="276" t="n"/>
      <c r="K11" s="476" t="n"/>
      <c r="L11" s="252" t="n"/>
      <c r="M11" s="252" t="n"/>
      <c r="N11" s="252" t="n"/>
      <c r="O11" s="244">
        <f>M11*N11</f>
        <v/>
      </c>
      <c r="P11" s="252" t="n"/>
      <c r="Q11" s="252" t="n"/>
      <c r="R11" s="252" t="n"/>
      <c r="S11" s="244">
        <f>Q11*R11</f>
        <v/>
      </c>
      <c r="W11" s="72" t="n"/>
      <c r="X11" s="72" t="n"/>
      <c r="Y11" s="290" t="n"/>
      <c r="Z11" s="472" t="n">
        <v>9</v>
      </c>
      <c r="AA11" s="331" t="n"/>
      <c r="AB11" s="479" t="n"/>
      <c r="AD11" s="331" t="n"/>
      <c r="AE11" s="252">
        <f>H404</f>
        <v/>
      </c>
      <c r="AG11" s="331" t="n"/>
      <c r="AH11" s="251">
        <f>P404</f>
        <v/>
      </c>
      <c r="AJ11" s="331" t="n"/>
    </row>
    <row r="12" ht="22.2" customHeight="1" s="330">
      <c r="A12" s="4" t="n"/>
      <c r="E12" s="4" t="n"/>
      <c r="G12" s="62" t="inlineStr">
        <is>
          <t>อังคาร</t>
        </is>
      </c>
      <c r="H12" s="325" t="n"/>
      <c r="I12" s="325" t="n"/>
      <c r="J12" s="332" t="n"/>
      <c r="K12" s="335" t="n"/>
      <c r="L12" s="265" t="n"/>
      <c r="M12" s="332" t="n"/>
      <c r="N12" s="332" t="n"/>
      <c r="O12" s="244">
        <f>M12*N12</f>
        <v/>
      </c>
      <c r="P12" s="332" t="n"/>
      <c r="Q12" s="265" t="n"/>
      <c r="R12" s="332" t="n"/>
      <c r="S12" s="244">
        <f>Q12*R12</f>
        <v/>
      </c>
      <c r="W12" s="71" t="n"/>
      <c r="X12" s="71" t="n"/>
      <c r="Y12" s="71" t="n"/>
      <c r="Z12" s="472" t="n">
        <v>10</v>
      </c>
      <c r="AA12" s="331" t="n"/>
      <c r="AB12" s="469" t="n"/>
      <c r="AD12" s="331" t="n"/>
      <c r="AE12" s="251">
        <f>H450</f>
        <v/>
      </c>
      <c r="AG12" s="331" t="n"/>
      <c r="AH12" s="251">
        <f>P450</f>
        <v/>
      </c>
      <c r="AJ12" s="331" t="n"/>
    </row>
    <row r="13" ht="22.2" customHeight="1" s="330">
      <c r="A13" s="4" t="n"/>
      <c r="E13" s="4" t="n"/>
      <c r="G13" s="74" t="inlineStr">
        <is>
          <t>28 พ.ย.66</t>
        </is>
      </c>
      <c r="H13" s="325" t="n"/>
      <c r="I13" s="325" t="n"/>
      <c r="J13" s="252" t="n"/>
      <c r="K13" s="331" t="n"/>
      <c r="L13" s="252" t="n"/>
      <c r="M13" s="252" t="n"/>
      <c r="N13" s="252" t="n"/>
      <c r="O13" s="244">
        <f>M13*N13</f>
        <v/>
      </c>
      <c r="P13" s="252" t="n"/>
      <c r="Q13" s="252" t="n"/>
      <c r="R13" s="252" t="n"/>
      <c r="S13" s="244">
        <f>Q13*R13</f>
        <v/>
      </c>
      <c r="W13" s="71" t="n"/>
      <c r="X13" s="71" t="n"/>
      <c r="Y13" s="71" t="n"/>
      <c r="Z13" s="472" t="n">
        <v>11</v>
      </c>
      <c r="AA13" s="331" t="n"/>
      <c r="AB13" s="240" t="n"/>
      <c r="AE13" s="251">
        <f>H496</f>
        <v/>
      </c>
      <c r="AG13" s="331" t="n"/>
      <c r="AH13" s="251">
        <f>P496</f>
        <v/>
      </c>
      <c r="AJ13" s="331" t="n"/>
    </row>
    <row r="14" ht="22.2" customHeight="1" s="330">
      <c r="A14" s="4" t="n"/>
      <c r="B14" s="5" t="n"/>
      <c r="D14" s="3" t="n"/>
      <c r="E14" s="3" t="n"/>
      <c r="G14" s="252" t="n"/>
      <c r="H14" s="252" t="n"/>
      <c r="I14" s="325" t="n"/>
      <c r="J14" s="252" t="n"/>
      <c r="K14" s="331" t="n"/>
      <c r="L14" s="252" t="n"/>
      <c r="M14" s="252" t="n"/>
      <c r="N14" s="252" t="n"/>
      <c r="O14" s="244">
        <f>M14*N14</f>
        <v/>
      </c>
      <c r="P14" s="252" t="n"/>
      <c r="Q14" s="252" t="n"/>
      <c r="R14" s="252" t="n"/>
      <c r="S14" s="244">
        <f>Q14*R14</f>
        <v/>
      </c>
      <c r="Y14" s="71" t="n"/>
      <c r="Z14" s="472" t="n">
        <v>12</v>
      </c>
      <c r="AA14" s="331" t="n"/>
      <c r="AB14" s="240" t="n"/>
      <c r="AE14" s="251">
        <f>H542</f>
        <v/>
      </c>
      <c r="AG14" s="331" t="n"/>
      <c r="AH14" s="251">
        <f>P542</f>
        <v/>
      </c>
      <c r="AJ14" s="331" t="n"/>
    </row>
    <row r="15" ht="22.2" customHeight="1" s="330">
      <c r="A15" s="4" t="n"/>
      <c r="E15" s="4" t="n"/>
      <c r="G15" s="62" t="n"/>
      <c r="H15" s="249" t="n"/>
      <c r="I15" s="252" t="n"/>
      <c r="J15" s="252" t="n"/>
      <c r="K15" s="331" t="n"/>
      <c r="L15" s="252" t="n"/>
      <c r="M15" s="252" t="n"/>
      <c r="N15" s="252" t="n"/>
      <c r="O15" s="244">
        <f>M15*N15</f>
        <v/>
      </c>
      <c r="P15" s="252" t="n"/>
      <c r="Q15" s="252" t="n"/>
      <c r="R15" s="252" t="n"/>
      <c r="S15" s="244">
        <f>Q15*R15</f>
        <v/>
      </c>
      <c r="W15" s="71" t="n"/>
      <c r="X15" s="71" t="n"/>
      <c r="Y15" s="71" t="n"/>
      <c r="Z15" s="472" t="n">
        <v>13</v>
      </c>
      <c r="AA15" s="331" t="n"/>
      <c r="AB15" s="480" t="n"/>
      <c r="AD15" s="331" t="n"/>
      <c r="AE15" s="251">
        <f>H588</f>
        <v/>
      </c>
      <c r="AG15" s="331" t="n"/>
      <c r="AH15" s="251">
        <f>P588</f>
        <v/>
      </c>
      <c r="AJ15" s="331" t="n"/>
    </row>
    <row r="16" ht="22.2" customHeight="1" s="330">
      <c r="A16" s="4" t="n"/>
      <c r="D16" s="8" t="inlineStr">
        <is>
          <t> </t>
        </is>
      </c>
      <c r="E16" s="4" t="n"/>
      <c r="G16" s="63" t="n"/>
      <c r="H16" s="276" t="n"/>
      <c r="I16" s="276" t="n"/>
      <c r="J16" s="276" t="n"/>
      <c r="K16" s="476" t="n"/>
      <c r="L16" s="252" t="n"/>
      <c r="M16" s="252" t="n"/>
      <c r="N16" s="252" t="n"/>
      <c r="O16" s="244">
        <f>M16*N16</f>
        <v/>
      </c>
      <c r="P16" s="252" t="n"/>
      <c r="Q16" s="252" t="n"/>
      <c r="R16" s="252" t="n"/>
      <c r="S16" s="244">
        <f>Q16*R16</f>
        <v/>
      </c>
      <c r="Y16" s="71" t="n"/>
      <c r="Z16" s="472" t="n">
        <v>14</v>
      </c>
      <c r="AA16" s="331" t="n"/>
      <c r="AB16" s="480" t="n"/>
      <c r="AD16" s="331" t="n"/>
      <c r="AE16" s="251">
        <f>H634</f>
        <v/>
      </c>
      <c r="AG16" s="331" t="n"/>
      <c r="AH16" s="251">
        <f>P634</f>
        <v/>
      </c>
      <c r="AJ16" s="331" t="n"/>
    </row>
    <row r="17" ht="22.2" customHeight="1" s="330">
      <c r="A17" s="4" t="n"/>
      <c r="E17" s="4" t="n"/>
      <c r="G17" s="308" t="inlineStr">
        <is>
          <t>พุธ</t>
        </is>
      </c>
      <c r="H17" s="325" t="inlineStr">
        <is>
          <t>30143-2004</t>
        </is>
      </c>
      <c r="I17" s="325" t="inlineStr">
        <is>
          <t>ปวส.1/1 สยฟ. (ทวิ)</t>
        </is>
      </c>
      <c r="J17" s="332" t="inlineStr">
        <is>
          <t>08.10-12.10</t>
        </is>
      </c>
      <c r="K17" s="335" t="n"/>
      <c r="L17" s="265" t="n"/>
      <c r="M17" s="332" t="n"/>
      <c r="N17" s="332" t="n"/>
      <c r="O17" s="244">
        <f>M17*N17</f>
        <v/>
      </c>
      <c r="P17" s="332" t="n"/>
      <c r="Q17" s="265" t="n">
        <v>4</v>
      </c>
      <c r="R17" s="332" t="n">
        <v>270</v>
      </c>
      <c r="S17" s="244">
        <f>Q17*R17</f>
        <v/>
      </c>
      <c r="Y17" s="71" t="n"/>
      <c r="Z17" s="472" t="n">
        <v>15</v>
      </c>
      <c r="AA17" s="331" t="n"/>
      <c r="AB17" s="469" t="n"/>
      <c r="AD17" s="331" t="n"/>
      <c r="AE17" s="251">
        <f>H680</f>
        <v/>
      </c>
      <c r="AG17" s="331" t="n"/>
      <c r="AH17" s="251">
        <f>P680</f>
        <v/>
      </c>
      <c r="AJ17" s="331" t="n"/>
    </row>
    <row r="18" ht="22.2" customHeight="1" s="330">
      <c r="A18" s="4" t="n"/>
      <c r="B18" s="248" t="n"/>
      <c r="C18" s="249" t="n"/>
      <c r="D18" s="249" t="n"/>
      <c r="E18" s="252" t="n"/>
      <c r="G18" s="74" t="inlineStr">
        <is>
          <t>29 พ.ย.66</t>
        </is>
      </c>
      <c r="H18" s="325" t="inlineStr">
        <is>
          <t>30143-2004</t>
        </is>
      </c>
      <c r="I18" s="325" t="inlineStr">
        <is>
          <t>ปวส.1/1 สยฟ. (ทวิ)</t>
        </is>
      </c>
      <c r="J18" s="252" t="inlineStr">
        <is>
          <t>13.10-14.10</t>
        </is>
      </c>
      <c r="K18" s="331" t="n"/>
      <c r="L18" s="252" t="n"/>
      <c r="M18" s="252" t="n"/>
      <c r="N18" s="252" t="n"/>
      <c r="O18" s="244">
        <f>M18*N18</f>
        <v/>
      </c>
      <c r="P18" s="252" t="n">
        <v>1</v>
      </c>
      <c r="Q18" s="252" t="n"/>
      <c r="R18" s="252" t="n"/>
      <c r="S18" s="244">
        <f>Q18*R18</f>
        <v/>
      </c>
      <c r="W18" s="71" t="n"/>
      <c r="X18" s="71" t="n"/>
      <c r="Z18" s="472" t="n">
        <v>16</v>
      </c>
      <c r="AA18" s="331" t="n"/>
      <c r="AB18" s="469" t="n"/>
      <c r="AD18" s="331" t="n"/>
      <c r="AE18" s="251">
        <f>H726</f>
        <v/>
      </c>
      <c r="AG18" s="331" t="n"/>
      <c r="AH18" s="251">
        <f>P726</f>
        <v/>
      </c>
      <c r="AJ18" s="331" t="n"/>
    </row>
    <row r="19" ht="22.2" customHeight="1" s="330">
      <c r="A19" s="4" t="n"/>
      <c r="B19" s="5" t="n"/>
      <c r="D19" s="3" t="n"/>
      <c r="E19" s="3" t="n"/>
      <c r="G19" s="252" t="n"/>
      <c r="H19" s="325" t="inlineStr">
        <is>
          <t>30143-2004</t>
        </is>
      </c>
      <c r="I19" s="325" t="inlineStr">
        <is>
          <t>ปวส.1/2 สยฟ. (ทวิ)</t>
        </is>
      </c>
      <c r="J19" s="325" t="inlineStr">
        <is>
          <t>14.10-19.10</t>
        </is>
      </c>
      <c r="K19" s="331" t="n"/>
      <c r="L19" s="252" t="n"/>
      <c r="M19" s="252" t="n"/>
      <c r="N19" s="252" t="n"/>
      <c r="O19" s="244">
        <f>M19*N19</f>
        <v/>
      </c>
      <c r="P19" s="252" t="n">
        <v>5</v>
      </c>
      <c r="Q19" s="252" t="n"/>
      <c r="R19" s="252" t="n"/>
      <c r="S19" s="244">
        <f>Q19*R19</f>
        <v/>
      </c>
      <c r="T19" s="287" t="inlineStr">
        <is>
          <t>สอน ป.ตรี</t>
        </is>
      </c>
      <c r="Z19" s="472" t="n">
        <v>17</v>
      </c>
      <c r="AA19" s="331" t="n"/>
      <c r="AB19" s="479" t="n"/>
      <c r="AD19" s="331" t="n"/>
      <c r="AE19" s="251">
        <f>H772</f>
        <v/>
      </c>
      <c r="AG19" s="331" t="n"/>
      <c r="AH19" s="251">
        <f>P772</f>
        <v/>
      </c>
      <c r="AJ19" s="331" t="n"/>
    </row>
    <row r="20" ht="22.2" customHeight="1" s="330">
      <c r="A20" s="4" t="n"/>
      <c r="E20" s="4" t="n"/>
      <c r="G20" s="248" t="n"/>
      <c r="H20" s="252" t="n"/>
      <c r="I20" s="325" t="n"/>
      <c r="J20" s="252" t="n"/>
      <c r="K20" s="331" t="n"/>
      <c r="L20" s="252" t="n"/>
      <c r="M20" s="252" t="n"/>
      <c r="N20" s="252" t="n"/>
      <c r="O20" s="244">
        <f>M20*N20</f>
        <v/>
      </c>
      <c r="P20" s="252" t="n"/>
      <c r="Q20" s="252" t="n"/>
      <c r="R20" s="252" t="n"/>
      <c r="S20" s="244">
        <f>Q20*R20</f>
        <v/>
      </c>
      <c r="T20" s="24" t="n"/>
      <c r="U20" s="24" t="inlineStr">
        <is>
          <t>19.10-20.10</t>
        </is>
      </c>
      <c r="V20" s="65" t="n"/>
      <c r="W20" s="24" t="n"/>
      <c r="X20" s="24" t="n"/>
      <c r="Y20" s="249" t="n"/>
      <c r="Z20" s="472" t="n">
        <v>18</v>
      </c>
      <c r="AA20" s="331" t="n"/>
      <c r="AB20" s="479" t="n"/>
      <c r="AD20" s="331" t="n"/>
      <c r="AE20" s="251">
        <f>H818</f>
        <v/>
      </c>
      <c r="AG20" s="331" t="n"/>
      <c r="AH20" s="251">
        <f>P818</f>
        <v/>
      </c>
      <c r="AJ20" s="331" t="n"/>
    </row>
    <row r="21" ht="22.2" customHeight="1" s="330">
      <c r="A21" s="4" t="n"/>
      <c r="E21" s="4" t="n"/>
      <c r="G21" s="277" t="n"/>
      <c r="H21" s="277" t="n"/>
      <c r="I21" s="276" t="n"/>
      <c r="J21" s="276" t="n"/>
      <c r="K21" s="476" t="n"/>
      <c r="L21" s="276" t="n"/>
      <c r="M21" s="276" t="n"/>
      <c r="N21" s="276" t="n"/>
      <c r="O21" s="244">
        <f>M21*N21</f>
        <v/>
      </c>
      <c r="P21" s="276" t="n"/>
      <c r="Q21" s="276" t="n"/>
      <c r="R21" s="276" t="n"/>
      <c r="S21" s="244">
        <f>Q21*R21</f>
        <v/>
      </c>
      <c r="Y21" s="249" t="n"/>
      <c r="Z21" s="472" t="n">
        <v>19</v>
      </c>
      <c r="AA21" s="331" t="n"/>
      <c r="AB21" s="469" t="n"/>
      <c r="AD21" s="331" t="n"/>
      <c r="AE21" s="251">
        <f>H864</f>
        <v/>
      </c>
      <c r="AG21" s="331" t="n"/>
      <c r="AH21" s="251">
        <f>P864</f>
        <v/>
      </c>
      <c r="AJ21" s="331" t="n"/>
    </row>
    <row r="22" ht="22.2" customHeight="1" s="330">
      <c r="A22" s="4" t="n"/>
      <c r="E22" s="4" t="n"/>
      <c r="G22" s="62" t="inlineStr">
        <is>
          <t>พฤหัส</t>
        </is>
      </c>
      <c r="H22" s="325" t="inlineStr">
        <is>
          <t>30101-2607</t>
        </is>
      </c>
      <c r="I22" s="325" t="inlineStr">
        <is>
          <t>ปวส. 2/6 สยฟ. (ม.6)</t>
        </is>
      </c>
      <c r="J22" s="332" t="inlineStr">
        <is>
          <t>08.10-12.10</t>
        </is>
      </c>
      <c r="K22" s="335" t="n"/>
      <c r="L22" s="252" t="n"/>
      <c r="M22" s="252" t="n"/>
      <c r="N22" s="252" t="n"/>
      <c r="O22" s="244">
        <f>M22*N22</f>
        <v/>
      </c>
      <c r="P22" s="252" t="n"/>
      <c r="Q22" s="275" t="n">
        <v>4</v>
      </c>
      <c r="R22" s="275" t="n">
        <v>270</v>
      </c>
      <c r="S22" s="244">
        <f>Q22*R22</f>
        <v/>
      </c>
      <c r="Y22" s="249" t="n"/>
      <c r="Z22" s="472" t="n">
        <v>20</v>
      </c>
      <c r="AA22" s="331" t="n"/>
      <c r="AB22" s="469" t="n"/>
      <c r="AD22" s="331" t="n"/>
      <c r="AE22" s="251">
        <f>H910</f>
        <v/>
      </c>
      <c r="AG22" s="331" t="n"/>
      <c r="AH22" s="251">
        <f>P910</f>
        <v/>
      </c>
      <c r="AJ22" s="331" t="n"/>
    </row>
    <row r="23" ht="22.2" customHeight="1" s="330">
      <c r="A23" s="4" t="n"/>
      <c r="E23" s="4" t="n"/>
      <c r="G23" s="74" t="inlineStr">
        <is>
          <t>30 พ.ย.66</t>
        </is>
      </c>
      <c r="H23" s="325" t="inlineStr">
        <is>
          <t>30000-2002</t>
        </is>
      </c>
      <c r="I23" s="325" t="inlineStr">
        <is>
          <t>ปวส.1/1,2 สยฟ. (ทวิ)</t>
        </is>
      </c>
      <c r="J23" s="252" t="inlineStr">
        <is>
          <t>13.10-15.10</t>
        </is>
      </c>
      <c r="K23" s="331" t="n"/>
      <c r="L23" s="252" t="n"/>
      <c r="M23" s="252" t="n"/>
      <c r="N23" s="252" t="n"/>
      <c r="O23" s="244">
        <f>M23*N23</f>
        <v/>
      </c>
      <c r="P23" s="252" t="n">
        <v>2</v>
      </c>
      <c r="Q23" s="252" t="n"/>
      <c r="R23" s="252" t="n"/>
      <c r="S23" s="244">
        <f>Q23*R23</f>
        <v/>
      </c>
      <c r="U23" s="249" t="n"/>
      <c r="V23" s="249" t="n"/>
      <c r="W23" s="249" t="n"/>
      <c r="X23" s="249" t="n"/>
      <c r="Y23" s="249" t="n"/>
      <c r="Z23" s="472" t="n">
        <v>21</v>
      </c>
      <c r="AA23" s="331" t="n"/>
      <c r="AB23" s="469" t="n"/>
      <c r="AD23" s="331" t="n"/>
      <c r="AE23" s="251">
        <f>H956</f>
        <v/>
      </c>
      <c r="AG23" s="331" t="n"/>
      <c r="AH23" s="251">
        <f>P956</f>
        <v/>
      </c>
      <c r="AJ23" s="331" t="n"/>
    </row>
    <row r="24" ht="22.2" customHeight="1" s="330">
      <c r="A24" s="4" t="n"/>
      <c r="B24" s="5" t="n"/>
      <c r="E24" s="4" t="n"/>
      <c r="G24" s="252" t="n"/>
      <c r="H24" s="325" t="n"/>
      <c r="I24" s="325" t="n"/>
      <c r="J24" s="252" t="n"/>
      <c r="K24" s="331" t="n"/>
      <c r="L24" s="325" t="n"/>
      <c r="M24" s="325" t="n"/>
      <c r="N24" s="325" t="n"/>
      <c r="O24" s="244">
        <f>M24*N24</f>
        <v/>
      </c>
      <c r="P24" s="325" t="n"/>
      <c r="Q24" s="325" t="n"/>
      <c r="R24" s="325" t="n"/>
      <c r="S24" s="244">
        <f>Q24*R24</f>
        <v/>
      </c>
      <c r="T24" s="25" t="n"/>
      <c r="U24" s="26" t="inlineStr">
        <is>
          <t xml:space="preserve">     PLC</t>
        </is>
      </c>
      <c r="V24" s="64" t="n"/>
      <c r="W24" s="27" t="n"/>
      <c r="X24" s="27" t="n"/>
      <c r="Y24" s="249" t="n"/>
      <c r="Z24" s="472" t="n">
        <v>22</v>
      </c>
      <c r="AA24" s="331" t="n"/>
      <c r="AB24" s="469" t="n"/>
      <c r="AD24" s="331" t="n"/>
      <c r="AE24" s="251">
        <f>H1002</f>
        <v/>
      </c>
      <c r="AG24" s="331" t="n"/>
      <c r="AH24" s="251">
        <f>P1002</f>
        <v/>
      </c>
      <c r="AJ24" s="331" t="n"/>
    </row>
    <row r="25" ht="22.2" customHeight="1" s="330">
      <c r="A25" s="4" t="n"/>
      <c r="E25" s="4" t="n"/>
      <c r="G25" s="252" t="n"/>
      <c r="H25" s="252" t="n"/>
      <c r="I25" s="252" t="n"/>
      <c r="J25" s="252" t="n"/>
      <c r="K25" s="331" t="n"/>
      <c r="L25" s="252" t="n"/>
      <c r="M25" s="252" t="n"/>
      <c r="N25" s="252" t="n"/>
      <c r="O25" s="244">
        <f>M25*N25</f>
        <v/>
      </c>
      <c r="P25" s="252" t="n"/>
      <c r="Q25" s="252" t="n"/>
      <c r="R25" s="252" t="n"/>
      <c r="S25" s="244">
        <f>Q25*R25</f>
        <v/>
      </c>
      <c r="T25" s="27" t="inlineStr">
        <is>
          <t> </t>
        </is>
      </c>
      <c r="U25" s="26" t="inlineStr">
        <is>
          <t>17.10-19.10</t>
        </is>
      </c>
      <c r="V25" s="64" t="n"/>
      <c r="W25" s="27" t="n"/>
      <c r="X25" s="27" t="n"/>
      <c r="Y25" s="249" t="n"/>
      <c r="Z25" s="472" t="n">
        <v>23</v>
      </c>
      <c r="AA25" s="331" t="n"/>
      <c r="AB25" s="469" t="n"/>
      <c r="AD25" s="331" t="n"/>
      <c r="AE25" s="251">
        <f>H1048</f>
        <v/>
      </c>
      <c r="AG25" s="331" t="n"/>
      <c r="AH25" s="251">
        <f>P1048</f>
        <v/>
      </c>
      <c r="AJ25" s="331" t="n"/>
    </row>
    <row r="26" ht="22.2" customHeight="1" s="330">
      <c r="A26" s="4" t="n"/>
      <c r="E26" s="4" t="n"/>
      <c r="G26" s="276" t="n"/>
      <c r="H26" s="301" t="n"/>
      <c r="I26" s="276" t="n"/>
      <c r="J26" s="276" t="n"/>
      <c r="K26" s="476" t="n"/>
      <c r="L26" s="276" t="n"/>
      <c r="M26" s="276" t="n"/>
      <c r="N26" s="276" t="n"/>
      <c r="O26" s="244">
        <f>M26*N26</f>
        <v/>
      </c>
      <c r="P26" s="276" t="n"/>
      <c r="Q26" s="276" t="n"/>
      <c r="R26" s="276" t="n"/>
      <c r="S26" s="244">
        <f>Q26*R26</f>
        <v/>
      </c>
      <c r="T26" s="249" t="n"/>
      <c r="U26" s="249" t="n"/>
      <c r="V26" s="249" t="n"/>
      <c r="W26" s="249" t="n"/>
      <c r="X26" s="249" t="n"/>
      <c r="Y26" s="249" t="n"/>
      <c r="Z26" s="472" t="n">
        <v>24</v>
      </c>
      <c r="AA26" s="331" t="n"/>
      <c r="AB26" s="481" t="n"/>
      <c r="AD26" s="331" t="n"/>
      <c r="AE26" s="251">
        <f>H1094</f>
        <v/>
      </c>
      <c r="AG26" s="331" t="n"/>
      <c r="AH26" s="251">
        <f>P1094</f>
        <v/>
      </c>
      <c r="AJ26" s="331" t="n"/>
    </row>
    <row r="27" ht="22.2" customHeight="1" s="330">
      <c r="A27" s="4" t="n"/>
      <c r="E27" s="4" t="n"/>
      <c r="G27" s="62" t="inlineStr">
        <is>
          <t>ศุกร์</t>
        </is>
      </c>
      <c r="H27" s="325" t="inlineStr">
        <is>
          <t>30143-2005</t>
        </is>
      </c>
      <c r="I27" s="325" t="inlineStr">
        <is>
          <t>ปวส.1/1 สยฟ. (ทวิ)</t>
        </is>
      </c>
      <c r="J27" s="332" t="inlineStr">
        <is>
          <t>08.10-12.10</t>
        </is>
      </c>
      <c r="K27" s="335" t="n"/>
      <c r="L27" s="265" t="n"/>
      <c r="M27" s="252" t="n"/>
      <c r="N27" s="252" t="n"/>
      <c r="O27" s="244">
        <f>M27*N27</f>
        <v/>
      </c>
      <c r="P27" s="332" t="n">
        <v>4</v>
      </c>
      <c r="Q27" s="265" t="n"/>
      <c r="R27" s="332" t="n"/>
      <c r="S27" s="244">
        <f>Q27*R27</f>
        <v/>
      </c>
      <c r="W27" s="249" t="n"/>
      <c r="X27" s="249" t="n"/>
      <c r="Y27" s="249" t="n"/>
      <c r="Z27" s="252" t="n">
        <v>25</v>
      </c>
      <c r="AA27" s="331" t="n"/>
      <c r="AB27" s="481" t="n"/>
      <c r="AD27" s="331" t="n"/>
      <c r="AE27" s="251">
        <f>H1140</f>
        <v/>
      </c>
      <c r="AG27" s="331" t="n"/>
      <c r="AH27" s="251">
        <f>P1140</f>
        <v/>
      </c>
      <c r="AJ27" s="331" t="n"/>
    </row>
    <row r="28" ht="22.2" customHeight="1" s="330">
      <c r="A28" s="4" t="n"/>
      <c r="E28" s="4" t="n"/>
      <c r="G28" s="74" t="inlineStr">
        <is>
          <t>1 ธ.ค.66</t>
        </is>
      </c>
      <c r="H28" s="325" t="inlineStr">
        <is>
          <t>30143-2005</t>
        </is>
      </c>
      <c r="I28" s="325" t="inlineStr">
        <is>
          <t>ปวส.1/1 สยฟ. (ทวิ)</t>
        </is>
      </c>
      <c r="J28" s="252" t="inlineStr">
        <is>
          <t>13.10-14.10</t>
        </is>
      </c>
      <c r="K28" s="331" t="n"/>
      <c r="L28" s="252" t="n"/>
      <c r="M28" s="252" t="n"/>
      <c r="N28" s="252" t="n"/>
      <c r="O28" s="244">
        <f>M28*N28</f>
        <v/>
      </c>
      <c r="P28" s="252" t="n">
        <v>1</v>
      </c>
      <c r="Q28" s="252" t="n"/>
      <c r="R28" s="252" t="n"/>
      <c r="S28" s="244">
        <f>Q28*R28</f>
        <v/>
      </c>
      <c r="T28" s="249" t="n"/>
      <c r="U28" s="249" t="n"/>
      <c r="V28" s="249" t="n"/>
      <c r="W28" s="249" t="n"/>
      <c r="X28" s="249" t="n"/>
      <c r="Y28" s="250" t="n"/>
      <c r="Z28" s="252" t="n">
        <v>26</v>
      </c>
      <c r="AA28" s="331" t="n"/>
      <c r="AB28" s="469" t="n"/>
      <c r="AD28" s="331" t="n"/>
      <c r="AE28" s="251">
        <f>H1186</f>
        <v/>
      </c>
      <c r="AG28" s="331" t="n"/>
      <c r="AH28" s="251">
        <f>P1186</f>
        <v/>
      </c>
      <c r="AJ28" s="331" t="n"/>
    </row>
    <row r="29" ht="22.2" customHeight="1" s="330">
      <c r="A29" s="4" t="n"/>
      <c r="E29" s="4" t="n"/>
      <c r="G29" s="252" t="n"/>
      <c r="H29" s="252" t="n"/>
      <c r="I29" s="252" t="n"/>
      <c r="J29" s="252" t="n"/>
      <c r="K29" s="331" t="n"/>
      <c r="L29" s="252" t="n"/>
      <c r="M29" s="252" t="n"/>
      <c r="N29" s="252" t="n"/>
      <c r="O29" s="244">
        <f>M29*N29</f>
        <v/>
      </c>
      <c r="P29" s="252" t="n"/>
      <c r="Q29" s="252" t="n"/>
      <c r="R29" s="252" t="n"/>
      <c r="S29" s="244">
        <f>Q29*R29</f>
        <v/>
      </c>
      <c r="T29" s="7" t="n"/>
      <c r="U29" s="23" t="inlineStr">
        <is>
          <t>เบิก ธุรการ</t>
        </is>
      </c>
      <c r="V29" s="66" t="n"/>
      <c r="W29" s="22" t="n"/>
      <c r="X29" s="22" t="n"/>
      <c r="Y29" s="3" t="n"/>
      <c r="Z29" s="276" t="n">
        <v>27</v>
      </c>
      <c r="AA29" s="476" t="n"/>
      <c r="AB29" s="469" t="n"/>
      <c r="AD29" s="331" t="n"/>
      <c r="AE29" s="251">
        <f>H1232</f>
        <v/>
      </c>
      <c r="AG29" s="331" t="n"/>
      <c r="AH29" s="251">
        <f>P1232</f>
        <v/>
      </c>
      <c r="AJ29" s="331" t="n"/>
    </row>
    <row r="30" ht="22.2" customHeight="1" s="330">
      <c r="A30" s="4" t="n"/>
      <c r="E30" s="4" t="n"/>
      <c r="G30" s="252" t="n"/>
      <c r="H30" s="252" t="n"/>
      <c r="I30" s="252" t="n"/>
      <c r="J30" s="252" t="n"/>
      <c r="K30" s="331" t="n"/>
      <c r="L30" s="252" t="n"/>
      <c r="M30" s="252" t="n"/>
      <c r="N30" s="252" t="n"/>
      <c r="O30" s="244">
        <f>M30*N30</f>
        <v/>
      </c>
      <c r="P30" s="252" t="n"/>
      <c r="Q30" s="252" t="n"/>
      <c r="R30" s="252" t="n"/>
      <c r="S30" s="244">
        <f>Q30*R30</f>
        <v/>
      </c>
      <c r="T30" s="22" t="inlineStr">
        <is>
          <t> </t>
        </is>
      </c>
      <c r="U30" s="23" t="inlineStr">
        <is>
          <t>16.10-19.10</t>
        </is>
      </c>
      <c r="V30" s="66" t="n"/>
      <c r="W30" s="22" t="n"/>
      <c r="X30" s="22" t="n"/>
      <c r="AA30" s="334" t="n"/>
      <c r="AB30" s="334" t="n"/>
      <c r="AC30" s="334" t="n"/>
      <c r="AD30" s="334" t="n"/>
      <c r="AE30" s="334" t="n"/>
      <c r="AF30" s="206" t="n"/>
      <c r="AG30" s="206" t="n"/>
      <c r="AH30" s="206" t="n"/>
      <c r="AI30" s="206" t="n"/>
      <c r="AJ30" s="206" t="n"/>
    </row>
    <row r="31" ht="22.2" customHeight="1" s="330">
      <c r="A31" s="4" t="n"/>
      <c r="E31" s="4" t="n"/>
      <c r="F31" s="4" t="n"/>
      <c r="G31" s="278" t="n"/>
      <c r="H31" s="252" t="n"/>
      <c r="I31" s="252" t="n"/>
      <c r="J31" s="276" t="n"/>
      <c r="K31" s="476" t="n"/>
      <c r="L31" s="276" t="n"/>
      <c r="M31" s="276" t="n"/>
      <c r="N31" s="276" t="n"/>
      <c r="O31" s="244">
        <f>M31*N31</f>
        <v/>
      </c>
      <c r="P31" s="276" t="n"/>
      <c r="Q31" s="276" t="n"/>
      <c r="R31" s="276" t="n"/>
      <c r="S31" s="244">
        <f>Q31*R31</f>
        <v/>
      </c>
    </row>
    <row r="32" ht="22.2" customHeight="1" s="330">
      <c r="A32" s="4" t="n"/>
      <c r="E32" s="4" t="n"/>
      <c r="F32" s="4" t="n"/>
      <c r="G32" s="17" t="inlineStr">
        <is>
          <t>รวมขั่วโมงที่สอนแยก ภาระงาน/ เกินภาระงาน</t>
        </is>
      </c>
      <c r="H32" s="467" t="n"/>
      <c r="I32" s="467" t="n"/>
      <c r="J32" s="467" t="n"/>
      <c r="K32" s="362" t="n"/>
      <c r="L32" s="17">
        <f>SUM(L7:L31)</f>
        <v/>
      </c>
      <c r="M32" s="17">
        <f>SUM(M7:M31)</f>
        <v/>
      </c>
      <c r="N32" s="17" t="n"/>
      <c r="O32" s="17" t="n"/>
      <c r="P32" s="17">
        <f>SUM(P7:P31)</f>
        <v/>
      </c>
      <c r="Q32" s="17">
        <f>SUM(Q7:Q31)</f>
        <v/>
      </c>
      <c r="R32" s="279" t="n"/>
      <c r="S32" s="17" t="n"/>
    </row>
    <row r="33" ht="22.2" customHeight="1" s="330">
      <c r="A33" s="4" t="n"/>
      <c r="E33" s="4" t="n"/>
      <c r="F33" s="4" t="n"/>
      <c r="G33" s="17" t="inlineStr">
        <is>
          <t>รวมจำนวนชั่วโมงสอนคาบต่อสับดาห์</t>
        </is>
      </c>
      <c r="H33" s="467" t="n"/>
      <c r="I33" s="467" t="n"/>
      <c r="J33" s="467" t="n"/>
      <c r="K33" s="362" t="n"/>
      <c r="L33" s="17">
        <f>L32+M32</f>
        <v/>
      </c>
      <c r="M33" s="362" t="n"/>
      <c r="N33" s="17" t="n"/>
      <c r="O33" s="298" t="n"/>
      <c r="P33" s="17">
        <f>P32+Q32</f>
        <v/>
      </c>
      <c r="Q33" s="362" t="n"/>
      <c r="R33" s="278" t="n"/>
      <c r="S33" s="276" t="n"/>
    </row>
    <row r="34" ht="22.2" customHeight="1" s="330">
      <c r="A34" s="4" t="n"/>
      <c r="E34" s="4" t="n"/>
      <c r="F34" s="4" t="n"/>
      <c r="G34" s="17" t="inlineStr">
        <is>
          <t>จำนวนชั่วโมงสอนตามภาระงานสอน</t>
        </is>
      </c>
      <c r="H34" s="467" t="n"/>
      <c r="I34" s="467" t="n"/>
      <c r="J34" s="467" t="n"/>
      <c r="K34" s="362" t="n"/>
      <c r="L34" s="153" t="inlineStr">
        <is>
          <t>0</t>
        </is>
      </c>
      <c r="M34" s="362" t="n"/>
      <c r="N34" s="153" t="n"/>
      <c r="O34" s="152" t="n"/>
      <c r="P34" s="153" t="inlineStr">
        <is>
          <t>10</t>
        </is>
      </c>
      <c r="Q34" s="362" t="n"/>
      <c r="R34" s="249" t="n"/>
      <c r="S34" s="252" t="n"/>
    </row>
    <row r="35" ht="22.2" customHeight="1" s="330" thickBot="1">
      <c r="A35" s="4" t="n"/>
      <c r="E35" s="4" t="n"/>
      <c r="F35" s="15" t="n"/>
      <c r="G35" s="17" t="inlineStr">
        <is>
          <t>จำนวนชั่วโมงบิกเกินภาระงานสอน/ค่าสอน</t>
        </is>
      </c>
      <c r="H35" s="467" t="n"/>
      <c r="I35" s="467" t="n"/>
      <c r="J35" s="467" t="n"/>
      <c r="K35" s="362" t="n"/>
      <c r="L35" s="18" t="n">
        <v>0</v>
      </c>
      <c r="M35" s="18">
        <f>SUM(M7:M31)</f>
        <v/>
      </c>
      <c r="N35" s="18" t="n"/>
      <c r="O35" s="18">
        <f>SUM(O7:O31)</f>
        <v/>
      </c>
      <c r="P35" s="18" t="n">
        <v>0</v>
      </c>
      <c r="Q35" s="18">
        <f>SUM(Q7:Q31)</f>
        <v/>
      </c>
      <c r="R35" s="19" t="n"/>
      <c r="S35" s="18">
        <f>SUM(S7:S31)</f>
        <v/>
      </c>
    </row>
    <row r="36" ht="22.2" customHeight="1" s="330" thickTop="1">
      <c r="A36" s="299" t="inlineStr">
        <is>
          <t>รวมจำนวนหน่วยชั่วโมงที่ขอเบิกค่าสอน ….</t>
        </is>
      </c>
      <c r="B36" s="467" t="n"/>
      <c r="C36" s="467" t="n"/>
      <c r="D36" s="467" t="n"/>
      <c r="E36" s="467" t="n"/>
      <c r="F36" s="467" t="n"/>
      <c r="G36" s="467" t="n"/>
      <c r="H36" s="298">
        <f>M35+Q35</f>
        <v/>
      </c>
      <c r="I36" s="298" t="inlineStr">
        <is>
          <t>….ชั่วโมง</t>
        </is>
      </c>
      <c r="J36" s="298" t="n"/>
      <c r="K36" s="301" t="inlineStr">
        <is>
          <t>ยอดเงินรวม</t>
        </is>
      </c>
      <c r="L36" s="471" t="n"/>
      <c r="M36" s="471" t="n"/>
      <c r="N36" s="301" t="n"/>
      <c r="O36" s="301" t="n"/>
      <c r="P36" s="302">
        <f>S35+O35</f>
        <v/>
      </c>
      <c r="Q36" s="482" t="n"/>
      <c r="R36" s="21" t="n"/>
      <c r="S36" s="20" t="inlineStr">
        <is>
          <t>..บาท</t>
        </is>
      </c>
    </row>
    <row r="37" ht="22.2" customHeight="1" s="330">
      <c r="A37" s="207" t="inlineStr">
        <is>
          <t>ผู้ขอเบิก</t>
        </is>
      </c>
      <c r="B37" s="334" t="n"/>
      <c r="C37" s="334" t="n"/>
      <c r="D37" s="334" t="n"/>
      <c r="E37" s="334" t="n"/>
      <c r="F37" s="334" t="n"/>
      <c r="G37" s="335" t="n"/>
      <c r="H37" s="207" t="inlineStr">
        <is>
          <t>ผู้รับรอง</t>
        </is>
      </c>
      <c r="I37" s="334" t="n"/>
      <c r="J37" s="334" t="n"/>
      <c r="K37" s="334" t="n"/>
      <c r="L37" s="335" t="n"/>
      <c r="M37" s="207" t="inlineStr">
        <is>
          <t>ผู้ตรวจ</t>
        </is>
      </c>
      <c r="N37" s="334" t="n"/>
      <c r="O37" s="334" t="n"/>
      <c r="P37" s="334" t="n"/>
      <c r="Q37" s="334" t="n"/>
      <c r="R37" s="334" t="n"/>
      <c r="S37" s="335" t="n"/>
    </row>
    <row r="38" ht="22.2" customHeight="1" s="330">
      <c r="A38" s="252" t="inlineStr">
        <is>
          <t>ลงชื่อ……………………………………………</t>
        </is>
      </c>
      <c r="G38" s="331" t="n"/>
      <c r="H38" s="252" t="inlineStr">
        <is>
          <t>ลงชื่อ……………………………………………</t>
        </is>
      </c>
      <c r="L38" s="331" t="n"/>
      <c r="M38" s="252" t="inlineStr">
        <is>
          <t>ลงชื่อ……………………………………………</t>
        </is>
      </c>
      <c r="S38" s="331" t="n"/>
    </row>
    <row r="39" ht="22.2" customHeight="1" s="330">
      <c r="A39" s="12" t="inlineStr">
        <is>
          <t>(</t>
        </is>
      </c>
      <c r="B39" s="309">
        <f>B7</f>
        <v/>
      </c>
      <c r="G39" s="310" t="inlineStr">
        <is>
          <t>)</t>
        </is>
      </c>
      <c r="H39" s="309" t="inlineStr">
        <is>
          <t>(</t>
        </is>
      </c>
      <c r="I39" s="314" t="inlineStr">
        <is>
          <t xml:space="preserve">       นายอาทิตย์  แก้วแดง</t>
        </is>
      </c>
      <c r="L39" s="13" t="inlineStr">
        <is>
          <t>)</t>
        </is>
      </c>
      <c r="M39" s="61" t="inlineStr">
        <is>
          <t>(</t>
        </is>
      </c>
      <c r="N39" s="61" t="n"/>
      <c r="O39" s="309" t="inlineStr">
        <is>
          <t>นายทศวรรษ  คำสม</t>
        </is>
      </c>
      <c r="R39" s="29" t="n"/>
      <c r="S39" s="310" t="inlineStr">
        <is>
          <t>)</t>
        </is>
      </c>
    </row>
    <row r="40" ht="22.2" customHeight="1" s="330">
      <c r="A40" s="62" t="inlineStr">
        <is>
          <t>ตำแหน่ง  ครู</t>
        </is>
      </c>
      <c r="G40" s="331" t="n"/>
      <c r="H40" s="62" t="inlineStr">
        <is>
          <t>ตำแหน่ง หัวหน้าแผนก</t>
        </is>
      </c>
      <c r="L40" s="331" t="n"/>
      <c r="M40" s="62" t="inlineStr">
        <is>
          <t>ตำแหน่ง   ผู้ตรวจสอบ</t>
        </is>
      </c>
      <c r="S40" s="331" t="n"/>
    </row>
    <row r="41" ht="22.2" customHeight="1" s="330">
      <c r="A41" s="63" t="inlineStr">
        <is>
          <t>วันที่ 4  เดือน ธันวาคม  พ.ศ.2566</t>
        </is>
      </c>
      <c r="B41" s="471" t="n"/>
      <c r="C41" s="471" t="n"/>
      <c r="D41" s="471" t="n"/>
      <c r="E41" s="471" t="n"/>
      <c r="F41" s="471" t="n"/>
      <c r="G41" s="476" t="n"/>
      <c r="H41" s="62">
        <f>A41</f>
        <v/>
      </c>
      <c r="L41" s="331" t="n"/>
      <c r="M41" s="63">
        <f>A41</f>
        <v/>
      </c>
      <c r="N41" s="471" t="n"/>
      <c r="O41" s="471" t="n"/>
      <c r="P41" s="471" t="n"/>
      <c r="Q41" s="471" t="n"/>
      <c r="R41" s="471" t="n"/>
      <c r="S41" s="476" t="n"/>
    </row>
    <row r="42" ht="22.2" customHeight="1" s="330">
      <c r="A42" s="207" t="inlineStr">
        <is>
          <t>ผู้ตรวจ</t>
        </is>
      </c>
      <c r="B42" s="334" t="n"/>
      <c r="C42" s="334" t="n"/>
      <c r="D42" s="334" t="n"/>
      <c r="E42" s="334" t="n"/>
      <c r="F42" s="334" t="n"/>
      <c r="G42" s="334" t="n"/>
      <c r="H42" s="334" t="n"/>
      <c r="I42" s="335" t="n"/>
      <c r="J42" s="207" t="inlineStr">
        <is>
          <t>ผู้เห็นชอบ</t>
        </is>
      </c>
      <c r="K42" s="334" t="n"/>
      <c r="L42" s="334" t="n"/>
      <c r="M42" s="334" t="n"/>
      <c r="N42" s="334" t="n"/>
      <c r="O42" s="334" t="n"/>
      <c r="P42" s="334" t="n"/>
      <c r="Q42" s="334" t="n"/>
      <c r="R42" s="334" t="n"/>
      <c r="S42" s="335" t="n"/>
    </row>
    <row r="43" ht="22.2" customHeight="1" s="330">
      <c r="A43" s="252" t="inlineStr">
        <is>
          <t>ลงชื่อ……………………………………………</t>
        </is>
      </c>
      <c r="I43" s="331" t="n"/>
      <c r="J43" s="252" t="inlineStr">
        <is>
          <t>ลงชื่อ……………………………………………</t>
        </is>
      </c>
      <c r="S43" s="331" t="n"/>
    </row>
    <row r="44" ht="22.2" customHeight="1" s="330">
      <c r="A44" s="12" t="n"/>
      <c r="B44" s="309" t="inlineStr">
        <is>
          <t xml:space="preserve">                     (นายชัยณรงค์  สุขอิ่ม)</t>
        </is>
      </c>
      <c r="I44" s="310" t="n"/>
      <c r="J44" s="29" t="n"/>
      <c r="K44" s="29" t="n"/>
      <c r="L44" s="309" t="inlineStr">
        <is>
          <t xml:space="preserve">            (นายปรีชา  โพธิ์เกิด)</t>
        </is>
      </c>
      <c r="R44" s="29" t="n"/>
      <c r="S44" s="13" t="n"/>
    </row>
    <row r="45" ht="22.2" customHeight="1" s="330">
      <c r="A45" s="62" t="inlineStr">
        <is>
          <t>ตำแหน่งครู  หัวหน้างานพัฒนาหลักสูตร ฯ</t>
        </is>
      </c>
      <c r="I45" s="331" t="n"/>
      <c r="J45" s="62" t="inlineStr">
        <is>
          <t>ตำแหน่ง  รองผู้อำนวยการฝ่ายวิชาการ</t>
        </is>
      </c>
      <c r="S45" s="331" t="n"/>
    </row>
    <row r="46" ht="22.2" customHeight="1" s="330">
      <c r="A46" s="276" t="inlineStr">
        <is>
          <t>วันที่.......เดือน..........................พ.ศ..............</t>
        </is>
      </c>
      <c r="B46" s="471" t="n"/>
      <c r="C46" s="471" t="n"/>
      <c r="D46" s="471" t="n"/>
      <c r="E46" s="471" t="n"/>
      <c r="F46" s="471" t="n"/>
      <c r="G46" s="471" t="n"/>
      <c r="H46" s="471" t="n"/>
      <c r="I46" s="476" t="n"/>
      <c r="J46" s="276" t="inlineStr">
        <is>
          <t>วันที่.......เดือน..........................พ.ศ..............</t>
        </is>
      </c>
      <c r="K46" s="471" t="n"/>
      <c r="L46" s="471" t="n"/>
      <c r="M46" s="471" t="n"/>
      <c r="N46" s="471" t="n"/>
      <c r="O46" s="471" t="n"/>
      <c r="P46" s="471" t="n"/>
      <c r="Q46" s="471" t="n"/>
      <c r="R46" s="471" t="n"/>
      <c r="S46" s="476" t="n"/>
    </row>
    <row r="47" ht="22.2" customHeight="1" s="330">
      <c r="A47" s="254" t="inlineStr">
        <is>
          <t>ใบเบิกจ่ายเงินค่าสอนพิเศษและค่าสอนเกินภาระงานสอนในสถานศึกษา</t>
        </is>
      </c>
      <c r="AB47" s="240" t="n"/>
      <c r="AC47" s="240" t="n"/>
      <c r="AD47" s="240" t="n"/>
    </row>
    <row r="48" ht="22.2" customHeight="1" s="330">
      <c r="A48" s="254">
        <f>A2</f>
        <v/>
      </c>
      <c r="AB48" s="296" t="n"/>
    </row>
    <row r="49" ht="22.2" customHeight="1" s="330">
      <c r="A49" s="253" t="inlineStr">
        <is>
          <t xml:space="preserve">    ระหว่างวันที่</t>
        </is>
      </c>
      <c r="D49" s="254">
        <f>D3</f>
        <v/>
      </c>
      <c r="E49" s="254" t="inlineStr">
        <is>
          <t xml:space="preserve">   เดือน  </t>
        </is>
      </c>
      <c r="F49" s="254">
        <f>F3</f>
        <v/>
      </c>
      <c r="H49" s="254">
        <f>H3</f>
        <v/>
      </c>
      <c r="I49" s="254" t="inlineStr">
        <is>
          <t xml:space="preserve">     ถึง วันที่</t>
        </is>
      </c>
      <c r="J49" s="254">
        <f>J3</f>
        <v/>
      </c>
      <c r="K49" s="254" t="inlineStr">
        <is>
          <t xml:space="preserve">   เดือน </t>
        </is>
      </c>
      <c r="L49" s="254">
        <f>L3</f>
        <v/>
      </c>
      <c r="N49" s="254">
        <f>N3</f>
        <v/>
      </c>
      <c r="P49" s="254" t="n"/>
      <c r="R49" s="254" t="n"/>
      <c r="AB49" s="296" t="n"/>
    </row>
    <row r="50" ht="22.2" customHeight="1" s="330">
      <c r="G50" s="58" t="inlineStr">
        <is>
          <t>ü</t>
        </is>
      </c>
      <c r="H50" s="301" t="inlineStr">
        <is>
          <t>พนง.ราชการ</t>
        </is>
      </c>
      <c r="I50" s="249" t="inlineStr">
        <is>
          <t>หน้าที่พิเศษ</t>
        </is>
      </c>
      <c r="AB50" s="293" t="n"/>
    </row>
    <row r="51" ht="22.2" customHeight="1" s="330">
      <c r="A51" s="28" t="inlineStr">
        <is>
          <t>ที่</t>
        </is>
      </c>
      <c r="B51" s="28" t="inlineStr">
        <is>
          <t>ชื่อ-สกุล</t>
        </is>
      </c>
      <c r="C51" s="334" t="n"/>
      <c r="D51" s="335" t="n"/>
      <c r="E51" s="16" t="inlineStr">
        <is>
          <t>ตำแหน่ง</t>
        </is>
      </c>
      <c r="F51" s="17" t="inlineStr">
        <is>
          <t>ระยะเวลาที่สอน</t>
        </is>
      </c>
      <c r="G51" s="362" t="n"/>
      <c r="H51" s="17" t="inlineStr">
        <is>
          <t>รหัสวิชา</t>
        </is>
      </c>
      <c r="I51" s="275" t="inlineStr">
        <is>
          <t>ชั้น,แผนก,ห้อง</t>
        </is>
      </c>
      <c r="J51" s="17" t="inlineStr">
        <is>
          <t>เวลาสอน</t>
        </is>
      </c>
      <c r="K51" s="335" t="n"/>
      <c r="L51" s="17" t="inlineStr">
        <is>
          <t>ปวช.(คาบ)</t>
        </is>
      </c>
      <c r="M51" s="362" t="n"/>
      <c r="N51" s="275" t="inlineStr">
        <is>
          <t>เงิน</t>
        </is>
      </c>
      <c r="O51" s="275" t="inlineStr">
        <is>
          <t>ยอดเงิน</t>
        </is>
      </c>
      <c r="P51" s="473" t="inlineStr">
        <is>
          <t>ปวส.(คาบ)</t>
        </is>
      </c>
      <c r="Q51" s="362" t="n"/>
      <c r="R51" s="244" t="inlineStr">
        <is>
          <t>เงิน</t>
        </is>
      </c>
      <c r="S51" s="275" t="inlineStr">
        <is>
          <t>ยอดเงิน</t>
        </is>
      </c>
      <c r="AB51" s="296" t="n"/>
    </row>
    <row r="52" ht="22.2" customHeight="1" s="330">
      <c r="A52" s="60" t="n"/>
      <c r="B52" s="9" t="n"/>
      <c r="C52" s="10" t="n"/>
      <c r="D52" s="14" t="n"/>
      <c r="E52" s="11" t="n"/>
      <c r="F52" s="276" t="inlineStr">
        <is>
          <t>ส.</t>
        </is>
      </c>
      <c r="G52" s="276" t="inlineStr">
        <is>
          <t>วดป.</t>
        </is>
      </c>
      <c r="H52" s="474" t="n"/>
      <c r="I52" s="276" t="n"/>
      <c r="J52" s="475" t="n"/>
      <c r="K52" s="476" t="n"/>
      <c r="L52" s="276" t="inlineStr">
        <is>
          <t>ใน</t>
        </is>
      </c>
      <c r="M52" s="276" t="inlineStr">
        <is>
          <t>นอก</t>
        </is>
      </c>
      <c r="N52" s="276" t="inlineStr">
        <is>
          <t>ต่อ ชม.</t>
        </is>
      </c>
      <c r="O52" s="276" t="inlineStr">
        <is>
          <t>(บาท)</t>
        </is>
      </c>
      <c r="P52" s="60" t="inlineStr">
        <is>
          <t>ใน</t>
        </is>
      </c>
      <c r="Q52" s="60" t="inlineStr">
        <is>
          <t>นอก</t>
        </is>
      </c>
      <c r="R52" s="276" t="inlineStr">
        <is>
          <t>ต่อ ชม.</t>
        </is>
      </c>
      <c r="S52" s="276" t="inlineStr">
        <is>
          <t>(บาท)</t>
        </is>
      </c>
    </row>
    <row r="53" ht="22.2" customHeight="1" s="330">
      <c r="A53" s="275" t="n">
        <v>2</v>
      </c>
      <c r="B53" s="477" t="inlineStr">
        <is>
          <t>นางสาวปาจารีย์  กฐินทอง</t>
        </is>
      </c>
      <c r="C53" s="334" t="n"/>
      <c r="D53" s="335" t="n"/>
      <c r="E53" s="275" t="inlineStr">
        <is>
          <t>พนักงาน</t>
        </is>
      </c>
      <c r="F53" s="6" t="n">
        <v>5</v>
      </c>
      <c r="G53" s="303" t="inlineStr">
        <is>
          <t>จันทร์</t>
        </is>
      </c>
      <c r="H53" s="332" t="n"/>
      <c r="I53" s="325" t="n"/>
      <c r="J53" s="332" t="n"/>
      <c r="K53" s="335" t="n"/>
      <c r="L53" s="265" t="n"/>
      <c r="M53" s="332" t="n"/>
      <c r="N53" s="332" t="n"/>
      <c r="O53" s="244">
        <f>M53*N53</f>
        <v/>
      </c>
      <c r="P53" s="332" t="n"/>
      <c r="Q53" s="265" t="n"/>
      <c r="R53" s="332" t="n"/>
      <c r="S53" s="244">
        <f>Q53*R53</f>
        <v/>
      </c>
    </row>
    <row r="54" ht="22.2" customHeight="1" s="330">
      <c r="A54" s="4" t="n"/>
      <c r="B54" s="478" t="n"/>
      <c r="D54" s="331" t="n"/>
      <c r="E54" s="252" t="inlineStr">
        <is>
          <t>ราชการ</t>
        </is>
      </c>
      <c r="F54" s="249" t="n"/>
      <c r="G54" s="308">
        <f>G8</f>
        <v/>
      </c>
      <c r="H54" s="325" t="n"/>
      <c r="I54" s="325" t="n"/>
      <c r="J54" s="252" t="n"/>
      <c r="K54" s="331" t="n"/>
      <c r="L54" s="252" t="n"/>
      <c r="M54" s="252" t="n"/>
      <c r="N54" s="252" t="n"/>
      <c r="O54" s="244">
        <f>M54*N54</f>
        <v/>
      </c>
      <c r="P54" s="252" t="n"/>
      <c r="Q54" s="252" t="n"/>
      <c r="R54" s="325" t="n"/>
      <c r="S54" s="244">
        <f>Q54*R54</f>
        <v/>
      </c>
    </row>
    <row r="55" ht="22.2" customHeight="1" s="330">
      <c r="A55" s="4" t="n"/>
      <c r="B55" s="5" t="n"/>
      <c r="D55" s="3" t="n"/>
      <c r="E55" s="3" t="n"/>
      <c r="F55" s="249" t="n"/>
      <c r="G55" s="248" t="n"/>
      <c r="H55" s="252" t="n"/>
      <c r="I55" s="325" t="n"/>
      <c r="J55" s="325" t="n"/>
      <c r="K55" s="331" t="n"/>
      <c r="L55" s="252" t="n"/>
      <c r="M55" s="252" t="n"/>
      <c r="N55" s="252" t="n"/>
      <c r="O55" s="244">
        <f>M55*N55</f>
        <v/>
      </c>
      <c r="P55" s="252" t="n"/>
      <c r="Q55" s="252" t="n"/>
      <c r="R55" s="252" t="n"/>
      <c r="S55" s="244">
        <f>Q55*R55</f>
        <v/>
      </c>
    </row>
    <row r="56" ht="22.2" customHeight="1" s="330">
      <c r="A56" s="4" t="n"/>
      <c r="B56" s="5" t="n"/>
      <c r="E56" s="4" t="n"/>
      <c r="F56" s="249" t="n"/>
      <c r="G56" s="248" t="n"/>
      <c r="H56" s="1" t="n"/>
      <c r="I56" s="1" t="n"/>
      <c r="J56" s="252" t="n"/>
      <c r="K56" s="331" t="n"/>
      <c r="L56" s="252" t="n"/>
      <c r="M56" s="252" t="n"/>
      <c r="N56" s="252" t="n"/>
      <c r="O56" s="244">
        <f>M56*N56</f>
        <v/>
      </c>
      <c r="P56" s="252" t="n"/>
      <c r="Q56" s="252" t="n"/>
      <c r="R56" s="252" t="n"/>
      <c r="S56" s="244">
        <f>Q56*R56</f>
        <v/>
      </c>
      <c r="Y56" s="71" t="n"/>
      <c r="Z56" s="71" t="n"/>
      <c r="AA56" s="71" t="n"/>
      <c r="AB56" s="71" t="n"/>
    </row>
    <row r="57" ht="22.2" customHeight="1" s="330">
      <c r="A57" s="4" t="n"/>
      <c r="E57" s="4" t="n"/>
      <c r="G57" s="311" t="n"/>
      <c r="H57" s="276" t="n"/>
      <c r="I57" s="276" t="n"/>
      <c r="J57" s="276" t="n"/>
      <c r="K57" s="476" t="n"/>
      <c r="L57" s="252" t="n"/>
      <c r="M57" s="252" t="n"/>
      <c r="N57" s="252" t="n"/>
      <c r="O57" s="244">
        <f>M57*N57</f>
        <v/>
      </c>
      <c r="P57" s="252" t="n"/>
      <c r="Q57" s="252" t="n"/>
      <c r="R57" s="252" t="n"/>
      <c r="S57" s="244">
        <f>Q57*R57</f>
        <v/>
      </c>
      <c r="Y57" s="72" t="n"/>
      <c r="Z57" s="72" t="n"/>
      <c r="AA57" s="72" t="n"/>
      <c r="AB57" s="72" t="n"/>
    </row>
    <row r="58" ht="22.2" customHeight="1" s="330">
      <c r="A58" s="4" t="n"/>
      <c r="E58" s="4" t="n"/>
      <c r="G58" s="62" t="inlineStr">
        <is>
          <t>อังคาร</t>
        </is>
      </c>
      <c r="H58" s="332" t="n"/>
      <c r="I58" s="325" t="n"/>
      <c r="J58" s="332" t="n"/>
      <c r="K58" s="335" t="n"/>
      <c r="L58" s="265" t="n"/>
      <c r="M58" s="332" t="n"/>
      <c r="N58" s="332" t="n"/>
      <c r="O58" s="244">
        <f>M58*N58</f>
        <v/>
      </c>
      <c r="P58" s="332" t="n"/>
      <c r="Q58" s="265" t="n"/>
      <c r="R58" s="332" t="n"/>
      <c r="S58" s="244">
        <f>Q58*R58</f>
        <v/>
      </c>
      <c r="W58" s="72" t="n"/>
      <c r="X58" s="72" t="n"/>
      <c r="Y58" s="290" t="n"/>
      <c r="Z58" s="72" t="n"/>
      <c r="AA58" s="290" t="n"/>
      <c r="AB58" s="72" t="n"/>
    </row>
    <row r="59" ht="22.2" customHeight="1" s="330">
      <c r="A59" s="4" t="n"/>
      <c r="E59" s="4" t="n"/>
      <c r="G59" s="308">
        <f>G13</f>
        <v/>
      </c>
      <c r="H59" s="325" t="n"/>
      <c r="I59" s="325" t="n"/>
      <c r="J59" s="252" t="n"/>
      <c r="K59" s="331" t="n"/>
      <c r="L59" s="252" t="n"/>
      <c r="M59" s="252" t="n"/>
      <c r="N59" s="252" t="n"/>
      <c r="O59" s="244">
        <f>M59*N59</f>
        <v/>
      </c>
      <c r="P59" s="252" t="n"/>
      <c r="Q59" s="252" t="n"/>
      <c r="R59" s="325" t="n"/>
      <c r="S59" s="244">
        <f>Q59*R59</f>
        <v/>
      </c>
      <c r="W59" s="71" t="n"/>
      <c r="X59" s="71" t="n"/>
      <c r="Y59" s="71" t="n"/>
      <c r="Z59" s="72" t="n"/>
      <c r="AA59" s="73" t="n"/>
      <c r="AB59" s="72" t="n"/>
    </row>
    <row r="60" ht="22.2" customHeight="1" s="330">
      <c r="A60" s="4" t="n"/>
      <c r="B60" s="5" t="n"/>
      <c r="D60" s="3" t="n"/>
      <c r="E60" s="3" t="n"/>
      <c r="G60" s="252" t="n"/>
      <c r="H60" s="325" t="n"/>
      <c r="I60" s="325" t="n"/>
      <c r="J60" s="252" t="n"/>
      <c r="K60" s="331" t="n"/>
      <c r="L60" s="252" t="n"/>
      <c r="M60" s="252" t="n"/>
      <c r="N60" s="252" t="n"/>
      <c r="O60" s="244">
        <f>M60*N60</f>
        <v/>
      </c>
      <c r="P60" s="252" t="n"/>
      <c r="Q60" s="252" t="n"/>
      <c r="R60" s="252" t="n"/>
      <c r="S60" s="244">
        <f>Q60*R60</f>
        <v/>
      </c>
      <c r="W60" s="71" t="n"/>
      <c r="X60" s="71" t="n"/>
      <c r="Y60" s="71" t="n"/>
      <c r="Z60" s="72" t="n"/>
      <c r="AA60" s="73" t="n"/>
      <c r="AB60" s="72" t="n"/>
    </row>
    <row r="61" ht="22.2" customHeight="1" s="330">
      <c r="A61" s="4" t="n"/>
      <c r="E61" s="4" t="n"/>
      <c r="G61" s="62" t="n"/>
      <c r="H61" s="249" t="n"/>
      <c r="I61" s="252" t="n"/>
      <c r="J61" s="252" t="n"/>
      <c r="K61" s="331" t="n"/>
      <c r="L61" s="252" t="n"/>
      <c r="M61" s="252" t="n"/>
      <c r="N61" s="252" t="n"/>
      <c r="O61" s="244">
        <f>M61*N61</f>
        <v/>
      </c>
      <c r="P61" s="252" t="n"/>
      <c r="Q61" s="252" t="n"/>
      <c r="R61" s="252" t="n"/>
      <c r="S61" s="244">
        <f>Q61*R61</f>
        <v/>
      </c>
      <c r="T61" s="7" t="n"/>
      <c r="U61" s="23" t="inlineStr">
        <is>
          <t>เบิก ธุรการ</t>
        </is>
      </c>
      <c r="V61" s="66" t="n"/>
      <c r="W61" s="22" t="n"/>
      <c r="X61" s="22" t="n"/>
      <c r="Y61" s="71" t="n"/>
      <c r="Z61" s="72" t="n"/>
      <c r="AA61" s="73" t="n"/>
      <c r="AB61" s="72" t="n"/>
    </row>
    <row r="62" ht="22.2" customHeight="1" s="330">
      <c r="A62" s="4" t="n"/>
      <c r="D62" s="8" t="inlineStr">
        <is>
          <t> </t>
        </is>
      </c>
      <c r="E62" s="4" t="n"/>
      <c r="G62" s="63" t="n"/>
      <c r="H62" s="277" t="n"/>
      <c r="I62" s="276" t="n"/>
      <c r="J62" s="276" t="n"/>
      <c r="K62" s="476" t="n"/>
      <c r="L62" s="252" t="n"/>
      <c r="M62" s="252" t="n"/>
      <c r="N62" s="252" t="n"/>
      <c r="O62" s="244">
        <f>M62*N62</f>
        <v/>
      </c>
      <c r="P62" s="252" t="n"/>
      <c r="Q62" s="252" t="n"/>
      <c r="R62" s="252" t="n"/>
      <c r="S62" s="244">
        <f>Q62*R62</f>
        <v/>
      </c>
      <c r="T62" s="22" t="inlineStr">
        <is>
          <t> </t>
        </is>
      </c>
      <c r="U62" s="23" t="inlineStr">
        <is>
          <t>16.10-19.10</t>
        </is>
      </c>
      <c r="V62" s="66" t="n"/>
      <c r="W62" s="22" t="n"/>
      <c r="X62" s="22" t="n"/>
      <c r="Y62" s="71" t="n"/>
      <c r="Z62" s="71" t="n"/>
      <c r="AA62" s="71" t="n"/>
      <c r="AB62" s="71" t="n"/>
    </row>
    <row r="63" ht="22.2" customHeight="1" s="330">
      <c r="A63" s="4" t="n"/>
      <c r="D63" s="331" t="n"/>
      <c r="E63" s="56" t="n"/>
      <c r="G63" s="207" t="inlineStr">
        <is>
          <t>พุธ</t>
        </is>
      </c>
      <c r="H63" s="286" t="n"/>
      <c r="I63" s="325" t="n"/>
      <c r="J63" s="332" t="n"/>
      <c r="K63" s="335" t="n"/>
      <c r="L63" s="332" t="n"/>
      <c r="M63" s="332" t="n"/>
      <c r="N63" s="332" t="n"/>
      <c r="O63" s="244">
        <f>M63*N63</f>
        <v/>
      </c>
      <c r="P63" s="332" t="n"/>
      <c r="Q63" s="332" t="n"/>
      <c r="R63" s="332" t="n"/>
      <c r="S63" s="244">
        <f>Q63*R63</f>
        <v/>
      </c>
      <c r="Y63" s="71" t="n"/>
      <c r="Z63" s="71" t="n"/>
      <c r="AA63" s="71" t="n"/>
      <c r="AB63" s="71" t="n"/>
    </row>
    <row r="64" ht="22.2" customHeight="1" s="330">
      <c r="A64" s="4" t="n"/>
      <c r="B64" s="248" t="n"/>
      <c r="C64" s="249" t="n"/>
      <c r="D64" s="249" t="n"/>
      <c r="E64" s="252" t="n"/>
      <c r="G64" s="62">
        <f>G18</f>
        <v/>
      </c>
      <c r="H64" s="286" t="n"/>
      <c r="I64" s="325" t="n"/>
      <c r="J64" s="252" t="n"/>
      <c r="K64" s="331" t="n"/>
      <c r="L64" s="252" t="n"/>
      <c r="M64" s="252" t="n"/>
      <c r="N64" s="252" t="n"/>
      <c r="O64" s="244">
        <f>M64*N64</f>
        <v/>
      </c>
      <c r="P64" s="252" t="n"/>
      <c r="Q64" s="252" t="n"/>
      <c r="R64" s="252" t="n"/>
      <c r="S64" s="244">
        <f>Q64*R64</f>
        <v/>
      </c>
      <c r="Y64" s="71" t="n"/>
      <c r="Z64" s="71" t="n"/>
      <c r="AA64" s="71" t="n"/>
      <c r="AB64" s="71" t="n"/>
    </row>
    <row r="65" ht="22.2" customHeight="1" s="330">
      <c r="A65" s="4" t="n"/>
      <c r="B65" s="5" t="n"/>
      <c r="D65" s="3" t="n"/>
      <c r="E65" s="3" t="n"/>
      <c r="G65" s="252" t="n"/>
      <c r="H65" s="325" t="n"/>
      <c r="I65" s="325" t="n"/>
      <c r="J65" s="252" t="n"/>
      <c r="K65" s="331" t="n"/>
      <c r="L65" s="252" t="n"/>
      <c r="M65" s="252" t="n"/>
      <c r="N65" s="252" t="n"/>
      <c r="O65" s="244">
        <f>M65*N65</f>
        <v/>
      </c>
      <c r="P65" s="252" t="n"/>
      <c r="Q65" s="252" t="n"/>
      <c r="R65" s="252" t="n"/>
      <c r="S65" s="244">
        <f>Q65*R65</f>
        <v/>
      </c>
      <c r="W65" s="71" t="n"/>
      <c r="X65" s="71" t="n"/>
    </row>
    <row r="66" ht="22.2" customHeight="1" s="330">
      <c r="A66" s="4" t="n"/>
      <c r="E66" s="4" t="n"/>
      <c r="G66" s="248" t="n"/>
      <c r="H66" s="252" t="n"/>
      <c r="I66" s="325" t="n"/>
      <c r="J66" s="252" t="n"/>
      <c r="K66" s="331" t="n"/>
      <c r="L66" s="252" t="n"/>
      <c r="M66" s="252" t="n"/>
      <c r="N66" s="252" t="n"/>
      <c r="O66" s="244">
        <f>M66*N66</f>
        <v/>
      </c>
      <c r="P66" s="252" t="n"/>
      <c r="Q66" s="252" t="n"/>
      <c r="R66" s="252" t="n"/>
      <c r="S66" s="244">
        <f>Q66*R66</f>
        <v/>
      </c>
      <c r="T66" s="25" t="n"/>
      <c r="U66" s="26" t="inlineStr">
        <is>
          <t xml:space="preserve">     PLC</t>
        </is>
      </c>
      <c r="V66" s="64" t="n"/>
      <c r="W66" s="27" t="n"/>
      <c r="X66" s="27" t="n"/>
      <c r="Z66" s="249" t="n"/>
      <c r="AA66" s="249" t="n"/>
      <c r="AB66" s="249" t="n"/>
    </row>
    <row r="67" ht="22.2" customHeight="1" s="330">
      <c r="A67" s="4" t="n"/>
      <c r="E67" s="4" t="n"/>
      <c r="G67" s="277" t="n"/>
      <c r="H67" s="276" t="n"/>
      <c r="I67" s="276" t="n"/>
      <c r="J67" s="276" t="n"/>
      <c r="K67" s="476" t="n"/>
      <c r="L67" s="276" t="n"/>
      <c r="M67" s="276" t="n"/>
      <c r="N67" s="276" t="n"/>
      <c r="O67" s="244">
        <f>M67*N67</f>
        <v/>
      </c>
      <c r="P67" s="276" t="n"/>
      <c r="Q67" s="276" t="n"/>
      <c r="R67" s="276" t="n"/>
      <c r="S67" s="244">
        <f>Q67*R67</f>
        <v/>
      </c>
      <c r="T67" s="27" t="inlineStr">
        <is>
          <t> </t>
        </is>
      </c>
      <c r="U67" s="26" t="inlineStr">
        <is>
          <t>17.10-19.10</t>
        </is>
      </c>
      <c r="V67" s="64" t="n"/>
      <c r="W67" s="27" t="n"/>
      <c r="X67" s="27" t="n"/>
      <c r="Y67" s="249" t="n"/>
      <c r="Z67" s="249" t="n"/>
      <c r="AA67" s="249" t="n"/>
      <c r="AB67" s="249" t="n"/>
    </row>
    <row r="68" ht="22.2" customHeight="1" s="330">
      <c r="A68" s="4" t="n"/>
      <c r="E68" s="4" t="n"/>
      <c r="G68" s="62" t="inlineStr">
        <is>
          <t>พฤหัส</t>
        </is>
      </c>
      <c r="H68" s="325" t="n"/>
      <c r="I68" s="325" t="n"/>
      <c r="J68" s="332" t="n"/>
      <c r="K68" s="335" t="n"/>
      <c r="L68" s="252" t="n"/>
      <c r="M68" s="252" t="n"/>
      <c r="N68" s="252" t="n"/>
      <c r="O68" s="244">
        <f>M68*N68</f>
        <v/>
      </c>
      <c r="P68" s="252" t="n"/>
      <c r="Q68" s="275" t="n"/>
      <c r="R68" s="275" t="n"/>
      <c r="S68" s="244">
        <f>Q68*R68</f>
        <v/>
      </c>
      <c r="U68" s="249" t="n"/>
      <c r="V68" s="249" t="n"/>
      <c r="W68" s="249" t="n"/>
      <c r="X68" s="249" t="n"/>
      <c r="Y68" s="249" t="n"/>
      <c r="Z68" s="249" t="n"/>
      <c r="AA68" s="249" t="n"/>
      <c r="AB68" s="249" t="n"/>
    </row>
    <row r="69" ht="22.2" customHeight="1" s="330">
      <c r="A69" s="4" t="n"/>
      <c r="E69" s="4" t="n"/>
      <c r="G69" s="308">
        <f>G23</f>
        <v/>
      </c>
      <c r="H69" s="325" t="n"/>
      <c r="I69" s="325" t="n"/>
      <c r="J69" s="252" t="n"/>
      <c r="K69" s="331" t="n"/>
      <c r="L69" s="252" t="n"/>
      <c r="M69" s="252" t="n"/>
      <c r="N69" s="252" t="n"/>
      <c r="O69" s="244">
        <f>M69*N69</f>
        <v/>
      </c>
      <c r="P69" s="252" t="n"/>
      <c r="Q69" s="252" t="n"/>
      <c r="R69" s="252" t="n"/>
      <c r="S69" s="244">
        <f>Q69*R69</f>
        <v/>
      </c>
      <c r="U69" s="249" t="n"/>
      <c r="V69" s="249" t="n"/>
      <c r="X69" s="249" t="n"/>
      <c r="Y69" s="249" t="n"/>
      <c r="Z69" s="249" t="n"/>
    </row>
    <row r="70" ht="22.2" customHeight="1" s="330">
      <c r="A70" s="4" t="n"/>
      <c r="B70" s="5" t="n"/>
      <c r="E70" s="4" t="n"/>
      <c r="G70" s="252" t="n"/>
      <c r="H70" s="325" t="n"/>
      <c r="I70" s="325" t="n"/>
      <c r="J70" s="252" t="n"/>
      <c r="K70" s="331" t="n"/>
      <c r="L70" s="325" t="n"/>
      <c r="M70" s="325" t="n"/>
      <c r="N70" s="325" t="n"/>
      <c r="O70" s="244">
        <f>M70*N70</f>
        <v/>
      </c>
      <c r="P70" s="325" t="n"/>
      <c r="Q70" s="325" t="n"/>
      <c r="R70" s="325" t="n"/>
      <c r="S70" s="244">
        <f>Q70*R70</f>
        <v/>
      </c>
      <c r="U70" s="249" t="n"/>
      <c r="V70" s="249" t="n"/>
      <c r="W70" s="249" t="n"/>
      <c r="X70" s="249" t="n"/>
      <c r="Y70" s="249" t="n"/>
      <c r="Z70" s="249" t="n"/>
    </row>
    <row r="71" ht="22.2" customHeight="1" s="330">
      <c r="A71" s="4" t="n"/>
      <c r="E71" s="4" t="n"/>
      <c r="G71" s="252" t="n"/>
      <c r="H71" s="252" t="n"/>
      <c r="I71" s="325" t="n"/>
      <c r="J71" s="325" t="n"/>
      <c r="K71" s="331" t="n"/>
      <c r="L71" s="252" t="n"/>
      <c r="M71" s="252" t="n"/>
      <c r="N71" s="252" t="n"/>
      <c r="O71" s="244">
        <f>M71*N71</f>
        <v/>
      </c>
      <c r="P71" s="325" t="n"/>
      <c r="Q71" s="252" t="n"/>
      <c r="R71" s="252" t="n"/>
      <c r="S71" s="244">
        <f>Q71*R71</f>
        <v/>
      </c>
      <c r="U71" s="249" t="n"/>
      <c r="V71" s="249" t="n"/>
      <c r="W71" s="249" t="n"/>
      <c r="X71" s="249" t="n"/>
      <c r="Y71" s="249" t="n"/>
      <c r="Z71" s="249" t="n"/>
    </row>
    <row r="72" ht="22.2" customHeight="1" s="330">
      <c r="A72" s="4" t="n"/>
      <c r="E72" s="4" t="n"/>
      <c r="G72" s="276" t="n"/>
      <c r="H72" s="276" t="n"/>
      <c r="I72" s="158" t="n"/>
      <c r="J72" s="276" t="n"/>
      <c r="K72" s="476" t="n"/>
      <c r="L72" s="276" t="n"/>
      <c r="M72" s="276" t="n"/>
      <c r="N72" s="276" t="n"/>
      <c r="O72" s="244">
        <f>M72*N72</f>
        <v/>
      </c>
      <c r="P72" s="252" t="n"/>
      <c r="Q72" s="276" t="n"/>
      <c r="R72" s="276" t="n"/>
      <c r="S72" s="244">
        <f>Q72*R72</f>
        <v/>
      </c>
      <c r="T72" s="249" t="n"/>
      <c r="U72" s="249" t="n"/>
      <c r="V72" s="249" t="n"/>
      <c r="W72" s="249" t="n"/>
      <c r="X72" s="249" t="n"/>
      <c r="Y72" s="249" t="n"/>
    </row>
    <row r="73" ht="22.2" customHeight="1" s="330">
      <c r="A73" s="4" t="n"/>
      <c r="B73" s="170" t="n"/>
      <c r="C73" s="171" t="n"/>
      <c r="D73" s="172" t="n"/>
      <c r="E73" s="173" t="n"/>
      <c r="F73" s="172" t="n"/>
      <c r="G73" s="62" t="inlineStr">
        <is>
          <t>ศุกร์</t>
        </is>
      </c>
      <c r="H73" s="332" t="n"/>
      <c r="I73" s="325" t="n"/>
      <c r="J73" s="332" t="n"/>
      <c r="K73" s="335" t="n"/>
      <c r="L73" s="252" t="n"/>
      <c r="M73" s="252" t="n"/>
      <c r="N73" s="252" t="n"/>
      <c r="O73" s="244">
        <f>M73*N73</f>
        <v/>
      </c>
      <c r="P73" s="275" t="n"/>
      <c r="Q73" s="265" t="n"/>
      <c r="R73" s="332" t="n"/>
      <c r="S73" s="244">
        <f>Q73*R73</f>
        <v/>
      </c>
      <c r="T73" s="249" t="n"/>
      <c r="U73" s="249" t="n"/>
      <c r="V73" s="249" t="n"/>
      <c r="W73" s="249" t="n"/>
      <c r="X73" s="249" t="n"/>
      <c r="Y73" s="249" t="n"/>
    </row>
    <row r="74" ht="22.2" customHeight="1" s="330">
      <c r="A74" s="4" t="n"/>
      <c r="D74" s="3" t="n"/>
      <c r="E74" s="4" t="n"/>
      <c r="G74" s="308">
        <f>G28</f>
        <v/>
      </c>
      <c r="H74" s="325" t="n"/>
      <c r="I74" s="325" t="n"/>
      <c r="J74" s="252" t="n"/>
      <c r="K74" s="331" t="n"/>
      <c r="L74" s="252" t="n"/>
      <c r="M74" s="252" t="n"/>
      <c r="N74" s="252" t="n"/>
      <c r="O74" s="244">
        <f>M74*N74</f>
        <v/>
      </c>
      <c r="P74" s="252" t="n"/>
      <c r="Q74" s="252" t="n"/>
      <c r="R74" s="252" t="n"/>
      <c r="S74" s="244">
        <f>Q74*R74</f>
        <v/>
      </c>
      <c r="W74" s="249" t="n"/>
      <c r="X74" s="249" t="n"/>
      <c r="Y74" s="249" t="n"/>
    </row>
    <row r="75" ht="22.2" customHeight="1" s="330">
      <c r="A75" s="4" t="n"/>
      <c r="B75" s="170" t="n"/>
      <c r="C75" s="171" t="n"/>
      <c r="D75" s="172" t="n"/>
      <c r="E75" s="173" t="n"/>
      <c r="F75" s="172" t="n"/>
      <c r="G75" s="252" t="n"/>
      <c r="H75" s="325" t="n"/>
      <c r="I75" s="325" t="n"/>
      <c r="J75" s="252" t="n"/>
      <c r="K75" s="331" t="n"/>
      <c r="L75" s="252" t="n"/>
      <c r="M75" s="252" t="n"/>
      <c r="N75" s="252" t="n"/>
      <c r="O75" s="244">
        <f>M75*N75</f>
        <v/>
      </c>
      <c r="P75" s="252" t="n"/>
      <c r="Q75" s="252" t="n"/>
      <c r="R75" s="252" t="n"/>
      <c r="S75" s="244">
        <f>Q75*R75</f>
        <v/>
      </c>
      <c r="T75" s="249" t="n"/>
      <c r="U75" s="249" t="n"/>
      <c r="V75" s="249" t="n"/>
      <c r="W75" s="249" t="n"/>
      <c r="X75" s="249" t="n"/>
      <c r="Y75" s="249" t="n"/>
    </row>
    <row r="76" ht="22.2" customHeight="1" s="330">
      <c r="A76" s="4" t="n"/>
      <c r="E76" s="4" t="n"/>
      <c r="G76" s="252" t="n"/>
      <c r="H76" s="252" t="n"/>
      <c r="I76" s="325" t="n"/>
      <c r="J76" s="325" t="n"/>
      <c r="K76" s="331" t="n"/>
      <c r="L76" s="252" t="n"/>
      <c r="M76" s="252" t="n"/>
      <c r="N76" s="252" t="n"/>
      <c r="O76" s="244">
        <f>M76*N76</f>
        <v/>
      </c>
      <c r="P76" s="252" t="n"/>
      <c r="Q76" s="252" t="n"/>
      <c r="R76" s="252" t="n"/>
      <c r="S76" s="244">
        <f>Q76*R76</f>
        <v/>
      </c>
      <c r="T76" s="287" t="inlineStr">
        <is>
          <t>สอน ป.ตรี</t>
        </is>
      </c>
    </row>
    <row r="77" ht="22.2" customHeight="1" s="330">
      <c r="A77" s="4" t="n"/>
      <c r="E77" s="4" t="n"/>
      <c r="F77" s="4" t="n"/>
      <c r="G77" s="278" t="n"/>
      <c r="H77" s="252" t="n"/>
      <c r="I77" s="325" t="n"/>
      <c r="J77" s="252" t="n"/>
      <c r="K77" s="331" t="n"/>
      <c r="L77" s="276" t="n"/>
      <c r="M77" s="276" t="n"/>
      <c r="N77" s="276" t="n"/>
      <c r="O77" s="244">
        <f>M77*N77</f>
        <v/>
      </c>
      <c r="P77" s="252" t="n"/>
      <c r="Q77" s="276" t="n"/>
      <c r="R77" s="276" t="n"/>
      <c r="S77" s="244">
        <f>Q77*R77</f>
        <v/>
      </c>
      <c r="T77" s="24" t="n"/>
      <c r="U77" s="24" t="inlineStr">
        <is>
          <t>17.10-20.10</t>
        </is>
      </c>
      <c r="V77" s="65" t="n"/>
      <c r="W77" s="24" t="n"/>
      <c r="X77" s="24" t="n"/>
    </row>
    <row r="78" ht="22.2" customHeight="1" s="330">
      <c r="A78" s="4" t="n"/>
      <c r="E78" s="4" t="n"/>
      <c r="F78" s="4" t="n"/>
      <c r="G78" s="17" t="inlineStr">
        <is>
          <t>รวมขั่วโมงที่สอนแยก ภาระงาน/ เกินภาระงาน</t>
        </is>
      </c>
      <c r="H78" s="467" t="n"/>
      <c r="I78" s="467" t="n"/>
      <c r="J78" s="467" t="n"/>
      <c r="K78" s="362" t="n"/>
      <c r="L78" s="17">
        <f>SUM(L53:L77)</f>
        <v/>
      </c>
      <c r="M78" s="17">
        <f>SUM(M53:M77)</f>
        <v/>
      </c>
      <c r="N78" s="17" t="n"/>
      <c r="O78" s="17" t="n"/>
      <c r="P78" s="17">
        <f>SUM(P53:P77)</f>
        <v/>
      </c>
      <c r="Q78" s="17">
        <f>SUM(Q53:Q77)</f>
        <v/>
      </c>
      <c r="R78" s="279" t="n"/>
      <c r="S78" s="17" t="n"/>
    </row>
    <row r="79" ht="22.2" customHeight="1" s="330">
      <c r="A79" s="4" t="n"/>
      <c r="E79" s="4" t="n"/>
      <c r="F79" s="4" t="n"/>
      <c r="G79" s="17" t="inlineStr">
        <is>
          <t>รวมจำนวนชั่วโมงสอนคาบต่อสับดาห์</t>
        </is>
      </c>
      <c r="H79" s="467" t="n"/>
      <c r="I79" s="467" t="n"/>
      <c r="J79" s="467" t="n"/>
      <c r="K79" s="362" t="n"/>
      <c r="L79" s="17">
        <f>L78+M78</f>
        <v/>
      </c>
      <c r="M79" s="362" t="n"/>
      <c r="N79" s="17" t="n"/>
      <c r="O79" s="298" t="n"/>
      <c r="P79" s="17">
        <f>P78+Q78</f>
        <v/>
      </c>
      <c r="Q79" s="362" t="n"/>
      <c r="R79" s="278" t="n"/>
      <c r="S79" s="276" t="n"/>
    </row>
    <row r="80" ht="22.2" customHeight="1" s="330">
      <c r="A80" s="4" t="n"/>
      <c r="E80" s="4" t="n"/>
      <c r="F80" s="4" t="n"/>
      <c r="G80" s="17" t="inlineStr">
        <is>
          <t>จำนวนชั่วโมงสอนตามภาระงานสอน</t>
        </is>
      </c>
      <c r="H80" s="467" t="n"/>
      <c r="I80" s="467" t="n"/>
      <c r="J80" s="467" t="n"/>
      <c r="K80" s="362" t="n"/>
      <c r="L80" s="17" t="n">
        <v>0</v>
      </c>
      <c r="M80" s="362" t="n"/>
      <c r="N80" s="298" t="n"/>
      <c r="O80" s="17" t="n"/>
      <c r="P80" s="17" t="n">
        <v>0</v>
      </c>
      <c r="Q80" s="362" t="n"/>
      <c r="R80" s="249" t="n"/>
      <c r="S80" s="252" t="n"/>
    </row>
    <row r="81" ht="22.2" customHeight="1" s="330" thickBot="1">
      <c r="A81" s="4" t="n"/>
      <c r="E81" s="4" t="n"/>
      <c r="F81" s="15" t="n"/>
      <c r="G81" s="17" t="inlineStr">
        <is>
          <t>จำนวนชั่วโมงบิกเกินภาระงานสอน/ค่าสอน</t>
        </is>
      </c>
      <c r="H81" s="467" t="n"/>
      <c r="I81" s="467" t="n"/>
      <c r="J81" s="467" t="n"/>
      <c r="K81" s="362" t="n"/>
      <c r="L81" s="18" t="n">
        <v>0</v>
      </c>
      <c r="M81" s="18">
        <f>SUM(M53:M77)</f>
        <v/>
      </c>
      <c r="N81" s="18" t="n"/>
      <c r="O81" s="18">
        <f>SUM(O53:O77)</f>
        <v/>
      </c>
      <c r="P81" s="18" t="n">
        <v>0</v>
      </c>
      <c r="Q81" s="18">
        <f>SUM(Q53:Q77)</f>
        <v/>
      </c>
      <c r="R81" s="19" t="n"/>
      <c r="S81" s="18">
        <f>SUM(S53:S77)</f>
        <v/>
      </c>
    </row>
    <row r="82" ht="22.2" customHeight="1" s="330" thickTop="1">
      <c r="A82" s="299" t="inlineStr">
        <is>
          <t>รวมจำนวนหน่วยชั่วโมงที่ขอเบิกค่าสอน ….</t>
        </is>
      </c>
      <c r="B82" s="467" t="n"/>
      <c r="C82" s="467" t="n"/>
      <c r="D82" s="467" t="n"/>
      <c r="E82" s="467" t="n"/>
      <c r="F82" s="467" t="n"/>
      <c r="G82" s="467" t="n"/>
      <c r="H82" s="298">
        <f>M81+Q81</f>
        <v/>
      </c>
      <c r="I82" s="298" t="inlineStr">
        <is>
          <t>….ชั่วโมง</t>
        </is>
      </c>
      <c r="J82" s="298" t="n"/>
      <c r="K82" s="301" t="inlineStr">
        <is>
          <t>ยอดเงินรวม</t>
        </is>
      </c>
      <c r="L82" s="471" t="n"/>
      <c r="M82" s="471" t="n"/>
      <c r="N82" s="301" t="n"/>
      <c r="O82" s="301" t="n"/>
      <c r="P82" s="302">
        <f>S81+O81</f>
        <v/>
      </c>
      <c r="Q82" s="482" t="n"/>
      <c r="R82" s="21" t="n"/>
      <c r="S82" s="20" t="inlineStr">
        <is>
          <t>..บาท</t>
        </is>
      </c>
    </row>
    <row r="83" ht="22.2" customHeight="1" s="330">
      <c r="A83" s="207" t="inlineStr">
        <is>
          <t>ผู้ขอเบิก</t>
        </is>
      </c>
      <c r="B83" s="334" t="n"/>
      <c r="C83" s="334" t="n"/>
      <c r="D83" s="334" t="n"/>
      <c r="E83" s="334" t="n"/>
      <c r="F83" s="334" t="n"/>
      <c r="G83" s="335" t="n"/>
      <c r="H83" s="207" t="inlineStr">
        <is>
          <t>ผู้รับรอง</t>
        </is>
      </c>
      <c r="I83" s="334" t="n"/>
      <c r="J83" s="334" t="n"/>
      <c r="K83" s="334" t="n"/>
      <c r="L83" s="335" t="n"/>
      <c r="M83" s="207" t="inlineStr">
        <is>
          <t>ผู้ตรวจ</t>
        </is>
      </c>
      <c r="N83" s="334" t="n"/>
      <c r="O83" s="334" t="n"/>
      <c r="P83" s="334" t="n"/>
      <c r="Q83" s="334" t="n"/>
      <c r="R83" s="334" t="n"/>
      <c r="S83" s="335" t="n"/>
      <c r="T83" s="317" t="n"/>
    </row>
    <row r="84" ht="22.2" customHeight="1" s="330">
      <c r="A84" s="252" t="inlineStr">
        <is>
          <t>ลงชื่อ……………………………………………</t>
        </is>
      </c>
      <c r="G84" s="331" t="n"/>
      <c r="H84" s="252" t="inlineStr">
        <is>
          <t>ลงชื่อ……………………………………………</t>
        </is>
      </c>
      <c r="L84" s="331" t="n"/>
      <c r="M84" s="252" t="inlineStr">
        <is>
          <t>ลงชื่อ……………………………………………</t>
        </is>
      </c>
      <c r="S84" s="331" t="n"/>
    </row>
    <row r="85" ht="22.2" customHeight="1" s="330">
      <c r="A85" s="12" t="inlineStr">
        <is>
          <t>(</t>
        </is>
      </c>
      <c r="B85" s="309">
        <f>B53</f>
        <v/>
      </c>
      <c r="G85" s="310" t="inlineStr">
        <is>
          <t>)</t>
        </is>
      </c>
      <c r="H85" s="309" t="inlineStr">
        <is>
          <t>(</t>
        </is>
      </c>
      <c r="I85" s="314">
        <f>I39</f>
        <v/>
      </c>
      <c r="L85" s="13" t="inlineStr">
        <is>
          <t>)</t>
        </is>
      </c>
      <c r="M85" s="61" t="inlineStr">
        <is>
          <t>(</t>
        </is>
      </c>
      <c r="N85" s="61" t="n"/>
      <c r="O85" s="309" t="inlineStr">
        <is>
          <t>นายทศวรรษ  คำสม</t>
        </is>
      </c>
      <c r="R85" s="29" t="n"/>
      <c r="S85" s="310" t="inlineStr">
        <is>
          <t>)</t>
        </is>
      </c>
    </row>
    <row r="86" ht="22.2" customHeight="1" s="330">
      <c r="A86" s="483" t="inlineStr">
        <is>
          <t xml:space="preserve">                    ตำแหน่ง  พนักงานราชการ</t>
        </is>
      </c>
      <c r="G86" s="331" t="n"/>
      <c r="H86" s="62" t="inlineStr">
        <is>
          <t>ตำแหน่ง หัวหน้าแผนก</t>
        </is>
      </c>
      <c r="L86" s="331" t="n"/>
      <c r="M86" s="62" t="inlineStr">
        <is>
          <t>ตำแหน่ง   ผู้ตรวจสอบ</t>
        </is>
      </c>
      <c r="S86" s="331" t="n"/>
    </row>
    <row r="87" ht="22.2" customHeight="1" s="330">
      <c r="A87" s="63">
        <f>A41</f>
        <v/>
      </c>
      <c r="B87" s="471" t="n"/>
      <c r="C87" s="471" t="n"/>
      <c r="D87" s="471" t="n"/>
      <c r="E87" s="471" t="n"/>
      <c r="F87" s="471" t="n"/>
      <c r="G87" s="476" t="n"/>
      <c r="H87" s="62">
        <f>A41</f>
        <v/>
      </c>
      <c r="L87" s="331" t="n"/>
      <c r="M87" s="63">
        <f>A41</f>
        <v/>
      </c>
      <c r="N87" s="471" t="n"/>
      <c r="O87" s="471" t="n"/>
      <c r="P87" s="471" t="n"/>
      <c r="Q87" s="471" t="n"/>
      <c r="R87" s="471" t="n"/>
      <c r="S87" s="476" t="n"/>
    </row>
    <row r="88" ht="22.2" customHeight="1" s="330">
      <c r="A88" s="207" t="inlineStr">
        <is>
          <t>ผู้ตรวจ</t>
        </is>
      </c>
      <c r="B88" s="334" t="n"/>
      <c r="C88" s="334" t="n"/>
      <c r="D88" s="334" t="n"/>
      <c r="E88" s="334" t="n"/>
      <c r="F88" s="334" t="n"/>
      <c r="G88" s="334" t="n"/>
      <c r="H88" s="334" t="n"/>
      <c r="I88" s="335" t="n"/>
      <c r="J88" s="207" t="inlineStr">
        <is>
          <t>ผู้เห็นชอบ</t>
        </is>
      </c>
      <c r="K88" s="334" t="n"/>
      <c r="L88" s="334" t="n"/>
      <c r="M88" s="334" t="n"/>
      <c r="N88" s="334" t="n"/>
      <c r="O88" s="334" t="n"/>
      <c r="P88" s="334" t="n"/>
      <c r="Q88" s="334" t="n"/>
      <c r="R88" s="334" t="n"/>
      <c r="S88" s="335" t="n"/>
    </row>
    <row r="89" ht="22.2" customHeight="1" s="330">
      <c r="A89" s="252" t="inlineStr">
        <is>
          <t>ลงชื่อ……………………………………………</t>
        </is>
      </c>
      <c r="I89" s="331" t="n"/>
      <c r="J89" s="252" t="inlineStr">
        <is>
          <t>ลงชื่อ……………………………………………</t>
        </is>
      </c>
      <c r="S89" s="331" t="n"/>
    </row>
    <row r="90" ht="22.2" customHeight="1" s="330">
      <c r="A90" s="12" t="n"/>
      <c r="B90" s="309" t="inlineStr">
        <is>
          <t xml:space="preserve">                     (นายชัยณรงค์  สุขอิ่ม)</t>
        </is>
      </c>
      <c r="I90" s="310" t="n"/>
      <c r="J90" s="29" t="n"/>
      <c r="K90" s="29" t="n"/>
      <c r="L90" s="309" t="inlineStr">
        <is>
          <t xml:space="preserve">           (นายปรีชา  โพธิ์เกิด)</t>
        </is>
      </c>
      <c r="R90" s="29" t="n"/>
      <c r="S90" s="13" t="n"/>
    </row>
    <row r="91" ht="22.2" customHeight="1" s="330">
      <c r="A91" s="62" t="inlineStr">
        <is>
          <t>ตำแหน่งครู  หัวหน้างานพัฒนาหลักสูตร ฯ</t>
        </is>
      </c>
      <c r="I91" s="331" t="n"/>
      <c r="J91" s="62" t="inlineStr">
        <is>
          <t>ตำแหน่ง  รองผู้อำนวยการฝ่ายวิชาการ</t>
        </is>
      </c>
      <c r="S91" s="331" t="n"/>
    </row>
    <row r="92" ht="22.2" customHeight="1" s="330">
      <c r="A92" s="276" t="inlineStr">
        <is>
          <t>วันที่.......เดือน..........................พ.ศ..............</t>
        </is>
      </c>
      <c r="B92" s="471" t="n"/>
      <c r="C92" s="471" t="n"/>
      <c r="D92" s="471" t="n"/>
      <c r="E92" s="471" t="n"/>
      <c r="F92" s="471" t="n"/>
      <c r="G92" s="471" t="n"/>
      <c r="H92" s="471" t="n"/>
      <c r="I92" s="476" t="n"/>
      <c r="J92" s="276" t="inlineStr">
        <is>
          <t>วันที่.......เดือน..........................พ.ศ..............</t>
        </is>
      </c>
      <c r="K92" s="471" t="n"/>
      <c r="L92" s="471" t="n"/>
      <c r="M92" s="471" t="n"/>
      <c r="N92" s="471" t="n"/>
      <c r="O92" s="471" t="n"/>
      <c r="P92" s="471" t="n"/>
      <c r="Q92" s="471" t="n"/>
      <c r="R92" s="471" t="n"/>
      <c r="S92" s="476" t="n"/>
    </row>
    <row r="93" ht="22.2" customHeight="1" s="330">
      <c r="A9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4" ht="22.2" customHeight="1" s="330">
      <c r="A94" s="254">
        <f>A2</f>
        <v/>
      </c>
    </row>
    <row r="95" ht="22.2" customHeight="1" s="330">
      <c r="A95" s="253" t="inlineStr">
        <is>
          <t xml:space="preserve">    ระหว่างวันที่</t>
        </is>
      </c>
      <c r="D95" s="254">
        <f>D3</f>
        <v/>
      </c>
      <c r="E95" s="254" t="inlineStr">
        <is>
          <t xml:space="preserve">   เดือน  </t>
        </is>
      </c>
      <c r="F95" s="254">
        <f>F3</f>
        <v/>
      </c>
      <c r="H95" s="254">
        <f>H3</f>
        <v/>
      </c>
      <c r="I95" s="254" t="inlineStr">
        <is>
          <t xml:space="preserve">     ถึง วันที่</t>
        </is>
      </c>
      <c r="J95" s="254">
        <f>J3</f>
        <v/>
      </c>
      <c r="K95" s="254" t="inlineStr">
        <is>
          <t xml:space="preserve">   เดือน </t>
        </is>
      </c>
      <c r="L95" s="254">
        <f>L3</f>
        <v/>
      </c>
      <c r="N95" s="254">
        <f>N3</f>
        <v/>
      </c>
      <c r="P95" s="254" t="n"/>
      <c r="R95" s="254" t="n"/>
    </row>
    <row r="96" ht="22.2" customHeight="1" s="330">
      <c r="G96" s="58" t="inlineStr">
        <is>
          <t>ü</t>
        </is>
      </c>
      <c r="H96" s="290" t="inlineStr">
        <is>
          <t>ครู</t>
        </is>
      </c>
      <c r="I96" s="249" t="inlineStr">
        <is>
          <t>หน้าที่พิเศษ</t>
        </is>
      </c>
      <c r="J96" s="8" t="inlineStr">
        <is>
          <t>หัวหน้างานบุคลากร</t>
        </is>
      </c>
    </row>
    <row r="97" ht="22.2" customHeight="1" s="330">
      <c r="A97" s="28" t="inlineStr">
        <is>
          <t>ที่</t>
        </is>
      </c>
      <c r="B97" s="28" t="inlineStr">
        <is>
          <t>ชื่อ-สกุล</t>
        </is>
      </c>
      <c r="C97" s="334" t="n"/>
      <c r="D97" s="335" t="n"/>
      <c r="E97" s="16" t="inlineStr">
        <is>
          <t>ตำแหน่ง</t>
        </is>
      </c>
      <c r="F97" s="17" t="inlineStr">
        <is>
          <t>ระยะเวลาที่สอน</t>
        </is>
      </c>
      <c r="G97" s="362" t="n"/>
      <c r="H97" s="17" t="inlineStr">
        <is>
          <t>รหัสวิชา</t>
        </is>
      </c>
      <c r="I97" s="275" t="inlineStr">
        <is>
          <t>ชั้น,แผนก,ห้อง</t>
        </is>
      </c>
      <c r="J97" s="17" t="inlineStr">
        <is>
          <t>เวลาสอน</t>
        </is>
      </c>
      <c r="K97" s="335" t="n"/>
      <c r="L97" s="17" t="inlineStr">
        <is>
          <t>ปวช.(คาบ)</t>
        </is>
      </c>
      <c r="M97" s="362" t="n"/>
      <c r="N97" s="244" t="inlineStr">
        <is>
          <t>เงิน</t>
        </is>
      </c>
      <c r="O97" s="275" t="inlineStr">
        <is>
          <t>ยอดเงิน</t>
        </is>
      </c>
      <c r="P97" s="473" t="inlineStr">
        <is>
          <t>ปวส.(คาบ)</t>
        </is>
      </c>
      <c r="Q97" s="362" t="n"/>
      <c r="R97" s="244" t="inlineStr">
        <is>
          <t>เงิน</t>
        </is>
      </c>
      <c r="S97" s="275" t="inlineStr">
        <is>
          <t>ยอดเงิน</t>
        </is>
      </c>
    </row>
    <row r="98" ht="22.2" customHeight="1" s="330">
      <c r="A98" s="60" t="n"/>
      <c r="B98" s="9" t="n"/>
      <c r="C98" s="10" t="n"/>
      <c r="D98" s="14" t="n"/>
      <c r="E98" s="11" t="n"/>
      <c r="F98" s="276" t="inlineStr">
        <is>
          <t>ส.</t>
        </is>
      </c>
      <c r="G98" s="276" t="inlineStr">
        <is>
          <t>วดป.</t>
        </is>
      </c>
      <c r="H98" s="474" t="n"/>
      <c r="I98" s="276" t="n"/>
      <c r="J98" s="475" t="n"/>
      <c r="K98" s="476" t="n"/>
      <c r="L98" s="276" t="inlineStr">
        <is>
          <t>ใน</t>
        </is>
      </c>
      <c r="M98" s="276" t="inlineStr">
        <is>
          <t>นอก</t>
        </is>
      </c>
      <c r="N98" s="276" t="inlineStr">
        <is>
          <t>ต่อ ชม.</t>
        </is>
      </c>
      <c r="O98" s="276" t="inlineStr">
        <is>
          <t>(บาท)</t>
        </is>
      </c>
      <c r="P98" s="60" t="inlineStr">
        <is>
          <t>ใน</t>
        </is>
      </c>
      <c r="Q98" s="60" t="inlineStr">
        <is>
          <t>นอก</t>
        </is>
      </c>
      <c r="R98" s="276" t="inlineStr">
        <is>
          <t>ต่อ ชม.</t>
        </is>
      </c>
      <c r="S98" s="276" t="inlineStr">
        <is>
          <t>(บาท)</t>
        </is>
      </c>
    </row>
    <row r="99" ht="22.2" customHeight="1" s="330">
      <c r="A99" s="275" t="n">
        <v>3</v>
      </c>
      <c r="B99" s="477">
        <f>AB5</f>
        <v/>
      </c>
      <c r="C99" s="334" t="n"/>
      <c r="D99" s="335" t="n"/>
      <c r="E99" s="275" t="inlineStr">
        <is>
          <t>ครู</t>
        </is>
      </c>
      <c r="F99" s="6" t="n">
        <v>5</v>
      </c>
      <c r="G99" s="303" t="inlineStr">
        <is>
          <t>จันทร์</t>
        </is>
      </c>
      <c r="H99" s="332" t="inlineStr">
        <is>
          <t>20101-2010</t>
        </is>
      </c>
      <c r="I99" s="325" t="inlineStr">
        <is>
          <t>ปวช.2/2 ชย. (ปกติ)</t>
        </is>
      </c>
      <c r="J99" s="252" t="inlineStr">
        <is>
          <t>13.10-17.10</t>
        </is>
      </c>
      <c r="K99" s="331" t="n"/>
      <c r="L99" s="265" t="n"/>
      <c r="M99" s="332" t="n"/>
      <c r="N99" s="332" t="n"/>
      <c r="O99" s="244">
        <f>M99*N99</f>
        <v/>
      </c>
      <c r="P99" s="332" t="n"/>
      <c r="Q99" s="265" t="n"/>
      <c r="R99" s="332" t="n"/>
      <c r="S99" s="244">
        <f>Q99*R99</f>
        <v/>
      </c>
    </row>
    <row r="100" ht="22.2" customHeight="1" s="330">
      <c r="A100" s="4" t="n"/>
      <c r="B100" s="478" t="n"/>
      <c r="D100" s="331" t="n"/>
      <c r="E100" s="252" t="n"/>
      <c r="F100" s="249" t="n"/>
      <c r="G100" s="308">
        <f>G54</f>
        <v/>
      </c>
      <c r="H100" s="210" t="n"/>
      <c r="I100" s="210" t="n"/>
      <c r="J100" s="210" t="n"/>
      <c r="K100" s="331" t="n"/>
      <c r="L100" s="252" t="n"/>
      <c r="M100" s="252" t="n"/>
      <c r="N100" s="252" t="n"/>
      <c r="O100" s="244">
        <f>M100*N100</f>
        <v/>
      </c>
      <c r="P100" s="252" t="n"/>
      <c r="Q100" s="252" t="n"/>
      <c r="R100" s="252" t="n"/>
      <c r="S100" s="244">
        <f>Q100*R100</f>
        <v/>
      </c>
    </row>
    <row r="101" ht="22.2" customHeight="1" s="330">
      <c r="A101" s="4" t="n"/>
      <c r="B101" s="5" t="n"/>
      <c r="D101" s="52" t="n"/>
      <c r="E101" s="3" t="n"/>
      <c r="F101" s="249" t="n"/>
      <c r="G101" s="308" t="n"/>
      <c r="H101" s="1" t="n"/>
      <c r="I101" s="1" t="n"/>
      <c r="J101" s="1" t="n"/>
      <c r="K101" s="331" t="n"/>
      <c r="L101" s="252" t="n"/>
      <c r="M101" s="252" t="n"/>
      <c r="N101" s="252" t="n"/>
      <c r="O101" s="244">
        <f>M101*N101</f>
        <v/>
      </c>
      <c r="P101" s="252" t="n"/>
      <c r="Q101" s="252" t="n"/>
      <c r="R101" s="252" t="n"/>
      <c r="S101" s="244">
        <f>Q101*R101</f>
        <v/>
      </c>
    </row>
    <row r="102" ht="22.2" customHeight="1" s="330">
      <c r="A102" s="4" t="n"/>
      <c r="B102" s="5" t="n"/>
      <c r="D102" s="70" t="n"/>
      <c r="E102" s="4" t="n"/>
      <c r="F102" s="249" t="n"/>
      <c r="G102" s="308" t="n"/>
      <c r="H102" s="252" t="n"/>
      <c r="I102" s="1" t="n"/>
      <c r="J102" s="1" t="n"/>
      <c r="K102" s="331" t="n"/>
      <c r="L102" s="252" t="n"/>
      <c r="M102" s="252" t="n"/>
      <c r="N102" s="252" t="n"/>
      <c r="O102" s="244">
        <f>M102*N102</f>
        <v/>
      </c>
      <c r="P102" s="252" t="n"/>
      <c r="Q102" s="252" t="n"/>
      <c r="R102" s="252" t="n"/>
      <c r="S102" s="244">
        <f>Q102*R102</f>
        <v/>
      </c>
    </row>
    <row r="103" ht="22.2" customHeight="1" s="330">
      <c r="A103" s="4" t="n"/>
      <c r="E103" s="4" t="n"/>
      <c r="G103" s="63" t="n"/>
      <c r="H103" s="276" t="n"/>
      <c r="I103" s="276" t="n"/>
      <c r="J103" s="276" t="n"/>
      <c r="K103" s="476" t="n"/>
      <c r="L103" s="252" t="n"/>
      <c r="M103" s="252" t="n"/>
      <c r="N103" s="252" t="n"/>
      <c r="O103" s="244">
        <f>M103*N103</f>
        <v/>
      </c>
      <c r="P103" s="252" t="n"/>
      <c r="Q103" s="252" t="n"/>
      <c r="R103" s="252" t="n"/>
      <c r="S103" s="244">
        <f>Q103*R103</f>
        <v/>
      </c>
    </row>
    <row r="104" ht="22.2" customHeight="1" s="330">
      <c r="A104" s="4" t="n"/>
      <c r="E104" s="4" t="n"/>
      <c r="G104" s="62" t="inlineStr">
        <is>
          <t>อังคาร</t>
        </is>
      </c>
      <c r="H104" s="332" t="inlineStr">
        <is>
          <t>20101-2010</t>
        </is>
      </c>
      <c r="I104" s="325" t="inlineStr">
        <is>
          <t>ปวช.2/3 ชย. (ปกติ)</t>
        </is>
      </c>
      <c r="J104" s="332" t="inlineStr">
        <is>
          <t>08.10-12.10</t>
        </is>
      </c>
      <c r="K104" s="335" t="n"/>
      <c r="L104" s="265" t="n"/>
      <c r="M104" s="332" t="n"/>
      <c r="N104" s="332" t="n"/>
      <c r="O104" s="244">
        <f>M104*N104</f>
        <v/>
      </c>
      <c r="P104" s="332" t="n"/>
      <c r="Q104" s="265" t="n"/>
      <c r="R104" s="332" t="n"/>
      <c r="S104" s="244">
        <f>Q104*R104</f>
        <v/>
      </c>
      <c r="T104" s="287" t="inlineStr">
        <is>
          <t>สอน ป.ตรี</t>
        </is>
      </c>
    </row>
    <row r="105" ht="22.2" customHeight="1" s="330">
      <c r="A105" s="4" t="n"/>
      <c r="E105" s="4" t="n"/>
      <c r="G105" s="308">
        <f>G59</f>
        <v/>
      </c>
      <c r="H105" s="325" t="n"/>
      <c r="I105" s="325" t="n"/>
      <c r="J105" s="252" t="n"/>
      <c r="K105" s="331" t="n"/>
      <c r="L105" s="252" t="n"/>
      <c r="M105" s="252" t="n"/>
      <c r="N105" s="252" t="n"/>
      <c r="O105" s="244">
        <f>M105*N105</f>
        <v/>
      </c>
      <c r="P105" s="252" t="n"/>
      <c r="Q105" s="252" t="n"/>
      <c r="R105" s="252" t="n"/>
      <c r="S105" s="244">
        <f>Q105*R105</f>
        <v/>
      </c>
      <c r="T105" s="24" t="n"/>
      <c r="U105" s="24" t="inlineStr">
        <is>
          <t>17.10-20.10</t>
        </is>
      </c>
      <c r="V105" s="65" t="n"/>
      <c r="W105" s="24" t="n"/>
      <c r="X105" s="24" t="n"/>
    </row>
    <row r="106" ht="22.2" customHeight="1" s="330">
      <c r="A106" s="4" t="n"/>
      <c r="B106" s="5" t="n"/>
      <c r="D106" s="3" t="n"/>
      <c r="E106" s="3" t="n"/>
      <c r="G106" s="252" t="n"/>
      <c r="H106" s="325" t="n"/>
      <c r="I106" s="325" t="n"/>
      <c r="J106" s="252" t="n"/>
      <c r="K106" s="331" t="n"/>
      <c r="L106" s="252" t="n"/>
      <c r="M106" s="252" t="n"/>
      <c r="N106" s="252" t="n"/>
      <c r="O106" s="244">
        <f>M106*N106</f>
        <v/>
      </c>
      <c r="P106" s="252" t="n"/>
      <c r="Q106" s="252" t="n"/>
      <c r="R106" s="252" t="n"/>
      <c r="S106" s="244">
        <f>Q106*R106</f>
        <v/>
      </c>
    </row>
    <row r="107" ht="22.2" customHeight="1" s="330">
      <c r="A107" s="4" t="n"/>
      <c r="B107" s="5" t="n"/>
      <c r="D107" s="3" t="n"/>
      <c r="E107" s="3" t="n"/>
      <c r="G107" s="62" t="n"/>
      <c r="H107" s="252" t="n"/>
      <c r="I107" s="252" t="n"/>
      <c r="J107" s="252" t="n"/>
      <c r="K107" s="331" t="n"/>
      <c r="L107" s="252" t="n"/>
      <c r="M107" s="252" t="n"/>
      <c r="N107" s="252" t="n"/>
      <c r="O107" s="244">
        <f>M107*N107</f>
        <v/>
      </c>
      <c r="P107" s="252" t="n"/>
      <c r="Q107" s="252" t="n"/>
      <c r="R107" s="252" t="n"/>
      <c r="S107" s="244">
        <f>Q107*R107</f>
        <v/>
      </c>
    </row>
    <row r="108" ht="22.2" customHeight="1" s="330">
      <c r="A108" s="4" t="n"/>
      <c r="B108" s="5" t="n"/>
      <c r="E108" s="4" t="n"/>
      <c r="G108" s="63" t="n"/>
      <c r="H108" s="276" t="n"/>
      <c r="I108" s="276" t="n"/>
      <c r="J108" s="276" t="n"/>
      <c r="K108" s="476" t="n"/>
      <c r="L108" s="252" t="n"/>
      <c r="M108" s="252" t="n"/>
      <c r="N108" s="252" t="n"/>
      <c r="O108" s="244">
        <f>M108*N108</f>
        <v/>
      </c>
      <c r="P108" s="252" t="n"/>
      <c r="Q108" s="252" t="n"/>
      <c r="R108" s="252" t="n"/>
      <c r="S108" s="244">
        <f>Q108*R108</f>
        <v/>
      </c>
    </row>
    <row r="109" ht="22.2" customHeight="1" s="330">
      <c r="A109" s="4" t="n"/>
      <c r="E109" s="4" t="n"/>
      <c r="G109" s="308" t="inlineStr">
        <is>
          <t>พุธ</t>
        </is>
      </c>
      <c r="H109" s="332" t="inlineStr">
        <is>
          <t>20101-2010</t>
        </is>
      </c>
      <c r="I109" s="325" t="inlineStr">
        <is>
          <t>ปวช.3/9 ชย. (ทวิ)</t>
        </is>
      </c>
      <c r="J109" s="332" t="inlineStr">
        <is>
          <t>08.10-12.10</t>
        </is>
      </c>
      <c r="K109" s="335" t="n"/>
      <c r="L109" s="265" t="n"/>
      <c r="M109" s="332" t="n"/>
      <c r="N109" s="332" t="n"/>
      <c r="O109" s="244">
        <f>M109*N109</f>
        <v/>
      </c>
      <c r="P109" s="332" t="n"/>
      <c r="Q109" s="265" t="n"/>
      <c r="R109" s="332" t="n"/>
      <c r="S109" s="244">
        <f>Q109*R109</f>
        <v/>
      </c>
    </row>
    <row r="110" ht="22.2" customHeight="1" s="330">
      <c r="A110" s="4" t="n"/>
      <c r="E110" s="4" t="n"/>
      <c r="G110" s="308">
        <f>G64</f>
        <v/>
      </c>
      <c r="H110" s="325" t="inlineStr">
        <is>
          <t>20101-2010</t>
        </is>
      </c>
      <c r="I110" s="325" t="inlineStr">
        <is>
          <t>ปวช.3/10 ชย. (ทวิ)</t>
        </is>
      </c>
      <c r="J110" s="252" t="inlineStr">
        <is>
          <t>13.10-17.10</t>
        </is>
      </c>
      <c r="K110" s="331" t="n"/>
      <c r="L110" s="252" t="n"/>
      <c r="M110" s="252" t="n"/>
      <c r="N110" s="252" t="n"/>
      <c r="O110" s="244">
        <f>M110*N110</f>
        <v/>
      </c>
      <c r="P110" s="252" t="n"/>
      <c r="Q110" s="252" t="n"/>
      <c r="R110" s="252" t="n"/>
      <c r="S110" s="244">
        <f>Q110*R110</f>
        <v/>
      </c>
    </row>
    <row r="111" ht="22.2" customHeight="1" s="330">
      <c r="A111" s="4" t="n"/>
      <c r="E111" s="4" t="n"/>
      <c r="G111" s="252" t="n"/>
      <c r="H111" s="325" t="n"/>
      <c r="I111" s="325" t="n"/>
      <c r="J111" s="325" t="n"/>
      <c r="K111" s="331" t="n"/>
      <c r="L111" s="252" t="n"/>
      <c r="M111" s="252" t="n"/>
      <c r="N111" s="252" t="n"/>
      <c r="O111" s="244">
        <f>M111*N111</f>
        <v/>
      </c>
      <c r="P111" s="252" t="n"/>
      <c r="Q111" s="252" t="n"/>
      <c r="R111" s="252" t="n"/>
      <c r="S111" s="244">
        <f>Q111*R111</f>
        <v/>
      </c>
    </row>
    <row r="112" ht="22.2" customHeight="1" s="330">
      <c r="A112" s="4" t="n"/>
      <c r="B112" s="5" t="n"/>
      <c r="D112" s="3" t="n"/>
      <c r="E112" s="3" t="n"/>
      <c r="G112" s="248" t="n"/>
      <c r="H112" s="252" t="n"/>
      <c r="I112" s="325" t="n"/>
      <c r="J112" s="252" t="n"/>
      <c r="K112" s="331" t="n"/>
      <c r="L112" s="252" t="n"/>
      <c r="M112" s="252" t="n"/>
      <c r="N112" s="252" t="n"/>
      <c r="O112" s="244">
        <f>M112*N112</f>
        <v/>
      </c>
      <c r="P112" s="252" t="n"/>
      <c r="Q112" s="252" t="n"/>
      <c r="R112" s="252" t="n"/>
      <c r="S112" s="244">
        <f>Q112*R112</f>
        <v/>
      </c>
    </row>
    <row r="113" ht="22.2" customHeight="1" s="330">
      <c r="A113" s="4" t="n"/>
      <c r="E113" s="4" t="n"/>
      <c r="G113" s="277" t="n"/>
      <c r="H113" s="277" t="n"/>
      <c r="I113" s="276" t="n"/>
      <c r="J113" s="276" t="n"/>
      <c r="K113" s="476" t="n"/>
      <c r="L113" s="276" t="n"/>
      <c r="M113" s="276" t="n"/>
      <c r="N113" s="276" t="n"/>
      <c r="O113" s="244">
        <f>M113*N113</f>
        <v/>
      </c>
      <c r="P113" s="276" t="n"/>
      <c r="Q113" s="276" t="n"/>
      <c r="R113" s="276" t="n"/>
      <c r="S113" s="244">
        <f>Q113*R113</f>
        <v/>
      </c>
    </row>
    <row r="114" ht="22.2" customHeight="1" s="330">
      <c r="A114" s="4" t="n"/>
      <c r="D114" s="8" t="inlineStr">
        <is>
          <t> </t>
        </is>
      </c>
      <c r="E114" s="4" t="n"/>
      <c r="G114" s="62" t="inlineStr">
        <is>
          <t>พฤหัส</t>
        </is>
      </c>
      <c r="H114" s="325" t="inlineStr">
        <is>
          <t>20101-5102</t>
        </is>
      </c>
      <c r="I114" s="325" t="inlineStr">
        <is>
          <t>ปวช.2/10 ชย. (ทวิ)</t>
        </is>
      </c>
      <c r="J114" s="275" t="inlineStr">
        <is>
          <t>08.10-12.10</t>
        </is>
      </c>
      <c r="K114" s="335" t="n"/>
      <c r="L114" s="252" t="n"/>
      <c r="M114" s="252" t="n"/>
      <c r="N114" s="252" t="n"/>
      <c r="O114" s="244">
        <f>M114*N114</f>
        <v/>
      </c>
      <c r="P114" s="252" t="n"/>
      <c r="Q114" s="275" t="n"/>
      <c r="R114" s="275" t="n"/>
      <c r="S114" s="244">
        <f>Q114*R114</f>
        <v/>
      </c>
      <c r="T114" s="287" t="inlineStr">
        <is>
          <t>สอน ป.ตรี</t>
        </is>
      </c>
    </row>
    <row r="115" ht="22.2" customHeight="1" s="330">
      <c r="A115" s="4" t="n"/>
      <c r="E115" s="4" t="n"/>
      <c r="G115" s="308">
        <f>G69</f>
        <v/>
      </c>
      <c r="H115" s="325" t="inlineStr">
        <is>
          <t>20000*2005</t>
        </is>
      </c>
      <c r="I115" s="325" t="inlineStr">
        <is>
          <t>ปวช.3/1,2 ชย. (ปกติ)</t>
        </is>
      </c>
      <c r="J115" s="252" t="inlineStr">
        <is>
          <t>13.10-15.10</t>
        </is>
      </c>
      <c r="K115" s="331" t="n"/>
      <c r="L115" s="252" t="n"/>
      <c r="M115" s="252" t="n"/>
      <c r="N115" s="252" t="n"/>
      <c r="O115" s="244">
        <f>M115*N115</f>
        <v/>
      </c>
      <c r="P115" s="252" t="n"/>
      <c r="Q115" s="252" t="n"/>
      <c r="R115" s="252" t="n"/>
      <c r="S115" s="244">
        <f>Q115*R115</f>
        <v/>
      </c>
      <c r="T115" s="24" t="n"/>
      <c r="U115" s="24" t="inlineStr">
        <is>
          <t>17.10-20.10</t>
        </is>
      </c>
      <c r="V115" s="65" t="n"/>
      <c r="W115" s="24" t="n"/>
      <c r="X115" s="24" t="n"/>
    </row>
    <row r="116" ht="22.2" customHeight="1" s="330">
      <c r="A116" s="4" t="n"/>
      <c r="B116" s="5" t="n"/>
      <c r="E116" s="4" t="n"/>
      <c r="G116" s="252" t="n"/>
      <c r="H116" s="325" t="inlineStr">
        <is>
          <t>20101-5102</t>
        </is>
      </c>
      <c r="I116" s="325" t="inlineStr">
        <is>
          <t>ปวช.2/10 ชย. (ทวิ)</t>
        </is>
      </c>
      <c r="J116" s="252" t="inlineStr">
        <is>
          <t>15.10-18.10</t>
        </is>
      </c>
      <c r="K116" s="331" t="n"/>
      <c r="L116" s="325" t="n"/>
      <c r="M116" s="325" t="n"/>
      <c r="N116" s="325" t="n"/>
      <c r="O116" s="244">
        <f>M116*N116</f>
        <v/>
      </c>
      <c r="P116" s="325" t="n"/>
      <c r="Q116" s="325" t="n"/>
      <c r="R116" s="325" t="n"/>
      <c r="S116" s="244">
        <f>Q116*R116</f>
        <v/>
      </c>
    </row>
    <row r="117" ht="22.2" customHeight="1" s="330">
      <c r="A117" s="4" t="n"/>
      <c r="E117" s="4" t="n"/>
      <c r="G117" s="252" t="n"/>
      <c r="H117" s="252" t="n"/>
      <c r="I117" s="252" t="n"/>
      <c r="J117" s="252" t="n"/>
      <c r="K117" s="331" t="n"/>
      <c r="L117" s="252" t="n"/>
      <c r="M117" s="252" t="n"/>
      <c r="N117" s="252" t="n"/>
      <c r="O117" s="244">
        <f>M117*N117</f>
        <v/>
      </c>
      <c r="P117" s="252" t="n"/>
      <c r="Q117" s="252" t="n"/>
      <c r="R117" s="252" t="n"/>
      <c r="S117" s="244">
        <f>Q117*R117</f>
        <v/>
      </c>
    </row>
    <row r="118" ht="22.2" customHeight="1" s="330">
      <c r="A118" s="4" t="n"/>
      <c r="E118" s="4" t="n"/>
      <c r="G118" s="276" t="n"/>
      <c r="H118" s="301" t="n"/>
      <c r="I118" s="276" t="n"/>
      <c r="J118" s="276" t="n"/>
      <c r="K118" s="476" t="n"/>
      <c r="L118" s="276" t="n"/>
      <c r="M118" s="276" t="n"/>
      <c r="N118" s="276" t="n"/>
      <c r="O118" s="244">
        <f>M118*N118</f>
        <v/>
      </c>
      <c r="P118" s="276" t="n"/>
      <c r="Q118" s="276" t="n"/>
      <c r="R118" s="276" t="n"/>
      <c r="S118" s="244">
        <f>Q118*R118</f>
        <v/>
      </c>
    </row>
    <row r="119" ht="22.2" customHeight="1" s="330">
      <c r="A119" s="4" t="n"/>
      <c r="E119" s="4" t="n"/>
      <c r="G119" s="62" t="inlineStr">
        <is>
          <t>ศุกร์</t>
        </is>
      </c>
      <c r="H119" s="325" t="n"/>
      <c r="I119" s="325" t="n"/>
      <c r="J119" s="325" t="n"/>
      <c r="K119" s="331" t="n"/>
      <c r="L119" s="332" t="n"/>
      <c r="M119" s="275" t="n"/>
      <c r="N119" s="275" t="n"/>
      <c r="O119" s="244">
        <f>M119*N119</f>
        <v/>
      </c>
      <c r="P119" s="332" t="n"/>
      <c r="Q119" s="332" t="n"/>
      <c r="R119" s="332" t="n"/>
      <c r="S119" s="244">
        <f>Q119*R119</f>
        <v/>
      </c>
      <c r="T119" s="25" t="n"/>
      <c r="U119" s="26" t="inlineStr">
        <is>
          <t xml:space="preserve">     PLC</t>
        </is>
      </c>
      <c r="V119" s="64" t="n"/>
      <c r="W119" s="27" t="n"/>
      <c r="X119" s="27" t="n"/>
    </row>
    <row r="120" ht="22.2" customHeight="1" s="330">
      <c r="A120" s="4" t="n"/>
      <c r="E120" s="4" t="n"/>
      <c r="G120" s="308">
        <f>G74</f>
        <v/>
      </c>
      <c r="H120" s="325" t="n"/>
      <c r="I120" s="325" t="n"/>
      <c r="J120" s="325" t="n"/>
      <c r="K120" s="331" t="n"/>
      <c r="L120" s="252" t="n"/>
      <c r="M120" s="252" t="n"/>
      <c r="N120" s="252" t="n"/>
      <c r="O120" s="244">
        <f>M120*N120</f>
        <v/>
      </c>
      <c r="P120" s="252" t="n"/>
      <c r="Q120" s="252" t="n"/>
      <c r="R120" s="252" t="n"/>
      <c r="S120" s="244">
        <f>Q120*R120</f>
        <v/>
      </c>
      <c r="T120" s="27" t="inlineStr">
        <is>
          <t> </t>
        </is>
      </c>
      <c r="U120" s="26" t="inlineStr">
        <is>
          <t>17.10-19.10</t>
        </is>
      </c>
      <c r="V120" s="64" t="n"/>
      <c r="W120" s="27" t="n"/>
      <c r="X120" s="27" t="n"/>
    </row>
    <row r="121" ht="22.2" customHeight="1" s="330">
      <c r="A121" s="4" t="n"/>
      <c r="E121" s="4" t="n"/>
      <c r="G121" s="252" t="n"/>
      <c r="H121" s="56" t="n"/>
      <c r="I121" s="331" t="n"/>
      <c r="J121" s="484" t="n"/>
      <c r="K121" s="331" t="n"/>
      <c r="L121" s="252" t="n"/>
      <c r="M121" s="252" t="n"/>
      <c r="N121" s="252" t="n"/>
      <c r="O121" s="244">
        <f>M121*N121</f>
        <v/>
      </c>
      <c r="P121" s="252" t="n"/>
      <c r="Q121" s="252" t="n"/>
      <c r="R121" s="252" t="n"/>
      <c r="S121" s="244">
        <f>Q121*R121</f>
        <v/>
      </c>
    </row>
    <row r="122" ht="22.2" customHeight="1" s="330">
      <c r="A122" s="4" t="n"/>
      <c r="E122" s="4" t="n"/>
      <c r="G122" s="252" t="n"/>
      <c r="H122" s="252" t="inlineStr">
        <is>
          <t> </t>
        </is>
      </c>
      <c r="I122" s="252" t="n"/>
      <c r="J122" s="250" t="n"/>
      <c r="K122" s="331" t="n"/>
      <c r="L122" s="252" t="n"/>
      <c r="M122" s="252" t="n"/>
      <c r="N122" s="252" t="n"/>
      <c r="O122" s="244">
        <f>M122*N122</f>
        <v/>
      </c>
      <c r="P122" s="252" t="n"/>
      <c r="Q122" s="252" t="n"/>
      <c r="R122" s="252" t="n"/>
      <c r="S122" s="244">
        <f>Q122*R122</f>
        <v/>
      </c>
    </row>
    <row r="123" ht="22.2" customHeight="1" s="330">
      <c r="A123" s="4" t="n"/>
      <c r="E123" s="4" t="n"/>
      <c r="F123" s="4" t="n"/>
      <c r="G123" s="278" t="n"/>
      <c r="H123" s="276" t="n"/>
      <c r="I123" s="276" t="n"/>
      <c r="J123" s="276" t="n"/>
      <c r="K123" s="476" t="n"/>
      <c r="L123" s="276" t="n"/>
      <c r="M123" s="276" t="n"/>
      <c r="N123" s="276" t="n"/>
      <c r="O123" s="244">
        <f>M123*N123</f>
        <v/>
      </c>
      <c r="P123" s="276" t="n"/>
      <c r="Q123" s="276" t="n"/>
      <c r="R123" s="276" t="n"/>
      <c r="S123" s="244">
        <f>Q123*R123</f>
        <v/>
      </c>
    </row>
    <row r="124" ht="22.2" customHeight="1" s="330">
      <c r="A124" s="4" t="n"/>
      <c r="E124" s="4" t="n"/>
      <c r="F124" s="4" t="n"/>
      <c r="G124" s="17" t="inlineStr">
        <is>
          <t>รวมขั่วโมงที่สอนแยก ภาระงาน/ เกินภาระงาน</t>
        </is>
      </c>
      <c r="H124" s="467" t="n"/>
      <c r="I124" s="467" t="n"/>
      <c r="J124" s="467" t="n"/>
      <c r="K124" s="362" t="n"/>
      <c r="L124" s="17">
        <f>SUM(L99:L123)</f>
        <v/>
      </c>
      <c r="M124" s="17">
        <f>SUM(M99:M123)</f>
        <v/>
      </c>
      <c r="N124" s="17" t="n"/>
      <c r="O124" s="17" t="n"/>
      <c r="P124" s="17">
        <f>SUM(P99:P123)</f>
        <v/>
      </c>
      <c r="Q124" s="17">
        <f>SUM(Q99:Q123)</f>
        <v/>
      </c>
      <c r="R124" s="279" t="n"/>
      <c r="S124" s="17" t="n"/>
    </row>
    <row r="125" ht="22.2" customHeight="1" s="330">
      <c r="A125" s="4" t="n"/>
      <c r="E125" s="4" t="n"/>
      <c r="F125" s="4" t="n"/>
      <c r="G125" s="17" t="inlineStr">
        <is>
          <t>รวมจำนวนชั่วโมงสอนคาบต่อสับดาห์</t>
        </is>
      </c>
      <c r="H125" s="467" t="n"/>
      <c r="I125" s="467" t="n"/>
      <c r="J125" s="467" t="n"/>
      <c r="K125" s="362" t="n"/>
      <c r="L125" s="17">
        <f>L124+M124</f>
        <v/>
      </c>
      <c r="M125" s="362" t="n"/>
      <c r="N125" s="298" t="n"/>
      <c r="O125" s="17" t="n"/>
      <c r="P125" s="17">
        <f>P124+Q124</f>
        <v/>
      </c>
      <c r="Q125" s="362" t="n"/>
      <c r="R125" s="278" t="n"/>
      <c r="S125" s="276" t="n"/>
    </row>
    <row r="126" ht="22.2" customHeight="1" s="330">
      <c r="A126" s="4" t="n"/>
      <c r="E126" s="4" t="n"/>
      <c r="F126" s="4" t="n"/>
      <c r="G126" s="17" t="inlineStr">
        <is>
          <t>จำนวนชั่วโมงสอนตามภาระงานสอน</t>
        </is>
      </c>
      <c r="H126" s="467" t="n"/>
      <c r="I126" s="467" t="n"/>
      <c r="J126" s="467" t="n"/>
      <c r="K126" s="362" t="n"/>
      <c r="L126" s="17" t="n">
        <v>12</v>
      </c>
      <c r="M126" s="362" t="n"/>
      <c r="N126" s="17" t="n"/>
      <c r="O126" s="298" t="n"/>
      <c r="P126" s="153" t="inlineStr">
        <is>
          <t>0</t>
        </is>
      </c>
      <c r="Q126" s="362" t="n"/>
      <c r="R126" s="249" t="n"/>
      <c r="S126" s="252" t="n"/>
    </row>
    <row r="127" ht="22.2" customHeight="1" s="330" thickBot="1">
      <c r="A127" s="4" t="n"/>
      <c r="E127" s="4" t="n"/>
      <c r="F127" s="15" t="n"/>
      <c r="G127" s="17" t="inlineStr">
        <is>
          <t>จำนวนชั่วโมงบิกเกินภาระงานสอน/ค่าสอน</t>
        </is>
      </c>
      <c r="H127" s="467" t="n"/>
      <c r="I127" s="467" t="n"/>
      <c r="J127" s="467" t="n"/>
      <c r="K127" s="362" t="n"/>
      <c r="L127" s="18" t="n">
        <v>0</v>
      </c>
      <c r="M127" s="18">
        <f>SUM(M99:M123)</f>
        <v/>
      </c>
      <c r="N127" s="18" t="n"/>
      <c r="O127" s="18">
        <f>SUM(O99:O123)</f>
        <v/>
      </c>
      <c r="P127" s="18" t="n">
        <v>0</v>
      </c>
      <c r="Q127" s="18">
        <f>SUM(Q99:Q123)</f>
        <v/>
      </c>
      <c r="R127" s="19" t="n"/>
      <c r="S127" s="18">
        <f>SUM(S99:S123)</f>
        <v/>
      </c>
    </row>
    <row r="128" ht="22.2" customHeight="1" s="330" thickTop="1">
      <c r="A128" s="299" t="inlineStr">
        <is>
          <t>รวมจำนวนหน่วยชั่วโมงที่ขอเบิกค่าสอน ….</t>
        </is>
      </c>
      <c r="B128" s="467" t="n"/>
      <c r="C128" s="467" t="n"/>
      <c r="D128" s="467" t="n"/>
      <c r="E128" s="467" t="n"/>
      <c r="F128" s="467" t="n"/>
      <c r="G128" s="467" t="n"/>
      <c r="H128" s="298">
        <f>M127+Q127</f>
        <v/>
      </c>
      <c r="I128" s="298" t="inlineStr">
        <is>
          <t>….ชั่วโมง</t>
        </is>
      </c>
      <c r="J128" s="298" t="n"/>
      <c r="K128" s="301" t="inlineStr">
        <is>
          <t>ยอดเงินรวม</t>
        </is>
      </c>
      <c r="L128" s="471" t="n"/>
      <c r="M128" s="471" t="n"/>
      <c r="N128" s="301" t="n"/>
      <c r="O128" s="301" t="n"/>
      <c r="P128" s="302">
        <f>S127+O127</f>
        <v/>
      </c>
      <c r="Q128" s="482" t="n"/>
      <c r="R128" s="21" t="n"/>
      <c r="S128" s="20" t="inlineStr">
        <is>
          <t>..บาท</t>
        </is>
      </c>
    </row>
    <row r="129" ht="22.2" customHeight="1" s="330">
      <c r="A129" s="207" t="inlineStr">
        <is>
          <t>ผู้ขอเบิก</t>
        </is>
      </c>
      <c r="B129" s="334" t="n"/>
      <c r="C129" s="334" t="n"/>
      <c r="D129" s="334" t="n"/>
      <c r="E129" s="334" t="n"/>
      <c r="F129" s="334" t="n"/>
      <c r="G129" s="335" t="n"/>
      <c r="H129" s="207" t="inlineStr">
        <is>
          <t>ผู้รับรอง</t>
        </is>
      </c>
      <c r="I129" s="334" t="n"/>
      <c r="J129" s="334" t="n"/>
      <c r="K129" s="334" t="n"/>
      <c r="L129" s="335" t="n"/>
      <c r="M129" s="207" t="inlineStr">
        <is>
          <t>ผู้ตรวจ</t>
        </is>
      </c>
      <c r="N129" s="334" t="n"/>
      <c r="O129" s="334" t="n"/>
      <c r="P129" s="334" t="n"/>
      <c r="Q129" s="334" t="n"/>
      <c r="R129" s="334" t="n"/>
      <c r="S129" s="335" t="n"/>
    </row>
    <row r="130" ht="22.2" customHeight="1" s="330">
      <c r="A130" s="252" t="inlineStr">
        <is>
          <t>ลงชื่อ……………………………………………</t>
        </is>
      </c>
      <c r="G130" s="331" t="n"/>
      <c r="H130" s="252" t="inlineStr">
        <is>
          <t>ลงชื่อ……………………………………………</t>
        </is>
      </c>
      <c r="L130" s="331" t="n"/>
      <c r="M130" s="252" t="inlineStr">
        <is>
          <t>ลงชื่อ……………………………………………</t>
        </is>
      </c>
      <c r="S130" s="331" t="n"/>
    </row>
    <row r="131" ht="22.2" customHeight="1" s="330">
      <c r="A131" s="12" t="inlineStr">
        <is>
          <t>(</t>
        </is>
      </c>
      <c r="B131" s="309">
        <f>B99</f>
        <v/>
      </c>
      <c r="G131" s="310" t="inlineStr">
        <is>
          <t>)</t>
        </is>
      </c>
      <c r="H131" s="309" t="inlineStr">
        <is>
          <t>(</t>
        </is>
      </c>
      <c r="I131" s="314">
        <f>I85</f>
        <v/>
      </c>
      <c r="L131" s="13" t="inlineStr">
        <is>
          <t>)</t>
        </is>
      </c>
      <c r="M131" s="61" t="inlineStr">
        <is>
          <t>(</t>
        </is>
      </c>
      <c r="N131" s="61" t="n"/>
      <c r="O131" s="309" t="inlineStr">
        <is>
          <t>นายพิสุทธิศักดิ์  กล่อมนาค</t>
        </is>
      </c>
      <c r="R131" s="29" t="n"/>
      <c r="S131" s="310" t="inlineStr">
        <is>
          <t>)</t>
        </is>
      </c>
    </row>
    <row r="132" ht="22.2" customHeight="1" s="330">
      <c r="A132" s="483" t="inlineStr">
        <is>
          <t xml:space="preserve">                    ตำแหน่ง  ครู</t>
        </is>
      </c>
      <c r="G132" s="331" t="n"/>
      <c r="H132" s="62" t="inlineStr">
        <is>
          <t>ตำแหน่ง หัวหน้าแผนก</t>
        </is>
      </c>
      <c r="L132" s="331" t="n"/>
      <c r="M132" s="62" t="inlineStr">
        <is>
          <t>ตำแหน่ง   ผู้ตรวจสอบ</t>
        </is>
      </c>
      <c r="S132" s="331" t="n"/>
    </row>
    <row r="133" ht="22.2" customHeight="1" s="330">
      <c r="A133" s="63">
        <f>A41</f>
        <v/>
      </c>
      <c r="B133" s="471" t="n"/>
      <c r="C133" s="471" t="n"/>
      <c r="D133" s="471" t="n"/>
      <c r="E133" s="471" t="n"/>
      <c r="F133" s="471" t="n"/>
      <c r="G133" s="476" t="n"/>
      <c r="H133" s="62">
        <f>A41</f>
        <v/>
      </c>
      <c r="L133" s="331" t="n"/>
      <c r="M133" s="63">
        <f>A41</f>
        <v/>
      </c>
      <c r="N133" s="471" t="n"/>
      <c r="O133" s="471" t="n"/>
      <c r="P133" s="471" t="n"/>
      <c r="Q133" s="471" t="n"/>
      <c r="R133" s="471" t="n"/>
      <c r="S133" s="476" t="n"/>
    </row>
    <row r="134" ht="22.2" customHeight="1" s="330">
      <c r="A134" s="207" t="inlineStr">
        <is>
          <t>ผู้ตรวจ</t>
        </is>
      </c>
      <c r="B134" s="334" t="n"/>
      <c r="C134" s="334" t="n"/>
      <c r="D134" s="334" t="n"/>
      <c r="E134" s="334" t="n"/>
      <c r="F134" s="334" t="n"/>
      <c r="G134" s="334" t="n"/>
      <c r="H134" s="334" t="n"/>
      <c r="I134" s="335" t="n"/>
      <c r="J134" s="207" t="inlineStr">
        <is>
          <t>ผู้เห็นชอบ</t>
        </is>
      </c>
      <c r="K134" s="334" t="n"/>
      <c r="L134" s="334" t="n"/>
      <c r="M134" s="334" t="n"/>
      <c r="N134" s="334" t="n"/>
      <c r="O134" s="334" t="n"/>
      <c r="P134" s="334" t="n"/>
      <c r="Q134" s="334" t="n"/>
      <c r="R134" s="334" t="n"/>
      <c r="S134" s="335" t="n"/>
    </row>
    <row r="135" ht="22.2" customHeight="1" s="330">
      <c r="A135" s="252" t="inlineStr">
        <is>
          <t>ลงชื่อ……………………………………………</t>
        </is>
      </c>
      <c r="I135" s="331" t="n"/>
      <c r="J135" s="252" t="inlineStr">
        <is>
          <t>ลงชื่อ……………………………………………</t>
        </is>
      </c>
      <c r="S135" s="331" t="n"/>
    </row>
    <row r="136" ht="22.2" customHeight="1" s="330">
      <c r="A136" s="12" t="n"/>
      <c r="B136" s="309" t="inlineStr">
        <is>
          <t xml:space="preserve">          (นางศิวรักษ์   บุญประเสริฐ)</t>
        </is>
      </c>
      <c r="I136" s="310" t="n"/>
      <c r="J136" s="29" t="n"/>
      <c r="K136" s="29" t="n"/>
      <c r="L136" s="309" t="inlineStr">
        <is>
          <t>(นายปรีชา  โพธิ์เกิด)</t>
        </is>
      </c>
      <c r="R136" s="29" t="n"/>
      <c r="S136" s="13" t="n"/>
    </row>
    <row r="137" ht="22.2" customHeight="1" s="330">
      <c r="A137" s="62" t="inlineStr">
        <is>
          <t>ตำแหน่งครู  หัวหน้างานพัฒนาหลักสูตร ฯ</t>
        </is>
      </c>
      <c r="I137" s="331" t="n"/>
      <c r="J137" s="62" t="inlineStr">
        <is>
          <t>ตำแหน่ง  รองผู้อำนวยการฝ่ายวิชาการ</t>
        </is>
      </c>
      <c r="S137" s="331" t="n"/>
    </row>
    <row r="138" ht="22.2" customHeight="1" s="330">
      <c r="A138" s="63">
        <f>A41</f>
        <v/>
      </c>
      <c r="B138" s="471" t="n"/>
      <c r="C138" s="471" t="n"/>
      <c r="D138" s="471" t="n"/>
      <c r="E138" s="471" t="n"/>
      <c r="F138" s="471" t="n"/>
      <c r="G138" s="471" t="n"/>
      <c r="H138" s="471" t="n"/>
      <c r="I138" s="476" t="n"/>
      <c r="J138" s="63">
        <f>A41</f>
        <v/>
      </c>
      <c r="K138" s="471" t="n"/>
      <c r="L138" s="471" t="n"/>
      <c r="M138" s="471" t="n"/>
      <c r="N138" s="471" t="n"/>
      <c r="O138" s="471" t="n"/>
      <c r="P138" s="471" t="n"/>
      <c r="Q138" s="471" t="n"/>
      <c r="R138" s="471" t="n"/>
      <c r="S138" s="476" t="n"/>
    </row>
    <row r="139" ht="22.2" customHeight="1" s="330">
      <c r="A13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40" ht="22.2" customHeight="1" s="330">
      <c r="A140" s="254">
        <f>A2</f>
        <v/>
      </c>
    </row>
    <row r="141" ht="22.2" customHeight="1" s="330">
      <c r="A141" s="253" t="inlineStr">
        <is>
          <t xml:space="preserve">    ระหว่างวันที่</t>
        </is>
      </c>
      <c r="D141" s="254">
        <f>D3</f>
        <v/>
      </c>
      <c r="E141" s="254" t="inlineStr">
        <is>
          <t xml:space="preserve">   เดือน  </t>
        </is>
      </c>
      <c r="F141" s="254">
        <f>F3</f>
        <v/>
      </c>
      <c r="H141" s="254">
        <f>H3</f>
        <v/>
      </c>
      <c r="I141" s="254" t="inlineStr">
        <is>
          <t xml:space="preserve">     ถึง วันที่</t>
        </is>
      </c>
      <c r="J141" s="254">
        <f>J3</f>
        <v/>
      </c>
      <c r="K141" s="254" t="inlineStr">
        <is>
          <t xml:space="preserve">   เดือน </t>
        </is>
      </c>
      <c r="L141" s="254">
        <f>L3</f>
        <v/>
      </c>
      <c r="N141" s="254">
        <f>N3</f>
        <v/>
      </c>
      <c r="P141" s="254" t="n"/>
      <c r="R141" s="254" t="n"/>
    </row>
    <row r="142" ht="22.2" customHeight="1" s="330">
      <c r="G142" s="58" t="inlineStr">
        <is>
          <t>ü</t>
        </is>
      </c>
      <c r="H142" s="290" t="inlineStr">
        <is>
          <t>ครู</t>
        </is>
      </c>
      <c r="I142" s="249" t="inlineStr">
        <is>
          <t>หน้าที่พิเศษ</t>
        </is>
      </c>
    </row>
    <row r="143" ht="22.2" customHeight="1" s="330">
      <c r="A143" s="28" t="inlineStr">
        <is>
          <t>ที่</t>
        </is>
      </c>
      <c r="B143" s="28" t="inlineStr">
        <is>
          <t>ชื่อ-สกุล</t>
        </is>
      </c>
      <c r="C143" s="334" t="n"/>
      <c r="D143" s="335" t="n"/>
      <c r="E143" s="16" t="inlineStr">
        <is>
          <t>ตำแหน่ง</t>
        </is>
      </c>
      <c r="F143" s="17" t="inlineStr">
        <is>
          <t>ระยะเวลาที่สอน</t>
        </is>
      </c>
      <c r="G143" s="362" t="n"/>
      <c r="H143" s="17" t="inlineStr">
        <is>
          <t>รหัสวิชา</t>
        </is>
      </c>
      <c r="I143" s="275" t="inlineStr">
        <is>
          <t>ชั้น,แผนก,ห้อง</t>
        </is>
      </c>
      <c r="J143" s="17" t="inlineStr">
        <is>
          <t>เวลาสอน</t>
        </is>
      </c>
      <c r="K143" s="335" t="n"/>
      <c r="L143" s="17" t="inlineStr">
        <is>
          <t>ปวช.(คาบ)</t>
        </is>
      </c>
      <c r="M143" s="362" t="n"/>
      <c r="N143" s="244" t="inlineStr">
        <is>
          <t>เงิน</t>
        </is>
      </c>
      <c r="O143" s="275" t="inlineStr">
        <is>
          <t>ยอดเงิน</t>
        </is>
      </c>
      <c r="P143" s="473" t="inlineStr">
        <is>
          <t>ปวส.(คาบ)</t>
        </is>
      </c>
      <c r="Q143" s="362" t="n"/>
      <c r="R143" s="244" t="inlineStr">
        <is>
          <t>เงิน</t>
        </is>
      </c>
      <c r="S143" s="275" t="inlineStr">
        <is>
          <t>ยอดเงิน</t>
        </is>
      </c>
    </row>
    <row r="144" ht="22.2" customHeight="1" s="330">
      <c r="A144" s="60" t="n"/>
      <c r="B144" s="9" t="n"/>
      <c r="C144" s="10" t="n"/>
      <c r="D144" s="14" t="n"/>
      <c r="E144" s="11" t="n"/>
      <c r="F144" s="276" t="inlineStr">
        <is>
          <t>ส.</t>
        </is>
      </c>
      <c r="G144" s="276" t="inlineStr">
        <is>
          <t>วดป.</t>
        </is>
      </c>
      <c r="H144" s="474" t="n"/>
      <c r="I144" s="276" t="n"/>
      <c r="J144" s="475" t="n"/>
      <c r="K144" s="476" t="n"/>
      <c r="L144" s="276" t="inlineStr">
        <is>
          <t>ใน</t>
        </is>
      </c>
      <c r="M144" s="276" t="inlineStr">
        <is>
          <t>นอก</t>
        </is>
      </c>
      <c r="N144" s="276" t="inlineStr">
        <is>
          <t>ต่อ ชม.</t>
        </is>
      </c>
      <c r="O144" s="276" t="inlineStr">
        <is>
          <t>(บาท)</t>
        </is>
      </c>
      <c r="P144" s="60" t="inlineStr">
        <is>
          <t>ใน</t>
        </is>
      </c>
      <c r="Q144" s="2" t="inlineStr">
        <is>
          <t>นอก</t>
        </is>
      </c>
      <c r="R144" s="276" t="inlineStr">
        <is>
          <t>ต่อ ชม.</t>
        </is>
      </c>
      <c r="S144" s="276" t="inlineStr">
        <is>
          <t>(บาท)</t>
        </is>
      </c>
    </row>
    <row r="145" ht="22.2" customHeight="1" s="330">
      <c r="A145" s="275" t="n">
        <v>4</v>
      </c>
      <c r="B145" s="477">
        <f>AB6</f>
        <v/>
      </c>
      <c r="C145" s="334" t="n"/>
      <c r="D145" s="335" t="n"/>
      <c r="E145" s="275" t="inlineStr">
        <is>
          <t>ครู</t>
        </is>
      </c>
      <c r="F145" s="6" t="n">
        <v>5</v>
      </c>
      <c r="G145" s="303" t="inlineStr">
        <is>
          <t>จันทร์</t>
        </is>
      </c>
      <c r="H145" s="332" t="inlineStr">
        <is>
          <t>30101-2006</t>
        </is>
      </c>
      <c r="I145" s="325" t="inlineStr">
        <is>
          <t>ปวส.2/5 สย. (ม.6)</t>
        </is>
      </c>
      <c r="J145" s="332" t="inlineStr">
        <is>
          <t>08.10-12.10</t>
        </is>
      </c>
      <c r="K145" s="335" t="n"/>
      <c r="L145" s="265" t="n"/>
      <c r="M145" s="332" t="n"/>
      <c r="N145" s="332" t="n"/>
      <c r="O145" s="244">
        <f>M145*N145</f>
        <v/>
      </c>
      <c r="P145" s="332" t="n"/>
      <c r="Q145" s="265" t="n"/>
      <c r="R145" s="332" t="n"/>
      <c r="S145" s="244">
        <f>Q145*R145</f>
        <v/>
      </c>
    </row>
    <row r="146" ht="22.2" customHeight="1" s="330">
      <c r="A146" s="4" t="n"/>
      <c r="E146" s="252" t="n"/>
      <c r="F146" s="249" t="n"/>
      <c r="G146" s="308">
        <f>G100</f>
        <v/>
      </c>
      <c r="H146" s="325" t="inlineStr">
        <is>
          <t>30101-2006</t>
        </is>
      </c>
      <c r="I146" s="325" t="inlineStr">
        <is>
          <t>ปวส.2/5 สย. (ม.6)</t>
        </is>
      </c>
      <c r="J146" s="252" t="inlineStr">
        <is>
          <t>13.10-14.10</t>
        </is>
      </c>
      <c r="K146" s="331" t="n"/>
      <c r="L146" s="252" t="n"/>
      <c r="M146" s="252" t="n"/>
      <c r="N146" s="252" t="n"/>
      <c r="O146" s="244">
        <f>M146*N146</f>
        <v/>
      </c>
      <c r="P146" s="252" t="n"/>
      <c r="Q146" s="252" t="n"/>
      <c r="R146" s="252" t="n"/>
      <c r="S146" s="244">
        <f>Q146*R146</f>
        <v/>
      </c>
    </row>
    <row r="147" ht="22.2" customHeight="1" s="330">
      <c r="A147" s="4" t="n"/>
      <c r="B147" s="5" t="n"/>
      <c r="D147" s="3" t="n"/>
      <c r="E147" s="3" t="n"/>
      <c r="F147" s="249" t="n"/>
      <c r="G147" s="248" t="n"/>
      <c r="H147" s="325" t="inlineStr">
        <is>
          <t>30101-2006</t>
        </is>
      </c>
      <c r="I147" s="325" t="inlineStr">
        <is>
          <t>ปวส.2/6 สย. (ม.6)</t>
        </is>
      </c>
      <c r="J147" s="252" t="inlineStr">
        <is>
          <t>14.10-19.10</t>
        </is>
      </c>
      <c r="K147" s="331" t="n"/>
      <c r="L147" s="252" t="n"/>
      <c r="M147" s="252" t="n"/>
      <c r="N147" s="252" t="n"/>
      <c r="O147" s="244">
        <f>M147*N147</f>
        <v/>
      </c>
      <c r="P147" s="252" t="n"/>
      <c r="Q147" s="252" t="n"/>
      <c r="R147" s="252" t="n"/>
      <c r="S147" s="244">
        <f>Q147*R147</f>
        <v/>
      </c>
    </row>
    <row r="148" ht="22.2" customHeight="1" s="330">
      <c r="A148" s="4" t="n"/>
      <c r="B148" s="5" t="n"/>
      <c r="E148" s="4" t="n"/>
      <c r="F148" s="249" t="n"/>
      <c r="G148" s="248" t="n"/>
      <c r="H148" s="252" t="n"/>
      <c r="I148" s="252" t="n"/>
      <c r="J148" s="252" t="n"/>
      <c r="K148" s="331" t="n"/>
      <c r="L148" s="252" t="n"/>
      <c r="M148" s="252" t="n"/>
      <c r="N148" s="252" t="n"/>
      <c r="O148" s="244">
        <f>M148*N148</f>
        <v/>
      </c>
      <c r="P148" s="252" t="n"/>
      <c r="Q148" s="252" t="n"/>
      <c r="R148" s="252" t="n"/>
      <c r="S148" s="244">
        <f>Q148*R148</f>
        <v/>
      </c>
    </row>
    <row r="149" ht="22.2" customHeight="1" s="330">
      <c r="A149" s="4" t="n"/>
      <c r="E149" s="4" t="n"/>
      <c r="G149" s="311" t="n"/>
      <c r="H149" s="276" t="n"/>
      <c r="I149" s="276" t="n"/>
      <c r="J149" s="276" t="n"/>
      <c r="K149" s="476" t="n"/>
      <c r="L149" s="252" t="n"/>
      <c r="M149" s="252" t="n"/>
      <c r="N149" s="252" t="n"/>
      <c r="O149" s="244">
        <f>M149*N149</f>
        <v/>
      </c>
      <c r="P149" s="252" t="n"/>
      <c r="Q149" s="252" t="n"/>
      <c r="R149" s="252" t="n"/>
      <c r="S149" s="244">
        <f>Q149*R149</f>
        <v/>
      </c>
    </row>
    <row r="150" ht="22.2" customHeight="1" s="330">
      <c r="A150" s="4" t="n"/>
      <c r="E150" s="4" t="n"/>
      <c r="G150" s="62" t="inlineStr">
        <is>
          <t>อังคาร</t>
        </is>
      </c>
      <c r="H150" s="332" t="inlineStr">
        <is>
          <t>30101-2004</t>
        </is>
      </c>
      <c r="I150" s="332" t="inlineStr">
        <is>
          <t>ปวส.1/7 สย. (ทวิ)</t>
        </is>
      </c>
      <c r="J150" s="332" t="inlineStr">
        <is>
          <t>11.10-12.10</t>
        </is>
      </c>
      <c r="K150" s="335" t="n"/>
      <c r="L150" s="265" t="n"/>
      <c r="M150" s="332" t="n"/>
      <c r="N150" s="332" t="n"/>
      <c r="O150" s="244">
        <f>M150*N150</f>
        <v/>
      </c>
      <c r="P150" s="332" t="n"/>
      <c r="Q150" s="265" t="n"/>
      <c r="R150" s="332" t="n"/>
      <c r="S150" s="244">
        <f>Q150*R150</f>
        <v/>
      </c>
      <c r="T150" s="7" t="n"/>
      <c r="U150" s="23" t="inlineStr">
        <is>
          <t>เบิก ธุรการ</t>
        </is>
      </c>
      <c r="V150" s="66" t="n"/>
      <c r="W150" s="22" t="n"/>
      <c r="X150" s="22" t="n"/>
    </row>
    <row r="151" ht="22.2" customHeight="1" s="330">
      <c r="A151" s="4" t="n"/>
      <c r="E151" s="4" t="n"/>
      <c r="G151" s="308">
        <f>G105</f>
        <v/>
      </c>
      <c r="H151" s="325" t="inlineStr">
        <is>
          <t>30101-2004</t>
        </is>
      </c>
      <c r="I151" s="325" t="inlineStr">
        <is>
          <t>ปวส.1/7 สย. (ทวิ)</t>
        </is>
      </c>
      <c r="J151" s="252" t="inlineStr">
        <is>
          <t>13.10-17.10</t>
        </is>
      </c>
      <c r="K151" s="331" t="n"/>
      <c r="L151" s="252" t="n"/>
      <c r="M151" s="252" t="n"/>
      <c r="N151" s="252" t="n"/>
      <c r="O151" s="244">
        <f>M151*N151</f>
        <v/>
      </c>
      <c r="P151" s="252" t="n"/>
      <c r="Q151" s="252" t="n"/>
      <c r="R151" s="252" t="n"/>
      <c r="S151" s="244">
        <f>Q151*R151</f>
        <v/>
      </c>
      <c r="T151" s="22" t="inlineStr">
        <is>
          <t> </t>
        </is>
      </c>
      <c r="U151" s="23" t="inlineStr">
        <is>
          <t>16.10-19.10</t>
        </is>
      </c>
      <c r="V151" s="66" t="n"/>
      <c r="W151" s="22" t="n"/>
      <c r="X151" s="22" t="n"/>
    </row>
    <row r="152" ht="22.2" customHeight="1" s="330">
      <c r="A152" s="4" t="n"/>
      <c r="B152" s="5" t="n"/>
      <c r="D152" s="3" t="n"/>
      <c r="E152" s="3" t="n"/>
      <c r="G152" s="252" t="n"/>
      <c r="H152" s="325" t="n"/>
      <c r="I152" s="325" t="n"/>
      <c r="J152" s="252" t="n"/>
      <c r="K152" s="331" t="n"/>
      <c r="L152" s="252" t="n"/>
      <c r="M152" s="252" t="n"/>
      <c r="N152" s="252" t="n"/>
      <c r="O152" s="244">
        <f>M152*N152</f>
        <v/>
      </c>
      <c r="P152" s="252" t="n"/>
      <c r="Q152" s="252" t="n"/>
      <c r="R152" s="252" t="n"/>
      <c r="S152" s="244">
        <f>Q152*R152</f>
        <v/>
      </c>
    </row>
    <row r="153" ht="22.2" customHeight="1" s="330">
      <c r="A153" s="4" t="n"/>
      <c r="E153" s="4" t="n"/>
      <c r="G153" s="62" t="n"/>
      <c r="H153" s="252" t="n"/>
      <c r="I153" s="252" t="n"/>
      <c r="J153" s="252" t="n"/>
      <c r="K153" s="331" t="n"/>
      <c r="L153" s="252" t="n"/>
      <c r="M153" s="252" t="n"/>
      <c r="N153" s="252" t="n"/>
      <c r="O153" s="244">
        <f>M153*N153</f>
        <v/>
      </c>
      <c r="P153" s="252" t="n"/>
      <c r="Q153" s="252" t="n"/>
      <c r="R153" s="252" t="n"/>
      <c r="S153" s="244">
        <f>Q153*R153</f>
        <v/>
      </c>
    </row>
    <row r="154" ht="22.2" customHeight="1" s="330">
      <c r="A154" s="4" t="n"/>
      <c r="D154" s="8" t="inlineStr">
        <is>
          <t> </t>
        </is>
      </c>
      <c r="E154" s="4" t="n"/>
      <c r="G154" s="63" t="n"/>
      <c r="H154" s="276" t="n"/>
      <c r="I154" s="276" t="n"/>
      <c r="J154" s="276" t="n"/>
      <c r="K154" s="476" t="n"/>
      <c r="L154" s="252" t="n"/>
      <c r="M154" s="252" t="n"/>
      <c r="N154" s="252" t="n"/>
      <c r="O154" s="244">
        <f>M154*N154</f>
        <v/>
      </c>
      <c r="P154" s="252" t="n"/>
      <c r="Q154" s="252" t="n"/>
      <c r="R154" s="252" t="n"/>
      <c r="S154" s="244">
        <f>Q154*R154</f>
        <v/>
      </c>
    </row>
    <row r="155" ht="22.2" customHeight="1" s="330">
      <c r="A155" s="4" t="n"/>
      <c r="E155" s="4" t="n"/>
      <c r="G155" s="308" t="inlineStr">
        <is>
          <t>พุธ</t>
        </is>
      </c>
      <c r="H155" s="325" t="inlineStr">
        <is>
          <t>30101-0003</t>
        </is>
      </c>
      <c r="I155" s="325" t="inlineStr">
        <is>
          <t>ปวส.1/3 สย. (ม.6)</t>
        </is>
      </c>
      <c r="J155" s="252" t="inlineStr">
        <is>
          <t>13.10-18.10</t>
        </is>
      </c>
      <c r="K155" s="331" t="n"/>
      <c r="L155" s="265" t="n"/>
      <c r="M155" s="332" t="n"/>
      <c r="N155" s="332" t="n"/>
      <c r="O155" s="244">
        <f>M155*N155</f>
        <v/>
      </c>
      <c r="P155" s="332" t="n"/>
      <c r="Q155" s="265" t="n"/>
      <c r="R155" s="332" t="n"/>
      <c r="S155" s="244">
        <f>Q155*R155</f>
        <v/>
      </c>
    </row>
    <row r="156" ht="22.2" customHeight="1" s="330">
      <c r="A156" s="4" t="n"/>
      <c r="E156" s="4" t="n"/>
      <c r="G156" s="308">
        <f>G110</f>
        <v/>
      </c>
      <c r="H156" s="252" t="n"/>
      <c r="I156" s="252" t="n"/>
      <c r="J156" s="252" t="n"/>
      <c r="K156" s="331" t="n"/>
      <c r="L156" s="252" t="n"/>
      <c r="M156" s="252" t="n"/>
      <c r="N156" s="252" t="n"/>
      <c r="O156" s="244">
        <f>M156*N156</f>
        <v/>
      </c>
      <c r="P156" s="252" t="n"/>
      <c r="Q156" s="252" t="n"/>
      <c r="R156" s="252" t="n"/>
      <c r="S156" s="244">
        <f>Q156*R156</f>
        <v/>
      </c>
    </row>
    <row r="157" ht="22.2" customHeight="1" s="330">
      <c r="A157" s="4" t="n"/>
      <c r="B157" s="5" t="n"/>
      <c r="D157" s="3" t="n"/>
      <c r="E157" s="3" t="n"/>
      <c r="G157" s="252" t="n"/>
      <c r="H157" s="252" t="n"/>
      <c r="I157" s="252" t="n"/>
      <c r="J157" s="252" t="n"/>
      <c r="K157" s="331" t="n"/>
      <c r="L157" s="252" t="n"/>
      <c r="M157" s="252" t="n"/>
      <c r="N157" s="252" t="n"/>
      <c r="O157" s="244">
        <f>M157*N157</f>
        <v/>
      </c>
      <c r="P157" s="252" t="n"/>
      <c r="Q157" s="252" t="n"/>
      <c r="R157" s="252" t="n"/>
      <c r="S157" s="244">
        <f>Q157*R157</f>
        <v/>
      </c>
    </row>
    <row r="158" ht="22.2" customHeight="1" s="330">
      <c r="A158" s="4" t="n"/>
      <c r="E158" s="4" t="n"/>
      <c r="G158" s="248" t="n"/>
      <c r="H158" s="252" t="n"/>
      <c r="I158" s="252" t="n"/>
      <c r="J158" s="252" t="n"/>
      <c r="K158" s="331" t="n"/>
      <c r="L158" s="252" t="n"/>
      <c r="M158" s="252" t="n"/>
      <c r="N158" s="252" t="n"/>
      <c r="O158" s="244">
        <f>M158*N158</f>
        <v/>
      </c>
      <c r="P158" s="252" t="n"/>
      <c r="Q158" s="252" t="n"/>
      <c r="R158" s="252" t="n"/>
      <c r="S158" s="244">
        <f>Q158*R158</f>
        <v/>
      </c>
    </row>
    <row r="159" ht="22.2" customHeight="1" s="330">
      <c r="A159" s="4" t="n"/>
      <c r="E159" s="4" t="n"/>
      <c r="G159" s="277" t="n"/>
      <c r="H159" s="276" t="n"/>
      <c r="I159" s="276" t="n"/>
      <c r="J159" s="276" t="n"/>
      <c r="K159" s="476" t="n"/>
      <c r="L159" s="276" t="n"/>
      <c r="M159" s="276" t="n"/>
      <c r="N159" s="276" t="n"/>
      <c r="O159" s="244">
        <f>M159*N159</f>
        <v/>
      </c>
      <c r="P159" s="276" t="n"/>
      <c r="Q159" s="276" t="n"/>
      <c r="R159" s="276" t="n"/>
      <c r="S159" s="17">
        <f>Q159*R159</f>
        <v/>
      </c>
    </row>
    <row r="160" ht="22.2" customHeight="1" s="330">
      <c r="A160" s="4" t="n"/>
      <c r="E160" s="4" t="n"/>
      <c r="G160" s="62" t="inlineStr">
        <is>
          <t>พฤหัส</t>
        </is>
      </c>
      <c r="H160" s="325" t="inlineStr">
        <is>
          <t>30101-2006</t>
        </is>
      </c>
      <c r="I160" s="325" t="inlineStr">
        <is>
          <t>ปวส.2/7 สย. (ม.6)</t>
        </is>
      </c>
      <c r="J160" s="275" t="inlineStr">
        <is>
          <t>08.10-12.10</t>
        </is>
      </c>
      <c r="K160" s="335" t="n"/>
      <c r="L160" s="252" t="n"/>
      <c r="M160" s="179" t="n"/>
      <c r="N160" s="179" t="n"/>
      <c r="O160" s="244">
        <f>M160*N160</f>
        <v/>
      </c>
      <c r="P160" s="179" t="n"/>
      <c r="Q160" s="179" t="n"/>
      <c r="R160" s="179" t="n"/>
      <c r="S160" s="17">
        <f>Q160*R160</f>
        <v/>
      </c>
      <c r="T160" s="25" t="n"/>
      <c r="U160" s="26" t="inlineStr">
        <is>
          <t xml:space="preserve">     PLC</t>
        </is>
      </c>
      <c r="V160" s="64" t="n"/>
      <c r="W160" s="27" t="n"/>
      <c r="X160" s="27" t="n"/>
    </row>
    <row r="161" ht="22.2" customHeight="1" s="330">
      <c r="A161" s="4" t="n"/>
      <c r="E161" s="4" t="n"/>
      <c r="G161" s="308">
        <f>G115</f>
        <v/>
      </c>
      <c r="H161" s="325" t="inlineStr">
        <is>
          <t>30101-2006</t>
        </is>
      </c>
      <c r="I161" s="325" t="inlineStr">
        <is>
          <t>ปวส.2/7 สย. (ม.6)</t>
        </is>
      </c>
      <c r="J161" s="252" t="inlineStr">
        <is>
          <t>15.10-16.10</t>
        </is>
      </c>
      <c r="K161" s="331" t="n"/>
      <c r="L161" s="252" t="n"/>
      <c r="M161" s="56" t="n"/>
      <c r="N161" s="56" t="n"/>
      <c r="O161" s="244">
        <f>M161*N161</f>
        <v/>
      </c>
      <c r="P161" s="180" t="n"/>
      <c r="Q161" s="180" t="n"/>
      <c r="R161" s="180" t="n"/>
      <c r="S161" s="17">
        <f>Q161*R161</f>
        <v/>
      </c>
      <c r="T161" s="27" t="inlineStr">
        <is>
          <t> </t>
        </is>
      </c>
      <c r="U161" s="26" t="inlineStr">
        <is>
          <t>17.10-19.10</t>
        </is>
      </c>
      <c r="V161" s="64" t="n"/>
      <c r="W161" s="27" t="n"/>
      <c r="X161" s="27" t="n"/>
    </row>
    <row r="162" ht="22.2" customHeight="1" s="330">
      <c r="A162" s="4" t="n"/>
      <c r="B162" s="5" t="n"/>
      <c r="E162" s="4" t="n"/>
      <c r="G162" s="252" t="n"/>
      <c r="H162" s="325" t="n"/>
      <c r="I162" s="325" t="n"/>
      <c r="J162" s="252" t="n"/>
      <c r="K162" s="331" t="n"/>
      <c r="L162" s="325" t="n"/>
      <c r="M162" s="56" t="n"/>
      <c r="N162" s="56" t="n"/>
      <c r="O162" s="244">
        <f>M162*N162</f>
        <v/>
      </c>
      <c r="P162" s="56" t="n"/>
      <c r="Q162" s="180" t="n"/>
      <c r="R162" s="180" t="n"/>
      <c r="S162" s="17">
        <f>Q162*R162</f>
        <v/>
      </c>
    </row>
    <row r="163" ht="22.2" customHeight="1" s="330">
      <c r="A163" s="4" t="n"/>
      <c r="E163" s="4" t="n"/>
      <c r="G163" s="252" t="n"/>
      <c r="H163" s="252" t="n"/>
      <c r="I163" s="252" t="n"/>
      <c r="J163" s="252" t="n"/>
      <c r="K163" s="331" t="n"/>
      <c r="L163" s="252" t="n"/>
      <c r="M163" s="252" t="n"/>
      <c r="N163" s="252" t="n"/>
      <c r="O163" s="244">
        <f>M163*N163</f>
        <v/>
      </c>
      <c r="P163" s="252" t="n"/>
      <c r="Q163" s="252" t="n"/>
      <c r="R163" s="252" t="n"/>
      <c r="S163" s="244">
        <f>Q163*R163</f>
        <v/>
      </c>
    </row>
    <row r="164" ht="22.2" customHeight="1" s="330">
      <c r="A164" s="4" t="n"/>
      <c r="E164" s="4" t="n"/>
      <c r="G164" s="276" t="n"/>
      <c r="H164" s="301" t="n"/>
      <c r="I164" s="276" t="n"/>
      <c r="J164" s="276" t="n"/>
      <c r="K164" s="476" t="n"/>
      <c r="L164" s="276" t="n"/>
      <c r="M164" s="276" t="n"/>
      <c r="N164" s="276" t="n"/>
      <c r="O164" s="244">
        <f>M164*N164</f>
        <v/>
      </c>
      <c r="P164" s="276" t="n"/>
      <c r="Q164" s="276" t="n"/>
      <c r="R164" s="276" t="n"/>
      <c r="S164" s="244">
        <f>Q164*R164</f>
        <v/>
      </c>
    </row>
    <row r="165" ht="22.2" customHeight="1" s="330">
      <c r="A165" s="4" t="n"/>
      <c r="D165" s="331" t="n"/>
      <c r="E165" s="56" t="n"/>
      <c r="G165" s="62" t="inlineStr">
        <is>
          <t>ศุกร์</t>
        </is>
      </c>
      <c r="H165" s="325" t="inlineStr">
        <is>
          <t>30100-0104</t>
        </is>
      </c>
      <c r="I165" s="325" t="inlineStr">
        <is>
          <t>ปวส.1/1 สย. (ปกติ)</t>
        </is>
      </c>
      <c r="J165" s="332" t="inlineStr">
        <is>
          <t>08.10-12.10</t>
        </is>
      </c>
      <c r="K165" s="335" t="n"/>
      <c r="L165" s="252" t="n"/>
      <c r="M165" s="28" t="n"/>
      <c r="N165" s="272" t="n"/>
      <c r="O165" s="244">
        <f>M165*N165</f>
        <v/>
      </c>
      <c r="P165" s="275" t="n"/>
      <c r="Q165" s="275" t="n"/>
      <c r="R165" s="244" t="n"/>
      <c r="S165" s="17">
        <f>Q165*R165</f>
        <v/>
      </c>
    </row>
    <row r="166" ht="22.2" customHeight="1" s="330">
      <c r="A166" s="4" t="n"/>
      <c r="D166" s="3" t="n"/>
      <c r="E166" s="4" t="n"/>
      <c r="G166" s="308">
        <f>G120</f>
        <v/>
      </c>
      <c r="H166" s="325" t="n"/>
      <c r="I166" s="325" t="n"/>
      <c r="J166" s="252" t="n"/>
      <c r="K166" s="331" t="n"/>
      <c r="L166" s="252" t="n"/>
      <c r="M166" s="56" t="n"/>
      <c r="N166" s="331" t="n"/>
      <c r="O166" s="244">
        <f>M166*N166</f>
        <v/>
      </c>
      <c r="P166" s="180" t="n"/>
      <c r="Q166" s="56" t="n"/>
      <c r="R166" s="56" t="n"/>
      <c r="S166" s="17">
        <f>Q166*R166</f>
        <v/>
      </c>
    </row>
    <row r="167" ht="22.2" customHeight="1" s="330">
      <c r="A167" s="4" t="n"/>
      <c r="E167" s="4" t="n"/>
      <c r="G167" s="252" t="n"/>
      <c r="H167" s="252" t="n"/>
      <c r="I167" s="252" t="n"/>
      <c r="J167" s="252" t="n"/>
      <c r="K167" s="331" t="n"/>
      <c r="L167" s="252" t="n"/>
      <c r="M167" s="252" t="n"/>
      <c r="N167" s="252" t="n"/>
      <c r="O167" s="244">
        <f>M167*N167</f>
        <v/>
      </c>
      <c r="P167" s="252" t="n"/>
      <c r="Q167" s="252" t="n"/>
      <c r="R167" s="252" t="n"/>
      <c r="S167" s="244">
        <f>Q167*R167</f>
        <v/>
      </c>
    </row>
    <row r="168" ht="22.2" customHeight="1" s="330">
      <c r="A168" s="4" t="n"/>
      <c r="E168" s="4" t="n"/>
      <c r="G168" s="252" t="n"/>
      <c r="H168" s="252" t="n"/>
      <c r="I168" s="252" t="n"/>
      <c r="J168" s="252" t="n"/>
      <c r="K168" s="331" t="n"/>
      <c r="L168" s="252" t="n"/>
      <c r="M168" s="252" t="n"/>
      <c r="N168" s="252" t="n"/>
      <c r="O168" s="244">
        <f>M168*N168</f>
        <v/>
      </c>
      <c r="P168" s="252" t="n"/>
      <c r="Q168" s="252" t="n"/>
      <c r="R168" s="252" t="n"/>
      <c r="S168" s="244">
        <f>Q168*R168</f>
        <v/>
      </c>
    </row>
    <row r="169" ht="22.2" customHeight="1" s="330">
      <c r="A169" s="4" t="n"/>
      <c r="E169" s="4" t="n"/>
      <c r="F169" s="4" t="n"/>
      <c r="G169" s="278" t="n"/>
      <c r="H169" s="301" t="n"/>
      <c r="I169" s="276" t="n"/>
      <c r="J169" s="276" t="n"/>
      <c r="K169" s="476" t="n"/>
      <c r="L169" s="276" t="n"/>
      <c r="M169" s="276" t="n"/>
      <c r="N169" s="276" t="n"/>
      <c r="O169" s="244">
        <f>M169*N169</f>
        <v/>
      </c>
      <c r="P169" s="276" t="n"/>
      <c r="Q169" s="276" t="n"/>
      <c r="R169" s="276" t="n"/>
      <c r="S169" s="244">
        <f>Q169*R169</f>
        <v/>
      </c>
    </row>
    <row r="170" ht="22.2" customHeight="1" s="330">
      <c r="A170" s="4" t="n"/>
      <c r="E170" s="4" t="n"/>
      <c r="F170" s="4" t="n"/>
      <c r="G170" s="17" t="inlineStr">
        <is>
          <t>รวมขั่วโมงที่สอนแยก ภาระงาน/ เกินภาระงาน</t>
        </is>
      </c>
      <c r="H170" s="467" t="n"/>
      <c r="I170" s="467" t="n"/>
      <c r="J170" s="467" t="n"/>
      <c r="K170" s="362" t="n"/>
      <c r="L170" s="17">
        <f>SUM(L145:L169)</f>
        <v/>
      </c>
      <c r="M170" s="17">
        <f>SUM(M145:M169)</f>
        <v/>
      </c>
      <c r="N170" s="17" t="n"/>
      <c r="O170" s="17" t="n"/>
      <c r="P170" s="17">
        <f>SUM(P145:P169)</f>
        <v/>
      </c>
      <c r="Q170" s="17">
        <f>SUM(Q145:Q169)</f>
        <v/>
      </c>
      <c r="R170" s="279" t="n"/>
      <c r="S170" s="17" t="n"/>
      <c r="T170" s="24" t="n"/>
      <c r="U170" s="24" t="inlineStr">
        <is>
          <t>สอน ป.ตรี</t>
        </is>
      </c>
      <c r="V170" s="65" t="n"/>
      <c r="W170" s="24" t="n"/>
      <c r="X170" s="24" t="n"/>
    </row>
    <row r="171" ht="22.2" customHeight="1" s="330">
      <c r="A171" s="4" t="n"/>
      <c r="E171" s="4" t="n"/>
      <c r="F171" s="4" t="n"/>
      <c r="G171" s="17" t="inlineStr">
        <is>
          <t>รวมจำนวนชั่วโมงสอนคาบต่อสับดาห์</t>
        </is>
      </c>
      <c r="H171" s="467" t="n"/>
      <c r="I171" s="467" t="n"/>
      <c r="J171" s="467" t="n"/>
      <c r="K171" s="362" t="n"/>
      <c r="L171" s="17">
        <f>L170+M170</f>
        <v/>
      </c>
      <c r="M171" s="362" t="n"/>
      <c r="N171" s="17" t="n"/>
      <c r="O171" s="298" t="n"/>
      <c r="P171" s="17">
        <f>P170+Q170</f>
        <v/>
      </c>
      <c r="Q171" s="362" t="n"/>
      <c r="R171" s="278" t="n"/>
      <c r="S171" s="276" t="n"/>
      <c r="T171" s="24" t="n"/>
      <c r="U171" s="24" t="inlineStr">
        <is>
          <t>17.10-20.10</t>
        </is>
      </c>
      <c r="V171" s="65" t="n"/>
      <c r="W171" s="24" t="n"/>
      <c r="X171" s="24" t="n"/>
    </row>
    <row r="172" ht="22.2" customHeight="1" s="330">
      <c r="A172" s="4" t="n"/>
      <c r="E172" s="4" t="n"/>
      <c r="F172" s="4" t="n"/>
      <c r="G172" s="17" t="inlineStr">
        <is>
          <t>จำนวนชั่วโมงสอนตามภาระงานสอน</t>
        </is>
      </c>
      <c r="H172" s="467" t="n"/>
      <c r="I172" s="467" t="n"/>
      <c r="J172" s="467" t="n"/>
      <c r="K172" s="362" t="n"/>
      <c r="L172" s="485" t="inlineStr">
        <is>
          <t>0</t>
        </is>
      </c>
      <c r="M172" s="362" t="n"/>
      <c r="N172" s="151" t="n"/>
      <c r="O172" s="154" t="n"/>
      <c r="P172" s="485" t="inlineStr">
        <is>
          <t>15</t>
        </is>
      </c>
      <c r="Q172" s="362" t="n"/>
      <c r="R172" s="249" t="n"/>
      <c r="S172" s="252" t="n"/>
    </row>
    <row r="173" ht="22.2" customHeight="1" s="330" thickBot="1">
      <c r="A173" s="4" t="n"/>
      <c r="E173" s="4" t="n"/>
      <c r="F173" s="15" t="n"/>
      <c r="G173" s="17" t="inlineStr">
        <is>
          <t>จำนวนชั่วโมงบิกเกินภาระงานสอน/ค่าสอน</t>
        </is>
      </c>
      <c r="H173" s="467" t="n"/>
      <c r="I173" s="467" t="n"/>
      <c r="J173" s="467" t="n"/>
      <c r="K173" s="362" t="n"/>
      <c r="L173" s="18" t="n">
        <v>0</v>
      </c>
      <c r="M173" s="18">
        <f>SUM(M145:M169)</f>
        <v/>
      </c>
      <c r="N173" s="18" t="n"/>
      <c r="O173" s="18">
        <f>SUM(O145:O169)</f>
        <v/>
      </c>
      <c r="P173" s="18" t="n">
        <v>0</v>
      </c>
      <c r="Q173" s="18">
        <f>SUM(Q145:Q169)</f>
        <v/>
      </c>
      <c r="R173" s="19" t="n"/>
      <c r="S173" s="18">
        <f>SUM(S145:S169)</f>
        <v/>
      </c>
    </row>
    <row r="174" ht="22.2" customHeight="1" s="330" thickTop="1">
      <c r="A174" s="299" t="inlineStr">
        <is>
          <t>รวมจำนวนหน่วยชั่วโมงที่ขอเบิกค่าสอน ….</t>
        </is>
      </c>
      <c r="B174" s="467" t="n"/>
      <c r="C174" s="467" t="n"/>
      <c r="D174" s="467" t="n"/>
      <c r="E174" s="467" t="n"/>
      <c r="F174" s="467" t="n"/>
      <c r="G174" s="467" t="n"/>
      <c r="H174" s="298">
        <f>M173+Q173</f>
        <v/>
      </c>
      <c r="I174" s="298" t="inlineStr">
        <is>
          <t>….ชั่วโมง</t>
        </is>
      </c>
      <c r="J174" s="298" t="n"/>
      <c r="K174" s="301" t="inlineStr">
        <is>
          <t>ยอดเงินรวม</t>
        </is>
      </c>
      <c r="L174" s="471" t="n"/>
      <c r="M174" s="471" t="n"/>
      <c r="N174" s="301" t="n"/>
      <c r="O174" s="301" t="n"/>
      <c r="P174" s="302">
        <f>S173+O173</f>
        <v/>
      </c>
      <c r="Q174" s="482" t="n"/>
      <c r="R174" s="21" t="n"/>
      <c r="S174" s="20" t="inlineStr">
        <is>
          <t>..บาท</t>
        </is>
      </c>
    </row>
    <row r="175" ht="22.2" customHeight="1" s="330">
      <c r="A175" s="207" t="inlineStr">
        <is>
          <t>ผู้ขอเบิก</t>
        </is>
      </c>
      <c r="B175" s="334" t="n"/>
      <c r="C175" s="334" t="n"/>
      <c r="D175" s="334" t="n"/>
      <c r="E175" s="334" t="n"/>
      <c r="F175" s="334" t="n"/>
      <c r="G175" s="335" t="n"/>
      <c r="H175" s="207" t="inlineStr">
        <is>
          <t>ผู้รับรอง</t>
        </is>
      </c>
      <c r="I175" s="334" t="n"/>
      <c r="J175" s="334" t="n"/>
      <c r="K175" s="334" t="n"/>
      <c r="L175" s="335" t="n"/>
      <c r="M175" s="207" t="inlineStr">
        <is>
          <t>ผู้ตรวจ</t>
        </is>
      </c>
      <c r="N175" s="334" t="n"/>
      <c r="O175" s="334" t="n"/>
      <c r="P175" s="334" t="n"/>
      <c r="Q175" s="334" t="n"/>
      <c r="R175" s="334" t="n"/>
      <c r="S175" s="335" t="n"/>
    </row>
    <row r="176" ht="22.2" customHeight="1" s="330">
      <c r="A176" s="252" t="inlineStr">
        <is>
          <t>ลงชื่อ……………………………………………</t>
        </is>
      </c>
      <c r="G176" s="331" t="n"/>
      <c r="H176" s="252" t="inlineStr">
        <is>
          <t>ลงชื่อ……………………………………………</t>
        </is>
      </c>
      <c r="L176" s="331" t="n"/>
      <c r="M176" s="252" t="inlineStr">
        <is>
          <t>ลงชื่อ……………………………………………</t>
        </is>
      </c>
      <c r="S176" s="331" t="n"/>
    </row>
    <row r="177" ht="22.2" customHeight="1" s="330">
      <c r="A177" s="12" t="inlineStr">
        <is>
          <t>(</t>
        </is>
      </c>
      <c r="B177" s="309">
        <f>B145</f>
        <v/>
      </c>
      <c r="G177" s="310" t="inlineStr">
        <is>
          <t>)</t>
        </is>
      </c>
      <c r="H177" s="309" t="inlineStr">
        <is>
          <t>(</t>
        </is>
      </c>
      <c r="I177" s="314">
        <f>I131</f>
        <v/>
      </c>
      <c r="L177" s="13" t="inlineStr">
        <is>
          <t>)</t>
        </is>
      </c>
      <c r="M177" s="61" t="inlineStr">
        <is>
          <t>(</t>
        </is>
      </c>
      <c r="N177" s="61" t="n"/>
      <c r="O177" s="309" t="inlineStr">
        <is>
          <t>นายพิสุทธิศักดิ์  กล่อมนาค</t>
        </is>
      </c>
      <c r="R177" s="29" t="n"/>
      <c r="S177" s="310" t="inlineStr">
        <is>
          <t>)</t>
        </is>
      </c>
    </row>
    <row r="178" ht="22.2" customHeight="1" s="330">
      <c r="A178" s="483" t="inlineStr">
        <is>
          <t xml:space="preserve">                    ตำแหน่ง  ครู</t>
        </is>
      </c>
      <c r="G178" s="331" t="n"/>
      <c r="H178" s="62" t="inlineStr">
        <is>
          <t>ตำแหน่ง หัวหน้าแผนก</t>
        </is>
      </c>
      <c r="L178" s="331" t="n"/>
      <c r="M178" s="62" t="inlineStr">
        <is>
          <t>ตำแหน่ง   ผู้ตรวจสอบ</t>
        </is>
      </c>
      <c r="S178" s="331" t="n"/>
    </row>
    <row r="179" ht="22.2" customHeight="1" s="330">
      <c r="A179" s="63">
        <f>A41</f>
        <v/>
      </c>
      <c r="B179" s="471" t="n"/>
      <c r="C179" s="471" t="n"/>
      <c r="D179" s="471" t="n"/>
      <c r="E179" s="471" t="n"/>
      <c r="F179" s="471" t="n"/>
      <c r="G179" s="476" t="n"/>
      <c r="H179" s="62">
        <f>A41</f>
        <v/>
      </c>
      <c r="L179" s="331" t="n"/>
      <c r="M179" s="63">
        <f>A41</f>
        <v/>
      </c>
      <c r="N179" s="471" t="n"/>
      <c r="O179" s="471" t="n"/>
      <c r="P179" s="471" t="n"/>
      <c r="Q179" s="471" t="n"/>
      <c r="R179" s="471" t="n"/>
      <c r="S179" s="476" t="n"/>
    </row>
    <row r="180" ht="22.2" customHeight="1" s="330">
      <c r="A180" s="207" t="inlineStr">
        <is>
          <t>ผู้ตรวจ</t>
        </is>
      </c>
      <c r="B180" s="334" t="n"/>
      <c r="C180" s="334" t="n"/>
      <c r="D180" s="334" t="n"/>
      <c r="E180" s="334" t="n"/>
      <c r="F180" s="334" t="n"/>
      <c r="G180" s="334" t="n"/>
      <c r="H180" s="334" t="n"/>
      <c r="I180" s="335" t="n"/>
      <c r="J180" s="207" t="inlineStr">
        <is>
          <t>ผู้เห็นชอบ</t>
        </is>
      </c>
      <c r="K180" s="334" t="n"/>
      <c r="L180" s="334" t="n"/>
      <c r="M180" s="334" t="n"/>
      <c r="N180" s="334" t="n"/>
      <c r="O180" s="334" t="n"/>
      <c r="P180" s="334" t="n"/>
      <c r="Q180" s="334" t="n"/>
      <c r="R180" s="334" t="n"/>
      <c r="S180" s="335" t="n"/>
    </row>
    <row r="181" ht="22.2" customHeight="1" s="330">
      <c r="A181" s="252" t="inlineStr">
        <is>
          <t>ลงชื่อ……………………………………………</t>
        </is>
      </c>
      <c r="I181" s="331" t="n"/>
      <c r="J181" s="252" t="inlineStr">
        <is>
          <t>ลงชื่อ……………………………………………</t>
        </is>
      </c>
      <c r="S181" s="331" t="n"/>
    </row>
    <row r="182" ht="22.2" customHeight="1" s="330">
      <c r="A182" s="12" t="n"/>
      <c r="B182" s="309" t="inlineStr">
        <is>
          <t xml:space="preserve">          (นางศิวรักษ์   บุญประเสริฐ)</t>
        </is>
      </c>
      <c r="I182" s="310" t="n"/>
      <c r="J182" s="29" t="n"/>
      <c r="K182" s="29" t="n"/>
      <c r="L182" s="309" t="inlineStr">
        <is>
          <t>(นายปรีชา  โพธิ์เกิด)</t>
        </is>
      </c>
      <c r="R182" s="29" t="n"/>
      <c r="S182" s="13" t="n"/>
    </row>
    <row r="183" ht="22.2" customHeight="1" s="330">
      <c r="A183" s="62" t="inlineStr">
        <is>
          <t>ตำแหน่งครู  หัวหน้างานพัฒนาหลักสูตร ฯ</t>
        </is>
      </c>
      <c r="I183" s="331" t="n"/>
      <c r="J183" s="62" t="inlineStr">
        <is>
          <t>ตำแหน่ง  รองผู้อำนวยการฝ่ายวิชาการ</t>
        </is>
      </c>
      <c r="S183" s="331" t="n"/>
    </row>
    <row r="184" ht="22.2" customHeight="1" s="330">
      <c r="A184" s="63">
        <f>A41</f>
        <v/>
      </c>
      <c r="B184" s="471" t="n"/>
      <c r="C184" s="471" t="n"/>
      <c r="D184" s="471" t="n"/>
      <c r="E184" s="471" t="n"/>
      <c r="F184" s="471" t="n"/>
      <c r="G184" s="471" t="n"/>
      <c r="H184" s="471" t="n"/>
      <c r="I184" s="476" t="n"/>
      <c r="J184" s="63">
        <f>A41</f>
        <v/>
      </c>
      <c r="K184" s="471" t="n"/>
      <c r="L184" s="471" t="n"/>
      <c r="M184" s="471" t="n"/>
      <c r="N184" s="471" t="n"/>
      <c r="O184" s="471" t="n"/>
      <c r="P184" s="471" t="n"/>
      <c r="Q184" s="471" t="n"/>
      <c r="R184" s="471" t="n"/>
      <c r="S184" s="476" t="n"/>
    </row>
    <row r="185" ht="22.2" customHeight="1" s="330">
      <c r="A18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86" ht="22.2" customHeight="1" s="330">
      <c r="A186" s="254">
        <f>A2</f>
        <v/>
      </c>
    </row>
    <row r="187" ht="22.2" customHeight="1" s="330">
      <c r="A187" s="253" t="inlineStr">
        <is>
          <t xml:space="preserve">    ระหว่างวันที่</t>
        </is>
      </c>
      <c r="D187" s="254">
        <f>D3</f>
        <v/>
      </c>
      <c r="E187" s="254" t="inlineStr">
        <is>
          <t xml:space="preserve">   เดือน  </t>
        </is>
      </c>
      <c r="F187" s="254">
        <f>F3</f>
        <v/>
      </c>
      <c r="H187" s="254">
        <f>H3</f>
        <v/>
      </c>
      <c r="I187" s="254" t="inlineStr">
        <is>
          <t xml:space="preserve">     ถึง วันที่</t>
        </is>
      </c>
      <c r="J187" s="254">
        <f>J3</f>
        <v/>
      </c>
      <c r="K187" s="254" t="inlineStr">
        <is>
          <t xml:space="preserve">   เดือน </t>
        </is>
      </c>
      <c r="L187" s="254">
        <f>L3</f>
        <v/>
      </c>
      <c r="N187" s="254">
        <f>N3</f>
        <v/>
      </c>
      <c r="P187" s="254" t="n"/>
      <c r="R187" s="254" t="n"/>
    </row>
    <row r="188" ht="22.2" customHeight="1" s="330">
      <c r="G188" s="58" t="inlineStr">
        <is>
          <t>ü</t>
        </is>
      </c>
      <c r="H188" s="290" t="inlineStr">
        <is>
          <t>ครู</t>
        </is>
      </c>
      <c r="I188" s="249" t="inlineStr">
        <is>
          <t>หน้าที่พิเศษ</t>
        </is>
      </c>
      <c r="J188" s="8" t="inlineStr">
        <is>
          <t>หัวหน้างานศูนย์ข้อมูล และสารสนเทศ</t>
        </is>
      </c>
    </row>
    <row r="189" ht="22.2" customHeight="1" s="330">
      <c r="A189" s="28" t="inlineStr">
        <is>
          <t>ที่</t>
        </is>
      </c>
      <c r="B189" s="28" t="inlineStr">
        <is>
          <t>ชื่อ-สกุล</t>
        </is>
      </c>
      <c r="C189" s="334" t="n"/>
      <c r="D189" s="335" t="n"/>
      <c r="E189" s="16" t="inlineStr">
        <is>
          <t>ตำแหน่ง</t>
        </is>
      </c>
      <c r="F189" s="17" t="inlineStr">
        <is>
          <t>ระยะเวลาที่สอน</t>
        </is>
      </c>
      <c r="G189" s="362" t="n"/>
      <c r="H189" s="17" t="inlineStr">
        <is>
          <t>รหัสวิชา</t>
        </is>
      </c>
      <c r="I189" s="275" t="inlineStr">
        <is>
          <t>ชั้น,แผนก,ห้อง</t>
        </is>
      </c>
      <c r="J189" s="17" t="inlineStr">
        <is>
          <t>เวลาสอน</t>
        </is>
      </c>
      <c r="K189" s="335" t="n"/>
      <c r="L189" s="17" t="inlineStr">
        <is>
          <t>ปวช.(คาบ)</t>
        </is>
      </c>
      <c r="M189" s="362" t="n"/>
      <c r="N189" s="244" t="inlineStr">
        <is>
          <t>เงิน</t>
        </is>
      </c>
      <c r="O189" s="275" t="inlineStr">
        <is>
          <t>ยอดเงิน</t>
        </is>
      </c>
      <c r="P189" s="473" t="inlineStr">
        <is>
          <t>ปวส.(คาบ)</t>
        </is>
      </c>
      <c r="Q189" s="362" t="n"/>
      <c r="R189" s="244" t="inlineStr">
        <is>
          <t>เงิน</t>
        </is>
      </c>
      <c r="S189" s="275" t="inlineStr">
        <is>
          <t>ยอดเงิน</t>
        </is>
      </c>
    </row>
    <row r="190" ht="22.2" customHeight="1" s="330">
      <c r="A190" s="60" t="n"/>
      <c r="B190" s="9" t="n"/>
      <c r="C190" s="10" t="n"/>
      <c r="D190" s="14" t="n"/>
      <c r="E190" s="11" t="n"/>
      <c r="F190" s="276" t="inlineStr">
        <is>
          <t>ส.</t>
        </is>
      </c>
      <c r="G190" s="276" t="inlineStr">
        <is>
          <t>วดป.</t>
        </is>
      </c>
      <c r="H190" s="474" t="n"/>
      <c r="I190" s="276" t="n"/>
      <c r="J190" s="475" t="n"/>
      <c r="K190" s="476" t="n"/>
      <c r="L190" s="276" t="inlineStr">
        <is>
          <t>ใน</t>
        </is>
      </c>
      <c r="M190" s="276" t="inlineStr">
        <is>
          <t>นอก</t>
        </is>
      </c>
      <c r="N190" s="276" t="inlineStr">
        <is>
          <t>ต่อ ชม.</t>
        </is>
      </c>
      <c r="O190" s="276" t="inlineStr">
        <is>
          <t>(บาท)</t>
        </is>
      </c>
      <c r="P190" s="60" t="inlineStr">
        <is>
          <t>ใน</t>
        </is>
      </c>
      <c r="Q190" s="60" t="inlineStr">
        <is>
          <t>นอก</t>
        </is>
      </c>
      <c r="R190" s="276" t="inlineStr">
        <is>
          <t>ต่อ ชม.</t>
        </is>
      </c>
      <c r="S190" s="276" t="inlineStr">
        <is>
          <t>(บาท)</t>
        </is>
      </c>
    </row>
    <row r="191" ht="22.2" customHeight="1" s="330">
      <c r="A191" s="275" t="n">
        <v>5</v>
      </c>
      <c r="B191" s="477">
        <f>AB7</f>
        <v/>
      </c>
      <c r="C191" s="334" t="n"/>
      <c r="D191" s="335" t="n"/>
      <c r="E191" s="275" t="inlineStr">
        <is>
          <t>ครู</t>
        </is>
      </c>
      <c r="F191" s="6" t="n">
        <v>5</v>
      </c>
      <c r="G191" s="303" t="inlineStr">
        <is>
          <t>จันทร์</t>
        </is>
      </c>
      <c r="H191" s="332" t="inlineStr">
        <is>
          <t>30101-2101</t>
        </is>
      </c>
      <c r="I191" s="325" t="inlineStr">
        <is>
          <t>ปวส.2/6 สย. (ม.6)</t>
        </is>
      </c>
      <c r="J191" s="332" t="inlineStr">
        <is>
          <t>08.10-12.10</t>
        </is>
      </c>
      <c r="K191" s="335" t="n"/>
      <c r="L191" s="265" t="n"/>
      <c r="M191" s="332" t="n"/>
      <c r="N191" s="332" t="n"/>
      <c r="O191" s="244">
        <f>M191*N191</f>
        <v/>
      </c>
      <c r="P191" s="332" t="n"/>
      <c r="Q191" s="265" t="n"/>
      <c r="R191" s="332" t="n"/>
      <c r="S191" s="244">
        <f>Q191*R191</f>
        <v/>
      </c>
    </row>
    <row r="192" ht="22.2" customHeight="1" s="330">
      <c r="A192" s="4" t="n"/>
      <c r="B192" s="478" t="n"/>
      <c r="D192" s="331" t="n"/>
      <c r="E192" s="252" t="n"/>
      <c r="F192" s="249" t="n"/>
      <c r="G192" s="308">
        <f>G146</f>
        <v/>
      </c>
      <c r="H192" s="325" t="inlineStr">
        <is>
          <t>30101-2101</t>
        </is>
      </c>
      <c r="I192" s="325" t="inlineStr">
        <is>
          <t>ปวส.2/6 สย. (ม.6)</t>
        </is>
      </c>
      <c r="J192" s="252" t="inlineStr">
        <is>
          <t>13.10-14.10</t>
        </is>
      </c>
      <c r="K192" s="331" t="n"/>
      <c r="L192" s="252" t="n"/>
      <c r="M192" s="252" t="n"/>
      <c r="N192" s="252" t="n"/>
      <c r="O192" s="244">
        <f>M192*N192</f>
        <v/>
      </c>
      <c r="P192" s="252" t="n"/>
      <c r="Q192" s="252" t="n"/>
      <c r="R192" s="252" t="n"/>
      <c r="S192" s="244">
        <f>Q192*R192</f>
        <v/>
      </c>
    </row>
    <row r="193" ht="22.2" customHeight="1" s="330">
      <c r="A193" s="4" t="n"/>
      <c r="B193" s="5" t="n"/>
      <c r="D193" s="3" t="n"/>
      <c r="E193" s="3" t="n"/>
      <c r="F193" s="249" t="n"/>
      <c r="G193" s="248" t="n"/>
      <c r="H193" s="325" t="inlineStr">
        <is>
          <t>30101-2101</t>
        </is>
      </c>
      <c r="I193" s="325" t="inlineStr">
        <is>
          <t>ปวส.2/5 สย. (ม.6)</t>
        </is>
      </c>
      <c r="J193" s="252" t="inlineStr">
        <is>
          <t>14.10-19.10</t>
        </is>
      </c>
      <c r="K193" s="331" t="n"/>
      <c r="L193" s="252" t="n"/>
      <c r="M193" s="252" t="n"/>
      <c r="N193" s="252" t="n"/>
      <c r="O193" s="244">
        <f>M193*N193</f>
        <v/>
      </c>
      <c r="P193" s="252" t="n"/>
      <c r="Q193" s="252" t="n"/>
      <c r="R193" s="252" t="n"/>
      <c r="S193" s="244">
        <f>Q193*R193</f>
        <v/>
      </c>
    </row>
    <row r="194" ht="22.2" customHeight="1" s="330">
      <c r="A194" s="4" t="n"/>
      <c r="B194" s="5" t="n"/>
      <c r="E194" s="4" t="n"/>
      <c r="F194" s="249" t="n"/>
      <c r="G194" s="248" t="n"/>
      <c r="H194" s="252" t="n"/>
      <c r="I194" s="252" t="n"/>
      <c r="J194" s="252" t="n"/>
      <c r="K194" s="331" t="n"/>
      <c r="L194" s="252" t="n"/>
      <c r="M194" s="252" t="n"/>
      <c r="N194" s="252" t="n"/>
      <c r="O194" s="244">
        <f>M194*N194</f>
        <v/>
      </c>
      <c r="P194" s="252" t="n"/>
      <c r="Q194" s="252" t="n"/>
      <c r="R194" s="252" t="n"/>
      <c r="S194" s="244">
        <f>Q194*R194</f>
        <v/>
      </c>
    </row>
    <row r="195" ht="22.2" customHeight="1" s="330">
      <c r="A195" s="4" t="n"/>
      <c r="E195" s="4" t="n"/>
      <c r="G195" s="311" t="n"/>
      <c r="H195" s="276" t="n"/>
      <c r="I195" s="276" t="n"/>
      <c r="J195" s="276" t="n"/>
      <c r="K195" s="476" t="n"/>
      <c r="L195" s="252" t="n"/>
      <c r="M195" s="252" t="n"/>
      <c r="N195" s="252" t="n"/>
      <c r="O195" s="244">
        <f>M195*N195</f>
        <v/>
      </c>
      <c r="P195" s="252" t="n"/>
      <c r="Q195" s="252" t="n"/>
      <c r="R195" s="252" t="n"/>
      <c r="S195" s="244">
        <f>Q195*R195</f>
        <v/>
      </c>
    </row>
    <row r="196" ht="22.2" customHeight="1" s="330">
      <c r="A196" s="4" t="n"/>
      <c r="B196" s="170" t="n"/>
      <c r="C196" s="171" t="n"/>
      <c r="D196" s="172" t="n"/>
      <c r="E196" s="173" t="n"/>
      <c r="F196" s="172" t="n"/>
      <c r="G196" s="62" t="inlineStr">
        <is>
          <t>อังคาร</t>
        </is>
      </c>
      <c r="H196" s="332" t="inlineStr">
        <is>
          <t>30101-2101</t>
        </is>
      </c>
      <c r="I196" s="325" t="inlineStr">
        <is>
          <t>ปวส.2/7 สย. (ม.6)</t>
        </is>
      </c>
      <c r="J196" s="332" t="inlineStr">
        <is>
          <t>08.10-12.10</t>
        </is>
      </c>
      <c r="K196" s="335" t="n"/>
      <c r="L196" s="265" t="n"/>
      <c r="M196" s="332" t="n"/>
      <c r="N196" s="332" t="n"/>
      <c r="O196" s="244">
        <f>M196*N196</f>
        <v/>
      </c>
      <c r="P196" s="332" t="n"/>
      <c r="Q196" s="265" t="n"/>
      <c r="R196" s="332" t="n"/>
      <c r="S196" s="244">
        <f>Q196*R196</f>
        <v/>
      </c>
    </row>
    <row r="197" ht="22.2" customHeight="1" s="330">
      <c r="A197" s="4" t="n"/>
      <c r="D197" s="3" t="n"/>
      <c r="E197" s="4" t="n"/>
      <c r="G197" s="308">
        <f>G151</f>
        <v/>
      </c>
      <c r="H197" s="325" t="inlineStr">
        <is>
          <t>30101-2101</t>
        </is>
      </c>
      <c r="I197" s="325" t="inlineStr">
        <is>
          <t>ปวส.2/7 สย. (ม.6)</t>
        </is>
      </c>
      <c r="J197" s="252" t="inlineStr">
        <is>
          <t>13.10-14.10</t>
        </is>
      </c>
      <c r="K197" s="331" t="n"/>
      <c r="L197" s="252" t="n"/>
      <c r="M197" s="252" t="n"/>
      <c r="N197" s="252" t="n"/>
      <c r="O197" s="244">
        <f>M197*N197</f>
        <v/>
      </c>
      <c r="P197" s="252" t="n"/>
      <c r="Q197" s="252" t="n"/>
      <c r="R197" s="252" t="n"/>
      <c r="S197" s="244">
        <f>Q197*R197</f>
        <v/>
      </c>
    </row>
    <row r="198" ht="22.2" customHeight="1" s="330">
      <c r="A198" s="4" t="n"/>
      <c r="B198" s="5" t="n"/>
      <c r="D198" s="3" t="n"/>
      <c r="E198" s="3" t="n"/>
      <c r="G198" s="252" t="n"/>
      <c r="H198" s="252" t="n"/>
      <c r="I198" s="325" t="n"/>
      <c r="J198" s="252" t="n"/>
      <c r="K198" s="331" t="n"/>
      <c r="L198" s="252" t="n"/>
      <c r="M198" s="252" t="n"/>
      <c r="N198" s="252" t="n"/>
      <c r="O198" s="244">
        <f>M198*N198</f>
        <v/>
      </c>
      <c r="P198" s="252" t="n"/>
      <c r="Q198" s="252" t="n"/>
      <c r="R198" s="252" t="n"/>
      <c r="S198" s="244">
        <f>Q198*R198</f>
        <v/>
      </c>
    </row>
    <row r="199" ht="22.2" customHeight="1" s="330">
      <c r="A199" s="4" t="n"/>
      <c r="E199" s="4" t="n"/>
      <c r="G199" s="62" t="n"/>
      <c r="H199" s="252" t="n"/>
      <c r="I199" s="252" t="n"/>
      <c r="J199" s="252" t="n"/>
      <c r="K199" s="331" t="n"/>
      <c r="L199" s="252" t="n"/>
      <c r="M199" s="252" t="n"/>
      <c r="N199" s="252" t="n"/>
      <c r="O199" s="244">
        <f>M199*N199</f>
        <v/>
      </c>
      <c r="P199" s="252" t="n"/>
      <c r="Q199" s="252" t="n"/>
      <c r="R199" s="252" t="n"/>
      <c r="S199" s="244">
        <f>Q199*R199</f>
        <v/>
      </c>
    </row>
    <row r="200" ht="22.2" customHeight="1" s="330">
      <c r="A200" s="4" t="n"/>
      <c r="D200" s="8" t="inlineStr">
        <is>
          <t> </t>
        </is>
      </c>
      <c r="E200" s="4" t="n"/>
      <c r="G200" s="63" t="n"/>
      <c r="H200" s="276" t="n"/>
      <c r="I200" s="276" t="n"/>
      <c r="J200" s="276" t="n"/>
      <c r="K200" s="476" t="n"/>
      <c r="L200" s="252" t="n"/>
      <c r="M200" s="252" t="n"/>
      <c r="N200" s="252" t="n"/>
      <c r="O200" s="244">
        <f>M200*N200</f>
        <v/>
      </c>
      <c r="P200" s="252" t="n"/>
      <c r="Q200" s="252" t="n"/>
      <c r="R200" s="252" t="n"/>
      <c r="S200" s="244">
        <f>Q200*R200</f>
        <v/>
      </c>
    </row>
    <row r="201" ht="22.2" customHeight="1" s="330">
      <c r="A201" s="4" t="n"/>
      <c r="E201" s="4" t="n"/>
      <c r="G201" s="308" t="inlineStr">
        <is>
          <t>พุธ</t>
        </is>
      </c>
      <c r="H201" s="252" t="inlineStr">
        <is>
          <t>30101-8001</t>
        </is>
      </c>
      <c r="I201" s="325" t="inlineStr">
        <is>
          <t>ปวส.2/2 สย. (ปกติ)</t>
        </is>
      </c>
      <c r="J201" s="332" t="inlineStr">
        <is>
          <t>08.10-12.10</t>
        </is>
      </c>
      <c r="K201" s="335" t="n"/>
      <c r="L201" s="265" t="n"/>
      <c r="M201" s="332" t="n"/>
      <c r="N201" s="332" t="n"/>
      <c r="O201" s="244">
        <f>M201*N201</f>
        <v/>
      </c>
      <c r="P201" s="332" t="n"/>
      <c r="Q201" s="265" t="n"/>
      <c r="R201" s="332" t="n"/>
      <c r="S201" s="244">
        <f>Q201*R201</f>
        <v/>
      </c>
      <c r="T201" s="24" t="n"/>
      <c r="U201" s="24" t="inlineStr">
        <is>
          <t>สอน ป.ตรี</t>
        </is>
      </c>
      <c r="V201" s="65" t="n"/>
      <c r="W201" s="24" t="n"/>
      <c r="X201" s="24" t="n"/>
    </row>
    <row r="202" ht="22.2" customHeight="1" s="330">
      <c r="A202" s="4" t="n"/>
      <c r="B202" s="248" t="n"/>
      <c r="C202" s="249" t="n"/>
      <c r="D202" s="249" t="n"/>
      <c r="E202" s="252" t="n"/>
      <c r="G202" s="308">
        <f>G156</f>
        <v/>
      </c>
      <c r="H202" s="252" t="n"/>
      <c r="I202" s="325" t="n"/>
      <c r="J202" s="252" t="n"/>
      <c r="K202" s="331" t="n"/>
      <c r="L202" s="252" t="n"/>
      <c r="M202" s="252" t="n"/>
      <c r="N202" s="252" t="n"/>
      <c r="O202" s="244">
        <f>M202*N202</f>
        <v/>
      </c>
      <c r="P202" s="252" t="n"/>
      <c r="Q202" s="252" t="n"/>
      <c r="R202" s="252" t="n"/>
      <c r="S202" s="244">
        <f>Q202*R202</f>
        <v/>
      </c>
      <c r="T202" s="24" t="n"/>
      <c r="U202" s="24" t="inlineStr">
        <is>
          <t>17.10-20.10</t>
        </is>
      </c>
      <c r="V202" s="65" t="n"/>
      <c r="W202" s="24" t="n"/>
      <c r="X202" s="24" t="n"/>
    </row>
    <row r="203" ht="22.2" customHeight="1" s="330">
      <c r="A203" s="4" t="n"/>
      <c r="B203" s="5" t="n"/>
      <c r="D203" s="3" t="n"/>
      <c r="E203" s="3" t="n"/>
      <c r="G203" s="252" t="n"/>
      <c r="H203" s="252" t="n"/>
      <c r="I203" s="325" t="n"/>
      <c r="J203" s="252" t="n"/>
      <c r="K203" s="331" t="n"/>
      <c r="L203" s="252" t="n"/>
      <c r="M203" s="252" t="n"/>
      <c r="N203" s="252" t="n"/>
      <c r="O203" s="244">
        <f>M203*N203</f>
        <v/>
      </c>
      <c r="P203" s="252" t="n"/>
      <c r="Q203" s="252" t="n"/>
      <c r="R203" s="252" t="n"/>
      <c r="S203" s="244">
        <f>Q203*R203</f>
        <v/>
      </c>
    </row>
    <row r="204" ht="22.2" customHeight="1" s="330">
      <c r="A204" s="4" t="n"/>
      <c r="E204" s="4" t="n"/>
      <c r="G204" s="248" t="n"/>
      <c r="H204" s="248" t="n"/>
      <c r="I204" s="252" t="n"/>
      <c r="J204" s="252" t="n"/>
      <c r="K204" s="331" t="n"/>
      <c r="L204" s="252" t="n"/>
      <c r="M204" s="252" t="n"/>
      <c r="N204" s="252" t="n"/>
      <c r="O204" s="244">
        <f>M204*N204</f>
        <v/>
      </c>
      <c r="P204" s="252" t="n"/>
      <c r="Q204" s="252" t="n"/>
      <c r="R204" s="252" t="n"/>
      <c r="S204" s="244">
        <f>Q204*R204</f>
        <v/>
      </c>
    </row>
    <row r="205" ht="22.2" customHeight="1" s="330">
      <c r="A205" s="4" t="n"/>
      <c r="E205" s="4" t="n"/>
      <c r="G205" s="277" t="n"/>
      <c r="H205" s="277" t="n"/>
      <c r="I205" s="276" t="n"/>
      <c r="J205" s="276" t="n"/>
      <c r="K205" s="476" t="n"/>
      <c r="L205" s="276" t="n"/>
      <c r="M205" s="276" t="n"/>
      <c r="N205" s="276" t="n"/>
      <c r="O205" s="244">
        <f>M205*N205</f>
        <v/>
      </c>
      <c r="P205" s="276" t="n"/>
      <c r="Q205" s="276" t="n"/>
      <c r="R205" s="276" t="n"/>
      <c r="S205" s="244">
        <f>Q205*R205</f>
        <v/>
      </c>
    </row>
    <row r="206" ht="22.2" customHeight="1" s="330">
      <c r="A206" s="4" t="n"/>
      <c r="E206" s="4" t="n"/>
      <c r="G206" s="62" t="inlineStr">
        <is>
          <t>พฤหัส</t>
        </is>
      </c>
      <c r="H206" s="252" t="n"/>
      <c r="I206" s="325" t="n"/>
      <c r="J206" s="332" t="n"/>
      <c r="K206" s="335" t="n"/>
      <c r="L206" s="252" t="n"/>
      <c r="M206" s="252" t="n"/>
      <c r="N206" s="252" t="n"/>
      <c r="O206" s="244">
        <f>M206*N206</f>
        <v/>
      </c>
      <c r="P206" s="252" t="n"/>
      <c r="Q206" s="275" t="n"/>
      <c r="R206" s="275" t="n"/>
      <c r="S206" s="244">
        <f>Q206*R206</f>
        <v/>
      </c>
    </row>
    <row r="207" ht="22.2" customHeight="1" s="330">
      <c r="A207" s="4" t="n"/>
      <c r="E207" s="4" t="n"/>
      <c r="G207" s="308">
        <f>G161</f>
        <v/>
      </c>
      <c r="H207" s="252" t="n"/>
      <c r="I207" s="325" t="n"/>
      <c r="J207" s="252" t="n"/>
      <c r="K207" s="331" t="n"/>
      <c r="L207" s="252" t="n"/>
      <c r="M207" s="252" t="n"/>
      <c r="N207" s="252" t="n"/>
      <c r="O207" s="244">
        <f>M207*N207</f>
        <v/>
      </c>
      <c r="P207" s="252" t="n"/>
      <c r="Q207" s="252" t="n"/>
      <c r="R207" s="252" t="n"/>
      <c r="S207" s="244">
        <f>Q207*R207</f>
        <v/>
      </c>
    </row>
    <row r="208" ht="22.2" customHeight="1" s="330">
      <c r="A208" s="4" t="n"/>
      <c r="E208" s="4" t="n"/>
      <c r="G208" s="252" t="n"/>
      <c r="H208" s="325" t="n"/>
      <c r="I208" s="325" t="n"/>
      <c r="J208" s="252" t="n"/>
      <c r="K208" s="331" t="n"/>
      <c r="L208" s="325" t="n"/>
      <c r="M208" s="325" t="n"/>
      <c r="N208" s="325" t="n"/>
      <c r="O208" s="244">
        <f>M208*N208</f>
        <v/>
      </c>
      <c r="P208" s="325" t="n"/>
      <c r="Q208" s="325" t="n"/>
      <c r="R208" s="325" t="n"/>
      <c r="S208" s="244">
        <f>Q208*R208</f>
        <v/>
      </c>
    </row>
    <row r="209" ht="22.2" customHeight="1" s="330">
      <c r="A209" s="4" t="n"/>
      <c r="E209" s="4" t="n"/>
      <c r="G209" s="252" t="n"/>
      <c r="H209" s="252" t="n"/>
      <c r="I209" s="252" t="n"/>
      <c r="J209" s="252" t="n"/>
      <c r="K209" s="331" t="n"/>
      <c r="L209" s="252" t="n"/>
      <c r="M209" s="252" t="n"/>
      <c r="N209" s="252" t="n"/>
      <c r="O209" s="244">
        <f>M209*N209</f>
        <v/>
      </c>
      <c r="P209" s="252" t="n"/>
      <c r="Q209" s="252" t="n"/>
      <c r="R209" s="252" t="n"/>
      <c r="S209" s="244">
        <f>Q209*R209</f>
        <v/>
      </c>
    </row>
    <row r="210" ht="22.2" customHeight="1" s="330">
      <c r="A210" s="4" t="n"/>
      <c r="E210" s="4" t="n"/>
      <c r="G210" s="276" t="n"/>
      <c r="H210" s="301" t="n"/>
      <c r="I210" s="276" t="n"/>
      <c r="J210" s="276" t="n"/>
      <c r="K210" s="476" t="n"/>
      <c r="L210" s="276" t="n"/>
      <c r="M210" s="276" t="n"/>
      <c r="N210" s="276" t="n"/>
      <c r="O210" s="244">
        <f>M210*N210</f>
        <v/>
      </c>
      <c r="P210" s="276" t="n"/>
      <c r="Q210" s="276" t="n"/>
      <c r="R210" s="276" t="n"/>
      <c r="S210" s="244">
        <f>Q210*R210</f>
        <v/>
      </c>
    </row>
    <row r="211" ht="22.2" customHeight="1" s="330">
      <c r="A211" s="4" t="n"/>
      <c r="E211" s="4" t="n"/>
      <c r="G211" s="62" t="inlineStr">
        <is>
          <t>ศุกร์</t>
        </is>
      </c>
      <c r="H211" s="332" t="inlineStr">
        <is>
          <t>30101-2109</t>
        </is>
      </c>
      <c r="I211" s="325" t="inlineStr">
        <is>
          <t>ปวส.2/5 สย. (ม.6)</t>
        </is>
      </c>
      <c r="J211" s="332" t="inlineStr">
        <is>
          <t>08.10-12.10</t>
        </is>
      </c>
      <c r="K211" s="335" t="n"/>
      <c r="L211" s="252" t="n"/>
      <c r="M211" s="252" t="n"/>
      <c r="N211" s="252" t="n"/>
      <c r="O211" s="244">
        <f>M211*N211</f>
        <v/>
      </c>
      <c r="P211" s="332" t="n"/>
      <c r="Q211" s="265" t="n"/>
      <c r="R211" s="332" t="n"/>
      <c r="S211" s="244">
        <f>Q211*R211</f>
        <v/>
      </c>
    </row>
    <row r="212" ht="22.2" customHeight="1" s="330">
      <c r="A212" s="4" t="n"/>
      <c r="B212" s="170" t="n"/>
      <c r="C212" s="171" t="n"/>
      <c r="D212" s="172" t="n"/>
      <c r="E212" s="173" t="n"/>
      <c r="F212" s="172" t="n"/>
      <c r="G212" s="308">
        <f>G166</f>
        <v/>
      </c>
      <c r="H212" s="325" t="inlineStr">
        <is>
          <t>30101-2109</t>
        </is>
      </c>
      <c r="I212" s="325" t="inlineStr">
        <is>
          <t>ปวส.2/5 สย. (ม.6)</t>
        </is>
      </c>
      <c r="J212" s="252" t="inlineStr">
        <is>
          <t>13.10-14.10</t>
        </is>
      </c>
      <c r="K212" s="331" t="n"/>
      <c r="L212" s="252" t="n"/>
      <c r="M212" s="252" t="n"/>
      <c r="N212" s="252" t="n"/>
      <c r="O212" s="244">
        <f>M212*N212</f>
        <v/>
      </c>
      <c r="P212" s="252" t="n"/>
      <c r="Q212" s="252" t="n"/>
      <c r="R212" s="252" t="n"/>
      <c r="S212" s="244">
        <f>Q212*R212</f>
        <v/>
      </c>
    </row>
    <row r="213" ht="22.2" customHeight="1" s="330">
      <c r="A213" s="4" t="n"/>
      <c r="E213" s="4" t="n"/>
      <c r="G213" s="252" t="n"/>
      <c r="H213" s="325" t="n"/>
      <c r="I213" s="325" t="n"/>
      <c r="J213" s="252" t="n"/>
      <c r="K213" s="331" t="n"/>
      <c r="L213" s="252" t="n"/>
      <c r="M213" s="252" t="n"/>
      <c r="N213" s="252" t="n"/>
      <c r="O213" s="244">
        <f>M213*N213</f>
        <v/>
      </c>
      <c r="P213" s="252" t="n"/>
      <c r="Q213" s="252" t="n"/>
      <c r="R213" s="252" t="n"/>
      <c r="S213" s="244">
        <f>Q213*R213</f>
        <v/>
      </c>
    </row>
    <row r="214" ht="22.2" customHeight="1" s="330">
      <c r="A214" s="4" t="n"/>
      <c r="E214" s="4" t="n"/>
      <c r="G214" s="252" t="n"/>
      <c r="H214" s="252" t="n"/>
      <c r="I214" s="252" t="n"/>
      <c r="J214" s="252" t="n"/>
      <c r="K214" s="331" t="n"/>
      <c r="L214" s="252" t="n"/>
      <c r="M214" s="252" t="n"/>
      <c r="N214" s="252" t="n"/>
      <c r="O214" s="244">
        <f>M214*N214</f>
        <v/>
      </c>
      <c r="P214" s="252" t="n"/>
      <c r="Q214" s="252" t="n"/>
      <c r="R214" s="252" t="n"/>
      <c r="S214" s="244">
        <f>Q214*R214</f>
        <v/>
      </c>
    </row>
    <row r="215" ht="22.2" customHeight="1" s="330">
      <c r="A215" s="4" t="n"/>
      <c r="E215" s="4" t="n"/>
      <c r="F215" s="4" t="n"/>
      <c r="G215" s="278" t="n"/>
      <c r="H215" s="301" t="n"/>
      <c r="I215" s="276" t="n"/>
      <c r="J215" s="276" t="n"/>
      <c r="K215" s="476" t="n"/>
      <c r="L215" s="276" t="n"/>
      <c r="M215" s="276" t="n"/>
      <c r="N215" s="276" t="n"/>
      <c r="O215" s="244">
        <f>M215*N215</f>
        <v/>
      </c>
      <c r="P215" s="276" t="n"/>
      <c r="Q215" s="276" t="n"/>
      <c r="R215" s="276" t="n"/>
      <c r="S215" s="244">
        <f>Q215*R215</f>
        <v/>
      </c>
    </row>
    <row r="216" ht="22.2" customHeight="1" s="330">
      <c r="A216" s="4" t="n"/>
      <c r="E216" s="4" t="n"/>
      <c r="F216" s="4" t="n"/>
      <c r="G216" s="17" t="inlineStr">
        <is>
          <t>รวมขั่วโมงที่สอนแยก ภาระงาน/ เกินภาระงาน</t>
        </is>
      </c>
      <c r="H216" s="467" t="n"/>
      <c r="I216" s="467" t="n"/>
      <c r="J216" s="467" t="n"/>
      <c r="K216" s="362" t="n"/>
      <c r="L216" s="17">
        <f>SUM(L191:L215)</f>
        <v/>
      </c>
      <c r="M216" s="17">
        <f>SUM(M191:M215)</f>
        <v/>
      </c>
      <c r="N216" s="17" t="n"/>
      <c r="O216" s="17" t="n"/>
      <c r="P216" s="17">
        <f>SUM(P191:P215)</f>
        <v/>
      </c>
      <c r="Q216" s="17">
        <f>SUM(Q191:Q215)</f>
        <v/>
      </c>
      <c r="R216" s="279" t="n"/>
      <c r="S216" s="17" t="n"/>
      <c r="T216" s="25" t="n"/>
      <c r="U216" s="26" t="inlineStr">
        <is>
          <t xml:space="preserve">     PLC</t>
        </is>
      </c>
      <c r="V216" s="64" t="n"/>
      <c r="W216" s="27" t="n"/>
      <c r="X216" s="27" t="n"/>
    </row>
    <row r="217" ht="22.2" customHeight="1" s="330">
      <c r="A217" s="4" t="n"/>
      <c r="E217" s="4" t="n"/>
      <c r="F217" s="4" t="n"/>
      <c r="G217" s="17" t="inlineStr">
        <is>
          <t>รวมจำนวนชั่วโมงสอนคาบต่อสับดาห์</t>
        </is>
      </c>
      <c r="H217" s="467" t="n"/>
      <c r="I217" s="467" t="n"/>
      <c r="J217" s="467" t="n"/>
      <c r="K217" s="362" t="n"/>
      <c r="L217" s="17">
        <f>L216+M216</f>
        <v/>
      </c>
      <c r="M217" s="362" t="n"/>
      <c r="N217" s="17" t="n"/>
      <c r="O217" s="298" t="n"/>
      <c r="P217" s="17">
        <f>P216+Q216</f>
        <v/>
      </c>
      <c r="Q217" s="362" t="n"/>
      <c r="R217" s="278" t="n"/>
      <c r="S217" s="276" t="n"/>
      <c r="T217" s="27" t="inlineStr">
        <is>
          <t> </t>
        </is>
      </c>
      <c r="U217" s="26" t="inlineStr">
        <is>
          <t>17.10-19.10</t>
        </is>
      </c>
      <c r="V217" s="64" t="n"/>
      <c r="W217" s="27" t="n"/>
      <c r="X217" s="27" t="n"/>
    </row>
    <row r="218" ht="22.2" customHeight="1" s="330">
      <c r="A218" s="4" t="n"/>
      <c r="E218" s="4" t="n"/>
      <c r="F218" s="4" t="n"/>
      <c r="G218" s="17" t="inlineStr">
        <is>
          <t>จำนวนชั่วโมงสอนตามภาระงานสอน</t>
        </is>
      </c>
      <c r="H218" s="467" t="n"/>
      <c r="I218" s="467" t="n"/>
      <c r="J218" s="467" t="n"/>
      <c r="K218" s="362" t="n"/>
      <c r="L218" s="17" t="n">
        <v>0</v>
      </c>
      <c r="M218" s="362" t="n"/>
      <c r="N218" s="298" t="n"/>
      <c r="O218" s="17" t="n"/>
      <c r="P218" s="17" t="n">
        <v>10</v>
      </c>
      <c r="Q218" s="362" t="n"/>
      <c r="R218" s="249" t="n"/>
      <c r="S218" s="252" t="n"/>
    </row>
    <row r="219" ht="22.2" customHeight="1" s="330" thickBot="1">
      <c r="A219" s="4" t="n"/>
      <c r="E219" s="4" t="n"/>
      <c r="F219" s="15" t="n"/>
      <c r="G219" s="17" t="inlineStr">
        <is>
          <t>จำนวนชั่วโมงบิกเกินภาระงานสอน/ค่าสอน</t>
        </is>
      </c>
      <c r="H219" s="467" t="n"/>
      <c r="I219" s="467" t="n"/>
      <c r="J219" s="467" t="n"/>
      <c r="K219" s="362" t="n"/>
      <c r="L219" s="18" t="n">
        <v>0</v>
      </c>
      <c r="M219" s="18">
        <f>SUM(M191:M215)</f>
        <v/>
      </c>
      <c r="N219" s="18" t="n"/>
      <c r="O219" s="18">
        <f>SUM(O191:O215)</f>
        <v/>
      </c>
      <c r="P219" s="18" t="n">
        <v>0</v>
      </c>
      <c r="Q219" s="18">
        <f>SUM(Q191:Q215)</f>
        <v/>
      </c>
      <c r="R219" s="19" t="n"/>
      <c r="S219" s="18">
        <f>SUM(S191:S215)</f>
        <v/>
      </c>
    </row>
    <row r="220" ht="22.2" customHeight="1" s="330" thickTop="1">
      <c r="A220" s="299" t="inlineStr">
        <is>
          <t>รวมจำนวนหน่วยชั่วโมงที่ขอเบิกค่าสอน ….</t>
        </is>
      </c>
      <c r="B220" s="467" t="n"/>
      <c r="C220" s="467" t="n"/>
      <c r="D220" s="467" t="n"/>
      <c r="E220" s="467" t="n"/>
      <c r="F220" s="467" t="n"/>
      <c r="G220" s="467" t="n"/>
      <c r="H220" s="298">
        <f>M219+Q219</f>
        <v/>
      </c>
      <c r="I220" s="298" t="inlineStr">
        <is>
          <t>….ชั่วโมง</t>
        </is>
      </c>
      <c r="J220" s="298" t="n"/>
      <c r="K220" s="301" t="inlineStr">
        <is>
          <t>ยอดเงินรวม</t>
        </is>
      </c>
      <c r="L220" s="471" t="n"/>
      <c r="M220" s="471" t="n"/>
      <c r="N220" s="301" t="n"/>
      <c r="O220" s="301" t="n"/>
      <c r="P220" s="302">
        <f>S219+O219</f>
        <v/>
      </c>
      <c r="Q220" s="482" t="n"/>
      <c r="R220" s="21" t="n"/>
      <c r="S220" s="20" t="inlineStr">
        <is>
          <t>..บาท</t>
        </is>
      </c>
    </row>
    <row r="221" ht="22.2" customHeight="1" s="330">
      <c r="A221" s="207" t="inlineStr">
        <is>
          <t>ผู้ขอเบิก</t>
        </is>
      </c>
      <c r="B221" s="334" t="n"/>
      <c r="C221" s="334" t="n"/>
      <c r="D221" s="334" t="n"/>
      <c r="E221" s="334" t="n"/>
      <c r="F221" s="334" t="n"/>
      <c r="G221" s="335" t="n"/>
      <c r="H221" s="207" t="inlineStr">
        <is>
          <t>ผู้รับรอง</t>
        </is>
      </c>
      <c r="I221" s="334" t="n"/>
      <c r="J221" s="334" t="n"/>
      <c r="K221" s="334" t="n"/>
      <c r="L221" s="335" t="n"/>
      <c r="M221" s="207" t="inlineStr">
        <is>
          <t>ผู้ตรวจ</t>
        </is>
      </c>
      <c r="N221" s="334" t="n"/>
      <c r="O221" s="334" t="n"/>
      <c r="P221" s="334" t="n"/>
      <c r="Q221" s="334" t="n"/>
      <c r="R221" s="334" t="n"/>
      <c r="S221" s="335" t="n"/>
    </row>
    <row r="222" ht="22.2" customHeight="1" s="330">
      <c r="A222" s="252" t="inlineStr">
        <is>
          <t>ลงชื่อ……………………………………………</t>
        </is>
      </c>
      <c r="G222" s="331" t="n"/>
      <c r="H222" s="252" t="inlineStr">
        <is>
          <t>ลงชื่อ……………………………………………</t>
        </is>
      </c>
      <c r="L222" s="331" t="n"/>
      <c r="M222" s="252" t="inlineStr">
        <is>
          <t>ลงชื่อ……………………………………………</t>
        </is>
      </c>
      <c r="S222" s="331" t="n"/>
    </row>
    <row r="223" ht="22.2" customHeight="1" s="330">
      <c r="A223" s="12" t="inlineStr">
        <is>
          <t>(</t>
        </is>
      </c>
      <c r="B223" s="309">
        <f>B191</f>
        <v/>
      </c>
      <c r="G223" s="310" t="inlineStr">
        <is>
          <t>)</t>
        </is>
      </c>
      <c r="H223" s="309" t="inlineStr">
        <is>
          <t>(</t>
        </is>
      </c>
      <c r="I223" s="314">
        <f>I177</f>
        <v/>
      </c>
      <c r="L223" s="13" t="inlineStr">
        <is>
          <t>)</t>
        </is>
      </c>
      <c r="M223" s="61" t="inlineStr">
        <is>
          <t>(</t>
        </is>
      </c>
      <c r="N223" s="61" t="n"/>
      <c r="O223" s="309" t="inlineStr">
        <is>
          <t>นายพิสุทธิศักดิ์  กล่อมนาค</t>
        </is>
      </c>
      <c r="R223" s="29" t="n"/>
      <c r="S223" s="310" t="inlineStr">
        <is>
          <t>)</t>
        </is>
      </c>
    </row>
    <row r="224" ht="22.2" customHeight="1" s="330">
      <c r="A224" s="483" t="inlineStr">
        <is>
          <t xml:space="preserve">                    ตำแหน่ง  ครู</t>
        </is>
      </c>
      <c r="G224" s="331" t="n"/>
      <c r="H224" s="62" t="inlineStr">
        <is>
          <t>ตำแหน่ง หัวหน้าแผนก</t>
        </is>
      </c>
      <c r="L224" s="331" t="n"/>
      <c r="M224" s="62" t="inlineStr">
        <is>
          <t>ตำแหน่ง   ผู้ตรวจสอบ</t>
        </is>
      </c>
      <c r="S224" s="331" t="n"/>
    </row>
    <row r="225" ht="22.2" customHeight="1" s="330">
      <c r="A225" s="63">
        <f>A41</f>
        <v/>
      </c>
      <c r="B225" s="471" t="n"/>
      <c r="C225" s="471" t="n"/>
      <c r="D225" s="471" t="n"/>
      <c r="E225" s="471" t="n"/>
      <c r="F225" s="471" t="n"/>
      <c r="G225" s="476" t="n"/>
      <c r="H225" s="62">
        <f>A41</f>
        <v/>
      </c>
      <c r="L225" s="331" t="n"/>
      <c r="M225" s="63">
        <f>A41</f>
        <v/>
      </c>
      <c r="N225" s="471" t="n"/>
      <c r="O225" s="471" t="n"/>
      <c r="P225" s="471" t="n"/>
      <c r="Q225" s="471" t="n"/>
      <c r="R225" s="471" t="n"/>
      <c r="S225" s="476" t="n"/>
    </row>
    <row r="226" ht="22.2" customHeight="1" s="330">
      <c r="A226" s="207" t="inlineStr">
        <is>
          <t>ผู้ตรวจ</t>
        </is>
      </c>
      <c r="B226" s="334" t="n"/>
      <c r="C226" s="334" t="n"/>
      <c r="D226" s="334" t="n"/>
      <c r="E226" s="334" t="n"/>
      <c r="F226" s="334" t="n"/>
      <c r="G226" s="334" t="n"/>
      <c r="H226" s="334" t="n"/>
      <c r="I226" s="335" t="n"/>
      <c r="J226" s="207" t="inlineStr">
        <is>
          <t>ผู้เห็นชอบ</t>
        </is>
      </c>
      <c r="K226" s="334" t="n"/>
      <c r="L226" s="334" t="n"/>
      <c r="M226" s="334" t="n"/>
      <c r="N226" s="334" t="n"/>
      <c r="O226" s="334" t="n"/>
      <c r="P226" s="334" t="n"/>
      <c r="Q226" s="334" t="n"/>
      <c r="R226" s="334" t="n"/>
      <c r="S226" s="335" t="n"/>
    </row>
    <row r="227" ht="22.2" customHeight="1" s="330">
      <c r="A227" s="252" t="inlineStr">
        <is>
          <t>ลงชื่อ……………………………………………</t>
        </is>
      </c>
      <c r="I227" s="331" t="n"/>
      <c r="J227" s="252" t="inlineStr">
        <is>
          <t>ลงชื่อ……………………………………………</t>
        </is>
      </c>
      <c r="S227" s="331" t="n"/>
    </row>
    <row r="228" ht="22.2" customHeight="1" s="330">
      <c r="A228" s="12" t="n"/>
      <c r="B228" s="309" t="inlineStr">
        <is>
          <t xml:space="preserve">          (นางศิวรักษ์   บุญประเสริฐ)</t>
        </is>
      </c>
      <c r="I228" s="310" t="n"/>
      <c r="J228" s="29" t="n"/>
      <c r="K228" s="29" t="n"/>
      <c r="L228" s="309" t="inlineStr">
        <is>
          <t>(นายปรีชา  โพธิ์เกิด)</t>
        </is>
      </c>
      <c r="R228" s="29" t="n"/>
      <c r="S228" s="13" t="n"/>
    </row>
    <row r="229" ht="22.2" customHeight="1" s="330">
      <c r="A229" s="62" t="inlineStr">
        <is>
          <t>ตำแหน่งครู  หัวหน้างานพัฒนาหลักสูตร ฯ</t>
        </is>
      </c>
      <c r="I229" s="331" t="n"/>
      <c r="J229" s="62" t="inlineStr">
        <is>
          <t>ตำแหน่ง  รองผู้อำนวยการฝ่ายวิชาการ</t>
        </is>
      </c>
      <c r="S229" s="331" t="n"/>
    </row>
    <row r="230" ht="22.2" customHeight="1" s="330">
      <c r="A230" s="63">
        <f>A41</f>
        <v/>
      </c>
      <c r="B230" s="471" t="n"/>
      <c r="C230" s="471" t="n"/>
      <c r="D230" s="471" t="n"/>
      <c r="E230" s="471" t="n"/>
      <c r="F230" s="471" t="n"/>
      <c r="G230" s="471" t="n"/>
      <c r="H230" s="471" t="n"/>
      <c r="I230" s="476" t="n"/>
      <c r="J230" s="63">
        <f>A41</f>
        <v/>
      </c>
      <c r="K230" s="471" t="n"/>
      <c r="L230" s="471" t="n"/>
      <c r="M230" s="471" t="n"/>
      <c r="N230" s="471" t="n"/>
      <c r="O230" s="471" t="n"/>
      <c r="P230" s="471" t="n"/>
      <c r="Q230" s="471" t="n"/>
      <c r="R230" s="471" t="n"/>
      <c r="S230" s="476" t="n"/>
    </row>
    <row r="231" ht="22.2" customHeight="1" s="330">
      <c r="A23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232" ht="22.2" customHeight="1" s="330">
      <c r="A232" s="254">
        <f>A2</f>
        <v/>
      </c>
    </row>
    <row r="233" ht="22.2" customHeight="1" s="330">
      <c r="A233" s="253" t="inlineStr">
        <is>
          <t xml:space="preserve">    ระหว่างวันที่</t>
        </is>
      </c>
      <c r="D233" s="254">
        <f>D3</f>
        <v/>
      </c>
      <c r="E233" s="254" t="inlineStr">
        <is>
          <t xml:space="preserve">   เดือน  </t>
        </is>
      </c>
      <c r="F233" s="254">
        <f>F3</f>
        <v/>
      </c>
      <c r="H233" s="254">
        <f>H3</f>
        <v/>
      </c>
      <c r="I233" s="254" t="inlineStr">
        <is>
          <t xml:space="preserve">     ถึง วันที่</t>
        </is>
      </c>
      <c r="J233" s="254">
        <f>J3</f>
        <v/>
      </c>
      <c r="K233" s="254" t="inlineStr">
        <is>
          <t xml:space="preserve">   เดือน </t>
        </is>
      </c>
      <c r="L233" s="254">
        <f>L3</f>
        <v/>
      </c>
      <c r="N233" s="254">
        <f>N3</f>
        <v/>
      </c>
      <c r="P233" s="254" t="n"/>
      <c r="R233" s="254" t="n"/>
    </row>
    <row r="234" ht="22.2" customHeight="1" s="330">
      <c r="G234" s="58" t="inlineStr">
        <is>
          <t>ü</t>
        </is>
      </c>
      <c r="H234" s="290" t="inlineStr">
        <is>
          <t>ครู</t>
        </is>
      </c>
      <c r="I234" s="249" t="inlineStr">
        <is>
          <t>หน้าที่พิเศษ</t>
        </is>
      </c>
    </row>
    <row r="235" ht="22.2" customHeight="1" s="330">
      <c r="A235" s="28" t="inlineStr">
        <is>
          <t>ที่</t>
        </is>
      </c>
      <c r="B235" s="28" t="inlineStr">
        <is>
          <t>ชื่อ-สกุล</t>
        </is>
      </c>
      <c r="C235" s="334" t="n"/>
      <c r="D235" s="335" t="n"/>
      <c r="E235" s="16" t="inlineStr">
        <is>
          <t>ตำแหน่ง</t>
        </is>
      </c>
      <c r="F235" s="17" t="inlineStr">
        <is>
          <t>ระยะเวลาที่สอน</t>
        </is>
      </c>
      <c r="G235" s="362" t="n"/>
      <c r="H235" s="17" t="inlineStr">
        <is>
          <t>รหัสวิชา</t>
        </is>
      </c>
      <c r="I235" s="275" t="inlineStr">
        <is>
          <t>ชั้น,แผนก,ห้อง</t>
        </is>
      </c>
      <c r="J235" s="17" t="inlineStr">
        <is>
          <t>เวลาสอน</t>
        </is>
      </c>
      <c r="K235" s="335" t="n"/>
      <c r="L235" s="17" t="inlineStr">
        <is>
          <t>ปวช.(คาบ)</t>
        </is>
      </c>
      <c r="M235" s="362" t="n"/>
      <c r="N235" s="244" t="inlineStr">
        <is>
          <t>เงิน</t>
        </is>
      </c>
      <c r="O235" s="275" t="inlineStr">
        <is>
          <t>ยอดเงิน</t>
        </is>
      </c>
      <c r="P235" s="473" t="inlineStr">
        <is>
          <t>ปวส.(คาบ)</t>
        </is>
      </c>
      <c r="Q235" s="362" t="n"/>
      <c r="R235" s="244" t="inlineStr">
        <is>
          <t>เงิน</t>
        </is>
      </c>
      <c r="S235" s="275" t="inlineStr">
        <is>
          <t>ยอดเงิน</t>
        </is>
      </c>
    </row>
    <row r="236" ht="22.2" customHeight="1" s="330">
      <c r="A236" s="60" t="n"/>
      <c r="B236" s="9" t="n"/>
      <c r="C236" s="10" t="n"/>
      <c r="D236" s="14" t="n"/>
      <c r="E236" s="11" t="n"/>
      <c r="F236" s="276" t="inlineStr">
        <is>
          <t>ส.</t>
        </is>
      </c>
      <c r="G236" s="276" t="inlineStr">
        <is>
          <t>วดป.</t>
        </is>
      </c>
      <c r="H236" s="474" t="n"/>
      <c r="I236" s="276" t="n"/>
      <c r="J236" s="475" t="n"/>
      <c r="K236" s="476" t="n"/>
      <c r="L236" s="276" t="inlineStr">
        <is>
          <t>ใน</t>
        </is>
      </c>
      <c r="M236" s="276" t="inlineStr">
        <is>
          <t>นอก</t>
        </is>
      </c>
      <c r="N236" s="276" t="inlineStr">
        <is>
          <t>ต่อ ชม.</t>
        </is>
      </c>
      <c r="O236" s="276" t="inlineStr">
        <is>
          <t>(บาท)</t>
        </is>
      </c>
      <c r="P236" s="60" t="inlineStr">
        <is>
          <t>ใน</t>
        </is>
      </c>
      <c r="Q236" s="60" t="inlineStr">
        <is>
          <t>นอก</t>
        </is>
      </c>
      <c r="R236" s="276" t="inlineStr">
        <is>
          <t>ต่อ ชม.</t>
        </is>
      </c>
      <c r="S236" s="276" t="inlineStr">
        <is>
          <t>(บาท)</t>
        </is>
      </c>
    </row>
    <row r="237" ht="22.2" customHeight="1" s="330">
      <c r="A237" s="275" t="n">
        <v>6</v>
      </c>
      <c r="B237" s="477">
        <f>AB8</f>
        <v/>
      </c>
      <c r="C237" s="334" t="n"/>
      <c r="D237" s="335" t="n"/>
      <c r="E237" s="275" t="inlineStr">
        <is>
          <t>ครู</t>
        </is>
      </c>
      <c r="F237" s="6" t="n">
        <v>5</v>
      </c>
      <c r="G237" s="207" t="inlineStr">
        <is>
          <t>จันทร์</t>
        </is>
      </c>
      <c r="H237" s="156" t="n"/>
      <c r="I237" s="156" t="n"/>
      <c r="J237" s="335" t="n"/>
      <c r="K237" s="335" t="n"/>
      <c r="L237" s="265" t="n"/>
      <c r="M237" s="332" t="n"/>
      <c r="N237" s="332" t="n"/>
      <c r="O237" s="244">
        <f>M237*N237</f>
        <v/>
      </c>
      <c r="P237" s="332" t="n"/>
      <c r="Q237" s="265" t="n"/>
      <c r="R237" s="332" t="n"/>
      <c r="S237" s="244">
        <f>Q237*R237</f>
        <v/>
      </c>
    </row>
    <row r="238" ht="22.2" customHeight="1" s="330">
      <c r="A238" s="4" t="n"/>
      <c r="B238" s="5" t="n"/>
      <c r="D238" s="3" t="n"/>
      <c r="E238" s="3" t="n"/>
      <c r="F238" s="249" t="n"/>
      <c r="G238" s="62">
        <f>G192</f>
        <v/>
      </c>
      <c r="H238" s="56" t="n"/>
      <c r="I238" s="56" t="n"/>
      <c r="J238" s="331" t="n"/>
      <c r="K238" s="331" t="n"/>
      <c r="L238" s="252" t="n"/>
      <c r="M238" s="252" t="n"/>
      <c r="N238" s="252" t="n"/>
      <c r="O238" s="244">
        <f>M238*N238</f>
        <v/>
      </c>
      <c r="P238" s="252" t="n"/>
      <c r="Q238" s="252" t="n"/>
      <c r="R238" s="252" t="n"/>
      <c r="S238" s="244">
        <f>Q238*R238</f>
        <v/>
      </c>
    </row>
    <row r="239" ht="22.2" customHeight="1" s="330">
      <c r="A239" s="4" t="n"/>
      <c r="B239" s="5" t="n"/>
      <c r="D239" s="3" t="n"/>
      <c r="E239" s="3" t="n"/>
      <c r="F239" s="249" t="n"/>
      <c r="G239" s="252" t="n"/>
      <c r="H239" s="250" t="n"/>
      <c r="I239" s="252" t="n"/>
      <c r="J239" s="252" t="n"/>
      <c r="K239" s="331" t="n"/>
      <c r="L239" s="252" t="n"/>
      <c r="M239" s="252" t="n"/>
      <c r="N239" s="252" t="n"/>
      <c r="O239" s="244">
        <f>M239*N239</f>
        <v/>
      </c>
      <c r="P239" s="252" t="n"/>
      <c r="Q239" s="252" t="n"/>
      <c r="R239" s="252" t="n"/>
      <c r="S239" s="244">
        <f>Q239*R239</f>
        <v/>
      </c>
    </row>
    <row r="240" ht="22.2" customHeight="1" s="330">
      <c r="A240" s="4" t="n"/>
      <c r="B240" s="5" t="n"/>
      <c r="E240" s="4" t="n"/>
      <c r="F240" s="249" t="n"/>
      <c r="G240" s="248" t="n"/>
      <c r="H240" s="252" t="n"/>
      <c r="I240" s="252" t="n"/>
      <c r="J240" s="252" t="n"/>
      <c r="K240" s="331" t="n"/>
      <c r="L240" s="252" t="n"/>
      <c r="M240" s="252" t="n"/>
      <c r="N240" s="252" t="n"/>
      <c r="O240" s="244">
        <f>M240*N240</f>
        <v/>
      </c>
      <c r="P240" s="252" t="n"/>
      <c r="Q240" s="252" t="n"/>
      <c r="R240" s="252" t="n"/>
      <c r="S240" s="244">
        <f>Q240*R240</f>
        <v/>
      </c>
    </row>
    <row r="241" ht="22.2" customHeight="1" s="330">
      <c r="A241" s="4" t="n"/>
      <c r="E241" s="4" t="n"/>
      <c r="G241" s="311" t="n"/>
      <c r="H241" s="276" t="n"/>
      <c r="I241" s="276" t="n"/>
      <c r="J241" s="276" t="n"/>
      <c r="K241" s="476" t="n"/>
      <c r="L241" s="252" t="n"/>
      <c r="M241" s="252" t="n"/>
      <c r="N241" s="252" t="n"/>
      <c r="O241" s="244">
        <f>M241*N241</f>
        <v/>
      </c>
      <c r="P241" s="252" t="n"/>
      <c r="Q241" s="252" t="n"/>
      <c r="R241" s="252" t="n"/>
      <c r="S241" s="244">
        <f>Q241*R241</f>
        <v/>
      </c>
    </row>
    <row r="242" ht="22.2" customHeight="1" s="330">
      <c r="A242" s="4" t="n"/>
      <c r="E242" s="4" t="n"/>
      <c r="G242" s="207" t="inlineStr">
        <is>
          <t>อังคาร</t>
        </is>
      </c>
      <c r="H242" s="325" t="inlineStr">
        <is>
          <t>30101-0001</t>
        </is>
      </c>
      <c r="I242" s="325" t="inlineStr">
        <is>
          <t>ปวส.2/5 สย. (ปกติ)</t>
        </is>
      </c>
      <c r="J242" s="332" t="inlineStr">
        <is>
          <t>08.10-11.10</t>
        </is>
      </c>
      <c r="K242" s="335" t="n"/>
      <c r="L242" s="265" t="n"/>
      <c r="M242" s="332" t="n"/>
      <c r="N242" s="332" t="n"/>
      <c r="O242" s="244">
        <f>M242*N242</f>
        <v/>
      </c>
      <c r="P242" s="332" t="n"/>
      <c r="Q242" s="265" t="n"/>
      <c r="R242" s="332" t="n"/>
      <c r="S242" s="244">
        <f>Q242*R242</f>
        <v/>
      </c>
      <c r="T242" s="7" t="n"/>
      <c r="U242" s="23" t="inlineStr">
        <is>
          <t>เบิก ธุรการ</t>
        </is>
      </c>
      <c r="V242" s="66" t="n"/>
      <c r="W242" s="22" t="n"/>
      <c r="X242" s="22" t="n"/>
    </row>
    <row r="243" ht="22.2" customHeight="1" s="330">
      <c r="A243" s="4" t="n"/>
      <c r="E243" s="4" t="n"/>
      <c r="G243" s="62">
        <f>G197</f>
        <v/>
      </c>
      <c r="H243" s="325" t="inlineStr">
        <is>
          <t>30101-0001</t>
        </is>
      </c>
      <c r="I243" s="325" t="inlineStr">
        <is>
          <t>ปวส.2/7 สย. (ปกติ)</t>
        </is>
      </c>
      <c r="J243" s="252" t="inlineStr">
        <is>
          <t>14.10-17.10</t>
        </is>
      </c>
      <c r="K243" s="331" t="n"/>
      <c r="L243" s="252" t="n"/>
      <c r="M243" s="252" t="n"/>
      <c r="N243" s="252" t="n"/>
      <c r="O243" s="244">
        <f>M243*N243</f>
        <v/>
      </c>
      <c r="P243" s="252" t="n"/>
      <c r="Q243" s="252" t="n"/>
      <c r="R243" s="252" t="n"/>
      <c r="S243" s="244">
        <f>Q243*R243</f>
        <v/>
      </c>
      <c r="T243" s="22" t="inlineStr">
        <is>
          <t> </t>
        </is>
      </c>
      <c r="U243" s="23" t="inlineStr">
        <is>
          <t>16.10-19.10</t>
        </is>
      </c>
      <c r="V243" s="66" t="n"/>
      <c r="W243" s="22" t="n"/>
      <c r="X243" s="22" t="n"/>
    </row>
    <row r="244" ht="22.2" customHeight="1" s="330">
      <c r="A244" s="4" t="n"/>
      <c r="B244" s="5" t="n"/>
      <c r="D244" s="3" t="n"/>
      <c r="E244" s="3" t="n"/>
      <c r="G244" s="252" t="n"/>
      <c r="H244" s="56" t="n"/>
      <c r="I244" s="331" t="n"/>
      <c r="J244" s="331" t="n"/>
      <c r="K244" s="331" t="n"/>
      <c r="L244" s="252" t="n"/>
      <c r="M244" s="252" t="n"/>
      <c r="N244" s="252" t="n"/>
      <c r="O244" s="244">
        <f>M244*N244</f>
        <v/>
      </c>
      <c r="P244" s="252" t="n"/>
      <c r="Q244" s="252" t="n"/>
      <c r="R244" s="252" t="n"/>
      <c r="S244" s="244">
        <f>Q244*R244</f>
        <v/>
      </c>
    </row>
    <row r="245" ht="22.2" customHeight="1" s="330">
      <c r="A245" s="4" t="n"/>
      <c r="E245" s="4" t="n"/>
      <c r="G245" s="62" t="n"/>
      <c r="H245" s="252" t="n"/>
      <c r="I245" s="250" t="n"/>
      <c r="J245" s="250" t="n"/>
      <c r="K245" s="331" t="n"/>
      <c r="L245" s="252" t="n"/>
      <c r="M245" s="252" t="n"/>
      <c r="N245" s="252" t="n"/>
      <c r="O245" s="244">
        <f>M245*N245</f>
        <v/>
      </c>
      <c r="P245" s="252" t="n"/>
      <c r="Q245" s="252" t="n"/>
      <c r="R245" s="252" t="n"/>
      <c r="S245" s="244">
        <f>Q245*R245</f>
        <v/>
      </c>
    </row>
    <row r="246" ht="22.2" customHeight="1" s="330">
      <c r="A246" s="4" t="n"/>
      <c r="D246" s="8" t="inlineStr">
        <is>
          <t> </t>
        </is>
      </c>
      <c r="E246" s="4" t="n"/>
      <c r="G246" s="63" t="n"/>
      <c r="H246" s="276" t="n"/>
      <c r="I246" s="276" t="n"/>
      <c r="J246" s="276" t="n"/>
      <c r="K246" s="476" t="n"/>
      <c r="L246" s="252" t="n"/>
      <c r="M246" s="252" t="n"/>
      <c r="N246" s="252" t="n"/>
      <c r="O246" s="244">
        <f>M246*N246</f>
        <v/>
      </c>
      <c r="P246" s="252" t="n"/>
      <c r="Q246" s="252" t="n"/>
      <c r="R246" s="252" t="n"/>
      <c r="S246" s="244">
        <f>Q246*R246</f>
        <v/>
      </c>
    </row>
    <row r="247" ht="22.2" customHeight="1" s="330">
      <c r="A247" s="4" t="n"/>
      <c r="E247" s="4" t="n"/>
      <c r="G247" s="207" t="inlineStr">
        <is>
          <t>พุธ</t>
        </is>
      </c>
      <c r="H247" s="147" t="inlineStr">
        <is>
          <t>30101-2102</t>
        </is>
      </c>
      <c r="I247" s="325" t="inlineStr">
        <is>
          <t>ปวส.1/1 สย. (ปกติ)</t>
        </is>
      </c>
      <c r="J247" s="332" t="inlineStr">
        <is>
          <t>08.10-12.10</t>
        </is>
      </c>
      <c r="K247" s="335" t="n"/>
      <c r="L247" s="265" t="n"/>
      <c r="M247" s="332" t="n"/>
      <c r="N247" s="332" t="n"/>
      <c r="O247" s="244">
        <f>M247*N247</f>
        <v/>
      </c>
      <c r="P247" s="332" t="n"/>
      <c r="Q247" s="265" t="n"/>
      <c r="R247" s="332" t="n"/>
      <c r="S247" s="244">
        <f>Q247*R247</f>
        <v/>
      </c>
    </row>
    <row r="248" ht="22.2" customHeight="1" s="330">
      <c r="A248" s="4" t="n"/>
      <c r="B248" s="248" t="n"/>
      <c r="C248" s="249" t="n"/>
      <c r="D248" s="249" t="n"/>
      <c r="E248" s="252" t="n"/>
      <c r="G248" s="62">
        <f>G202</f>
        <v/>
      </c>
      <c r="H248" s="148" t="inlineStr">
        <is>
          <t>30101-2102</t>
        </is>
      </c>
      <c r="I248" s="286" t="inlineStr">
        <is>
          <t>ปวส.1/1 สย. (ปกติ)</t>
        </is>
      </c>
      <c r="J248" s="325" t="inlineStr">
        <is>
          <t>13.10-14.10</t>
        </is>
      </c>
      <c r="K248" s="331" t="n"/>
      <c r="L248" s="252" t="n"/>
      <c r="M248" s="252" t="n"/>
      <c r="N248" s="252" t="n"/>
      <c r="O248" s="244">
        <f>M248*N248</f>
        <v/>
      </c>
      <c r="P248" s="252" t="n"/>
      <c r="Q248" s="252" t="n"/>
      <c r="R248" s="252" t="n"/>
      <c r="S248" s="244">
        <f>Q248*R248</f>
        <v/>
      </c>
    </row>
    <row r="249" ht="22.2" customHeight="1" s="330">
      <c r="A249" s="4" t="n"/>
      <c r="B249" s="5" t="n"/>
      <c r="D249" s="3" t="n"/>
      <c r="E249" s="3" t="n"/>
      <c r="G249" s="252" t="n"/>
      <c r="H249" s="148" t="inlineStr">
        <is>
          <t>30101-2102</t>
        </is>
      </c>
      <c r="I249" s="325" t="inlineStr">
        <is>
          <t>ปวส.1/2 สย. (ปกติ)</t>
        </is>
      </c>
      <c r="J249" s="252" t="inlineStr">
        <is>
          <t>14.10-19.10</t>
        </is>
      </c>
      <c r="K249" s="331" t="n"/>
      <c r="L249" s="252" t="n"/>
      <c r="M249" s="252" t="n"/>
      <c r="N249" s="252" t="n"/>
      <c r="O249" s="244">
        <f>M249*N249</f>
        <v/>
      </c>
      <c r="P249" s="252" t="n"/>
      <c r="Q249" s="252" t="n"/>
      <c r="R249" s="252" t="n"/>
      <c r="S249" s="244">
        <f>Q249*R249</f>
        <v/>
      </c>
    </row>
    <row r="250" ht="22.2" customHeight="1" s="330">
      <c r="A250" s="4" t="n"/>
      <c r="E250" s="4" t="n"/>
      <c r="G250" s="248" t="n"/>
      <c r="H250" s="252" t="n"/>
      <c r="I250" s="325" t="n"/>
      <c r="J250" s="250" t="n"/>
      <c r="K250" s="331" t="n"/>
      <c r="L250" s="252" t="n"/>
      <c r="M250" s="252" t="n"/>
      <c r="N250" s="252" t="n"/>
      <c r="O250" s="244">
        <f>M250*N250</f>
        <v/>
      </c>
      <c r="P250" s="252" t="n"/>
      <c r="Q250" s="252" t="n"/>
      <c r="R250" s="252" t="n"/>
      <c r="S250" s="244">
        <f>Q250*R250</f>
        <v/>
      </c>
    </row>
    <row r="251" ht="22.2" customHeight="1" s="330">
      <c r="A251" s="4" t="n"/>
      <c r="E251" s="4" t="n"/>
      <c r="G251" s="277" t="n"/>
      <c r="H251" s="276" t="n"/>
      <c r="I251" s="276" t="n"/>
      <c r="J251" s="276" t="n"/>
      <c r="K251" s="476" t="n"/>
      <c r="L251" s="276" t="n"/>
      <c r="M251" s="276" t="n"/>
      <c r="N251" s="276" t="n"/>
      <c r="O251" s="244">
        <f>M251*N251</f>
        <v/>
      </c>
      <c r="P251" s="276" t="n"/>
      <c r="Q251" s="276" t="n"/>
      <c r="R251" s="276" t="n"/>
      <c r="S251" s="244">
        <f>Q251*R251</f>
        <v/>
      </c>
    </row>
    <row r="252" ht="22.2" customHeight="1" s="330">
      <c r="A252" s="4" t="n"/>
      <c r="E252" s="4" t="n"/>
      <c r="G252" s="62" t="inlineStr">
        <is>
          <t>พฤหัส</t>
        </is>
      </c>
      <c r="H252" s="325" t="inlineStr">
        <is>
          <t>30000-2004</t>
        </is>
      </c>
      <c r="I252" s="325" t="inlineStr">
        <is>
          <t>ปวส.2/5,6 สย. (ม.6)</t>
        </is>
      </c>
      <c r="J252" s="332" t="inlineStr">
        <is>
          <t>13.10-15.10</t>
        </is>
      </c>
      <c r="K252" s="335" t="n"/>
      <c r="L252" s="252" t="n"/>
      <c r="M252" s="252" t="n"/>
      <c r="N252" s="252" t="n"/>
      <c r="O252" s="244">
        <f>M252*N252</f>
        <v/>
      </c>
      <c r="P252" s="252" t="n"/>
      <c r="Q252" s="275" t="n"/>
      <c r="R252" s="275" t="n"/>
      <c r="S252" s="244">
        <f>Q252*R252</f>
        <v/>
      </c>
    </row>
    <row r="253" ht="22.2" customHeight="1" s="330">
      <c r="A253" s="4" t="n"/>
      <c r="E253" s="4" t="n"/>
      <c r="G253" s="308">
        <f>G207</f>
        <v/>
      </c>
      <c r="H253" s="325" t="inlineStr">
        <is>
          <t>30100-0101</t>
        </is>
      </c>
      <c r="I253" s="325" t="inlineStr">
        <is>
          <t>ปวส.1/5,6 สย. (ม.5)</t>
        </is>
      </c>
      <c r="J253" s="325" t="inlineStr">
        <is>
          <t>15.10-18.10</t>
        </is>
      </c>
      <c r="K253" s="331" t="n"/>
      <c r="L253" s="252" t="n"/>
      <c r="M253" s="252" t="n"/>
      <c r="N253" s="252" t="n"/>
      <c r="O253" s="244">
        <f>M253*N253</f>
        <v/>
      </c>
      <c r="P253" s="252" t="n"/>
      <c r="Q253" s="252" t="n"/>
      <c r="R253" s="252" t="n"/>
      <c r="S253" s="244">
        <f>Q253*R253</f>
        <v/>
      </c>
    </row>
    <row r="254" ht="22.2" customHeight="1" s="330">
      <c r="A254" s="4" t="n"/>
      <c r="B254" s="5" t="n"/>
      <c r="E254" s="4" t="n"/>
      <c r="G254" s="252" t="n"/>
      <c r="H254" s="325" t="n"/>
      <c r="I254" s="325" t="n"/>
      <c r="J254" s="252" t="n"/>
      <c r="K254" s="331" t="n"/>
      <c r="L254" s="325" t="n"/>
      <c r="M254" s="325" t="n"/>
      <c r="N254" s="325" t="n"/>
      <c r="O254" s="244">
        <f>M254*N254</f>
        <v/>
      </c>
      <c r="P254" s="325" t="n"/>
      <c r="Q254" s="325" t="n"/>
      <c r="R254" s="325" t="n"/>
      <c r="S254" s="244">
        <f>Q254*R254</f>
        <v/>
      </c>
    </row>
    <row r="255" ht="22.2" customHeight="1" s="330">
      <c r="A255" s="4" t="n"/>
      <c r="E255" s="4" t="n"/>
      <c r="G255" s="252" t="n"/>
      <c r="H255" s="252" t="n"/>
      <c r="I255" s="252" t="n"/>
      <c r="J255" s="252" t="n"/>
      <c r="K255" s="331" t="n"/>
      <c r="L255" s="252" t="n"/>
      <c r="M255" s="252" t="n"/>
      <c r="N255" s="252" t="n"/>
      <c r="O255" s="244">
        <f>M255*N255</f>
        <v/>
      </c>
      <c r="P255" s="252" t="n"/>
      <c r="Q255" s="252" t="n"/>
      <c r="R255" s="252" t="n"/>
      <c r="S255" s="244">
        <f>Q255*R255</f>
        <v/>
      </c>
    </row>
    <row r="256" ht="22.2" customHeight="1" s="330">
      <c r="A256" s="4" t="n"/>
      <c r="E256" s="4" t="n"/>
      <c r="G256" s="276" t="n"/>
      <c r="H256" s="252" t="n"/>
      <c r="I256" s="276" t="n"/>
      <c r="J256" s="276" t="n"/>
      <c r="K256" s="476" t="n"/>
      <c r="L256" s="276" t="n"/>
      <c r="M256" s="276" t="n"/>
      <c r="N256" s="276" t="n"/>
      <c r="O256" s="244">
        <f>M256*N256</f>
        <v/>
      </c>
      <c r="P256" s="276" t="n"/>
      <c r="Q256" s="276" t="n"/>
      <c r="R256" s="276" t="n"/>
      <c r="S256" s="244">
        <f>Q256*R256</f>
        <v/>
      </c>
    </row>
    <row r="257" ht="22.2" customHeight="1" s="330">
      <c r="A257" s="4" t="n"/>
      <c r="D257" s="331" t="n"/>
      <c r="E257" s="56" t="n"/>
      <c r="G257" s="62" t="inlineStr">
        <is>
          <t>ศุกร์</t>
        </is>
      </c>
      <c r="H257" s="147" t="inlineStr">
        <is>
          <t>30100-0101</t>
        </is>
      </c>
      <c r="I257" s="325" t="inlineStr">
        <is>
          <t>ปวส.1/3,4 สย. (ม.6)</t>
        </is>
      </c>
      <c r="J257" s="332" t="inlineStr">
        <is>
          <t>08.10-11.10</t>
        </is>
      </c>
      <c r="K257" s="335" t="n"/>
      <c r="L257" s="149" t="n"/>
      <c r="M257" s="69" t="n"/>
      <c r="N257" s="69" t="n"/>
      <c r="O257" s="244">
        <f>M257*N257</f>
        <v/>
      </c>
      <c r="P257" s="147" t="n"/>
      <c r="Q257" s="149" t="n"/>
      <c r="R257" s="147" t="n"/>
      <c r="S257" s="244">
        <f>Q257*R257</f>
        <v/>
      </c>
      <c r="T257" s="24" t="n"/>
      <c r="U257" s="24" t="inlineStr">
        <is>
          <t>สอน ป.ตรี</t>
        </is>
      </c>
      <c r="V257" s="65" t="n"/>
      <c r="W257" s="24" t="n"/>
      <c r="X257" s="24" t="n"/>
    </row>
    <row r="258" ht="22.2" customHeight="1" s="330">
      <c r="A258" s="4" t="n"/>
      <c r="E258" s="4" t="n"/>
      <c r="G258" s="308">
        <f>G212</f>
        <v/>
      </c>
      <c r="H258" s="148" t="inlineStr">
        <is>
          <t>30101-8001</t>
        </is>
      </c>
      <c r="I258" s="325" t="inlineStr">
        <is>
          <t>ปวส.2/1 สย. (ปกติ)</t>
        </is>
      </c>
      <c r="J258" s="325" t="inlineStr">
        <is>
          <t>13.10-17.10</t>
        </is>
      </c>
      <c r="K258" s="331" t="n"/>
      <c r="L258" s="150" t="n"/>
      <c r="M258" s="68" t="n"/>
      <c r="N258" s="68" t="n"/>
      <c r="O258" s="244">
        <f>M258*N258</f>
        <v/>
      </c>
      <c r="P258" s="150" t="n"/>
      <c r="Q258" s="150" t="n"/>
      <c r="R258" s="150" t="n"/>
      <c r="S258" s="244">
        <f>Q258*R258</f>
        <v/>
      </c>
      <c r="T258" s="24" t="n"/>
      <c r="U258" s="24" t="inlineStr">
        <is>
          <t>17.10-21.10</t>
        </is>
      </c>
      <c r="V258" s="65" t="n"/>
      <c r="W258" s="24" t="n"/>
      <c r="X258" s="24" t="n"/>
    </row>
    <row r="259" ht="22.2" customHeight="1" s="330">
      <c r="A259" s="4" t="n"/>
      <c r="E259" s="4" t="n"/>
      <c r="G259" s="252" t="n"/>
      <c r="H259" s="148" t="n"/>
      <c r="I259" s="325" t="n"/>
      <c r="J259" s="252" t="n"/>
      <c r="K259" s="331" t="n"/>
      <c r="L259" s="68" t="n"/>
      <c r="M259" s="68" t="n"/>
      <c r="N259" s="68" t="n"/>
      <c r="O259" s="244">
        <f>M259*N259</f>
        <v/>
      </c>
      <c r="P259" s="150" t="n"/>
      <c r="Q259" s="68" t="n"/>
      <c r="R259" s="68" t="n"/>
      <c r="S259" s="244">
        <f>Q259*R259</f>
        <v/>
      </c>
    </row>
    <row r="260" ht="22.2" customHeight="1" s="330">
      <c r="A260" s="4" t="n"/>
      <c r="E260" s="4" t="n"/>
      <c r="G260" s="252" t="n"/>
      <c r="H260" s="252" t="n"/>
      <c r="I260" s="252" t="n"/>
      <c r="J260" s="252" t="n"/>
      <c r="K260" s="331" t="n"/>
      <c r="L260" s="252" t="n"/>
      <c r="N260" s="252" t="n"/>
      <c r="O260" s="244">
        <f>L260*N260</f>
        <v/>
      </c>
      <c r="P260" s="252" t="n"/>
      <c r="Q260" s="252" t="n"/>
      <c r="R260" s="252" t="n"/>
      <c r="S260" s="244">
        <f>Q260*R260</f>
        <v/>
      </c>
    </row>
    <row r="261" ht="22.2" customHeight="1" s="330">
      <c r="A261" s="4" t="n"/>
      <c r="E261" s="4" t="n"/>
      <c r="F261" s="4" t="n"/>
      <c r="G261" s="278" t="n"/>
      <c r="H261" s="301" t="n"/>
      <c r="I261" s="276" t="n"/>
      <c r="J261" s="276" t="n"/>
      <c r="K261" s="476" t="n"/>
      <c r="L261" s="276" t="n"/>
      <c r="M261" s="276" t="n"/>
      <c r="N261" s="276" t="n"/>
      <c r="O261" s="244">
        <f>M261*N261</f>
        <v/>
      </c>
      <c r="P261" s="276" t="n"/>
      <c r="Q261" s="276" t="n"/>
      <c r="R261" s="276" t="n"/>
      <c r="S261" s="244">
        <f>Q261*R261</f>
        <v/>
      </c>
    </row>
    <row r="262" ht="22.2" customHeight="1" s="330">
      <c r="A262" s="4" t="n"/>
      <c r="E262" s="4" t="n"/>
      <c r="F262" s="4" t="n"/>
      <c r="G262" s="17" t="inlineStr">
        <is>
          <t>รวมขั่วโมงที่สอนแยก ภาระงาน/ เกินภาระงาน</t>
        </is>
      </c>
      <c r="H262" s="467" t="n"/>
      <c r="I262" s="467" t="n"/>
      <c r="J262" s="467" t="n"/>
      <c r="K262" s="362" t="n"/>
      <c r="L262" s="17">
        <f>SUM(L237:L261)</f>
        <v/>
      </c>
      <c r="M262" s="17">
        <f>SUM(M237:M261)</f>
        <v/>
      </c>
      <c r="N262" s="17" t="n"/>
      <c r="O262" s="17" t="n"/>
      <c r="P262" s="17">
        <f>SUM(P237:P261)</f>
        <v/>
      </c>
      <c r="Q262" s="17">
        <f>SUM(Q237:Q261)</f>
        <v/>
      </c>
      <c r="R262" s="279" t="n"/>
      <c r="S262" s="17" t="n"/>
      <c r="T262" s="25" t="n"/>
      <c r="U262" s="26" t="inlineStr">
        <is>
          <t xml:space="preserve">     PLC</t>
        </is>
      </c>
      <c r="V262" s="64" t="n"/>
      <c r="W262" s="27" t="n"/>
      <c r="X262" s="27" t="n"/>
    </row>
    <row r="263" ht="22.2" customHeight="1" s="330">
      <c r="A263" s="4" t="n"/>
      <c r="E263" s="4" t="n"/>
      <c r="F263" s="4" t="n"/>
      <c r="G263" s="17" t="inlineStr">
        <is>
          <t>รวมจำนวนชั่วโมงสอนคาบต่อสับดาห์</t>
        </is>
      </c>
      <c r="H263" s="467" t="n"/>
      <c r="I263" s="467" t="n"/>
      <c r="J263" s="467" t="n"/>
      <c r="K263" s="362" t="n"/>
      <c r="L263" s="17">
        <f>L262+M262</f>
        <v/>
      </c>
      <c r="M263" s="362" t="n"/>
      <c r="N263" s="298" t="n"/>
      <c r="O263" s="17" t="n"/>
      <c r="P263" s="17">
        <f>P262+Q262</f>
        <v/>
      </c>
      <c r="Q263" s="362" t="n"/>
      <c r="R263" s="278" t="n"/>
      <c r="S263" s="276" t="n"/>
      <c r="T263" s="27" t="inlineStr">
        <is>
          <t> </t>
        </is>
      </c>
      <c r="U263" s="26" t="inlineStr">
        <is>
          <t>17.10-19.10</t>
        </is>
      </c>
      <c r="V263" s="64" t="n"/>
      <c r="W263" s="27" t="n"/>
      <c r="X263" s="27" t="n"/>
    </row>
    <row r="264" ht="22.2" customHeight="1" s="330">
      <c r="A264" s="4" t="n"/>
      <c r="E264" s="4" t="n"/>
      <c r="F264" s="4" t="n"/>
      <c r="G264" s="17" t="inlineStr">
        <is>
          <t>จำนวนชั่วโมงสอนตามภาระงานสอน</t>
        </is>
      </c>
      <c r="H264" s="467" t="n"/>
      <c r="I264" s="467" t="n"/>
      <c r="J264" s="467" t="n"/>
      <c r="K264" s="362" t="n"/>
      <c r="L264" s="153" t="inlineStr">
        <is>
          <t>0</t>
        </is>
      </c>
      <c r="M264" s="362" t="n"/>
      <c r="N264" s="152" t="n"/>
      <c r="O264" s="153" t="n"/>
      <c r="P264" s="153" t="inlineStr">
        <is>
          <t>15</t>
        </is>
      </c>
      <c r="Q264" s="362" t="n"/>
      <c r="R264" s="249" t="n"/>
      <c r="S264" s="252" t="n"/>
    </row>
    <row r="265" ht="22.2" customHeight="1" s="330" thickBot="1">
      <c r="A265" s="4" t="n"/>
      <c r="E265" s="4" t="n"/>
      <c r="F265" s="15" t="n"/>
      <c r="G265" s="17" t="inlineStr">
        <is>
          <t>จำนวนชั่วโมงบิกเกินภาระงานสอน/ค่าสอน</t>
        </is>
      </c>
      <c r="H265" s="467" t="n"/>
      <c r="I265" s="467" t="n"/>
      <c r="J265" s="467" t="n"/>
      <c r="K265" s="362" t="n"/>
      <c r="L265" s="18" t="n">
        <v>0</v>
      </c>
      <c r="M265" s="18">
        <f>SUM(M237:M261)</f>
        <v/>
      </c>
      <c r="N265" s="18" t="n"/>
      <c r="O265" s="18">
        <f>SUM(O237:O261)</f>
        <v/>
      </c>
      <c r="P265" s="18" t="n">
        <v>0</v>
      </c>
      <c r="Q265" s="18">
        <f>SUM(Q237:Q261)</f>
        <v/>
      </c>
      <c r="R265" s="19" t="n"/>
      <c r="S265" s="18">
        <f>SUM(S237:S261)</f>
        <v/>
      </c>
    </row>
    <row r="266" ht="22.2" customHeight="1" s="330" thickTop="1">
      <c r="A266" s="299" t="inlineStr">
        <is>
          <t>รวมจำนวนหน่วยชั่วโมงที่ขอเบิกค่าสอน ….</t>
        </is>
      </c>
      <c r="B266" s="467" t="n"/>
      <c r="C266" s="467" t="n"/>
      <c r="D266" s="467" t="n"/>
      <c r="E266" s="467" t="n"/>
      <c r="F266" s="467" t="n"/>
      <c r="G266" s="467" t="n"/>
      <c r="H266" s="298">
        <f>M265+Q265</f>
        <v/>
      </c>
      <c r="I266" s="298" t="inlineStr">
        <is>
          <t>….ชั่วโมง</t>
        </is>
      </c>
      <c r="J266" s="298" t="n"/>
      <c r="K266" s="301" t="inlineStr">
        <is>
          <t>ยอดเงินรวม</t>
        </is>
      </c>
      <c r="L266" s="471" t="n"/>
      <c r="M266" s="471" t="n"/>
      <c r="N266" s="301" t="n"/>
      <c r="O266" s="301" t="n"/>
      <c r="P266" s="302">
        <f>S265+O265</f>
        <v/>
      </c>
      <c r="Q266" s="482" t="n"/>
      <c r="R266" s="21" t="n"/>
      <c r="S266" s="20" t="inlineStr">
        <is>
          <t>..บาท</t>
        </is>
      </c>
    </row>
    <row r="267" ht="22.2" customHeight="1" s="330">
      <c r="A267" s="207" t="inlineStr">
        <is>
          <t>ผู้ขอเบิก</t>
        </is>
      </c>
      <c r="B267" s="334" t="n"/>
      <c r="C267" s="334" t="n"/>
      <c r="D267" s="334" t="n"/>
      <c r="E267" s="334" t="n"/>
      <c r="F267" s="334" t="n"/>
      <c r="G267" s="335" t="n"/>
      <c r="H267" s="207" t="inlineStr">
        <is>
          <t>ผู้รับรอง</t>
        </is>
      </c>
      <c r="I267" s="334" t="n"/>
      <c r="J267" s="334" t="n"/>
      <c r="K267" s="334" t="n"/>
      <c r="L267" s="335" t="n"/>
      <c r="M267" s="207" t="inlineStr">
        <is>
          <t>ผู้ตรวจ</t>
        </is>
      </c>
      <c r="N267" s="334" t="n"/>
      <c r="O267" s="334" t="n"/>
      <c r="P267" s="334" t="n"/>
      <c r="Q267" s="334" t="n"/>
      <c r="R267" s="334" t="n"/>
      <c r="S267" s="335" t="n"/>
    </row>
    <row r="268" ht="22.2" customHeight="1" s="330">
      <c r="A268" s="252" t="inlineStr">
        <is>
          <t>ลงชื่อ……………………………………………</t>
        </is>
      </c>
      <c r="G268" s="331" t="n"/>
      <c r="H268" s="252" t="inlineStr">
        <is>
          <t>ลงชื่อ……………………………………………</t>
        </is>
      </c>
      <c r="L268" s="331" t="n"/>
      <c r="M268" s="252" t="inlineStr">
        <is>
          <t>ลงชื่อ……………………………………………</t>
        </is>
      </c>
      <c r="S268" s="331" t="n"/>
    </row>
    <row r="269" ht="22.2" customHeight="1" s="330">
      <c r="A269" s="12" t="inlineStr">
        <is>
          <t>(</t>
        </is>
      </c>
      <c r="B269" s="309">
        <f>B237</f>
        <v/>
      </c>
      <c r="G269" s="310" t="inlineStr">
        <is>
          <t>)</t>
        </is>
      </c>
      <c r="H269" s="309" t="inlineStr">
        <is>
          <t>(</t>
        </is>
      </c>
      <c r="I269" s="314">
        <f>I223</f>
        <v/>
      </c>
      <c r="L269" s="13" t="inlineStr">
        <is>
          <t>)</t>
        </is>
      </c>
      <c r="M269" s="61" t="inlineStr">
        <is>
          <t>(</t>
        </is>
      </c>
      <c r="N269" s="61" t="n"/>
      <c r="O269" s="309" t="inlineStr">
        <is>
          <t>นายพิสุทธิศักดิ์  กล่อมนาค</t>
        </is>
      </c>
      <c r="R269" s="29" t="n"/>
      <c r="S269" s="310" t="inlineStr">
        <is>
          <t>)</t>
        </is>
      </c>
    </row>
    <row r="270" ht="22.2" customHeight="1" s="330">
      <c r="A270" s="483" t="inlineStr">
        <is>
          <t xml:space="preserve">                    ตำแหน่ง  ครู</t>
        </is>
      </c>
      <c r="G270" s="331" t="n"/>
      <c r="H270" s="62" t="inlineStr">
        <is>
          <t>ตำแหน่ง หัวหน้าแผนก</t>
        </is>
      </c>
      <c r="L270" s="331" t="n"/>
      <c r="M270" s="62" t="inlineStr">
        <is>
          <t>ตำแหน่ง   ผู้ตรวจสอบ</t>
        </is>
      </c>
      <c r="S270" s="331" t="n"/>
    </row>
    <row r="271" ht="22.2" customHeight="1" s="330">
      <c r="A271" s="63">
        <f>A41</f>
        <v/>
      </c>
      <c r="B271" s="471" t="n"/>
      <c r="C271" s="471" t="n"/>
      <c r="D271" s="471" t="n"/>
      <c r="E271" s="471" t="n"/>
      <c r="F271" s="471" t="n"/>
      <c r="G271" s="476" t="n"/>
      <c r="H271" s="62">
        <f>A41</f>
        <v/>
      </c>
      <c r="L271" s="331" t="n"/>
      <c r="M271" s="63">
        <f>A41</f>
        <v/>
      </c>
      <c r="N271" s="471" t="n"/>
      <c r="O271" s="471" t="n"/>
      <c r="P271" s="471" t="n"/>
      <c r="Q271" s="471" t="n"/>
      <c r="R271" s="471" t="n"/>
      <c r="S271" s="476" t="n"/>
    </row>
    <row r="272" ht="22.2" customHeight="1" s="330">
      <c r="A272" s="207" t="inlineStr">
        <is>
          <t>ผู้ตรวจ</t>
        </is>
      </c>
      <c r="B272" s="334" t="n"/>
      <c r="C272" s="334" t="n"/>
      <c r="D272" s="334" t="n"/>
      <c r="E272" s="334" t="n"/>
      <c r="F272" s="334" t="n"/>
      <c r="G272" s="334" t="n"/>
      <c r="H272" s="334" t="n"/>
      <c r="I272" s="335" t="n"/>
      <c r="J272" s="207" t="inlineStr">
        <is>
          <t>ผู้เห็นชอบ</t>
        </is>
      </c>
      <c r="K272" s="334" t="n"/>
      <c r="L272" s="334" t="n"/>
      <c r="M272" s="334" t="n"/>
      <c r="N272" s="334" t="n"/>
      <c r="O272" s="334" t="n"/>
      <c r="P272" s="334" t="n"/>
      <c r="Q272" s="334" t="n"/>
      <c r="R272" s="334" t="n"/>
      <c r="S272" s="335" t="n"/>
    </row>
    <row r="273" ht="22.2" customHeight="1" s="330">
      <c r="A273" s="252" t="inlineStr">
        <is>
          <t>ลงชื่อ……………………………………………</t>
        </is>
      </c>
      <c r="I273" s="331" t="n"/>
      <c r="J273" s="252" t="inlineStr">
        <is>
          <t>ลงชื่อ……………………………………………</t>
        </is>
      </c>
      <c r="S273" s="331" t="n"/>
    </row>
    <row r="274" ht="22.2" customHeight="1" s="330">
      <c r="A274" s="12" t="n"/>
      <c r="B274" s="309" t="inlineStr">
        <is>
          <t xml:space="preserve">          (นางศิวรักษ์   บุญประเสริฐ)</t>
        </is>
      </c>
      <c r="I274" s="310" t="n"/>
      <c r="J274" s="29" t="n"/>
      <c r="K274" s="29" t="n"/>
      <c r="L274" s="309" t="inlineStr">
        <is>
          <t>(นายปรีชา  โพธิ์เกิด)</t>
        </is>
      </c>
      <c r="R274" s="29" t="n"/>
      <c r="S274" s="13" t="n"/>
    </row>
    <row r="275" ht="22.2" customHeight="1" s="330">
      <c r="A275" s="62" t="inlineStr">
        <is>
          <t>ตำแหน่งครู  หัวหน้างานพัฒนาหลักสูตร ฯ</t>
        </is>
      </c>
      <c r="I275" s="331" t="n"/>
      <c r="J275" s="62" t="inlineStr">
        <is>
          <t>ตำแหน่ง  รองผู้อำนวยการฝ่ายวิชาการ</t>
        </is>
      </c>
      <c r="S275" s="331" t="n"/>
    </row>
    <row r="276" ht="22.2" customHeight="1" s="330">
      <c r="A276" s="63">
        <f>A41</f>
        <v/>
      </c>
      <c r="B276" s="471" t="n"/>
      <c r="C276" s="471" t="n"/>
      <c r="D276" s="471" t="n"/>
      <c r="E276" s="471" t="n"/>
      <c r="F276" s="471" t="n"/>
      <c r="G276" s="471" t="n"/>
      <c r="H276" s="471" t="n"/>
      <c r="I276" s="476" t="n"/>
      <c r="J276" s="63">
        <f>A41</f>
        <v/>
      </c>
      <c r="K276" s="471" t="n"/>
      <c r="L276" s="471" t="n"/>
      <c r="M276" s="471" t="n"/>
      <c r="N276" s="471" t="n"/>
      <c r="O276" s="471" t="n"/>
      <c r="P276" s="471" t="n"/>
      <c r="Q276" s="471" t="n"/>
      <c r="R276" s="471" t="n"/>
      <c r="S276" s="476" t="n"/>
    </row>
    <row r="277" ht="22.2" customHeight="1" s="330">
      <c r="A27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278" ht="22.2" customHeight="1" s="330">
      <c r="A278" s="254">
        <f>A2</f>
        <v/>
      </c>
    </row>
    <row r="279" ht="22.2" customHeight="1" s="330">
      <c r="A279" s="253" t="inlineStr">
        <is>
          <t xml:space="preserve">    ระหว่างวันที่</t>
        </is>
      </c>
      <c r="D279" s="254">
        <f>D3</f>
        <v/>
      </c>
      <c r="E279" s="254" t="inlineStr">
        <is>
          <t xml:space="preserve">   เดือน  </t>
        </is>
      </c>
      <c r="F279" s="254">
        <f>F3</f>
        <v/>
      </c>
      <c r="H279" s="254">
        <f>H3</f>
        <v/>
      </c>
      <c r="I279" s="254" t="inlineStr">
        <is>
          <t xml:space="preserve">     ถึง วันที่</t>
        </is>
      </c>
      <c r="J279" s="254">
        <f>J3</f>
        <v/>
      </c>
      <c r="K279" s="254" t="inlineStr">
        <is>
          <t xml:space="preserve">   เดือน </t>
        </is>
      </c>
      <c r="L279" s="254">
        <f>L3</f>
        <v/>
      </c>
      <c r="N279" s="254">
        <f>N3</f>
        <v/>
      </c>
      <c r="P279" s="254" t="n"/>
      <c r="R279" s="254" t="n"/>
    </row>
    <row r="280" ht="25.5" customHeight="1" s="330">
      <c r="G280" s="58" t="inlineStr">
        <is>
          <t>ü</t>
        </is>
      </c>
      <c r="H280" s="290" t="inlineStr">
        <is>
          <t>ครู</t>
        </is>
      </c>
      <c r="I280" s="249" t="inlineStr">
        <is>
          <t>หน้าที่พิเศษ</t>
        </is>
      </c>
    </row>
    <row r="281" ht="22.2" customHeight="1" s="330">
      <c r="A281" s="28" t="inlineStr">
        <is>
          <t>ที่</t>
        </is>
      </c>
      <c r="B281" s="28" t="inlineStr">
        <is>
          <t>ชื่อ-สกุล</t>
        </is>
      </c>
      <c r="C281" s="334" t="n"/>
      <c r="D281" s="335" t="n"/>
      <c r="E281" s="16" t="inlineStr">
        <is>
          <t>ตำแหน่ง</t>
        </is>
      </c>
      <c r="F281" s="17" t="inlineStr">
        <is>
          <t>ระยะเวลาที่สอน</t>
        </is>
      </c>
      <c r="G281" s="362" t="n"/>
      <c r="H281" s="17" t="inlineStr">
        <is>
          <t>รหัสวิชา</t>
        </is>
      </c>
      <c r="I281" s="275" t="inlineStr">
        <is>
          <t>ชั้น,แผนก,ห้อง</t>
        </is>
      </c>
      <c r="J281" s="17" t="inlineStr">
        <is>
          <t>เวลาสอน</t>
        </is>
      </c>
      <c r="K281" s="335" t="n"/>
      <c r="L281" s="17" t="inlineStr">
        <is>
          <t>ปวช.(คาบ)</t>
        </is>
      </c>
      <c r="M281" s="362" t="n"/>
      <c r="N281" s="244" t="inlineStr">
        <is>
          <t>เงิน</t>
        </is>
      </c>
      <c r="O281" s="275" t="inlineStr">
        <is>
          <t>ยอดเงิน</t>
        </is>
      </c>
      <c r="P281" s="473" t="inlineStr">
        <is>
          <t>ปวส.(คาบ)</t>
        </is>
      </c>
      <c r="Q281" s="362" t="n"/>
      <c r="R281" s="244" t="inlineStr">
        <is>
          <t>เงิน</t>
        </is>
      </c>
      <c r="S281" s="275" t="inlineStr">
        <is>
          <t>ยอดเงิน</t>
        </is>
      </c>
    </row>
    <row r="282" ht="22.2" customHeight="1" s="330">
      <c r="A282" s="60" t="n"/>
      <c r="B282" s="9" t="n"/>
      <c r="C282" s="10" t="n"/>
      <c r="D282" s="14" t="n"/>
      <c r="E282" s="11" t="n"/>
      <c r="F282" s="276" t="inlineStr">
        <is>
          <t>ส.</t>
        </is>
      </c>
      <c r="G282" s="276" t="inlineStr">
        <is>
          <t>วดป.</t>
        </is>
      </c>
      <c r="H282" s="474" t="n"/>
      <c r="I282" s="276" t="n"/>
      <c r="J282" s="475" t="n"/>
      <c r="K282" s="476" t="n"/>
      <c r="L282" s="276" t="inlineStr">
        <is>
          <t>ใน</t>
        </is>
      </c>
      <c r="M282" s="276" t="inlineStr">
        <is>
          <t>นอก</t>
        </is>
      </c>
      <c r="N282" s="276" t="inlineStr">
        <is>
          <t>ต่อ ชม.</t>
        </is>
      </c>
      <c r="O282" s="276" t="inlineStr">
        <is>
          <t>(บาท)</t>
        </is>
      </c>
      <c r="P282" s="60" t="inlineStr">
        <is>
          <t>ใน</t>
        </is>
      </c>
      <c r="Q282" s="60" t="inlineStr">
        <is>
          <t>นอก</t>
        </is>
      </c>
      <c r="R282" s="276" t="inlineStr">
        <is>
          <t>ต่อ ชม.</t>
        </is>
      </c>
      <c r="S282" s="276" t="inlineStr">
        <is>
          <t>(บาท)</t>
        </is>
      </c>
    </row>
    <row r="283" ht="22.2" customHeight="1" s="330">
      <c r="A283" s="275" t="n">
        <v>7</v>
      </c>
      <c r="B283" s="477">
        <f>AB9</f>
        <v/>
      </c>
      <c r="C283" s="334" t="n"/>
      <c r="D283" s="335" t="n"/>
      <c r="E283" s="275" t="inlineStr">
        <is>
          <t>ครู</t>
        </is>
      </c>
      <c r="F283" s="6" t="n">
        <v>5</v>
      </c>
      <c r="G283" s="303" t="inlineStr">
        <is>
          <t>จันทร์</t>
        </is>
      </c>
      <c r="H283" s="332" t="inlineStr">
        <is>
          <t>20101-8001</t>
        </is>
      </c>
      <c r="I283" s="325" t="inlineStr">
        <is>
          <t>ปวช.3/5 ชย. (ปกติ)</t>
        </is>
      </c>
      <c r="J283" s="332" t="inlineStr">
        <is>
          <t>08.10-12.10</t>
        </is>
      </c>
      <c r="K283" s="335" t="n"/>
      <c r="L283" s="265" t="n"/>
      <c r="M283" s="332" t="n"/>
      <c r="N283" s="332" t="n"/>
      <c r="O283" s="244">
        <f>M283*N283</f>
        <v/>
      </c>
      <c r="P283" s="332" t="n"/>
      <c r="Q283" s="265" t="n"/>
      <c r="R283" s="332" t="n"/>
      <c r="S283" s="244">
        <f>Q283*R283</f>
        <v/>
      </c>
    </row>
    <row r="284" ht="22.2" customHeight="1" s="330">
      <c r="A284" s="4" t="n"/>
      <c r="B284" s="478" t="n"/>
      <c r="D284" s="331" t="n"/>
      <c r="E284" s="252" t="n"/>
      <c r="F284" s="249" t="n"/>
      <c r="G284" s="308">
        <f>G238</f>
        <v/>
      </c>
      <c r="H284" s="325" t="n"/>
      <c r="I284" s="325" t="n"/>
      <c r="J284" s="252" t="n"/>
      <c r="K284" s="331" t="n"/>
      <c r="L284" s="252" t="n"/>
      <c r="M284" s="252" t="n"/>
      <c r="N284" s="252" t="n"/>
      <c r="O284" s="244">
        <f>M284*N284</f>
        <v/>
      </c>
      <c r="P284" s="252" t="n"/>
      <c r="Q284" s="252" t="n"/>
      <c r="R284" s="252" t="n"/>
      <c r="S284" s="244">
        <f>Q284*R284</f>
        <v/>
      </c>
    </row>
    <row r="285" ht="22.2" customHeight="1" s="330">
      <c r="A285" s="4" t="n"/>
      <c r="B285" s="5" t="n"/>
      <c r="D285" s="3" t="n"/>
      <c r="E285" s="3" t="n"/>
      <c r="F285" s="249" t="n"/>
      <c r="G285" s="248" t="n"/>
      <c r="H285" s="325" t="n"/>
      <c r="I285" s="325" t="n"/>
      <c r="J285" s="325" t="n"/>
      <c r="K285" s="331" t="n"/>
      <c r="L285" s="252" t="n"/>
      <c r="M285" s="252" t="n"/>
      <c r="N285" s="252" t="n"/>
      <c r="O285" s="244">
        <f>M285*N285</f>
        <v/>
      </c>
      <c r="P285" s="252" t="n"/>
      <c r="Q285" s="252" t="n"/>
      <c r="R285" s="252" t="n"/>
      <c r="S285" s="244">
        <f>Q285*R285</f>
        <v/>
      </c>
    </row>
    <row r="286" ht="22.2" customHeight="1" s="330">
      <c r="A286" s="4" t="n"/>
      <c r="B286" s="5" t="n"/>
      <c r="E286" s="4" t="n"/>
      <c r="F286" s="249" t="n"/>
      <c r="G286" s="248" t="n"/>
      <c r="H286" s="252" t="n"/>
      <c r="I286" s="252" t="n"/>
      <c r="J286" s="252" t="n"/>
      <c r="K286" s="331" t="n"/>
      <c r="L286" s="252" t="n"/>
      <c r="M286" s="252" t="n"/>
      <c r="N286" s="252" t="n"/>
      <c r="O286" s="244">
        <f>M286*N286</f>
        <v/>
      </c>
      <c r="P286" s="252" t="n"/>
      <c r="Q286" s="252" t="n"/>
      <c r="R286" s="252" t="n"/>
      <c r="S286" s="244">
        <f>Q286*R286</f>
        <v/>
      </c>
    </row>
    <row r="287" ht="22.2" customHeight="1" s="330">
      <c r="A287" s="4" t="n"/>
      <c r="E287" s="4" t="n"/>
      <c r="G287" s="311" t="n"/>
      <c r="H287" s="276" t="n"/>
      <c r="I287" s="276" t="n"/>
      <c r="J287" s="276" t="n"/>
      <c r="K287" s="476" t="n"/>
      <c r="L287" s="252" t="n"/>
      <c r="M287" s="252" t="n"/>
      <c r="N287" s="252" t="n"/>
      <c r="O287" s="244">
        <f>M287*N287</f>
        <v/>
      </c>
      <c r="P287" s="252" t="n"/>
      <c r="Q287" s="252" t="n"/>
      <c r="R287" s="252" t="n"/>
      <c r="S287" s="244">
        <f>Q287*R287</f>
        <v/>
      </c>
    </row>
    <row r="288" ht="22.2" customHeight="1" s="330">
      <c r="A288" s="4" t="n"/>
      <c r="E288" s="4" t="n"/>
      <c r="G288" s="62" t="inlineStr">
        <is>
          <t>อังคาร</t>
        </is>
      </c>
      <c r="H288" s="325" t="inlineStr">
        <is>
          <t>20101-2003</t>
        </is>
      </c>
      <c r="I288" s="325" t="inlineStr">
        <is>
          <t>ปวช.1/1 ชย. (ปกติ)</t>
        </is>
      </c>
      <c r="J288" s="332" t="inlineStr">
        <is>
          <t>08.10-12.10</t>
        </is>
      </c>
      <c r="K288" s="335" t="n"/>
      <c r="L288" s="265" t="n"/>
      <c r="M288" s="332" t="n"/>
      <c r="N288" s="332" t="n"/>
      <c r="O288" s="244">
        <f>M288*N288</f>
        <v/>
      </c>
      <c r="P288" s="332" t="n"/>
      <c r="Q288" s="265" t="n"/>
      <c r="R288" s="332" t="n"/>
      <c r="S288" s="244">
        <f>Q288*R288</f>
        <v/>
      </c>
    </row>
    <row r="289" ht="22.2" customHeight="1" s="330">
      <c r="A289" s="4" t="n"/>
      <c r="E289" s="4" t="n"/>
      <c r="G289" s="308">
        <f>G243</f>
        <v/>
      </c>
      <c r="H289" s="325" t="inlineStr">
        <is>
          <t>20101-2003</t>
        </is>
      </c>
      <c r="I289" s="325" t="inlineStr">
        <is>
          <t>ปวช.1/1 ชย. (ปกติ)</t>
        </is>
      </c>
      <c r="J289" s="252" t="inlineStr">
        <is>
          <t>13.10-16.10</t>
        </is>
      </c>
      <c r="K289" s="331" t="n"/>
      <c r="L289" s="252" t="n"/>
      <c r="M289" s="252" t="n"/>
      <c r="N289" s="252" t="n"/>
      <c r="O289" s="244">
        <f>M289*N289</f>
        <v/>
      </c>
      <c r="P289" s="252" t="n"/>
      <c r="Q289" s="252" t="n"/>
      <c r="R289" s="252" t="n"/>
      <c r="S289" s="244">
        <f>Q289*R289</f>
        <v/>
      </c>
    </row>
    <row r="290" ht="22.2" customHeight="1" s="330">
      <c r="A290" s="4" t="n"/>
      <c r="B290" s="5" t="n"/>
      <c r="D290" s="3" t="n"/>
      <c r="E290" s="3" t="n"/>
      <c r="G290" s="252" t="n"/>
      <c r="H290" s="252" t="n"/>
      <c r="I290" s="325" t="n"/>
      <c r="J290" s="252" t="n"/>
      <c r="K290" s="331" t="n"/>
      <c r="L290" s="252" t="n"/>
      <c r="M290" s="252" t="n"/>
      <c r="N290" s="252" t="n"/>
      <c r="O290" s="244">
        <f>M290*N290</f>
        <v/>
      </c>
      <c r="P290" s="252" t="n"/>
      <c r="Q290" s="252" t="n"/>
      <c r="R290" s="252" t="n"/>
      <c r="S290" s="244">
        <f>Q290*R290</f>
        <v/>
      </c>
    </row>
    <row r="291" ht="22.2" customHeight="1" s="330">
      <c r="A291" s="4" t="n"/>
      <c r="E291" s="4" t="n"/>
      <c r="G291" s="62" t="n"/>
      <c r="H291" s="249" t="n"/>
      <c r="I291" s="252" t="n"/>
      <c r="J291" s="252" t="n"/>
      <c r="K291" s="331" t="n"/>
      <c r="L291" s="252" t="n"/>
      <c r="M291" s="252" t="n"/>
      <c r="N291" s="252" t="n"/>
      <c r="O291" s="244">
        <f>M291*N291</f>
        <v/>
      </c>
      <c r="P291" s="252" t="n"/>
      <c r="Q291" s="252" t="n"/>
      <c r="R291" s="252" t="n"/>
      <c r="S291" s="244">
        <f>Q291*R291</f>
        <v/>
      </c>
    </row>
    <row r="292" ht="22.2" customHeight="1" s="330">
      <c r="A292" s="4" t="n"/>
      <c r="D292" s="8" t="inlineStr">
        <is>
          <t> </t>
        </is>
      </c>
      <c r="E292" s="4" t="n"/>
      <c r="G292" s="63" t="n"/>
      <c r="H292" s="276" t="n"/>
      <c r="I292" s="276" t="n"/>
      <c r="J292" s="276" t="n"/>
      <c r="K292" s="476" t="n"/>
      <c r="L292" s="252" t="n"/>
      <c r="M292" s="252" t="n"/>
      <c r="N292" s="252" t="n"/>
      <c r="O292" s="244">
        <f>M292*N292</f>
        <v/>
      </c>
      <c r="P292" s="252" t="n"/>
      <c r="Q292" s="252" t="n"/>
      <c r="R292" s="252" t="n"/>
      <c r="S292" s="244">
        <f>Q292*R292</f>
        <v/>
      </c>
    </row>
    <row r="293" ht="22.2" customHeight="1" s="330">
      <c r="A293" s="4" t="n"/>
      <c r="E293" s="4" t="n"/>
      <c r="G293" s="308" t="inlineStr">
        <is>
          <t>พุธ</t>
        </is>
      </c>
      <c r="H293" s="325" t="inlineStr">
        <is>
          <t>20101-2003</t>
        </is>
      </c>
      <c r="I293" s="325" t="inlineStr">
        <is>
          <t>ปวช.1/3 ชย. (ปกติ)</t>
        </is>
      </c>
      <c r="J293" s="332" t="inlineStr">
        <is>
          <t>08.10-12.10</t>
        </is>
      </c>
      <c r="K293" s="335" t="n"/>
      <c r="L293" s="265" t="n"/>
      <c r="M293" s="332" t="n"/>
      <c r="N293" s="332" t="n"/>
      <c r="O293" s="244">
        <f>M293*N293</f>
        <v/>
      </c>
      <c r="P293" s="332" t="n"/>
      <c r="Q293" s="265" t="n"/>
      <c r="R293" s="332" t="n"/>
      <c r="S293" s="244">
        <f>Q293*R293</f>
        <v/>
      </c>
      <c r="T293" s="24" t="n"/>
      <c r="U293" s="24" t="inlineStr">
        <is>
          <t>สอน ป.ตรี</t>
        </is>
      </c>
      <c r="V293" s="65" t="n"/>
      <c r="W293" s="24" t="n"/>
      <c r="X293" s="24" t="n"/>
    </row>
    <row r="294" ht="22.2" customHeight="1" s="330">
      <c r="A294" s="4" t="n"/>
      <c r="B294" s="54" t="n"/>
      <c r="C294" s="67" t="n"/>
      <c r="D294" s="55" t="n"/>
      <c r="E294" s="55" t="n"/>
      <c r="G294" s="308">
        <f>G248</f>
        <v/>
      </c>
      <c r="H294" s="325" t="inlineStr">
        <is>
          <t>20101-2003</t>
        </is>
      </c>
      <c r="I294" s="325" t="inlineStr">
        <is>
          <t>ปวช.1/3 ชย. (ปกติ)</t>
        </is>
      </c>
      <c r="J294" s="252" t="inlineStr">
        <is>
          <t>13.10-16.10</t>
        </is>
      </c>
      <c r="K294" s="331" t="n"/>
      <c r="L294" s="252" t="n"/>
      <c r="M294" s="252" t="n"/>
      <c r="N294" s="252" t="n"/>
      <c r="O294" s="244">
        <f>M294*N294</f>
        <v/>
      </c>
      <c r="P294" s="252" t="n"/>
      <c r="Q294" s="252" t="n"/>
      <c r="R294" s="252" t="n"/>
      <c r="S294" s="244">
        <f>Q294*R294</f>
        <v/>
      </c>
      <c r="T294" s="24" t="n"/>
      <c r="U294" s="24" t="inlineStr">
        <is>
          <t>17.10-21.10</t>
        </is>
      </c>
      <c r="V294" s="65" t="n"/>
      <c r="W294" s="24" t="n"/>
      <c r="X294" s="24" t="n"/>
    </row>
    <row r="295" ht="22.2" customHeight="1" s="330">
      <c r="A295" s="4" t="n"/>
      <c r="B295" s="54" t="n"/>
      <c r="C295" s="67" t="n"/>
      <c r="D295" s="55" t="n"/>
      <c r="E295" s="55" t="n"/>
      <c r="G295" s="252" t="n"/>
      <c r="H295" s="325" t="n"/>
      <c r="I295" s="325" t="n"/>
      <c r="J295" s="325" t="n"/>
      <c r="K295" s="331" t="n"/>
      <c r="L295" s="252" t="n"/>
      <c r="M295" s="252" t="n"/>
      <c r="N295" s="252" t="n"/>
      <c r="O295" s="244">
        <f>M295*N295</f>
        <v/>
      </c>
      <c r="P295" s="252" t="n"/>
      <c r="Q295" s="252" t="n"/>
      <c r="R295" s="252" t="n"/>
      <c r="S295" s="244">
        <f>Q295*R295</f>
        <v/>
      </c>
    </row>
    <row r="296" ht="22.2" customHeight="1" s="330">
      <c r="A296" s="4" t="n"/>
      <c r="B296" s="54" t="n"/>
      <c r="C296" s="67" t="n"/>
      <c r="D296" s="55" t="n"/>
      <c r="E296" s="55" t="n"/>
      <c r="G296" s="248" t="n"/>
      <c r="H296" s="252" t="n"/>
      <c r="I296" s="325" t="n"/>
      <c r="J296" s="252" t="n"/>
      <c r="K296" s="331" t="n"/>
      <c r="L296" s="252" t="n"/>
      <c r="M296" s="252" t="n"/>
      <c r="N296" s="252" t="n"/>
      <c r="O296" s="244">
        <f>M296*N296</f>
        <v/>
      </c>
      <c r="P296" s="252" t="n"/>
      <c r="Q296" s="252" t="n"/>
      <c r="R296" s="252" t="n"/>
      <c r="S296" s="244">
        <f>Q296*R296</f>
        <v/>
      </c>
    </row>
    <row r="297" ht="22.2" customHeight="1" s="330">
      <c r="A297" s="4" t="n"/>
      <c r="D297" s="3" t="n"/>
      <c r="E297" s="3" t="n"/>
      <c r="G297" s="277" t="n"/>
      <c r="H297" s="277" t="n"/>
      <c r="I297" s="276" t="n"/>
      <c r="J297" s="276" t="n"/>
      <c r="K297" s="476" t="n"/>
      <c r="L297" s="276" t="n"/>
      <c r="M297" s="276" t="n"/>
      <c r="N297" s="276" t="n"/>
      <c r="O297" s="244">
        <f>M297*N297</f>
        <v/>
      </c>
      <c r="P297" s="276" t="n"/>
      <c r="Q297" s="276" t="n"/>
      <c r="R297" s="276" t="n"/>
      <c r="S297" s="244">
        <f>Q297*R297</f>
        <v/>
      </c>
    </row>
    <row r="298" ht="22.2" customHeight="1" s="330">
      <c r="A298" s="4" t="n"/>
      <c r="E298" s="4" t="n"/>
      <c r="G298" s="62" t="inlineStr">
        <is>
          <t>พฤหัส</t>
        </is>
      </c>
      <c r="H298" s="325" t="inlineStr">
        <is>
          <t>20101-2003</t>
        </is>
      </c>
      <c r="I298" s="325" t="inlineStr">
        <is>
          <t>ปวช.1/2 ชย. (ปกติ)</t>
        </is>
      </c>
      <c r="J298" s="332" t="inlineStr">
        <is>
          <t>08.10-12.10</t>
        </is>
      </c>
      <c r="K298" s="335" t="n"/>
      <c r="L298" s="252" t="n"/>
      <c r="M298" s="252" t="n"/>
      <c r="N298" s="252" t="n"/>
      <c r="O298" s="244">
        <f>M298*N298</f>
        <v/>
      </c>
      <c r="P298" s="252" t="n"/>
      <c r="Q298" s="275" t="n"/>
      <c r="R298" s="275" t="n"/>
      <c r="S298" s="244">
        <f>Q298*R298</f>
        <v/>
      </c>
      <c r="T298" s="25" t="n"/>
      <c r="U298" s="26" t="inlineStr">
        <is>
          <t xml:space="preserve">     PLC</t>
        </is>
      </c>
      <c r="V298" s="64" t="n"/>
      <c r="W298" s="27" t="n"/>
      <c r="X298" s="27" t="n"/>
    </row>
    <row r="299" ht="22.2" customHeight="1" s="330">
      <c r="A299" s="4" t="n"/>
      <c r="E299" s="4" t="n"/>
      <c r="G299" s="308">
        <f>G253</f>
        <v/>
      </c>
      <c r="H299" s="325" t="inlineStr">
        <is>
          <t>20101-2003</t>
        </is>
      </c>
      <c r="I299" s="325" t="inlineStr">
        <is>
          <t>ปวช.1/2 ชย. (ปกติ)</t>
        </is>
      </c>
      <c r="J299" s="252" t="inlineStr">
        <is>
          <t>15.10-18.10</t>
        </is>
      </c>
      <c r="K299" s="331" t="n"/>
      <c r="L299" s="252" t="n"/>
      <c r="M299" s="252" t="n"/>
      <c r="N299" s="252" t="n"/>
      <c r="O299" s="244">
        <f>M299*N299</f>
        <v/>
      </c>
      <c r="P299" s="252" t="n"/>
      <c r="Q299" s="252" t="n"/>
      <c r="R299" s="252" t="n"/>
      <c r="S299" s="244">
        <f>Q299*R299</f>
        <v/>
      </c>
      <c r="T299" s="27" t="inlineStr">
        <is>
          <t> </t>
        </is>
      </c>
      <c r="U299" s="26" t="inlineStr">
        <is>
          <t>17.10-19.10</t>
        </is>
      </c>
      <c r="V299" s="64" t="n"/>
      <c r="W299" s="27" t="n"/>
      <c r="X299" s="27" t="n"/>
    </row>
    <row r="300" ht="22.2" customHeight="1" s="330">
      <c r="A300" s="4" t="n"/>
      <c r="B300" s="5" t="n"/>
      <c r="E300" s="4" t="n"/>
      <c r="G300" s="252" t="n"/>
      <c r="H300" s="325" t="n"/>
      <c r="I300" s="325" t="n"/>
      <c r="J300" s="252" t="n"/>
      <c r="K300" s="331" t="n"/>
      <c r="L300" s="325" t="n"/>
      <c r="M300" s="325" t="n"/>
      <c r="N300" s="325" t="n"/>
      <c r="O300" s="244">
        <f>M300*N300</f>
        <v/>
      </c>
      <c r="P300" s="325" t="n"/>
      <c r="Q300" s="325" t="n"/>
      <c r="R300" s="325" t="n"/>
      <c r="S300" s="244">
        <f>Q300*R300</f>
        <v/>
      </c>
    </row>
    <row r="301" ht="22.2" customHeight="1" s="330">
      <c r="A301" s="4" t="n"/>
      <c r="E301" s="4" t="n"/>
      <c r="G301" s="252" t="n"/>
      <c r="H301" s="252" t="n"/>
      <c r="I301" s="252" t="n"/>
      <c r="J301" s="252" t="n"/>
      <c r="K301" s="331" t="n"/>
      <c r="L301" s="252" t="n"/>
      <c r="M301" s="252" t="n"/>
      <c r="N301" s="252" t="n"/>
      <c r="O301" s="244">
        <f>M301*N301</f>
        <v/>
      </c>
      <c r="P301" s="252" t="n"/>
      <c r="Q301" s="252" t="n"/>
      <c r="R301" s="252" t="n"/>
      <c r="S301" s="244">
        <f>Q301*R301</f>
        <v/>
      </c>
    </row>
    <row r="302" ht="22.2" customHeight="1" s="330">
      <c r="A302" s="4" t="n"/>
      <c r="E302" s="4" t="n"/>
      <c r="G302" s="276" t="n"/>
      <c r="H302" s="301" t="n"/>
      <c r="I302" s="276" t="n"/>
      <c r="J302" s="276" t="n"/>
      <c r="K302" s="476" t="n"/>
      <c r="L302" s="276" t="n"/>
      <c r="M302" s="276" t="n"/>
      <c r="N302" s="276" t="n"/>
      <c r="O302" s="244">
        <f>M302*N302</f>
        <v/>
      </c>
      <c r="P302" s="276" t="n"/>
      <c r="Q302" s="276" t="n"/>
      <c r="R302" s="276" t="n"/>
      <c r="S302" s="244">
        <f>Q302*R302</f>
        <v/>
      </c>
    </row>
    <row r="303" ht="22.2" customHeight="1" s="330">
      <c r="A303" s="4" t="n"/>
      <c r="E303" s="4" t="n"/>
      <c r="G303" s="62" t="inlineStr">
        <is>
          <t>ศุกร์</t>
        </is>
      </c>
      <c r="H303" s="325" t="inlineStr">
        <is>
          <t>20101-2003</t>
        </is>
      </c>
      <c r="I303" s="325" t="inlineStr">
        <is>
          <t>ปวช.1/4 ชย. (ปกติ)</t>
        </is>
      </c>
      <c r="J303" s="332" t="inlineStr">
        <is>
          <t>08.10-12.10</t>
        </is>
      </c>
      <c r="K303" s="335" t="n"/>
      <c r="L303" s="265" t="n"/>
      <c r="M303" s="252" t="n"/>
      <c r="N303" s="252" t="n"/>
      <c r="O303" s="244">
        <f>M303*N303</f>
        <v/>
      </c>
      <c r="P303" s="332" t="n"/>
      <c r="Q303" s="265" t="n"/>
      <c r="R303" s="332" t="n"/>
      <c r="S303" s="244">
        <f>Q303*R303</f>
        <v/>
      </c>
      <c r="T303" s="24" t="n"/>
      <c r="U303" s="24" t="inlineStr">
        <is>
          <t>สอน ป.ตรี</t>
        </is>
      </c>
      <c r="V303" s="65" t="n"/>
      <c r="W303" s="24" t="n"/>
      <c r="X303" s="24" t="n"/>
    </row>
    <row r="304" ht="22.2" customHeight="1" s="330">
      <c r="A304" s="4" t="n"/>
      <c r="E304" s="4" t="n"/>
      <c r="G304" s="308">
        <f>G258</f>
        <v/>
      </c>
      <c r="H304" s="325" t="inlineStr">
        <is>
          <t>20101-2003</t>
        </is>
      </c>
      <c r="I304" s="325" t="inlineStr">
        <is>
          <t>ปวช.1/4 ชย. (ปกติ)</t>
        </is>
      </c>
      <c r="J304" s="252" t="inlineStr">
        <is>
          <t>13.10-16.10</t>
        </is>
      </c>
      <c r="K304" s="331" t="n"/>
      <c r="L304" s="252" t="n"/>
      <c r="M304" s="252" t="n"/>
      <c r="N304" s="252" t="n"/>
      <c r="O304" s="244">
        <f>M304*N304</f>
        <v/>
      </c>
      <c r="P304" s="252" t="n"/>
      <c r="Q304" s="252" t="n"/>
      <c r="R304" s="252" t="n"/>
      <c r="S304" s="244">
        <f>Q304*R304</f>
        <v/>
      </c>
      <c r="T304" s="24" t="n"/>
      <c r="U304" s="24" t="inlineStr">
        <is>
          <t>17.10-21.10</t>
        </is>
      </c>
      <c r="V304" s="65" t="n"/>
      <c r="W304" s="24" t="n"/>
      <c r="X304" s="24" t="n"/>
    </row>
    <row r="305" ht="22.2" customHeight="1" s="330">
      <c r="A305" s="4" t="n"/>
      <c r="E305" s="4" t="n"/>
      <c r="G305" s="252" t="n"/>
      <c r="H305" s="252" t="n"/>
      <c r="I305" s="252" t="n"/>
      <c r="J305" s="252" t="n"/>
      <c r="K305" s="331" t="n"/>
      <c r="L305" s="252" t="n"/>
      <c r="M305" s="252" t="n"/>
      <c r="N305" s="252" t="n"/>
      <c r="O305" s="244">
        <f>M305*N305</f>
        <v/>
      </c>
      <c r="P305" s="252" t="n"/>
      <c r="Q305" s="252" t="n"/>
      <c r="R305" s="252" t="n"/>
      <c r="S305" s="244">
        <f>Q305*R305</f>
        <v/>
      </c>
    </row>
    <row r="306" ht="22.2" customHeight="1" s="330">
      <c r="A306" s="4" t="n"/>
      <c r="E306" s="4" t="n"/>
      <c r="G306" s="252" t="n"/>
      <c r="H306" s="252" t="n"/>
      <c r="I306" s="252" t="n"/>
      <c r="J306" s="252" t="n"/>
      <c r="K306" s="331" t="n"/>
      <c r="L306" s="252" t="n"/>
      <c r="M306" s="252" t="n"/>
      <c r="N306" s="252" t="n"/>
      <c r="O306" s="244">
        <f>M306*N306</f>
        <v/>
      </c>
      <c r="P306" s="252" t="n"/>
      <c r="Q306" s="252" t="n"/>
      <c r="R306" s="252" t="n"/>
      <c r="S306" s="244">
        <f>Q306*R306</f>
        <v/>
      </c>
    </row>
    <row r="307" ht="22.2" customHeight="1" s="330">
      <c r="A307" s="4" t="n"/>
      <c r="E307" s="4" t="n"/>
      <c r="F307" s="4" t="n"/>
      <c r="G307" s="278" t="n"/>
      <c r="H307" s="252" t="n"/>
      <c r="I307" s="252" t="n"/>
      <c r="J307" s="276" t="n"/>
      <c r="K307" s="476" t="n"/>
      <c r="L307" s="276" t="n"/>
      <c r="M307" s="276" t="n"/>
      <c r="N307" s="276" t="n"/>
      <c r="O307" s="244">
        <f>M307*N307</f>
        <v/>
      </c>
      <c r="P307" s="276" t="n"/>
      <c r="Q307" s="276" t="n"/>
      <c r="R307" s="276" t="n"/>
      <c r="S307" s="244">
        <f>Q307*R307</f>
        <v/>
      </c>
    </row>
    <row r="308" ht="22.2" customHeight="1" s="330">
      <c r="A308" s="4" t="n"/>
      <c r="E308" s="4" t="n"/>
      <c r="F308" s="4" t="n"/>
      <c r="G308" s="17" t="inlineStr">
        <is>
          <t>รวมขั่วโมงที่สอนแยก ภาระงาน/ เกินภาระงาน</t>
        </is>
      </c>
      <c r="H308" s="467" t="n"/>
      <c r="I308" s="467" t="n"/>
      <c r="J308" s="467" t="n"/>
      <c r="K308" s="362" t="n"/>
      <c r="L308" s="17">
        <f>SUM(L283:L307)</f>
        <v/>
      </c>
      <c r="M308" s="17">
        <f>SUM(M283:M307)</f>
        <v/>
      </c>
      <c r="N308" s="17" t="n"/>
      <c r="O308" s="17" t="n"/>
      <c r="P308" s="17">
        <f>SUM(P283:P307)</f>
        <v/>
      </c>
      <c r="Q308" s="17">
        <f>SUM(Q283:Q307)</f>
        <v/>
      </c>
      <c r="R308" s="279" t="n"/>
      <c r="S308" s="17" t="n"/>
    </row>
    <row r="309" ht="22.2" customHeight="1" s="330">
      <c r="A309" s="4" t="n"/>
      <c r="E309" s="4" t="n"/>
      <c r="F309" s="4" t="n"/>
      <c r="G309" s="17" t="inlineStr">
        <is>
          <t>รวมจำนวนชั่วโมงสอนคาบต่อสับดาห์</t>
        </is>
      </c>
      <c r="H309" s="467" t="n"/>
      <c r="I309" s="467" t="n"/>
      <c r="J309" s="467" t="n"/>
      <c r="K309" s="362" t="n"/>
      <c r="L309" s="17">
        <f>L308+M308</f>
        <v/>
      </c>
      <c r="M309" s="362" t="n"/>
      <c r="N309" s="17" t="n"/>
      <c r="O309" s="298" t="n"/>
      <c r="P309" s="17">
        <f>P308+Q308</f>
        <v/>
      </c>
      <c r="Q309" s="362" t="n"/>
      <c r="R309" s="278" t="n"/>
      <c r="S309" s="276" t="n"/>
    </row>
    <row r="310" ht="22.2" customHeight="1" s="330">
      <c r="A310" s="4" t="n"/>
      <c r="E310" s="4" t="n"/>
      <c r="F310" s="4" t="n"/>
      <c r="G310" s="17" t="inlineStr">
        <is>
          <t>จำนวนชั่วโมงสอนตามภาระงานสอน</t>
        </is>
      </c>
      <c r="H310" s="467" t="n"/>
      <c r="I310" s="467" t="n"/>
      <c r="J310" s="467" t="n"/>
      <c r="K310" s="362" t="n"/>
      <c r="L310" s="17" t="n">
        <v>18</v>
      </c>
      <c r="M310" s="362" t="n"/>
      <c r="N310" s="298" t="n"/>
      <c r="O310" s="17" t="n"/>
      <c r="P310" s="17" t="n">
        <v>0</v>
      </c>
      <c r="Q310" s="362" t="n"/>
      <c r="R310" s="249" t="n"/>
      <c r="S310" s="252" t="n"/>
    </row>
    <row r="311" ht="22.2" customHeight="1" s="330" thickBot="1">
      <c r="A311" s="4" t="n"/>
      <c r="E311" s="4" t="n"/>
      <c r="F311" s="15" t="n"/>
      <c r="G311" s="17" t="inlineStr">
        <is>
          <t>จำนวนชั่วโมงบิกเกินภาระงานสอน/ค่าสอน</t>
        </is>
      </c>
      <c r="H311" s="467" t="n"/>
      <c r="I311" s="467" t="n"/>
      <c r="J311" s="467" t="n"/>
      <c r="K311" s="362" t="n"/>
      <c r="L311" s="18" t="n">
        <v>0</v>
      </c>
      <c r="M311" s="18">
        <f>SUM(M283:M307)</f>
        <v/>
      </c>
      <c r="N311" s="18" t="n"/>
      <c r="O311" s="18">
        <f>SUM(O283:O307)</f>
        <v/>
      </c>
      <c r="P311" s="18" t="n">
        <v>0</v>
      </c>
      <c r="Q311" s="18">
        <f>SUM(Q283:Q307)</f>
        <v/>
      </c>
      <c r="R311" s="19" t="n"/>
      <c r="S311" s="18">
        <f>SUM(S283:S307)</f>
        <v/>
      </c>
    </row>
    <row r="312" ht="22.2" customHeight="1" s="330" thickTop="1">
      <c r="A312" s="299" t="inlineStr">
        <is>
          <t>รวมจำนวนหน่วยชั่วโมงที่ขอเบิกค่าสอน ….</t>
        </is>
      </c>
      <c r="B312" s="467" t="n"/>
      <c r="C312" s="467" t="n"/>
      <c r="D312" s="467" t="n"/>
      <c r="E312" s="467" t="n"/>
      <c r="F312" s="467" t="n"/>
      <c r="G312" s="467" t="n"/>
      <c r="H312" s="298">
        <f>M311+Q311</f>
        <v/>
      </c>
      <c r="I312" s="298" t="inlineStr">
        <is>
          <t>….ชั่วโมง</t>
        </is>
      </c>
      <c r="J312" s="298" t="n"/>
      <c r="K312" s="301" t="inlineStr">
        <is>
          <t>ยอดเงินรวม</t>
        </is>
      </c>
      <c r="L312" s="471" t="n"/>
      <c r="M312" s="471" t="n"/>
      <c r="N312" s="301" t="n"/>
      <c r="O312" s="301" t="n"/>
      <c r="P312" s="302">
        <f>S311+O311</f>
        <v/>
      </c>
      <c r="Q312" s="482" t="n"/>
      <c r="R312" s="21" t="n"/>
      <c r="S312" s="20" t="inlineStr">
        <is>
          <t>..บาท</t>
        </is>
      </c>
    </row>
    <row r="313" ht="22.2" customHeight="1" s="330">
      <c r="A313" s="207" t="inlineStr">
        <is>
          <t>ผู้ขอเบิก</t>
        </is>
      </c>
      <c r="B313" s="334" t="n"/>
      <c r="C313" s="334" t="n"/>
      <c r="D313" s="334" t="n"/>
      <c r="E313" s="334" t="n"/>
      <c r="F313" s="334" t="n"/>
      <c r="G313" s="335" t="n"/>
      <c r="H313" s="207" t="inlineStr">
        <is>
          <t>ผู้รับรอง</t>
        </is>
      </c>
      <c r="I313" s="334" t="n"/>
      <c r="J313" s="334" t="n"/>
      <c r="K313" s="334" t="n"/>
      <c r="L313" s="335" t="n"/>
      <c r="M313" s="207" t="inlineStr">
        <is>
          <t>ผู้ตรวจ</t>
        </is>
      </c>
      <c r="N313" s="334" t="n"/>
      <c r="O313" s="334" t="n"/>
      <c r="P313" s="334" t="n"/>
      <c r="Q313" s="334" t="n"/>
      <c r="R313" s="334" t="n"/>
      <c r="S313" s="335" t="n"/>
    </row>
    <row r="314" ht="22.2" customHeight="1" s="330">
      <c r="A314" s="252" t="inlineStr">
        <is>
          <t>ลงชื่อ……………………………………………</t>
        </is>
      </c>
      <c r="G314" s="331" t="n"/>
      <c r="H314" s="252" t="inlineStr">
        <is>
          <t>ลงชื่อ……………………………………………</t>
        </is>
      </c>
      <c r="L314" s="331" t="n"/>
      <c r="M314" s="252" t="inlineStr">
        <is>
          <t>ลงชื่อ……………………………………………</t>
        </is>
      </c>
      <c r="S314" s="331" t="n"/>
    </row>
    <row r="315" ht="22.2" customHeight="1" s="330">
      <c r="A315" s="12" t="inlineStr">
        <is>
          <t>(</t>
        </is>
      </c>
      <c r="B315" s="309">
        <f>B283</f>
        <v/>
      </c>
      <c r="G315" s="310" t="inlineStr">
        <is>
          <t>)</t>
        </is>
      </c>
      <c r="H315" s="309" t="inlineStr">
        <is>
          <t>(</t>
        </is>
      </c>
      <c r="I315" s="314">
        <f>I269</f>
        <v/>
      </c>
      <c r="L315" s="13" t="inlineStr">
        <is>
          <t>)</t>
        </is>
      </c>
      <c r="M315" s="61" t="inlineStr">
        <is>
          <t>(</t>
        </is>
      </c>
      <c r="N315" s="61" t="n"/>
      <c r="O315" s="309" t="inlineStr">
        <is>
          <t>นายพิสุทธิศักดิ์  กล่อมนาค</t>
        </is>
      </c>
      <c r="R315" s="29" t="n"/>
      <c r="S315" s="310" t="inlineStr">
        <is>
          <t>)</t>
        </is>
      </c>
    </row>
    <row r="316" ht="22.2" customHeight="1" s="330">
      <c r="A316" s="483" t="inlineStr">
        <is>
          <t xml:space="preserve">                    ตำแหน่ง  ครู</t>
        </is>
      </c>
      <c r="G316" s="331" t="n"/>
      <c r="H316" s="62" t="inlineStr">
        <is>
          <t>ตำแหน่ง หัวหน้าแผนก</t>
        </is>
      </c>
      <c r="L316" s="331" t="n"/>
      <c r="M316" s="62" t="inlineStr">
        <is>
          <t>ตำแหน่ง   ผู้ตรวจสอบ</t>
        </is>
      </c>
      <c r="S316" s="331" t="n"/>
    </row>
    <row r="317" ht="22.2" customHeight="1" s="330">
      <c r="A317" s="63">
        <f>A41</f>
        <v/>
      </c>
      <c r="B317" s="471" t="n"/>
      <c r="C317" s="471" t="n"/>
      <c r="D317" s="471" t="n"/>
      <c r="E317" s="471" t="n"/>
      <c r="F317" s="471" t="n"/>
      <c r="G317" s="476" t="n"/>
      <c r="H317" s="62">
        <f>A41</f>
        <v/>
      </c>
      <c r="L317" s="331" t="n"/>
      <c r="M317" s="63">
        <f>A41</f>
        <v/>
      </c>
      <c r="N317" s="471" t="n"/>
      <c r="O317" s="471" t="n"/>
      <c r="P317" s="471" t="n"/>
      <c r="Q317" s="471" t="n"/>
      <c r="R317" s="471" t="n"/>
      <c r="S317" s="476" t="n"/>
    </row>
    <row r="318" ht="22.2" customHeight="1" s="330">
      <c r="A318" s="207" t="inlineStr">
        <is>
          <t>ผู้ตรวจ</t>
        </is>
      </c>
      <c r="B318" s="334" t="n"/>
      <c r="C318" s="334" t="n"/>
      <c r="D318" s="334" t="n"/>
      <c r="E318" s="334" t="n"/>
      <c r="F318" s="334" t="n"/>
      <c r="G318" s="334" t="n"/>
      <c r="H318" s="334" t="n"/>
      <c r="I318" s="335" t="n"/>
      <c r="J318" s="207" t="inlineStr">
        <is>
          <t>ผู้เห็นชอบ</t>
        </is>
      </c>
      <c r="K318" s="334" t="n"/>
      <c r="L318" s="334" t="n"/>
      <c r="M318" s="334" t="n"/>
      <c r="N318" s="334" t="n"/>
      <c r="O318" s="334" t="n"/>
      <c r="P318" s="334" t="n"/>
      <c r="Q318" s="334" t="n"/>
      <c r="R318" s="334" t="n"/>
      <c r="S318" s="335" t="n"/>
    </row>
    <row r="319" ht="22.2" customHeight="1" s="330">
      <c r="A319" s="252" t="inlineStr">
        <is>
          <t>ลงชื่อ……………………………………………</t>
        </is>
      </c>
      <c r="I319" s="331" t="n"/>
      <c r="J319" s="252" t="inlineStr">
        <is>
          <t>ลงชื่อ……………………………………………</t>
        </is>
      </c>
      <c r="S319" s="331" t="n"/>
    </row>
    <row r="320" ht="22.2" customHeight="1" s="330">
      <c r="A320" s="12" t="n"/>
      <c r="B320" s="309" t="inlineStr">
        <is>
          <t xml:space="preserve">          (นางศิวรักษ์   บุญประเสริฐ)</t>
        </is>
      </c>
      <c r="I320" s="310" t="n"/>
      <c r="J320" s="29" t="n"/>
      <c r="K320" s="29" t="n"/>
      <c r="L320" s="309" t="inlineStr">
        <is>
          <t>(นายปรีชา  โพธิ์เกิด)</t>
        </is>
      </c>
      <c r="R320" s="29" t="n"/>
      <c r="S320" s="13" t="n"/>
    </row>
    <row r="321" ht="22.2" customHeight="1" s="330">
      <c r="A321" s="62" t="inlineStr">
        <is>
          <t>ตำแหน่งครู  หัวหน้างานพัฒนาหลักสูตร ฯ</t>
        </is>
      </c>
      <c r="I321" s="331" t="n"/>
      <c r="J321" s="62" t="inlineStr">
        <is>
          <t>ตำแหน่ง  รองผู้อำนวยการฝ่ายวิชาการ</t>
        </is>
      </c>
      <c r="S321" s="331" t="n"/>
    </row>
    <row r="322" ht="22.2" customHeight="1" s="330">
      <c r="A322" s="63">
        <f>A41</f>
        <v/>
      </c>
      <c r="B322" s="471" t="n"/>
      <c r="C322" s="471" t="n"/>
      <c r="D322" s="471" t="n"/>
      <c r="E322" s="471" t="n"/>
      <c r="F322" s="471" t="n"/>
      <c r="G322" s="471" t="n"/>
      <c r="H322" s="471" t="n"/>
      <c r="I322" s="476" t="n"/>
      <c r="J322" s="63">
        <f>A41</f>
        <v/>
      </c>
      <c r="K322" s="471" t="n"/>
      <c r="L322" s="471" t="n"/>
      <c r="M322" s="471" t="n"/>
      <c r="N322" s="471" t="n"/>
      <c r="O322" s="471" t="n"/>
      <c r="P322" s="471" t="n"/>
      <c r="Q322" s="471" t="n"/>
      <c r="R322" s="471" t="n"/>
      <c r="S322" s="476" t="n"/>
    </row>
    <row r="323" ht="22.2" customHeight="1" s="330">
      <c r="A32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324" ht="22.2" customHeight="1" s="330">
      <c r="A324" s="254">
        <f>A2</f>
        <v/>
      </c>
    </row>
    <row r="325" ht="22.2" customHeight="1" s="330">
      <c r="A325" s="253" t="inlineStr">
        <is>
          <t xml:space="preserve">    ระหว่างวันที่</t>
        </is>
      </c>
      <c r="D325" s="254">
        <f>D3</f>
        <v/>
      </c>
      <c r="E325" s="254" t="inlineStr">
        <is>
          <t xml:space="preserve">   เดือน  </t>
        </is>
      </c>
      <c r="F325" s="254">
        <f>F3</f>
        <v/>
      </c>
      <c r="H325" s="254">
        <f>H3</f>
        <v/>
      </c>
      <c r="I325" s="254" t="inlineStr">
        <is>
          <t xml:space="preserve">     ถึง วันที่</t>
        </is>
      </c>
      <c r="J325" s="254">
        <f>J3</f>
        <v/>
      </c>
      <c r="K325" s="254" t="inlineStr">
        <is>
          <t xml:space="preserve">   เดือน </t>
        </is>
      </c>
      <c r="L325" s="254">
        <f>L3</f>
        <v/>
      </c>
      <c r="N325" s="254">
        <f>N3</f>
        <v/>
      </c>
      <c r="P325" s="254" t="n"/>
      <c r="R325" s="254" t="n"/>
    </row>
    <row r="326" ht="22.2" customHeight="1" s="330">
      <c r="G326" s="58" t="inlineStr">
        <is>
          <t>ü</t>
        </is>
      </c>
      <c r="H326" s="290" t="inlineStr">
        <is>
          <t>ครู</t>
        </is>
      </c>
      <c r="I326" s="249" t="inlineStr">
        <is>
          <t>หน้าที่พิเศษ</t>
        </is>
      </c>
      <c r="J326" s="290" t="n"/>
    </row>
    <row r="327" ht="22.2" customHeight="1" s="330">
      <c r="A327" s="28" t="inlineStr">
        <is>
          <t>ที่</t>
        </is>
      </c>
      <c r="B327" s="28" t="inlineStr">
        <is>
          <t>ชื่อ-สกุล</t>
        </is>
      </c>
      <c r="C327" s="334" t="n"/>
      <c r="D327" s="335" t="n"/>
      <c r="E327" s="16" t="inlineStr">
        <is>
          <t>ตำแหน่ง</t>
        </is>
      </c>
      <c r="F327" s="17" t="inlineStr">
        <is>
          <t>ระยะเวลาที่สอน</t>
        </is>
      </c>
      <c r="G327" s="362" t="n"/>
      <c r="H327" s="17" t="inlineStr">
        <is>
          <t>รหัสวิชา</t>
        </is>
      </c>
      <c r="I327" s="275" t="inlineStr">
        <is>
          <t>ชั้น,แผนก,ห้อง</t>
        </is>
      </c>
      <c r="J327" s="17" t="inlineStr">
        <is>
          <t>เวลาสอน</t>
        </is>
      </c>
      <c r="K327" s="335" t="n"/>
      <c r="L327" s="17" t="inlineStr">
        <is>
          <t>ปวช.(คาบ)</t>
        </is>
      </c>
      <c r="M327" s="362" t="n"/>
      <c r="N327" s="244" t="inlineStr">
        <is>
          <t>เงิน</t>
        </is>
      </c>
      <c r="O327" s="275" t="inlineStr">
        <is>
          <t>ยอดเงิน</t>
        </is>
      </c>
      <c r="P327" s="473" t="inlineStr">
        <is>
          <t>ปวส.(คาบ)</t>
        </is>
      </c>
      <c r="Q327" s="362" t="n"/>
      <c r="R327" s="244" t="inlineStr">
        <is>
          <t>เงิน</t>
        </is>
      </c>
      <c r="S327" s="275" t="inlineStr">
        <is>
          <t>ยอดเงิน</t>
        </is>
      </c>
    </row>
    <row r="328" ht="22.2" customHeight="1" s="330">
      <c r="A328" s="60" t="n"/>
      <c r="B328" s="9" t="n"/>
      <c r="C328" s="10" t="n"/>
      <c r="D328" s="14" t="n"/>
      <c r="E328" s="11" t="n"/>
      <c r="F328" s="276" t="inlineStr">
        <is>
          <t>ส.</t>
        </is>
      </c>
      <c r="G328" s="276" t="inlineStr">
        <is>
          <t>วดป.</t>
        </is>
      </c>
      <c r="H328" s="474" t="n"/>
      <c r="I328" s="276" t="n"/>
      <c r="J328" s="475" t="n"/>
      <c r="K328" s="476" t="n"/>
      <c r="L328" s="276" t="inlineStr">
        <is>
          <t>ใน</t>
        </is>
      </c>
      <c r="M328" s="276" t="inlineStr">
        <is>
          <t>นอก</t>
        </is>
      </c>
      <c r="N328" s="276" t="inlineStr">
        <is>
          <t>ต่อ ชม.</t>
        </is>
      </c>
      <c r="O328" s="276" t="inlineStr">
        <is>
          <t>(บาท)</t>
        </is>
      </c>
      <c r="P328" s="60" t="inlineStr">
        <is>
          <t>ใน</t>
        </is>
      </c>
      <c r="Q328" s="60" t="inlineStr">
        <is>
          <t>นอก</t>
        </is>
      </c>
      <c r="R328" s="276" t="inlineStr">
        <is>
          <t>ต่อ ชม.</t>
        </is>
      </c>
      <c r="S328" s="276" t="inlineStr">
        <is>
          <t>(บาท)</t>
        </is>
      </c>
    </row>
    <row r="329" ht="22.2" customHeight="1" s="330">
      <c r="A329" s="275" t="n">
        <v>8</v>
      </c>
      <c r="B329" s="477">
        <f>AB10</f>
        <v/>
      </c>
      <c r="C329" s="334" t="n"/>
      <c r="D329" s="335" t="n"/>
      <c r="E329" s="275" t="inlineStr">
        <is>
          <t>ครู</t>
        </is>
      </c>
      <c r="F329" s="6" t="n">
        <v>5</v>
      </c>
      <c r="G329" s="303" t="inlineStr">
        <is>
          <t>จันทร์</t>
        </is>
      </c>
      <c r="H329" s="325" t="n"/>
      <c r="I329" s="325" t="n"/>
      <c r="J329" s="332" t="n"/>
      <c r="K329" s="335" t="n"/>
      <c r="L329" s="265" t="n"/>
      <c r="M329" s="332" t="n"/>
      <c r="N329" s="332" t="n"/>
      <c r="O329" s="244">
        <f>M329*N329</f>
        <v/>
      </c>
      <c r="P329" s="332" t="n"/>
      <c r="Q329" s="265" t="n"/>
      <c r="R329" s="332" t="n"/>
      <c r="S329" s="244">
        <f>Q329*R329</f>
        <v/>
      </c>
    </row>
    <row r="330" ht="22.2" customHeight="1" s="330">
      <c r="A330" s="4" t="n"/>
      <c r="B330" s="478" t="n"/>
      <c r="D330" s="331" t="n"/>
      <c r="E330" s="252" t="n"/>
      <c r="F330" s="249" t="n"/>
      <c r="G330" s="308">
        <f>G284</f>
        <v/>
      </c>
      <c r="H330" s="325" t="n"/>
      <c r="I330" s="325" t="n"/>
      <c r="J330" s="252" t="n"/>
      <c r="K330" s="331" t="n"/>
      <c r="L330" s="252" t="n"/>
      <c r="M330" s="252" t="n"/>
      <c r="N330" s="252" t="n"/>
      <c r="O330" s="244">
        <f>M330*N330</f>
        <v/>
      </c>
      <c r="P330" s="252" t="n"/>
      <c r="Q330" s="252" t="n"/>
      <c r="R330" s="252" t="n"/>
      <c r="S330" s="244">
        <f>Q330*R330</f>
        <v/>
      </c>
    </row>
    <row r="331" ht="22.2" customHeight="1" s="330">
      <c r="A331" s="4" t="n"/>
      <c r="B331" s="5" t="n"/>
      <c r="D331" s="3" t="n"/>
      <c r="E331" s="3" t="n"/>
      <c r="F331" s="249" t="n"/>
      <c r="G331" s="248" t="n"/>
      <c r="H331" s="252" t="n"/>
      <c r="I331" s="252" t="n"/>
      <c r="J331" s="252" t="n"/>
      <c r="K331" s="331" t="n"/>
      <c r="L331" s="252" t="n"/>
      <c r="M331" s="252" t="n"/>
      <c r="N331" s="252" t="n"/>
      <c r="O331" s="244">
        <f>M331*N331</f>
        <v/>
      </c>
      <c r="P331" s="252" t="n"/>
      <c r="Q331" s="252" t="n"/>
      <c r="R331" s="252" t="n"/>
      <c r="S331" s="244">
        <f>Q331*R331</f>
        <v/>
      </c>
    </row>
    <row r="332" ht="22.2" customHeight="1" s="330">
      <c r="A332" s="4" t="n"/>
      <c r="B332" s="5" t="n"/>
      <c r="E332" s="4" t="n"/>
      <c r="F332" s="249" t="n"/>
      <c r="G332" s="248" t="n"/>
      <c r="H332" s="252" t="n"/>
      <c r="I332" s="252" t="n"/>
      <c r="J332" s="252" t="n"/>
      <c r="K332" s="331" t="n"/>
      <c r="L332" s="252" t="n"/>
      <c r="M332" s="252" t="n"/>
      <c r="N332" s="252" t="n"/>
      <c r="O332" s="244">
        <f>M332*N332</f>
        <v/>
      </c>
      <c r="P332" s="252" t="n"/>
      <c r="Q332" s="252" t="n"/>
      <c r="R332" s="252" t="n"/>
      <c r="S332" s="244">
        <f>Q332*R332</f>
        <v/>
      </c>
    </row>
    <row r="333" ht="22.2" customHeight="1" s="330">
      <c r="A333" s="4" t="n"/>
      <c r="E333" s="4" t="n"/>
      <c r="G333" s="311" t="n"/>
      <c r="H333" s="276" t="n"/>
      <c r="I333" s="276" t="n"/>
      <c r="J333" s="276" t="n"/>
      <c r="K333" s="476" t="n"/>
      <c r="L333" s="252" t="n"/>
      <c r="M333" s="252" t="n"/>
      <c r="N333" s="252" t="n"/>
      <c r="O333" s="244">
        <f>M333*N333</f>
        <v/>
      </c>
      <c r="P333" s="252" t="n"/>
      <c r="Q333" s="252" t="n"/>
      <c r="R333" s="252" t="n"/>
      <c r="S333" s="244">
        <f>Q333*R333</f>
        <v/>
      </c>
    </row>
    <row r="334" ht="22.2" customHeight="1" s="330">
      <c r="A334" s="4" t="n"/>
      <c r="D334" s="8" t="inlineStr">
        <is>
          <t> </t>
        </is>
      </c>
      <c r="E334" s="4" t="n"/>
      <c r="G334" s="62" t="inlineStr">
        <is>
          <t>อังคาร</t>
        </is>
      </c>
      <c r="H334" s="325" t="inlineStr">
        <is>
          <t>30101-8001</t>
        </is>
      </c>
      <c r="I334" s="325" t="inlineStr">
        <is>
          <t>ปวส.2/3 สย. (ปกติ)</t>
        </is>
      </c>
      <c r="J334" s="332" t="inlineStr">
        <is>
          <t>08.10-12.10</t>
        </is>
      </c>
      <c r="K334" s="335" t="n"/>
      <c r="L334" s="265" t="n"/>
      <c r="M334" s="332" t="n"/>
      <c r="N334" s="332" t="n"/>
      <c r="O334" s="244">
        <f>M334*N334</f>
        <v/>
      </c>
      <c r="P334" s="332" t="n"/>
      <c r="Q334" s="265" t="n"/>
      <c r="R334" s="332" t="n"/>
      <c r="S334" s="244">
        <f>Q334*R334</f>
        <v/>
      </c>
    </row>
    <row r="335" ht="22.2" customHeight="1" s="330">
      <c r="A335" s="4" t="n"/>
      <c r="E335" s="4" t="n"/>
      <c r="G335" s="308">
        <f>G289</f>
        <v/>
      </c>
      <c r="H335" s="325" t="inlineStr">
        <is>
          <t>30101-0003</t>
        </is>
      </c>
      <c r="I335" s="325" t="inlineStr">
        <is>
          <t>ปวส.1/6 สย. (ม.6)</t>
        </is>
      </c>
      <c r="J335" s="252" t="inlineStr">
        <is>
          <t>14.10-19.10</t>
        </is>
      </c>
      <c r="K335" s="331" t="n"/>
      <c r="L335" s="252" t="n"/>
      <c r="M335" s="252" t="n"/>
      <c r="N335" s="252" t="n"/>
      <c r="O335" s="244">
        <f>M335*N335</f>
        <v/>
      </c>
      <c r="P335" s="252" t="n"/>
      <c r="Q335" s="252" t="n"/>
      <c r="R335" s="252" t="n"/>
      <c r="S335" s="244">
        <f>Q335*R335</f>
        <v/>
      </c>
    </row>
    <row r="336" ht="22.2" customHeight="1" s="330">
      <c r="A336" s="4" t="n"/>
      <c r="B336" s="248" t="n"/>
      <c r="C336" s="249" t="n"/>
      <c r="D336" s="249" t="n"/>
      <c r="E336" s="252" t="n"/>
      <c r="G336" s="252" t="n"/>
      <c r="H336" s="252" t="n"/>
      <c r="I336" s="252" t="n"/>
      <c r="J336" s="252" t="n"/>
      <c r="K336" s="331" t="n"/>
      <c r="L336" s="252" t="n"/>
      <c r="M336" s="252" t="n"/>
      <c r="N336" s="252" t="n"/>
      <c r="O336" s="244">
        <f>M336*N336</f>
        <v/>
      </c>
      <c r="P336" s="252" t="n"/>
      <c r="Q336" s="252" t="n"/>
      <c r="R336" s="252" t="n"/>
      <c r="S336" s="244">
        <f>Q336*R336</f>
        <v/>
      </c>
    </row>
    <row r="337" ht="22.2" customHeight="1" s="330">
      <c r="A337" s="4" t="n"/>
      <c r="B337" s="5" t="n"/>
      <c r="D337" s="3" t="n"/>
      <c r="E337" s="3" t="n"/>
      <c r="G337" s="62" t="n"/>
      <c r="H337" s="252" t="n"/>
      <c r="I337" s="252" t="n"/>
      <c r="J337" s="252" t="n"/>
      <c r="K337" s="331" t="n"/>
      <c r="L337" s="252" t="n"/>
      <c r="M337" s="252" t="n"/>
      <c r="N337" s="252" t="n"/>
      <c r="O337" s="244">
        <f>M337*N337</f>
        <v/>
      </c>
      <c r="P337" s="252" t="n"/>
      <c r="Q337" s="252" t="n"/>
      <c r="R337" s="252" t="n"/>
      <c r="S337" s="244">
        <f>Q337*R337</f>
        <v/>
      </c>
    </row>
    <row r="338" ht="22.2" customHeight="1" s="330">
      <c r="A338" s="4" t="n"/>
      <c r="D338" s="8" t="inlineStr">
        <is>
          <t> </t>
        </is>
      </c>
      <c r="E338" s="4" t="n"/>
      <c r="G338" s="63" t="n"/>
      <c r="H338" s="276" t="n"/>
      <c r="I338" s="276" t="n"/>
      <c r="J338" s="276" t="n"/>
      <c r="K338" s="476" t="n"/>
      <c r="L338" s="252" t="n"/>
      <c r="M338" s="252" t="n"/>
      <c r="N338" s="252" t="n"/>
      <c r="O338" s="244">
        <f>M338*N338</f>
        <v/>
      </c>
      <c r="P338" s="252" t="n"/>
      <c r="Q338" s="252" t="n"/>
      <c r="R338" s="252" t="n"/>
      <c r="S338" s="244">
        <f>Q338*R338</f>
        <v/>
      </c>
    </row>
    <row r="339" ht="22.2" customHeight="1" s="330">
      <c r="A339" s="4" t="n"/>
      <c r="E339" s="4" t="n"/>
      <c r="G339" s="308" t="inlineStr">
        <is>
          <t>พุธ</t>
        </is>
      </c>
      <c r="H339" s="325" t="inlineStr">
        <is>
          <t>30101-0003</t>
        </is>
      </c>
      <c r="I339" s="325" t="inlineStr">
        <is>
          <t>ปวส.1/4 สย. (ม.6)</t>
        </is>
      </c>
      <c r="J339" s="252" t="inlineStr">
        <is>
          <t>13.10-18.10</t>
        </is>
      </c>
      <c r="K339" s="331" t="n"/>
      <c r="L339" s="265" t="n"/>
      <c r="M339" s="332" t="n"/>
      <c r="N339" s="332" t="n"/>
      <c r="O339" s="244">
        <f>M339*N339</f>
        <v/>
      </c>
      <c r="P339" s="332" t="n"/>
      <c r="Q339" s="265" t="n"/>
      <c r="R339" s="332" t="n"/>
      <c r="S339" s="244">
        <f>Q339*R339</f>
        <v/>
      </c>
      <c r="T339" s="7" t="n"/>
      <c r="U339" s="23" t="inlineStr">
        <is>
          <t>เบิก ธุรการ</t>
        </is>
      </c>
      <c r="V339" s="66" t="n"/>
      <c r="W339" s="22" t="n"/>
      <c r="X339" s="22" t="n"/>
    </row>
    <row r="340" ht="22.2" customHeight="1" s="330">
      <c r="A340" s="4" t="n"/>
      <c r="B340" s="248" t="n"/>
      <c r="C340" s="249" t="n"/>
      <c r="D340" s="249" t="n"/>
      <c r="E340" s="252" t="n"/>
      <c r="G340" s="308">
        <f>G294</f>
        <v/>
      </c>
      <c r="H340" s="325" t="n"/>
      <c r="I340" s="325" t="n"/>
      <c r="J340" s="252" t="n"/>
      <c r="K340" s="331" t="n"/>
      <c r="L340" s="252" t="n"/>
      <c r="M340" s="252" t="n"/>
      <c r="N340" s="252" t="n"/>
      <c r="O340" s="244">
        <f>M340*N340</f>
        <v/>
      </c>
      <c r="P340" s="252" t="n"/>
      <c r="Q340" s="252" t="n"/>
      <c r="R340" s="252" t="n"/>
      <c r="S340" s="244">
        <f>Q340*R340</f>
        <v/>
      </c>
      <c r="T340" s="22" t="inlineStr">
        <is>
          <t> </t>
        </is>
      </c>
      <c r="U340" s="23" t="inlineStr">
        <is>
          <t>16.10-19.10</t>
        </is>
      </c>
      <c r="V340" s="66" t="n"/>
      <c r="W340" s="22" t="n"/>
      <c r="X340" s="22" t="n"/>
    </row>
    <row r="341" ht="22.2" customHeight="1" s="330">
      <c r="A341" s="4" t="n"/>
      <c r="B341" s="5" t="n"/>
      <c r="D341" s="3" t="n"/>
      <c r="E341" s="3" t="n"/>
      <c r="G341" s="252" t="n"/>
      <c r="H341" s="325" t="n"/>
      <c r="I341" s="325" t="n"/>
      <c r="J341" s="325" t="n"/>
      <c r="K341" s="331" t="n"/>
      <c r="L341" s="252" t="n"/>
      <c r="M341" s="252" t="n"/>
      <c r="N341" s="252" t="n"/>
      <c r="O341" s="244">
        <f>M341*N341</f>
        <v/>
      </c>
      <c r="P341" s="252" t="n"/>
      <c r="Q341" s="252" t="n"/>
      <c r="R341" s="252" t="n"/>
      <c r="S341" s="244">
        <f>Q341*R341</f>
        <v/>
      </c>
    </row>
    <row r="342" ht="22.2" customHeight="1" s="330">
      <c r="A342" s="4" t="n"/>
      <c r="E342" s="4" t="n"/>
      <c r="G342" s="248" t="n"/>
      <c r="H342" s="248" t="n"/>
      <c r="I342" s="252" t="n"/>
      <c r="J342" s="252" t="n"/>
      <c r="K342" s="331" t="n"/>
      <c r="L342" s="252" t="n"/>
      <c r="M342" s="252" t="n"/>
      <c r="N342" s="252" t="n"/>
      <c r="O342" s="244">
        <f>M342*N342</f>
        <v/>
      </c>
      <c r="P342" s="252" t="n"/>
      <c r="Q342" s="252" t="n"/>
      <c r="R342" s="252" t="n"/>
      <c r="S342" s="244">
        <f>Q342*R342</f>
        <v/>
      </c>
    </row>
    <row r="343" ht="22.2" customHeight="1" s="330">
      <c r="A343" s="4" t="n"/>
      <c r="E343" s="4" t="n"/>
      <c r="G343" s="277" t="n"/>
      <c r="H343" s="277" t="n"/>
      <c r="I343" s="276" t="n"/>
      <c r="J343" s="276" t="n"/>
      <c r="K343" s="476" t="n"/>
      <c r="L343" s="276" t="n"/>
      <c r="M343" s="276" t="n"/>
      <c r="N343" s="276" t="n"/>
      <c r="O343" s="244">
        <f>M343*N343</f>
        <v/>
      </c>
      <c r="P343" s="276" t="n"/>
      <c r="Q343" s="276" t="n"/>
      <c r="R343" s="276" t="n"/>
      <c r="S343" s="244">
        <f>Q343*R343</f>
        <v/>
      </c>
    </row>
    <row r="344" ht="22.2" customHeight="1" s="330">
      <c r="A344" s="4" t="n"/>
      <c r="E344" s="4" t="n"/>
      <c r="G344" s="62" t="inlineStr">
        <is>
          <t>พฤหัส</t>
        </is>
      </c>
      <c r="H344" s="325" t="inlineStr">
        <is>
          <t>30101-2603</t>
        </is>
      </c>
      <c r="I344" s="325" t="inlineStr">
        <is>
          <t>ปวส.1/1 สย. (ปกติ)</t>
        </is>
      </c>
      <c r="J344" s="332" t="inlineStr">
        <is>
          <t>08.10-12.10</t>
        </is>
      </c>
      <c r="K344" s="335" t="n"/>
      <c r="L344" s="252" t="n"/>
      <c r="M344" s="252" t="n"/>
      <c r="N344" s="252" t="n"/>
      <c r="O344" s="244">
        <f>M344*N344</f>
        <v/>
      </c>
      <c r="P344" s="252" t="n"/>
      <c r="Q344" s="275" t="n"/>
      <c r="R344" s="275" t="n"/>
      <c r="S344" s="244">
        <f>Q344*R344</f>
        <v/>
      </c>
    </row>
    <row r="345" ht="22.2" customHeight="1" s="330">
      <c r="A345" s="4" t="n"/>
      <c r="E345" s="4" t="n"/>
      <c r="G345" s="62">
        <f>G299</f>
        <v/>
      </c>
      <c r="H345" s="181" t="inlineStr">
        <is>
          <t>30000-2002</t>
        </is>
      </c>
      <c r="I345" s="325" t="inlineStr">
        <is>
          <t>ปวส.1/1,2 สย. (ปกติ)</t>
        </is>
      </c>
      <c r="J345" s="252" t="inlineStr">
        <is>
          <t>13.10-15.10</t>
        </is>
      </c>
      <c r="K345" s="331" t="n"/>
      <c r="L345" s="252" t="n"/>
      <c r="M345" s="252" t="n"/>
      <c r="N345" s="252" t="n"/>
      <c r="O345" s="244">
        <f>M345*N345</f>
        <v/>
      </c>
      <c r="P345" s="252" t="n"/>
      <c r="Q345" s="252" t="n"/>
      <c r="R345" s="252" t="n"/>
      <c r="S345" s="244">
        <f>Q345*R345</f>
        <v/>
      </c>
    </row>
    <row r="346" ht="22.2" customHeight="1" s="330">
      <c r="A346" s="4" t="n"/>
      <c r="B346" s="5" t="n"/>
      <c r="E346" s="4" t="n"/>
      <c r="G346" s="252" t="n"/>
      <c r="H346" s="325" t="inlineStr">
        <is>
          <t>30101-2603</t>
        </is>
      </c>
      <c r="I346" s="325" t="inlineStr">
        <is>
          <t>ปวส.1/1 สย. (ปกติ)</t>
        </is>
      </c>
      <c r="J346" s="252" t="inlineStr">
        <is>
          <t>15.10-16.10</t>
        </is>
      </c>
      <c r="K346" s="331" t="n"/>
      <c r="L346" s="325" t="n"/>
      <c r="M346" s="325" t="n"/>
      <c r="N346" s="325" t="n"/>
      <c r="O346" s="244">
        <f>M346*N346</f>
        <v/>
      </c>
      <c r="P346" s="325" t="n"/>
      <c r="Q346" s="325" t="n"/>
      <c r="R346" s="325" t="n"/>
      <c r="S346" s="244">
        <f>Q346*R346</f>
        <v/>
      </c>
    </row>
    <row r="347" ht="22.2" customHeight="1" s="330">
      <c r="A347" s="4" t="n"/>
      <c r="E347" s="4" t="n"/>
      <c r="G347" s="252" t="n"/>
      <c r="H347" s="252" t="n"/>
      <c r="I347" s="250" t="n"/>
      <c r="J347" s="252" t="n"/>
      <c r="K347" s="331" t="n"/>
      <c r="L347" s="252" t="n"/>
      <c r="M347" s="252" t="n"/>
      <c r="N347" s="252" t="n"/>
      <c r="O347" s="244">
        <f>M347*N347</f>
        <v/>
      </c>
      <c r="P347" s="252" t="n"/>
      <c r="Q347" s="252" t="n"/>
      <c r="R347" s="252" t="n"/>
      <c r="S347" s="244">
        <f>Q347*R347</f>
        <v/>
      </c>
    </row>
    <row r="348" ht="22.2" customHeight="1" s="330">
      <c r="A348" s="4" t="n"/>
      <c r="E348" s="4" t="n"/>
      <c r="G348" s="276" t="n"/>
      <c r="H348" s="301" t="n"/>
      <c r="I348" s="276" t="n"/>
      <c r="J348" s="276" t="n"/>
      <c r="K348" s="476" t="n"/>
      <c r="L348" s="276" t="n"/>
      <c r="M348" s="276" t="n"/>
      <c r="N348" s="276" t="n"/>
      <c r="O348" s="244">
        <f>M348*N348</f>
        <v/>
      </c>
      <c r="P348" s="276" t="n"/>
      <c r="Q348" s="276" t="n"/>
      <c r="R348" s="276" t="n"/>
      <c r="S348" s="244">
        <f>Q348*R348</f>
        <v/>
      </c>
    </row>
    <row r="349" ht="22.2" customHeight="1" s="330">
      <c r="A349" s="4" t="n"/>
      <c r="E349" s="4" t="n"/>
      <c r="G349" s="62" t="inlineStr">
        <is>
          <t>ศุกร์</t>
        </is>
      </c>
      <c r="H349" s="325" t="inlineStr">
        <is>
          <t>30101-2005</t>
        </is>
      </c>
      <c r="I349" s="325" t="inlineStr">
        <is>
          <t>ปวส.1/2 สย. (ปกติ)</t>
        </is>
      </c>
      <c r="J349" s="332" t="inlineStr">
        <is>
          <t>08.10-12.10</t>
        </is>
      </c>
      <c r="K349" s="335" t="n"/>
      <c r="L349" s="252" t="n"/>
      <c r="M349" s="252" t="n"/>
      <c r="N349" s="252" t="n"/>
      <c r="O349" s="244">
        <f>M349*N349</f>
        <v/>
      </c>
      <c r="P349" s="332" t="n"/>
      <c r="Q349" s="265" t="n"/>
      <c r="R349" s="332" t="n"/>
      <c r="S349" s="244">
        <f>Q349*R349</f>
        <v/>
      </c>
    </row>
    <row r="350" ht="22.2" customHeight="1" s="330">
      <c r="A350" s="4" t="n"/>
      <c r="E350" s="4" t="n"/>
      <c r="G350" s="62">
        <f>G304</f>
        <v/>
      </c>
      <c r="H350" s="325" t="inlineStr">
        <is>
          <t>30101-2005</t>
        </is>
      </c>
      <c r="I350" s="325" t="inlineStr">
        <is>
          <t>ปวส.1/1 สย. (ปกติ)</t>
        </is>
      </c>
      <c r="J350" s="252" t="inlineStr">
        <is>
          <t>13.10-17.10</t>
        </is>
      </c>
      <c r="K350" s="331" t="n"/>
      <c r="L350" s="252" t="n"/>
      <c r="M350" s="252" t="n"/>
      <c r="N350" s="252" t="n"/>
      <c r="O350" s="244">
        <f>M350*N350</f>
        <v/>
      </c>
      <c r="P350" s="252" t="n"/>
      <c r="Q350" s="252" t="n"/>
      <c r="R350" s="252" t="n"/>
      <c r="S350" s="244">
        <f>Q350*R350</f>
        <v/>
      </c>
    </row>
    <row r="351" ht="22.2" customHeight="1" s="330">
      <c r="A351" s="4" t="n"/>
      <c r="E351" s="4" t="n"/>
      <c r="G351" s="252" t="n"/>
      <c r="H351" s="173" t="n"/>
      <c r="I351" s="4" t="n"/>
      <c r="J351" s="252" t="n"/>
      <c r="K351" s="331" t="n"/>
      <c r="L351" s="252" t="n"/>
      <c r="M351" s="252" t="n"/>
      <c r="N351" s="252" t="n"/>
      <c r="O351" s="244">
        <f>M351*N351</f>
        <v/>
      </c>
      <c r="P351" s="252" t="n"/>
      <c r="Q351" s="252" t="n"/>
      <c r="R351" s="252" t="n"/>
      <c r="S351" s="244">
        <f>Q351*R351</f>
        <v/>
      </c>
    </row>
    <row r="352" ht="22.2" customHeight="1" s="330">
      <c r="A352" s="4" t="n"/>
      <c r="E352" s="4" t="n"/>
      <c r="G352" s="252" t="n"/>
      <c r="H352" s="176" t="n"/>
      <c r="I352" s="4" t="n"/>
      <c r="J352" s="252" t="n"/>
      <c r="K352" s="331" t="n"/>
      <c r="L352" s="252" t="n"/>
      <c r="M352" s="252" t="n"/>
      <c r="N352" s="252" t="n"/>
      <c r="O352" s="244">
        <f>M352*N352</f>
        <v/>
      </c>
      <c r="P352" s="252" t="n"/>
      <c r="Q352" s="252" t="n"/>
      <c r="R352" s="252" t="n"/>
      <c r="S352" s="244">
        <f>Q352*R352</f>
        <v/>
      </c>
    </row>
    <row r="353" ht="22.2" customHeight="1" s="330">
      <c r="A353" s="4" t="n"/>
      <c r="E353" s="4" t="n"/>
      <c r="F353" s="4" t="n"/>
      <c r="G353" s="278" t="n"/>
      <c r="H353" s="276" t="n"/>
      <c r="I353" s="278" t="n"/>
      <c r="J353" s="276" t="n"/>
      <c r="K353" s="476" t="n"/>
      <c r="L353" s="276" t="n"/>
      <c r="M353" s="276" t="n"/>
      <c r="N353" s="276" t="n"/>
      <c r="O353" s="244">
        <f>M353*N353</f>
        <v/>
      </c>
      <c r="P353" s="276" t="n"/>
      <c r="Q353" s="276" t="n"/>
      <c r="R353" s="276" t="n"/>
      <c r="S353" s="244">
        <f>Q353*R353</f>
        <v/>
      </c>
    </row>
    <row r="354" ht="22.2" customHeight="1" s="330">
      <c r="A354" s="4" t="n"/>
      <c r="E354" s="4" t="n"/>
      <c r="F354" s="4" t="n"/>
      <c r="G354" s="17" t="inlineStr">
        <is>
          <t>รวมขั่วโมงที่สอนแยก ภาระงาน/ เกินภาระงาน</t>
        </is>
      </c>
      <c r="H354" s="467" t="n"/>
      <c r="I354" s="467" t="n"/>
      <c r="J354" s="467" t="n"/>
      <c r="K354" s="362" t="n"/>
      <c r="L354" s="17">
        <f>SUM(L329:L353)</f>
        <v/>
      </c>
      <c r="M354" s="17">
        <f>SUM(M329:M353)</f>
        <v/>
      </c>
      <c r="N354" s="17" t="n"/>
      <c r="O354" s="17" t="n"/>
      <c r="P354" s="17">
        <f>SUM(P329:P353)</f>
        <v/>
      </c>
      <c r="Q354" s="17">
        <f>SUM(Q329:Q353)</f>
        <v/>
      </c>
      <c r="R354" s="279" t="n"/>
      <c r="S354" s="17" t="n"/>
      <c r="T354" s="25" t="n"/>
      <c r="U354" s="26" t="inlineStr">
        <is>
          <t xml:space="preserve">     PLC</t>
        </is>
      </c>
      <c r="V354" s="64" t="n"/>
      <c r="W354" s="27" t="n"/>
      <c r="X354" s="27" t="n"/>
    </row>
    <row r="355" ht="22.2" customHeight="1" s="330">
      <c r="A355" s="4" t="n"/>
      <c r="E355" s="4" t="n"/>
      <c r="F355" s="4" t="n"/>
      <c r="G355" s="17" t="inlineStr">
        <is>
          <t>รวมจำนวนชั่วโมงสอนคาบต่อสับดาห์</t>
        </is>
      </c>
      <c r="H355" s="467" t="n"/>
      <c r="I355" s="467" t="n"/>
      <c r="J355" s="467" t="n"/>
      <c r="K355" s="362" t="n"/>
      <c r="L355" s="17">
        <f>L354+M354</f>
        <v/>
      </c>
      <c r="M355" s="362" t="n"/>
      <c r="N355" s="298" t="n"/>
      <c r="O355" s="17" t="n"/>
      <c r="P355" s="17">
        <f>P354+Q354</f>
        <v/>
      </c>
      <c r="Q355" s="362" t="n"/>
      <c r="R355" s="278" t="n"/>
      <c r="S355" s="276" t="n"/>
      <c r="T355" s="27" t="inlineStr">
        <is>
          <t> </t>
        </is>
      </c>
      <c r="U355" s="26" t="inlineStr">
        <is>
          <t>17.10-19.10</t>
        </is>
      </c>
      <c r="V355" s="64" t="n"/>
      <c r="W355" s="27" t="n"/>
      <c r="X355" s="27" t="n"/>
    </row>
    <row r="356" ht="22.2" customHeight="1" s="330">
      <c r="A356" s="4" t="n"/>
      <c r="E356" s="4" t="n"/>
      <c r="F356" s="4" t="n"/>
      <c r="G356" s="17" t="inlineStr">
        <is>
          <t>จำนวนชั่วโมงสอนตามภาระงานสอน</t>
        </is>
      </c>
      <c r="H356" s="467" t="n"/>
      <c r="I356" s="467" t="n"/>
      <c r="J356" s="467" t="n"/>
      <c r="K356" s="362" t="n"/>
      <c r="L356" s="17" t="n">
        <v>0</v>
      </c>
      <c r="M356" s="362" t="n"/>
      <c r="N356" s="298" t="n"/>
      <c r="O356" s="17" t="n"/>
      <c r="P356" s="17" t="n">
        <v>15</v>
      </c>
      <c r="Q356" s="362" t="n"/>
      <c r="R356" s="249" t="n"/>
      <c r="S356" s="252" t="n"/>
    </row>
    <row r="357" ht="22.2" customHeight="1" s="330" thickBot="1">
      <c r="A357" s="4" t="n"/>
      <c r="E357" s="4" t="n"/>
      <c r="F357" s="15" t="n"/>
      <c r="G357" s="17" t="inlineStr">
        <is>
          <t>จำนวนชั่วโมงบิกเกินภาระงานสอน/ค่าสอน</t>
        </is>
      </c>
      <c r="H357" s="467" t="n"/>
      <c r="I357" s="467" t="n"/>
      <c r="J357" s="467" t="n"/>
      <c r="K357" s="362" t="n"/>
      <c r="L357" s="18" t="n">
        <v>0</v>
      </c>
      <c r="M357" s="18">
        <f>SUM(M329:M353)</f>
        <v/>
      </c>
      <c r="N357" s="18" t="n"/>
      <c r="O357" s="18">
        <f>SUM(O329:O353)</f>
        <v/>
      </c>
      <c r="P357" s="18" t="n">
        <v>0</v>
      </c>
      <c r="Q357" s="18">
        <f>SUM(Q329:Q353)</f>
        <v/>
      </c>
      <c r="R357" s="19" t="n"/>
      <c r="S357" s="18">
        <f>SUM(S329:S353)</f>
        <v/>
      </c>
    </row>
    <row r="358" ht="22.2" customHeight="1" s="330" thickTop="1">
      <c r="A358" s="299" t="inlineStr">
        <is>
          <t>รวมจำนวนหน่วยชั่วโมงที่ขอเบิกค่าสอน ….</t>
        </is>
      </c>
      <c r="B358" s="467" t="n"/>
      <c r="C358" s="467" t="n"/>
      <c r="D358" s="467" t="n"/>
      <c r="E358" s="467" t="n"/>
      <c r="F358" s="467" t="n"/>
      <c r="G358" s="467" t="n"/>
      <c r="H358" s="298">
        <f>M357+Q357</f>
        <v/>
      </c>
      <c r="I358" s="298" t="inlineStr">
        <is>
          <t>….ชั่วโมง</t>
        </is>
      </c>
      <c r="J358" s="298" t="n"/>
      <c r="K358" s="301" t="inlineStr">
        <is>
          <t>ยอดเงินรวม</t>
        </is>
      </c>
      <c r="L358" s="471" t="n"/>
      <c r="M358" s="471" t="n"/>
      <c r="N358" s="301" t="n"/>
      <c r="O358" s="301" t="n"/>
      <c r="P358" s="302">
        <f>S357+O357</f>
        <v/>
      </c>
      <c r="Q358" s="482" t="n"/>
      <c r="R358" s="21" t="n"/>
      <c r="S358" s="20" t="inlineStr">
        <is>
          <t>..บาท</t>
        </is>
      </c>
    </row>
    <row r="359" ht="22.2" customHeight="1" s="330">
      <c r="A359" s="207" t="inlineStr">
        <is>
          <t>ผู้ขอเบิก</t>
        </is>
      </c>
      <c r="B359" s="334" t="n"/>
      <c r="C359" s="334" t="n"/>
      <c r="D359" s="334" t="n"/>
      <c r="E359" s="334" t="n"/>
      <c r="F359" s="334" t="n"/>
      <c r="G359" s="335" t="n"/>
      <c r="H359" s="207" t="inlineStr">
        <is>
          <t>ผู้รับรอง</t>
        </is>
      </c>
      <c r="I359" s="334" t="n"/>
      <c r="J359" s="334" t="n"/>
      <c r="K359" s="334" t="n"/>
      <c r="L359" s="335" t="n"/>
      <c r="M359" s="207" t="inlineStr">
        <is>
          <t>ผู้ตรวจ</t>
        </is>
      </c>
      <c r="N359" s="334" t="n"/>
      <c r="O359" s="334" t="n"/>
      <c r="P359" s="334" t="n"/>
      <c r="Q359" s="334" t="n"/>
      <c r="R359" s="334" t="n"/>
      <c r="S359" s="335" t="n"/>
    </row>
    <row r="360" ht="22.2" customHeight="1" s="330">
      <c r="A360" s="252" t="inlineStr">
        <is>
          <t>ลงชื่อ……………………………………………</t>
        </is>
      </c>
      <c r="G360" s="331" t="n"/>
      <c r="H360" s="252" t="inlineStr">
        <is>
          <t>ลงชื่อ……………………………………………</t>
        </is>
      </c>
      <c r="L360" s="331" t="n"/>
      <c r="M360" s="252" t="inlineStr">
        <is>
          <t>ลงชื่อ……………………………………………</t>
        </is>
      </c>
      <c r="S360" s="331" t="n"/>
    </row>
    <row r="361" ht="22.2" customHeight="1" s="330">
      <c r="A361" s="12" t="inlineStr">
        <is>
          <t>(</t>
        </is>
      </c>
      <c r="B361" s="309">
        <f>B329</f>
        <v/>
      </c>
      <c r="G361" s="310" t="inlineStr">
        <is>
          <t>)</t>
        </is>
      </c>
      <c r="H361" s="309" t="inlineStr">
        <is>
          <t>(</t>
        </is>
      </c>
      <c r="I361" s="314">
        <f>I315</f>
        <v/>
      </c>
      <c r="L361" s="13" t="inlineStr">
        <is>
          <t>)</t>
        </is>
      </c>
      <c r="M361" s="61" t="inlineStr">
        <is>
          <t>(</t>
        </is>
      </c>
      <c r="N361" s="61" t="n"/>
      <c r="O361" s="309" t="inlineStr">
        <is>
          <t>นายพิสุทธิศักดิ์  กล่อมนาค</t>
        </is>
      </c>
      <c r="R361" s="29" t="n"/>
      <c r="S361" s="310" t="inlineStr">
        <is>
          <t>)</t>
        </is>
      </c>
    </row>
    <row r="362" ht="22.2" customHeight="1" s="330">
      <c r="A362" s="483" t="inlineStr">
        <is>
          <t xml:space="preserve">                    ตำแหน่ง  ครู</t>
        </is>
      </c>
      <c r="G362" s="331" t="n"/>
      <c r="H362" s="62" t="inlineStr">
        <is>
          <t>ตำแหน่ง หัวหน้าแผนก</t>
        </is>
      </c>
      <c r="L362" s="331" t="n"/>
      <c r="M362" s="62" t="inlineStr">
        <is>
          <t>ตำแหน่ง   ผู้ตรวจสอบ</t>
        </is>
      </c>
      <c r="S362" s="331" t="n"/>
    </row>
    <row r="363" ht="22.2" customHeight="1" s="330">
      <c r="A363" s="63">
        <f>A41</f>
        <v/>
      </c>
      <c r="B363" s="471" t="n"/>
      <c r="C363" s="471" t="n"/>
      <c r="D363" s="471" t="n"/>
      <c r="E363" s="471" t="n"/>
      <c r="F363" s="471" t="n"/>
      <c r="G363" s="476" t="n"/>
      <c r="H363" s="62">
        <f>A41</f>
        <v/>
      </c>
      <c r="L363" s="331" t="n"/>
      <c r="M363" s="63">
        <f>A41</f>
        <v/>
      </c>
      <c r="N363" s="471" t="n"/>
      <c r="O363" s="471" t="n"/>
      <c r="P363" s="471" t="n"/>
      <c r="Q363" s="471" t="n"/>
      <c r="R363" s="471" t="n"/>
      <c r="S363" s="476" t="n"/>
    </row>
    <row r="364" ht="22.2" customHeight="1" s="330">
      <c r="A364" s="207" t="inlineStr">
        <is>
          <t>ผู้ตรวจ</t>
        </is>
      </c>
      <c r="B364" s="334" t="n"/>
      <c r="C364" s="334" t="n"/>
      <c r="D364" s="334" t="n"/>
      <c r="E364" s="334" t="n"/>
      <c r="F364" s="334" t="n"/>
      <c r="G364" s="334" t="n"/>
      <c r="H364" s="334" t="n"/>
      <c r="I364" s="335" t="n"/>
      <c r="J364" s="207" t="inlineStr">
        <is>
          <t>ผู้เห็นชอบ</t>
        </is>
      </c>
      <c r="K364" s="334" t="n"/>
      <c r="L364" s="334" t="n"/>
      <c r="M364" s="334" t="n"/>
      <c r="N364" s="334" t="n"/>
      <c r="O364" s="334" t="n"/>
      <c r="P364" s="334" t="n"/>
      <c r="Q364" s="334" t="n"/>
      <c r="R364" s="334" t="n"/>
      <c r="S364" s="335" t="n"/>
    </row>
    <row r="365" ht="22.2" customHeight="1" s="330">
      <c r="A365" s="252" t="inlineStr">
        <is>
          <t>ลงชื่อ……………………………………………</t>
        </is>
      </c>
      <c r="I365" s="331" t="n"/>
      <c r="J365" s="252" t="inlineStr">
        <is>
          <t>ลงชื่อ……………………………………………</t>
        </is>
      </c>
      <c r="S365" s="331" t="n"/>
    </row>
    <row r="366" ht="22.2" customHeight="1" s="330">
      <c r="A366" s="12" t="n"/>
      <c r="B366" s="309" t="inlineStr">
        <is>
          <t xml:space="preserve">          (นางศิวรักษ์   บุญประเสริฐ)</t>
        </is>
      </c>
      <c r="I366" s="310" t="n"/>
      <c r="J366" s="29" t="n"/>
      <c r="K366" s="29" t="n"/>
      <c r="L366" s="309" t="inlineStr">
        <is>
          <t>(นายปรีชา  โพธิ์เกิด)</t>
        </is>
      </c>
      <c r="R366" s="29" t="n"/>
      <c r="S366" s="13" t="n"/>
    </row>
    <row r="367" ht="22.2" customHeight="1" s="330">
      <c r="A367" s="62" t="inlineStr">
        <is>
          <t>ตำแหน่งครู  หัวหน้างานพัฒนาหลักสูตร ฯ</t>
        </is>
      </c>
      <c r="I367" s="331" t="n"/>
      <c r="J367" s="62" t="inlineStr">
        <is>
          <t>ตำแหน่ง  รองผู้อำนวยการฝ่ายวิชาการ</t>
        </is>
      </c>
      <c r="S367" s="331" t="n"/>
    </row>
    <row r="368" ht="22.2" customHeight="1" s="330">
      <c r="A368" s="63">
        <f>A41</f>
        <v/>
      </c>
      <c r="B368" s="471" t="n"/>
      <c r="C368" s="471" t="n"/>
      <c r="D368" s="471" t="n"/>
      <c r="E368" s="471" t="n"/>
      <c r="F368" s="471" t="n"/>
      <c r="G368" s="471" t="n"/>
      <c r="H368" s="471" t="n"/>
      <c r="I368" s="476" t="n"/>
      <c r="J368" s="63">
        <f>A41</f>
        <v/>
      </c>
      <c r="K368" s="471" t="n"/>
      <c r="L368" s="471" t="n"/>
      <c r="M368" s="471" t="n"/>
      <c r="N368" s="471" t="n"/>
      <c r="O368" s="471" t="n"/>
      <c r="P368" s="471" t="n"/>
      <c r="Q368" s="471" t="n"/>
      <c r="R368" s="471" t="n"/>
      <c r="S368" s="476" t="n"/>
    </row>
    <row r="369" ht="22.2" customHeight="1" s="330">
      <c r="A369" s="333" t="inlineStr">
        <is>
          <t>ใบเบิกจ่ายเงินค่าสอนพิเศษและค่าสอนเกินภาระงานสอนในสถานศึกษา</t>
        </is>
      </c>
      <c r="B369" s="334" t="n"/>
      <c r="C369" s="334" t="n"/>
      <c r="D369" s="334" t="n"/>
      <c r="E369" s="334" t="n"/>
      <c r="F369" s="334" t="n"/>
      <c r="G369" s="334" t="n"/>
      <c r="H369" s="334" t="n"/>
      <c r="I369" s="334" t="n"/>
      <c r="J369" s="334" t="n"/>
      <c r="K369" s="334" t="n"/>
      <c r="L369" s="334" t="n"/>
      <c r="M369" s="334" t="n"/>
      <c r="N369" s="334" t="n"/>
      <c r="O369" s="334" t="n"/>
      <c r="P369" s="334" t="n"/>
      <c r="Q369" s="334" t="n"/>
      <c r="R369" s="334" t="n"/>
      <c r="S369" s="334" t="n"/>
    </row>
    <row r="370" ht="22.2" customHeight="1" s="330">
      <c r="A370" s="254">
        <f>A2</f>
        <v/>
      </c>
    </row>
    <row r="371" ht="22.2" customHeight="1" s="330">
      <c r="A371" s="253" t="inlineStr">
        <is>
          <t xml:space="preserve">    ระหว่างวันที่</t>
        </is>
      </c>
      <c r="D371" s="254">
        <f>D3</f>
        <v/>
      </c>
      <c r="E371" s="254" t="inlineStr">
        <is>
          <t xml:space="preserve">   เดือน  </t>
        </is>
      </c>
      <c r="F371" s="254">
        <f>F3</f>
        <v/>
      </c>
      <c r="H371" s="254">
        <f>H3</f>
        <v/>
      </c>
      <c r="I371" s="254" t="inlineStr">
        <is>
          <t xml:space="preserve">     ถึง วันที่</t>
        </is>
      </c>
      <c r="J371" s="254">
        <f>J3</f>
        <v/>
      </c>
      <c r="K371" s="254" t="inlineStr">
        <is>
          <t xml:space="preserve">   เดือน </t>
        </is>
      </c>
      <c r="L371" s="254">
        <f>L3</f>
        <v/>
      </c>
      <c r="N371" s="254">
        <f>N3</f>
        <v/>
      </c>
      <c r="P371" s="254" t="n"/>
      <c r="R371" s="254" t="n"/>
    </row>
    <row r="372" ht="22.2" customHeight="1" s="330">
      <c r="G372" s="58" t="inlineStr">
        <is>
          <t>ü</t>
        </is>
      </c>
      <c r="H372" s="290" t="inlineStr">
        <is>
          <t>ครู</t>
        </is>
      </c>
      <c r="I372" s="249" t="inlineStr">
        <is>
          <t>หน้าที่พิเศษ</t>
        </is>
      </c>
      <c r="J372" s="290" t="inlineStr">
        <is>
          <t>หัวหน้างานทวิภาคี</t>
        </is>
      </c>
    </row>
    <row r="373" ht="22.2" customHeight="1" s="330">
      <c r="A373" s="28" t="inlineStr">
        <is>
          <t>ที่</t>
        </is>
      </c>
      <c r="B373" s="28" t="inlineStr">
        <is>
          <t>ชื่อ-สกุล</t>
        </is>
      </c>
      <c r="C373" s="334" t="n"/>
      <c r="D373" s="335" t="n"/>
      <c r="E373" s="16" t="inlineStr">
        <is>
          <t>ตำแหน่ง</t>
        </is>
      </c>
      <c r="F373" s="17" t="inlineStr">
        <is>
          <t>ระยะเวลาที่สอน</t>
        </is>
      </c>
      <c r="G373" s="362" t="n"/>
      <c r="H373" s="17" t="inlineStr">
        <is>
          <t>รหัสวิชา</t>
        </is>
      </c>
      <c r="I373" s="275" t="inlineStr">
        <is>
          <t>ชั้น,แผนก,ห้อง</t>
        </is>
      </c>
      <c r="J373" s="17" t="inlineStr">
        <is>
          <t>เวลาสอน</t>
        </is>
      </c>
      <c r="K373" s="335" t="n"/>
      <c r="L373" s="17" t="inlineStr">
        <is>
          <t>ปวช.(คาบ)</t>
        </is>
      </c>
      <c r="M373" s="362" t="n"/>
      <c r="N373" s="244" t="inlineStr">
        <is>
          <t>เงิน</t>
        </is>
      </c>
      <c r="O373" s="275" t="inlineStr">
        <is>
          <t>ยอดเงิน</t>
        </is>
      </c>
      <c r="P373" s="473" t="inlineStr">
        <is>
          <t>ปวส.(คาบ)</t>
        </is>
      </c>
      <c r="Q373" s="362" t="n"/>
      <c r="R373" s="244" t="inlineStr">
        <is>
          <t>เงิน</t>
        </is>
      </c>
      <c r="S373" s="275" t="inlineStr">
        <is>
          <t>ยอดเงิน</t>
        </is>
      </c>
    </row>
    <row r="374" ht="22.2" customHeight="1" s="330">
      <c r="A374" s="60" t="n"/>
      <c r="B374" s="9" t="n"/>
      <c r="C374" s="10" t="n"/>
      <c r="D374" s="14" t="n"/>
      <c r="E374" s="11" t="n"/>
      <c r="F374" s="276" t="inlineStr">
        <is>
          <t>ส.</t>
        </is>
      </c>
      <c r="G374" s="276" t="inlineStr">
        <is>
          <t>วดป.</t>
        </is>
      </c>
      <c r="H374" s="474" t="n"/>
      <c r="I374" s="159" t="n"/>
      <c r="J374" s="475" t="n"/>
      <c r="K374" s="476" t="n"/>
      <c r="L374" s="276" t="inlineStr">
        <is>
          <t>ใน</t>
        </is>
      </c>
      <c r="M374" s="276" t="inlineStr">
        <is>
          <t>นอก</t>
        </is>
      </c>
      <c r="N374" s="276" t="inlineStr">
        <is>
          <t>ต่อ ชม.</t>
        </is>
      </c>
      <c r="O374" s="276" t="inlineStr">
        <is>
          <t>(บาท)</t>
        </is>
      </c>
      <c r="P374" s="60" t="inlineStr">
        <is>
          <t>ใน</t>
        </is>
      </c>
      <c r="Q374" s="60" t="inlineStr">
        <is>
          <t>นอก</t>
        </is>
      </c>
      <c r="R374" s="276" t="inlineStr">
        <is>
          <t>ต่อ ชม.</t>
        </is>
      </c>
      <c r="S374" s="276" t="inlineStr">
        <is>
          <t>(บาท)</t>
        </is>
      </c>
    </row>
    <row r="375" ht="22.2" customHeight="1" s="330">
      <c r="A375" s="252" t="n">
        <v>9</v>
      </c>
      <c r="B375" s="478">
        <f>AB11</f>
        <v/>
      </c>
      <c r="D375" s="331" t="n"/>
      <c r="E375" s="252" t="inlineStr">
        <is>
          <t>ครู</t>
        </is>
      </c>
      <c r="F375" s="252" t="n">
        <v>5</v>
      </c>
      <c r="G375" s="303" t="inlineStr">
        <is>
          <t>จันทร์</t>
        </is>
      </c>
      <c r="H375" s="332" t="inlineStr">
        <is>
          <t>20101-2010</t>
        </is>
      </c>
      <c r="I375" s="325" t="inlineStr">
        <is>
          <t>ปวช.2/1 ชย. (ปกติ)</t>
        </is>
      </c>
      <c r="J375" s="332" t="inlineStr">
        <is>
          <t>08.10-12.10</t>
        </is>
      </c>
      <c r="K375" s="335" t="n"/>
      <c r="L375" s="332" t="n"/>
      <c r="M375" s="156" t="n"/>
      <c r="N375" s="335" t="n"/>
      <c r="O375" s="244">
        <f>M375*N375</f>
        <v/>
      </c>
      <c r="P375" s="156" t="n"/>
      <c r="Q375" s="156" t="n"/>
      <c r="R375" s="156" t="n"/>
      <c r="S375" s="244">
        <f>Q375*R375</f>
        <v/>
      </c>
    </row>
    <row r="376" ht="22.2" customHeight="1" s="330">
      <c r="A376" s="4" t="n"/>
      <c r="B376" s="478" t="n"/>
      <c r="D376" s="331" t="n"/>
      <c r="E376" s="252" t="n"/>
      <c r="F376" s="249" t="n"/>
      <c r="G376" s="308">
        <f>G330</f>
        <v/>
      </c>
      <c r="H376" s="325" t="n"/>
      <c r="I376" s="325" t="n"/>
      <c r="J376" s="325" t="n"/>
      <c r="K376" s="331" t="n"/>
      <c r="L376" s="325" t="n"/>
      <c r="M376" s="252" t="n"/>
      <c r="N376" s="250" t="n"/>
      <c r="O376" s="244">
        <f>M376*N376</f>
        <v/>
      </c>
      <c r="P376" s="252" t="n"/>
      <c r="Q376" s="252" t="n"/>
      <c r="R376" s="252" t="n"/>
      <c r="S376" s="244">
        <f>Q376*R376</f>
        <v/>
      </c>
    </row>
    <row r="377" ht="22.2" customHeight="1" s="330">
      <c r="A377" s="4" t="n"/>
      <c r="B377" s="5" t="n"/>
      <c r="D377" s="3" t="n"/>
      <c r="E377" s="3" t="n"/>
      <c r="F377" s="249" t="n"/>
      <c r="G377" s="248" t="n"/>
      <c r="H377" s="252" t="n"/>
      <c r="I377" s="252" t="n"/>
      <c r="J377" s="252" t="n"/>
      <c r="K377" s="331" t="n"/>
      <c r="L377" s="252" t="n"/>
      <c r="M377" s="252" t="n"/>
      <c r="N377" s="252" t="n"/>
      <c r="O377" s="244">
        <f>M377*N377</f>
        <v/>
      </c>
      <c r="P377" s="252" t="n"/>
      <c r="Q377" s="252" t="n"/>
      <c r="R377" s="252" t="n"/>
      <c r="S377" s="244">
        <f>Q377*R377</f>
        <v/>
      </c>
    </row>
    <row r="378" ht="22.2" customHeight="1" s="330">
      <c r="A378" s="4" t="n"/>
      <c r="D378" s="3" t="n"/>
      <c r="E378" s="3" t="n"/>
      <c r="F378" s="249" t="n"/>
      <c r="G378" s="248" t="n"/>
      <c r="H378" s="252" t="n"/>
      <c r="I378" s="252" t="n"/>
      <c r="J378" s="252" t="n"/>
      <c r="K378" s="331" t="n"/>
      <c r="L378" s="252" t="n"/>
      <c r="M378" s="252" t="n"/>
      <c r="N378" s="252" t="n"/>
      <c r="O378" s="244">
        <f>M378*N378</f>
        <v/>
      </c>
      <c r="P378" s="252" t="n"/>
      <c r="Q378" s="252" t="n"/>
      <c r="R378" s="252" t="n"/>
      <c r="S378" s="244">
        <f>Q378*R378</f>
        <v/>
      </c>
    </row>
    <row r="379" ht="22.2" customHeight="1" s="330">
      <c r="A379" s="4" t="n"/>
      <c r="E379" s="4" t="n"/>
      <c r="G379" s="311" t="n"/>
      <c r="H379" s="276" t="n"/>
      <c r="I379" s="276" t="n"/>
      <c r="J379" s="276" t="n"/>
      <c r="K379" s="476" t="n"/>
      <c r="L379" s="276" t="n"/>
      <c r="M379" s="252" t="n"/>
      <c r="N379" s="252" t="n"/>
      <c r="O379" s="244">
        <f>M379*N379</f>
        <v/>
      </c>
      <c r="P379" s="252" t="n"/>
      <c r="Q379" s="252" t="n"/>
      <c r="R379" s="252" t="n"/>
      <c r="S379" s="244">
        <f>Q379*R379</f>
        <v/>
      </c>
    </row>
    <row r="380" ht="22.2" customHeight="1" s="330">
      <c r="A380" s="4" t="n"/>
      <c r="E380" s="4" t="n"/>
      <c r="G380" s="62" t="inlineStr">
        <is>
          <t>อังคาร</t>
        </is>
      </c>
      <c r="H380" s="332" t="inlineStr">
        <is>
          <t>20101-2102</t>
        </is>
      </c>
      <c r="I380" s="332" t="inlineStr">
        <is>
          <t>ปวช.1/5 ชย. (ปกติ)</t>
        </is>
      </c>
      <c r="J380" s="332" t="inlineStr">
        <is>
          <t>08.10-12.10</t>
        </is>
      </c>
      <c r="K380" s="335" t="n"/>
      <c r="L380" s="265" t="n"/>
      <c r="M380" s="332" t="n"/>
      <c r="N380" s="332" t="n"/>
      <c r="O380" s="244">
        <f>M380*N380</f>
        <v/>
      </c>
      <c r="P380" s="332" t="n"/>
      <c r="Q380" s="265" t="n"/>
      <c r="R380" s="332" t="n"/>
      <c r="S380" s="244">
        <f>Q380*R380</f>
        <v/>
      </c>
    </row>
    <row r="381" ht="22.2" customHeight="1" s="330">
      <c r="A381" s="4" t="n"/>
      <c r="E381" s="4" t="n"/>
      <c r="G381" s="308">
        <f>G335</f>
        <v/>
      </c>
      <c r="H381" s="325" t="inlineStr">
        <is>
          <t>20101-2102</t>
        </is>
      </c>
      <c r="I381" s="325" t="inlineStr">
        <is>
          <t>ปวช.1/5 ชย. (ปกติ)</t>
        </is>
      </c>
      <c r="J381" s="325" t="inlineStr">
        <is>
          <t>13.10-16.10</t>
        </is>
      </c>
      <c r="K381" s="331" t="n"/>
      <c r="L381" s="252" t="n"/>
      <c r="M381" s="252" t="n"/>
      <c r="N381" s="252" t="n"/>
      <c r="O381" s="244">
        <f>M381*N381</f>
        <v/>
      </c>
      <c r="P381" s="252" t="n"/>
      <c r="Q381" s="252" t="n"/>
      <c r="R381" s="252" t="n"/>
      <c r="S381" s="244">
        <f>Q381*R381</f>
        <v/>
      </c>
    </row>
    <row r="382" ht="22.2" customHeight="1" s="330">
      <c r="A382" s="4" t="n"/>
      <c r="B382" s="5" t="n"/>
      <c r="D382" s="3" t="n"/>
      <c r="E382" s="3" t="n"/>
      <c r="G382" s="252" t="n"/>
      <c r="H382" s="252" t="n"/>
      <c r="I382" s="252" t="n"/>
      <c r="J382" s="252" t="n"/>
      <c r="K382" s="331" t="n"/>
      <c r="L382" s="252" t="n"/>
      <c r="M382" s="252" t="n"/>
      <c r="N382" s="252" t="n"/>
      <c r="O382" s="244">
        <f>M382*N382</f>
        <v/>
      </c>
      <c r="P382" s="252" t="n"/>
      <c r="Q382" s="252" t="n"/>
      <c r="R382" s="252" t="n"/>
      <c r="S382" s="244">
        <f>Q382*R382</f>
        <v/>
      </c>
    </row>
    <row r="383" ht="22.2" customHeight="1" s="330">
      <c r="A383" s="4" t="n"/>
      <c r="D383" s="3" t="n"/>
      <c r="E383" s="3" t="n"/>
      <c r="G383" s="252" t="n"/>
      <c r="H383" s="249" t="n"/>
      <c r="I383" s="252" t="n"/>
      <c r="J383" s="252" t="n"/>
      <c r="K383" s="331" t="n"/>
      <c r="L383" s="252" t="n"/>
      <c r="M383" s="252" t="n"/>
      <c r="N383" s="252" t="n"/>
      <c r="O383" s="244">
        <f>M383*N383</f>
        <v/>
      </c>
      <c r="P383" s="252" t="n"/>
      <c r="Q383" s="252" t="n"/>
      <c r="R383" s="252" t="n"/>
      <c r="S383" s="244">
        <f>Q383*R383</f>
        <v/>
      </c>
    </row>
    <row r="384" ht="22.2" customHeight="1" s="330">
      <c r="A384" s="4" t="n"/>
      <c r="D384" s="3" t="inlineStr">
        <is>
          <t> </t>
        </is>
      </c>
      <c r="E384" s="3" t="n"/>
      <c r="G384" s="63" t="n"/>
      <c r="H384" s="276" t="n"/>
      <c r="I384" s="276" t="n"/>
      <c r="J384" s="276" t="n"/>
      <c r="K384" s="476" t="n"/>
      <c r="L384" s="252" t="n"/>
      <c r="M384" s="276" t="n"/>
      <c r="N384" s="276" t="n"/>
      <c r="O384" s="244">
        <f>M384*N384</f>
        <v/>
      </c>
      <c r="P384" s="276" t="n"/>
      <c r="Q384" s="276" t="n"/>
      <c r="R384" s="276" t="n"/>
      <c r="S384" s="279">
        <f>Q384*R384</f>
        <v/>
      </c>
    </row>
    <row r="385" ht="22.2" customHeight="1" s="330">
      <c r="A385" s="4" t="n"/>
      <c r="B385" s="170" t="n"/>
      <c r="C385" s="171" t="n"/>
      <c r="D385" s="172" t="n"/>
      <c r="E385" s="173" t="n"/>
      <c r="G385" s="308" t="inlineStr">
        <is>
          <t>พุธ</t>
        </is>
      </c>
      <c r="H385" s="325" t="inlineStr">
        <is>
          <t>20101-2102</t>
        </is>
      </c>
      <c r="I385" s="325" t="inlineStr">
        <is>
          <t>ปวช.1/9 ชย. (ทวิ)</t>
        </is>
      </c>
      <c r="J385" s="332" t="inlineStr">
        <is>
          <t>08.10-12.10</t>
        </is>
      </c>
      <c r="K385" s="335" t="n"/>
      <c r="L385" s="332" t="n"/>
      <c r="M385" s="182" t="n"/>
      <c r="N385" s="179" t="n"/>
      <c r="O385" s="244">
        <f>M385*N385</f>
        <v/>
      </c>
      <c r="P385" s="156" t="n"/>
      <c r="Q385" s="335" t="n"/>
      <c r="R385" s="335" t="n"/>
      <c r="S385" s="279">
        <f>Q385*R385</f>
        <v/>
      </c>
      <c r="T385" s="7" t="n"/>
      <c r="U385" s="23" t="inlineStr">
        <is>
          <t>เบิก ธุรการ</t>
        </is>
      </c>
      <c r="V385" s="66" t="n"/>
      <c r="W385" s="22" t="n"/>
      <c r="X385" s="22" t="n"/>
    </row>
    <row r="386" ht="22.2" customHeight="1" s="330">
      <c r="A386" s="4" t="n"/>
      <c r="B386" s="248" t="n"/>
      <c r="C386" s="249" t="n"/>
      <c r="D386" s="250" t="n"/>
      <c r="E386" s="252" t="n"/>
      <c r="G386" s="308">
        <f>G340</f>
        <v/>
      </c>
      <c r="H386" s="325" t="inlineStr">
        <is>
          <t>20101-2102</t>
        </is>
      </c>
      <c r="I386" s="325" t="inlineStr">
        <is>
          <t>ปวช.1/9 ชย. (ทวิ)</t>
        </is>
      </c>
      <c r="J386" s="325" t="inlineStr">
        <is>
          <t>13.10-16.10</t>
        </is>
      </c>
      <c r="K386" s="331" t="n"/>
      <c r="L386" s="252" t="n"/>
      <c r="M386" s="211" t="n"/>
      <c r="N386" s="180" t="n"/>
      <c r="O386" s="244">
        <f>M386*N386</f>
        <v/>
      </c>
      <c r="P386" s="56" t="n"/>
      <c r="Q386" s="56" t="n"/>
      <c r="R386" s="331" t="n"/>
      <c r="S386" s="279">
        <f>Q386*R386</f>
        <v/>
      </c>
      <c r="T386" s="22" t="inlineStr">
        <is>
          <t> </t>
        </is>
      </c>
      <c r="U386" s="23" t="inlineStr">
        <is>
          <t>16.10-19.10</t>
        </is>
      </c>
      <c r="V386" s="66" t="n"/>
      <c r="W386" s="22" t="n"/>
      <c r="X386" s="22" t="n"/>
    </row>
    <row r="387" ht="22.2" customHeight="1" s="330">
      <c r="A387" s="4" t="n"/>
      <c r="B387" s="5" t="n"/>
      <c r="D387" s="3" t="n"/>
      <c r="E387" s="3" t="n"/>
      <c r="G387" s="252" t="n"/>
      <c r="H387" s="252" t="n"/>
      <c r="I387" s="252" t="n"/>
      <c r="J387" s="252" t="n"/>
      <c r="K387" s="331" t="n"/>
      <c r="L387" s="252" t="n"/>
      <c r="M387" s="252" t="n"/>
      <c r="N387" s="252" t="n"/>
      <c r="O387" s="275">
        <f>M387*N387</f>
        <v/>
      </c>
      <c r="P387" s="252" t="n"/>
      <c r="Q387" s="252" t="n"/>
      <c r="R387" s="252" t="n"/>
      <c r="S387" s="244">
        <f>Q387*R387</f>
        <v/>
      </c>
    </row>
    <row r="388" ht="22.2" customHeight="1" s="330">
      <c r="A388" s="4" t="n"/>
      <c r="D388" s="3" t="n"/>
      <c r="E388" s="3" t="n"/>
      <c r="G388" s="248" t="n"/>
      <c r="H388" s="248" t="n"/>
      <c r="I388" s="252" t="n"/>
      <c r="J388" s="252" t="n"/>
      <c r="K388" s="331" t="n"/>
      <c r="L388" s="252" t="n"/>
      <c r="M388" s="252" t="n"/>
      <c r="N388" s="252" t="n"/>
      <c r="O388" s="275">
        <f>M388*N388</f>
        <v/>
      </c>
      <c r="P388" s="252" t="n"/>
      <c r="Q388" s="252" t="n"/>
      <c r="R388" s="252" t="n"/>
      <c r="S388" s="244">
        <f>Q388*R388</f>
        <v/>
      </c>
    </row>
    <row r="389" ht="22.2" customHeight="1" s="330">
      <c r="A389" s="4" t="n"/>
      <c r="E389" s="4" t="n"/>
      <c r="G389" s="277" t="n"/>
      <c r="H389" s="277" t="n"/>
      <c r="I389" s="276" t="n"/>
      <c r="J389" s="276" t="n"/>
      <c r="K389" s="476" t="n"/>
      <c r="L389" s="276" t="n"/>
      <c r="M389" s="276" t="n"/>
      <c r="N389" s="276" t="n"/>
      <c r="O389" s="244">
        <f>M389*N389</f>
        <v/>
      </c>
      <c r="P389" s="276" t="n"/>
      <c r="Q389" s="276" t="n"/>
      <c r="R389" s="276" t="n"/>
      <c r="S389" s="244">
        <f>Q389*R389</f>
        <v/>
      </c>
    </row>
    <row r="390" ht="22.2" customHeight="1" s="330">
      <c r="A390" s="4" t="n"/>
      <c r="E390" s="4" t="n"/>
      <c r="G390" s="62" t="inlineStr">
        <is>
          <t>พฤหัส</t>
        </is>
      </c>
      <c r="H390" s="325" t="inlineStr">
        <is>
          <t>20000-2004</t>
        </is>
      </c>
      <c r="I390" s="332" t="inlineStr">
        <is>
          <t>ปวช.2/7,8 ชย. (ปกติ)</t>
        </is>
      </c>
      <c r="J390" s="325" t="inlineStr">
        <is>
          <t>13.10-15.10</t>
        </is>
      </c>
      <c r="K390" s="331" t="n"/>
      <c r="L390" s="265" t="n"/>
      <c r="M390" s="332" t="n"/>
      <c r="N390" s="325" t="n"/>
      <c r="O390" s="244">
        <f>M390*N390</f>
        <v/>
      </c>
      <c r="P390" s="252" t="n"/>
      <c r="Q390" s="275" t="n"/>
      <c r="R390" s="275" t="n"/>
      <c r="S390" s="244">
        <f>Q390*R390</f>
        <v/>
      </c>
      <c r="T390" s="24" t="n"/>
      <c r="U390" s="24" t="inlineStr">
        <is>
          <t>สอน ป.ตรี</t>
        </is>
      </c>
      <c r="V390" s="65" t="n"/>
      <c r="W390" s="24" t="n"/>
      <c r="X390" s="24" t="n"/>
    </row>
    <row r="391" ht="22.2" customHeight="1" s="330">
      <c r="A391" s="4" t="n"/>
      <c r="E391" s="4" t="n"/>
      <c r="G391" s="62">
        <f>G345</f>
        <v/>
      </c>
      <c r="H391" s="325" t="n"/>
      <c r="I391" s="325" t="n"/>
      <c r="J391" s="325" t="n"/>
      <c r="K391" s="331" t="n"/>
      <c r="L391" s="325" t="n"/>
      <c r="M391" s="56" t="n"/>
      <c r="N391" s="331" t="n"/>
      <c r="O391" s="244">
        <f>M391*N391</f>
        <v/>
      </c>
      <c r="P391" s="252" t="n"/>
      <c r="Q391" s="252" t="n"/>
      <c r="R391" s="252" t="n"/>
      <c r="S391" s="244">
        <f>Q391*R391</f>
        <v/>
      </c>
      <c r="T391" s="24" t="n"/>
      <c r="U391" s="24" t="inlineStr">
        <is>
          <t>17.10-21.10</t>
        </is>
      </c>
      <c r="V391" s="65" t="n"/>
      <c r="W391" s="24" t="n"/>
      <c r="X391" s="24" t="n"/>
    </row>
    <row r="392" ht="22.2" customHeight="1" s="330">
      <c r="A392" s="4" t="n"/>
      <c r="B392" s="5" t="n"/>
      <c r="E392" s="4" t="n"/>
      <c r="G392" s="252" t="n"/>
      <c r="H392" s="325" t="n"/>
      <c r="I392" s="325" t="n"/>
      <c r="J392" s="325" t="n"/>
      <c r="K392" s="331" t="n"/>
      <c r="L392" s="325" t="n"/>
      <c r="M392" s="325" t="n"/>
      <c r="N392" s="286" t="n"/>
      <c r="O392" s="244">
        <f>M392*N392</f>
        <v/>
      </c>
      <c r="P392" s="325" t="n"/>
      <c r="Q392" s="286" t="n"/>
      <c r="R392" s="325" t="n"/>
      <c r="S392" s="244">
        <f>Q392*R392</f>
        <v/>
      </c>
    </row>
    <row r="393" ht="22.2" customHeight="1" s="330">
      <c r="A393" s="4" t="n"/>
      <c r="E393" s="4" t="n"/>
      <c r="G393" s="252" t="n"/>
      <c r="H393" s="72" t="n"/>
      <c r="I393" s="325" t="n"/>
      <c r="J393" s="325" t="n"/>
      <c r="K393" s="331" t="n"/>
      <c r="L393" s="325" t="n"/>
      <c r="M393" s="325" t="n"/>
      <c r="N393" s="286" t="n"/>
      <c r="O393" s="244">
        <f>M393*N393</f>
        <v/>
      </c>
      <c r="P393" s="325" t="n"/>
      <c r="Q393" s="286" t="n"/>
      <c r="R393" s="325" t="n"/>
      <c r="S393" s="244">
        <f>Q393*R393</f>
        <v/>
      </c>
    </row>
    <row r="394" ht="22.2" customHeight="1" s="330">
      <c r="A394" s="4" t="n"/>
      <c r="E394" s="4" t="n"/>
      <c r="G394" s="276" t="n"/>
      <c r="H394" s="301" t="n"/>
      <c r="I394" s="276" t="n"/>
      <c r="J394" s="276" t="n"/>
      <c r="K394" s="476" t="n"/>
      <c r="L394" s="276" t="n"/>
      <c r="M394" s="276" t="n"/>
      <c r="N394" s="276" t="n"/>
      <c r="O394" s="244">
        <f>M394*N394</f>
        <v/>
      </c>
      <c r="P394" s="276" t="n"/>
      <c r="Q394" s="276" t="n"/>
      <c r="R394" s="276" t="n"/>
      <c r="S394" s="244">
        <f>Q394*R394</f>
        <v/>
      </c>
    </row>
    <row r="395" ht="22.2" customHeight="1" s="330">
      <c r="A395" s="4" t="n"/>
      <c r="E395" s="4" t="n"/>
      <c r="G395" s="62" t="inlineStr">
        <is>
          <t>ศุกร์</t>
        </is>
      </c>
      <c r="H395" s="325" t="inlineStr">
        <is>
          <t>20101-2102</t>
        </is>
      </c>
      <c r="I395" s="325" t="inlineStr">
        <is>
          <t>ปวช.1/7 ชย. (ปกติ)</t>
        </is>
      </c>
      <c r="J395" s="332" t="inlineStr">
        <is>
          <t>08.10-12.10</t>
        </is>
      </c>
      <c r="K395" s="335" t="n"/>
      <c r="L395" s="252" t="n"/>
      <c r="M395" s="252" t="n"/>
      <c r="N395" s="252" t="n"/>
      <c r="O395" s="244">
        <f>M395*N395</f>
        <v/>
      </c>
      <c r="P395" s="332" t="n"/>
      <c r="Q395" s="265" t="n"/>
      <c r="R395" s="332" t="n"/>
      <c r="S395" s="244">
        <f>Q395*R395</f>
        <v/>
      </c>
    </row>
    <row r="396" ht="22.2" customHeight="1" s="330">
      <c r="A396" s="4" t="n"/>
      <c r="E396" s="4" t="n"/>
      <c r="G396" s="62">
        <f>G350</f>
        <v/>
      </c>
      <c r="H396" s="325" t="inlineStr">
        <is>
          <t>20101-2102</t>
        </is>
      </c>
      <c r="I396" s="325" t="inlineStr">
        <is>
          <t>ปวช.1/7 ชย. (ปกติ)</t>
        </is>
      </c>
      <c r="J396" s="325" t="inlineStr">
        <is>
          <t>13.10-16.10</t>
        </is>
      </c>
      <c r="K396" s="331" t="n"/>
      <c r="L396" s="252" t="n"/>
      <c r="M396" s="252" t="n"/>
      <c r="N396" s="252" t="n"/>
      <c r="O396" s="244">
        <f>M396*N396</f>
        <v/>
      </c>
      <c r="P396" s="252" t="n"/>
      <c r="Q396" s="252" t="n"/>
      <c r="R396" s="252" t="n"/>
      <c r="S396" s="244">
        <f>Q396*R396</f>
        <v/>
      </c>
    </row>
    <row r="397" ht="22.2" customHeight="1" s="330">
      <c r="A397" s="4" t="n"/>
      <c r="E397" s="4" t="n"/>
      <c r="G397" s="252" t="n"/>
      <c r="H397" s="252" t="n"/>
      <c r="I397" s="252" t="n"/>
      <c r="J397" s="252" t="n"/>
      <c r="K397" s="331" t="n"/>
      <c r="L397" s="252" t="n"/>
      <c r="M397" s="252" t="n"/>
      <c r="N397" s="252" t="n"/>
      <c r="O397" s="244">
        <f>M397*N397</f>
        <v/>
      </c>
      <c r="P397" s="252" t="n"/>
      <c r="Q397" s="252" t="n"/>
      <c r="R397" s="252" t="n"/>
      <c r="S397" s="244">
        <f>Q397*R397</f>
        <v/>
      </c>
    </row>
    <row r="398" ht="22.2" customHeight="1" s="330">
      <c r="A398" s="4" t="n"/>
      <c r="E398" s="4" t="n"/>
      <c r="F398" s="4" t="n"/>
      <c r="G398" s="250" t="n"/>
      <c r="H398" s="249" t="n"/>
      <c r="I398" s="252" t="n"/>
      <c r="J398" s="252" t="n"/>
      <c r="K398" s="331" t="n"/>
      <c r="L398" s="252" t="n"/>
      <c r="M398" s="252" t="n"/>
      <c r="N398" s="252" t="n"/>
      <c r="O398" s="244">
        <f>M398*N398</f>
        <v/>
      </c>
      <c r="P398" s="252" t="n"/>
      <c r="Q398" s="252" t="n"/>
      <c r="R398" s="252" t="n"/>
      <c r="S398" s="244">
        <f>Q398*R398</f>
        <v/>
      </c>
    </row>
    <row r="399" ht="22.2" customHeight="1" s="330">
      <c r="A399" s="4" t="n"/>
      <c r="E399" s="4" t="n"/>
      <c r="F399" s="4" t="n"/>
      <c r="G399" s="278" t="n"/>
      <c r="H399" s="301" t="n"/>
      <c r="I399" s="276" t="n"/>
      <c r="J399" s="276" t="n"/>
      <c r="K399" s="476" t="n"/>
      <c r="L399" s="276" t="n"/>
      <c r="M399" s="276" t="n"/>
      <c r="N399" s="276" t="n"/>
      <c r="O399" s="244">
        <f>M399*N399</f>
        <v/>
      </c>
      <c r="P399" s="276" t="n"/>
      <c r="Q399" s="276" t="n"/>
      <c r="R399" s="276" t="n"/>
      <c r="S399" s="244">
        <f>Q399*R399</f>
        <v/>
      </c>
    </row>
    <row r="400" ht="22.2" customHeight="1" s="330">
      <c r="A400" s="4" t="n"/>
      <c r="E400" s="4" t="n"/>
      <c r="F400" s="4" t="n"/>
      <c r="G400" s="17" t="inlineStr">
        <is>
          <t>รวมขั่วโมงที่สอนแยก ภาระงาน/ เกินภาระงาน</t>
        </is>
      </c>
      <c r="H400" s="467" t="n"/>
      <c r="I400" s="467" t="n"/>
      <c r="J400" s="467" t="n"/>
      <c r="K400" s="362" t="n"/>
      <c r="L400" s="17">
        <f>SUM(L375:L399)</f>
        <v/>
      </c>
      <c r="M400" s="17">
        <f>SUM(M375:M399)</f>
        <v/>
      </c>
      <c r="N400" s="17" t="n"/>
      <c r="O400" s="17" t="n"/>
      <c r="P400" s="17">
        <f>SUM(P375:P399)</f>
        <v/>
      </c>
      <c r="Q400" s="17">
        <f>SUM(Q375:Q399)</f>
        <v/>
      </c>
      <c r="R400" s="279" t="n"/>
      <c r="S400" s="17" t="n"/>
      <c r="T400" s="25" t="n"/>
      <c r="U400" s="26" t="inlineStr">
        <is>
          <t xml:space="preserve">     PLC</t>
        </is>
      </c>
      <c r="V400" s="64" t="n"/>
      <c r="W400" s="27" t="n"/>
      <c r="X400" s="27" t="n"/>
    </row>
    <row r="401" ht="22.2" customHeight="1" s="330">
      <c r="A401" s="4" t="n"/>
      <c r="E401" s="4" t="n"/>
      <c r="F401" s="4" t="n"/>
      <c r="G401" s="17" t="inlineStr">
        <is>
          <t>รวมจำนวนชั่วโมงสอนคาบต่อสับดาห์</t>
        </is>
      </c>
      <c r="H401" s="467" t="n"/>
      <c r="I401" s="467" t="n"/>
      <c r="J401" s="467" t="n"/>
      <c r="K401" s="362" t="n"/>
      <c r="L401" s="17">
        <f>L400+M400</f>
        <v/>
      </c>
      <c r="M401" s="362" t="n"/>
      <c r="N401" s="298" t="n"/>
      <c r="O401" s="17" t="n"/>
      <c r="P401" s="17">
        <f>P400+Q400</f>
        <v/>
      </c>
      <c r="Q401" s="362" t="n"/>
      <c r="R401" s="278" t="n"/>
      <c r="S401" s="276" t="n"/>
      <c r="T401" s="27" t="inlineStr">
        <is>
          <t> </t>
        </is>
      </c>
      <c r="U401" s="26" t="inlineStr">
        <is>
          <t>17.10-19.10</t>
        </is>
      </c>
      <c r="V401" s="64" t="n"/>
      <c r="W401" s="27" t="n"/>
      <c r="X401" s="27" t="n"/>
    </row>
    <row r="402" ht="22.2" customHeight="1" s="330">
      <c r="A402" s="4" t="n"/>
      <c r="E402" s="4" t="n"/>
      <c r="F402" s="4" t="n"/>
      <c r="G402" s="17" t="inlineStr">
        <is>
          <t>จำนวนชั่วโมงสอนตามภาระงานสอน</t>
        </is>
      </c>
      <c r="H402" s="467" t="n"/>
      <c r="I402" s="467" t="n"/>
      <c r="J402" s="467" t="n"/>
      <c r="K402" s="362" t="n"/>
      <c r="L402" s="153" t="inlineStr">
        <is>
          <t>12</t>
        </is>
      </c>
      <c r="M402" s="362" t="n"/>
      <c r="N402" s="17" t="n"/>
      <c r="O402" s="298" t="n"/>
      <c r="P402" s="153" t="inlineStr">
        <is>
          <t>0</t>
        </is>
      </c>
      <c r="Q402" s="362" t="n"/>
      <c r="R402" s="249" t="n"/>
      <c r="S402" s="252" t="n"/>
    </row>
    <row r="403" ht="22.2" customHeight="1" s="330" thickBot="1">
      <c r="A403" s="4" t="n"/>
      <c r="E403" s="4" t="n"/>
      <c r="F403" s="15" t="n"/>
      <c r="G403" s="17" t="inlineStr">
        <is>
          <t>จำนวนชั่วโมงบิกเกินภาระงานสอน/ค่าสอน</t>
        </is>
      </c>
      <c r="H403" s="467" t="n"/>
      <c r="I403" s="467" t="n"/>
      <c r="J403" s="467" t="n"/>
      <c r="K403" s="362" t="n"/>
      <c r="L403" s="18" t="n">
        <v>0</v>
      </c>
      <c r="M403" s="18">
        <f>SUM(M375:M399)</f>
        <v/>
      </c>
      <c r="N403" s="18" t="n"/>
      <c r="O403" s="18">
        <f>SUM(O375:O399)</f>
        <v/>
      </c>
      <c r="P403" s="18" t="n">
        <v>0</v>
      </c>
      <c r="Q403" s="18">
        <f>SUM(Q375:Q399)</f>
        <v/>
      </c>
      <c r="R403" s="19" t="n"/>
      <c r="S403" s="18">
        <f>SUM(S375:S399)</f>
        <v/>
      </c>
    </row>
    <row r="404" ht="22.2" customHeight="1" s="330" thickTop="1">
      <c r="A404" s="299" t="inlineStr">
        <is>
          <t>รวมจำนวนหน่วยชั่วโมงที่ขอเบิกค่าสอน ….</t>
        </is>
      </c>
      <c r="B404" s="467" t="n"/>
      <c r="C404" s="467" t="n"/>
      <c r="D404" s="467" t="n"/>
      <c r="E404" s="467" t="n"/>
      <c r="F404" s="467" t="n"/>
      <c r="G404" s="467" t="n"/>
      <c r="H404" s="298">
        <f>M403+Q403</f>
        <v/>
      </c>
      <c r="I404" s="298" t="inlineStr">
        <is>
          <t>….ชั่วโมง</t>
        </is>
      </c>
      <c r="J404" s="298" t="n"/>
      <c r="K404" s="301" t="inlineStr">
        <is>
          <t>ยอดเงินรวม</t>
        </is>
      </c>
      <c r="L404" s="471" t="n"/>
      <c r="M404" s="471" t="n"/>
      <c r="N404" s="301" t="n"/>
      <c r="O404" s="301" t="n"/>
      <c r="P404" s="302">
        <f>S403+O403</f>
        <v/>
      </c>
      <c r="Q404" s="482" t="n"/>
      <c r="R404" s="21" t="n"/>
      <c r="S404" s="20" t="inlineStr">
        <is>
          <t>..บาท</t>
        </is>
      </c>
    </row>
    <row r="405" ht="22.2" customHeight="1" s="330">
      <c r="A405" s="207" t="inlineStr">
        <is>
          <t>ผู้ขอเบิก</t>
        </is>
      </c>
      <c r="B405" s="334" t="n"/>
      <c r="C405" s="334" t="n"/>
      <c r="D405" s="334" t="n"/>
      <c r="E405" s="334" t="n"/>
      <c r="F405" s="334" t="n"/>
      <c r="G405" s="335" t="n"/>
      <c r="H405" s="207" t="inlineStr">
        <is>
          <t>ผู้รับรอง</t>
        </is>
      </c>
      <c r="I405" s="334" t="n"/>
      <c r="J405" s="334" t="n"/>
      <c r="K405" s="334" t="n"/>
      <c r="L405" s="335" t="n"/>
      <c r="M405" s="207" t="inlineStr">
        <is>
          <t>ผู้ตรวจ</t>
        </is>
      </c>
      <c r="N405" s="334" t="n"/>
      <c r="O405" s="334" t="n"/>
      <c r="P405" s="334" t="n"/>
      <c r="Q405" s="334" t="n"/>
      <c r="R405" s="334" t="n"/>
      <c r="S405" s="335" t="n"/>
    </row>
    <row r="406" ht="22.2" customHeight="1" s="330">
      <c r="A406" s="252" t="inlineStr">
        <is>
          <t>ลงชื่อ……………………………………………</t>
        </is>
      </c>
      <c r="G406" s="331" t="n"/>
      <c r="H406" s="252" t="inlineStr">
        <is>
          <t>ลงชื่อ……………………………………………</t>
        </is>
      </c>
      <c r="L406" s="331" t="n"/>
      <c r="M406" s="252" t="inlineStr">
        <is>
          <t>ลงชื่อ……………………………………………</t>
        </is>
      </c>
      <c r="S406" s="331" t="n"/>
    </row>
    <row r="407" ht="22.2" customHeight="1" s="330">
      <c r="A407" s="12" t="inlineStr">
        <is>
          <t>(</t>
        </is>
      </c>
      <c r="B407" s="309">
        <f>B375</f>
        <v/>
      </c>
      <c r="G407" s="310" t="inlineStr">
        <is>
          <t>)</t>
        </is>
      </c>
      <c r="H407" s="309" t="inlineStr">
        <is>
          <t>(</t>
        </is>
      </c>
      <c r="I407" s="314">
        <f>I361</f>
        <v/>
      </c>
      <c r="L407" s="13" t="inlineStr">
        <is>
          <t>)</t>
        </is>
      </c>
      <c r="M407" s="61" t="inlineStr">
        <is>
          <t>(</t>
        </is>
      </c>
      <c r="N407" s="61" t="n"/>
      <c r="O407" s="309" t="inlineStr">
        <is>
          <t>นายพิสุทธิศักดิ์  กล่อมนาค</t>
        </is>
      </c>
      <c r="R407" s="29" t="n"/>
      <c r="S407" s="310" t="inlineStr">
        <is>
          <t>)</t>
        </is>
      </c>
    </row>
    <row r="408" ht="22.2" customHeight="1" s="330">
      <c r="A408" s="483" t="inlineStr">
        <is>
          <t xml:space="preserve">                 ตำแหน่ง  ครู</t>
        </is>
      </c>
      <c r="G408" s="331" t="n"/>
      <c r="H408" s="62" t="inlineStr">
        <is>
          <t>ตำแหน่ง หัวหน้าแผนก</t>
        </is>
      </c>
      <c r="L408" s="331" t="n"/>
      <c r="M408" s="62" t="inlineStr">
        <is>
          <t>ตำแหน่ง   ผู้ตรวจสอบ</t>
        </is>
      </c>
      <c r="S408" s="331" t="n"/>
    </row>
    <row r="409" ht="22.2" customHeight="1" s="330">
      <c r="A409" s="63">
        <f>A41</f>
        <v/>
      </c>
      <c r="B409" s="471" t="n"/>
      <c r="C409" s="471" t="n"/>
      <c r="D409" s="471" t="n"/>
      <c r="E409" s="471" t="n"/>
      <c r="F409" s="471" t="n"/>
      <c r="G409" s="476" t="n"/>
      <c r="H409" s="62">
        <f>A41</f>
        <v/>
      </c>
      <c r="L409" s="331" t="n"/>
      <c r="M409" s="63">
        <f>A41</f>
        <v/>
      </c>
      <c r="N409" s="471" t="n"/>
      <c r="O409" s="471" t="n"/>
      <c r="P409" s="471" t="n"/>
      <c r="Q409" s="471" t="n"/>
      <c r="R409" s="471" t="n"/>
      <c r="S409" s="476" t="n"/>
    </row>
    <row r="410" ht="22.2" customHeight="1" s="330">
      <c r="A410" s="207" t="inlineStr">
        <is>
          <t>ผู้ตรวจ</t>
        </is>
      </c>
      <c r="B410" s="334" t="n"/>
      <c r="C410" s="334" t="n"/>
      <c r="D410" s="334" t="n"/>
      <c r="E410" s="334" t="n"/>
      <c r="F410" s="334" t="n"/>
      <c r="G410" s="334" t="n"/>
      <c r="H410" s="334" t="n"/>
      <c r="I410" s="335" t="n"/>
      <c r="J410" s="207" t="inlineStr">
        <is>
          <t>ผู้เห็นชอบ</t>
        </is>
      </c>
      <c r="K410" s="334" t="n"/>
      <c r="L410" s="334" t="n"/>
      <c r="M410" s="334" t="n"/>
      <c r="N410" s="334" t="n"/>
      <c r="O410" s="334" t="n"/>
      <c r="P410" s="334" t="n"/>
      <c r="Q410" s="334" t="n"/>
      <c r="R410" s="334" t="n"/>
      <c r="S410" s="335" t="n"/>
    </row>
    <row r="411" ht="22.2" customHeight="1" s="330">
      <c r="A411" s="252" t="inlineStr">
        <is>
          <t>ลงชื่อ……………………………………………</t>
        </is>
      </c>
      <c r="I411" s="331" t="n"/>
      <c r="J411" s="252" t="inlineStr">
        <is>
          <t>ลงชื่อ……………………………………………</t>
        </is>
      </c>
      <c r="S411" s="331" t="n"/>
    </row>
    <row r="412" ht="22.2" customHeight="1" s="330">
      <c r="A412" s="12" t="n"/>
      <c r="B412" s="309" t="inlineStr">
        <is>
          <t xml:space="preserve">          (นางศิวรักษ์   บุญประเสริฐ)</t>
        </is>
      </c>
      <c r="I412" s="310" t="n"/>
      <c r="J412" s="29" t="n"/>
      <c r="K412" s="29" t="n"/>
      <c r="L412" s="309" t="inlineStr">
        <is>
          <t>(นายปรีชา  โพธิ์เกิด)</t>
        </is>
      </c>
      <c r="R412" s="29" t="n"/>
      <c r="S412" s="13" t="n"/>
    </row>
    <row r="413" ht="22.2" customHeight="1" s="330">
      <c r="A413" s="62" t="inlineStr">
        <is>
          <t>ตำแหน่งครู  หัวหน้างานพัฒนาหลักสูตร ฯ</t>
        </is>
      </c>
      <c r="I413" s="331" t="n"/>
      <c r="J413" s="62" t="inlineStr">
        <is>
          <t>ตำแหน่ง  รองผู้อำนวยการฝ่ายวิชาการ</t>
        </is>
      </c>
      <c r="S413" s="331" t="n"/>
    </row>
    <row r="414" ht="22.2" customHeight="1" s="330">
      <c r="A414" s="63">
        <f>A41</f>
        <v/>
      </c>
      <c r="B414" s="471" t="n"/>
      <c r="C414" s="471" t="n"/>
      <c r="D414" s="471" t="n"/>
      <c r="E414" s="471" t="n"/>
      <c r="F414" s="471" t="n"/>
      <c r="G414" s="471" t="n"/>
      <c r="H414" s="471" t="n"/>
      <c r="I414" s="476" t="n"/>
      <c r="J414" s="63">
        <f>A41</f>
        <v/>
      </c>
      <c r="K414" s="471" t="n"/>
      <c r="L414" s="471" t="n"/>
      <c r="M414" s="471" t="n"/>
      <c r="N414" s="471" t="n"/>
      <c r="O414" s="471" t="n"/>
      <c r="P414" s="471" t="n"/>
      <c r="Q414" s="471" t="n"/>
      <c r="R414" s="471" t="n"/>
      <c r="S414" s="476" t="n"/>
    </row>
    <row r="415" ht="22.2" customHeight="1" s="330">
      <c r="A41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416" ht="22.2" customHeight="1" s="330">
      <c r="A416" s="254">
        <f>A2</f>
        <v/>
      </c>
    </row>
    <row r="417" ht="22.2" customHeight="1" s="330">
      <c r="A417" s="253" t="inlineStr">
        <is>
          <t xml:space="preserve">    ระหว่างวันที่</t>
        </is>
      </c>
      <c r="D417" s="254">
        <f>D3</f>
        <v/>
      </c>
      <c r="E417" s="254" t="inlineStr">
        <is>
          <t xml:space="preserve">   เดือน  </t>
        </is>
      </c>
      <c r="F417" s="254">
        <f>F3</f>
        <v/>
      </c>
      <c r="H417" s="254">
        <f>H3</f>
        <v/>
      </c>
      <c r="I417" s="254" t="inlineStr">
        <is>
          <t xml:space="preserve">     ถึง วันที่</t>
        </is>
      </c>
      <c r="J417" s="254">
        <f>J3</f>
        <v/>
      </c>
      <c r="K417" s="254" t="inlineStr">
        <is>
          <t xml:space="preserve">   เดือน </t>
        </is>
      </c>
      <c r="L417" s="254">
        <f>L3</f>
        <v/>
      </c>
      <c r="N417" s="254">
        <f>N3</f>
        <v/>
      </c>
      <c r="P417" s="254" t="n"/>
      <c r="R417" s="254" t="n"/>
    </row>
    <row r="418" ht="22.2" customHeight="1" s="330">
      <c r="G418" s="58" t="inlineStr">
        <is>
          <t>ü</t>
        </is>
      </c>
      <c r="H418" s="290" t="inlineStr">
        <is>
          <t>ครู</t>
        </is>
      </c>
      <c r="I418" s="249" t="inlineStr">
        <is>
          <t>หน้าที่พิเศษ</t>
        </is>
      </c>
      <c r="J418" s="8" t="inlineStr">
        <is>
          <t>หัวหน้างานความร่วมมือ</t>
        </is>
      </c>
    </row>
    <row r="419" ht="22.2" customHeight="1" s="330">
      <c r="A419" s="28" t="inlineStr">
        <is>
          <t>ที่</t>
        </is>
      </c>
      <c r="B419" s="28" t="inlineStr">
        <is>
          <t>ชื่อ-สกุล</t>
        </is>
      </c>
      <c r="C419" s="334" t="n"/>
      <c r="D419" s="335" t="n"/>
      <c r="E419" s="16" t="inlineStr">
        <is>
          <t>ตำแหน่ง</t>
        </is>
      </c>
      <c r="F419" s="17" t="inlineStr">
        <is>
          <t>ระยะเวลาที่สอน</t>
        </is>
      </c>
      <c r="G419" s="362" t="n"/>
      <c r="H419" s="17" t="inlineStr">
        <is>
          <t>รหัสวิชา</t>
        </is>
      </c>
      <c r="I419" s="275" t="inlineStr">
        <is>
          <t>ชั้น,แผนก,ห้อง</t>
        </is>
      </c>
      <c r="J419" s="17" t="inlineStr">
        <is>
          <t>เวลาสอน</t>
        </is>
      </c>
      <c r="K419" s="335" t="n"/>
      <c r="L419" s="17" t="inlineStr">
        <is>
          <t>ปวช.(คาบ)</t>
        </is>
      </c>
      <c r="M419" s="362" t="n"/>
      <c r="N419" s="244" t="inlineStr">
        <is>
          <t>เงิน</t>
        </is>
      </c>
      <c r="O419" s="275" t="inlineStr">
        <is>
          <t>ยอดเงิน</t>
        </is>
      </c>
      <c r="P419" s="473" t="inlineStr">
        <is>
          <t>ปวส.(คาบ)</t>
        </is>
      </c>
      <c r="Q419" s="362" t="n"/>
      <c r="R419" s="244" t="inlineStr">
        <is>
          <t>เงิน</t>
        </is>
      </c>
      <c r="S419" s="275" t="inlineStr">
        <is>
          <t>ยอดเงิน</t>
        </is>
      </c>
    </row>
    <row r="420" ht="22.2" customHeight="1" s="330">
      <c r="A420" s="60" t="n"/>
      <c r="B420" s="9" t="n"/>
      <c r="C420" s="10" t="n"/>
      <c r="D420" s="14" t="n"/>
      <c r="E420" s="11" t="n"/>
      <c r="F420" s="276" t="inlineStr">
        <is>
          <t>ส.</t>
        </is>
      </c>
      <c r="G420" s="276" t="inlineStr">
        <is>
          <t>วดป.</t>
        </is>
      </c>
      <c r="H420" s="474" t="n"/>
      <c r="I420" s="276" t="n"/>
      <c r="J420" s="475" t="n"/>
      <c r="K420" s="476" t="n"/>
      <c r="L420" s="276" t="inlineStr">
        <is>
          <t>ใน</t>
        </is>
      </c>
      <c r="M420" s="276" t="inlineStr">
        <is>
          <t>นอก</t>
        </is>
      </c>
      <c r="N420" s="276" t="inlineStr">
        <is>
          <t>ต่อ ชม.</t>
        </is>
      </c>
      <c r="O420" s="276" t="inlineStr">
        <is>
          <t>(บาท)</t>
        </is>
      </c>
      <c r="P420" s="60" t="inlineStr">
        <is>
          <t>ใน</t>
        </is>
      </c>
      <c r="Q420" s="60" t="inlineStr">
        <is>
          <t>นอก</t>
        </is>
      </c>
      <c r="R420" s="276" t="inlineStr">
        <is>
          <t>ต่อ ชม.</t>
        </is>
      </c>
      <c r="S420" s="276" t="inlineStr">
        <is>
          <t>(บาท)</t>
        </is>
      </c>
    </row>
    <row r="421" ht="22.2" customHeight="1" s="330">
      <c r="A421" s="275" t="n">
        <v>10</v>
      </c>
      <c r="B421" s="477">
        <f>AB12</f>
        <v/>
      </c>
      <c r="C421" s="334" t="n"/>
      <c r="D421" s="335" t="n"/>
      <c r="E421" s="275" t="inlineStr">
        <is>
          <t>ครู</t>
        </is>
      </c>
      <c r="F421" s="6" t="n">
        <v>5</v>
      </c>
      <c r="G421" s="303" t="inlineStr">
        <is>
          <t>จันทร์</t>
        </is>
      </c>
      <c r="H421" s="325" t="inlineStr">
        <is>
          <t>20101-2105</t>
        </is>
      </c>
      <c r="I421" s="325" t="inlineStr">
        <is>
          <t>ปวช.2/2 ชย. (ปกติ)</t>
        </is>
      </c>
      <c r="J421" s="332" t="inlineStr">
        <is>
          <t>08.10-12.10</t>
        </is>
      </c>
      <c r="K421" s="335" t="n"/>
      <c r="L421" s="265" t="n"/>
      <c r="M421" s="332" t="n"/>
      <c r="N421" s="332" t="n"/>
      <c r="O421" s="244">
        <f>M421*N421</f>
        <v/>
      </c>
      <c r="P421" s="332" t="n"/>
      <c r="Q421" s="265" t="n"/>
      <c r="R421" s="332" t="n"/>
      <c r="S421" s="244">
        <f>Q421*R421</f>
        <v/>
      </c>
    </row>
    <row r="422" ht="22.2" customHeight="1" s="330">
      <c r="A422" s="4" t="n"/>
      <c r="B422" s="5" t="n"/>
      <c r="D422" s="3" t="n"/>
      <c r="E422" s="51" t="n"/>
      <c r="F422" s="249" t="n"/>
      <c r="G422" s="308">
        <f>G376</f>
        <v/>
      </c>
      <c r="H422" s="325" t="inlineStr">
        <is>
          <t>20101-2105</t>
        </is>
      </c>
      <c r="I422" s="325" t="inlineStr">
        <is>
          <t>ปวช.2/1 ชย. (ปกติ)</t>
        </is>
      </c>
      <c r="J422" s="252" t="inlineStr">
        <is>
          <t>13.10-17.10</t>
        </is>
      </c>
      <c r="K422" s="331" t="n"/>
      <c r="L422" s="252" t="n"/>
      <c r="M422" s="252" t="n"/>
      <c r="N422" s="252" t="n"/>
      <c r="O422" s="244">
        <f>M422*N422</f>
        <v/>
      </c>
      <c r="P422" s="252" t="n"/>
      <c r="Q422" s="252" t="n"/>
      <c r="R422" s="252" t="n"/>
      <c r="S422" s="244">
        <f>Q422*R422</f>
        <v/>
      </c>
    </row>
    <row r="423" ht="22.2" customHeight="1" s="330">
      <c r="A423" s="4" t="n"/>
      <c r="E423" s="4" t="n"/>
      <c r="F423" s="249" t="n"/>
      <c r="G423" s="248" t="n"/>
      <c r="H423" s="252" t="n"/>
      <c r="I423" s="252" t="n"/>
      <c r="J423" s="252" t="n"/>
      <c r="K423" s="331" t="n"/>
      <c r="L423" s="252" t="n"/>
      <c r="M423" s="252" t="n"/>
      <c r="N423" s="252" t="n"/>
      <c r="O423" s="244">
        <f>M423*N423</f>
        <v/>
      </c>
      <c r="P423" s="252" t="n"/>
      <c r="Q423" s="252" t="n"/>
      <c r="R423" s="252" t="n"/>
      <c r="S423" s="244">
        <f>Q423*R423</f>
        <v/>
      </c>
    </row>
    <row r="424" ht="22.2" customHeight="1" s="330">
      <c r="A424" s="4" t="n"/>
      <c r="D424" s="8" t="inlineStr">
        <is>
          <t> </t>
        </is>
      </c>
      <c r="E424" s="4" t="n"/>
      <c r="F424" s="249" t="n"/>
      <c r="G424" s="248" t="n"/>
      <c r="H424" s="252" t="n"/>
      <c r="I424" s="252" t="n"/>
      <c r="J424" s="252" t="n"/>
      <c r="K424" s="331" t="n"/>
      <c r="L424" s="252" t="n"/>
      <c r="M424" s="252" t="n"/>
      <c r="N424" s="252" t="n"/>
      <c r="O424" s="244">
        <f>M424*N424</f>
        <v/>
      </c>
      <c r="P424" s="252" t="n"/>
      <c r="Q424" s="252" t="n"/>
      <c r="R424" s="252" t="n"/>
      <c r="S424" s="244">
        <f>Q424*R424</f>
        <v/>
      </c>
    </row>
    <row r="425" ht="22.2" customHeight="1" s="330">
      <c r="A425" s="4" t="n"/>
      <c r="E425" s="4" t="n"/>
      <c r="G425" s="311" t="n"/>
      <c r="H425" s="276" t="n"/>
      <c r="I425" s="276" t="n"/>
      <c r="J425" s="276" t="n"/>
      <c r="K425" s="476" t="n"/>
      <c r="L425" s="252" t="n"/>
      <c r="M425" s="252" t="n"/>
      <c r="N425" s="252" t="n"/>
      <c r="O425" s="244">
        <f>M425*N425</f>
        <v/>
      </c>
      <c r="P425" s="252" t="n"/>
      <c r="Q425" s="252" t="n"/>
      <c r="R425" s="252" t="n"/>
      <c r="S425" s="244">
        <f>Q425*R425</f>
        <v/>
      </c>
    </row>
    <row r="426" ht="22.2" customHeight="1" s="330">
      <c r="A426" s="4" t="n"/>
      <c r="B426" s="248" t="n"/>
      <c r="C426" s="249" t="n"/>
      <c r="D426" s="249" t="n"/>
      <c r="E426" s="252" t="n"/>
      <c r="G426" s="62" t="inlineStr">
        <is>
          <t>อังคาร</t>
        </is>
      </c>
      <c r="H426" s="325" t="inlineStr">
        <is>
          <t>20101-2105</t>
        </is>
      </c>
      <c r="I426" s="325" t="inlineStr">
        <is>
          <t>ปวช.2/3 ชย. (ปกติ)</t>
        </is>
      </c>
      <c r="J426" s="252" t="inlineStr">
        <is>
          <t>13.10-17.10</t>
        </is>
      </c>
      <c r="K426" s="331" t="n"/>
      <c r="L426" s="265" t="n"/>
      <c r="M426" s="332" t="n"/>
      <c r="N426" s="332" t="n"/>
      <c r="O426" s="244">
        <f>M426*N426</f>
        <v/>
      </c>
      <c r="P426" s="332" t="n"/>
      <c r="Q426" s="265" t="n"/>
      <c r="R426" s="332" t="n"/>
      <c r="S426" s="244">
        <f>Q426*R426</f>
        <v/>
      </c>
    </row>
    <row r="427" ht="22.2" customHeight="1" s="330">
      <c r="A427" s="4" t="n"/>
      <c r="B427" s="5" t="n"/>
      <c r="D427" s="3" t="n"/>
      <c r="E427" s="3" t="n"/>
      <c r="G427" s="308">
        <f>G381</f>
        <v/>
      </c>
      <c r="H427" s="325" t="n"/>
      <c r="I427" s="325" t="n"/>
      <c r="J427" s="252" t="n"/>
      <c r="K427" s="331" t="n"/>
      <c r="L427" s="252" t="n"/>
      <c r="M427" s="252" t="n"/>
      <c r="N427" s="252" t="n"/>
      <c r="O427" s="244">
        <f>M427*N427</f>
        <v/>
      </c>
      <c r="P427" s="252" t="n"/>
      <c r="Q427" s="252" t="n"/>
      <c r="R427" s="252" t="n"/>
      <c r="S427" s="244">
        <f>Q427*R427</f>
        <v/>
      </c>
    </row>
    <row r="428" ht="22.2" customHeight="1" s="330">
      <c r="A428" s="4" t="n"/>
      <c r="B428" s="5" t="n"/>
      <c r="D428" s="3" t="n"/>
      <c r="E428" s="3" t="n"/>
      <c r="G428" s="252" t="n"/>
      <c r="H428" s="252" t="n"/>
      <c r="I428" s="252" t="n"/>
      <c r="J428" s="252" t="n"/>
      <c r="K428" s="331" t="n"/>
      <c r="L428" s="252" t="n"/>
      <c r="M428" s="252" t="n"/>
      <c r="N428" s="252" t="n"/>
      <c r="O428" s="244">
        <f>M428*N428</f>
        <v/>
      </c>
      <c r="P428" s="252" t="n"/>
      <c r="Q428" s="252" t="n"/>
      <c r="R428" s="252" t="n"/>
      <c r="S428" s="244">
        <f>Q428*R428</f>
        <v/>
      </c>
    </row>
    <row r="429" ht="22.2" customHeight="1" s="330">
      <c r="A429" s="4" t="n"/>
      <c r="E429" s="4" t="n"/>
      <c r="G429" s="62" t="n"/>
      <c r="H429" s="249" t="n"/>
      <c r="I429" s="252" t="n"/>
      <c r="J429" s="252" t="n"/>
      <c r="K429" s="331" t="n"/>
      <c r="L429" s="252" t="n"/>
      <c r="M429" s="252" t="n"/>
      <c r="N429" s="252" t="n"/>
      <c r="O429" s="244">
        <f>M429*N429</f>
        <v/>
      </c>
      <c r="P429" s="252" t="n"/>
      <c r="Q429" s="252" t="n"/>
      <c r="R429" s="252" t="n"/>
      <c r="S429" s="244">
        <f>Q429*R429</f>
        <v/>
      </c>
    </row>
    <row r="430" ht="22.2" customHeight="1" s="330">
      <c r="A430" s="4" t="n"/>
      <c r="D430" s="8" t="inlineStr">
        <is>
          <t> </t>
        </is>
      </c>
      <c r="E430" s="4" t="n"/>
      <c r="G430" s="63" t="n"/>
      <c r="H430" s="276" t="n"/>
      <c r="I430" s="276" t="n"/>
      <c r="J430" s="276" t="n"/>
      <c r="K430" s="476" t="n"/>
      <c r="L430" s="252" t="n"/>
      <c r="M430" s="252" t="n"/>
      <c r="N430" s="252" t="n"/>
      <c r="O430" s="244">
        <f>M430*N430</f>
        <v/>
      </c>
      <c r="P430" s="252" t="n"/>
      <c r="Q430" s="252" t="n"/>
      <c r="R430" s="252" t="n"/>
      <c r="S430" s="244">
        <f>Q430*R430</f>
        <v/>
      </c>
    </row>
    <row r="431" ht="22.2" customHeight="1" s="330">
      <c r="A431" s="4" t="n"/>
      <c r="E431" s="4" t="n"/>
      <c r="G431" s="308" t="inlineStr">
        <is>
          <t>พุธ</t>
        </is>
      </c>
      <c r="H431" s="325" t="inlineStr">
        <is>
          <t>20101-2105</t>
        </is>
      </c>
      <c r="I431" s="325" t="inlineStr">
        <is>
          <t>ปวช.3/10 ชย. (ทวิ)</t>
        </is>
      </c>
      <c r="J431" s="332" t="inlineStr">
        <is>
          <t>08.10-12.10</t>
        </is>
      </c>
      <c r="K431" s="335" t="n"/>
      <c r="L431" s="265" t="n"/>
      <c r="M431" s="332" t="n"/>
      <c r="N431" s="332" t="n"/>
      <c r="O431" s="244">
        <f>M431*N431</f>
        <v/>
      </c>
      <c r="P431" s="332" t="n"/>
      <c r="Q431" s="265" t="n"/>
      <c r="R431" s="332" t="n"/>
      <c r="S431" s="244">
        <f>Q431*R431</f>
        <v/>
      </c>
    </row>
    <row r="432" ht="22.2" customHeight="1" s="330">
      <c r="A432" s="4" t="n"/>
      <c r="B432" s="248" t="n"/>
      <c r="C432" s="249" t="n"/>
      <c r="D432" s="249" t="n"/>
      <c r="E432" s="252" t="n"/>
      <c r="G432" s="308">
        <f>G386</f>
        <v/>
      </c>
      <c r="H432" s="325" t="inlineStr">
        <is>
          <t>20101-2105</t>
        </is>
      </c>
      <c r="I432" s="325" t="inlineStr">
        <is>
          <t>ปวช.3/9 ชย. (ทวิ)</t>
        </is>
      </c>
      <c r="J432" s="252" t="inlineStr">
        <is>
          <t>13.10-17.10</t>
        </is>
      </c>
      <c r="K432" s="331" t="n"/>
      <c r="L432" s="252" t="n"/>
      <c r="M432" s="252" t="n"/>
      <c r="N432" s="252" t="n"/>
      <c r="O432" s="244">
        <f>M432*N432</f>
        <v/>
      </c>
      <c r="P432" s="252" t="n"/>
      <c r="Q432" s="252" t="n"/>
      <c r="R432" s="252" t="n"/>
      <c r="S432" s="244">
        <f>Q432*R432</f>
        <v/>
      </c>
    </row>
    <row r="433" ht="22.2" customHeight="1" s="330">
      <c r="A433" s="4" t="n"/>
      <c r="B433" s="5" t="n"/>
      <c r="D433" s="3" t="n"/>
      <c r="E433" s="3" t="n"/>
      <c r="G433" s="252" t="n"/>
      <c r="H433" s="252" t="n"/>
      <c r="I433" s="252" t="n"/>
      <c r="J433" s="252" t="n"/>
      <c r="K433" s="331" t="n"/>
      <c r="L433" s="252" t="n"/>
      <c r="M433" s="252" t="n"/>
      <c r="N433" s="252" t="n"/>
      <c r="O433" s="244">
        <f>M433*N433</f>
        <v/>
      </c>
      <c r="P433" s="252" t="n"/>
      <c r="Q433" s="252" t="n"/>
      <c r="R433" s="252" t="n"/>
      <c r="S433" s="244">
        <f>Q433*R433</f>
        <v/>
      </c>
    </row>
    <row r="434" ht="22.2" customHeight="1" s="330">
      <c r="A434" s="4" t="n"/>
      <c r="E434" s="4" t="n"/>
      <c r="G434" s="248" t="n"/>
      <c r="H434" s="248" t="n"/>
      <c r="I434" s="252" t="n"/>
      <c r="J434" s="252" t="n"/>
      <c r="K434" s="331" t="n"/>
      <c r="L434" s="252" t="n"/>
      <c r="M434" s="252" t="n"/>
      <c r="N434" s="252" t="n"/>
      <c r="O434" s="244">
        <f>M434*N434</f>
        <v/>
      </c>
      <c r="P434" s="252" t="n"/>
      <c r="Q434" s="252" t="n"/>
      <c r="R434" s="252" t="n"/>
      <c r="S434" s="244">
        <f>Q434*R434</f>
        <v/>
      </c>
    </row>
    <row r="435" ht="22.2" customHeight="1" s="330">
      <c r="A435" s="4" t="n"/>
      <c r="E435" s="4" t="n"/>
      <c r="G435" s="277" t="n"/>
      <c r="H435" s="277" t="n"/>
      <c r="I435" s="276" t="n"/>
      <c r="J435" s="276" t="n"/>
      <c r="K435" s="476" t="n"/>
      <c r="L435" s="276" t="n"/>
      <c r="M435" s="276" t="n"/>
      <c r="N435" s="276" t="n"/>
      <c r="O435" s="244">
        <f>M435*N435</f>
        <v/>
      </c>
      <c r="P435" s="276" t="n"/>
      <c r="Q435" s="276" t="n"/>
      <c r="R435" s="276" t="n"/>
      <c r="S435" s="244">
        <f>Q435*R435</f>
        <v/>
      </c>
    </row>
    <row r="436" ht="22.2" customHeight="1" s="330">
      <c r="A436" s="4" t="n"/>
      <c r="E436" s="4" t="n"/>
      <c r="G436" s="62" t="inlineStr">
        <is>
          <t>พฤหัส</t>
        </is>
      </c>
      <c r="H436" s="325" t="inlineStr">
        <is>
          <t>20101-5103</t>
        </is>
      </c>
      <c r="I436" s="325" t="inlineStr">
        <is>
          <t>ปวช.2/9 ชย. (ทวิ)</t>
        </is>
      </c>
      <c r="J436" s="332" t="inlineStr">
        <is>
          <t>08.10-12.10</t>
        </is>
      </c>
      <c r="K436" s="335" t="n"/>
      <c r="L436" s="265" t="n"/>
      <c r="M436" s="332" t="n"/>
      <c r="N436" s="325" t="n"/>
      <c r="O436" s="244">
        <f>M436*N436</f>
        <v/>
      </c>
      <c r="P436" s="209" t="n"/>
      <c r="Q436" s="209" t="n"/>
      <c r="R436" s="209" t="n"/>
      <c r="S436" s="244">
        <f>Q436*R436</f>
        <v/>
      </c>
      <c r="T436" s="7" t="n"/>
      <c r="U436" s="23" t="inlineStr">
        <is>
          <t>เบิก ธุรการ</t>
        </is>
      </c>
      <c r="V436" s="66" t="n"/>
      <c r="W436" s="22" t="n"/>
      <c r="X436" s="22" t="n"/>
    </row>
    <row r="437" ht="22.2" customHeight="1" s="330">
      <c r="A437" s="4" t="n"/>
      <c r="E437" s="4" t="n"/>
      <c r="G437" s="308">
        <f>G391</f>
        <v/>
      </c>
      <c r="H437" s="325" t="inlineStr">
        <is>
          <t>20101-5103</t>
        </is>
      </c>
      <c r="I437" s="325" t="inlineStr">
        <is>
          <t>ปวช.2/9 ชย. (ทวิ)</t>
        </is>
      </c>
      <c r="J437" s="252" t="inlineStr">
        <is>
          <t>15.10-18.10</t>
        </is>
      </c>
      <c r="K437" s="331" t="n"/>
      <c r="L437" s="252" t="n"/>
      <c r="M437" s="252" t="n"/>
      <c r="N437" s="252" t="n"/>
      <c r="O437" s="244">
        <f>M437*N437</f>
        <v/>
      </c>
      <c r="P437" s="4" t="n"/>
      <c r="Q437" s="4" t="n"/>
      <c r="R437" s="4" t="n"/>
      <c r="S437" s="244">
        <f>Q437*R437</f>
        <v/>
      </c>
      <c r="T437" s="22" t="inlineStr">
        <is>
          <t> </t>
        </is>
      </c>
      <c r="U437" s="23" t="inlineStr">
        <is>
          <t>16.10-19.10</t>
        </is>
      </c>
      <c r="V437" s="66" t="n"/>
      <c r="W437" s="22" t="n"/>
      <c r="X437" s="22" t="n"/>
    </row>
    <row r="438" ht="22.2" customHeight="1" s="330">
      <c r="A438" s="4" t="n"/>
      <c r="B438" s="5" t="n"/>
      <c r="E438" s="4" t="n"/>
      <c r="G438" s="252" t="n"/>
      <c r="H438" s="325" t="n"/>
      <c r="I438" s="325" t="n"/>
      <c r="J438" s="252" t="n"/>
      <c r="K438" s="331" t="n"/>
      <c r="L438" s="252" t="n"/>
      <c r="M438" s="252" t="n"/>
      <c r="N438" s="252" t="n"/>
      <c r="O438" s="244">
        <f>M438*N438</f>
        <v/>
      </c>
      <c r="P438" s="325" t="n"/>
      <c r="Q438" s="325" t="n"/>
      <c r="R438" s="325" t="n"/>
      <c r="S438" s="244">
        <f>Q438*R438</f>
        <v/>
      </c>
    </row>
    <row r="439" ht="22.2" customHeight="1" s="330">
      <c r="A439" s="4" t="n"/>
      <c r="E439" s="4" t="n"/>
      <c r="G439" s="252" t="n"/>
      <c r="H439" s="252" t="n"/>
      <c r="I439" s="252" t="n"/>
      <c r="J439" s="252" t="n"/>
      <c r="K439" s="331" t="n"/>
      <c r="L439" s="252" t="n"/>
      <c r="M439" s="252" t="n"/>
      <c r="N439" s="252" t="n"/>
      <c r="O439" s="244">
        <f>M439*N439</f>
        <v/>
      </c>
      <c r="P439" s="252" t="n"/>
      <c r="Q439" s="252" t="n"/>
      <c r="R439" s="252" t="n"/>
      <c r="S439" s="244">
        <f>Q439*R439</f>
        <v/>
      </c>
    </row>
    <row r="440" ht="22.2" customHeight="1" s="330">
      <c r="A440" s="4" t="n"/>
      <c r="E440" s="4" t="n"/>
      <c r="G440" s="276" t="n"/>
      <c r="H440" s="301" t="n"/>
      <c r="I440" s="276" t="n"/>
      <c r="J440" s="276" t="n"/>
      <c r="K440" s="476" t="n"/>
      <c r="L440" s="276" t="n"/>
      <c r="M440" s="276" t="n"/>
      <c r="N440" s="276" t="n"/>
      <c r="O440" s="244">
        <f>M440*N440</f>
        <v/>
      </c>
      <c r="P440" s="276" t="n"/>
      <c r="Q440" s="276" t="n"/>
      <c r="R440" s="276" t="n"/>
      <c r="S440" s="244">
        <f>Q440*R440</f>
        <v/>
      </c>
    </row>
    <row r="441" ht="22.2" customHeight="1" s="330">
      <c r="A441" s="4" t="n"/>
      <c r="E441" s="4" t="n"/>
      <c r="G441" s="62" t="inlineStr">
        <is>
          <t>ศุกร์</t>
        </is>
      </c>
      <c r="H441" s="325" t="n"/>
      <c r="I441" s="325" t="n"/>
      <c r="J441" s="325" t="n"/>
      <c r="K441" s="331" t="n"/>
      <c r="L441" s="252" t="n"/>
      <c r="M441" s="332" t="n"/>
      <c r="N441" s="332" t="n"/>
      <c r="O441" s="244">
        <f>M441*N441</f>
        <v/>
      </c>
      <c r="P441" s="332" t="n"/>
      <c r="Q441" s="265" t="n"/>
      <c r="R441" s="332" t="n"/>
      <c r="S441" s="244">
        <f>Q441*R441</f>
        <v/>
      </c>
    </row>
    <row r="442" ht="22.2" customHeight="1" s="330">
      <c r="A442" s="4" t="n"/>
      <c r="E442" s="4" t="n"/>
      <c r="G442" s="308">
        <f>G396</f>
        <v/>
      </c>
      <c r="H442" s="325" t="n"/>
      <c r="I442" s="325" t="n"/>
      <c r="J442" s="325" t="n"/>
      <c r="K442" s="331" t="n"/>
      <c r="L442" s="252" t="n"/>
      <c r="M442" s="252" t="n"/>
      <c r="N442" s="252" t="n"/>
      <c r="O442" s="244">
        <f>M442*N442</f>
        <v/>
      </c>
      <c r="P442" s="252" t="n"/>
      <c r="Q442" s="252" t="n"/>
      <c r="R442" s="252" t="n"/>
      <c r="S442" s="244">
        <f>Q442*R442</f>
        <v/>
      </c>
    </row>
    <row r="443" ht="22.2" customHeight="1" s="330">
      <c r="A443" s="4" t="n"/>
      <c r="E443" s="4" t="n"/>
      <c r="G443" s="252" t="n"/>
      <c r="H443" s="252" t="n"/>
      <c r="I443" s="252" t="n"/>
      <c r="J443" s="252" t="n"/>
      <c r="K443" s="331" t="n"/>
      <c r="L443" s="252" t="n"/>
      <c r="M443" s="252" t="n"/>
      <c r="N443" s="252" t="n"/>
      <c r="O443" s="244">
        <f>M443*N443</f>
        <v/>
      </c>
      <c r="P443" s="252" t="n"/>
      <c r="Q443" s="252" t="n"/>
      <c r="R443" s="252" t="n"/>
      <c r="S443" s="244">
        <f>Q443*R443</f>
        <v/>
      </c>
    </row>
    <row r="444" ht="22.2" customHeight="1" s="330">
      <c r="A444" s="4" t="n"/>
      <c r="E444" s="4" t="n"/>
      <c r="G444" s="252" t="n"/>
      <c r="H444" s="249" t="inlineStr">
        <is>
          <t> </t>
        </is>
      </c>
      <c r="I444" s="252" t="n"/>
      <c r="J444" s="252" t="n"/>
      <c r="K444" s="331" t="n"/>
      <c r="L444" s="252" t="n"/>
      <c r="M444" s="252" t="n"/>
      <c r="N444" s="252" t="n"/>
      <c r="O444" s="244">
        <f>M444*N444</f>
        <v/>
      </c>
      <c r="P444" s="252" t="n"/>
      <c r="Q444" s="252" t="n"/>
      <c r="R444" s="252" t="n"/>
      <c r="S444" s="244">
        <f>Q444*R444</f>
        <v/>
      </c>
    </row>
    <row r="445" ht="22.2" customHeight="1" s="330">
      <c r="A445" s="4" t="n"/>
      <c r="E445" s="4" t="n"/>
      <c r="F445" s="4" t="n"/>
      <c r="G445" s="278" t="n"/>
      <c r="H445" s="301" t="n"/>
      <c r="I445" s="276" t="n"/>
      <c r="J445" s="276" t="n"/>
      <c r="K445" s="476" t="n"/>
      <c r="L445" s="276" t="n"/>
      <c r="M445" s="276" t="n"/>
      <c r="N445" s="276" t="n"/>
      <c r="O445" s="244">
        <f>M445*N445</f>
        <v/>
      </c>
      <c r="P445" s="276" t="n"/>
      <c r="Q445" s="276" t="n"/>
      <c r="R445" s="276" t="n"/>
      <c r="S445" s="244">
        <f>Q445*R445</f>
        <v/>
      </c>
    </row>
    <row r="446" ht="22.2" customHeight="1" s="330">
      <c r="A446" s="4" t="n"/>
      <c r="E446" s="4" t="n"/>
      <c r="F446" s="4" t="n"/>
      <c r="G446" s="17" t="inlineStr">
        <is>
          <t>รวมขั่วโมงที่สอนแยก ภาระงาน/ เกินภาระงาน</t>
        </is>
      </c>
      <c r="H446" s="467" t="n"/>
      <c r="I446" s="467" t="n"/>
      <c r="J446" s="467" t="n"/>
      <c r="K446" s="362" t="n"/>
      <c r="L446" s="17">
        <f>SUM(L421:L445)</f>
        <v/>
      </c>
      <c r="M446" s="17">
        <f>SUM(M421:M445)</f>
        <v/>
      </c>
      <c r="N446" s="17" t="n"/>
      <c r="O446" s="17" t="n"/>
      <c r="P446" s="17">
        <f>SUM(P421:P445)</f>
        <v/>
      </c>
      <c r="Q446" s="17">
        <f>SUM(Q421:Q445)</f>
        <v/>
      </c>
      <c r="R446" s="279" t="n"/>
      <c r="S446" s="17" t="n"/>
      <c r="T446" s="25" t="n"/>
      <c r="U446" s="26" t="inlineStr">
        <is>
          <t xml:space="preserve">     PLC</t>
        </is>
      </c>
      <c r="V446" s="64" t="n"/>
      <c r="W446" s="27" t="n"/>
      <c r="X446" s="27" t="n"/>
    </row>
    <row r="447" ht="22.2" customHeight="1" s="330">
      <c r="A447" s="4" t="n"/>
      <c r="E447" s="4" t="n"/>
      <c r="F447" s="4" t="n"/>
      <c r="G447" s="17" t="inlineStr">
        <is>
          <t>รวมจำนวนชั่วโมงสอนคาบต่อสับดาห์</t>
        </is>
      </c>
      <c r="H447" s="467" t="n"/>
      <c r="I447" s="467" t="n"/>
      <c r="J447" s="467" t="n"/>
      <c r="K447" s="362" t="n"/>
      <c r="L447" s="17">
        <f>L446+M446</f>
        <v/>
      </c>
      <c r="M447" s="362" t="n"/>
      <c r="N447" s="298" t="n"/>
      <c r="O447" s="17" t="n"/>
      <c r="P447" s="17">
        <f>P446+Q446</f>
        <v/>
      </c>
      <c r="Q447" s="362" t="n"/>
      <c r="R447" s="278" t="n"/>
      <c r="S447" s="276" t="n"/>
      <c r="T447" s="27" t="inlineStr">
        <is>
          <t> </t>
        </is>
      </c>
      <c r="U447" s="26" t="inlineStr">
        <is>
          <t>17.10-19.10</t>
        </is>
      </c>
      <c r="V447" s="64" t="n"/>
      <c r="W447" s="27" t="n"/>
      <c r="X447" s="27" t="n"/>
    </row>
    <row r="448" ht="22.2" customHeight="1" s="330">
      <c r="A448" s="4" t="n"/>
      <c r="E448" s="4" t="n"/>
      <c r="F448" s="4" t="n"/>
      <c r="G448" s="17" t="inlineStr">
        <is>
          <t>จำนวนชั่วโมงสอนตามภาระงานสอน</t>
        </is>
      </c>
      <c r="H448" s="467" t="n"/>
      <c r="I448" s="467" t="n"/>
      <c r="J448" s="467" t="n"/>
      <c r="K448" s="362" t="n"/>
      <c r="L448" s="485" t="inlineStr">
        <is>
          <t>12</t>
        </is>
      </c>
      <c r="M448" s="362" t="n"/>
      <c r="N448" s="151" t="n"/>
      <c r="O448" s="154" t="n"/>
      <c r="P448" s="153" t="inlineStr">
        <is>
          <t>0</t>
        </is>
      </c>
      <c r="Q448" s="362" t="n"/>
      <c r="R448" s="249" t="n"/>
      <c r="S448" s="252" t="n"/>
    </row>
    <row r="449" ht="22.2" customHeight="1" s="330" thickBot="1">
      <c r="A449" s="4" t="n"/>
      <c r="E449" s="4" t="n"/>
      <c r="F449" s="15" t="n"/>
      <c r="G449" s="17" t="inlineStr">
        <is>
          <t>จำนวนชั่วโมงบิกเกินภาระงานสอน/ค่าสอน</t>
        </is>
      </c>
      <c r="H449" s="467" t="n"/>
      <c r="I449" s="467" t="n"/>
      <c r="J449" s="467" t="n"/>
      <c r="K449" s="362" t="n"/>
      <c r="L449" s="18" t="n">
        <v>0</v>
      </c>
      <c r="M449" s="18">
        <f>SUM(M421:M445)</f>
        <v/>
      </c>
      <c r="N449" s="18" t="n"/>
      <c r="O449" s="18">
        <f>SUM(O421:O445)</f>
        <v/>
      </c>
      <c r="P449" s="18" t="n">
        <v>0</v>
      </c>
      <c r="Q449" s="18">
        <f>SUM(Q421:Q445)</f>
        <v/>
      </c>
      <c r="R449" s="19" t="n"/>
      <c r="S449" s="18">
        <f>SUM(S421:S445)</f>
        <v/>
      </c>
    </row>
    <row r="450" ht="22.2" customHeight="1" s="330" thickTop="1">
      <c r="A450" s="299" t="inlineStr">
        <is>
          <t>รวมจำนวนหน่วยชั่วโมงที่ขอเบิกค่าสอน ….</t>
        </is>
      </c>
      <c r="B450" s="467" t="n"/>
      <c r="C450" s="467" t="n"/>
      <c r="D450" s="467" t="n"/>
      <c r="E450" s="467" t="n"/>
      <c r="F450" s="467" t="n"/>
      <c r="G450" s="467" t="n"/>
      <c r="H450" s="298">
        <f>M449+Q449</f>
        <v/>
      </c>
      <c r="I450" s="298" t="inlineStr">
        <is>
          <t>….ชั่วโมง</t>
        </is>
      </c>
      <c r="J450" s="298" t="n"/>
      <c r="K450" s="301" t="inlineStr">
        <is>
          <t>ยอดเงินรวม</t>
        </is>
      </c>
      <c r="L450" s="471" t="n"/>
      <c r="M450" s="471" t="n"/>
      <c r="N450" s="301" t="n"/>
      <c r="O450" s="301" t="n"/>
      <c r="P450" s="302">
        <f>S449+O449</f>
        <v/>
      </c>
      <c r="Q450" s="482" t="n"/>
      <c r="R450" s="21" t="n"/>
      <c r="S450" s="20" t="inlineStr">
        <is>
          <t>..บาท</t>
        </is>
      </c>
    </row>
    <row r="451" ht="22.2" customHeight="1" s="330">
      <c r="A451" s="207" t="inlineStr">
        <is>
          <t>ผู้ขอเบิก</t>
        </is>
      </c>
      <c r="B451" s="334" t="n"/>
      <c r="C451" s="334" t="n"/>
      <c r="D451" s="334" t="n"/>
      <c r="E451" s="334" t="n"/>
      <c r="F451" s="334" t="n"/>
      <c r="G451" s="335" t="n"/>
      <c r="H451" s="207" t="inlineStr">
        <is>
          <t>ผู้รับรอง</t>
        </is>
      </c>
      <c r="I451" s="334" t="n"/>
      <c r="J451" s="334" t="n"/>
      <c r="K451" s="334" t="n"/>
      <c r="L451" s="335" t="n"/>
      <c r="M451" s="207" t="inlineStr">
        <is>
          <t>ผู้ตรวจ</t>
        </is>
      </c>
      <c r="N451" s="334" t="n"/>
      <c r="O451" s="334" t="n"/>
      <c r="P451" s="334" t="n"/>
      <c r="Q451" s="334" t="n"/>
      <c r="R451" s="334" t="n"/>
      <c r="S451" s="335" t="n"/>
    </row>
    <row r="452" ht="22.2" customHeight="1" s="330">
      <c r="A452" s="252" t="inlineStr">
        <is>
          <t>ลงชื่อ……………………………………………</t>
        </is>
      </c>
      <c r="G452" s="331" t="n"/>
      <c r="H452" s="252" t="inlineStr">
        <is>
          <t>ลงชื่อ……………………………………………</t>
        </is>
      </c>
      <c r="L452" s="331" t="n"/>
      <c r="M452" s="252" t="inlineStr">
        <is>
          <t>ลงชื่อ……………………………………………</t>
        </is>
      </c>
      <c r="S452" s="331" t="n"/>
    </row>
    <row r="453" ht="22.2" customHeight="1" s="330">
      <c r="A453" s="12" t="inlineStr">
        <is>
          <t>(</t>
        </is>
      </c>
      <c r="B453" s="309">
        <f>B421</f>
        <v/>
      </c>
      <c r="G453" s="310" t="inlineStr">
        <is>
          <t>)</t>
        </is>
      </c>
      <c r="H453" s="309" t="inlineStr">
        <is>
          <t>(</t>
        </is>
      </c>
      <c r="I453" s="314">
        <f>I407</f>
        <v/>
      </c>
      <c r="L453" s="13" t="inlineStr">
        <is>
          <t>)</t>
        </is>
      </c>
      <c r="M453" s="61" t="inlineStr">
        <is>
          <t>(</t>
        </is>
      </c>
      <c r="N453" s="61" t="n"/>
      <c r="O453" s="309" t="inlineStr">
        <is>
          <t>นายพิสุทธิศักดิ์  กล่อมนาค</t>
        </is>
      </c>
      <c r="R453" s="29" t="n"/>
      <c r="S453" s="310" t="inlineStr">
        <is>
          <t>)</t>
        </is>
      </c>
    </row>
    <row r="454" ht="22.2" customHeight="1" s="330">
      <c r="A454" s="483" t="inlineStr">
        <is>
          <t xml:space="preserve">                 ตำแหน่ง  ครู </t>
        </is>
      </c>
      <c r="G454" s="331" t="n"/>
      <c r="H454" s="62" t="inlineStr">
        <is>
          <t>ตำแหน่ง หัวหน้าแผนก</t>
        </is>
      </c>
      <c r="L454" s="331" t="n"/>
      <c r="M454" s="62" t="inlineStr">
        <is>
          <t>ตำแหน่ง   ผู้ตรวจสอบ</t>
        </is>
      </c>
      <c r="S454" s="331" t="n"/>
    </row>
    <row r="455" ht="22.2" customHeight="1" s="330">
      <c r="A455" s="63">
        <f>A41</f>
        <v/>
      </c>
      <c r="B455" s="471" t="n"/>
      <c r="C455" s="471" t="n"/>
      <c r="D455" s="471" t="n"/>
      <c r="E455" s="471" t="n"/>
      <c r="F455" s="471" t="n"/>
      <c r="G455" s="476" t="n"/>
      <c r="H455" s="62">
        <f>A41</f>
        <v/>
      </c>
      <c r="L455" s="331" t="n"/>
      <c r="M455" s="63">
        <f>A41</f>
        <v/>
      </c>
      <c r="N455" s="471" t="n"/>
      <c r="O455" s="471" t="n"/>
      <c r="P455" s="471" t="n"/>
      <c r="Q455" s="471" t="n"/>
      <c r="R455" s="471" t="n"/>
      <c r="S455" s="476" t="n"/>
    </row>
    <row r="456" ht="22.2" customHeight="1" s="330">
      <c r="A456" s="207" t="inlineStr">
        <is>
          <t>ผู้ตรวจ</t>
        </is>
      </c>
      <c r="B456" s="334" t="n"/>
      <c r="C456" s="334" t="n"/>
      <c r="D456" s="334" t="n"/>
      <c r="E456" s="334" t="n"/>
      <c r="F456" s="334" t="n"/>
      <c r="G456" s="334" t="n"/>
      <c r="H456" s="334" t="n"/>
      <c r="I456" s="335" t="n"/>
      <c r="J456" s="207" t="inlineStr">
        <is>
          <t>ผู้เห็นชอบ</t>
        </is>
      </c>
      <c r="K456" s="334" t="n"/>
      <c r="L456" s="334" t="n"/>
      <c r="M456" s="334" t="n"/>
      <c r="N456" s="334" t="n"/>
      <c r="O456" s="334" t="n"/>
      <c r="P456" s="334" t="n"/>
      <c r="Q456" s="334" t="n"/>
      <c r="R456" s="334" t="n"/>
      <c r="S456" s="335" t="n"/>
    </row>
    <row r="457" ht="22.2" customHeight="1" s="330">
      <c r="A457" s="252" t="inlineStr">
        <is>
          <t>ลงชื่อ……………………………………………</t>
        </is>
      </c>
      <c r="I457" s="331" t="n"/>
      <c r="J457" s="252" t="inlineStr">
        <is>
          <t>ลงชื่อ……………………………………………</t>
        </is>
      </c>
      <c r="S457" s="331" t="n"/>
    </row>
    <row r="458" ht="22.2" customHeight="1" s="330">
      <c r="A458" s="12" t="n"/>
      <c r="B458" s="309" t="inlineStr">
        <is>
          <t xml:space="preserve">          (นางศิวรักษ์   บุญประเสริฐ)</t>
        </is>
      </c>
      <c r="I458" s="310" t="n"/>
      <c r="J458" s="29" t="n"/>
      <c r="K458" s="29" t="n"/>
      <c r="L458" s="309" t="inlineStr">
        <is>
          <t>(นายปรีชา  โพธิ์เกิด)</t>
        </is>
      </c>
      <c r="R458" s="29" t="n"/>
      <c r="S458" s="13" t="n"/>
    </row>
    <row r="459" ht="22.2" customHeight="1" s="330">
      <c r="A459" s="62" t="inlineStr">
        <is>
          <t>ตำแหน่งครู  หัวหน้างานพัฒนาหลักสูตร ฯ</t>
        </is>
      </c>
      <c r="I459" s="331" t="n"/>
      <c r="J459" s="62" t="inlineStr">
        <is>
          <t>ตำแหน่ง  รองผู้อำนวยการฝ่ายวิชาการ</t>
        </is>
      </c>
      <c r="S459" s="331" t="n"/>
    </row>
    <row r="460" ht="22.2" customHeight="1" s="330">
      <c r="A460" s="63">
        <f>A41</f>
        <v/>
      </c>
      <c r="B460" s="471" t="n"/>
      <c r="C460" s="471" t="n"/>
      <c r="D460" s="471" t="n"/>
      <c r="E460" s="471" t="n"/>
      <c r="F460" s="471" t="n"/>
      <c r="G460" s="471" t="n"/>
      <c r="H460" s="471" t="n"/>
      <c r="I460" s="476" t="n"/>
      <c r="J460" s="63">
        <f>A41</f>
        <v/>
      </c>
      <c r="K460" s="471" t="n"/>
      <c r="L460" s="471" t="n"/>
      <c r="M460" s="471" t="n"/>
      <c r="N460" s="471" t="n"/>
      <c r="O460" s="471" t="n"/>
      <c r="P460" s="471" t="n"/>
      <c r="Q460" s="471" t="n"/>
      <c r="R460" s="471" t="n"/>
      <c r="S460" s="476" t="n"/>
    </row>
    <row r="461" ht="22.2" customHeight="1" s="330">
      <c r="A46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462" ht="22.2" customHeight="1" s="330">
      <c r="A462" s="254">
        <f>A2</f>
        <v/>
      </c>
    </row>
    <row r="463" ht="22.2" customHeight="1" s="330">
      <c r="A463" s="253" t="inlineStr">
        <is>
          <t xml:space="preserve">    ระหว่างวันที่</t>
        </is>
      </c>
      <c r="D463" s="254">
        <f>D3</f>
        <v/>
      </c>
      <c r="E463" s="254" t="inlineStr">
        <is>
          <t xml:space="preserve">   เดือน  </t>
        </is>
      </c>
      <c r="F463" s="254">
        <f>F3</f>
        <v/>
      </c>
      <c r="H463" s="254">
        <f>H3</f>
        <v/>
      </c>
      <c r="I463" s="254" t="inlineStr">
        <is>
          <t xml:space="preserve">     ถึง วันที่</t>
        </is>
      </c>
      <c r="J463" s="254">
        <f>J3</f>
        <v/>
      </c>
      <c r="K463" s="254" t="inlineStr">
        <is>
          <t xml:space="preserve">   เดือน </t>
        </is>
      </c>
      <c r="L463" s="254">
        <f>L3</f>
        <v/>
      </c>
      <c r="N463" s="254">
        <f>N3</f>
        <v/>
      </c>
      <c r="P463" s="254" t="n"/>
      <c r="R463" s="254" t="n"/>
    </row>
    <row r="464" ht="22.2" customHeight="1" s="330">
      <c r="G464" s="58" t="inlineStr">
        <is>
          <t>ü</t>
        </is>
      </c>
      <c r="H464" s="290" t="inlineStr">
        <is>
          <t>ครู</t>
        </is>
      </c>
      <c r="I464" s="249" t="inlineStr">
        <is>
          <t>หน้าที่พิเศษ</t>
        </is>
      </c>
    </row>
    <row r="465" ht="22.2" customHeight="1" s="330">
      <c r="A465" s="28" t="inlineStr">
        <is>
          <t>ที่</t>
        </is>
      </c>
      <c r="B465" s="28" t="inlineStr">
        <is>
          <t>ชื่อ-สกุล</t>
        </is>
      </c>
      <c r="C465" s="334" t="n"/>
      <c r="D465" s="335" t="n"/>
      <c r="E465" s="16" t="inlineStr">
        <is>
          <t>ตำแหน่ง</t>
        </is>
      </c>
      <c r="F465" s="17" t="inlineStr">
        <is>
          <t>ระยะเวลาที่สอน</t>
        </is>
      </c>
      <c r="G465" s="362" t="n"/>
      <c r="H465" s="17" t="inlineStr">
        <is>
          <t>รหัสวิชา</t>
        </is>
      </c>
      <c r="I465" s="275" t="inlineStr">
        <is>
          <t>ชั้น,แผนก,ห้อง</t>
        </is>
      </c>
      <c r="J465" s="17" t="inlineStr">
        <is>
          <t>เวลาสอน</t>
        </is>
      </c>
      <c r="K465" s="335" t="n"/>
      <c r="L465" s="17" t="inlineStr">
        <is>
          <t>ปวช.(คาบ)</t>
        </is>
      </c>
      <c r="M465" s="362" t="n"/>
      <c r="N465" s="244" t="inlineStr">
        <is>
          <t>เงิน</t>
        </is>
      </c>
      <c r="O465" s="275" t="inlineStr">
        <is>
          <t>ยอดเงิน</t>
        </is>
      </c>
      <c r="P465" s="473" t="inlineStr">
        <is>
          <t>ปวส.(คาบ)</t>
        </is>
      </c>
      <c r="Q465" s="362" t="n"/>
      <c r="R465" s="244" t="inlineStr">
        <is>
          <t>เงิน</t>
        </is>
      </c>
      <c r="S465" s="275" t="inlineStr">
        <is>
          <t>ยอดเงิน</t>
        </is>
      </c>
    </row>
    <row r="466" ht="22.2" customHeight="1" s="330">
      <c r="A466" s="60" t="n"/>
      <c r="B466" s="9" t="n"/>
      <c r="C466" s="10" t="n"/>
      <c r="D466" s="14" t="n"/>
      <c r="E466" s="11" t="n"/>
      <c r="F466" s="276" t="inlineStr">
        <is>
          <t>ส.</t>
        </is>
      </c>
      <c r="G466" s="276" t="inlineStr">
        <is>
          <t>วดป.</t>
        </is>
      </c>
      <c r="H466" s="474" t="n"/>
      <c r="I466" s="276" t="n"/>
      <c r="J466" s="475" t="n"/>
      <c r="K466" s="476" t="n"/>
      <c r="L466" s="276" t="inlineStr">
        <is>
          <t>ใน</t>
        </is>
      </c>
      <c r="M466" s="276" t="inlineStr">
        <is>
          <t>นอก</t>
        </is>
      </c>
      <c r="N466" s="276" t="inlineStr">
        <is>
          <t>ต่อ ชม.</t>
        </is>
      </c>
      <c r="O466" s="276" t="inlineStr">
        <is>
          <t>(บาท)</t>
        </is>
      </c>
      <c r="P466" s="60" t="inlineStr">
        <is>
          <t>ใน</t>
        </is>
      </c>
      <c r="Q466" s="60" t="inlineStr">
        <is>
          <t>นอก</t>
        </is>
      </c>
      <c r="R466" s="276" t="inlineStr">
        <is>
          <t>ต่อ ชม.</t>
        </is>
      </c>
      <c r="S466" s="276" t="inlineStr">
        <is>
          <t>(บาท)</t>
        </is>
      </c>
    </row>
    <row r="467" ht="22.2" customHeight="1" s="330">
      <c r="A467" s="275" t="n">
        <v>11</v>
      </c>
      <c r="B467" s="477">
        <f>AB13</f>
        <v/>
      </c>
      <c r="C467" s="334" t="n"/>
      <c r="D467" s="335" t="n"/>
      <c r="E467" s="275" t="inlineStr">
        <is>
          <t>ครู</t>
        </is>
      </c>
      <c r="F467" s="6" t="n">
        <v>5</v>
      </c>
      <c r="G467" s="303" t="inlineStr">
        <is>
          <t>จันทร์</t>
        </is>
      </c>
      <c r="H467" s="325" t="inlineStr">
        <is>
          <t>20101-2109</t>
        </is>
      </c>
      <c r="I467" s="325" t="inlineStr">
        <is>
          <t>ปวช.3/2 ชย. (ปกติ)</t>
        </is>
      </c>
      <c r="J467" s="332" t="inlineStr">
        <is>
          <t>08.10-12.10</t>
        </is>
      </c>
      <c r="K467" s="335" t="n"/>
      <c r="L467" s="265" t="n"/>
      <c r="M467" s="332" t="n"/>
      <c r="N467" s="332" t="n"/>
      <c r="O467" s="244">
        <f>M467*N467</f>
        <v/>
      </c>
      <c r="P467" s="332" t="n"/>
      <c r="Q467" s="265" t="n"/>
      <c r="R467" s="332" t="n"/>
      <c r="S467" s="244">
        <f>Q467*R467</f>
        <v/>
      </c>
    </row>
    <row r="468" ht="22.2" customHeight="1" s="330">
      <c r="A468" s="4" t="n"/>
      <c r="B468" s="478" t="n"/>
      <c r="D468" s="331" t="n"/>
      <c r="E468" s="51" t="n"/>
      <c r="F468" s="249" t="n"/>
      <c r="G468" s="308">
        <f>G422</f>
        <v/>
      </c>
      <c r="H468" s="325" t="inlineStr">
        <is>
          <t>20101-2109</t>
        </is>
      </c>
      <c r="I468" s="325" t="inlineStr">
        <is>
          <t>ปวช.3/2 ชย. (ปกติ)</t>
        </is>
      </c>
      <c r="J468" s="252" t="inlineStr">
        <is>
          <t>13.10-16.10</t>
        </is>
      </c>
      <c r="K468" s="331" t="n"/>
      <c r="L468" s="252" t="n"/>
      <c r="M468" s="252" t="n"/>
      <c r="N468" s="252" t="n"/>
      <c r="O468" s="244">
        <f>M468*N468</f>
        <v/>
      </c>
      <c r="P468" s="252" t="n"/>
      <c r="Q468" s="252" t="n"/>
      <c r="R468" s="252" t="n"/>
      <c r="S468" s="244">
        <f>Q468*R468</f>
        <v/>
      </c>
    </row>
    <row r="469" ht="22.2" customHeight="1" s="330">
      <c r="A469" s="4" t="n"/>
      <c r="B469" s="5" t="n"/>
      <c r="D469" s="3" t="n"/>
      <c r="E469" s="3" t="n"/>
      <c r="F469" s="249" t="n"/>
      <c r="G469" s="248" t="n"/>
      <c r="H469" s="325" t="inlineStr">
        <is>
          <t>20101-8501</t>
        </is>
      </c>
      <c r="I469" s="325" t="inlineStr">
        <is>
          <t>ปวช.3/1,2 ชย. (ปกติ)</t>
        </is>
      </c>
      <c r="J469" s="252" t="inlineStr">
        <is>
          <t>16.10-18.10</t>
        </is>
      </c>
      <c r="K469" s="331" t="n"/>
      <c r="L469" s="252" t="n"/>
      <c r="M469" s="252" t="n"/>
      <c r="N469" s="252" t="n"/>
      <c r="O469" s="244">
        <f>M469*N469</f>
        <v/>
      </c>
      <c r="P469" s="252" t="n"/>
      <c r="Q469" s="252" t="n"/>
      <c r="R469" s="252" t="n"/>
      <c r="S469" s="244">
        <f>Q469*R469</f>
        <v/>
      </c>
    </row>
    <row r="470" ht="22.2" customHeight="1" s="330">
      <c r="A470" s="4" t="n"/>
      <c r="B470" s="5" t="n"/>
      <c r="E470" s="4" t="n"/>
      <c r="F470" s="249" t="n"/>
      <c r="G470" s="248" t="n"/>
      <c r="H470" s="252" t="n"/>
      <c r="I470" s="252" t="n"/>
      <c r="J470" s="252" t="n"/>
      <c r="K470" s="331" t="n"/>
      <c r="L470" s="252" t="n"/>
      <c r="M470" s="252" t="n"/>
      <c r="N470" s="252" t="n"/>
      <c r="O470" s="244">
        <f>M470*N470</f>
        <v/>
      </c>
      <c r="P470" s="252" t="n"/>
      <c r="Q470" s="252" t="n"/>
      <c r="R470" s="252" t="n"/>
      <c r="S470" s="244">
        <f>Q470*R470</f>
        <v/>
      </c>
    </row>
    <row r="471" ht="22.2" customHeight="1" s="330">
      <c r="A471" s="4" t="n"/>
      <c r="E471" s="4" t="n"/>
      <c r="G471" s="311" t="n"/>
      <c r="H471" s="276" t="n"/>
      <c r="I471" s="276" t="n"/>
      <c r="J471" s="276" t="n"/>
      <c r="K471" s="476" t="n"/>
      <c r="L471" s="252" t="n"/>
      <c r="M471" s="252" t="n"/>
      <c r="N471" s="252" t="n"/>
      <c r="O471" s="244">
        <f>M471*N471</f>
        <v/>
      </c>
      <c r="P471" s="252" t="n"/>
      <c r="Q471" s="252" t="n"/>
      <c r="R471" s="252" t="n"/>
      <c r="S471" s="244">
        <f>Q471*R471</f>
        <v/>
      </c>
    </row>
    <row r="472" ht="22.2" customHeight="1" s="330">
      <c r="A472" s="4" t="n"/>
      <c r="D472" s="331" t="n"/>
      <c r="E472" s="56" t="n"/>
      <c r="G472" s="62" t="inlineStr">
        <is>
          <t>อังคาร</t>
        </is>
      </c>
      <c r="H472" s="325" t="inlineStr">
        <is>
          <t>20101-2109</t>
        </is>
      </c>
      <c r="I472" s="325" t="inlineStr">
        <is>
          <t>ปวช.3/1 ชย. (ปกติ)</t>
        </is>
      </c>
      <c r="J472" s="332" t="inlineStr">
        <is>
          <t>08.10-12.10</t>
        </is>
      </c>
      <c r="K472" s="335" t="n"/>
      <c r="L472" s="265" t="n"/>
      <c r="M472" s="332" t="n"/>
      <c r="N472" s="332" t="n"/>
      <c r="O472" s="244">
        <f>M472*N472</f>
        <v/>
      </c>
      <c r="P472" s="332" t="n"/>
      <c r="Q472" s="265" t="n"/>
      <c r="R472" s="332" t="n"/>
      <c r="S472" s="244">
        <f>Q472*R472</f>
        <v/>
      </c>
      <c r="T472" s="7" t="n"/>
      <c r="U472" s="23" t="inlineStr">
        <is>
          <t>เบิก ธุรการ</t>
        </is>
      </c>
      <c r="V472" s="66" t="n"/>
      <c r="W472" s="22" t="n"/>
      <c r="X472" s="22" t="n"/>
    </row>
    <row r="473" ht="22.2" customHeight="1" s="330">
      <c r="A473" s="4" t="n"/>
      <c r="D473" s="3" t="n"/>
      <c r="E473" s="3" t="n"/>
      <c r="G473" s="308">
        <f>G427</f>
        <v/>
      </c>
      <c r="H473" s="325" t="inlineStr">
        <is>
          <t>20101-2109</t>
        </is>
      </c>
      <c r="I473" s="325" t="inlineStr">
        <is>
          <t>ปวช.3/1 ชย. (ปกติ)</t>
        </is>
      </c>
      <c r="J473" s="252" t="inlineStr">
        <is>
          <t>13.10-16.10</t>
        </is>
      </c>
      <c r="K473" s="331" t="n"/>
      <c r="L473" s="252" t="n"/>
      <c r="M473" s="252" t="n"/>
      <c r="N473" s="252" t="n"/>
      <c r="O473" s="244">
        <f>M473*N473</f>
        <v/>
      </c>
      <c r="P473" s="252" t="n"/>
      <c r="Q473" s="252" t="n"/>
      <c r="R473" s="252" t="n"/>
      <c r="S473" s="244">
        <f>Q473*R473</f>
        <v/>
      </c>
      <c r="T473" s="22" t="inlineStr">
        <is>
          <t> </t>
        </is>
      </c>
      <c r="U473" s="23" t="inlineStr">
        <is>
          <t>16.10-19.10</t>
        </is>
      </c>
      <c r="V473" s="66" t="n"/>
      <c r="W473" s="22" t="n"/>
      <c r="X473" s="22" t="n"/>
    </row>
    <row r="474" ht="22.2" customHeight="1" s="330">
      <c r="A474" s="4" t="n"/>
      <c r="B474" s="5" t="n"/>
      <c r="D474" s="3" t="n"/>
      <c r="E474" s="3" t="n"/>
      <c r="G474" s="252" t="n"/>
      <c r="H474" s="325" t="inlineStr">
        <is>
          <t>20101-8501</t>
        </is>
      </c>
      <c r="I474" s="325" t="inlineStr">
        <is>
          <t>ปวช.3/1,2 ชย. (ปกติ)</t>
        </is>
      </c>
      <c r="J474" s="252" t="inlineStr">
        <is>
          <t>16.10-18.10</t>
        </is>
      </c>
      <c r="K474" s="331" t="n"/>
      <c r="L474" s="252" t="n"/>
      <c r="M474" s="252" t="n"/>
      <c r="N474" s="252" t="n"/>
      <c r="O474" s="244">
        <f>M474*N474</f>
        <v/>
      </c>
      <c r="P474" s="252" t="n"/>
      <c r="Q474" s="252" t="n"/>
      <c r="R474" s="252" t="n"/>
      <c r="S474" s="244">
        <f>Q474*R474</f>
        <v/>
      </c>
    </row>
    <row r="475" ht="22.2" customHeight="1" s="330">
      <c r="A475" s="4" t="n"/>
      <c r="E475" s="4" t="n"/>
      <c r="G475" s="62" t="n"/>
      <c r="H475" s="249" t="n"/>
      <c r="I475" s="252" t="n"/>
      <c r="J475" s="252" t="n"/>
      <c r="K475" s="331" t="n"/>
      <c r="L475" s="252" t="n"/>
      <c r="M475" s="252" t="n"/>
      <c r="N475" s="252" t="n"/>
      <c r="O475" s="244">
        <f>M475*N475</f>
        <v/>
      </c>
      <c r="P475" s="252" t="n"/>
      <c r="Q475" s="252" t="n"/>
      <c r="R475" s="252" t="n"/>
      <c r="S475" s="244">
        <f>Q475*R475</f>
        <v/>
      </c>
    </row>
    <row r="476" ht="22.2" customHeight="1" s="330">
      <c r="A476" s="4" t="n"/>
      <c r="D476" s="8" t="inlineStr">
        <is>
          <t> </t>
        </is>
      </c>
      <c r="E476" s="4" t="n"/>
      <c r="G476" s="63" t="n"/>
      <c r="H476" s="276" t="n"/>
      <c r="I476" s="276" t="n"/>
      <c r="J476" s="276" t="n"/>
      <c r="K476" s="476" t="n"/>
      <c r="L476" s="252" t="n"/>
      <c r="M476" s="252" t="n"/>
      <c r="N476" s="252" t="n"/>
      <c r="O476" s="244">
        <f>M476*N476</f>
        <v/>
      </c>
      <c r="P476" s="252" t="n"/>
      <c r="Q476" s="252" t="n"/>
      <c r="R476" s="252" t="n"/>
      <c r="S476" s="244">
        <f>Q476*R476</f>
        <v/>
      </c>
    </row>
    <row r="477" ht="22.2" customHeight="1" s="330">
      <c r="A477" s="4" t="n"/>
      <c r="E477" s="4" t="n"/>
      <c r="G477" s="308" t="inlineStr">
        <is>
          <t>พุธ</t>
        </is>
      </c>
      <c r="H477" s="325" t="inlineStr">
        <is>
          <t>20101-2109</t>
        </is>
      </c>
      <c r="I477" s="325" t="inlineStr">
        <is>
          <t>ปวช.3/4 ชย. (ปกติ)</t>
        </is>
      </c>
      <c r="J477" s="332" t="inlineStr">
        <is>
          <t>08.10-12.10</t>
        </is>
      </c>
      <c r="K477" s="335" t="n"/>
      <c r="L477" s="265" t="n"/>
      <c r="M477" s="332" t="n"/>
      <c r="N477" s="332" t="n"/>
      <c r="O477" s="244">
        <f>M477*N477</f>
        <v/>
      </c>
      <c r="P477" s="332" t="n"/>
      <c r="Q477" s="265" t="n"/>
      <c r="R477" s="332" t="n"/>
      <c r="S477" s="244">
        <f>Q477*R477</f>
        <v/>
      </c>
    </row>
    <row r="478" ht="22.2" customHeight="1" s="330">
      <c r="A478" s="4" t="n"/>
      <c r="B478" s="248" t="n"/>
      <c r="C478" s="249" t="n"/>
      <c r="D478" s="249" t="n"/>
      <c r="E478" s="252" t="n"/>
      <c r="G478" s="308">
        <f>G432</f>
        <v/>
      </c>
      <c r="H478" s="325" t="inlineStr">
        <is>
          <t>20101-2109</t>
        </is>
      </c>
      <c r="I478" s="325" t="inlineStr">
        <is>
          <t>ปวช.3/4 ชย. (ปกติ)</t>
        </is>
      </c>
      <c r="J478" s="252" t="inlineStr">
        <is>
          <t>13.10-16.10</t>
        </is>
      </c>
      <c r="K478" s="331" t="n"/>
      <c r="L478" s="252" t="n"/>
      <c r="M478" s="252" t="n"/>
      <c r="N478" s="252" t="n"/>
      <c r="O478" s="244">
        <f>M478*N478</f>
        <v/>
      </c>
      <c r="P478" s="252" t="n"/>
      <c r="Q478" s="252" t="n"/>
      <c r="R478" s="252" t="n"/>
      <c r="S478" s="244">
        <f>Q478*R478</f>
        <v/>
      </c>
    </row>
    <row r="479" ht="22.2" customHeight="1" s="330">
      <c r="A479" s="4" t="n"/>
      <c r="B479" s="5" t="n"/>
      <c r="D479" s="3" t="n"/>
      <c r="E479" s="3" t="n"/>
      <c r="G479" s="252" t="n"/>
      <c r="H479" s="325" t="n"/>
      <c r="I479" s="325" t="n"/>
      <c r="J479" s="252" t="n"/>
      <c r="K479" s="331" t="n"/>
      <c r="L479" s="252" t="n"/>
      <c r="M479" s="252" t="n"/>
      <c r="N479" s="252" t="n"/>
      <c r="O479" s="244">
        <f>M479*N479</f>
        <v/>
      </c>
      <c r="P479" s="252" t="n"/>
      <c r="Q479" s="252" t="n"/>
      <c r="R479" s="252" t="n"/>
      <c r="S479" s="244">
        <f>Q479*R479</f>
        <v/>
      </c>
    </row>
    <row r="480" ht="22.2" customHeight="1" s="330">
      <c r="A480" s="4" t="n"/>
      <c r="E480" s="4" t="n"/>
      <c r="G480" s="248" t="n"/>
      <c r="H480" s="252" t="n"/>
      <c r="I480" s="252" t="n"/>
      <c r="J480" s="252" t="n"/>
      <c r="K480" s="331" t="n"/>
      <c r="L480" s="252" t="n"/>
      <c r="M480" s="252" t="n"/>
      <c r="N480" s="252" t="n"/>
      <c r="O480" s="244">
        <f>M480*N480</f>
        <v/>
      </c>
      <c r="P480" s="252" t="n"/>
      <c r="Q480" s="252" t="n"/>
      <c r="R480" s="252" t="n"/>
      <c r="S480" s="244">
        <f>Q480*R480</f>
        <v/>
      </c>
    </row>
    <row r="481" ht="22.2" customHeight="1" s="330">
      <c r="A481" s="4" t="n"/>
      <c r="E481" s="4" t="n"/>
      <c r="G481" s="277" t="n"/>
      <c r="H481" s="252" t="n"/>
      <c r="I481" s="276" t="n"/>
      <c r="J481" s="276" t="n"/>
      <c r="K481" s="476" t="n"/>
      <c r="L481" s="276" t="n"/>
      <c r="M481" s="276" t="n"/>
      <c r="N481" s="276" t="n"/>
      <c r="O481" s="244">
        <f>M481*N481</f>
        <v/>
      </c>
      <c r="P481" s="276" t="n"/>
      <c r="Q481" s="276" t="n"/>
      <c r="R481" s="276" t="n"/>
      <c r="S481" s="244">
        <f>Q481*R481</f>
        <v/>
      </c>
    </row>
    <row r="482" ht="22.2" customHeight="1" s="330">
      <c r="A482" s="4" t="n"/>
      <c r="D482" s="331" t="n"/>
      <c r="E482" s="56" t="n"/>
      <c r="G482" s="62" t="inlineStr">
        <is>
          <t>พฤหัส</t>
        </is>
      </c>
      <c r="H482" s="332" t="n"/>
      <c r="I482" s="325" t="n"/>
      <c r="J482" s="332" t="n"/>
      <c r="K482" s="335" t="n"/>
      <c r="L482" s="252" t="n"/>
      <c r="M482" s="252" t="n"/>
      <c r="N482" s="252" t="n"/>
      <c r="O482" s="244">
        <f>M482*N482</f>
        <v/>
      </c>
      <c r="P482" s="252" t="n"/>
      <c r="Q482" s="275" t="n"/>
      <c r="R482" s="275" t="n"/>
      <c r="S482" s="244">
        <f>Q482*R482</f>
        <v/>
      </c>
    </row>
    <row r="483" ht="22.2" customHeight="1" s="330">
      <c r="A483" s="4" t="n"/>
      <c r="D483" s="3" t="n"/>
      <c r="E483" s="3" t="n"/>
      <c r="G483" s="308">
        <f>G437</f>
        <v/>
      </c>
      <c r="H483" s="325" t="n"/>
      <c r="I483" s="325" t="n"/>
      <c r="J483" s="252" t="n"/>
      <c r="K483" s="331" t="n"/>
      <c r="L483" s="252" t="n"/>
      <c r="M483" s="252" t="n"/>
      <c r="N483" s="252" t="n"/>
      <c r="O483" s="244">
        <f>M483*N483</f>
        <v/>
      </c>
      <c r="P483" s="252" t="n"/>
      <c r="Q483" s="252" t="n"/>
      <c r="R483" s="252" t="n"/>
      <c r="S483" s="244">
        <f>Q483*R483</f>
        <v/>
      </c>
    </row>
    <row r="484" ht="22.2" customHeight="1" s="330">
      <c r="A484" s="4" t="n"/>
      <c r="B484" s="5" t="n"/>
      <c r="E484" s="4" t="n"/>
      <c r="G484" s="252" t="n"/>
      <c r="H484" s="325" t="n"/>
      <c r="I484" s="325" t="n"/>
      <c r="J484" s="252" t="n"/>
      <c r="K484" s="331" t="n"/>
      <c r="L484" s="325" t="n"/>
      <c r="M484" s="325" t="n"/>
      <c r="N484" s="325" t="n"/>
      <c r="O484" s="244">
        <f>M484*N484</f>
        <v/>
      </c>
      <c r="P484" s="325" t="n"/>
      <c r="Q484" s="325" t="n"/>
      <c r="R484" s="325" t="n"/>
      <c r="S484" s="244">
        <f>Q484*R484</f>
        <v/>
      </c>
    </row>
    <row r="485" ht="22.2" customHeight="1" s="330">
      <c r="A485" s="4" t="n"/>
      <c r="E485" s="4" t="n"/>
      <c r="G485" s="252" t="n"/>
      <c r="H485" s="252" t="n"/>
      <c r="I485" s="252" t="n"/>
      <c r="J485" s="252" t="n"/>
      <c r="K485" s="331" t="n"/>
      <c r="L485" s="252" t="n"/>
      <c r="M485" s="252" t="n"/>
      <c r="N485" s="252" t="n"/>
      <c r="O485" s="244">
        <f>M485*N485</f>
        <v/>
      </c>
      <c r="P485" s="252" t="n"/>
      <c r="Q485" s="252" t="n"/>
      <c r="R485" s="252" t="n"/>
      <c r="S485" s="244">
        <f>Q485*R485</f>
        <v/>
      </c>
    </row>
    <row r="486" ht="22.2" customHeight="1" s="330">
      <c r="A486" s="4" t="n"/>
      <c r="E486" s="4" t="n"/>
      <c r="G486" s="276" t="n"/>
      <c r="H486" s="301" t="n"/>
      <c r="I486" s="276" t="n"/>
      <c r="J486" s="276" t="n"/>
      <c r="K486" s="476" t="n"/>
      <c r="L486" s="276" t="n"/>
      <c r="M486" s="276" t="n"/>
      <c r="N486" s="276" t="n"/>
      <c r="O486" s="244">
        <f>M486*N486</f>
        <v/>
      </c>
      <c r="P486" s="276" t="n"/>
      <c r="Q486" s="276" t="n"/>
      <c r="R486" s="276" t="n"/>
      <c r="S486" s="244">
        <f>Q486*R486</f>
        <v/>
      </c>
    </row>
    <row r="487" ht="22.2" customHeight="1" s="330">
      <c r="A487" s="4" t="n"/>
      <c r="E487" s="4" t="n"/>
      <c r="G487" s="62" t="inlineStr">
        <is>
          <t>ศุกร์</t>
        </is>
      </c>
      <c r="H487" s="325" t="inlineStr">
        <is>
          <t>20101-2109</t>
        </is>
      </c>
      <c r="I487" s="325" t="inlineStr">
        <is>
          <t>ปวช.3/3 ชย. (ปกติ)</t>
        </is>
      </c>
      <c r="J487" s="332" t="inlineStr">
        <is>
          <t>09.10-12.10</t>
        </is>
      </c>
      <c r="K487" s="335" t="n"/>
      <c r="L487" s="252" t="n"/>
      <c r="M487" s="252" t="n"/>
      <c r="N487" s="252" t="n"/>
      <c r="O487" s="244">
        <f>M487*N487</f>
        <v/>
      </c>
      <c r="P487" s="332" t="n"/>
      <c r="Q487" s="265" t="n"/>
      <c r="R487" s="332" t="n"/>
      <c r="S487" s="244">
        <f>Q487*R487</f>
        <v/>
      </c>
      <c r="T487" s="25" t="n"/>
      <c r="U487" s="26" t="inlineStr">
        <is>
          <t xml:space="preserve">     PLC</t>
        </is>
      </c>
      <c r="V487" s="64" t="n"/>
      <c r="W487" s="27" t="n"/>
      <c r="X487" s="27" t="n"/>
    </row>
    <row r="488" ht="22.2" customHeight="1" s="330">
      <c r="A488" s="4" t="n"/>
      <c r="E488" s="4" t="n"/>
      <c r="G488" s="308">
        <f>G442</f>
        <v/>
      </c>
      <c r="H488" s="325" t="inlineStr">
        <is>
          <t>20101-2109</t>
        </is>
      </c>
      <c r="I488" s="325" t="inlineStr">
        <is>
          <t>ปวช.3/3 ชย. (ปกติ)</t>
        </is>
      </c>
      <c r="J488" s="252" t="inlineStr">
        <is>
          <t>13.10-17.10</t>
        </is>
      </c>
      <c r="K488" s="331" t="n"/>
      <c r="L488" s="252" t="n"/>
      <c r="M488" s="252" t="n"/>
      <c r="N488" s="252" t="n"/>
      <c r="O488" s="244">
        <f>M488*N488</f>
        <v/>
      </c>
      <c r="P488" s="252" t="n"/>
      <c r="Q488" s="252" t="n"/>
      <c r="R488" s="252" t="n"/>
      <c r="S488" s="244">
        <f>Q488*R488</f>
        <v/>
      </c>
      <c r="T488" s="27" t="inlineStr">
        <is>
          <t> </t>
        </is>
      </c>
      <c r="U488" s="26" t="inlineStr">
        <is>
          <t>17.10-19.10</t>
        </is>
      </c>
      <c r="V488" s="64" t="n"/>
      <c r="W488" s="27" t="n"/>
      <c r="X488" s="27" t="n"/>
    </row>
    <row r="489" ht="22.2" customHeight="1" s="330">
      <c r="A489" s="4" t="n"/>
      <c r="E489" s="4" t="n"/>
      <c r="G489" s="252" t="n"/>
      <c r="H489" s="252" t="n"/>
      <c r="I489" s="252" t="n"/>
      <c r="J489" s="252" t="n"/>
      <c r="K489" s="331" t="n"/>
      <c r="L489" s="252" t="n"/>
      <c r="M489" s="252" t="n"/>
      <c r="N489" s="252" t="n"/>
      <c r="O489" s="244">
        <f>M489*N489</f>
        <v/>
      </c>
      <c r="P489" s="252" t="n"/>
      <c r="Q489" s="252" t="n"/>
      <c r="R489" s="252" t="n"/>
      <c r="S489" s="244">
        <f>Q489*R489</f>
        <v/>
      </c>
    </row>
    <row r="490" ht="22.2" customHeight="1" s="330">
      <c r="A490" s="4" t="n"/>
      <c r="E490" s="4" t="n"/>
      <c r="G490" s="252" t="n"/>
      <c r="H490" s="249" t="inlineStr">
        <is>
          <t> </t>
        </is>
      </c>
      <c r="I490" s="252" t="n"/>
      <c r="J490" s="252" t="n"/>
      <c r="K490" s="331" t="n"/>
      <c r="L490" s="252" t="n"/>
      <c r="M490" s="252" t="n"/>
      <c r="N490" s="252" t="n"/>
      <c r="O490" s="244">
        <f>M490*N490</f>
        <v/>
      </c>
      <c r="P490" s="252" t="n"/>
      <c r="Q490" s="252" t="n"/>
      <c r="R490" s="252" t="n"/>
      <c r="S490" s="244">
        <f>Q490*R490</f>
        <v/>
      </c>
    </row>
    <row r="491" ht="22.2" customHeight="1" s="330">
      <c r="A491" s="4" t="n"/>
      <c r="E491" s="4" t="n"/>
      <c r="F491" s="4" t="n"/>
      <c r="G491" s="278" t="n"/>
      <c r="H491" s="301" t="n"/>
      <c r="I491" s="276" t="n"/>
      <c r="J491" s="276" t="n"/>
      <c r="K491" s="476" t="n"/>
      <c r="L491" s="276" t="n"/>
      <c r="M491" s="276" t="n"/>
      <c r="N491" s="276" t="n"/>
      <c r="O491" s="244">
        <f>M491*N491</f>
        <v/>
      </c>
      <c r="P491" s="276" t="n"/>
      <c r="Q491" s="276" t="n"/>
      <c r="R491" s="276" t="n"/>
      <c r="S491" s="244">
        <f>Q491*R491</f>
        <v/>
      </c>
    </row>
    <row r="492" ht="22.2" customHeight="1" s="330">
      <c r="A492" s="4" t="n"/>
      <c r="E492" s="4" t="n"/>
      <c r="F492" s="4" t="n"/>
      <c r="G492" s="17" t="inlineStr">
        <is>
          <t>รวมขั่วโมงที่สอนแยก ภาระงาน/ เกินภาระงาน</t>
        </is>
      </c>
      <c r="H492" s="467" t="n"/>
      <c r="I492" s="467" t="n"/>
      <c r="J492" s="467" t="n"/>
      <c r="K492" s="362" t="n"/>
      <c r="L492" s="17">
        <f>SUM(L467:L491)</f>
        <v/>
      </c>
      <c r="M492" s="17">
        <f>SUM(M467:M491)</f>
        <v/>
      </c>
      <c r="N492" s="17" t="n"/>
      <c r="O492" s="17" t="n"/>
      <c r="P492" s="17">
        <f>SUM(P467:P491)</f>
        <v/>
      </c>
      <c r="Q492" s="17">
        <f>SUM(Q467:Q491)</f>
        <v/>
      </c>
      <c r="R492" s="279" t="n"/>
      <c r="S492" s="17" t="n"/>
    </row>
    <row r="493" ht="22.2" customHeight="1" s="330">
      <c r="A493" s="4" t="n"/>
      <c r="E493" s="4" t="n"/>
      <c r="F493" s="4" t="n"/>
      <c r="G493" s="17" t="inlineStr">
        <is>
          <t>รวมจำนวนชั่วโมงสอนคาบต่อสับดาห์</t>
        </is>
      </c>
      <c r="H493" s="467" t="n"/>
      <c r="I493" s="467" t="n"/>
      <c r="J493" s="467" t="n"/>
      <c r="K493" s="362" t="n"/>
      <c r="L493" s="17">
        <f>L492+M492</f>
        <v/>
      </c>
      <c r="M493" s="362" t="n"/>
      <c r="N493" s="17" t="n"/>
      <c r="O493" s="298" t="n"/>
      <c r="P493" s="17">
        <f>P492+Q492</f>
        <v/>
      </c>
      <c r="Q493" s="362" t="n"/>
      <c r="R493" s="278" t="n"/>
      <c r="S493" s="276" t="n"/>
    </row>
    <row r="494" ht="22.2" customHeight="1" s="330">
      <c r="A494" s="4" t="n"/>
      <c r="E494" s="4" t="n"/>
      <c r="F494" s="4" t="n"/>
      <c r="G494" s="17" t="inlineStr">
        <is>
          <t>จำนวนชั่วโมงสอนตามภาระงานสอน</t>
        </is>
      </c>
      <c r="H494" s="467" t="n"/>
      <c r="I494" s="467" t="n"/>
      <c r="J494" s="467" t="n"/>
      <c r="K494" s="362" t="n"/>
      <c r="L494" s="153" t="inlineStr">
        <is>
          <t>18</t>
        </is>
      </c>
      <c r="M494" s="362" t="n"/>
      <c r="N494" s="152" t="n"/>
      <c r="O494" s="153" t="n"/>
      <c r="P494" s="153" t="inlineStr">
        <is>
          <t>0</t>
        </is>
      </c>
      <c r="Q494" s="362" t="n"/>
      <c r="R494" s="249" t="n"/>
      <c r="S494" s="252" t="n"/>
    </row>
    <row r="495" ht="22.2" customHeight="1" s="330" thickBot="1">
      <c r="A495" s="4" t="n"/>
      <c r="E495" s="4" t="n"/>
      <c r="F495" s="15" t="n"/>
      <c r="G495" s="17" t="inlineStr">
        <is>
          <t>จำนวนชั่วโมงบิกเกินภาระงานสอน/ค่าสอน</t>
        </is>
      </c>
      <c r="H495" s="467" t="n"/>
      <c r="I495" s="467" t="n"/>
      <c r="J495" s="467" t="n"/>
      <c r="K495" s="362" t="n"/>
      <c r="L495" s="18" t="n">
        <v>0</v>
      </c>
      <c r="M495" s="18">
        <f>SUM(M467:M491)</f>
        <v/>
      </c>
      <c r="N495" s="18" t="n"/>
      <c r="O495" s="18">
        <f>SUM(O467:O491)</f>
        <v/>
      </c>
      <c r="P495" s="18" t="n">
        <v>0</v>
      </c>
      <c r="Q495" s="18">
        <f>SUM(Q467:Q491)</f>
        <v/>
      </c>
      <c r="R495" s="19" t="n"/>
      <c r="S495" s="18">
        <f>SUM(S467:S491)</f>
        <v/>
      </c>
    </row>
    <row r="496" ht="22.2" customHeight="1" s="330" thickTop="1">
      <c r="A496" s="299" t="inlineStr">
        <is>
          <t>รวมจำนวนหน่วยชั่วโมงที่ขอเบิกค่าสอน ….</t>
        </is>
      </c>
      <c r="B496" s="467" t="n"/>
      <c r="C496" s="467" t="n"/>
      <c r="D496" s="467" t="n"/>
      <c r="E496" s="467" t="n"/>
      <c r="F496" s="467" t="n"/>
      <c r="G496" s="467" t="n"/>
      <c r="H496" s="298">
        <f>M495+Q495</f>
        <v/>
      </c>
      <c r="I496" s="298" t="inlineStr">
        <is>
          <t>….ชั่วโมง</t>
        </is>
      </c>
      <c r="J496" s="298" t="n"/>
      <c r="K496" s="301" t="inlineStr">
        <is>
          <t>ยอดเงินรวม</t>
        </is>
      </c>
      <c r="L496" s="471" t="n"/>
      <c r="M496" s="471" t="n"/>
      <c r="N496" s="301" t="n"/>
      <c r="O496" s="301" t="n"/>
      <c r="P496" s="302">
        <f>S495+O495</f>
        <v/>
      </c>
      <c r="Q496" s="482" t="n"/>
      <c r="R496" s="21" t="n"/>
      <c r="S496" s="20" t="inlineStr">
        <is>
          <t>..บาท</t>
        </is>
      </c>
    </row>
    <row r="497" ht="22.2" customHeight="1" s="330">
      <c r="A497" s="207" t="inlineStr">
        <is>
          <t>ผู้ขอเบิก</t>
        </is>
      </c>
      <c r="B497" s="334" t="n"/>
      <c r="C497" s="334" t="n"/>
      <c r="D497" s="334" t="n"/>
      <c r="E497" s="334" t="n"/>
      <c r="F497" s="334" t="n"/>
      <c r="G497" s="335" t="n"/>
      <c r="H497" s="207" t="inlineStr">
        <is>
          <t>ผู้รับรอง</t>
        </is>
      </c>
      <c r="I497" s="334" t="n"/>
      <c r="J497" s="334" t="n"/>
      <c r="K497" s="334" t="n"/>
      <c r="L497" s="335" t="n"/>
      <c r="M497" s="207" t="inlineStr">
        <is>
          <t>ผู้ตรวจ</t>
        </is>
      </c>
      <c r="N497" s="334" t="n"/>
      <c r="O497" s="334" t="n"/>
      <c r="P497" s="334" t="n"/>
      <c r="Q497" s="334" t="n"/>
      <c r="R497" s="334" t="n"/>
      <c r="S497" s="335" t="n"/>
    </row>
    <row r="498" ht="22.2" customHeight="1" s="330">
      <c r="A498" s="252" t="inlineStr">
        <is>
          <t>ลงชื่อ……………………………………………</t>
        </is>
      </c>
      <c r="G498" s="331" t="n"/>
      <c r="H498" s="252" t="inlineStr">
        <is>
          <t>ลงชื่อ……………………………………………</t>
        </is>
      </c>
      <c r="L498" s="331" t="n"/>
      <c r="M498" s="252" t="inlineStr">
        <is>
          <t>ลงชื่อ……………………………………………</t>
        </is>
      </c>
      <c r="S498" s="331" t="n"/>
    </row>
    <row r="499" ht="22.2" customHeight="1" s="330">
      <c r="A499" s="12" t="inlineStr">
        <is>
          <t>(</t>
        </is>
      </c>
      <c r="B499" s="309">
        <f>B467</f>
        <v/>
      </c>
      <c r="G499" s="310" t="inlineStr">
        <is>
          <t>)</t>
        </is>
      </c>
      <c r="H499" s="309" t="inlineStr">
        <is>
          <t>(</t>
        </is>
      </c>
      <c r="I499" s="314">
        <f>I453</f>
        <v/>
      </c>
      <c r="L499" s="13" t="inlineStr">
        <is>
          <t>)</t>
        </is>
      </c>
      <c r="M499" s="61" t="inlineStr">
        <is>
          <t>(</t>
        </is>
      </c>
      <c r="N499" s="61" t="n"/>
      <c r="O499" s="309" t="inlineStr">
        <is>
          <t>นายพิสุทธิศักดิ์  กล่อมนาค</t>
        </is>
      </c>
      <c r="R499" s="29" t="n"/>
      <c r="S499" s="310" t="inlineStr">
        <is>
          <t>)</t>
        </is>
      </c>
    </row>
    <row r="500" ht="22.2" customHeight="1" s="330">
      <c r="A500" s="483" t="inlineStr">
        <is>
          <t xml:space="preserve">                 ตำแหน่ง  ครู </t>
        </is>
      </c>
      <c r="G500" s="331" t="n"/>
      <c r="H500" s="62" t="inlineStr">
        <is>
          <t>ตำแหน่ง หัวหน้าแผนก</t>
        </is>
      </c>
      <c r="L500" s="331" t="n"/>
      <c r="M500" s="62" t="inlineStr">
        <is>
          <t>ตำแหน่ง   ผู้ตรวจสอบ</t>
        </is>
      </c>
      <c r="S500" s="331" t="n"/>
    </row>
    <row r="501" ht="22.2" customHeight="1" s="330">
      <c r="A501" s="63">
        <f>A41</f>
        <v/>
      </c>
      <c r="B501" s="471" t="n"/>
      <c r="C501" s="471" t="n"/>
      <c r="D501" s="471" t="n"/>
      <c r="E501" s="471" t="n"/>
      <c r="F501" s="471" t="n"/>
      <c r="G501" s="476" t="n"/>
      <c r="H501" s="62">
        <f>A41</f>
        <v/>
      </c>
      <c r="L501" s="331" t="n"/>
      <c r="M501" s="63">
        <f>A41</f>
        <v/>
      </c>
      <c r="N501" s="471" t="n"/>
      <c r="O501" s="471" t="n"/>
      <c r="P501" s="471" t="n"/>
      <c r="Q501" s="471" t="n"/>
      <c r="R501" s="471" t="n"/>
      <c r="S501" s="476" t="n"/>
    </row>
    <row r="502" ht="22.2" customHeight="1" s="330">
      <c r="A502" s="207" t="inlineStr">
        <is>
          <t>ผู้ตรวจ</t>
        </is>
      </c>
      <c r="B502" s="334" t="n"/>
      <c r="C502" s="334" t="n"/>
      <c r="D502" s="334" t="n"/>
      <c r="E502" s="334" t="n"/>
      <c r="F502" s="334" t="n"/>
      <c r="G502" s="334" t="n"/>
      <c r="H502" s="334" t="n"/>
      <c r="I502" s="335" t="n"/>
      <c r="J502" s="207" t="inlineStr">
        <is>
          <t>ผู้เห็นชอบ</t>
        </is>
      </c>
      <c r="K502" s="334" t="n"/>
      <c r="L502" s="334" t="n"/>
      <c r="M502" s="334" t="n"/>
      <c r="N502" s="334" t="n"/>
      <c r="O502" s="334" t="n"/>
      <c r="P502" s="334" t="n"/>
      <c r="Q502" s="334" t="n"/>
      <c r="R502" s="334" t="n"/>
      <c r="S502" s="335" t="n"/>
    </row>
    <row r="503" ht="22.2" customHeight="1" s="330">
      <c r="A503" s="252" t="inlineStr">
        <is>
          <t>ลงชื่อ……………………………………………</t>
        </is>
      </c>
      <c r="I503" s="331" t="n"/>
      <c r="J503" s="252" t="inlineStr">
        <is>
          <t>ลงชื่อ……………………………………………</t>
        </is>
      </c>
      <c r="S503" s="331" t="n"/>
    </row>
    <row r="504" ht="22.2" customHeight="1" s="330">
      <c r="A504" s="12" t="n"/>
      <c r="B504" s="309" t="inlineStr">
        <is>
          <t xml:space="preserve">          (นางศิวรักษ์   บุญประเสริฐ)</t>
        </is>
      </c>
      <c r="I504" s="310" t="n"/>
      <c r="J504" s="29" t="n"/>
      <c r="K504" s="29" t="n"/>
      <c r="L504" s="309" t="inlineStr">
        <is>
          <t>(นายปรีชา  โพธิ์เกิด)</t>
        </is>
      </c>
      <c r="R504" s="29" t="n"/>
      <c r="S504" s="13" t="n"/>
    </row>
    <row r="505" ht="22.2" customHeight="1" s="330">
      <c r="A505" s="62" t="inlineStr">
        <is>
          <t>ตำแหน่งครู  หัวหน้างานพัฒนาหลักสูตร ฯ</t>
        </is>
      </c>
      <c r="I505" s="331" t="n"/>
      <c r="J505" s="62" t="inlineStr">
        <is>
          <t>ตำแหน่ง  รองผู้อำนวยการฝ่ายวิชาการ</t>
        </is>
      </c>
      <c r="S505" s="331" t="n"/>
    </row>
    <row r="506" ht="22.2" customHeight="1" s="330">
      <c r="A506" s="63">
        <f>A41</f>
        <v/>
      </c>
      <c r="B506" s="471" t="n"/>
      <c r="C506" s="471" t="n"/>
      <c r="D506" s="471" t="n"/>
      <c r="E506" s="471" t="n"/>
      <c r="F506" s="471" t="n"/>
      <c r="G506" s="471" t="n"/>
      <c r="H506" s="471" t="n"/>
      <c r="I506" s="476" t="n"/>
      <c r="J506" s="63">
        <f>A41</f>
        <v/>
      </c>
      <c r="K506" s="471" t="n"/>
      <c r="L506" s="471" t="n"/>
      <c r="M506" s="471" t="n"/>
      <c r="N506" s="471" t="n"/>
      <c r="O506" s="471" t="n"/>
      <c r="P506" s="471" t="n"/>
      <c r="Q506" s="471" t="n"/>
      <c r="R506" s="471" t="n"/>
      <c r="S506" s="476" t="n"/>
    </row>
    <row r="507" ht="22.2" customHeight="1" s="330">
      <c r="A50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508" ht="22.2" customHeight="1" s="330">
      <c r="A508" s="254">
        <f>A2</f>
        <v/>
      </c>
    </row>
    <row r="509" ht="22.2" customHeight="1" s="330">
      <c r="A509" s="253" t="inlineStr">
        <is>
          <t xml:space="preserve">    ระหว่างวันที่</t>
        </is>
      </c>
      <c r="D509" s="254">
        <f>D3</f>
        <v/>
      </c>
      <c r="E509" s="254" t="inlineStr">
        <is>
          <t xml:space="preserve">   เดือน  </t>
        </is>
      </c>
      <c r="F509" s="254">
        <f>F3</f>
        <v/>
      </c>
      <c r="H509" s="254">
        <f>H3</f>
        <v/>
      </c>
      <c r="I509" s="254" t="inlineStr">
        <is>
          <t xml:space="preserve">     ถึง วันที่</t>
        </is>
      </c>
      <c r="J509" s="254">
        <f>J3</f>
        <v/>
      </c>
      <c r="K509" s="254" t="inlineStr">
        <is>
          <t xml:space="preserve">   เดือน </t>
        </is>
      </c>
      <c r="L509" s="254">
        <f>L3</f>
        <v/>
      </c>
      <c r="N509" s="254">
        <f>N3</f>
        <v/>
      </c>
      <c r="P509" s="254" t="n"/>
      <c r="R509" s="254" t="n"/>
    </row>
    <row r="510" ht="22.2" customHeight="1" s="330">
      <c r="G510" s="58" t="inlineStr">
        <is>
          <t>ü</t>
        </is>
      </c>
      <c r="H510" s="290" t="inlineStr">
        <is>
          <t>ครู</t>
        </is>
      </c>
      <c r="I510" s="249" t="inlineStr">
        <is>
          <t>หน้าที่พิเศษ</t>
        </is>
      </c>
      <c r="J510" s="290" t="inlineStr">
        <is>
          <t>หัวหน้างานโครงการพิเศษและบริการชุมชน</t>
        </is>
      </c>
    </row>
    <row r="511" ht="22.2" customHeight="1" s="330">
      <c r="A511" s="28" t="inlineStr">
        <is>
          <t>ที่</t>
        </is>
      </c>
      <c r="B511" s="28" t="inlineStr">
        <is>
          <t>ชื่อ-สกุล</t>
        </is>
      </c>
      <c r="C511" s="334" t="n"/>
      <c r="D511" s="335" t="n"/>
      <c r="E511" s="16" t="inlineStr">
        <is>
          <t>ตำแหน่ง</t>
        </is>
      </c>
      <c r="F511" s="17" t="inlineStr">
        <is>
          <t>ระยะเวลาที่สอน</t>
        </is>
      </c>
      <c r="G511" s="362" t="n"/>
      <c r="H511" s="17" t="inlineStr">
        <is>
          <t>รหัสวิชา</t>
        </is>
      </c>
      <c r="I511" s="275" t="inlineStr">
        <is>
          <t>ชั้น,แผนก,ห้อง</t>
        </is>
      </c>
      <c r="J511" s="17" t="inlineStr">
        <is>
          <t>เวลาสอน</t>
        </is>
      </c>
      <c r="K511" s="335" t="n"/>
      <c r="L511" s="17" t="inlineStr">
        <is>
          <t>ปวช.(คาบ)</t>
        </is>
      </c>
      <c r="M511" s="362" t="n"/>
      <c r="N511" s="244" t="inlineStr">
        <is>
          <t>เงิน</t>
        </is>
      </c>
      <c r="O511" s="275" t="inlineStr">
        <is>
          <t>ยอดเงิน</t>
        </is>
      </c>
      <c r="P511" s="473" t="inlineStr">
        <is>
          <t>ปวส.(คาบ)</t>
        </is>
      </c>
      <c r="Q511" s="362" t="n"/>
      <c r="R511" s="244" t="inlineStr">
        <is>
          <t>เงิน</t>
        </is>
      </c>
      <c r="S511" s="275" t="inlineStr">
        <is>
          <t>ยอดเงิน</t>
        </is>
      </c>
    </row>
    <row r="512" ht="22.2" customHeight="1" s="330">
      <c r="A512" s="60" t="n"/>
      <c r="B512" s="9" t="n"/>
      <c r="C512" s="10" t="n"/>
      <c r="D512" s="14" t="n"/>
      <c r="E512" s="11" t="n"/>
      <c r="F512" s="276" t="inlineStr">
        <is>
          <t>ส.</t>
        </is>
      </c>
      <c r="G512" s="276" t="inlineStr">
        <is>
          <t>วดป.</t>
        </is>
      </c>
      <c r="H512" s="474" t="n"/>
      <c r="I512" s="276" t="n"/>
      <c r="J512" s="475" t="n"/>
      <c r="K512" s="476" t="n"/>
      <c r="L512" s="276" t="inlineStr">
        <is>
          <t>ใน</t>
        </is>
      </c>
      <c r="M512" s="276" t="inlineStr">
        <is>
          <t>นอก</t>
        </is>
      </c>
      <c r="N512" s="276" t="inlineStr">
        <is>
          <t>ต่อ ชม.</t>
        </is>
      </c>
      <c r="O512" s="276" t="inlineStr">
        <is>
          <t>(บาท)</t>
        </is>
      </c>
      <c r="P512" s="60" t="inlineStr">
        <is>
          <t>ใน</t>
        </is>
      </c>
      <c r="Q512" s="60" t="inlineStr">
        <is>
          <t>นอก</t>
        </is>
      </c>
      <c r="R512" s="276" t="inlineStr">
        <is>
          <t>ต่อ ชม.</t>
        </is>
      </c>
      <c r="S512" s="276" t="inlineStr">
        <is>
          <t>(บาท)</t>
        </is>
      </c>
    </row>
    <row r="513" ht="22.2" customHeight="1" s="330">
      <c r="A513" s="275" t="n">
        <v>12</v>
      </c>
      <c r="B513" s="477">
        <f>AB14</f>
        <v/>
      </c>
      <c r="C513" s="334" t="n"/>
      <c r="D513" s="335" t="n"/>
      <c r="E513" s="275" t="inlineStr">
        <is>
          <t>ครู</t>
        </is>
      </c>
      <c r="F513" s="6" t="n">
        <v>5</v>
      </c>
      <c r="G513" s="303" t="inlineStr">
        <is>
          <t>จันทร์</t>
        </is>
      </c>
      <c r="H513" s="332" t="inlineStr">
        <is>
          <t>20101-2008</t>
        </is>
      </c>
      <c r="I513" s="325" t="inlineStr">
        <is>
          <t>ปวช.1/8 ชย. (ปกติ)</t>
        </is>
      </c>
      <c r="J513" s="252" t="inlineStr">
        <is>
          <t>13.10-17.10</t>
        </is>
      </c>
      <c r="K513" s="331" t="n"/>
      <c r="L513" s="265" t="n"/>
      <c r="M513" s="332" t="n"/>
      <c r="N513" s="332" t="n"/>
      <c r="O513" s="244">
        <f>M513*N513</f>
        <v/>
      </c>
      <c r="P513" s="332" t="n"/>
      <c r="Q513" s="265" t="n"/>
      <c r="R513" s="332" t="n"/>
      <c r="S513" s="244">
        <f>Q513*R513</f>
        <v/>
      </c>
    </row>
    <row r="514" ht="22.2" customHeight="1" s="330">
      <c r="A514" s="4" t="n"/>
      <c r="B514" s="478" t="n"/>
      <c r="D514" s="331" t="n"/>
      <c r="E514" s="51" t="n"/>
      <c r="F514" s="249" t="n"/>
      <c r="G514" s="308">
        <f>G468</f>
        <v/>
      </c>
      <c r="H514" s="325" t="n"/>
      <c r="I514" s="325" t="n"/>
      <c r="J514" s="252" t="n"/>
      <c r="K514" s="331" t="n"/>
      <c r="L514" s="252" t="n"/>
      <c r="M514" s="252" t="n"/>
      <c r="N514" s="252" t="n"/>
      <c r="O514" s="244">
        <f>M514*N514</f>
        <v/>
      </c>
      <c r="P514" s="252" t="n"/>
      <c r="Q514" s="252" t="n"/>
      <c r="R514" s="252" t="n"/>
      <c r="S514" s="244">
        <f>Q514*R514</f>
        <v/>
      </c>
    </row>
    <row r="515" ht="22.2" customHeight="1" s="330">
      <c r="A515" s="4" t="n"/>
      <c r="B515" s="5" t="n"/>
      <c r="D515" s="3" t="n"/>
      <c r="E515" s="3" t="n"/>
      <c r="F515" s="249" t="n"/>
      <c r="G515" s="248" t="n"/>
      <c r="H515" s="252" t="n"/>
      <c r="I515" s="252" t="n"/>
      <c r="J515" s="252" t="n"/>
      <c r="K515" s="331" t="n"/>
      <c r="L515" s="252" t="n"/>
      <c r="M515" s="252" t="n"/>
      <c r="N515" s="252" t="n"/>
      <c r="O515" s="244">
        <f>M515*N515</f>
        <v/>
      </c>
      <c r="P515" s="252" t="n"/>
      <c r="Q515" s="252" t="n"/>
      <c r="R515" s="252" t="n"/>
      <c r="S515" s="244">
        <f>Q515*R515</f>
        <v/>
      </c>
    </row>
    <row r="516" ht="22.2" customHeight="1" s="330">
      <c r="A516" s="4" t="n"/>
      <c r="B516" s="5" t="n"/>
      <c r="E516" s="4" t="n"/>
      <c r="F516" s="249" t="n"/>
      <c r="G516" s="248" t="n"/>
      <c r="H516" s="252" t="n"/>
      <c r="I516" s="252" t="n"/>
      <c r="J516" s="252" t="n"/>
      <c r="K516" s="331" t="n"/>
      <c r="L516" s="252" t="n"/>
      <c r="M516" s="252" t="n"/>
      <c r="N516" s="252" t="n"/>
      <c r="O516" s="244">
        <f>M516*N516</f>
        <v/>
      </c>
      <c r="P516" s="252" t="n"/>
      <c r="Q516" s="252" t="n"/>
      <c r="R516" s="252" t="n"/>
      <c r="S516" s="244">
        <f>Q516*R516</f>
        <v/>
      </c>
    </row>
    <row r="517" ht="22.2" customHeight="1" s="330">
      <c r="A517" s="4" t="n"/>
      <c r="E517" s="4" t="n"/>
      <c r="G517" s="311" t="n"/>
      <c r="H517" s="276" t="n"/>
      <c r="I517" s="276" t="n"/>
      <c r="J517" s="276" t="n"/>
      <c r="K517" s="476" t="n"/>
      <c r="L517" s="252" t="n"/>
      <c r="M517" s="252" t="n"/>
      <c r="N517" s="252" t="n"/>
      <c r="O517" s="244">
        <f>M517*N517</f>
        <v/>
      </c>
      <c r="P517" s="252" t="n"/>
      <c r="Q517" s="252" t="n"/>
      <c r="R517" s="252" t="n"/>
      <c r="S517" s="244">
        <f>Q517*R517</f>
        <v/>
      </c>
    </row>
    <row r="518" ht="22.2" customHeight="1" s="330">
      <c r="A518" s="4" t="n"/>
      <c r="E518" s="4" t="n"/>
      <c r="G518" s="62" t="inlineStr">
        <is>
          <t>อังคาร</t>
        </is>
      </c>
      <c r="H518" s="325" t="inlineStr">
        <is>
          <t>20101-2002</t>
        </is>
      </c>
      <c r="I518" s="325" t="inlineStr">
        <is>
          <t>ปวช.2/7 ชย. (ปกติ)</t>
        </is>
      </c>
      <c r="J518" s="332" t="inlineStr">
        <is>
          <t>08.10-12.10</t>
        </is>
      </c>
      <c r="K518" s="335" t="n"/>
      <c r="L518" s="265" t="n"/>
      <c r="M518" s="332" t="n"/>
      <c r="N518" s="332" t="n"/>
      <c r="O518" s="244">
        <f>M518*N518</f>
        <v/>
      </c>
      <c r="P518" s="332" t="n"/>
      <c r="Q518" s="265" t="n"/>
      <c r="R518" s="332" t="n"/>
      <c r="S518" s="244">
        <f>Q518*R518</f>
        <v/>
      </c>
    </row>
    <row r="519" ht="22.2" customHeight="1" s="330">
      <c r="A519" s="4" t="n"/>
      <c r="E519" s="4" t="n"/>
      <c r="G519" s="308">
        <f>G473</f>
        <v/>
      </c>
      <c r="H519" s="325" t="inlineStr">
        <is>
          <t>20101-2002</t>
        </is>
      </c>
      <c r="I519" s="325" t="inlineStr">
        <is>
          <t>ปวช.2/7 ชย. (ปกติ)</t>
        </is>
      </c>
      <c r="J519" s="252" t="inlineStr">
        <is>
          <t>13.10-16.10</t>
        </is>
      </c>
      <c r="K519" s="331" t="n"/>
      <c r="L519" s="252" t="n"/>
      <c r="M519" s="252" t="n"/>
      <c r="N519" s="252" t="n"/>
      <c r="O519" s="244">
        <f>M519*N519</f>
        <v/>
      </c>
      <c r="P519" s="252" t="n"/>
      <c r="Q519" s="252" t="n"/>
      <c r="R519" s="252" t="n"/>
      <c r="S519" s="244">
        <f>Q519*R519</f>
        <v/>
      </c>
    </row>
    <row r="520" ht="22.2" customHeight="1" s="330">
      <c r="A520" s="4" t="n"/>
      <c r="B520" s="5" t="n"/>
      <c r="D520" s="3" t="n"/>
      <c r="E520" s="3" t="n"/>
      <c r="G520" s="252" t="n"/>
      <c r="H520" s="252" t="n"/>
      <c r="I520" s="252" t="n"/>
      <c r="J520" s="252" t="n"/>
      <c r="K520" s="331" t="n"/>
      <c r="L520" s="252" t="n"/>
      <c r="M520" s="252" t="n"/>
      <c r="N520" s="252" t="n"/>
      <c r="O520" s="244">
        <f>M520*N520</f>
        <v/>
      </c>
      <c r="P520" s="252" t="n"/>
      <c r="Q520" s="252" t="n"/>
      <c r="R520" s="252" t="n"/>
      <c r="S520" s="244">
        <f>Q520*R520</f>
        <v/>
      </c>
    </row>
    <row r="521" ht="22.2" customHeight="1" s="330">
      <c r="A521" s="4" t="n"/>
      <c r="E521" s="4" t="n"/>
      <c r="G521" s="62" t="n"/>
      <c r="H521" s="249" t="n"/>
      <c r="I521" s="252" t="n"/>
      <c r="J521" s="252" t="n"/>
      <c r="K521" s="331" t="n"/>
      <c r="L521" s="252" t="n"/>
      <c r="M521" s="252" t="n"/>
      <c r="N521" s="252" t="n"/>
      <c r="O521" s="244">
        <f>M521*N521</f>
        <v/>
      </c>
      <c r="P521" s="252" t="n"/>
      <c r="Q521" s="252" t="n"/>
      <c r="R521" s="252" t="n"/>
      <c r="S521" s="244">
        <f>Q521*R521</f>
        <v/>
      </c>
    </row>
    <row r="522" ht="22.2" customHeight="1" s="330">
      <c r="A522" s="4" t="n"/>
      <c r="D522" s="8" t="inlineStr">
        <is>
          <t> </t>
        </is>
      </c>
      <c r="E522" s="4" t="n"/>
      <c r="G522" s="63" t="n"/>
      <c r="H522" s="276" t="n"/>
      <c r="I522" s="276" t="n"/>
      <c r="J522" s="276" t="n"/>
      <c r="K522" s="476" t="n"/>
      <c r="L522" s="252" t="n"/>
      <c r="M522" s="252" t="n"/>
      <c r="N522" s="252" t="n"/>
      <c r="O522" s="244">
        <f>M522*N522</f>
        <v/>
      </c>
      <c r="P522" s="252" t="n"/>
      <c r="Q522" s="252" t="n"/>
      <c r="R522" s="252" t="n"/>
      <c r="S522" s="244">
        <f>Q522*R522</f>
        <v/>
      </c>
    </row>
    <row r="523" ht="22.2" customHeight="1" s="330">
      <c r="A523" s="4" t="n"/>
      <c r="E523" s="4" t="n"/>
      <c r="G523" s="308" t="inlineStr">
        <is>
          <t>พุธ</t>
        </is>
      </c>
      <c r="H523" s="325" t="n"/>
      <c r="I523" s="325" t="n"/>
      <c r="J523" s="332" t="n"/>
      <c r="K523" s="335" t="n"/>
      <c r="L523" s="265" t="n"/>
      <c r="M523" s="332" t="n"/>
      <c r="N523" s="332" t="n"/>
      <c r="O523" s="244">
        <f>M523*N523</f>
        <v/>
      </c>
      <c r="P523" s="332" t="n"/>
      <c r="Q523" s="265" t="n"/>
      <c r="R523" s="332" t="n"/>
      <c r="S523" s="244">
        <f>Q523*R523</f>
        <v/>
      </c>
    </row>
    <row r="524" ht="22.2" customHeight="1" s="330">
      <c r="A524" s="4" t="n"/>
      <c r="B524" s="248" t="n"/>
      <c r="C524" s="249" t="n"/>
      <c r="D524" s="249" t="n"/>
      <c r="E524" s="252" t="n"/>
      <c r="G524" s="308">
        <f>G478</f>
        <v/>
      </c>
      <c r="H524" s="325" t="n"/>
      <c r="I524" s="325" t="n"/>
      <c r="J524" s="252" t="n"/>
      <c r="K524" s="331" t="n"/>
      <c r="L524" s="252" t="n"/>
      <c r="M524" s="252" t="n"/>
      <c r="N524" s="252" t="n"/>
      <c r="O524" s="244">
        <f>M524*N524</f>
        <v/>
      </c>
      <c r="P524" s="252" t="n"/>
      <c r="Q524" s="252" t="n"/>
      <c r="R524" s="252" t="n"/>
      <c r="S524" s="244">
        <f>Q524*R524</f>
        <v/>
      </c>
    </row>
    <row r="525" ht="22.2" customHeight="1" s="330">
      <c r="A525" s="4" t="n"/>
      <c r="B525" s="5" t="n"/>
      <c r="D525" s="3" t="n"/>
      <c r="E525" s="3" t="n"/>
      <c r="G525" s="252" t="n"/>
      <c r="H525" s="325" t="n"/>
      <c r="I525" s="325" t="n"/>
      <c r="J525" s="252" t="n"/>
      <c r="K525" s="331" t="n"/>
      <c r="L525" s="252" t="n"/>
      <c r="M525" s="252" t="n"/>
      <c r="N525" s="252" t="n"/>
      <c r="O525" s="244">
        <f>M525*N525</f>
        <v/>
      </c>
      <c r="P525" s="252" t="n"/>
      <c r="Q525" s="252" t="n"/>
      <c r="R525" s="252" t="n"/>
      <c r="S525" s="244">
        <f>Q525*R525</f>
        <v/>
      </c>
    </row>
    <row r="526" ht="22.2" customHeight="1" s="330">
      <c r="A526" s="4" t="n"/>
      <c r="E526" s="4" t="n"/>
      <c r="G526" s="248" t="n"/>
      <c r="H526" s="252" t="n"/>
      <c r="I526" s="252" t="n"/>
      <c r="J526" s="252" t="n"/>
      <c r="K526" s="331" t="n"/>
      <c r="L526" s="252" t="n"/>
      <c r="M526" s="252" t="n"/>
      <c r="N526" s="252" t="n"/>
      <c r="O526" s="244">
        <f>M526*N526</f>
        <v/>
      </c>
      <c r="P526" s="252" t="n"/>
      <c r="Q526" s="252" t="n"/>
      <c r="R526" s="252" t="n"/>
      <c r="S526" s="244">
        <f>Q526*R526</f>
        <v/>
      </c>
    </row>
    <row r="527" ht="22.2" customHeight="1" s="330">
      <c r="A527" s="4" t="n"/>
      <c r="E527" s="4" t="n"/>
      <c r="G527" s="277" t="n"/>
      <c r="H527" s="276" t="n"/>
      <c r="I527" s="276" t="n"/>
      <c r="J527" s="276" t="n"/>
      <c r="K527" s="476" t="n"/>
      <c r="L527" s="276" t="n"/>
      <c r="M527" s="276" t="n"/>
      <c r="N527" s="276" t="n"/>
      <c r="O527" s="244">
        <f>M527*N527</f>
        <v/>
      </c>
      <c r="P527" s="276" t="n"/>
      <c r="Q527" s="276" t="n"/>
      <c r="R527" s="276" t="n"/>
      <c r="S527" s="244">
        <f>Q527*R527</f>
        <v/>
      </c>
    </row>
    <row r="528" ht="22.2" customHeight="1" s="330">
      <c r="A528" s="4" t="n"/>
      <c r="E528" s="4" t="n"/>
      <c r="G528" s="62" t="inlineStr">
        <is>
          <t>พฤหัส</t>
        </is>
      </c>
      <c r="H528" s="325" t="inlineStr">
        <is>
          <t>20101-2002</t>
        </is>
      </c>
      <c r="I528" s="325" t="inlineStr">
        <is>
          <t>ปวช.2/6 ชย. (ปกติ)</t>
        </is>
      </c>
      <c r="J528" s="332" t="inlineStr">
        <is>
          <t>08.10-12.10</t>
        </is>
      </c>
      <c r="K528" s="335" t="n"/>
      <c r="L528" s="252" t="n"/>
      <c r="M528" s="252" t="n"/>
      <c r="N528" s="252" t="n"/>
      <c r="O528" s="244">
        <f>M528*N528</f>
        <v/>
      </c>
      <c r="P528" s="208" t="n"/>
      <c r="Q528" s="209" t="n"/>
      <c r="R528" s="209" t="n"/>
      <c r="S528" s="244">
        <f>Q528*R528</f>
        <v/>
      </c>
    </row>
    <row r="529" ht="22.2" customHeight="1" s="330">
      <c r="A529" s="4" t="n"/>
      <c r="E529" s="4" t="n"/>
      <c r="G529" s="308">
        <f>G483</f>
        <v/>
      </c>
      <c r="H529" s="325" t="inlineStr">
        <is>
          <t>20000-2004</t>
        </is>
      </c>
      <c r="I529" s="325" t="inlineStr">
        <is>
          <t>ปวช.2/3 3/9,10 ชย.</t>
        </is>
      </c>
      <c r="J529" s="252" t="inlineStr">
        <is>
          <t>13.10-15.10</t>
        </is>
      </c>
      <c r="K529" s="331" t="n"/>
      <c r="L529" s="252" t="n"/>
      <c r="M529" s="252" t="n"/>
      <c r="N529" s="252" t="n"/>
      <c r="O529" s="244">
        <f>M529*N529</f>
        <v/>
      </c>
      <c r="P529" s="252" t="n"/>
      <c r="Q529" s="252" t="n"/>
      <c r="R529" s="252" t="n"/>
      <c r="S529" s="244">
        <f>Q529*R529</f>
        <v/>
      </c>
    </row>
    <row r="530" ht="22.2" customHeight="1" s="330">
      <c r="A530" s="4" t="n"/>
      <c r="B530" s="5" t="n"/>
      <c r="E530" s="4" t="n"/>
      <c r="G530" s="252" t="n"/>
      <c r="H530" s="325" t="inlineStr">
        <is>
          <t>20101-2002</t>
        </is>
      </c>
      <c r="I530" s="325" t="inlineStr">
        <is>
          <t>ปวช.2/6 ชย. (ปกติ)</t>
        </is>
      </c>
      <c r="J530" s="252" t="inlineStr">
        <is>
          <t>15.10-18.10</t>
        </is>
      </c>
      <c r="K530" s="331" t="n"/>
      <c r="L530" s="325" t="n"/>
      <c r="M530" s="325" t="n"/>
      <c r="N530" s="325" t="n"/>
      <c r="O530" s="244">
        <f>M530*N530</f>
        <v/>
      </c>
      <c r="P530" s="4" t="n"/>
      <c r="Q530" s="4" t="n"/>
      <c r="R530" s="4" t="n"/>
      <c r="S530" s="244">
        <f>Q530*R530</f>
        <v/>
      </c>
    </row>
    <row r="531" ht="22.2" customHeight="1" s="330">
      <c r="A531" s="4" t="n"/>
      <c r="E531" s="4" t="n"/>
      <c r="G531" s="252" t="n"/>
      <c r="H531" s="252" t="n"/>
      <c r="I531" s="252" t="n"/>
      <c r="J531" s="252" t="n"/>
      <c r="K531" s="331" t="n"/>
      <c r="L531" s="252" t="n"/>
      <c r="M531" s="252" t="n"/>
      <c r="N531" s="252" t="n"/>
      <c r="O531" s="244">
        <f>M531*N531</f>
        <v/>
      </c>
      <c r="P531" s="252" t="n"/>
      <c r="Q531" s="252" t="n"/>
      <c r="R531" s="252" t="n"/>
      <c r="S531" s="244">
        <f>Q531*R531</f>
        <v/>
      </c>
    </row>
    <row r="532" ht="22.2" customHeight="1" s="330">
      <c r="A532" s="4" t="n"/>
      <c r="E532" s="4" t="n"/>
      <c r="G532" s="276" t="n"/>
      <c r="H532" s="301" t="n"/>
      <c r="I532" s="276" t="n"/>
      <c r="J532" s="276" t="n"/>
      <c r="K532" s="476" t="n"/>
      <c r="L532" s="276" t="n"/>
      <c r="M532" s="276" t="n"/>
      <c r="N532" s="276" t="n"/>
      <c r="O532" s="244">
        <f>M532*N532</f>
        <v/>
      </c>
      <c r="P532" s="276" t="n"/>
      <c r="Q532" s="276" t="n"/>
      <c r="R532" s="276" t="n"/>
      <c r="S532" s="244">
        <f>Q532*R532</f>
        <v/>
      </c>
    </row>
    <row r="533" ht="22.2" customHeight="1" s="330">
      <c r="A533" s="4" t="n"/>
      <c r="E533" s="4" t="n"/>
      <c r="G533" s="62" t="inlineStr">
        <is>
          <t>ศุกร์</t>
        </is>
      </c>
      <c r="H533" s="325" t="inlineStr">
        <is>
          <t>20101-2002</t>
        </is>
      </c>
      <c r="I533" s="325" t="inlineStr">
        <is>
          <t>ปวช.2/5 ชย. (ปกติ)</t>
        </is>
      </c>
      <c r="J533" s="332" t="inlineStr">
        <is>
          <t>08.10-12.10</t>
        </is>
      </c>
      <c r="K533" s="335" t="n"/>
      <c r="L533" s="252" t="n"/>
      <c r="M533" s="252" t="n"/>
      <c r="N533" s="252" t="n"/>
      <c r="O533" s="244">
        <f>M533*N533</f>
        <v/>
      </c>
      <c r="P533" s="332" t="n"/>
      <c r="Q533" s="265" t="n"/>
      <c r="R533" s="332" t="n"/>
      <c r="S533" s="244">
        <f>Q533*R533</f>
        <v/>
      </c>
    </row>
    <row r="534" ht="22.2" customHeight="1" s="330">
      <c r="A534" s="4" t="n"/>
      <c r="E534" s="4" t="n"/>
      <c r="G534" s="308">
        <f>G488</f>
        <v/>
      </c>
      <c r="H534" s="325" t="inlineStr">
        <is>
          <t>20101-2002</t>
        </is>
      </c>
      <c r="I534" s="325" t="inlineStr">
        <is>
          <t>ปวช.2/5 ชย. (ปกติ)</t>
        </is>
      </c>
      <c r="J534" s="252" t="inlineStr">
        <is>
          <t>13.10-16.10</t>
        </is>
      </c>
      <c r="K534" s="331" t="n"/>
      <c r="L534" s="252" t="n"/>
      <c r="M534" s="252" t="n"/>
      <c r="N534" s="252" t="n"/>
      <c r="O534" s="244">
        <f>M534*N534</f>
        <v/>
      </c>
      <c r="P534" s="252" t="n"/>
      <c r="Q534" s="252" t="n"/>
      <c r="R534" s="252" t="n"/>
      <c r="S534" s="244">
        <f>Q534*R534</f>
        <v/>
      </c>
    </row>
    <row r="535" ht="22.2" customHeight="1" s="330">
      <c r="A535" s="4" t="n"/>
      <c r="E535" s="4" t="n"/>
      <c r="G535" s="252" t="n"/>
      <c r="H535" s="252" t="n"/>
      <c r="I535" s="252" t="n"/>
      <c r="J535" s="252" t="n"/>
      <c r="K535" s="331" t="n"/>
      <c r="L535" s="252" t="n"/>
      <c r="M535" s="252" t="n"/>
      <c r="N535" s="252" t="n"/>
      <c r="O535" s="244">
        <f>M535*N535</f>
        <v/>
      </c>
      <c r="P535" s="252" t="n"/>
      <c r="Q535" s="252" t="n"/>
      <c r="R535" s="252" t="n"/>
      <c r="S535" s="244">
        <f>Q535*R535</f>
        <v/>
      </c>
    </row>
    <row r="536" ht="22.2" customHeight="1" s="330">
      <c r="A536" s="4" t="n"/>
      <c r="E536" s="4" t="n"/>
      <c r="G536" s="252" t="n"/>
      <c r="H536" s="249" t="inlineStr">
        <is>
          <t> </t>
        </is>
      </c>
      <c r="I536" s="252" t="n"/>
      <c r="J536" s="252" t="n"/>
      <c r="K536" s="331" t="n"/>
      <c r="L536" s="252" t="n"/>
      <c r="M536" s="252" t="n"/>
      <c r="N536" s="252" t="n"/>
      <c r="O536" s="244">
        <f>M536*N536</f>
        <v/>
      </c>
      <c r="P536" s="252" t="n"/>
      <c r="Q536" s="252" t="n"/>
      <c r="R536" s="252" t="n"/>
      <c r="S536" s="244">
        <f>Q536*R536</f>
        <v/>
      </c>
    </row>
    <row r="537" ht="22.2" customHeight="1" s="330">
      <c r="A537" s="4" t="n"/>
      <c r="E537" s="4" t="n"/>
      <c r="F537" s="4" t="n"/>
      <c r="G537" s="278" t="n"/>
      <c r="H537" s="301" t="n"/>
      <c r="I537" s="276" t="n"/>
      <c r="J537" s="276" t="n"/>
      <c r="K537" s="476" t="n"/>
      <c r="L537" s="276" t="n"/>
      <c r="M537" s="276" t="n"/>
      <c r="N537" s="276" t="n"/>
      <c r="O537" s="244">
        <f>M537*N537</f>
        <v/>
      </c>
      <c r="P537" s="276" t="n"/>
      <c r="Q537" s="276" t="n"/>
      <c r="R537" s="276" t="n"/>
      <c r="S537" s="244">
        <f>Q537*R537</f>
        <v/>
      </c>
    </row>
    <row r="538" ht="22.2" customHeight="1" s="330">
      <c r="A538" s="4" t="n"/>
      <c r="E538" s="4" t="n"/>
      <c r="F538" s="4" t="n"/>
      <c r="G538" s="17" t="inlineStr">
        <is>
          <t>รวมขั่วโมงที่สอนแยก ภาระงาน/ เกินภาระงาน</t>
        </is>
      </c>
      <c r="H538" s="467" t="n"/>
      <c r="I538" s="467" t="n"/>
      <c r="J538" s="467" t="n"/>
      <c r="K538" s="362" t="n"/>
      <c r="L538" s="17">
        <f>SUM(L513:L537)</f>
        <v/>
      </c>
      <c r="M538" s="17">
        <f>SUM(M513:M537)</f>
        <v/>
      </c>
      <c r="N538" s="17" t="n"/>
      <c r="O538" s="17" t="n"/>
      <c r="P538" s="17">
        <f>SUM(P513:P537)</f>
        <v/>
      </c>
      <c r="Q538" s="17">
        <f>SUM(Q513:Q537)</f>
        <v/>
      </c>
      <c r="R538" s="279" t="n"/>
      <c r="S538" s="17" t="n"/>
    </row>
    <row r="539" ht="22.2" customHeight="1" s="330">
      <c r="A539" s="4" t="n"/>
      <c r="E539" s="4" t="n"/>
      <c r="F539" s="4" t="n"/>
      <c r="G539" s="17" t="inlineStr">
        <is>
          <t>รวมจำนวนชั่วโมงสอนคาบต่อสับดาห์</t>
        </is>
      </c>
      <c r="H539" s="467" t="n"/>
      <c r="I539" s="467" t="n"/>
      <c r="J539" s="467" t="n"/>
      <c r="K539" s="362" t="n"/>
      <c r="L539" s="17">
        <f>L538+M538</f>
        <v/>
      </c>
      <c r="M539" s="362" t="n"/>
      <c r="N539" s="17" t="n"/>
      <c r="O539" s="298" t="n"/>
      <c r="P539" s="17">
        <f>P538+Q538</f>
        <v/>
      </c>
      <c r="Q539" s="362" t="n"/>
      <c r="R539" s="278" t="n"/>
      <c r="S539" s="276" t="n"/>
    </row>
    <row r="540" ht="22.2" customHeight="1" s="330">
      <c r="A540" s="4" t="n"/>
      <c r="E540" s="4" t="n"/>
      <c r="F540" s="4" t="n"/>
      <c r="G540" s="17" t="inlineStr">
        <is>
          <t>จำนวนชั่วโมงสอนตามภาระงานสอน</t>
        </is>
      </c>
      <c r="H540" s="467" t="n"/>
      <c r="I540" s="467" t="n"/>
      <c r="J540" s="467" t="n"/>
      <c r="K540" s="362" t="n"/>
      <c r="L540" s="153" t="inlineStr">
        <is>
          <t>12</t>
        </is>
      </c>
      <c r="M540" s="362" t="n"/>
      <c r="N540" s="152" t="n"/>
      <c r="O540" s="153" t="n"/>
      <c r="P540" s="153" t="inlineStr">
        <is>
          <t>0</t>
        </is>
      </c>
      <c r="Q540" s="362" t="n"/>
      <c r="R540" s="249" t="n"/>
      <c r="S540" s="252" t="n"/>
    </row>
    <row r="541" ht="22.2" customHeight="1" s="330" thickBot="1">
      <c r="A541" s="4" t="n"/>
      <c r="E541" s="4" t="n"/>
      <c r="F541" s="15" t="n"/>
      <c r="G541" s="17" t="inlineStr">
        <is>
          <t>จำนวนชั่วโมงบิกเกินภาระงานสอน/ค่าสอน</t>
        </is>
      </c>
      <c r="H541" s="467" t="n"/>
      <c r="I541" s="467" t="n"/>
      <c r="J541" s="467" t="n"/>
      <c r="K541" s="362" t="n"/>
      <c r="L541" s="18" t="n">
        <v>0</v>
      </c>
      <c r="M541" s="18">
        <f>SUM(M513:M537)</f>
        <v/>
      </c>
      <c r="N541" s="18" t="n"/>
      <c r="O541" s="18">
        <f>SUM(O513:O537)</f>
        <v/>
      </c>
      <c r="P541" s="18" t="n">
        <v>0</v>
      </c>
      <c r="Q541" s="18">
        <f>SUM(Q513:Q537)</f>
        <v/>
      </c>
      <c r="R541" s="19" t="n"/>
      <c r="S541" s="18">
        <f>SUM(S513:S537)</f>
        <v/>
      </c>
    </row>
    <row r="542" ht="22.2" customHeight="1" s="330" thickTop="1">
      <c r="A542" s="299" t="inlineStr">
        <is>
          <t>รวมจำนวนหน่วยชั่วโมงที่ขอเบิกค่าสอน ….</t>
        </is>
      </c>
      <c r="B542" s="467" t="n"/>
      <c r="C542" s="467" t="n"/>
      <c r="D542" s="467" t="n"/>
      <c r="E542" s="467" t="n"/>
      <c r="F542" s="467" t="n"/>
      <c r="G542" s="467" t="n"/>
      <c r="H542" s="298">
        <f>M541+Q541</f>
        <v/>
      </c>
      <c r="I542" s="298" t="inlineStr">
        <is>
          <t>….ชั่วโมง</t>
        </is>
      </c>
      <c r="J542" s="298" t="n"/>
      <c r="K542" s="301" t="inlineStr">
        <is>
          <t>ยอดเงินรวม</t>
        </is>
      </c>
      <c r="L542" s="471" t="n"/>
      <c r="M542" s="471" t="n"/>
      <c r="N542" s="301" t="n"/>
      <c r="O542" s="301" t="n"/>
      <c r="P542" s="302">
        <f>S541+O541</f>
        <v/>
      </c>
      <c r="Q542" s="482" t="n"/>
      <c r="R542" s="21" t="n"/>
      <c r="S542" s="20" t="inlineStr">
        <is>
          <t>..บาท</t>
        </is>
      </c>
    </row>
    <row r="543" ht="22.2" customHeight="1" s="330">
      <c r="A543" s="207" t="inlineStr">
        <is>
          <t>ผู้ขอเบิก</t>
        </is>
      </c>
      <c r="B543" s="334" t="n"/>
      <c r="C543" s="334" t="n"/>
      <c r="D543" s="334" t="n"/>
      <c r="E543" s="334" t="n"/>
      <c r="F543" s="334" t="n"/>
      <c r="G543" s="335" t="n"/>
      <c r="H543" s="207" t="inlineStr">
        <is>
          <t>ผู้รับรอง</t>
        </is>
      </c>
      <c r="I543" s="334" t="n"/>
      <c r="J543" s="334" t="n"/>
      <c r="K543" s="334" t="n"/>
      <c r="L543" s="335" t="n"/>
      <c r="M543" s="207" t="inlineStr">
        <is>
          <t>ผู้ตรวจ</t>
        </is>
      </c>
      <c r="N543" s="334" t="n"/>
      <c r="O543" s="334" t="n"/>
      <c r="P543" s="334" t="n"/>
      <c r="Q543" s="334" t="n"/>
      <c r="R543" s="334" t="n"/>
      <c r="S543" s="335" t="n"/>
    </row>
    <row r="544" ht="22.2" customHeight="1" s="330">
      <c r="A544" s="252" t="inlineStr">
        <is>
          <t>ลงชื่อ……………………………………………</t>
        </is>
      </c>
      <c r="G544" s="331" t="n"/>
      <c r="H544" s="252" t="inlineStr">
        <is>
          <t>ลงชื่อ……………………………………………</t>
        </is>
      </c>
      <c r="L544" s="331" t="n"/>
      <c r="M544" s="252" t="inlineStr">
        <is>
          <t>ลงชื่อ……………………………………………</t>
        </is>
      </c>
      <c r="S544" s="331" t="n"/>
    </row>
    <row r="545" ht="22.2" customHeight="1" s="330">
      <c r="A545" s="12" t="inlineStr">
        <is>
          <t>(</t>
        </is>
      </c>
      <c r="B545" s="309">
        <f>B513</f>
        <v/>
      </c>
      <c r="G545" s="310" t="inlineStr">
        <is>
          <t>)</t>
        </is>
      </c>
      <c r="H545" s="309" t="inlineStr">
        <is>
          <t>(</t>
        </is>
      </c>
      <c r="I545" s="314">
        <f>I499</f>
        <v/>
      </c>
      <c r="L545" s="13" t="inlineStr">
        <is>
          <t>)</t>
        </is>
      </c>
      <c r="M545" s="61" t="inlineStr">
        <is>
          <t>(</t>
        </is>
      </c>
      <c r="N545" s="61" t="n"/>
      <c r="O545" s="309" t="inlineStr">
        <is>
          <t>นายพิสุทธิศักดิ์  กล่อมนาค</t>
        </is>
      </c>
      <c r="R545" s="29" t="n"/>
      <c r="S545" s="310" t="inlineStr">
        <is>
          <t>)</t>
        </is>
      </c>
    </row>
    <row r="546" ht="22.2" customHeight="1" s="330">
      <c r="A546" s="483" t="inlineStr">
        <is>
          <t xml:space="preserve">                 ตำแหน่ง  ครู </t>
        </is>
      </c>
      <c r="G546" s="331" t="n"/>
      <c r="H546" s="62" t="inlineStr">
        <is>
          <t>ตำแหน่ง หัวหน้าแผนก</t>
        </is>
      </c>
      <c r="L546" s="331" t="n"/>
      <c r="M546" s="62" t="inlineStr">
        <is>
          <t>ตำแหน่ง   ผู้ตรวจสอบ</t>
        </is>
      </c>
      <c r="S546" s="331" t="n"/>
    </row>
    <row r="547" ht="22.2" customHeight="1" s="330">
      <c r="A547" s="63">
        <f>A87</f>
        <v/>
      </c>
      <c r="B547" s="471" t="n"/>
      <c r="C547" s="471" t="n"/>
      <c r="D547" s="471" t="n"/>
      <c r="E547" s="471" t="n"/>
      <c r="F547" s="471" t="n"/>
      <c r="G547" s="476" t="n"/>
      <c r="H547" s="62">
        <f>A87</f>
        <v/>
      </c>
      <c r="L547" s="331" t="n"/>
      <c r="M547" s="63">
        <f>A87</f>
        <v/>
      </c>
      <c r="N547" s="471" t="n"/>
      <c r="O547" s="471" t="n"/>
      <c r="P547" s="471" t="n"/>
      <c r="Q547" s="471" t="n"/>
      <c r="R547" s="471" t="n"/>
      <c r="S547" s="476" t="n"/>
    </row>
    <row r="548" ht="22.2" customHeight="1" s="330">
      <c r="A548" s="207" t="inlineStr">
        <is>
          <t>ผู้ตรวจ</t>
        </is>
      </c>
      <c r="B548" s="334" t="n"/>
      <c r="C548" s="334" t="n"/>
      <c r="D548" s="334" t="n"/>
      <c r="E548" s="334" t="n"/>
      <c r="F548" s="334" t="n"/>
      <c r="G548" s="334" t="n"/>
      <c r="H548" s="334" t="n"/>
      <c r="I548" s="335" t="n"/>
      <c r="J548" s="207" t="inlineStr">
        <is>
          <t>ผู้เห็นชอบ</t>
        </is>
      </c>
      <c r="K548" s="334" t="n"/>
      <c r="L548" s="334" t="n"/>
      <c r="M548" s="334" t="n"/>
      <c r="N548" s="334" t="n"/>
      <c r="O548" s="334" t="n"/>
      <c r="P548" s="334" t="n"/>
      <c r="Q548" s="334" t="n"/>
      <c r="R548" s="334" t="n"/>
      <c r="S548" s="335" t="n"/>
    </row>
    <row r="549" ht="22.2" customHeight="1" s="330">
      <c r="A549" s="252" t="inlineStr">
        <is>
          <t>ลงชื่อ……………………………………………</t>
        </is>
      </c>
      <c r="I549" s="331" t="n"/>
      <c r="J549" s="252" t="inlineStr">
        <is>
          <t>ลงชื่อ……………………………………………</t>
        </is>
      </c>
      <c r="S549" s="331" t="n"/>
    </row>
    <row r="550" ht="22.2" customHeight="1" s="330">
      <c r="A550" s="12" t="n"/>
      <c r="B550" s="309" t="inlineStr">
        <is>
          <t xml:space="preserve">          (นางศิวรักษ์   บุญประเสริฐ)</t>
        </is>
      </c>
      <c r="I550" s="310" t="n"/>
      <c r="J550" s="29" t="n"/>
      <c r="K550" s="29" t="n"/>
      <c r="L550" s="309" t="inlineStr">
        <is>
          <t>(นายปรีชา  โพธิ์เกิด)</t>
        </is>
      </c>
      <c r="R550" s="29" t="n"/>
      <c r="S550" s="13" t="n"/>
    </row>
    <row r="551" ht="22.2" customHeight="1" s="330">
      <c r="A551" s="62" t="inlineStr">
        <is>
          <t>ตำแหน่งครู  หัวหน้างานพัฒนาหลักสูตร ฯ</t>
        </is>
      </c>
      <c r="I551" s="331" t="n"/>
      <c r="J551" s="62" t="inlineStr">
        <is>
          <t>ตำแหน่ง  รองผู้อำนวยการฝ่ายวิชาการ</t>
        </is>
      </c>
      <c r="S551" s="331" t="n"/>
    </row>
    <row r="552" ht="22.2" customHeight="1" s="330">
      <c r="A552" s="63">
        <f>A87</f>
        <v/>
      </c>
      <c r="B552" s="471" t="n"/>
      <c r="C552" s="471" t="n"/>
      <c r="D552" s="471" t="n"/>
      <c r="E552" s="471" t="n"/>
      <c r="F552" s="471" t="n"/>
      <c r="G552" s="471" t="n"/>
      <c r="H552" s="471" t="n"/>
      <c r="I552" s="476" t="n"/>
      <c r="J552" s="63">
        <f>A87</f>
        <v/>
      </c>
      <c r="K552" s="471" t="n"/>
      <c r="L552" s="471" t="n"/>
      <c r="M552" s="471" t="n"/>
      <c r="N552" s="471" t="n"/>
      <c r="O552" s="471" t="n"/>
      <c r="P552" s="471" t="n"/>
      <c r="Q552" s="471" t="n"/>
      <c r="R552" s="471" t="n"/>
      <c r="S552" s="476" t="n"/>
    </row>
    <row r="553" ht="22.2" customHeight="1" s="330">
      <c r="A55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554" ht="22.2" customHeight="1" s="330">
      <c r="A554" s="254">
        <f>A2</f>
        <v/>
      </c>
    </row>
    <row r="555" ht="22.2" customHeight="1" s="330">
      <c r="A555" s="253" t="inlineStr">
        <is>
          <t xml:space="preserve">    ระหว่างวันที่</t>
        </is>
      </c>
      <c r="D555" s="254">
        <f>D3</f>
        <v/>
      </c>
      <c r="E555" s="254" t="inlineStr">
        <is>
          <t xml:space="preserve">   เดือน  </t>
        </is>
      </c>
      <c r="F555" s="254">
        <f>F3</f>
        <v/>
      </c>
      <c r="H555" s="254">
        <f>H3</f>
        <v/>
      </c>
      <c r="I555" s="254" t="inlineStr">
        <is>
          <t xml:space="preserve">     ถึง วันที่</t>
        </is>
      </c>
      <c r="J555" s="254">
        <f>J3</f>
        <v/>
      </c>
      <c r="K555" s="254" t="inlineStr">
        <is>
          <t xml:space="preserve">   เดือน </t>
        </is>
      </c>
      <c r="L555" s="254">
        <f>L3</f>
        <v/>
      </c>
      <c r="N555" s="254">
        <f>N3</f>
        <v/>
      </c>
      <c r="P555" s="254" t="n"/>
      <c r="R555" s="254" t="n"/>
    </row>
    <row r="556" ht="22.2" customHeight="1" s="330">
      <c r="G556" s="58" t="inlineStr">
        <is>
          <t>ü</t>
        </is>
      </c>
      <c r="H556" s="301" t="inlineStr">
        <is>
          <t>ครู</t>
        </is>
      </c>
      <c r="I556" s="301" t="inlineStr">
        <is>
          <t>หน้าที่พิเศษ</t>
        </is>
      </c>
      <c r="J556" s="290" t="n"/>
      <c r="K556" s="290" t="n"/>
      <c r="L556" s="290" t="n"/>
      <c r="M556" s="290" t="n"/>
      <c r="N556" s="290" t="n"/>
      <c r="O556" s="290" t="n"/>
      <c r="P556" s="290" t="n"/>
      <c r="Q556" s="290" t="n"/>
      <c r="R556" s="290" t="n"/>
      <c r="S556" s="290" t="n"/>
    </row>
    <row r="557" ht="22.2" customHeight="1" s="330">
      <c r="A557" s="28" t="inlineStr">
        <is>
          <t>ที่</t>
        </is>
      </c>
      <c r="B557" s="28" t="inlineStr">
        <is>
          <t>ชื่อ-สกุล</t>
        </is>
      </c>
      <c r="C557" s="334" t="n"/>
      <c r="D557" s="335" t="n"/>
      <c r="E557" s="16" t="inlineStr">
        <is>
          <t>ตำแหน่ง</t>
        </is>
      </c>
      <c r="F557" s="17" t="inlineStr">
        <is>
          <t>ระยะเวลาที่สอน</t>
        </is>
      </c>
      <c r="G557" s="362" t="n"/>
      <c r="H557" s="17" t="inlineStr">
        <is>
          <t>รหัสวิชา</t>
        </is>
      </c>
      <c r="I557" s="275" t="inlineStr">
        <is>
          <t>ชั้น,แผนก,ห้อง</t>
        </is>
      </c>
      <c r="J557" s="17" t="inlineStr">
        <is>
          <t>เวลาสอน</t>
        </is>
      </c>
      <c r="K557" s="335" t="n"/>
      <c r="L557" s="17" t="inlineStr">
        <is>
          <t>ปวช.(คาบ)</t>
        </is>
      </c>
      <c r="M557" s="362" t="n"/>
      <c r="N557" s="244" t="inlineStr">
        <is>
          <t>เงิน</t>
        </is>
      </c>
      <c r="O557" s="275" t="inlineStr">
        <is>
          <t>ยอดเงิน</t>
        </is>
      </c>
      <c r="P557" s="473" t="inlineStr">
        <is>
          <t>ปวส.(คาบ)</t>
        </is>
      </c>
      <c r="Q557" s="362" t="n"/>
      <c r="R557" s="244" t="inlineStr">
        <is>
          <t>เงิน</t>
        </is>
      </c>
      <c r="S557" s="275" t="inlineStr">
        <is>
          <t>ยอดเงิน</t>
        </is>
      </c>
    </row>
    <row r="558" ht="22.2" customHeight="1" s="330">
      <c r="A558" s="60" t="n"/>
      <c r="B558" s="9" t="n"/>
      <c r="C558" s="10" t="n"/>
      <c r="D558" s="14" t="n"/>
      <c r="E558" s="11" t="n"/>
      <c r="F558" s="276" t="inlineStr">
        <is>
          <t>ส.</t>
        </is>
      </c>
      <c r="G558" s="276" t="inlineStr">
        <is>
          <t>วดป.</t>
        </is>
      </c>
      <c r="H558" s="474" t="n"/>
      <c r="I558" s="276" t="n"/>
      <c r="J558" s="475" t="n"/>
      <c r="K558" s="476" t="n"/>
      <c r="L558" s="276" t="inlineStr">
        <is>
          <t>ใน</t>
        </is>
      </c>
      <c r="M558" s="276" t="inlineStr">
        <is>
          <t>นอก</t>
        </is>
      </c>
      <c r="N558" s="276" t="inlineStr">
        <is>
          <t>ต่อ ชม.</t>
        </is>
      </c>
      <c r="O558" s="276" t="inlineStr">
        <is>
          <t>(บาท)</t>
        </is>
      </c>
      <c r="P558" s="60" t="inlineStr">
        <is>
          <t>ใน</t>
        </is>
      </c>
      <c r="Q558" s="60" t="inlineStr">
        <is>
          <t>นอก</t>
        </is>
      </c>
      <c r="R558" s="276" t="inlineStr">
        <is>
          <t>ต่อ ชม.</t>
        </is>
      </c>
      <c r="S558" s="276" t="inlineStr">
        <is>
          <t>(บาท)</t>
        </is>
      </c>
    </row>
    <row r="559" ht="22.2" customHeight="1" s="330">
      <c r="A559" s="275" t="n">
        <v>13</v>
      </c>
      <c r="B559" s="477">
        <f>AB15</f>
        <v/>
      </c>
      <c r="C559" s="334" t="n"/>
      <c r="D559" s="335" t="n"/>
      <c r="E559" s="275" t="inlineStr">
        <is>
          <t>ครู</t>
        </is>
      </c>
      <c r="F559" s="6" t="n">
        <v>5</v>
      </c>
      <c r="G559" s="303" t="inlineStr">
        <is>
          <t>จันทร์</t>
        </is>
      </c>
      <c r="H559" s="332" t="n"/>
      <c r="I559" s="332" t="n"/>
      <c r="J559" s="332" t="n"/>
      <c r="K559" s="335" t="n"/>
      <c r="L559" s="265" t="n"/>
      <c r="M559" s="332" t="n"/>
      <c r="N559" s="332" t="n"/>
      <c r="O559" s="244">
        <f>M559*N559</f>
        <v/>
      </c>
      <c r="P559" s="332" t="n"/>
      <c r="Q559" s="265" t="n"/>
      <c r="R559" s="332" t="n"/>
      <c r="S559" s="244">
        <f>Q559*R559</f>
        <v/>
      </c>
    </row>
    <row r="560" ht="22.2" customHeight="1" s="330">
      <c r="A560" s="4" t="n"/>
      <c r="B560" s="478" t="n"/>
      <c r="D560" s="331" t="n"/>
      <c r="E560" s="252" t="n"/>
      <c r="F560" s="249" t="n"/>
      <c r="G560" s="308">
        <f>G468</f>
        <v/>
      </c>
      <c r="H560" s="325" t="n"/>
      <c r="I560" s="325" t="n"/>
      <c r="J560" s="252" t="n"/>
      <c r="K560" s="331" t="n"/>
      <c r="L560" s="252" t="n"/>
      <c r="M560" s="252" t="n"/>
      <c r="N560" s="252" t="n"/>
      <c r="O560" s="244">
        <f>M560*N560</f>
        <v/>
      </c>
      <c r="P560" s="252" t="n"/>
      <c r="Q560" s="252" t="n"/>
      <c r="R560" s="252" t="n"/>
      <c r="S560" s="244">
        <f>Q560*R560</f>
        <v/>
      </c>
      <c r="T560" s="290" t="n"/>
    </row>
    <row r="561" ht="22.2" customHeight="1" s="330">
      <c r="A561" s="4" t="n"/>
      <c r="B561" s="5" t="n"/>
      <c r="D561" s="3" t="n"/>
      <c r="E561" s="3" t="n"/>
      <c r="F561" s="249" t="n"/>
      <c r="G561" s="248" t="n"/>
      <c r="H561" s="325" t="n"/>
      <c r="I561" s="252" t="n"/>
      <c r="J561" s="252" t="n"/>
      <c r="K561" s="331" t="n"/>
      <c r="L561" s="252" t="n"/>
      <c r="M561" s="252" t="n"/>
      <c r="N561" s="252" t="n"/>
      <c r="O561" s="244">
        <f>M561*N561</f>
        <v/>
      </c>
      <c r="P561" s="252" t="n"/>
      <c r="Q561" s="252" t="n"/>
      <c r="R561" s="252" t="n"/>
      <c r="S561" s="244">
        <f>Q561*R561</f>
        <v/>
      </c>
    </row>
    <row r="562" ht="22.2" customHeight="1" s="330">
      <c r="A562" s="4" t="n"/>
      <c r="B562" s="5" t="n"/>
      <c r="E562" s="4" t="n"/>
      <c r="F562" s="249" t="n"/>
      <c r="G562" s="248" t="n"/>
      <c r="H562" s="252" t="n"/>
      <c r="I562" s="252" t="n"/>
      <c r="J562" s="252" t="n"/>
      <c r="K562" s="331" t="n"/>
      <c r="L562" s="252" t="n"/>
      <c r="M562" s="252" t="n"/>
      <c r="N562" s="252" t="n"/>
      <c r="O562" s="244">
        <f>M562*N562</f>
        <v/>
      </c>
      <c r="P562" s="252" t="n"/>
      <c r="Q562" s="252" t="n"/>
      <c r="R562" s="252" t="n"/>
      <c r="S562" s="244">
        <f>Q562*R562</f>
        <v/>
      </c>
    </row>
    <row r="563" ht="22.2" customHeight="1" s="330">
      <c r="A563" s="4" t="n"/>
      <c r="E563" s="4" t="n"/>
      <c r="G563" s="311" t="n"/>
      <c r="H563" s="276" t="n"/>
      <c r="I563" s="276" t="n"/>
      <c r="J563" s="276" t="n"/>
      <c r="K563" s="476" t="n"/>
      <c r="L563" s="252" t="n"/>
      <c r="M563" s="252" t="n"/>
      <c r="N563" s="252" t="n"/>
      <c r="O563" s="244">
        <f>M563*N563</f>
        <v/>
      </c>
      <c r="P563" s="252" t="n"/>
      <c r="Q563" s="252" t="n"/>
      <c r="R563" s="252" t="n"/>
      <c r="S563" s="244">
        <f>Q563*R563</f>
        <v/>
      </c>
    </row>
    <row r="564" ht="22.2" customHeight="1" s="330">
      <c r="A564" s="4" t="n"/>
      <c r="E564" s="4" t="n"/>
      <c r="G564" s="62" t="inlineStr">
        <is>
          <t>อังคาร</t>
        </is>
      </c>
      <c r="H564" s="332" t="inlineStr">
        <is>
          <t>20101-2007</t>
        </is>
      </c>
      <c r="I564" s="325" t="inlineStr">
        <is>
          <t>ปวช.3/9,10 ชย. (ทวิ)</t>
        </is>
      </c>
      <c r="J564" s="332" t="inlineStr">
        <is>
          <t>08.10-10.10</t>
        </is>
      </c>
      <c r="K564" s="335" t="n"/>
      <c r="L564" s="265" t="n"/>
      <c r="M564" s="332" t="n"/>
      <c r="N564" s="332" t="n"/>
      <c r="O564" s="244">
        <f>M564*N564</f>
        <v/>
      </c>
      <c r="P564" s="332" t="n"/>
      <c r="Q564" s="265" t="n"/>
      <c r="R564" s="332" t="n"/>
      <c r="S564" s="244">
        <f>Q564*R564</f>
        <v/>
      </c>
      <c r="T564" s="24" t="n"/>
      <c r="U564" s="24" t="inlineStr">
        <is>
          <t>สอน ป.ตรี</t>
        </is>
      </c>
      <c r="V564" s="65" t="n"/>
      <c r="W564" s="24" t="n"/>
      <c r="X564" s="24" t="n"/>
    </row>
    <row r="565" ht="22.2" customHeight="1" s="330">
      <c r="A565" s="4" t="n"/>
      <c r="E565" s="4" t="n"/>
      <c r="G565" s="308">
        <f>G473</f>
        <v/>
      </c>
      <c r="H565" s="325" t="inlineStr">
        <is>
          <t>20101-2006</t>
        </is>
      </c>
      <c r="I565" s="325" t="inlineStr">
        <is>
          <t>ปวช.2/1,2 ชย. (ปกติ)</t>
        </is>
      </c>
      <c r="J565" s="325" t="inlineStr">
        <is>
          <t>10.10-12.10</t>
        </is>
      </c>
      <c r="K565" s="331" t="n"/>
      <c r="L565" s="252" t="n"/>
      <c r="M565" s="252" t="n"/>
      <c r="N565" s="252" t="n"/>
      <c r="O565" s="244">
        <f>M565*N565</f>
        <v/>
      </c>
      <c r="P565" s="252" t="n"/>
      <c r="Q565" s="252" t="n"/>
      <c r="R565" s="252" t="n"/>
      <c r="S565" s="244">
        <f>Q565*R565</f>
        <v/>
      </c>
      <c r="T565" s="24" t="n"/>
      <c r="U565" s="24" t="inlineStr">
        <is>
          <t>18.10-21.10</t>
        </is>
      </c>
      <c r="V565" s="65" t="n"/>
      <c r="W565" s="24" t="n"/>
      <c r="X565" s="24" t="n"/>
    </row>
    <row r="566" ht="22.2" customHeight="1" s="330">
      <c r="A566" s="4" t="n"/>
      <c r="B566" s="5" t="n"/>
      <c r="D566" s="3" t="n"/>
      <c r="E566" s="3" t="n"/>
      <c r="G566" s="252" t="n"/>
      <c r="H566" s="325" t="inlineStr">
        <is>
          <t>20101-2006</t>
        </is>
      </c>
      <c r="I566" s="325" t="inlineStr">
        <is>
          <t>ปวช.2/5,6 ชย. (ปกติ)</t>
        </is>
      </c>
      <c r="J566" s="252" t="inlineStr">
        <is>
          <t>17.10-19.10</t>
        </is>
      </c>
      <c r="K566" s="331" t="n"/>
      <c r="L566" s="252" t="n"/>
      <c r="M566" s="252" t="n"/>
      <c r="N566" s="252" t="n"/>
      <c r="O566" s="244">
        <f>M566*N566</f>
        <v/>
      </c>
      <c r="P566" s="252" t="n"/>
      <c r="Q566" s="252" t="n"/>
      <c r="R566" s="252" t="n"/>
      <c r="S566" s="244">
        <f>Q566*R566</f>
        <v/>
      </c>
    </row>
    <row r="567" ht="22.2" customHeight="1" s="330">
      <c r="A567" s="4" t="n"/>
      <c r="E567" s="4" t="n"/>
      <c r="G567" s="62" t="n"/>
      <c r="H567" s="249" t="n"/>
      <c r="I567" s="252" t="n"/>
      <c r="J567" s="252" t="n"/>
      <c r="K567" s="331" t="n"/>
      <c r="L567" s="252" t="n"/>
      <c r="M567" s="252" t="n"/>
      <c r="N567" s="252" t="n"/>
      <c r="O567" s="244">
        <f>M567*N567</f>
        <v/>
      </c>
      <c r="P567" s="252" t="n"/>
      <c r="Q567" s="252" t="n"/>
      <c r="R567" s="252" t="n"/>
      <c r="S567" s="244">
        <f>Q567*R567</f>
        <v/>
      </c>
    </row>
    <row r="568" ht="22.2" customHeight="1" s="330">
      <c r="A568" s="4" t="n"/>
      <c r="D568" s="8" t="inlineStr">
        <is>
          <t> </t>
        </is>
      </c>
      <c r="E568" s="4" t="n"/>
      <c r="G568" s="63" t="n"/>
      <c r="H568" s="276" t="n"/>
      <c r="I568" s="276" t="n"/>
      <c r="J568" s="276" t="n"/>
      <c r="K568" s="476" t="n"/>
      <c r="L568" s="252" t="n"/>
      <c r="M568" s="252" t="n"/>
      <c r="N568" s="252" t="n"/>
      <c r="O568" s="244">
        <f>M568*N568</f>
        <v/>
      </c>
      <c r="P568" s="252" t="n"/>
      <c r="Q568" s="252" t="n"/>
      <c r="R568" s="252" t="n"/>
      <c r="S568" s="244">
        <f>Q568*R568</f>
        <v/>
      </c>
    </row>
    <row r="569" ht="22.2" customHeight="1" s="330">
      <c r="A569" s="4" t="n"/>
      <c r="E569" s="4" t="n"/>
      <c r="G569" s="308" t="inlineStr">
        <is>
          <t>พุธ</t>
        </is>
      </c>
      <c r="H569" s="325" t="inlineStr">
        <is>
          <t>20101-2209</t>
        </is>
      </c>
      <c r="I569" s="325" t="inlineStr">
        <is>
          <t>ปวช.2/5,6 ชย. (ปกติ)</t>
        </is>
      </c>
      <c r="J569" s="332" t="inlineStr">
        <is>
          <t>08.10-12.10</t>
        </is>
      </c>
      <c r="K569" s="335" t="n"/>
      <c r="L569" s="265" t="n"/>
      <c r="M569" s="332" t="n"/>
      <c r="N569" s="332" t="n"/>
      <c r="O569" s="244">
        <f>M569*N569</f>
        <v/>
      </c>
      <c r="P569" s="332" t="n"/>
      <c r="Q569" s="265" t="n"/>
      <c r="R569" s="332" t="n"/>
      <c r="S569" s="244">
        <f>Q569*R569</f>
        <v/>
      </c>
      <c r="T569" s="7" t="n"/>
      <c r="U569" s="23" t="inlineStr">
        <is>
          <t>เบิก ธุรการ</t>
        </is>
      </c>
      <c r="V569" s="66" t="n"/>
      <c r="W569" s="22" t="n"/>
      <c r="X569" s="22" t="n"/>
    </row>
    <row r="570" ht="22.2" customHeight="1" s="330">
      <c r="A570" s="4" t="n"/>
      <c r="B570" s="248" t="n"/>
      <c r="C570" s="249" t="n"/>
      <c r="D570" s="249" t="n"/>
      <c r="E570" s="252" t="n"/>
      <c r="G570" s="308">
        <f>G478</f>
        <v/>
      </c>
      <c r="H570" s="325" t="inlineStr">
        <is>
          <t>20101-2209</t>
        </is>
      </c>
      <c r="I570" s="325" t="inlineStr">
        <is>
          <t>ปวช.2/5,6 ชย. (ปกติ)</t>
        </is>
      </c>
      <c r="J570" s="252" t="inlineStr">
        <is>
          <t>13.10-16.10</t>
        </is>
      </c>
      <c r="K570" s="331" t="n"/>
      <c r="L570" s="252" t="n"/>
      <c r="M570" s="252" t="n"/>
      <c r="N570" s="252" t="n"/>
      <c r="O570" s="244">
        <f>M570*N570</f>
        <v/>
      </c>
      <c r="P570" s="252" t="n"/>
      <c r="Q570" s="252" t="n"/>
      <c r="R570" s="252" t="n"/>
      <c r="S570" s="244">
        <f>Q570*R570</f>
        <v/>
      </c>
      <c r="T570" s="22" t="inlineStr">
        <is>
          <t> </t>
        </is>
      </c>
      <c r="U570" s="23" t="inlineStr">
        <is>
          <t>16.10-19.10</t>
        </is>
      </c>
      <c r="V570" s="66" t="n"/>
      <c r="W570" s="22" t="n"/>
      <c r="X570" s="22" t="n"/>
    </row>
    <row r="571" ht="22.2" customHeight="1" s="330">
      <c r="A571" s="4" t="n"/>
      <c r="B571" s="5" t="n"/>
      <c r="D571" s="3" t="n"/>
      <c r="E571" s="3" t="n"/>
      <c r="G571" s="252" t="n"/>
      <c r="H571" s="325" t="inlineStr">
        <is>
          <t>20101-2006</t>
        </is>
      </c>
      <c r="I571" s="325" t="inlineStr">
        <is>
          <t>ปวช.2/7,8 ชย. (ปกติ)</t>
        </is>
      </c>
      <c r="J571" s="252" t="inlineStr">
        <is>
          <t>17.10-19.10</t>
        </is>
      </c>
      <c r="K571" s="331" t="n"/>
      <c r="L571" s="252" t="n"/>
      <c r="M571" s="252" t="n"/>
      <c r="N571" s="252" t="n"/>
      <c r="O571" s="244">
        <f>M571*N571</f>
        <v/>
      </c>
      <c r="P571" s="252" t="n"/>
      <c r="Q571" s="252" t="n"/>
      <c r="R571" s="252" t="n"/>
      <c r="S571" s="244">
        <f>Q571*R571</f>
        <v/>
      </c>
    </row>
    <row r="572" ht="22.2" customHeight="1" s="330">
      <c r="A572" s="4" t="n"/>
      <c r="E572" s="4" t="n"/>
      <c r="G572" s="248" t="n"/>
      <c r="H572" s="248" t="n"/>
      <c r="I572" s="252" t="n"/>
      <c r="J572" s="252" t="n"/>
      <c r="K572" s="331" t="n"/>
      <c r="L572" s="252" t="n"/>
      <c r="M572" s="252" t="n"/>
      <c r="N572" s="252" t="n"/>
      <c r="O572" s="244">
        <f>M572*N572</f>
        <v/>
      </c>
      <c r="P572" s="252" t="n"/>
      <c r="Q572" s="252" t="n"/>
      <c r="R572" s="252" t="n"/>
      <c r="S572" s="244">
        <f>Q572*R572</f>
        <v/>
      </c>
    </row>
    <row r="573" ht="22.2" customHeight="1" s="330">
      <c r="A573" s="4" t="n"/>
      <c r="E573" s="4" t="n"/>
      <c r="G573" s="277" t="n"/>
      <c r="H573" s="277" t="n"/>
      <c r="I573" s="276" t="n"/>
      <c r="J573" s="276" t="n"/>
      <c r="K573" s="476" t="n"/>
      <c r="L573" s="276" t="n"/>
      <c r="M573" s="276" t="n"/>
      <c r="N573" s="276" t="n"/>
      <c r="O573" s="244">
        <f>M573*N573</f>
        <v/>
      </c>
      <c r="P573" s="276" t="n"/>
      <c r="Q573" s="276" t="n"/>
      <c r="R573" s="276" t="n"/>
      <c r="S573" s="244">
        <f>Q573*R573</f>
        <v/>
      </c>
    </row>
    <row r="574" ht="22.2" customHeight="1" s="330">
      <c r="A574" s="4" t="n"/>
      <c r="E574" s="4" t="n"/>
      <c r="G574" s="62" t="inlineStr">
        <is>
          <t>พฤหัส</t>
        </is>
      </c>
      <c r="H574" s="325" t="inlineStr">
        <is>
          <t>20101-2209</t>
        </is>
      </c>
      <c r="I574" s="325" t="inlineStr">
        <is>
          <t>ปวช.2/7,8 ชย. (ปกติ)</t>
        </is>
      </c>
      <c r="J574" s="332" t="inlineStr">
        <is>
          <t>08.10-12.10</t>
        </is>
      </c>
      <c r="K574" s="335" t="n"/>
      <c r="L574" s="265" t="n"/>
      <c r="M574" s="252" t="n"/>
      <c r="N574" s="252" t="n"/>
      <c r="O574" s="244">
        <f>M574*N574</f>
        <v/>
      </c>
      <c r="P574" s="252" t="n"/>
      <c r="Q574" s="275" t="n"/>
      <c r="R574" s="275" t="n"/>
      <c r="S574" s="244">
        <f>Q574*R574</f>
        <v/>
      </c>
      <c r="T574" s="25" t="n"/>
      <c r="U574" s="26" t="inlineStr">
        <is>
          <t xml:space="preserve">     PLC</t>
        </is>
      </c>
      <c r="V574" s="64" t="n"/>
      <c r="W574" s="27" t="n"/>
      <c r="X574" s="27" t="n"/>
    </row>
    <row r="575" ht="22.2" customHeight="1" s="330">
      <c r="A575" s="4" t="n"/>
      <c r="E575" s="4" t="n"/>
      <c r="G575" s="308">
        <f>G483</f>
        <v/>
      </c>
      <c r="H575" s="325" t="inlineStr">
        <is>
          <t>20000-2002</t>
        </is>
      </c>
      <c r="I575" s="325" t="inlineStr">
        <is>
          <t>ปวช.1/3,4 ชย. (ปกติ)</t>
        </is>
      </c>
      <c r="J575" s="325" t="inlineStr">
        <is>
          <t>13.10-15.10</t>
        </is>
      </c>
      <c r="K575" s="331" t="n"/>
      <c r="L575" s="252" t="n"/>
      <c r="M575" s="252" t="n"/>
      <c r="N575" s="252" t="n"/>
      <c r="O575" s="244">
        <f>M575*N575</f>
        <v/>
      </c>
      <c r="P575" s="252" t="n"/>
      <c r="Q575" s="252" t="n"/>
      <c r="R575" s="252" t="n"/>
      <c r="S575" s="244">
        <f>Q575*R575</f>
        <v/>
      </c>
      <c r="T575" s="27" t="inlineStr">
        <is>
          <t> </t>
        </is>
      </c>
      <c r="U575" s="26" t="inlineStr">
        <is>
          <t>17.10-19.10</t>
        </is>
      </c>
      <c r="V575" s="64" t="n"/>
      <c r="W575" s="27" t="n"/>
      <c r="X575" s="27" t="n"/>
    </row>
    <row r="576" ht="22.2" customHeight="1" s="330">
      <c r="A576" s="4" t="n"/>
      <c r="B576" s="5" t="n"/>
      <c r="E576" s="4" t="n"/>
      <c r="G576" s="252" t="n"/>
      <c r="H576" s="325" t="inlineStr">
        <is>
          <t>20101-2209</t>
        </is>
      </c>
      <c r="I576" s="325" t="inlineStr">
        <is>
          <t>ปวช.2/7,8 ชย. (ปกติ)</t>
        </is>
      </c>
      <c r="J576" s="325" t="inlineStr">
        <is>
          <t>15.10-18.10</t>
        </is>
      </c>
      <c r="K576" s="331" t="n"/>
      <c r="L576" s="325" t="n"/>
      <c r="M576" s="325" t="n"/>
      <c r="N576" s="325" t="n"/>
      <c r="O576" s="244">
        <f>M576*N576</f>
        <v/>
      </c>
      <c r="P576" s="325" t="n"/>
      <c r="Q576" s="325" t="n"/>
      <c r="R576" s="325" t="n"/>
      <c r="S576" s="244">
        <f>Q576*R576</f>
        <v/>
      </c>
    </row>
    <row r="577" ht="22.2" customHeight="1" s="330">
      <c r="A577" s="4" t="n"/>
      <c r="E577" s="4" t="n"/>
      <c r="G577" s="252" t="n"/>
      <c r="H577" s="252" t="n"/>
      <c r="I577" s="252" t="n"/>
      <c r="J577" s="252" t="n"/>
      <c r="K577" s="331" t="n"/>
      <c r="L577" s="252" t="n"/>
      <c r="M577" s="252" t="n"/>
      <c r="N577" s="252" t="n"/>
      <c r="O577" s="244">
        <f>M577*N577</f>
        <v/>
      </c>
      <c r="P577" s="252" t="n"/>
      <c r="Q577" s="252" t="n"/>
      <c r="R577" s="252" t="n"/>
      <c r="S577" s="244">
        <f>Q577*R577</f>
        <v/>
      </c>
    </row>
    <row r="578" ht="22.2" customHeight="1" s="330">
      <c r="A578" s="4" t="n"/>
      <c r="E578" s="4" t="n"/>
      <c r="G578" s="276" t="n"/>
      <c r="H578" s="301" t="n"/>
      <c r="I578" s="276" t="n"/>
      <c r="J578" s="276" t="n"/>
      <c r="K578" s="476" t="n"/>
      <c r="L578" s="276" t="n"/>
      <c r="M578" s="276" t="n"/>
      <c r="N578" s="276" t="n"/>
      <c r="O578" s="244">
        <f>M578*N578</f>
        <v/>
      </c>
      <c r="P578" s="276" t="n"/>
      <c r="Q578" s="276" t="n"/>
      <c r="R578" s="276" t="n"/>
      <c r="S578" s="244">
        <f>Q578*R578</f>
        <v/>
      </c>
    </row>
    <row r="579" ht="22.2" customHeight="1" s="330">
      <c r="A579" s="4" t="n"/>
      <c r="E579" s="4" t="n"/>
      <c r="G579" s="62" t="inlineStr">
        <is>
          <t>ศุกร์</t>
        </is>
      </c>
      <c r="H579" s="325" t="inlineStr">
        <is>
          <t>20101-2008</t>
        </is>
      </c>
      <c r="I579" s="325" t="inlineStr">
        <is>
          <t>ปวช.1/6 ชย. (ปกติ)</t>
        </is>
      </c>
      <c r="J579" s="332" t="inlineStr">
        <is>
          <t>08.10-12.10</t>
        </is>
      </c>
      <c r="K579" s="335" t="n"/>
      <c r="L579" s="265" t="n"/>
      <c r="M579" s="332" t="n"/>
      <c r="N579" s="332" t="n"/>
      <c r="O579" s="244">
        <f>M579*N579</f>
        <v/>
      </c>
      <c r="P579" s="332" t="n"/>
      <c r="Q579" s="265" t="n"/>
      <c r="R579" s="332" t="n"/>
      <c r="S579" s="244">
        <f>Q579*R579</f>
        <v/>
      </c>
    </row>
    <row r="580" ht="22.2" customHeight="1" s="330">
      <c r="A580" s="4" t="n"/>
      <c r="E580" s="4" t="n"/>
      <c r="G580" s="308">
        <f>G488</f>
        <v/>
      </c>
      <c r="H580" s="325" t="inlineStr">
        <is>
          <t>20101-2006</t>
        </is>
      </c>
      <c r="I580" s="325" t="inlineStr">
        <is>
          <t>ปวช.2/3 ชย. (ปกติ)</t>
        </is>
      </c>
      <c r="J580" s="252" t="inlineStr">
        <is>
          <t>13.10-15.10</t>
        </is>
      </c>
      <c r="K580" s="331" t="n"/>
      <c r="L580" s="252" t="n"/>
      <c r="M580" s="252" t="n"/>
      <c r="N580" s="252" t="n"/>
      <c r="O580" s="244">
        <f>M580*N580</f>
        <v/>
      </c>
      <c r="P580" s="252" t="n"/>
      <c r="Q580" s="252" t="n"/>
      <c r="R580" s="252" t="n"/>
      <c r="S580" s="244">
        <f>Q580*R580</f>
        <v/>
      </c>
    </row>
    <row r="581" ht="22.2" customHeight="1" s="330">
      <c r="A581" s="4" t="n"/>
      <c r="E581" s="4" t="n"/>
      <c r="G581" s="252" t="n"/>
      <c r="H581" s="325" t="inlineStr">
        <is>
          <t>20101-2107</t>
        </is>
      </c>
      <c r="I581" s="325" t="inlineStr">
        <is>
          <t>ปวช.2/3 ชย. (ปกติ)</t>
        </is>
      </c>
      <c r="J581" s="325" t="inlineStr">
        <is>
          <t>15.10-17.10</t>
        </is>
      </c>
      <c r="K581" s="331" t="n"/>
      <c r="L581" s="252" t="n"/>
      <c r="M581" s="252" t="n"/>
      <c r="N581" s="252" t="n"/>
      <c r="O581" s="244">
        <f>M581*N581</f>
        <v/>
      </c>
      <c r="P581" s="252" t="n"/>
      <c r="Q581" s="252" t="n"/>
      <c r="R581" s="252" t="n"/>
      <c r="S581" s="244">
        <f>Q581*R581</f>
        <v/>
      </c>
    </row>
    <row r="582" ht="22.2" customHeight="1" s="330">
      <c r="A582" s="4" t="n"/>
      <c r="E582" s="4" t="n"/>
      <c r="G582" s="252" t="n"/>
      <c r="H582" s="249" t="n"/>
      <c r="I582" s="252" t="n"/>
      <c r="J582" s="252" t="n"/>
      <c r="K582" s="331" t="n"/>
      <c r="L582" s="252" t="n"/>
      <c r="M582" s="252" t="n"/>
      <c r="N582" s="252" t="n"/>
      <c r="O582" s="244">
        <f>M582*N582</f>
        <v/>
      </c>
      <c r="P582" s="252" t="n"/>
      <c r="Q582" s="252" t="n"/>
      <c r="R582" s="252" t="n"/>
      <c r="S582" s="244">
        <f>Q582*R582</f>
        <v/>
      </c>
    </row>
    <row r="583" ht="22.2" customHeight="1" s="330">
      <c r="A583" s="4" t="n"/>
      <c r="E583" s="4" t="n"/>
      <c r="F583" s="4" t="n"/>
      <c r="G583" s="278" t="n"/>
      <c r="H583" s="301" t="n"/>
      <c r="I583" s="276" t="n"/>
      <c r="J583" s="276" t="n"/>
      <c r="K583" s="476" t="n"/>
      <c r="L583" s="276" t="n"/>
      <c r="M583" s="276" t="n"/>
      <c r="N583" s="276" t="n"/>
      <c r="O583" s="244">
        <f>M583*N583</f>
        <v/>
      </c>
      <c r="P583" s="276" t="n"/>
      <c r="Q583" s="276" t="n"/>
      <c r="R583" s="276" t="n"/>
      <c r="S583" s="244">
        <f>Q583*R583</f>
        <v/>
      </c>
    </row>
    <row r="584" ht="22.2" customHeight="1" s="330">
      <c r="A584" s="4" t="n"/>
      <c r="E584" s="4" t="n"/>
      <c r="F584" s="4" t="n"/>
      <c r="G584" s="17" t="inlineStr">
        <is>
          <t>รวมขั่วโมงที่สอนแยก ภาระงาน/ เกินภาระงาน</t>
        </is>
      </c>
      <c r="H584" s="467" t="n"/>
      <c r="I584" s="467" t="n"/>
      <c r="J584" s="467" t="n"/>
      <c r="K584" s="362" t="n"/>
      <c r="L584" s="17">
        <f>SUM(L559:L583)</f>
        <v/>
      </c>
      <c r="M584" s="17">
        <f>SUM(M559:M583)</f>
        <v/>
      </c>
      <c r="N584" s="17" t="n"/>
      <c r="O584" s="17" t="n"/>
      <c r="P584" s="17">
        <f>SUM(P559:P583)</f>
        <v/>
      </c>
      <c r="Q584" s="17">
        <f>SUM(Q559:Q583)</f>
        <v/>
      </c>
      <c r="R584" s="279" t="n"/>
      <c r="S584" s="17" t="n"/>
      <c r="T584" s="24" t="n"/>
      <c r="U584" s="24" t="inlineStr">
        <is>
          <t>สอน ป.ตรี</t>
        </is>
      </c>
      <c r="V584" s="65" t="n"/>
      <c r="W584" s="24" t="n"/>
      <c r="X584" s="24" t="n"/>
    </row>
    <row r="585" ht="22.2" customHeight="1" s="330">
      <c r="A585" s="4" t="n"/>
      <c r="E585" s="4" t="n"/>
      <c r="F585" s="4" t="n"/>
      <c r="G585" s="17" t="inlineStr">
        <is>
          <t>รวมจำนวนชั่วโมงสอนคาบต่อสับดาห์</t>
        </is>
      </c>
      <c r="H585" s="467" t="n"/>
      <c r="I585" s="467" t="n"/>
      <c r="J585" s="467" t="n"/>
      <c r="K585" s="362" t="n"/>
      <c r="L585" s="17">
        <f>L584+M584</f>
        <v/>
      </c>
      <c r="M585" s="362" t="n"/>
      <c r="N585" s="298" t="n"/>
      <c r="O585" s="17" t="n"/>
      <c r="P585" s="17">
        <f>P584+Q584</f>
        <v/>
      </c>
      <c r="Q585" s="362" t="n"/>
      <c r="R585" s="278" t="n"/>
      <c r="S585" s="276" t="n"/>
      <c r="T585" s="24" t="n"/>
      <c r="U585" s="24" t="inlineStr">
        <is>
          <t>17.10-20.10</t>
        </is>
      </c>
      <c r="V585" s="65" t="n"/>
      <c r="W585" s="24" t="n"/>
      <c r="X585" s="24" t="n"/>
    </row>
    <row r="586" ht="22.2" customHeight="1" s="330">
      <c r="A586" s="4" t="n"/>
      <c r="E586" s="4" t="n"/>
      <c r="F586" s="4" t="n"/>
      <c r="G586" s="17" t="inlineStr">
        <is>
          <t>จำนวนชั่วโมงสอนตามภาระงานสอน</t>
        </is>
      </c>
      <c r="H586" s="467" t="n"/>
      <c r="I586" s="467" t="n"/>
      <c r="J586" s="467" t="n"/>
      <c r="K586" s="362" t="n"/>
      <c r="L586" s="17" t="n">
        <v>18</v>
      </c>
      <c r="M586" s="362" t="n"/>
      <c r="N586" s="298" t="n"/>
      <c r="O586" s="17" t="n"/>
      <c r="P586" s="17" t="n">
        <v>0</v>
      </c>
      <c r="Q586" s="362" t="n"/>
      <c r="R586" s="249" t="n"/>
      <c r="S586" s="252" t="n"/>
    </row>
    <row r="587" ht="22.2" customHeight="1" s="330" thickBot="1">
      <c r="A587" s="4" t="n"/>
      <c r="E587" s="4" t="n"/>
      <c r="F587" s="15" t="n"/>
      <c r="G587" s="17" t="inlineStr">
        <is>
          <t>จำนวนชั่วโมงบิกเกินภาระงานสอน/ค่าสอน</t>
        </is>
      </c>
      <c r="H587" s="467" t="n"/>
      <c r="I587" s="467" t="n"/>
      <c r="J587" s="467" t="n"/>
      <c r="K587" s="362" t="n"/>
      <c r="L587" s="18" t="n">
        <v>0</v>
      </c>
      <c r="M587" s="18">
        <f>SUM(M559:M583)</f>
        <v/>
      </c>
      <c r="N587" s="18" t="n"/>
      <c r="O587" s="18">
        <f>SUM(O559:O583)</f>
        <v/>
      </c>
      <c r="P587" s="18" t="n">
        <v>0</v>
      </c>
      <c r="Q587" s="18">
        <f>SUM(Q559:Q583)</f>
        <v/>
      </c>
      <c r="R587" s="19" t="n"/>
      <c r="S587" s="18">
        <f>SUM(S559:S583)</f>
        <v/>
      </c>
    </row>
    <row r="588" ht="22.2" customHeight="1" s="330" thickTop="1">
      <c r="A588" s="299" t="inlineStr">
        <is>
          <t>รวมจำนวนหน่วยชั่วโมงที่ขอเบิกค่าสอน ….</t>
        </is>
      </c>
      <c r="B588" s="467" t="n"/>
      <c r="C588" s="467" t="n"/>
      <c r="D588" s="467" t="n"/>
      <c r="E588" s="467" t="n"/>
      <c r="F588" s="467" t="n"/>
      <c r="G588" s="467" t="n"/>
      <c r="H588" s="298">
        <f>M587+Q587</f>
        <v/>
      </c>
      <c r="I588" s="298" t="inlineStr">
        <is>
          <t>….ชั่วโมง</t>
        </is>
      </c>
      <c r="J588" s="298" t="n"/>
      <c r="K588" s="301" t="inlineStr">
        <is>
          <t>ยอดเงินรวม</t>
        </is>
      </c>
      <c r="L588" s="471" t="n"/>
      <c r="M588" s="471" t="n"/>
      <c r="N588" s="301" t="n"/>
      <c r="O588" s="301" t="n"/>
      <c r="P588" s="302">
        <f>S587+O587</f>
        <v/>
      </c>
      <c r="Q588" s="482" t="n"/>
      <c r="R588" s="21" t="n"/>
      <c r="S588" s="20" t="inlineStr">
        <is>
          <t>..บาท</t>
        </is>
      </c>
    </row>
    <row r="589" ht="22.2" customHeight="1" s="330">
      <c r="A589" s="207" t="inlineStr">
        <is>
          <t>ผู้ขอเบิก</t>
        </is>
      </c>
      <c r="B589" s="334" t="n"/>
      <c r="C589" s="334" t="n"/>
      <c r="D589" s="334" t="n"/>
      <c r="E589" s="334" t="n"/>
      <c r="F589" s="334" t="n"/>
      <c r="G589" s="335" t="n"/>
      <c r="H589" s="207" t="inlineStr">
        <is>
          <t>ผู้รับรอง</t>
        </is>
      </c>
      <c r="I589" s="334" t="n"/>
      <c r="J589" s="334" t="n"/>
      <c r="K589" s="334" t="n"/>
      <c r="L589" s="335" t="n"/>
      <c r="M589" s="207" t="inlineStr">
        <is>
          <t>ผู้ตรวจ</t>
        </is>
      </c>
      <c r="N589" s="334" t="n"/>
      <c r="O589" s="334" t="n"/>
      <c r="P589" s="334" t="n"/>
      <c r="Q589" s="334" t="n"/>
      <c r="R589" s="334" t="n"/>
      <c r="S589" s="335" t="n"/>
    </row>
    <row r="590" ht="22.2" customHeight="1" s="330">
      <c r="A590" s="252" t="inlineStr">
        <is>
          <t>ลงชื่อ……………………………………………</t>
        </is>
      </c>
      <c r="G590" s="331" t="n"/>
      <c r="H590" s="252" t="inlineStr">
        <is>
          <t>ลงชื่อ……………………………………………</t>
        </is>
      </c>
      <c r="L590" s="331" t="n"/>
      <c r="M590" s="252" t="inlineStr">
        <is>
          <t>ลงชื่อ……………………………………………</t>
        </is>
      </c>
      <c r="S590" s="331" t="n"/>
    </row>
    <row r="591" ht="22.2" customHeight="1" s="330">
      <c r="A591" s="12" t="inlineStr">
        <is>
          <t>(</t>
        </is>
      </c>
      <c r="B591" s="309">
        <f>B559</f>
        <v/>
      </c>
      <c r="G591" s="310" t="inlineStr">
        <is>
          <t>)</t>
        </is>
      </c>
      <c r="H591" s="309" t="inlineStr">
        <is>
          <t>(</t>
        </is>
      </c>
      <c r="I591" s="314">
        <f>I545</f>
        <v/>
      </c>
      <c r="L591" s="13" t="inlineStr">
        <is>
          <t>)</t>
        </is>
      </c>
      <c r="M591" s="61" t="inlineStr">
        <is>
          <t>(</t>
        </is>
      </c>
      <c r="N591" s="61" t="n"/>
      <c r="O591" s="309" t="inlineStr">
        <is>
          <t>นายพิสุทธิศักดิ์  กล่อมนาค</t>
        </is>
      </c>
      <c r="R591" s="29" t="n"/>
      <c r="S591" s="310" t="inlineStr">
        <is>
          <t>)</t>
        </is>
      </c>
    </row>
    <row r="592" ht="22.2" customHeight="1" s="330">
      <c r="A592" s="483" t="inlineStr">
        <is>
          <t xml:space="preserve">                        ตำแหน่ง ครู</t>
        </is>
      </c>
      <c r="G592" s="331" t="n"/>
      <c r="H592" s="62" t="inlineStr">
        <is>
          <t>ตำแหน่ง หัวหน้าแผนก</t>
        </is>
      </c>
      <c r="L592" s="331" t="n"/>
      <c r="M592" s="62" t="inlineStr">
        <is>
          <t>ตำแหน่ง   ผู้ตรวจสอบ</t>
        </is>
      </c>
      <c r="S592" s="331" t="n"/>
    </row>
    <row r="593" ht="22.2" customHeight="1" s="330">
      <c r="A593" s="63">
        <f>A41</f>
        <v/>
      </c>
      <c r="B593" s="471" t="n"/>
      <c r="C593" s="471" t="n"/>
      <c r="D593" s="471" t="n"/>
      <c r="E593" s="471" t="n"/>
      <c r="F593" s="471" t="n"/>
      <c r="G593" s="476" t="n"/>
      <c r="H593" s="62">
        <f>A41</f>
        <v/>
      </c>
      <c r="L593" s="331" t="n"/>
      <c r="M593" s="63">
        <f>A41</f>
        <v/>
      </c>
      <c r="N593" s="471" t="n"/>
      <c r="O593" s="471" t="n"/>
      <c r="P593" s="471" t="n"/>
      <c r="Q593" s="471" t="n"/>
      <c r="R593" s="471" t="n"/>
      <c r="S593" s="476" t="n"/>
    </row>
    <row r="594" ht="22.2" customHeight="1" s="330">
      <c r="A594" s="207" t="inlineStr">
        <is>
          <t>ผู้ตรวจ</t>
        </is>
      </c>
      <c r="B594" s="334" t="n"/>
      <c r="C594" s="334" t="n"/>
      <c r="D594" s="334" t="n"/>
      <c r="E594" s="334" t="n"/>
      <c r="F594" s="334" t="n"/>
      <c r="G594" s="334" t="n"/>
      <c r="H594" s="334" t="n"/>
      <c r="I594" s="335" t="n"/>
      <c r="J594" s="207" t="inlineStr">
        <is>
          <t>ผู้เห็นชอบ</t>
        </is>
      </c>
      <c r="K594" s="334" t="n"/>
      <c r="L594" s="334" t="n"/>
      <c r="M594" s="334" t="n"/>
      <c r="N594" s="334" t="n"/>
      <c r="O594" s="334" t="n"/>
      <c r="P594" s="334" t="n"/>
      <c r="Q594" s="334" t="n"/>
      <c r="R594" s="334" t="n"/>
      <c r="S594" s="335" t="n"/>
    </row>
    <row r="595" ht="22.2" customHeight="1" s="330">
      <c r="A595" s="252" t="inlineStr">
        <is>
          <t>ลงชื่อ……………………………………………</t>
        </is>
      </c>
      <c r="I595" s="331" t="n"/>
      <c r="J595" s="252" t="inlineStr">
        <is>
          <t>ลงชื่อ……………………………………………</t>
        </is>
      </c>
      <c r="S595" s="331" t="n"/>
    </row>
    <row r="596" ht="22.2" customHeight="1" s="330">
      <c r="A596" s="12" t="n"/>
      <c r="B596" s="309" t="inlineStr">
        <is>
          <t xml:space="preserve">          (นางศิวรักษ์   บุญประเสริฐ)</t>
        </is>
      </c>
      <c r="I596" s="310" t="n"/>
      <c r="J596" s="29" t="n"/>
      <c r="K596" s="29" t="n"/>
      <c r="L596" s="309" t="inlineStr">
        <is>
          <t>(นายปรีชา  โพธิ์เกิด)</t>
        </is>
      </c>
      <c r="R596" s="29" t="n"/>
      <c r="S596" s="13" t="n"/>
    </row>
    <row r="597" ht="22.2" customHeight="1" s="330">
      <c r="A597" s="62" t="inlineStr">
        <is>
          <t>ตำแหน่งครู  หัวหน้างานพัฒนาหลักสูตร ฯ</t>
        </is>
      </c>
      <c r="I597" s="331" t="n"/>
      <c r="J597" s="62" t="inlineStr">
        <is>
          <t>ตำแหน่ง  รองผู้อำนวยการฝ่ายวิชาการ</t>
        </is>
      </c>
      <c r="S597" s="331" t="n"/>
    </row>
    <row r="598" ht="22.2" customHeight="1" s="330">
      <c r="A598" s="63">
        <f>A41</f>
        <v/>
      </c>
      <c r="B598" s="471" t="n"/>
      <c r="C598" s="471" t="n"/>
      <c r="D598" s="471" t="n"/>
      <c r="E598" s="471" t="n"/>
      <c r="F598" s="471" t="n"/>
      <c r="G598" s="471" t="n"/>
      <c r="H598" s="471" t="n"/>
      <c r="I598" s="476" t="n"/>
      <c r="J598" s="63">
        <f>A41</f>
        <v/>
      </c>
      <c r="K598" s="471" t="n"/>
      <c r="L598" s="471" t="n"/>
      <c r="M598" s="471" t="n"/>
      <c r="N598" s="471" t="n"/>
      <c r="O598" s="471" t="n"/>
      <c r="P598" s="471" t="n"/>
      <c r="Q598" s="471" t="n"/>
      <c r="R598" s="471" t="n"/>
      <c r="S598" s="476" t="n"/>
    </row>
    <row r="599" ht="22.2" customHeight="1" s="330">
      <c r="A59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00" ht="22.2" customHeight="1" s="330">
      <c r="A600" s="254">
        <f>A2</f>
        <v/>
      </c>
    </row>
    <row r="601" ht="22.2" customHeight="1" s="330">
      <c r="A601" s="253" t="inlineStr">
        <is>
          <t xml:space="preserve">    ระหว่างวันที่</t>
        </is>
      </c>
      <c r="D601" s="254">
        <f>D49</f>
        <v/>
      </c>
      <c r="E601" s="254" t="inlineStr">
        <is>
          <t xml:space="preserve">   เดือน  </t>
        </is>
      </c>
      <c r="F601" s="254">
        <f>F49</f>
        <v/>
      </c>
      <c r="H601" s="254">
        <f>H49</f>
        <v/>
      </c>
      <c r="I601" s="254" t="inlineStr">
        <is>
          <t xml:space="preserve">     ถึง วันที่</t>
        </is>
      </c>
      <c r="J601" s="254">
        <f>J49</f>
        <v/>
      </c>
      <c r="K601" s="254" t="inlineStr">
        <is>
          <t xml:space="preserve">   เดือน </t>
        </is>
      </c>
      <c r="L601" s="254">
        <f>L49</f>
        <v/>
      </c>
      <c r="N601" s="254">
        <f>N49</f>
        <v/>
      </c>
      <c r="P601" s="254" t="n"/>
      <c r="R601" s="254" t="n"/>
    </row>
    <row r="602" ht="22.2" customHeight="1" s="330">
      <c r="G602" s="58" t="inlineStr">
        <is>
          <t>ü</t>
        </is>
      </c>
      <c r="H602" s="301" t="inlineStr">
        <is>
          <t>ครู</t>
        </is>
      </c>
      <c r="I602" s="301" t="inlineStr">
        <is>
          <t>หน้าที่พิเศษ</t>
        </is>
      </c>
      <c r="J602" s="290" t="n"/>
      <c r="K602" s="290" t="n"/>
      <c r="L602" s="290" t="n"/>
      <c r="M602" s="290" t="n"/>
      <c r="N602" s="290" t="n"/>
      <c r="O602" s="290" t="n"/>
      <c r="P602" s="290" t="n"/>
      <c r="Q602" s="290" t="n"/>
      <c r="R602" s="290" t="n"/>
      <c r="S602" s="290" t="n"/>
    </row>
    <row r="603" ht="22.2" customHeight="1" s="330">
      <c r="A603" s="28" t="inlineStr">
        <is>
          <t>ที่</t>
        </is>
      </c>
      <c r="B603" s="28" t="inlineStr">
        <is>
          <t>ชื่อ-สกุล</t>
        </is>
      </c>
      <c r="C603" s="334" t="n"/>
      <c r="D603" s="335" t="n"/>
      <c r="E603" s="16" t="inlineStr">
        <is>
          <t>ตำแหน่ง</t>
        </is>
      </c>
      <c r="F603" s="17" t="inlineStr">
        <is>
          <t>ระยะเวลาที่สอน</t>
        </is>
      </c>
      <c r="G603" s="362" t="n"/>
      <c r="H603" s="17" t="inlineStr">
        <is>
          <t>รหัสวิชา</t>
        </is>
      </c>
      <c r="I603" s="275" t="inlineStr">
        <is>
          <t>ชั้น,แผนก,ห้อง</t>
        </is>
      </c>
      <c r="J603" s="17" t="inlineStr">
        <is>
          <t>เวลาสอน</t>
        </is>
      </c>
      <c r="K603" s="335" t="n"/>
      <c r="L603" s="17" t="inlineStr">
        <is>
          <t>ปวช.(คาบ)</t>
        </is>
      </c>
      <c r="M603" s="362" t="n"/>
      <c r="N603" s="244" t="inlineStr">
        <is>
          <t>เงิน</t>
        </is>
      </c>
      <c r="O603" s="275" t="inlineStr">
        <is>
          <t>ยอดเงิน</t>
        </is>
      </c>
      <c r="P603" s="473" t="inlineStr">
        <is>
          <t>ปวส.(คาบ)</t>
        </is>
      </c>
      <c r="Q603" s="362" t="n"/>
      <c r="R603" s="244" t="inlineStr">
        <is>
          <t>เงิน</t>
        </is>
      </c>
      <c r="S603" s="275" t="inlineStr">
        <is>
          <t>ยอดเงิน</t>
        </is>
      </c>
    </row>
    <row r="604" ht="22.2" customHeight="1" s="330">
      <c r="A604" s="60" t="n"/>
      <c r="B604" s="9" t="n"/>
      <c r="C604" s="10" t="n"/>
      <c r="D604" s="14" t="n"/>
      <c r="E604" s="11" t="n"/>
      <c r="F604" s="276" t="inlineStr">
        <is>
          <t>ส.</t>
        </is>
      </c>
      <c r="G604" s="276" t="inlineStr">
        <is>
          <t>วดป.</t>
        </is>
      </c>
      <c r="H604" s="474" t="n"/>
      <c r="I604" s="276" t="n"/>
      <c r="J604" s="475" t="n"/>
      <c r="K604" s="476" t="n"/>
      <c r="L604" s="276" t="inlineStr">
        <is>
          <t>ใน</t>
        </is>
      </c>
      <c r="M604" s="276" t="inlineStr">
        <is>
          <t>นอก</t>
        </is>
      </c>
      <c r="N604" s="276" t="inlineStr">
        <is>
          <t>ต่อ ชม.</t>
        </is>
      </c>
      <c r="O604" s="276" t="inlineStr">
        <is>
          <t>(บาท)</t>
        </is>
      </c>
      <c r="P604" s="60" t="inlineStr">
        <is>
          <t>ใน</t>
        </is>
      </c>
      <c r="Q604" s="60" t="inlineStr">
        <is>
          <t>นอก</t>
        </is>
      </c>
      <c r="R604" s="276" t="inlineStr">
        <is>
          <t>ต่อ ชม.</t>
        </is>
      </c>
      <c r="S604" s="276" t="inlineStr">
        <is>
          <t>(บาท)</t>
        </is>
      </c>
    </row>
    <row r="605" ht="22.2" customHeight="1" s="330">
      <c r="A605" s="275" t="n">
        <v>14</v>
      </c>
      <c r="B605" s="477">
        <f>AB16</f>
        <v/>
      </c>
      <c r="C605" s="334" t="n"/>
      <c r="D605" s="335" t="n"/>
      <c r="E605" s="275" t="inlineStr">
        <is>
          <t>ครู</t>
        </is>
      </c>
      <c r="F605" s="6" t="n">
        <v>5</v>
      </c>
      <c r="G605" s="303" t="inlineStr">
        <is>
          <t>จันทร์</t>
        </is>
      </c>
      <c r="H605" s="325" t="inlineStr">
        <is>
          <t>30101-2003</t>
        </is>
      </c>
      <c r="I605" s="325" t="inlineStr">
        <is>
          <t>ปวส.1/7 สย. (ทวิ)</t>
        </is>
      </c>
      <c r="J605" s="252" t="inlineStr">
        <is>
          <t>13.10-16.10</t>
        </is>
      </c>
      <c r="K605" s="331" t="n"/>
      <c r="L605" s="265" t="n"/>
      <c r="M605" s="332" t="n"/>
      <c r="N605" s="332" t="n"/>
      <c r="O605" s="244">
        <f>M605*N605</f>
        <v/>
      </c>
      <c r="P605" s="332" t="n"/>
      <c r="Q605" s="265" t="n"/>
      <c r="R605" s="332" t="n"/>
      <c r="S605" s="244">
        <f>Q605*R605</f>
        <v/>
      </c>
    </row>
    <row r="606" ht="22.2" customHeight="1" s="330">
      <c r="A606" s="4" t="n"/>
      <c r="B606" s="478" t="n"/>
      <c r="D606" s="331" t="n"/>
      <c r="E606" s="252" t="n"/>
      <c r="F606" s="249" t="n"/>
      <c r="G606" s="308">
        <f>G514</f>
        <v/>
      </c>
      <c r="H606" s="325" t="n"/>
      <c r="I606" s="325" t="n"/>
      <c r="J606" s="252" t="n"/>
      <c r="K606" s="331" t="n"/>
      <c r="L606" s="252" t="n"/>
      <c r="M606" s="252" t="n"/>
      <c r="N606" s="252" t="n"/>
      <c r="O606" s="244">
        <f>M606*N606</f>
        <v/>
      </c>
      <c r="P606" s="252" t="n"/>
      <c r="Q606" s="252" t="n"/>
      <c r="R606" s="252" t="n"/>
      <c r="S606" s="244">
        <f>Q606*R606</f>
        <v/>
      </c>
    </row>
    <row r="607" ht="22.2" customHeight="1" s="330">
      <c r="A607" s="4" t="n"/>
      <c r="B607" s="5" t="n"/>
      <c r="D607" s="3" t="n"/>
      <c r="E607" s="3" t="n"/>
      <c r="F607" s="249" t="n"/>
      <c r="G607" s="248" t="n"/>
      <c r="H607" s="252" t="n"/>
      <c r="I607" s="252" t="n"/>
      <c r="J607" s="252" t="n"/>
      <c r="K607" s="331" t="n"/>
      <c r="L607" s="252" t="n"/>
      <c r="M607" s="252" t="n"/>
      <c r="N607" s="252" t="n"/>
      <c r="O607" s="244">
        <f>M607*N607</f>
        <v/>
      </c>
      <c r="P607" s="252" t="n"/>
      <c r="Q607" s="252" t="n"/>
      <c r="R607" s="252" t="n"/>
      <c r="S607" s="244">
        <f>Q607*R607</f>
        <v/>
      </c>
    </row>
    <row r="608" ht="22.2" customHeight="1" s="330">
      <c r="A608" s="4" t="n"/>
      <c r="B608" s="5" t="n"/>
      <c r="E608" s="4" t="n"/>
      <c r="F608" s="249" t="n"/>
      <c r="G608" s="248" t="n"/>
      <c r="H608" s="252" t="n"/>
      <c r="I608" s="252" t="n"/>
      <c r="J608" s="252" t="n"/>
      <c r="K608" s="331" t="n"/>
      <c r="L608" s="252" t="n"/>
      <c r="M608" s="252" t="n"/>
      <c r="N608" s="252" t="n"/>
      <c r="O608" s="244">
        <f>M608*N608</f>
        <v/>
      </c>
      <c r="P608" s="252" t="n"/>
      <c r="Q608" s="252" t="n"/>
      <c r="R608" s="252" t="n"/>
      <c r="S608" s="244">
        <f>Q608*R608</f>
        <v/>
      </c>
    </row>
    <row r="609" ht="22.2" customHeight="1" s="330">
      <c r="A609" s="4" t="n"/>
      <c r="E609" s="4" t="n"/>
      <c r="G609" s="311" t="n"/>
      <c r="H609" s="276" t="n"/>
      <c r="I609" s="276" t="n"/>
      <c r="J609" s="276" t="n"/>
      <c r="K609" s="476" t="n"/>
      <c r="L609" s="252" t="n"/>
      <c r="M609" s="252" t="n"/>
      <c r="N609" s="252" t="n"/>
      <c r="O609" s="244">
        <f>M609*N609</f>
        <v/>
      </c>
      <c r="P609" s="252" t="n"/>
      <c r="Q609" s="252" t="n"/>
      <c r="R609" s="252" t="n"/>
      <c r="S609" s="244">
        <f>Q609*R609</f>
        <v/>
      </c>
    </row>
    <row r="610" ht="22.2" customHeight="1" s="330">
      <c r="A610" s="4" t="n"/>
      <c r="E610" s="4" t="n"/>
      <c r="G610" s="62" t="inlineStr">
        <is>
          <t>อังคาร</t>
        </is>
      </c>
      <c r="H610" s="325" t="inlineStr">
        <is>
          <t>30100-0105</t>
        </is>
      </c>
      <c r="I610" s="325" t="inlineStr">
        <is>
          <t>ปวส.1/7 สย. (ทวิ)</t>
        </is>
      </c>
      <c r="J610" s="332" t="inlineStr">
        <is>
          <t>08.10-11.10</t>
        </is>
      </c>
      <c r="K610" s="335" t="n"/>
      <c r="L610" s="265" t="n"/>
      <c r="M610" s="332" t="n"/>
      <c r="N610" s="332" t="n"/>
      <c r="O610" s="244">
        <f>M610*N610</f>
        <v/>
      </c>
      <c r="P610" s="332" t="n"/>
      <c r="Q610" s="265" t="n"/>
      <c r="R610" s="332" t="n"/>
      <c r="S610" s="244">
        <f>Q610*R610</f>
        <v/>
      </c>
    </row>
    <row r="611" ht="22.2" customHeight="1" s="330">
      <c r="A611" s="4" t="n"/>
      <c r="E611" s="4" t="n"/>
      <c r="G611" s="308">
        <f>G519</f>
        <v/>
      </c>
      <c r="H611" s="325" t="inlineStr">
        <is>
          <t>30101-8001</t>
        </is>
      </c>
      <c r="I611" s="325" t="inlineStr">
        <is>
          <t>ปวส.2/4 สย. (ปกติ)</t>
        </is>
      </c>
      <c r="J611" s="252" t="inlineStr">
        <is>
          <t>13.10-17.10</t>
        </is>
      </c>
      <c r="K611" s="331" t="n"/>
      <c r="L611" s="252" t="n"/>
      <c r="M611" s="252" t="n"/>
      <c r="N611" s="252" t="n"/>
      <c r="O611" s="244">
        <f>M611*N611</f>
        <v/>
      </c>
      <c r="P611" s="252" t="n"/>
      <c r="Q611" s="252" t="n"/>
      <c r="R611" s="252" t="n"/>
      <c r="S611" s="244">
        <f>Q611*R611</f>
        <v/>
      </c>
    </row>
    <row r="612" ht="22.2" customHeight="1" s="330">
      <c r="A612" s="4" t="n"/>
      <c r="B612" s="5" t="n"/>
      <c r="D612" s="3" t="n"/>
      <c r="E612" s="3" t="n"/>
      <c r="G612" s="252" t="n"/>
      <c r="H612" s="252" t="n"/>
      <c r="I612" s="252" t="n"/>
      <c r="J612" s="252" t="n"/>
      <c r="K612" s="331" t="n"/>
      <c r="L612" s="252" t="n"/>
      <c r="M612" s="252" t="n"/>
      <c r="N612" s="252" t="n"/>
      <c r="O612" s="244">
        <f>M612*N612</f>
        <v/>
      </c>
      <c r="P612" s="252" t="n"/>
      <c r="Q612" s="252" t="n"/>
      <c r="R612" s="252" t="n"/>
      <c r="S612" s="244">
        <f>Q612*R612</f>
        <v/>
      </c>
    </row>
    <row r="613" ht="22.2" customHeight="1" s="330">
      <c r="A613" s="4" t="n"/>
      <c r="E613" s="4" t="n"/>
      <c r="G613" s="62" t="n"/>
      <c r="H613" s="249" t="n"/>
      <c r="I613" s="252" t="n"/>
      <c r="J613" s="252" t="n"/>
      <c r="K613" s="331" t="n"/>
      <c r="L613" s="252" t="n"/>
      <c r="M613" s="252" t="n"/>
      <c r="N613" s="252" t="n"/>
      <c r="O613" s="244">
        <f>M613*N613</f>
        <v/>
      </c>
      <c r="P613" s="252" t="n"/>
      <c r="Q613" s="252" t="n"/>
      <c r="R613" s="252" t="n"/>
      <c r="S613" s="244">
        <f>Q613*R613</f>
        <v/>
      </c>
    </row>
    <row r="614" ht="22.2" customHeight="1" s="330">
      <c r="A614" s="4" t="n"/>
      <c r="D614" s="8" t="inlineStr">
        <is>
          <t> </t>
        </is>
      </c>
      <c r="E614" s="4" t="n"/>
      <c r="G614" s="63" t="n"/>
      <c r="H614" s="276" t="n"/>
      <c r="I614" s="276" t="n"/>
      <c r="J614" s="276" t="n"/>
      <c r="K614" s="476" t="n"/>
      <c r="L614" s="252" t="n"/>
      <c r="M614" s="252" t="n"/>
      <c r="N614" s="252" t="n"/>
      <c r="O614" s="244">
        <f>M614*N614</f>
        <v/>
      </c>
      <c r="P614" s="276" t="n"/>
      <c r="Q614" s="276" t="n"/>
      <c r="R614" s="276" t="n"/>
      <c r="S614" s="244">
        <f>Q614*R614</f>
        <v/>
      </c>
    </row>
    <row r="615" ht="22.2" customHeight="1" s="330">
      <c r="A615" s="4" t="n"/>
      <c r="E615" s="4" t="n"/>
      <c r="G615" s="308" t="inlineStr">
        <is>
          <t>พุธ</t>
        </is>
      </c>
      <c r="H615" s="325" t="inlineStr">
        <is>
          <t>30101-2002</t>
        </is>
      </c>
      <c r="I615" s="325" t="inlineStr">
        <is>
          <t>ปวส.1/5,6 สย. (ม.6)</t>
        </is>
      </c>
      <c r="J615" s="332" t="inlineStr">
        <is>
          <t>08.10-11.10</t>
        </is>
      </c>
      <c r="K615" s="335" t="n"/>
      <c r="L615" s="265" t="n"/>
      <c r="M615" s="332" t="n"/>
      <c r="N615" s="332" t="n"/>
      <c r="O615" s="244">
        <f>M615*N615</f>
        <v/>
      </c>
      <c r="P615" s="179" t="n"/>
      <c r="Q615" s="179" t="n"/>
      <c r="R615" s="180" t="n"/>
      <c r="S615" s="244">
        <f>Q615*R615</f>
        <v/>
      </c>
    </row>
    <row r="616" ht="22.2" customHeight="1" s="330">
      <c r="A616" s="4" t="n"/>
      <c r="B616" s="248" t="n"/>
      <c r="C616" s="249" t="n"/>
      <c r="D616" s="249" t="n"/>
      <c r="E616" s="252" t="n"/>
      <c r="G616" s="308">
        <f>G524</f>
        <v/>
      </c>
      <c r="H616" s="325" t="inlineStr">
        <is>
          <t>30100-0105</t>
        </is>
      </c>
      <c r="I616" s="325" t="inlineStr">
        <is>
          <t>ปวส.2/5,6 สย. (ม.6)</t>
        </is>
      </c>
      <c r="J616" s="252" t="inlineStr">
        <is>
          <t>13.10-16.10</t>
        </is>
      </c>
      <c r="K616" s="331" t="n"/>
      <c r="L616" s="252" t="n"/>
      <c r="M616" s="252" t="n"/>
      <c r="N616" s="252" t="n"/>
      <c r="O616" s="244">
        <f>M616*N616</f>
        <v/>
      </c>
      <c r="P616" s="252" t="n"/>
      <c r="Q616" s="252" t="n"/>
      <c r="R616" s="252" t="n"/>
      <c r="S616" s="244">
        <f>Q616*R616</f>
        <v/>
      </c>
    </row>
    <row r="617" ht="22.2" customHeight="1" s="330">
      <c r="A617" s="4" t="n"/>
      <c r="B617" s="5" t="n"/>
      <c r="D617" s="3" t="n"/>
      <c r="E617" s="3" t="n"/>
      <c r="G617" s="252" t="n"/>
      <c r="H617" s="252" t="n"/>
      <c r="I617" s="252" t="n"/>
      <c r="J617" s="252" t="n"/>
      <c r="K617" s="331" t="n"/>
      <c r="L617" s="252" t="n"/>
      <c r="M617" s="252" t="n"/>
      <c r="N617" s="252" t="n"/>
      <c r="O617" s="244">
        <f>M617*N617</f>
        <v/>
      </c>
      <c r="P617" s="252" t="n"/>
      <c r="Q617" s="252" t="n"/>
      <c r="R617" s="252" t="n"/>
      <c r="S617" s="244">
        <f>Q617*R617</f>
        <v/>
      </c>
    </row>
    <row r="618" ht="22.2" customHeight="1" s="330">
      <c r="A618" s="4" t="n"/>
      <c r="E618" s="4" t="n"/>
      <c r="G618" s="248" t="n"/>
      <c r="H618" s="248" t="n"/>
      <c r="I618" s="252" t="n"/>
      <c r="J618" s="252" t="n"/>
      <c r="K618" s="331" t="n"/>
      <c r="L618" s="252" t="n"/>
      <c r="M618" s="252" t="n"/>
      <c r="N618" s="252" t="n"/>
      <c r="O618" s="244">
        <f>M618*N618</f>
        <v/>
      </c>
      <c r="P618" s="252" t="n"/>
      <c r="Q618" s="252" t="n"/>
      <c r="R618" s="252" t="n"/>
      <c r="S618" s="244">
        <f>Q618*R618</f>
        <v/>
      </c>
    </row>
    <row r="619" ht="22.2" customHeight="1" s="330">
      <c r="A619" s="4" t="n"/>
      <c r="E619" s="4" t="n"/>
      <c r="G619" s="277" t="n"/>
      <c r="H619" s="277" t="n"/>
      <c r="I619" s="276" t="n"/>
      <c r="J619" s="276" t="n"/>
      <c r="K619" s="476" t="n"/>
      <c r="L619" s="276" t="n"/>
      <c r="M619" s="276" t="n"/>
      <c r="N619" s="276" t="n"/>
      <c r="O619" s="244">
        <f>M619*N619</f>
        <v/>
      </c>
      <c r="P619" s="276" t="n"/>
      <c r="Q619" s="276" t="n"/>
      <c r="R619" s="276" t="n"/>
      <c r="S619" s="244">
        <f>Q619*R619</f>
        <v/>
      </c>
    </row>
    <row r="620" ht="22.2" customHeight="1" s="330">
      <c r="A620" s="4" t="n"/>
      <c r="E620" s="4" t="n"/>
      <c r="G620" s="62" t="inlineStr">
        <is>
          <t>พฤหัส</t>
        </is>
      </c>
      <c r="H620" s="325" t="inlineStr">
        <is>
          <t>30000-2002</t>
        </is>
      </c>
      <c r="I620" s="325" t="inlineStr">
        <is>
          <t>ปวส.1/3,4 สย. (ม.6)</t>
        </is>
      </c>
      <c r="J620" s="252" t="inlineStr">
        <is>
          <t>13.10-15.10</t>
        </is>
      </c>
      <c r="K620" s="331" t="n"/>
      <c r="L620" s="265" t="n"/>
      <c r="M620" s="252" t="n"/>
      <c r="N620" s="252" t="n"/>
      <c r="O620" s="244">
        <f>M620*N620</f>
        <v/>
      </c>
      <c r="P620" s="179" t="n"/>
      <c r="Q620" s="156" t="n"/>
      <c r="R620" s="156" t="n"/>
      <c r="S620" s="244">
        <f>Q620*R620</f>
        <v/>
      </c>
    </row>
    <row r="621" ht="22.2" customHeight="1" s="330">
      <c r="A621" s="4" t="n"/>
      <c r="E621" s="4" t="n"/>
      <c r="G621" s="308">
        <f>G529</f>
        <v/>
      </c>
      <c r="H621" s="325" t="n"/>
      <c r="I621" s="325" t="n"/>
      <c r="J621" s="252" t="n"/>
      <c r="K621" s="331" t="n"/>
      <c r="L621" s="252" t="n"/>
      <c r="M621" s="252" t="n"/>
      <c r="N621" s="252" t="n"/>
      <c r="O621" s="244">
        <f>M621*N621</f>
        <v/>
      </c>
      <c r="P621" s="56" t="n"/>
      <c r="Q621" s="56" t="n"/>
      <c r="R621" s="56" t="n"/>
      <c r="S621" s="244">
        <f>Q621*R621</f>
        <v/>
      </c>
    </row>
    <row r="622" ht="22.2" customHeight="1" s="330">
      <c r="A622" s="4" t="n"/>
      <c r="B622" s="5" t="n"/>
      <c r="E622" s="4" t="n"/>
      <c r="G622" s="252" t="n"/>
      <c r="H622" s="325" t="n"/>
      <c r="I622" s="325" t="n"/>
      <c r="J622" s="252" t="n"/>
      <c r="K622" s="331" t="n"/>
      <c r="L622" s="325" t="n"/>
      <c r="M622" s="325" t="n"/>
      <c r="N622" s="325" t="n"/>
      <c r="O622" s="244">
        <f>M622*N622</f>
        <v/>
      </c>
      <c r="P622" s="56" t="n"/>
      <c r="Q622" s="56" t="n"/>
      <c r="R622" s="56" t="n"/>
      <c r="S622" s="244">
        <f>Q622*R622</f>
        <v/>
      </c>
    </row>
    <row r="623" ht="22.2" customHeight="1" s="330">
      <c r="A623" s="4" t="n"/>
      <c r="E623" s="4" t="n"/>
      <c r="G623" s="252" t="n"/>
      <c r="H623" s="252" t="n"/>
      <c r="I623" s="252" t="n"/>
      <c r="J623" s="252" t="n"/>
      <c r="K623" s="331" t="n"/>
      <c r="L623" s="252" t="n"/>
      <c r="M623" s="252" t="n"/>
      <c r="N623" s="252" t="n"/>
      <c r="O623" s="244">
        <f>M623*N623</f>
        <v/>
      </c>
      <c r="P623" s="252" t="n"/>
      <c r="Q623" s="252" t="n"/>
      <c r="R623" s="252" t="n"/>
      <c r="S623" s="244">
        <f>Q623*R623</f>
        <v/>
      </c>
    </row>
    <row r="624" ht="22.2" customHeight="1" s="330">
      <c r="A624" s="4" t="n"/>
      <c r="E624" s="4" t="n"/>
      <c r="G624" s="276" t="n"/>
      <c r="H624" s="301" t="n"/>
      <c r="I624" s="276" t="n"/>
      <c r="J624" s="276" t="n"/>
      <c r="K624" s="476" t="n"/>
      <c r="L624" s="276" t="n"/>
      <c r="M624" s="276" t="n"/>
      <c r="N624" s="276" t="n"/>
      <c r="O624" s="244">
        <f>M624*N624</f>
        <v/>
      </c>
      <c r="P624" s="276" t="n"/>
      <c r="Q624" s="276" t="n"/>
      <c r="R624" s="276" t="n"/>
      <c r="S624" s="244">
        <f>Q624*R624</f>
        <v/>
      </c>
    </row>
    <row r="625" ht="22.2" customHeight="1" s="330">
      <c r="A625" s="4" t="n"/>
      <c r="E625" s="4" t="n"/>
      <c r="G625" s="62" t="inlineStr">
        <is>
          <t>ศุกร์</t>
        </is>
      </c>
      <c r="H625" s="325" t="inlineStr">
        <is>
          <t>30101-2109</t>
        </is>
      </c>
      <c r="I625" s="325" t="inlineStr">
        <is>
          <t>ปวส.2/7 สย. (ม.6)</t>
        </is>
      </c>
      <c r="J625" s="332" t="inlineStr">
        <is>
          <t>08.10-12.10</t>
        </is>
      </c>
      <c r="K625" s="335" t="n"/>
      <c r="L625" s="252" t="n"/>
      <c r="M625" s="332" t="n"/>
      <c r="N625" s="332" t="n"/>
      <c r="O625" s="244">
        <f>M625*N625</f>
        <v/>
      </c>
      <c r="P625" s="332" t="n"/>
      <c r="Q625" s="265" t="n"/>
      <c r="R625" s="332" t="n"/>
      <c r="S625" s="244">
        <f>Q625*R625</f>
        <v/>
      </c>
    </row>
    <row r="626" ht="22.2" customHeight="1" s="330">
      <c r="A626" s="4" t="n"/>
      <c r="E626" s="4" t="n"/>
      <c r="G626" s="308">
        <f>G534</f>
        <v/>
      </c>
      <c r="H626" s="325" t="inlineStr">
        <is>
          <t>30101-2109</t>
        </is>
      </c>
      <c r="I626" s="325" t="inlineStr">
        <is>
          <t>ปวส.2/7 สย. (ม.6)</t>
        </is>
      </c>
      <c r="J626" s="252" t="inlineStr">
        <is>
          <t>13.10-14.10</t>
        </is>
      </c>
      <c r="K626" s="331" t="n"/>
      <c r="L626" s="252" t="n"/>
      <c r="M626" s="252" t="n"/>
      <c r="N626" s="252" t="n"/>
      <c r="O626" s="244">
        <f>M626*N626</f>
        <v/>
      </c>
      <c r="P626" s="252" t="n"/>
      <c r="Q626" s="252" t="n"/>
      <c r="R626" s="252" t="n"/>
      <c r="S626" s="244">
        <f>Q626*R626</f>
        <v/>
      </c>
    </row>
    <row r="627" ht="22.2" customHeight="1" s="330">
      <c r="A627" s="4" t="n"/>
      <c r="E627" s="4" t="n"/>
      <c r="G627" s="252" t="n"/>
      <c r="H627" s="325" t="inlineStr">
        <is>
          <t>30100-0104</t>
        </is>
      </c>
      <c r="I627" s="325" t="inlineStr">
        <is>
          <t>ปวส.1/2 สย. (ปกติ)</t>
        </is>
      </c>
      <c r="J627" s="252" t="inlineStr">
        <is>
          <t>14.10-18.10</t>
        </is>
      </c>
      <c r="K627" s="331" t="n"/>
      <c r="L627" s="252" t="n"/>
      <c r="M627" s="252" t="n"/>
      <c r="N627" s="252" t="n"/>
      <c r="O627" s="244">
        <f>M627*N627</f>
        <v/>
      </c>
      <c r="P627" s="252" t="n"/>
      <c r="Q627" s="252" t="n"/>
      <c r="R627" s="252" t="n"/>
      <c r="S627" s="244">
        <f>Q627*R627</f>
        <v/>
      </c>
    </row>
    <row r="628" ht="22.2" customHeight="1" s="330">
      <c r="A628" s="4" t="n"/>
      <c r="E628" s="4" t="n"/>
      <c r="G628" s="252" t="n"/>
      <c r="H628" s="249" t="n"/>
      <c r="I628" s="252" t="n"/>
      <c r="J628" s="252" t="n"/>
      <c r="K628" s="331" t="n"/>
      <c r="L628" s="252" t="n"/>
      <c r="M628" s="252" t="n"/>
      <c r="N628" s="252" t="n"/>
      <c r="O628" s="244">
        <f>M628*N628</f>
        <v/>
      </c>
      <c r="P628" s="252" t="n"/>
      <c r="Q628" s="252" t="n"/>
      <c r="R628" s="252" t="n"/>
      <c r="S628" s="244">
        <f>Q628*R628</f>
        <v/>
      </c>
    </row>
    <row r="629" ht="22.2" customHeight="1" s="330">
      <c r="A629" s="4" t="n"/>
      <c r="E629" s="4" t="n"/>
      <c r="F629" s="4" t="n"/>
      <c r="G629" s="278" t="n"/>
      <c r="H629" s="301" t="n"/>
      <c r="I629" s="276" t="n"/>
      <c r="J629" s="276" t="n"/>
      <c r="K629" s="476" t="n"/>
      <c r="L629" s="276" t="n"/>
      <c r="M629" s="276" t="n"/>
      <c r="N629" s="276" t="n"/>
      <c r="O629" s="244">
        <f>M629*N629</f>
        <v/>
      </c>
      <c r="P629" s="276" t="n"/>
      <c r="Q629" s="276" t="n"/>
      <c r="R629" s="276" t="n"/>
      <c r="S629" s="244">
        <f>Q629*R629</f>
        <v/>
      </c>
    </row>
    <row r="630" ht="22.2" customHeight="1" s="330">
      <c r="A630" s="4" t="n"/>
      <c r="E630" s="4" t="n"/>
      <c r="F630" s="4" t="n"/>
      <c r="G630" s="17" t="inlineStr">
        <is>
          <t>รวมขั่วโมงที่สอนแยก ภาระงาน/ เกินภาระงาน</t>
        </is>
      </c>
      <c r="H630" s="467" t="n"/>
      <c r="I630" s="467" t="n"/>
      <c r="J630" s="467" t="n"/>
      <c r="K630" s="362" t="n"/>
      <c r="L630" s="17">
        <f>SUM(L605:L629)</f>
        <v/>
      </c>
      <c r="M630" s="17">
        <f>SUM(M605:M629)</f>
        <v/>
      </c>
      <c r="N630" s="17" t="n"/>
      <c r="O630" s="17" t="n"/>
      <c r="P630" s="17">
        <f>SUM(P605:P629)</f>
        <v/>
      </c>
      <c r="Q630" s="17">
        <f>SUM(Q605:Q629)</f>
        <v/>
      </c>
      <c r="R630" s="279" t="n"/>
      <c r="S630" s="17" t="n"/>
    </row>
    <row r="631" ht="22.2" customHeight="1" s="330">
      <c r="A631" s="4" t="n"/>
      <c r="E631" s="4" t="n"/>
      <c r="F631" s="4" t="n"/>
      <c r="G631" s="17" t="inlineStr">
        <is>
          <t>รวมจำนวนชั่วโมงสอนคาบต่อสับดาห์</t>
        </is>
      </c>
      <c r="H631" s="467" t="n"/>
      <c r="I631" s="467" t="n"/>
      <c r="J631" s="467" t="n"/>
      <c r="K631" s="362" t="n"/>
      <c r="L631" s="17">
        <f>L630+M630</f>
        <v/>
      </c>
      <c r="M631" s="362" t="n"/>
      <c r="N631" s="298" t="n"/>
      <c r="O631" s="17" t="n"/>
      <c r="P631" s="17">
        <f>P630+Q630</f>
        <v/>
      </c>
      <c r="Q631" s="362" t="n"/>
      <c r="R631" s="278" t="n"/>
      <c r="S631" s="276" t="n"/>
    </row>
    <row r="632" ht="22.2" customHeight="1" s="330">
      <c r="A632" s="4" t="n"/>
      <c r="E632" s="4" t="n"/>
      <c r="F632" s="4" t="n"/>
      <c r="G632" s="17" t="inlineStr">
        <is>
          <t>จำนวนชั่วโมงสอนตามภาระงานสอน</t>
        </is>
      </c>
      <c r="H632" s="467" t="n"/>
      <c r="I632" s="467" t="n"/>
      <c r="J632" s="467" t="n"/>
      <c r="K632" s="362" t="n"/>
      <c r="L632" s="17" t="n">
        <v>0</v>
      </c>
      <c r="M632" s="362" t="n"/>
      <c r="N632" s="298" t="n"/>
      <c r="O632" s="17" t="n"/>
      <c r="P632" s="17" t="n">
        <v>15</v>
      </c>
      <c r="Q632" s="362" t="n"/>
      <c r="R632" s="249" t="n"/>
      <c r="S632" s="252" t="n"/>
    </row>
    <row r="633" ht="22.2" customHeight="1" s="330" thickBot="1">
      <c r="A633" s="4" t="n"/>
      <c r="E633" s="4" t="n"/>
      <c r="F633" s="15" t="n"/>
      <c r="G633" s="17" t="inlineStr">
        <is>
          <t>จำนวนชั่วโมงบิกเกินภาระงานสอน/ค่าสอน</t>
        </is>
      </c>
      <c r="H633" s="467" t="n"/>
      <c r="I633" s="467" t="n"/>
      <c r="J633" s="467" t="n"/>
      <c r="K633" s="362" t="n"/>
      <c r="L633" s="18" t="n">
        <v>0</v>
      </c>
      <c r="M633" s="18">
        <f>SUM(M605:M629)</f>
        <v/>
      </c>
      <c r="N633" s="18" t="n"/>
      <c r="O633" s="18">
        <f>SUM(O605:O629)</f>
        <v/>
      </c>
      <c r="P633" s="18" t="n">
        <v>0</v>
      </c>
      <c r="Q633" s="18">
        <f>SUM(Q605:Q629)</f>
        <v/>
      </c>
      <c r="R633" s="19" t="n"/>
      <c r="S633" s="18">
        <f>SUM(S605:S629)</f>
        <v/>
      </c>
    </row>
    <row r="634" ht="22.2" customHeight="1" s="330" thickTop="1">
      <c r="A634" s="299" t="inlineStr">
        <is>
          <t>รวมจำนวนหน่วยชั่วโมงที่ขอเบิกค่าสอน ….</t>
        </is>
      </c>
      <c r="B634" s="467" t="n"/>
      <c r="C634" s="467" t="n"/>
      <c r="D634" s="467" t="n"/>
      <c r="E634" s="467" t="n"/>
      <c r="F634" s="467" t="n"/>
      <c r="G634" s="467" t="n"/>
      <c r="H634" s="298">
        <f>M633+Q633</f>
        <v/>
      </c>
      <c r="I634" s="298" t="inlineStr">
        <is>
          <t>….ชั่วโมง</t>
        </is>
      </c>
      <c r="J634" s="298" t="n"/>
      <c r="K634" s="301" t="inlineStr">
        <is>
          <t>ยอดเงินรวม</t>
        </is>
      </c>
      <c r="L634" s="471" t="n"/>
      <c r="M634" s="471" t="n"/>
      <c r="N634" s="301" t="n"/>
      <c r="O634" s="301" t="n"/>
      <c r="P634" s="302">
        <f>S633+O633</f>
        <v/>
      </c>
      <c r="Q634" s="482" t="n"/>
      <c r="R634" s="21" t="n"/>
      <c r="S634" s="20" t="inlineStr">
        <is>
          <t>..บาท</t>
        </is>
      </c>
    </row>
    <row r="635" ht="22.2" customHeight="1" s="330">
      <c r="A635" s="207" t="inlineStr">
        <is>
          <t>ผู้ขอเบิก</t>
        </is>
      </c>
      <c r="B635" s="334" t="n"/>
      <c r="C635" s="334" t="n"/>
      <c r="D635" s="334" t="n"/>
      <c r="E635" s="334" t="n"/>
      <c r="F635" s="334" t="n"/>
      <c r="G635" s="335" t="n"/>
      <c r="H635" s="207" t="inlineStr">
        <is>
          <t>ผู้รับรอง</t>
        </is>
      </c>
      <c r="I635" s="334" t="n"/>
      <c r="J635" s="334" t="n"/>
      <c r="K635" s="334" t="n"/>
      <c r="L635" s="335" t="n"/>
      <c r="M635" s="207" t="inlineStr">
        <is>
          <t>ผู้ตรวจ</t>
        </is>
      </c>
      <c r="N635" s="334" t="n"/>
      <c r="O635" s="334" t="n"/>
      <c r="P635" s="334" t="n"/>
      <c r="Q635" s="334" t="n"/>
      <c r="R635" s="334" t="n"/>
      <c r="S635" s="335" t="n"/>
    </row>
    <row r="636" ht="22.2" customHeight="1" s="330">
      <c r="A636" s="252" t="inlineStr">
        <is>
          <t>ลงชื่อ……………………………………………</t>
        </is>
      </c>
      <c r="G636" s="331" t="n"/>
      <c r="H636" s="252" t="inlineStr">
        <is>
          <t>ลงชื่อ……………………………………………</t>
        </is>
      </c>
      <c r="L636" s="331" t="n"/>
      <c r="M636" s="252" t="inlineStr">
        <is>
          <t>ลงชื่อ……………………………………………</t>
        </is>
      </c>
      <c r="S636" s="331" t="n"/>
    </row>
    <row r="637" ht="22.2" customHeight="1" s="330">
      <c r="A637" s="12" t="inlineStr">
        <is>
          <t>(</t>
        </is>
      </c>
      <c r="B637" s="309">
        <f>B605</f>
        <v/>
      </c>
      <c r="G637" s="310" t="inlineStr">
        <is>
          <t>)</t>
        </is>
      </c>
      <c r="H637" s="309" t="inlineStr">
        <is>
          <t>(</t>
        </is>
      </c>
      <c r="I637" s="314">
        <f>I591</f>
        <v/>
      </c>
      <c r="L637" s="13" t="inlineStr">
        <is>
          <t>)</t>
        </is>
      </c>
      <c r="M637" s="61" t="inlineStr">
        <is>
          <t>(</t>
        </is>
      </c>
      <c r="N637" s="61" t="n"/>
      <c r="O637" s="309" t="inlineStr">
        <is>
          <t>นายพิสุทธิศักดิ์  กล่อมนาค</t>
        </is>
      </c>
      <c r="R637" s="29" t="n"/>
      <c r="S637" s="310" t="inlineStr">
        <is>
          <t>)</t>
        </is>
      </c>
    </row>
    <row r="638" ht="22.2" customHeight="1" s="330">
      <c r="A638" s="483" t="inlineStr">
        <is>
          <t xml:space="preserve">                        ตำแหน่ง ครู</t>
        </is>
      </c>
      <c r="G638" s="331" t="n"/>
      <c r="H638" s="62" t="inlineStr">
        <is>
          <t>ตำแหน่ง หัวหน้าแผนก</t>
        </is>
      </c>
      <c r="L638" s="331" t="n"/>
      <c r="M638" s="62" t="inlineStr">
        <is>
          <t>ตำแหน่ง   ผู้ตรวจสอบ</t>
        </is>
      </c>
      <c r="S638" s="331" t="n"/>
    </row>
    <row r="639" ht="22.2" customHeight="1" s="330">
      <c r="A639" s="63">
        <f>A87</f>
        <v/>
      </c>
      <c r="B639" s="471" t="n"/>
      <c r="C639" s="471" t="n"/>
      <c r="D639" s="471" t="n"/>
      <c r="E639" s="471" t="n"/>
      <c r="F639" s="471" t="n"/>
      <c r="G639" s="476" t="n"/>
      <c r="H639" s="62">
        <f>A87</f>
        <v/>
      </c>
      <c r="L639" s="331" t="n"/>
      <c r="M639" s="63">
        <f>A87</f>
        <v/>
      </c>
      <c r="N639" s="471" t="n"/>
      <c r="O639" s="471" t="n"/>
      <c r="P639" s="471" t="n"/>
      <c r="Q639" s="471" t="n"/>
      <c r="R639" s="471" t="n"/>
      <c r="S639" s="476" t="n"/>
    </row>
    <row r="640" ht="22.2" customHeight="1" s="330">
      <c r="A640" s="207" t="inlineStr">
        <is>
          <t>ผู้ตรวจ</t>
        </is>
      </c>
      <c r="B640" s="334" t="n"/>
      <c r="C640" s="334" t="n"/>
      <c r="D640" s="334" t="n"/>
      <c r="E640" s="334" t="n"/>
      <c r="F640" s="334" t="n"/>
      <c r="G640" s="334" t="n"/>
      <c r="H640" s="334" t="n"/>
      <c r="I640" s="335" t="n"/>
      <c r="J640" s="207" t="inlineStr">
        <is>
          <t>ผู้เห็นชอบ</t>
        </is>
      </c>
      <c r="K640" s="334" t="n"/>
      <c r="L640" s="334" t="n"/>
      <c r="M640" s="334" t="n"/>
      <c r="N640" s="334" t="n"/>
      <c r="O640" s="334" t="n"/>
      <c r="P640" s="334" t="n"/>
      <c r="Q640" s="334" t="n"/>
      <c r="R640" s="334" t="n"/>
      <c r="S640" s="335" t="n"/>
    </row>
    <row r="641" ht="22.2" customHeight="1" s="330">
      <c r="A641" s="252" t="inlineStr">
        <is>
          <t>ลงชื่อ……………………………………………</t>
        </is>
      </c>
      <c r="I641" s="331" t="n"/>
      <c r="J641" s="252" t="inlineStr">
        <is>
          <t>ลงชื่อ……………………………………………</t>
        </is>
      </c>
      <c r="S641" s="331" t="n"/>
    </row>
    <row r="642" ht="22.2" customHeight="1" s="330">
      <c r="A642" s="12" t="n"/>
      <c r="B642" s="309" t="inlineStr">
        <is>
          <t xml:space="preserve">          (นางศิวรักษ์   บุญประเสริฐ)</t>
        </is>
      </c>
      <c r="I642" s="310" t="n"/>
      <c r="J642" s="29" t="n"/>
      <c r="K642" s="29" t="n"/>
      <c r="L642" s="309" t="inlineStr">
        <is>
          <t>(นายปรีชา  โพธิ์เกิด)</t>
        </is>
      </c>
      <c r="R642" s="29" t="n"/>
      <c r="S642" s="13" t="n"/>
    </row>
    <row r="643" ht="22.2" customHeight="1" s="330">
      <c r="A643" s="62" t="inlineStr">
        <is>
          <t>ตำแหน่งครู  หัวหน้างานพัฒนาหลักสูตร ฯ</t>
        </is>
      </c>
      <c r="I643" s="331" t="n"/>
      <c r="J643" s="62" t="inlineStr">
        <is>
          <t>ตำแหน่ง  รองผู้อำนวยการฝ่ายวิชาการ</t>
        </is>
      </c>
      <c r="S643" s="331" t="n"/>
    </row>
    <row r="644" ht="22.2" customHeight="1" s="330">
      <c r="A644" s="63">
        <f>A87</f>
        <v/>
      </c>
      <c r="B644" s="471" t="n"/>
      <c r="C644" s="471" t="n"/>
      <c r="D644" s="471" t="n"/>
      <c r="E644" s="471" t="n"/>
      <c r="F644" s="471" t="n"/>
      <c r="G644" s="471" t="n"/>
      <c r="H644" s="471" t="n"/>
      <c r="I644" s="476" t="n"/>
      <c r="J644" s="63">
        <f>A87</f>
        <v/>
      </c>
      <c r="K644" s="471" t="n"/>
      <c r="L644" s="471" t="n"/>
      <c r="M644" s="471" t="n"/>
      <c r="N644" s="471" t="n"/>
      <c r="O644" s="471" t="n"/>
      <c r="P644" s="471" t="n"/>
      <c r="Q644" s="471" t="n"/>
      <c r="R644" s="471" t="n"/>
      <c r="S644" s="476" t="n"/>
    </row>
    <row r="645" ht="22.2" customHeight="1" s="330">
      <c r="A64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46" ht="22.2" customHeight="1" s="330">
      <c r="A646" s="254">
        <f>A2</f>
        <v/>
      </c>
    </row>
    <row r="647" ht="22.2" customHeight="1" s="330">
      <c r="A647" s="253" t="inlineStr">
        <is>
          <t xml:space="preserve">    ระหว่างวันที่</t>
        </is>
      </c>
      <c r="D647" s="254">
        <f>D49</f>
        <v/>
      </c>
      <c r="E647" s="254" t="inlineStr">
        <is>
          <t xml:space="preserve">   เดือน  </t>
        </is>
      </c>
      <c r="F647" s="254">
        <f>F49</f>
        <v/>
      </c>
      <c r="H647" s="254">
        <f>H49</f>
        <v/>
      </c>
      <c r="I647" s="254" t="inlineStr">
        <is>
          <t xml:space="preserve">     ถึง วันที่</t>
        </is>
      </c>
      <c r="J647" s="254">
        <f>J49</f>
        <v/>
      </c>
      <c r="K647" s="254" t="inlineStr">
        <is>
          <t xml:space="preserve">   เดือน </t>
        </is>
      </c>
      <c r="L647" s="254">
        <f>L49</f>
        <v/>
      </c>
      <c r="N647" s="254">
        <f>N49</f>
        <v/>
      </c>
      <c r="P647" s="254" t="n"/>
      <c r="R647" s="254" t="n"/>
    </row>
    <row r="648" ht="22.2" customHeight="1" s="330">
      <c r="G648" s="58" t="inlineStr">
        <is>
          <t>ü</t>
        </is>
      </c>
      <c r="H648" s="301" t="inlineStr">
        <is>
          <t>ครู</t>
        </is>
      </c>
      <c r="I648" s="301" t="inlineStr">
        <is>
          <t>หน้าที่พิเศษ</t>
        </is>
      </c>
      <c r="J648" s="290" t="n"/>
      <c r="K648" s="290" t="n"/>
      <c r="L648" s="290" t="n"/>
      <c r="M648" s="290" t="n"/>
      <c r="N648" s="290" t="n"/>
      <c r="O648" s="290" t="n"/>
      <c r="P648" s="290" t="n"/>
      <c r="Q648" s="290" t="n"/>
      <c r="R648" s="290" t="n"/>
      <c r="S648" s="290" t="n"/>
    </row>
    <row r="649" ht="22.2" customHeight="1" s="330">
      <c r="A649" s="28" t="inlineStr">
        <is>
          <t>ที่</t>
        </is>
      </c>
      <c r="B649" s="28" t="inlineStr">
        <is>
          <t>ชื่อ-สกุล</t>
        </is>
      </c>
      <c r="C649" s="334" t="n"/>
      <c r="D649" s="335" t="n"/>
      <c r="E649" s="16" t="inlineStr">
        <is>
          <t>ตำแหน่ง</t>
        </is>
      </c>
      <c r="F649" s="17" t="inlineStr">
        <is>
          <t>ระยะเวลาที่สอน</t>
        </is>
      </c>
      <c r="G649" s="362" t="n"/>
      <c r="H649" s="17" t="inlineStr">
        <is>
          <t>รหัสวิชา</t>
        </is>
      </c>
      <c r="I649" s="275" t="inlineStr">
        <is>
          <t>ชั้น,แผนก,ห้อง</t>
        </is>
      </c>
      <c r="J649" s="17" t="inlineStr">
        <is>
          <t>เวลาสอน</t>
        </is>
      </c>
      <c r="K649" s="335" t="n"/>
      <c r="L649" s="17" t="inlineStr">
        <is>
          <t>ปวช.(คาบ)</t>
        </is>
      </c>
      <c r="M649" s="362" t="n"/>
      <c r="N649" s="244" t="inlineStr">
        <is>
          <t>เงิน</t>
        </is>
      </c>
      <c r="O649" s="275" t="inlineStr">
        <is>
          <t>ยอดเงิน</t>
        </is>
      </c>
      <c r="P649" s="473" t="inlineStr">
        <is>
          <t>ปวส.(คาบ)</t>
        </is>
      </c>
      <c r="Q649" s="362" t="n"/>
      <c r="R649" s="244" t="inlineStr">
        <is>
          <t>เงิน</t>
        </is>
      </c>
      <c r="S649" s="275" t="inlineStr">
        <is>
          <t>ยอดเงิน</t>
        </is>
      </c>
    </row>
    <row r="650" ht="22.2" customHeight="1" s="330">
      <c r="A650" s="60" t="n"/>
      <c r="B650" s="9" t="n"/>
      <c r="C650" s="10" t="n"/>
      <c r="D650" s="14" t="n"/>
      <c r="E650" s="11" t="n"/>
      <c r="F650" s="276" t="inlineStr">
        <is>
          <t>ส.</t>
        </is>
      </c>
      <c r="G650" s="276" t="inlineStr">
        <is>
          <t>วดป.</t>
        </is>
      </c>
      <c r="H650" s="474" t="n"/>
      <c r="I650" s="276" t="n"/>
      <c r="J650" s="475" t="n"/>
      <c r="K650" s="476" t="n"/>
      <c r="L650" s="276" t="inlineStr">
        <is>
          <t>ใน</t>
        </is>
      </c>
      <c r="M650" s="276" t="inlineStr">
        <is>
          <t>นอก</t>
        </is>
      </c>
      <c r="N650" s="276" t="inlineStr">
        <is>
          <t>ต่อ ชม.</t>
        </is>
      </c>
      <c r="O650" s="276" t="inlineStr">
        <is>
          <t>(บาท)</t>
        </is>
      </c>
      <c r="P650" s="60" t="inlineStr">
        <is>
          <t>ใน</t>
        </is>
      </c>
      <c r="Q650" s="60" t="inlineStr">
        <is>
          <t>นอก</t>
        </is>
      </c>
      <c r="R650" s="276" t="inlineStr">
        <is>
          <t>ต่อ ชม.</t>
        </is>
      </c>
      <c r="S650" s="276" t="inlineStr">
        <is>
          <t>(บาท)</t>
        </is>
      </c>
    </row>
    <row r="651" ht="22.2" customHeight="1" s="330">
      <c r="A651" s="275" t="n">
        <v>15</v>
      </c>
      <c r="B651" s="477">
        <f>AB17</f>
        <v/>
      </c>
      <c r="C651" s="334" t="n"/>
      <c r="D651" s="335" t="n"/>
      <c r="E651" s="275" t="inlineStr">
        <is>
          <t>ครู</t>
        </is>
      </c>
      <c r="F651" s="6" t="n">
        <v>5</v>
      </c>
      <c r="G651" s="303" t="inlineStr">
        <is>
          <t>จันทร์</t>
        </is>
      </c>
      <c r="H651" s="252" t="inlineStr">
        <is>
          <t>30101-2007</t>
        </is>
      </c>
      <c r="I651" s="325" t="inlineStr">
        <is>
          <t>ปวส.1/6 ชย. (ปกติ)</t>
        </is>
      </c>
      <c r="J651" s="332" t="inlineStr">
        <is>
          <t>08.10-12.10</t>
        </is>
      </c>
      <c r="K651" s="335" t="n"/>
      <c r="L651" s="265" t="n"/>
      <c r="M651" s="332" t="n"/>
      <c r="N651" s="332" t="n"/>
      <c r="O651" s="244">
        <f>M651*N651</f>
        <v/>
      </c>
      <c r="P651" s="332" t="n"/>
      <c r="Q651" s="265" t="n"/>
      <c r="R651" s="332" t="n"/>
      <c r="S651" s="244">
        <f>Q651*R651</f>
        <v/>
      </c>
    </row>
    <row r="652" ht="22.2" customHeight="1" s="330">
      <c r="A652" s="4" t="n"/>
      <c r="B652" s="478" t="n"/>
      <c r="D652" s="331" t="n"/>
      <c r="E652" s="252" t="n"/>
      <c r="F652" s="249" t="n"/>
      <c r="G652" s="308">
        <f>G560</f>
        <v/>
      </c>
      <c r="H652" s="252" t="inlineStr">
        <is>
          <t>30101-2007</t>
        </is>
      </c>
      <c r="I652" s="325" t="inlineStr">
        <is>
          <t>ปวส.1/5 ชย. (ปกติ)</t>
        </is>
      </c>
      <c r="J652" s="252" t="inlineStr">
        <is>
          <t>13.10-17.10</t>
        </is>
      </c>
      <c r="K652" s="331" t="n"/>
      <c r="L652" s="252" t="n"/>
      <c r="M652" s="252" t="n"/>
      <c r="N652" s="252" t="n"/>
      <c r="O652" s="244">
        <f>M652*N652</f>
        <v/>
      </c>
      <c r="P652" s="252" t="n"/>
      <c r="Q652" s="252" t="n"/>
      <c r="R652" s="252" t="n"/>
      <c r="S652" s="244">
        <f>Q652*R652</f>
        <v/>
      </c>
    </row>
    <row r="653" ht="22.2" customHeight="1" s="330">
      <c r="A653" s="4" t="n"/>
      <c r="B653" s="5" t="n"/>
      <c r="D653" s="3" t="n"/>
      <c r="E653" s="3" t="n"/>
      <c r="F653" s="249" t="n"/>
      <c r="G653" s="248" t="n"/>
      <c r="H653" s="252" t="n"/>
      <c r="I653" s="252" t="n"/>
      <c r="J653" s="252" t="n"/>
      <c r="K653" s="331" t="n"/>
      <c r="L653" s="252" t="n"/>
      <c r="M653" s="252" t="n"/>
      <c r="N653" s="252" t="n"/>
      <c r="O653" s="244">
        <f>M653*N653</f>
        <v/>
      </c>
      <c r="P653" s="252" t="n"/>
      <c r="Q653" s="252" t="n"/>
      <c r="R653" s="252" t="n"/>
      <c r="S653" s="244">
        <f>Q653*R653</f>
        <v/>
      </c>
    </row>
    <row r="654" ht="22.2" customHeight="1" s="330">
      <c r="A654" s="4" t="n"/>
      <c r="B654" s="5" t="n"/>
      <c r="E654" s="4" t="n"/>
      <c r="F654" s="249" t="n"/>
      <c r="G654" s="248" t="n"/>
      <c r="H654" s="252" t="n"/>
      <c r="I654" s="252" t="n"/>
      <c r="J654" s="252" t="n"/>
      <c r="K654" s="331" t="n"/>
      <c r="L654" s="252" t="n"/>
      <c r="M654" s="252" t="n"/>
      <c r="N654" s="252" t="n"/>
      <c r="O654" s="244">
        <f>M654*N654</f>
        <v/>
      </c>
      <c r="P654" s="252" t="n"/>
      <c r="Q654" s="252" t="n"/>
      <c r="R654" s="252" t="n"/>
      <c r="S654" s="244">
        <f>Q654*R654</f>
        <v/>
      </c>
    </row>
    <row r="655" ht="22.2" customHeight="1" s="330">
      <c r="A655" s="4" t="n"/>
      <c r="E655" s="4" t="n"/>
      <c r="G655" s="311" t="n"/>
      <c r="H655" s="276" t="n"/>
      <c r="I655" s="276" t="n"/>
      <c r="J655" s="276" t="n"/>
      <c r="K655" s="476" t="n"/>
      <c r="L655" s="252" t="n"/>
      <c r="M655" s="252" t="n"/>
      <c r="N655" s="252" t="n"/>
      <c r="O655" s="244">
        <f>M655*N655</f>
        <v/>
      </c>
      <c r="P655" s="252" t="n"/>
      <c r="Q655" s="252" t="n"/>
      <c r="R655" s="252" t="n"/>
      <c r="S655" s="244">
        <f>Q655*R655</f>
        <v/>
      </c>
    </row>
    <row r="656" ht="22.2" customHeight="1" s="330">
      <c r="A656" s="4" t="n"/>
      <c r="E656" s="4" t="n"/>
      <c r="G656" s="62" t="inlineStr">
        <is>
          <t>อังคาร</t>
        </is>
      </c>
      <c r="H656" s="252" t="inlineStr">
        <is>
          <t>30101-2002</t>
        </is>
      </c>
      <c r="I656" s="325" t="inlineStr">
        <is>
          <t>ปวส.1/3,4 สย. (ม.6)</t>
        </is>
      </c>
      <c r="J656" s="332" t="inlineStr">
        <is>
          <t>08.10-11.10</t>
        </is>
      </c>
      <c r="K656" s="335" t="n"/>
      <c r="L656" s="265" t="n"/>
      <c r="M656" s="332" t="n"/>
      <c r="N656" s="332" t="n"/>
      <c r="O656" s="244">
        <f>M656*N656</f>
        <v/>
      </c>
      <c r="P656" s="332" t="n"/>
      <c r="Q656" s="265" t="n"/>
      <c r="R656" s="332" t="n"/>
      <c r="S656" s="244">
        <f>Q656*R656</f>
        <v/>
      </c>
    </row>
    <row r="657" ht="22.2" customHeight="1" s="330">
      <c r="A657" s="4" t="n"/>
      <c r="E657" s="4" t="n"/>
      <c r="G657" s="308">
        <f>G565</f>
        <v/>
      </c>
      <c r="H657" s="252" t="inlineStr">
        <is>
          <t>30101-2001</t>
        </is>
      </c>
      <c r="I657" s="325" t="inlineStr">
        <is>
          <t>ปวส.1/1,2 ชย. (ปกติ)</t>
        </is>
      </c>
      <c r="J657" s="252" t="inlineStr">
        <is>
          <t>13.10-16.10</t>
        </is>
      </c>
      <c r="K657" s="331" t="n"/>
      <c r="L657" s="252" t="n"/>
      <c r="M657" s="252" t="n"/>
      <c r="N657" s="252" t="n"/>
      <c r="O657" s="244">
        <f>M657*N657</f>
        <v/>
      </c>
      <c r="P657" s="252" t="n"/>
      <c r="Q657" s="252" t="n"/>
      <c r="R657" s="252" t="n"/>
      <c r="S657" s="244">
        <f>Q657*R657</f>
        <v/>
      </c>
    </row>
    <row r="658" ht="22.2" customHeight="1" s="330">
      <c r="A658" s="4" t="n"/>
      <c r="B658" s="5" t="n"/>
      <c r="D658" s="3" t="n"/>
      <c r="E658" s="3" t="n"/>
      <c r="G658" s="252" t="n"/>
      <c r="H658" s="325" t="n"/>
      <c r="I658" s="325" t="n"/>
      <c r="J658" s="325" t="n"/>
      <c r="K658" s="331" t="n"/>
      <c r="L658" s="252" t="n"/>
      <c r="M658" s="252" t="n"/>
      <c r="N658" s="252" t="n"/>
      <c r="O658" s="244">
        <f>M658*N658</f>
        <v/>
      </c>
      <c r="P658" s="252" t="n"/>
      <c r="Q658" s="252" t="n"/>
      <c r="R658" s="252" t="n"/>
      <c r="S658" s="244">
        <f>Q658*R658</f>
        <v/>
      </c>
    </row>
    <row r="659" ht="22.2" customHeight="1" s="330">
      <c r="A659" s="4" t="n"/>
      <c r="E659" s="4" t="n"/>
      <c r="G659" s="62" t="n"/>
      <c r="H659" s="249" t="n"/>
      <c r="I659" s="252" t="n"/>
      <c r="J659" s="252" t="n"/>
      <c r="K659" s="331" t="n"/>
      <c r="L659" s="252" t="n"/>
      <c r="M659" s="252" t="n"/>
      <c r="N659" s="252" t="n"/>
      <c r="O659" s="244">
        <f>M659*N659</f>
        <v/>
      </c>
      <c r="P659" s="252" t="n"/>
      <c r="Q659" s="252" t="n"/>
      <c r="R659" s="252" t="n"/>
      <c r="S659" s="244">
        <f>Q659*R659</f>
        <v/>
      </c>
    </row>
    <row r="660" ht="22.2" customHeight="1" s="330">
      <c r="A660" s="4" t="n"/>
      <c r="D660" s="8" t="inlineStr">
        <is>
          <t> </t>
        </is>
      </c>
      <c r="E660" s="4" t="n"/>
      <c r="G660" s="63" t="n"/>
      <c r="H660" s="276" t="n"/>
      <c r="I660" s="276" t="n"/>
      <c r="J660" s="276" t="n"/>
      <c r="K660" s="476" t="n"/>
      <c r="L660" s="252" t="n"/>
      <c r="M660" s="252" t="n"/>
      <c r="N660" s="252" t="n"/>
      <c r="O660" s="244">
        <f>M660*N660</f>
        <v/>
      </c>
      <c r="P660" s="252" t="n"/>
      <c r="Q660" s="252" t="n"/>
      <c r="R660" s="252" t="n"/>
      <c r="S660" s="244">
        <f>Q660*R660</f>
        <v/>
      </c>
    </row>
    <row r="661" ht="22.2" customHeight="1" s="330">
      <c r="A661" s="4" t="n"/>
      <c r="E661" s="4" t="n"/>
      <c r="G661" s="308" t="inlineStr">
        <is>
          <t>พุธ</t>
        </is>
      </c>
      <c r="H661" s="252" t="inlineStr">
        <is>
          <t>30101-2001</t>
        </is>
      </c>
      <c r="I661" s="325" t="inlineStr">
        <is>
          <t>ปวส.1/7 สย. (ทวิ)</t>
        </is>
      </c>
      <c r="J661" s="252" t="inlineStr">
        <is>
          <t>13.10-16.10</t>
        </is>
      </c>
      <c r="K661" s="331" t="n"/>
      <c r="L661" s="265" t="n"/>
      <c r="M661" s="332" t="n"/>
      <c r="N661" s="332" t="n"/>
      <c r="O661" s="244">
        <f>M661*N661</f>
        <v/>
      </c>
      <c r="P661" s="332" t="n"/>
      <c r="Q661" s="265" t="n"/>
      <c r="R661" s="332" t="n"/>
      <c r="S661" s="244">
        <f>Q661*R661</f>
        <v/>
      </c>
    </row>
    <row r="662" ht="22.2" customHeight="1" s="330">
      <c r="A662" s="4" t="n"/>
      <c r="B662" s="248" t="n"/>
      <c r="C662" s="249" t="n"/>
      <c r="D662" s="249" t="n"/>
      <c r="E662" s="252" t="n"/>
      <c r="G662" s="308">
        <f>G570</f>
        <v/>
      </c>
      <c r="H662" s="325" t="n"/>
      <c r="I662" s="325" t="n"/>
      <c r="J662" s="252" t="n"/>
      <c r="K662" s="331" t="n"/>
      <c r="L662" s="252" t="n"/>
      <c r="M662" s="252" t="n"/>
      <c r="N662" s="252" t="n"/>
      <c r="O662" s="244">
        <f>M662*N662</f>
        <v/>
      </c>
      <c r="P662" s="252" t="n"/>
      <c r="Q662" s="252" t="n"/>
      <c r="R662" s="252" t="n"/>
      <c r="S662" s="244">
        <f>Q662*R662</f>
        <v/>
      </c>
    </row>
    <row r="663" ht="22.2" customHeight="1" s="330">
      <c r="A663" s="4" t="n"/>
      <c r="B663" s="5" t="n"/>
      <c r="D663" s="3" t="n"/>
      <c r="E663" s="3" t="n"/>
      <c r="G663" s="252" t="n"/>
      <c r="H663" s="325" t="n"/>
      <c r="I663" s="325" t="n"/>
      <c r="J663" s="325" t="n"/>
      <c r="K663" s="331" t="n"/>
      <c r="L663" s="252" t="n"/>
      <c r="M663" s="252" t="n"/>
      <c r="N663" s="252" t="n"/>
      <c r="O663" s="244">
        <f>M663*N663</f>
        <v/>
      </c>
      <c r="P663" s="252" t="n"/>
      <c r="Q663" s="252" t="n"/>
      <c r="R663" s="252" t="n"/>
      <c r="S663" s="244">
        <f>Q663*R663</f>
        <v/>
      </c>
    </row>
    <row r="664" ht="22.2" customHeight="1" s="330">
      <c r="A664" s="4" t="n"/>
      <c r="E664" s="4" t="n"/>
      <c r="G664" s="248" t="n"/>
      <c r="H664" s="248" t="n"/>
      <c r="I664" s="252" t="n"/>
      <c r="J664" s="252" t="n"/>
      <c r="K664" s="331" t="n"/>
      <c r="L664" s="252" t="n"/>
      <c r="M664" s="252" t="n"/>
      <c r="N664" s="252" t="n"/>
      <c r="O664" s="244">
        <f>M664*N664</f>
        <v/>
      </c>
      <c r="P664" s="252" t="n"/>
      <c r="Q664" s="252" t="n"/>
      <c r="R664" s="252" t="n"/>
      <c r="S664" s="244">
        <f>Q664*R664</f>
        <v/>
      </c>
    </row>
    <row r="665" ht="22.2" customHeight="1" s="330">
      <c r="A665" s="4" t="n"/>
      <c r="E665" s="4" t="n"/>
      <c r="G665" s="277" t="n"/>
      <c r="H665" s="277" t="n"/>
      <c r="I665" s="276" t="n"/>
      <c r="J665" s="276" t="n"/>
      <c r="K665" s="476" t="n"/>
      <c r="L665" s="276" t="n"/>
      <c r="M665" s="276" t="n"/>
      <c r="N665" s="276" t="n"/>
      <c r="O665" s="244">
        <f>M665*N665</f>
        <v/>
      </c>
      <c r="P665" s="276" t="n"/>
      <c r="Q665" s="276" t="n"/>
      <c r="R665" s="276" t="n"/>
      <c r="S665" s="244">
        <f>Q665*R665</f>
        <v/>
      </c>
    </row>
    <row r="666" ht="22.2" customHeight="1" s="330">
      <c r="A666" s="4" t="n"/>
      <c r="E666" s="4" t="n"/>
      <c r="G666" s="62" t="inlineStr">
        <is>
          <t>พฤหัส</t>
        </is>
      </c>
      <c r="H666" s="252" t="inlineStr">
        <is>
          <t>30101-2007</t>
        </is>
      </c>
      <c r="I666" s="325" t="inlineStr">
        <is>
          <t>ปวส.1/4 สย. (ม.6)</t>
        </is>
      </c>
      <c r="J666" s="332" t="inlineStr">
        <is>
          <t>08.10-12.10</t>
        </is>
      </c>
      <c r="K666" s="335" t="n"/>
      <c r="L666" s="265" t="n"/>
      <c r="M666" s="332" t="n"/>
      <c r="N666" s="325" t="n"/>
      <c r="O666" s="244">
        <f>M666*N666</f>
        <v/>
      </c>
      <c r="P666" s="252" t="n"/>
      <c r="Q666" s="275" t="n"/>
      <c r="R666" s="275" t="n"/>
      <c r="S666" s="244">
        <f>Q666*R666</f>
        <v/>
      </c>
    </row>
    <row r="667" ht="22.2" customHeight="1" s="330">
      <c r="A667" s="4" t="n"/>
      <c r="E667" s="4" t="n"/>
      <c r="G667" s="308">
        <f>G575</f>
        <v/>
      </c>
      <c r="H667" s="252" t="inlineStr">
        <is>
          <t>30101-2007</t>
        </is>
      </c>
      <c r="I667" s="325" t="inlineStr">
        <is>
          <t>ปวส.1/3 สย. (ม.6)</t>
        </is>
      </c>
      <c r="J667" s="252" t="inlineStr">
        <is>
          <t>15.10-19.10</t>
        </is>
      </c>
      <c r="K667" s="331" t="n"/>
      <c r="L667" s="252" t="n"/>
      <c r="M667" s="252" t="n"/>
      <c r="N667" s="252" t="n"/>
      <c r="O667" s="244">
        <f>M667*N667</f>
        <v/>
      </c>
      <c r="P667" s="252" t="n"/>
      <c r="Q667" s="252" t="n"/>
      <c r="R667" s="252" t="n"/>
      <c r="S667" s="244">
        <f>Q667*R667</f>
        <v/>
      </c>
    </row>
    <row r="668" ht="22.2" customHeight="1" s="330">
      <c r="A668" s="4" t="n"/>
      <c r="B668" s="5" t="n"/>
      <c r="E668" s="4" t="n"/>
      <c r="G668" s="252" t="n"/>
      <c r="H668" s="325" t="n"/>
      <c r="I668" s="325" t="n"/>
      <c r="J668" s="325" t="n"/>
      <c r="K668" s="331" t="n"/>
      <c r="L668" s="325" t="n"/>
      <c r="M668" s="325" t="n"/>
      <c r="N668" s="325" t="n"/>
      <c r="O668" s="244">
        <f>M668*N668</f>
        <v/>
      </c>
      <c r="P668" s="325" t="n"/>
      <c r="Q668" s="325" t="n"/>
      <c r="R668" s="325" t="n"/>
      <c r="S668" s="244">
        <f>Q668*R668</f>
        <v/>
      </c>
    </row>
    <row r="669" ht="22.2" customHeight="1" s="330">
      <c r="A669" s="4" t="n"/>
      <c r="E669" s="4" t="n"/>
      <c r="G669" s="252" t="n"/>
      <c r="H669" s="252" t="n"/>
      <c r="I669" s="252" t="n"/>
      <c r="J669" s="252" t="n"/>
      <c r="K669" s="331" t="n"/>
      <c r="L669" s="252" t="n"/>
      <c r="M669" s="252" t="n"/>
      <c r="N669" s="252" t="n"/>
      <c r="O669" s="244">
        <f>M669*N669</f>
        <v/>
      </c>
      <c r="P669" s="252" t="n"/>
      <c r="Q669" s="252" t="n"/>
      <c r="R669" s="252" t="n"/>
      <c r="S669" s="244">
        <f>Q669*R669</f>
        <v/>
      </c>
    </row>
    <row r="670" ht="22.2" customHeight="1" s="330">
      <c r="A670" s="4" t="n"/>
      <c r="E670" s="4" t="n"/>
      <c r="G670" s="276" t="n"/>
      <c r="H670" s="301" t="n"/>
      <c r="I670" s="276" t="n"/>
      <c r="J670" s="276" t="n"/>
      <c r="K670" s="476" t="n"/>
      <c r="L670" s="276" t="n"/>
      <c r="M670" s="276" t="n"/>
      <c r="N670" s="276" t="n"/>
      <c r="O670" s="244">
        <f>M670*N670</f>
        <v/>
      </c>
      <c r="P670" s="276" t="n"/>
      <c r="Q670" s="276" t="n"/>
      <c r="R670" s="276" t="n"/>
      <c r="S670" s="244">
        <f>Q670*R670</f>
        <v/>
      </c>
    </row>
    <row r="671" ht="22.2" customHeight="1" s="330">
      <c r="A671" s="4" t="n"/>
      <c r="E671" s="4" t="n"/>
      <c r="G671" s="62" t="inlineStr">
        <is>
          <t>ศุกร์</t>
        </is>
      </c>
      <c r="H671" s="252" t="inlineStr">
        <is>
          <t>30101-2007</t>
        </is>
      </c>
      <c r="I671" s="325" t="inlineStr">
        <is>
          <t>ปวส.1/7 สย. (ทวิ)</t>
        </is>
      </c>
      <c r="J671" s="332" t="inlineStr">
        <is>
          <t>08.10-12.10</t>
        </is>
      </c>
      <c r="K671" s="335" t="n"/>
      <c r="L671" s="265" t="n"/>
      <c r="M671" s="332" t="n"/>
      <c r="N671" s="332" t="n"/>
      <c r="O671" s="244">
        <f>M671*N671</f>
        <v/>
      </c>
      <c r="P671" s="332" t="n"/>
      <c r="Q671" s="265" t="n"/>
      <c r="R671" s="332" t="n"/>
      <c r="S671" s="244">
        <f>Q671*R671</f>
        <v/>
      </c>
    </row>
    <row r="672" ht="22.2" customHeight="1" s="330">
      <c r="A672" s="4" t="n"/>
      <c r="E672" s="4" t="n"/>
      <c r="G672" s="308">
        <f>G580</f>
        <v/>
      </c>
      <c r="H672" s="325" t="n"/>
      <c r="I672" s="325" t="n"/>
      <c r="J672" s="325" t="n"/>
      <c r="K672" s="331" t="n"/>
      <c r="L672" s="252" t="n"/>
      <c r="M672" s="252" t="n"/>
      <c r="N672" s="252" t="n"/>
      <c r="O672" s="244">
        <f>M672*N672</f>
        <v/>
      </c>
      <c r="P672" s="252" t="n"/>
      <c r="Q672" s="252" t="n"/>
      <c r="R672" s="252" t="n"/>
      <c r="S672" s="244">
        <f>Q672*R672</f>
        <v/>
      </c>
    </row>
    <row r="673" ht="22.2" customHeight="1" s="330">
      <c r="A673" s="4" t="n"/>
      <c r="E673" s="4" t="n"/>
      <c r="G673" s="252" t="n"/>
      <c r="H673" s="325" t="n"/>
      <c r="I673" s="325" t="n"/>
      <c r="J673" s="325" t="n"/>
      <c r="K673" s="331" t="n"/>
      <c r="L673" s="252" t="n"/>
      <c r="M673" s="252" t="n"/>
      <c r="N673" s="252" t="n"/>
      <c r="O673" s="244">
        <f>M673*N673</f>
        <v/>
      </c>
      <c r="P673" s="252" t="n"/>
      <c r="Q673" s="252" t="n"/>
      <c r="R673" s="252" t="n"/>
      <c r="S673" s="244">
        <f>Q673*R673</f>
        <v/>
      </c>
    </row>
    <row r="674" ht="22.2" customHeight="1" s="330">
      <c r="A674" s="4" t="n"/>
      <c r="E674" s="4" t="n"/>
      <c r="G674" s="252" t="n"/>
      <c r="H674" s="249" t="n"/>
      <c r="I674" s="252" t="n"/>
      <c r="J674" s="252" t="n"/>
      <c r="K674" s="331" t="n"/>
      <c r="L674" s="252" t="n"/>
      <c r="M674" s="252" t="n"/>
      <c r="N674" s="252" t="n"/>
      <c r="O674" s="244">
        <f>M674*N674</f>
        <v/>
      </c>
      <c r="P674" s="252" t="n"/>
      <c r="Q674" s="252" t="n"/>
      <c r="R674" s="252" t="n"/>
      <c r="S674" s="244">
        <f>Q674*R674</f>
        <v/>
      </c>
    </row>
    <row r="675" ht="22.2" customHeight="1" s="330">
      <c r="A675" s="4" t="n"/>
      <c r="E675" s="4" t="n"/>
      <c r="F675" s="4" t="n"/>
      <c r="G675" s="278" t="n"/>
      <c r="H675" s="301" t="n"/>
      <c r="I675" s="276" t="n"/>
      <c r="J675" s="276" t="n"/>
      <c r="K675" s="476" t="n"/>
      <c r="L675" s="276" t="n"/>
      <c r="M675" s="276" t="n"/>
      <c r="N675" s="276" t="n"/>
      <c r="O675" s="244">
        <f>M675*N675</f>
        <v/>
      </c>
      <c r="P675" s="276" t="n"/>
      <c r="Q675" s="276" t="n"/>
      <c r="R675" s="276" t="n"/>
      <c r="S675" s="244">
        <f>Q675*R675</f>
        <v/>
      </c>
    </row>
    <row r="676" ht="22.2" customHeight="1" s="330">
      <c r="A676" s="4" t="n"/>
      <c r="E676" s="4" t="n"/>
      <c r="F676" s="4" t="n"/>
      <c r="G676" s="17" t="inlineStr">
        <is>
          <t>รวมขั่วโมงที่สอนแยก ภาระงาน/ เกินภาระงาน</t>
        </is>
      </c>
      <c r="H676" s="467" t="n"/>
      <c r="I676" s="467" t="n"/>
      <c r="J676" s="467" t="n"/>
      <c r="K676" s="362" t="n"/>
      <c r="L676" s="17">
        <f>SUM(L651:L675)</f>
        <v/>
      </c>
      <c r="M676" s="17">
        <f>SUM(M651:M675)</f>
        <v/>
      </c>
      <c r="N676" s="17" t="n"/>
      <c r="O676" s="17" t="n"/>
      <c r="P676" s="17">
        <f>SUM(P651:P675)</f>
        <v/>
      </c>
      <c r="Q676" s="17">
        <f>SUM(Q651:Q675)</f>
        <v/>
      </c>
      <c r="R676" s="279" t="n"/>
      <c r="S676" s="17" t="n"/>
    </row>
    <row r="677" ht="22.2" customHeight="1" s="330">
      <c r="A677" s="4" t="n"/>
      <c r="E677" s="4" t="n"/>
      <c r="F677" s="4" t="n"/>
      <c r="G677" s="17" t="inlineStr">
        <is>
          <t>รวมจำนวนชั่วโมงสอนคาบต่อสับดาห์</t>
        </is>
      </c>
      <c r="H677" s="467" t="n"/>
      <c r="I677" s="467" t="n"/>
      <c r="J677" s="467" t="n"/>
      <c r="K677" s="362" t="n"/>
      <c r="L677" s="17">
        <f>L676+M676</f>
        <v/>
      </c>
      <c r="M677" s="362" t="n"/>
      <c r="N677" s="298" t="n"/>
      <c r="O677" s="17" t="n"/>
      <c r="P677" s="17">
        <f>P676+Q676</f>
        <v/>
      </c>
      <c r="Q677" s="362" t="n"/>
      <c r="R677" s="278" t="n"/>
      <c r="S677" s="276" t="n"/>
    </row>
    <row r="678" ht="22.2" customHeight="1" s="330">
      <c r="A678" s="4" t="n"/>
      <c r="E678" s="4" t="n"/>
      <c r="F678" s="4" t="n"/>
      <c r="G678" s="17" t="inlineStr">
        <is>
          <t>จำนวนชั่วโมงสอนตามภาระงานสอน</t>
        </is>
      </c>
      <c r="H678" s="467" t="n"/>
      <c r="I678" s="467" t="n"/>
      <c r="J678" s="467" t="n"/>
      <c r="K678" s="362" t="n"/>
      <c r="L678" s="17" t="n">
        <v>0</v>
      </c>
      <c r="M678" s="362" t="n"/>
      <c r="N678" s="298" t="n"/>
      <c r="O678" s="17" t="n"/>
      <c r="P678" s="17" t="n">
        <v>15</v>
      </c>
      <c r="Q678" s="362" t="n"/>
      <c r="R678" s="249" t="n"/>
      <c r="S678" s="252" t="n"/>
    </row>
    <row r="679" ht="22.2" customHeight="1" s="330" thickBot="1">
      <c r="A679" s="4" t="n"/>
      <c r="E679" s="4" t="n"/>
      <c r="F679" s="15" t="n"/>
      <c r="G679" s="17" t="inlineStr">
        <is>
          <t>จำนวนชั่วโมงบิกเกินภาระงานสอน/ค่าสอน</t>
        </is>
      </c>
      <c r="H679" s="467" t="n"/>
      <c r="I679" s="467" t="n"/>
      <c r="J679" s="467" t="n"/>
      <c r="K679" s="362" t="n"/>
      <c r="L679" s="18" t="n">
        <v>0</v>
      </c>
      <c r="M679" s="18">
        <f>SUM(M651:M675)</f>
        <v/>
      </c>
      <c r="N679" s="18" t="n"/>
      <c r="O679" s="18">
        <f>SUM(O651:O675)</f>
        <v/>
      </c>
      <c r="P679" s="18" t="n">
        <v>0</v>
      </c>
      <c r="Q679" s="18">
        <f>SUM(Q651:Q675)</f>
        <v/>
      </c>
      <c r="R679" s="19" t="n"/>
      <c r="S679" s="18">
        <f>SUM(S651:S675)</f>
        <v/>
      </c>
    </row>
    <row r="680" ht="22.2" customHeight="1" s="330" thickTop="1">
      <c r="A680" s="299" t="inlineStr">
        <is>
          <t>รวมจำนวนหน่วยชั่วโมงที่ขอเบิกค่าสอน ….</t>
        </is>
      </c>
      <c r="B680" s="467" t="n"/>
      <c r="C680" s="467" t="n"/>
      <c r="D680" s="467" t="n"/>
      <c r="E680" s="467" t="n"/>
      <c r="F680" s="467" t="n"/>
      <c r="G680" s="467" t="n"/>
      <c r="H680" s="298">
        <f>M679+Q679</f>
        <v/>
      </c>
      <c r="I680" s="298" t="inlineStr">
        <is>
          <t>….ชั่วโมง</t>
        </is>
      </c>
      <c r="J680" s="298" t="n"/>
      <c r="K680" s="301" t="inlineStr">
        <is>
          <t>ยอดเงินรวม</t>
        </is>
      </c>
      <c r="L680" s="471" t="n"/>
      <c r="M680" s="471" t="n"/>
      <c r="N680" s="301" t="n"/>
      <c r="O680" s="301" t="n"/>
      <c r="P680" s="302">
        <f>S679+O679</f>
        <v/>
      </c>
      <c r="Q680" s="482" t="n"/>
      <c r="R680" s="21" t="n"/>
      <c r="S680" s="20" t="inlineStr">
        <is>
          <t>..บาท</t>
        </is>
      </c>
    </row>
    <row r="681" ht="22.2" customHeight="1" s="330">
      <c r="A681" s="207" t="inlineStr">
        <is>
          <t>ผู้ขอเบิก</t>
        </is>
      </c>
      <c r="B681" s="334" t="n"/>
      <c r="C681" s="334" t="n"/>
      <c r="D681" s="334" t="n"/>
      <c r="E681" s="334" t="n"/>
      <c r="F681" s="334" t="n"/>
      <c r="G681" s="335" t="n"/>
      <c r="H681" s="207" t="inlineStr">
        <is>
          <t>ผู้รับรอง</t>
        </is>
      </c>
      <c r="I681" s="334" t="n"/>
      <c r="J681" s="334" t="n"/>
      <c r="K681" s="334" t="n"/>
      <c r="L681" s="335" t="n"/>
      <c r="M681" s="207" t="inlineStr">
        <is>
          <t>ผู้ตรวจ</t>
        </is>
      </c>
      <c r="N681" s="334" t="n"/>
      <c r="O681" s="334" t="n"/>
      <c r="P681" s="334" t="n"/>
      <c r="Q681" s="334" t="n"/>
      <c r="R681" s="334" t="n"/>
      <c r="S681" s="335" t="n"/>
    </row>
    <row r="682" ht="22.2" customHeight="1" s="330">
      <c r="A682" s="252" t="inlineStr">
        <is>
          <t>ลงชื่อ……………………………………………</t>
        </is>
      </c>
      <c r="G682" s="331" t="n"/>
      <c r="H682" s="252" t="inlineStr">
        <is>
          <t>ลงชื่อ……………………………………………</t>
        </is>
      </c>
      <c r="L682" s="331" t="n"/>
      <c r="M682" s="252" t="inlineStr">
        <is>
          <t>ลงชื่อ……………………………………………</t>
        </is>
      </c>
      <c r="S682" s="331" t="n"/>
    </row>
    <row r="683" ht="22.2" customHeight="1" s="330">
      <c r="A683" s="12" t="inlineStr">
        <is>
          <t>(</t>
        </is>
      </c>
      <c r="B683" s="309">
        <f>B651</f>
        <v/>
      </c>
      <c r="G683" s="310" t="inlineStr">
        <is>
          <t>)</t>
        </is>
      </c>
      <c r="H683" s="309" t="inlineStr">
        <is>
          <t>(</t>
        </is>
      </c>
      <c r="I683" s="314">
        <f>I637</f>
        <v/>
      </c>
      <c r="L683" s="13" t="inlineStr">
        <is>
          <t>)</t>
        </is>
      </c>
      <c r="M683" s="61" t="inlineStr">
        <is>
          <t>(</t>
        </is>
      </c>
      <c r="N683" s="61" t="n"/>
      <c r="O683" s="309" t="inlineStr">
        <is>
          <t>นายพิสุทธิศักดิ์  กล่อมนาค</t>
        </is>
      </c>
      <c r="R683" s="29" t="n"/>
      <c r="S683" s="310" t="inlineStr">
        <is>
          <t>)</t>
        </is>
      </c>
    </row>
    <row r="684" ht="22.2" customHeight="1" s="330">
      <c r="A684" s="483" t="inlineStr">
        <is>
          <t xml:space="preserve">                        ตำแหน่ง ครู</t>
        </is>
      </c>
      <c r="G684" s="331" t="n"/>
      <c r="H684" s="62" t="inlineStr">
        <is>
          <t>ตำแหน่ง หัวหน้าแผนก</t>
        </is>
      </c>
      <c r="L684" s="331" t="n"/>
      <c r="M684" s="62" t="inlineStr">
        <is>
          <t>ตำแหน่ง   ผู้ตรวจสอบ</t>
        </is>
      </c>
      <c r="S684" s="331" t="n"/>
    </row>
    <row r="685" ht="22.2" customHeight="1" s="330">
      <c r="A685" s="63">
        <f>A87</f>
        <v/>
      </c>
      <c r="B685" s="471" t="n"/>
      <c r="C685" s="471" t="n"/>
      <c r="D685" s="471" t="n"/>
      <c r="E685" s="471" t="n"/>
      <c r="F685" s="471" t="n"/>
      <c r="G685" s="476" t="n"/>
      <c r="H685" s="62">
        <f>A87</f>
        <v/>
      </c>
      <c r="L685" s="331" t="n"/>
      <c r="M685" s="63">
        <f>A87</f>
        <v/>
      </c>
      <c r="N685" s="471" t="n"/>
      <c r="O685" s="471" t="n"/>
      <c r="P685" s="471" t="n"/>
      <c r="Q685" s="471" t="n"/>
      <c r="R685" s="471" t="n"/>
      <c r="S685" s="476" t="n"/>
    </row>
    <row r="686" ht="22.2" customHeight="1" s="330">
      <c r="A686" s="207" t="inlineStr">
        <is>
          <t>ผู้ตรวจ</t>
        </is>
      </c>
      <c r="B686" s="334" t="n"/>
      <c r="C686" s="334" t="n"/>
      <c r="D686" s="334" t="n"/>
      <c r="E686" s="334" t="n"/>
      <c r="F686" s="334" t="n"/>
      <c r="G686" s="334" t="n"/>
      <c r="H686" s="334" t="n"/>
      <c r="I686" s="335" t="n"/>
      <c r="J686" s="207" t="inlineStr">
        <is>
          <t>ผู้เห็นชอบ</t>
        </is>
      </c>
      <c r="K686" s="334" t="n"/>
      <c r="L686" s="334" t="n"/>
      <c r="M686" s="334" t="n"/>
      <c r="N686" s="334" t="n"/>
      <c r="O686" s="334" t="n"/>
      <c r="P686" s="334" t="n"/>
      <c r="Q686" s="334" t="n"/>
      <c r="R686" s="334" t="n"/>
      <c r="S686" s="335" t="n"/>
    </row>
    <row r="687" ht="22.2" customHeight="1" s="330">
      <c r="A687" s="252" t="inlineStr">
        <is>
          <t>ลงชื่อ……………………………………………</t>
        </is>
      </c>
      <c r="I687" s="331" t="n"/>
      <c r="J687" s="252" t="inlineStr">
        <is>
          <t>ลงชื่อ……………………………………………</t>
        </is>
      </c>
      <c r="S687" s="331" t="n"/>
    </row>
    <row r="688" ht="22.2" customHeight="1" s="330">
      <c r="A688" s="12" t="n"/>
      <c r="B688" s="309" t="inlineStr">
        <is>
          <t xml:space="preserve">          (นางศิวรักษ์   บุญประเสริฐ)</t>
        </is>
      </c>
      <c r="I688" s="310" t="n"/>
      <c r="J688" s="29" t="n"/>
      <c r="K688" s="29" t="n"/>
      <c r="L688" s="309" t="inlineStr">
        <is>
          <t>(นายปรีชา  โพธิ์เกิด)</t>
        </is>
      </c>
      <c r="R688" s="29" t="n"/>
      <c r="S688" s="13" t="n"/>
    </row>
    <row r="689" ht="22.2" customHeight="1" s="330">
      <c r="A689" s="62" t="inlineStr">
        <is>
          <t>ตำแหน่งครู  หัวหน้างานพัฒนาหลักสูตร ฯ</t>
        </is>
      </c>
      <c r="I689" s="331" t="n"/>
      <c r="J689" s="62" t="inlineStr">
        <is>
          <t>ตำแหน่ง  รองผู้อำนวยการฝ่ายวิชาการ</t>
        </is>
      </c>
      <c r="S689" s="331" t="n"/>
    </row>
    <row r="690" ht="22.2" customHeight="1" s="330">
      <c r="A690" s="63">
        <f>A87</f>
        <v/>
      </c>
      <c r="B690" s="471" t="n"/>
      <c r="C690" s="471" t="n"/>
      <c r="D690" s="471" t="n"/>
      <c r="E690" s="471" t="n"/>
      <c r="F690" s="471" t="n"/>
      <c r="G690" s="471" t="n"/>
      <c r="H690" s="471" t="n"/>
      <c r="I690" s="476" t="n"/>
      <c r="J690" s="63">
        <f>A87</f>
        <v/>
      </c>
      <c r="K690" s="471" t="n"/>
      <c r="L690" s="471" t="n"/>
      <c r="M690" s="471" t="n"/>
      <c r="N690" s="471" t="n"/>
      <c r="O690" s="471" t="n"/>
      <c r="P690" s="471" t="n"/>
      <c r="Q690" s="471" t="n"/>
      <c r="R690" s="471" t="n"/>
      <c r="S690" s="476" t="n"/>
    </row>
    <row r="691" ht="22.2" customHeight="1" s="330">
      <c r="A69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692" ht="22.2" customHeight="1" s="330">
      <c r="A692" s="254">
        <f>A2</f>
        <v/>
      </c>
    </row>
    <row r="693" ht="22.2" customHeight="1" s="330">
      <c r="A693" s="253" t="inlineStr">
        <is>
          <t xml:space="preserve">    ระหว่างวันที่</t>
        </is>
      </c>
      <c r="D693" s="254">
        <f>D95</f>
        <v/>
      </c>
      <c r="E693" s="254" t="inlineStr">
        <is>
          <t xml:space="preserve">   เดือน  </t>
        </is>
      </c>
      <c r="F693" s="254">
        <f>F95</f>
        <v/>
      </c>
      <c r="H693" s="254">
        <f>H95</f>
        <v/>
      </c>
      <c r="I693" s="254" t="inlineStr">
        <is>
          <t xml:space="preserve">     ถึง วันที่</t>
        </is>
      </c>
      <c r="J693" s="254">
        <f>J95</f>
        <v/>
      </c>
      <c r="K693" s="254" t="inlineStr">
        <is>
          <t xml:space="preserve">   เดือน </t>
        </is>
      </c>
      <c r="L693" s="254">
        <f>L95</f>
        <v/>
      </c>
      <c r="N693" s="254">
        <f>N95</f>
        <v/>
      </c>
      <c r="P693" s="254" t="n"/>
      <c r="R693" s="254" t="n"/>
    </row>
    <row r="694" ht="22.2" customHeight="1" s="330">
      <c r="G694" s="58" t="inlineStr">
        <is>
          <t>ü</t>
        </is>
      </c>
      <c r="H694" s="301" t="inlineStr">
        <is>
          <t>ครู</t>
        </is>
      </c>
      <c r="I694" s="301" t="inlineStr">
        <is>
          <t>หน้าที่พิเศษ</t>
        </is>
      </c>
      <c r="J694" s="290" t="n"/>
      <c r="K694" s="290" t="n"/>
      <c r="L694" s="290" t="n"/>
      <c r="M694" s="290" t="n"/>
      <c r="N694" s="290" t="n"/>
      <c r="O694" s="290" t="n"/>
      <c r="P694" s="290" t="n"/>
      <c r="Q694" s="290" t="n"/>
      <c r="R694" s="290" t="n"/>
      <c r="S694" s="290" t="n"/>
    </row>
    <row r="695" ht="22.2" customHeight="1" s="330">
      <c r="A695" s="28" t="inlineStr">
        <is>
          <t>ที่</t>
        </is>
      </c>
      <c r="B695" s="28" t="inlineStr">
        <is>
          <t>ชื่อ-สกุล</t>
        </is>
      </c>
      <c r="C695" s="334" t="n"/>
      <c r="D695" s="335" t="n"/>
      <c r="E695" s="16" t="inlineStr">
        <is>
          <t>ตำแหน่ง</t>
        </is>
      </c>
      <c r="F695" s="17" t="inlineStr">
        <is>
          <t>ระยะเวลาที่สอน</t>
        </is>
      </c>
      <c r="G695" s="362" t="n"/>
      <c r="H695" s="17" t="inlineStr">
        <is>
          <t>รหัสวิชา</t>
        </is>
      </c>
      <c r="I695" s="275" t="inlineStr">
        <is>
          <t>ชั้น,แผนก,ห้อง</t>
        </is>
      </c>
      <c r="J695" s="17" t="inlineStr">
        <is>
          <t>เวลาสอน</t>
        </is>
      </c>
      <c r="K695" s="335" t="n"/>
      <c r="L695" s="17" t="inlineStr">
        <is>
          <t>ปวช.(คาบ)</t>
        </is>
      </c>
      <c r="M695" s="362" t="n"/>
      <c r="N695" s="244" t="inlineStr">
        <is>
          <t>เงิน</t>
        </is>
      </c>
      <c r="O695" s="275" t="inlineStr">
        <is>
          <t>ยอดเงิน</t>
        </is>
      </c>
      <c r="P695" s="473" t="inlineStr">
        <is>
          <t>ปวส.(คาบ)</t>
        </is>
      </c>
      <c r="Q695" s="362" t="n"/>
      <c r="R695" s="244" t="inlineStr">
        <is>
          <t>เงิน</t>
        </is>
      </c>
      <c r="S695" s="275" t="inlineStr">
        <is>
          <t>ยอดเงิน</t>
        </is>
      </c>
    </row>
    <row r="696" ht="22.2" customHeight="1" s="330">
      <c r="A696" s="60" t="n"/>
      <c r="B696" s="9" t="n"/>
      <c r="C696" s="10" t="n"/>
      <c r="D696" s="14" t="n"/>
      <c r="E696" s="11" t="n"/>
      <c r="F696" s="276" t="inlineStr">
        <is>
          <t>ส.</t>
        </is>
      </c>
      <c r="G696" s="276" t="inlineStr">
        <is>
          <t>วดป.</t>
        </is>
      </c>
      <c r="H696" s="474" t="n"/>
      <c r="I696" s="276" t="n"/>
      <c r="J696" s="475" t="n"/>
      <c r="K696" s="476" t="n"/>
      <c r="L696" s="276" t="inlineStr">
        <is>
          <t>ใน</t>
        </is>
      </c>
      <c r="M696" s="276" t="inlineStr">
        <is>
          <t>นอก</t>
        </is>
      </c>
      <c r="N696" s="276" t="inlineStr">
        <is>
          <t>ต่อ ชม.</t>
        </is>
      </c>
      <c r="O696" s="276" t="inlineStr">
        <is>
          <t>(บาท)</t>
        </is>
      </c>
      <c r="P696" s="60" t="inlineStr">
        <is>
          <t>ใน</t>
        </is>
      </c>
      <c r="Q696" s="60" t="inlineStr">
        <is>
          <t>นอก</t>
        </is>
      </c>
      <c r="R696" s="276" t="inlineStr">
        <is>
          <t>ต่อ ชม.</t>
        </is>
      </c>
      <c r="S696" s="276" t="inlineStr">
        <is>
          <t>(บาท)</t>
        </is>
      </c>
    </row>
    <row r="697" ht="22.2" customHeight="1" s="330">
      <c r="A697" s="275" t="n">
        <v>16</v>
      </c>
      <c r="B697" s="477">
        <f>AB18</f>
        <v/>
      </c>
      <c r="C697" s="334" t="n"/>
      <c r="D697" s="335" t="n"/>
      <c r="E697" s="275" t="inlineStr">
        <is>
          <t>ครู</t>
        </is>
      </c>
      <c r="F697" s="6" t="n">
        <v>5</v>
      </c>
      <c r="G697" s="303" t="inlineStr">
        <is>
          <t>จันทร์</t>
        </is>
      </c>
      <c r="H697" s="332" t="n"/>
      <c r="I697" s="325" t="n"/>
      <c r="J697" s="332" t="n"/>
      <c r="K697" s="335" t="n"/>
      <c r="L697" s="332" t="n"/>
      <c r="M697" s="332" t="n"/>
      <c r="N697" s="332" t="n"/>
      <c r="O697" s="244">
        <f>M697*N697</f>
        <v/>
      </c>
      <c r="P697" s="332" t="n"/>
      <c r="Q697" s="265" t="n"/>
      <c r="R697" s="332" t="n"/>
      <c r="S697" s="244">
        <f>Q697*R697</f>
        <v/>
      </c>
    </row>
    <row r="698" ht="22.2" customHeight="1" s="330">
      <c r="A698" s="4" t="n"/>
      <c r="B698" s="478" t="n"/>
      <c r="D698" s="331" t="n"/>
      <c r="E698" s="252" t="n"/>
      <c r="F698" s="249" t="n"/>
      <c r="G698" s="308">
        <f>G606</f>
        <v/>
      </c>
      <c r="H698" s="325" t="n"/>
      <c r="I698" s="325" t="n"/>
      <c r="J698" s="252" t="n"/>
      <c r="K698" s="331" t="n"/>
      <c r="L698" s="252" t="n"/>
      <c r="M698" s="252" t="n"/>
      <c r="N698" s="252" t="n"/>
      <c r="O698" s="244">
        <f>M698*N698</f>
        <v/>
      </c>
      <c r="P698" s="252" t="n"/>
      <c r="Q698" s="252" t="n"/>
      <c r="R698" s="252" t="n"/>
      <c r="S698" s="244">
        <f>Q698*R698</f>
        <v/>
      </c>
    </row>
    <row r="699" ht="22.2" customHeight="1" s="330">
      <c r="A699" s="4" t="n"/>
      <c r="B699" s="5" t="n"/>
      <c r="D699" s="3" t="n"/>
      <c r="E699" s="3" t="n"/>
      <c r="F699" s="249" t="n"/>
      <c r="G699" s="248" t="n"/>
      <c r="H699" s="252" t="n"/>
      <c r="I699" s="252" t="n"/>
      <c r="J699" s="252" t="n"/>
      <c r="K699" s="331" t="n"/>
      <c r="L699" s="252" t="n"/>
      <c r="M699" s="252" t="n"/>
      <c r="N699" s="252" t="n"/>
      <c r="O699" s="244">
        <f>M699*N699</f>
        <v/>
      </c>
      <c r="P699" s="252" t="n"/>
      <c r="Q699" s="252" t="n"/>
      <c r="R699" s="252" t="n"/>
      <c r="S699" s="244">
        <f>Q699*R699</f>
        <v/>
      </c>
    </row>
    <row r="700" ht="22.2" customHeight="1" s="330">
      <c r="A700" s="4" t="n"/>
      <c r="B700" s="5" t="n"/>
      <c r="E700" s="4" t="n"/>
      <c r="F700" s="249" t="n"/>
      <c r="G700" s="248" t="n"/>
      <c r="H700" s="252" t="n"/>
      <c r="I700" s="252" t="n"/>
      <c r="J700" s="252" t="n"/>
      <c r="K700" s="331" t="n"/>
      <c r="L700" s="252" t="n"/>
      <c r="M700" s="252" t="n"/>
      <c r="N700" s="252" t="n"/>
      <c r="O700" s="244">
        <f>M700*N700</f>
        <v/>
      </c>
      <c r="P700" s="252" t="n"/>
      <c r="Q700" s="252" t="n"/>
      <c r="R700" s="252" t="n"/>
      <c r="S700" s="244">
        <f>Q700*R700</f>
        <v/>
      </c>
    </row>
    <row r="701" ht="22.2" customHeight="1" s="330">
      <c r="A701" s="4" t="n"/>
      <c r="E701" s="4" t="n"/>
      <c r="G701" s="311" t="n"/>
      <c r="H701" s="276" t="n"/>
      <c r="I701" s="276" t="n"/>
      <c r="J701" s="276" t="n"/>
      <c r="K701" s="476" t="n"/>
      <c r="L701" s="252" t="n"/>
      <c r="M701" s="252" t="n"/>
      <c r="N701" s="252" t="n"/>
      <c r="O701" s="244">
        <f>M701*N701</f>
        <v/>
      </c>
      <c r="P701" s="252" t="n"/>
      <c r="Q701" s="252" t="n"/>
      <c r="R701" s="252" t="n"/>
      <c r="S701" s="244">
        <f>Q701*R701</f>
        <v/>
      </c>
    </row>
    <row r="702" ht="22.2" customHeight="1" s="330">
      <c r="A702" s="4" t="n"/>
      <c r="E702" s="4" t="n"/>
      <c r="G702" s="62" t="inlineStr">
        <is>
          <t>อังคาร</t>
        </is>
      </c>
      <c r="H702" s="325" t="inlineStr">
        <is>
          <t>20101-2102</t>
        </is>
      </c>
      <c r="I702" s="325" t="inlineStr">
        <is>
          <t>ปวช.1/6 ชย. (ปกติ)</t>
        </is>
      </c>
      <c r="J702" s="332" t="inlineStr">
        <is>
          <t>08.10-12.10</t>
        </is>
      </c>
      <c r="K702" s="335" t="n"/>
      <c r="L702" s="265" t="n"/>
      <c r="M702" s="332" t="n"/>
      <c r="N702" s="332" t="n"/>
      <c r="O702" s="244">
        <f>M702*N702</f>
        <v/>
      </c>
      <c r="P702" s="332" t="n"/>
      <c r="Q702" s="265" t="n"/>
      <c r="R702" s="332" t="n"/>
      <c r="S702" s="244">
        <f>Q702*R702</f>
        <v/>
      </c>
    </row>
    <row r="703" ht="22.2" customHeight="1" s="330">
      <c r="A703" s="4" t="n"/>
      <c r="E703" s="4" t="n"/>
      <c r="G703" s="308">
        <f>G611</f>
        <v/>
      </c>
      <c r="H703" s="325" t="inlineStr">
        <is>
          <t>20101-2102</t>
        </is>
      </c>
      <c r="I703" s="325" t="inlineStr">
        <is>
          <t>ปวช.1/6 ชย. (ปกติ)</t>
        </is>
      </c>
      <c r="J703" s="325" t="inlineStr">
        <is>
          <t>13.10-16.10</t>
        </is>
      </c>
      <c r="K703" s="331" t="n"/>
      <c r="L703" s="252" t="n"/>
      <c r="M703" s="252" t="n"/>
      <c r="N703" s="252" t="n"/>
      <c r="O703" s="244">
        <f>M703*N703</f>
        <v/>
      </c>
      <c r="P703" s="252" t="n"/>
      <c r="Q703" s="252" t="n"/>
      <c r="R703" s="252" t="n"/>
      <c r="S703" s="244">
        <f>Q703*R703</f>
        <v/>
      </c>
    </row>
    <row r="704" ht="22.2" customHeight="1" s="330">
      <c r="A704" s="4" t="n"/>
      <c r="B704" s="5" t="n"/>
      <c r="D704" s="3" t="n"/>
      <c r="E704" s="3" t="n"/>
      <c r="G704" s="252" t="n"/>
      <c r="H704" s="252" t="n"/>
      <c r="I704" s="252" t="n"/>
      <c r="J704" s="252" t="n"/>
      <c r="K704" s="331" t="n"/>
      <c r="L704" s="252" t="n"/>
      <c r="M704" s="252" t="n"/>
      <c r="N704" s="252" t="n"/>
      <c r="O704" s="244">
        <f>M704*N704</f>
        <v/>
      </c>
      <c r="P704" s="252" t="n"/>
      <c r="Q704" s="252" t="n"/>
      <c r="R704" s="252" t="n"/>
      <c r="S704" s="244">
        <f>Q704*R704</f>
        <v/>
      </c>
    </row>
    <row r="705" ht="22.2" customHeight="1" s="330">
      <c r="A705" s="4" t="n"/>
      <c r="E705" s="4" t="n"/>
      <c r="G705" s="62" t="n"/>
      <c r="H705" s="249" t="n"/>
      <c r="I705" s="252" t="n"/>
      <c r="J705" s="252" t="n"/>
      <c r="K705" s="331" t="n"/>
      <c r="L705" s="252" t="n"/>
      <c r="M705" s="252" t="n"/>
      <c r="N705" s="252" t="n"/>
      <c r="O705" s="244">
        <f>M705*N705</f>
        <v/>
      </c>
      <c r="P705" s="252" t="n"/>
      <c r="Q705" s="252" t="n"/>
      <c r="R705" s="252" t="n"/>
      <c r="S705" s="244">
        <f>Q705*R705</f>
        <v/>
      </c>
    </row>
    <row r="706" ht="22.2" customHeight="1" s="330">
      <c r="A706" s="4" t="n"/>
      <c r="D706" s="8" t="inlineStr">
        <is>
          <t> </t>
        </is>
      </c>
      <c r="E706" s="4" t="n"/>
      <c r="G706" s="63" t="n"/>
      <c r="H706" s="276" t="n"/>
      <c r="I706" s="252" t="n"/>
      <c r="J706" s="276" t="n"/>
      <c r="K706" s="476" t="n"/>
      <c r="L706" s="252" t="n"/>
      <c r="M706" s="252" t="n"/>
      <c r="N706" s="252" t="n"/>
      <c r="O706" s="244">
        <f>M706*N706</f>
        <v/>
      </c>
      <c r="P706" s="252" t="n"/>
      <c r="Q706" s="252" t="n"/>
      <c r="R706" s="252" t="n"/>
      <c r="S706" s="244">
        <f>Q706*R706</f>
        <v/>
      </c>
    </row>
    <row r="707" ht="22.2" customHeight="1" s="330">
      <c r="A707" s="4" t="n"/>
      <c r="E707" s="4" t="n"/>
      <c r="G707" s="308" t="inlineStr">
        <is>
          <t>พุธ</t>
        </is>
      </c>
      <c r="H707" s="325" t="inlineStr">
        <is>
          <t>20101-2102</t>
        </is>
      </c>
      <c r="I707" s="332" t="inlineStr">
        <is>
          <t>ปวช.1/10 ชย. (ทวิ)</t>
        </is>
      </c>
      <c r="J707" s="332" t="inlineStr">
        <is>
          <t>08.10-12.10</t>
        </is>
      </c>
      <c r="K707" s="335" t="n"/>
      <c r="L707" s="332" t="n"/>
      <c r="M707" s="182" t="n"/>
      <c r="N707" s="179" t="n"/>
      <c r="O707" s="244">
        <f>M707*N707</f>
        <v/>
      </c>
      <c r="P707" s="332" t="n"/>
      <c r="Q707" s="265" t="n"/>
      <c r="R707" s="332" t="n"/>
      <c r="S707" s="244">
        <f>Q707*R707</f>
        <v/>
      </c>
    </row>
    <row r="708" ht="22.2" customHeight="1" s="330">
      <c r="A708" s="4" t="n"/>
      <c r="B708" s="248" t="n"/>
      <c r="C708" s="249" t="n"/>
      <c r="D708" s="249" t="n"/>
      <c r="E708" s="252" t="n"/>
      <c r="G708" s="308">
        <f>G616</f>
        <v/>
      </c>
      <c r="H708" s="325" t="inlineStr">
        <is>
          <t>20101-2102</t>
        </is>
      </c>
      <c r="I708" s="325" t="inlineStr">
        <is>
          <t>ปวช.1/10 ชย. (ทวิ)</t>
        </is>
      </c>
      <c r="J708" s="325" t="inlineStr">
        <is>
          <t>13.10-16.10</t>
        </is>
      </c>
      <c r="K708" s="331" t="n"/>
      <c r="L708" s="252" t="n"/>
      <c r="M708" s="331" t="n"/>
      <c r="N708" s="56" t="n"/>
      <c r="O708" s="244">
        <f>M708*N708</f>
        <v/>
      </c>
      <c r="P708" s="252" t="n"/>
      <c r="Q708" s="252" t="n"/>
      <c r="R708" s="252" t="n"/>
      <c r="S708" s="244">
        <f>Q708*R708</f>
        <v/>
      </c>
    </row>
    <row r="709" ht="22.2" customHeight="1" s="330">
      <c r="A709" s="4" t="n"/>
      <c r="B709" s="5" t="n"/>
      <c r="D709" s="3" t="n"/>
      <c r="E709" s="3" t="n"/>
      <c r="G709" s="252" t="n"/>
      <c r="H709" s="252" t="n"/>
      <c r="I709" s="252" t="n"/>
      <c r="J709" s="252" t="n"/>
      <c r="K709" s="331" t="n"/>
      <c r="L709" s="252" t="n"/>
      <c r="M709" s="252" t="n"/>
      <c r="N709" s="252" t="n"/>
      <c r="O709" s="244">
        <f>M709*N709</f>
        <v/>
      </c>
      <c r="P709" s="252" t="n"/>
      <c r="Q709" s="252" t="n"/>
      <c r="R709" s="252" t="n"/>
      <c r="S709" s="244">
        <f>Q709*R709</f>
        <v/>
      </c>
    </row>
    <row r="710" ht="22.2" customHeight="1" s="330">
      <c r="A710" s="4" t="n"/>
      <c r="E710" s="4" t="n"/>
      <c r="G710" s="248" t="n"/>
      <c r="H710" s="248" t="n"/>
      <c r="I710" s="252" t="n"/>
      <c r="J710" s="252" t="n"/>
      <c r="K710" s="331" t="n"/>
      <c r="L710" s="252" t="n"/>
      <c r="M710" s="252" t="n"/>
      <c r="N710" s="252" t="n"/>
      <c r="O710" s="244">
        <f>M710*N710</f>
        <v/>
      </c>
      <c r="P710" s="252" t="n"/>
      <c r="Q710" s="252" t="n"/>
      <c r="R710" s="252" t="n"/>
      <c r="S710" s="244">
        <f>Q710*R710</f>
        <v/>
      </c>
    </row>
    <row r="711" ht="22.2" customHeight="1" s="330">
      <c r="A711" s="4" t="n"/>
      <c r="E711" s="4" t="n"/>
      <c r="G711" s="277" t="n"/>
      <c r="H711" s="277" t="n"/>
      <c r="I711" s="276" t="n"/>
      <c r="J711" s="276" t="n"/>
      <c r="K711" s="476" t="n"/>
      <c r="L711" s="276" t="n"/>
      <c r="M711" s="276" t="n"/>
      <c r="N711" s="276" t="n"/>
      <c r="O711" s="244">
        <f>M711*N711</f>
        <v/>
      </c>
      <c r="P711" s="276" t="n"/>
      <c r="Q711" s="276" t="n"/>
      <c r="R711" s="276" t="n"/>
      <c r="S711" s="244">
        <f>Q711*R711</f>
        <v/>
      </c>
    </row>
    <row r="712" ht="22.2" customHeight="1" s="330">
      <c r="A712" s="4" t="n"/>
      <c r="E712" s="4" t="n"/>
      <c r="G712" s="62" t="inlineStr">
        <is>
          <t>พฤหัส</t>
        </is>
      </c>
      <c r="H712" s="325" t="inlineStr">
        <is>
          <t>20101-2102</t>
        </is>
      </c>
      <c r="I712" s="325" t="inlineStr">
        <is>
          <t>ปวช.1/8 ชย. (ปกติ)</t>
        </is>
      </c>
      <c r="J712" s="332" t="inlineStr">
        <is>
          <t>08.10-12.10</t>
        </is>
      </c>
      <c r="K712" s="335" t="n"/>
      <c r="L712" s="252" t="n"/>
      <c r="M712" s="252" t="n"/>
      <c r="N712" s="252" t="n"/>
      <c r="O712" s="244">
        <f>M712*N712</f>
        <v/>
      </c>
      <c r="P712" s="252" t="n"/>
      <c r="Q712" s="275" t="n"/>
      <c r="R712" s="275" t="n"/>
      <c r="S712" s="244">
        <f>Q712*R712</f>
        <v/>
      </c>
    </row>
    <row r="713" ht="22.2" customHeight="1" s="330">
      <c r="A713" s="4" t="n"/>
      <c r="E713" s="4" t="n"/>
      <c r="G713" s="308">
        <f>G621</f>
        <v/>
      </c>
      <c r="H713" s="325" t="inlineStr">
        <is>
          <t>20000-2002</t>
        </is>
      </c>
      <c r="I713" s="325" t="inlineStr">
        <is>
          <t>ปวช.1/1,2 ชย. (ปกติ)</t>
        </is>
      </c>
      <c r="J713" s="252" t="inlineStr">
        <is>
          <t>13.10-15.10</t>
        </is>
      </c>
      <c r="K713" s="331" t="n"/>
      <c r="L713" s="325" t="n"/>
      <c r="M713" s="252" t="n"/>
      <c r="N713" s="252" t="n"/>
      <c r="O713" s="244">
        <f>M713*N713</f>
        <v/>
      </c>
      <c r="P713" s="252" t="n"/>
      <c r="Q713" s="252" t="n"/>
      <c r="R713" s="252" t="n"/>
      <c r="S713" s="244">
        <f>Q713*R713</f>
        <v/>
      </c>
    </row>
    <row r="714" ht="22.2" customHeight="1" s="330">
      <c r="A714" s="4" t="n"/>
      <c r="B714" s="5" t="n"/>
      <c r="E714" s="4" t="n"/>
      <c r="G714" s="252" t="n"/>
      <c r="H714" s="325" t="inlineStr">
        <is>
          <t>20101-2102</t>
        </is>
      </c>
      <c r="I714" s="325" t="inlineStr">
        <is>
          <t>ปวช.1/8 ชย. (ปกติ)</t>
        </is>
      </c>
      <c r="J714" s="252" t="inlineStr">
        <is>
          <t>15.10-18.10</t>
        </is>
      </c>
      <c r="K714" s="331" t="n"/>
      <c r="L714" s="325" t="n"/>
      <c r="M714" s="325" t="n"/>
      <c r="N714" s="325" t="n"/>
      <c r="O714" s="244">
        <f>M714*N714</f>
        <v/>
      </c>
      <c r="P714" s="325" t="n"/>
      <c r="Q714" s="325" t="n"/>
      <c r="R714" s="325" t="n"/>
      <c r="S714" s="244">
        <f>Q714*R714</f>
        <v/>
      </c>
    </row>
    <row r="715" ht="22.2" customHeight="1" s="330">
      <c r="A715" s="4" t="n"/>
      <c r="E715" s="4" t="n"/>
      <c r="G715" s="252" t="n"/>
      <c r="H715" s="252" t="n"/>
      <c r="I715" s="252" t="n"/>
      <c r="J715" s="252" t="n"/>
      <c r="K715" s="331" t="n"/>
      <c r="L715" s="252" t="n"/>
      <c r="M715" s="252" t="n"/>
      <c r="N715" s="252" t="n"/>
      <c r="O715" s="244">
        <f>M715*N715</f>
        <v/>
      </c>
      <c r="P715" s="252" t="n"/>
      <c r="Q715" s="252" t="n"/>
      <c r="R715" s="252" t="n"/>
      <c r="S715" s="244">
        <f>Q715*R715</f>
        <v/>
      </c>
    </row>
    <row r="716" ht="22.2" customHeight="1" s="330">
      <c r="A716" s="4" t="n"/>
      <c r="E716" s="4" t="n"/>
      <c r="G716" s="276" t="n"/>
      <c r="H716" s="301" t="n"/>
      <c r="I716" s="276" t="n"/>
      <c r="J716" s="276" t="n"/>
      <c r="K716" s="476" t="n"/>
      <c r="L716" s="276" t="n"/>
      <c r="M716" s="276" t="n"/>
      <c r="N716" s="276" t="n"/>
      <c r="O716" s="244">
        <f>M716*N716</f>
        <v/>
      </c>
      <c r="P716" s="276" t="n"/>
      <c r="Q716" s="276" t="n"/>
      <c r="R716" s="276" t="n"/>
      <c r="S716" s="244">
        <f>Q716*R716</f>
        <v/>
      </c>
    </row>
    <row r="717" ht="22.2" customHeight="1" s="330">
      <c r="A717" s="4" t="n"/>
      <c r="E717" s="4" t="n"/>
      <c r="G717" s="62" t="inlineStr">
        <is>
          <t>ศุกร์</t>
        </is>
      </c>
      <c r="H717" s="332" t="inlineStr">
        <is>
          <t>20101-2008</t>
        </is>
      </c>
      <c r="I717" s="325" t="inlineStr">
        <is>
          <t>ปวช.1/5 ชย. (ปกติ)</t>
        </is>
      </c>
      <c r="J717" s="332" t="inlineStr">
        <is>
          <t>08.10-12.10</t>
        </is>
      </c>
      <c r="K717" s="335" t="n"/>
      <c r="L717" s="265" t="n"/>
      <c r="M717" s="332" t="n"/>
      <c r="N717" s="332" t="n"/>
      <c r="O717" s="244">
        <f>M717*N717</f>
        <v/>
      </c>
      <c r="P717" s="332" t="n"/>
      <c r="Q717" s="265" t="n"/>
      <c r="R717" s="332" t="n"/>
      <c r="S717" s="244">
        <f>Q717*R717</f>
        <v/>
      </c>
    </row>
    <row r="718" ht="22.2" customHeight="1" s="330">
      <c r="A718" s="4" t="n"/>
      <c r="E718" s="4" t="n"/>
      <c r="G718" s="308">
        <f>G626</f>
        <v/>
      </c>
      <c r="H718" s="325" t="inlineStr">
        <is>
          <t>20101-2106</t>
        </is>
      </c>
      <c r="I718" s="325" t="inlineStr">
        <is>
          <t>ปวช.3/7 ชย. (ปกติ)</t>
        </is>
      </c>
      <c r="J718" s="252" t="inlineStr">
        <is>
          <t>13.10-17.10</t>
        </is>
      </c>
      <c r="K718" s="331" t="n"/>
      <c r="L718" s="252" t="n"/>
      <c r="M718" s="252" t="n"/>
      <c r="N718" s="252" t="n"/>
      <c r="O718" s="244">
        <f>M718*N718</f>
        <v/>
      </c>
      <c r="P718" s="252" t="n"/>
      <c r="Q718" s="252" t="n"/>
      <c r="R718" s="252" t="n"/>
      <c r="S718" s="244">
        <f>Q718*R718</f>
        <v/>
      </c>
    </row>
    <row r="719" ht="22.2" customHeight="1" s="330">
      <c r="A719" s="4" t="n"/>
      <c r="E719" s="4" t="n"/>
      <c r="G719" s="252" t="n"/>
      <c r="H719" s="325" t="n"/>
      <c r="I719" s="325" t="n"/>
      <c r="J719" s="325" t="n"/>
      <c r="K719" s="331" t="n"/>
      <c r="L719" s="252" t="n"/>
      <c r="M719" s="252" t="n"/>
      <c r="N719" s="252" t="n"/>
      <c r="O719" s="244">
        <f>M719*N719</f>
        <v/>
      </c>
      <c r="P719" s="252" t="n"/>
      <c r="Q719" s="252" t="n"/>
      <c r="R719" s="252" t="n"/>
      <c r="S719" s="244">
        <f>Q719*R719</f>
        <v/>
      </c>
    </row>
    <row r="720" ht="22.2" customHeight="1" s="330">
      <c r="A720" s="4" t="n"/>
      <c r="E720" s="4" t="n"/>
      <c r="G720" s="252" t="n"/>
      <c r="H720" s="249" t="n"/>
      <c r="I720" s="252" t="n"/>
      <c r="J720" s="252" t="n"/>
      <c r="K720" s="331" t="n"/>
      <c r="L720" s="252" t="n"/>
      <c r="M720" s="252" t="n"/>
      <c r="N720" s="252" t="n"/>
      <c r="O720" s="244">
        <f>M720*N720</f>
        <v/>
      </c>
      <c r="P720" s="252" t="n"/>
      <c r="Q720" s="252" t="n"/>
      <c r="R720" s="252" t="n"/>
      <c r="S720" s="244">
        <f>Q720*R720</f>
        <v/>
      </c>
    </row>
    <row r="721" ht="22.2" customHeight="1" s="330">
      <c r="A721" s="4" t="n"/>
      <c r="E721" s="4" t="n"/>
      <c r="F721" s="4" t="n"/>
      <c r="G721" s="278" t="n"/>
      <c r="H721" s="301" t="n"/>
      <c r="I721" s="276" t="n"/>
      <c r="J721" s="276" t="n"/>
      <c r="K721" s="476" t="n"/>
      <c r="L721" s="276" t="n"/>
      <c r="M721" s="276" t="n"/>
      <c r="N721" s="276" t="n"/>
      <c r="O721" s="244">
        <f>M721*N721</f>
        <v/>
      </c>
      <c r="P721" s="276" t="n"/>
      <c r="Q721" s="276" t="n"/>
      <c r="R721" s="276" t="n"/>
      <c r="S721" s="244">
        <f>Q721*R721</f>
        <v/>
      </c>
    </row>
    <row r="722" ht="22.2" customHeight="1" s="330">
      <c r="A722" s="4" t="n"/>
      <c r="E722" s="4" t="n"/>
      <c r="F722" s="4" t="n"/>
      <c r="G722" s="17" t="inlineStr">
        <is>
          <t>รวมขั่วโมงที่สอนแยก ภาระงาน/ เกินภาระงาน</t>
        </is>
      </c>
      <c r="H722" s="467" t="n"/>
      <c r="I722" s="467" t="n"/>
      <c r="J722" s="467" t="n"/>
      <c r="K722" s="362" t="n"/>
      <c r="L722" s="17">
        <f>SUM(L697:L721)</f>
        <v/>
      </c>
      <c r="M722" s="17">
        <f>SUM(M697:M721)</f>
        <v/>
      </c>
      <c r="N722" s="17" t="n"/>
      <c r="O722" s="17" t="n"/>
      <c r="P722" s="17">
        <f>SUM(P697:P721)</f>
        <v/>
      </c>
      <c r="Q722" s="17">
        <f>SUM(Q697:Q721)</f>
        <v/>
      </c>
      <c r="R722" s="279" t="n"/>
      <c r="S722" s="17" t="n"/>
    </row>
    <row r="723" ht="22.2" customHeight="1" s="330">
      <c r="A723" s="4" t="n"/>
      <c r="E723" s="4" t="n"/>
      <c r="F723" s="4" t="n"/>
      <c r="G723" s="17" t="inlineStr">
        <is>
          <t>รวมจำนวนชั่วโมงสอนคาบต่อสับดาห์</t>
        </is>
      </c>
      <c r="H723" s="467" t="n"/>
      <c r="I723" s="467" t="n"/>
      <c r="J723" s="467" t="n"/>
      <c r="K723" s="362" t="n"/>
      <c r="L723" s="17">
        <f>L722+M722</f>
        <v/>
      </c>
      <c r="M723" s="362" t="n"/>
      <c r="N723" s="298" t="n"/>
      <c r="O723" s="17" t="n"/>
      <c r="P723" s="17">
        <f>P722+Q722</f>
        <v/>
      </c>
      <c r="Q723" s="362" t="n"/>
      <c r="R723" s="278" t="n"/>
      <c r="S723" s="276" t="n"/>
    </row>
    <row r="724" ht="22.2" customHeight="1" s="330">
      <c r="A724" s="4" t="n"/>
      <c r="E724" s="4" t="n"/>
      <c r="F724" s="4" t="n"/>
      <c r="G724" s="17" t="inlineStr">
        <is>
          <t>จำนวนชั่วโมงสอนตามภาระงานสอน</t>
        </is>
      </c>
      <c r="H724" s="467" t="n"/>
      <c r="I724" s="467" t="n"/>
      <c r="J724" s="467" t="n"/>
      <c r="K724" s="362" t="n"/>
      <c r="L724" s="17" t="n">
        <v>18</v>
      </c>
      <c r="M724" s="362" t="n"/>
      <c r="N724" s="298" t="n"/>
      <c r="O724" s="17" t="n"/>
      <c r="P724" s="17" t="n">
        <v>0</v>
      </c>
      <c r="Q724" s="362" t="n"/>
      <c r="R724" s="249" t="n"/>
      <c r="S724" s="252" t="n"/>
    </row>
    <row r="725" ht="22.2" customHeight="1" s="330" thickBot="1">
      <c r="A725" s="4" t="n"/>
      <c r="E725" s="4" t="n"/>
      <c r="F725" s="15" t="n"/>
      <c r="G725" s="17" t="inlineStr">
        <is>
          <t>จำนวนชั่วโมงบิกเกินภาระงานสอน/ค่าสอน</t>
        </is>
      </c>
      <c r="H725" s="467" t="n"/>
      <c r="I725" s="467" t="n"/>
      <c r="J725" s="467" t="n"/>
      <c r="K725" s="362" t="n"/>
      <c r="L725" s="18" t="n">
        <v>0</v>
      </c>
      <c r="M725" s="18">
        <f>SUM(M697:M721)</f>
        <v/>
      </c>
      <c r="N725" s="18" t="n"/>
      <c r="O725" s="18">
        <f>SUM(O697:O721)</f>
        <v/>
      </c>
      <c r="P725" s="18" t="n">
        <v>0</v>
      </c>
      <c r="Q725" s="18">
        <f>SUM(Q697:Q721)</f>
        <v/>
      </c>
      <c r="R725" s="19" t="n"/>
      <c r="S725" s="18">
        <f>SUM(S697:S721)</f>
        <v/>
      </c>
    </row>
    <row r="726" ht="22.2" customHeight="1" s="330" thickTop="1">
      <c r="A726" s="299" t="inlineStr">
        <is>
          <t>รวมจำนวนหน่วยชั่วโมงที่ขอเบิกค่าสอน ….</t>
        </is>
      </c>
      <c r="B726" s="467" t="n"/>
      <c r="C726" s="467" t="n"/>
      <c r="D726" s="467" t="n"/>
      <c r="E726" s="467" t="n"/>
      <c r="F726" s="467" t="n"/>
      <c r="G726" s="467" t="n"/>
      <c r="H726" s="298">
        <f>M725+Q725</f>
        <v/>
      </c>
      <c r="I726" s="298" t="inlineStr">
        <is>
          <t>….ชั่วโมง</t>
        </is>
      </c>
      <c r="J726" s="298" t="n"/>
      <c r="K726" s="301" t="inlineStr">
        <is>
          <t>ยอดเงินรวม</t>
        </is>
      </c>
      <c r="L726" s="471" t="n"/>
      <c r="M726" s="471" t="n"/>
      <c r="N726" s="301" t="n"/>
      <c r="O726" s="301" t="n"/>
      <c r="P726" s="302">
        <f>S725+O725</f>
        <v/>
      </c>
      <c r="Q726" s="482" t="n"/>
      <c r="R726" s="21" t="n"/>
      <c r="S726" s="20" t="inlineStr">
        <is>
          <t>..บาท</t>
        </is>
      </c>
    </row>
    <row r="727" ht="22.2" customHeight="1" s="330">
      <c r="A727" s="207" t="inlineStr">
        <is>
          <t>ผู้ขอเบิก</t>
        </is>
      </c>
      <c r="B727" s="334" t="n"/>
      <c r="C727" s="334" t="n"/>
      <c r="D727" s="334" t="n"/>
      <c r="E727" s="334" t="n"/>
      <c r="F727" s="334" t="n"/>
      <c r="G727" s="335" t="n"/>
      <c r="H727" s="207" t="inlineStr">
        <is>
          <t>ผู้รับรอง</t>
        </is>
      </c>
      <c r="I727" s="334" t="n"/>
      <c r="J727" s="334" t="n"/>
      <c r="K727" s="334" t="n"/>
      <c r="L727" s="335" t="n"/>
      <c r="M727" s="207" t="inlineStr">
        <is>
          <t>ผู้ตรวจ</t>
        </is>
      </c>
      <c r="N727" s="334" t="n"/>
      <c r="O727" s="334" t="n"/>
      <c r="P727" s="334" t="n"/>
      <c r="Q727" s="334" t="n"/>
      <c r="R727" s="334" t="n"/>
      <c r="S727" s="335" t="n"/>
    </row>
    <row r="728" ht="22.2" customHeight="1" s="330">
      <c r="A728" s="252" t="inlineStr">
        <is>
          <t>ลงชื่อ……………………………………………</t>
        </is>
      </c>
      <c r="G728" s="331" t="n"/>
      <c r="H728" s="252" t="inlineStr">
        <is>
          <t>ลงชื่อ……………………………………………</t>
        </is>
      </c>
      <c r="L728" s="331" t="n"/>
      <c r="M728" s="252" t="inlineStr">
        <is>
          <t>ลงชื่อ……………………………………………</t>
        </is>
      </c>
      <c r="S728" s="331" t="n"/>
    </row>
    <row r="729" ht="22.2" customHeight="1" s="330">
      <c r="A729" s="12" t="inlineStr">
        <is>
          <t>(</t>
        </is>
      </c>
      <c r="B729" s="309">
        <f>B697</f>
        <v/>
      </c>
      <c r="G729" s="310" t="inlineStr">
        <is>
          <t>)</t>
        </is>
      </c>
      <c r="H729" s="309" t="inlineStr">
        <is>
          <t>(</t>
        </is>
      </c>
      <c r="I729" s="314">
        <f>I683</f>
        <v/>
      </c>
      <c r="L729" s="13" t="inlineStr">
        <is>
          <t>)</t>
        </is>
      </c>
      <c r="M729" s="61" t="inlineStr">
        <is>
          <t>(</t>
        </is>
      </c>
      <c r="N729" s="61" t="n"/>
      <c r="O729" s="309" t="inlineStr">
        <is>
          <t>นายพิสุทธิศักดิ์  กล่อมนาค</t>
        </is>
      </c>
      <c r="R729" s="29" t="n"/>
      <c r="S729" s="310" t="inlineStr">
        <is>
          <t>)</t>
        </is>
      </c>
    </row>
    <row r="730" ht="22.2" customHeight="1" s="330">
      <c r="A730" s="483" t="inlineStr">
        <is>
          <t xml:space="preserve">                        ตำแหน่ง ครู</t>
        </is>
      </c>
      <c r="G730" s="331" t="n"/>
      <c r="H730" s="62" t="inlineStr">
        <is>
          <t>ตำแหน่ง หัวหน้าแผนก</t>
        </is>
      </c>
      <c r="L730" s="331" t="n"/>
      <c r="M730" s="62" t="inlineStr">
        <is>
          <t>ตำแหน่ง   ผู้ตรวจสอบ</t>
        </is>
      </c>
      <c r="S730" s="331" t="n"/>
    </row>
    <row r="731" ht="22.2" customHeight="1" s="330">
      <c r="A731" s="63">
        <f>A133</f>
        <v/>
      </c>
      <c r="B731" s="471" t="n"/>
      <c r="C731" s="471" t="n"/>
      <c r="D731" s="471" t="n"/>
      <c r="E731" s="471" t="n"/>
      <c r="F731" s="471" t="n"/>
      <c r="G731" s="476" t="n"/>
      <c r="H731" s="62">
        <f>A133</f>
        <v/>
      </c>
      <c r="L731" s="331" t="n"/>
      <c r="M731" s="63">
        <f>A133</f>
        <v/>
      </c>
      <c r="N731" s="471" t="n"/>
      <c r="O731" s="471" t="n"/>
      <c r="P731" s="471" t="n"/>
      <c r="Q731" s="471" t="n"/>
      <c r="R731" s="471" t="n"/>
      <c r="S731" s="476" t="n"/>
    </row>
    <row r="732" ht="22.2" customHeight="1" s="330">
      <c r="A732" s="207" t="inlineStr">
        <is>
          <t>ผู้ตรวจ</t>
        </is>
      </c>
      <c r="B732" s="334" t="n"/>
      <c r="C732" s="334" t="n"/>
      <c r="D732" s="334" t="n"/>
      <c r="E732" s="334" t="n"/>
      <c r="F732" s="334" t="n"/>
      <c r="G732" s="334" t="n"/>
      <c r="H732" s="334" t="n"/>
      <c r="I732" s="335" t="n"/>
      <c r="J732" s="207" t="inlineStr">
        <is>
          <t>ผู้เห็นชอบ</t>
        </is>
      </c>
      <c r="K732" s="334" t="n"/>
      <c r="L732" s="334" t="n"/>
      <c r="M732" s="334" t="n"/>
      <c r="N732" s="334" t="n"/>
      <c r="O732" s="334" t="n"/>
      <c r="P732" s="334" t="n"/>
      <c r="Q732" s="334" t="n"/>
      <c r="R732" s="334" t="n"/>
      <c r="S732" s="335" t="n"/>
    </row>
    <row r="733" ht="22.2" customHeight="1" s="330">
      <c r="A733" s="252" t="inlineStr">
        <is>
          <t>ลงชื่อ……………………………………………</t>
        </is>
      </c>
      <c r="I733" s="331" t="n"/>
      <c r="J733" s="252" t="inlineStr">
        <is>
          <t>ลงชื่อ……………………………………………</t>
        </is>
      </c>
      <c r="S733" s="331" t="n"/>
    </row>
    <row r="734" ht="22.2" customHeight="1" s="330">
      <c r="A734" s="12" t="n"/>
      <c r="B734" s="309" t="inlineStr">
        <is>
          <t xml:space="preserve">          (นางศิวรักษ์   บุญประเสริฐ)</t>
        </is>
      </c>
      <c r="I734" s="310" t="n"/>
      <c r="J734" s="29" t="n"/>
      <c r="K734" s="29" t="n"/>
      <c r="L734" s="309" t="inlineStr">
        <is>
          <t>(นายปรีชา  โพธิ์เกิด)</t>
        </is>
      </c>
      <c r="R734" s="29" t="n"/>
      <c r="S734" s="13" t="n"/>
    </row>
    <row r="735" ht="22.2" customHeight="1" s="330">
      <c r="A735" s="62" t="inlineStr">
        <is>
          <t>ตำแหน่งครู  หัวหน้างานพัฒนาหลักสูตร ฯ</t>
        </is>
      </c>
      <c r="I735" s="331" t="n"/>
      <c r="J735" s="62" t="inlineStr">
        <is>
          <t>ตำแหน่ง  รองผู้อำนวยการฝ่ายวิชาการ</t>
        </is>
      </c>
      <c r="S735" s="331" t="n"/>
    </row>
    <row r="736" ht="22.2" customHeight="1" s="330">
      <c r="A736" s="63">
        <f>A133</f>
        <v/>
      </c>
      <c r="B736" s="471" t="n"/>
      <c r="C736" s="471" t="n"/>
      <c r="D736" s="471" t="n"/>
      <c r="E736" s="471" t="n"/>
      <c r="F736" s="471" t="n"/>
      <c r="G736" s="471" t="n"/>
      <c r="H736" s="471" t="n"/>
      <c r="I736" s="476" t="n"/>
      <c r="J736" s="63">
        <f>A133</f>
        <v/>
      </c>
      <c r="K736" s="471" t="n"/>
      <c r="L736" s="471" t="n"/>
      <c r="M736" s="471" t="n"/>
      <c r="N736" s="471" t="n"/>
      <c r="O736" s="471" t="n"/>
      <c r="P736" s="471" t="n"/>
      <c r="Q736" s="471" t="n"/>
      <c r="R736" s="471" t="n"/>
      <c r="S736" s="476" t="n"/>
    </row>
    <row r="737" ht="22.2" customHeight="1" s="330">
      <c r="A73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738" ht="22.2" customHeight="1" s="330">
      <c r="A738" s="254">
        <f>A2</f>
        <v/>
      </c>
    </row>
    <row r="739" ht="22.2" customHeight="1" s="330">
      <c r="A739" s="253" t="inlineStr">
        <is>
          <t xml:space="preserve">    ระหว่างวันที่</t>
        </is>
      </c>
      <c r="D739" s="254">
        <f>D141</f>
        <v/>
      </c>
      <c r="E739" s="254" t="inlineStr">
        <is>
          <t xml:space="preserve">   เดือน  </t>
        </is>
      </c>
      <c r="F739" s="254">
        <f>F141</f>
        <v/>
      </c>
      <c r="H739" s="254">
        <f>H141</f>
        <v/>
      </c>
      <c r="I739" s="254" t="inlineStr">
        <is>
          <t xml:space="preserve">     ถึง วันที่</t>
        </is>
      </c>
      <c r="J739" s="254">
        <f>J141</f>
        <v/>
      </c>
      <c r="K739" s="254" t="inlineStr">
        <is>
          <t xml:space="preserve">   เดือน </t>
        </is>
      </c>
      <c r="L739" s="254">
        <f>L141</f>
        <v/>
      </c>
      <c r="N739" s="254">
        <f>N141</f>
        <v/>
      </c>
      <c r="P739" s="254" t="n"/>
      <c r="R739" s="254" t="n"/>
    </row>
    <row r="740" ht="22.2" customHeight="1" s="330">
      <c r="G740" s="58" t="inlineStr">
        <is>
          <t>ü</t>
        </is>
      </c>
      <c r="H740" s="301" t="inlineStr">
        <is>
          <t>ครู</t>
        </is>
      </c>
      <c r="I740" s="301" t="inlineStr">
        <is>
          <t>หน้าที่พิเศษ</t>
        </is>
      </c>
      <c r="J740" s="290" t="n"/>
      <c r="K740" s="290" t="n"/>
      <c r="L740" s="290" t="n"/>
      <c r="M740" s="290" t="n"/>
      <c r="N740" s="290" t="n"/>
      <c r="O740" s="290" t="n"/>
      <c r="P740" s="290" t="n"/>
      <c r="Q740" s="290" t="n"/>
      <c r="R740" s="290" t="n"/>
      <c r="S740" s="290" t="n"/>
    </row>
    <row r="741" ht="22.2" customHeight="1" s="330">
      <c r="A741" s="28" t="inlineStr">
        <is>
          <t>ที่</t>
        </is>
      </c>
      <c r="B741" s="28" t="inlineStr">
        <is>
          <t>ชื่อ-สกุล</t>
        </is>
      </c>
      <c r="C741" s="334" t="n"/>
      <c r="D741" s="335" t="n"/>
      <c r="E741" s="16" t="inlineStr">
        <is>
          <t>ตำแหน่ง</t>
        </is>
      </c>
      <c r="F741" s="17" t="inlineStr">
        <is>
          <t>ระยะเวลาที่สอน</t>
        </is>
      </c>
      <c r="G741" s="362" t="n"/>
      <c r="H741" s="17" t="inlineStr">
        <is>
          <t>รหัสวิชา</t>
        </is>
      </c>
      <c r="I741" s="275" t="inlineStr">
        <is>
          <t>ชั้น,แผนก,ห้อง</t>
        </is>
      </c>
      <c r="J741" s="17" t="inlineStr">
        <is>
          <t>เวลาสอน</t>
        </is>
      </c>
      <c r="K741" s="335" t="n"/>
      <c r="L741" s="17" t="inlineStr">
        <is>
          <t>ปวช.(คาบ)</t>
        </is>
      </c>
      <c r="M741" s="362" t="n"/>
      <c r="N741" s="244" t="inlineStr">
        <is>
          <t>เงิน</t>
        </is>
      </c>
      <c r="O741" s="275" t="inlineStr">
        <is>
          <t>ยอดเงิน</t>
        </is>
      </c>
      <c r="P741" s="473" t="inlineStr">
        <is>
          <t>ปวส.(คาบ)</t>
        </is>
      </c>
      <c r="Q741" s="362" t="n"/>
      <c r="R741" s="244" t="inlineStr">
        <is>
          <t>เงิน</t>
        </is>
      </c>
      <c r="S741" s="275" t="inlineStr">
        <is>
          <t>ยอดเงิน</t>
        </is>
      </c>
    </row>
    <row r="742" ht="22.2" customHeight="1" s="330">
      <c r="A742" s="60" t="n"/>
      <c r="B742" s="9" t="n"/>
      <c r="C742" s="10" t="n"/>
      <c r="D742" s="14" t="n"/>
      <c r="E742" s="11" t="n"/>
      <c r="F742" s="276" t="inlineStr">
        <is>
          <t>ส.</t>
        </is>
      </c>
      <c r="G742" s="276" t="inlineStr">
        <is>
          <t>วดป.</t>
        </is>
      </c>
      <c r="H742" s="474" t="n"/>
      <c r="I742" s="276" t="n"/>
      <c r="J742" s="475" t="n"/>
      <c r="K742" s="476" t="n"/>
      <c r="L742" s="276" t="inlineStr">
        <is>
          <t>ใน</t>
        </is>
      </c>
      <c r="M742" s="276" t="inlineStr">
        <is>
          <t>นอก</t>
        </is>
      </c>
      <c r="N742" s="276" t="inlineStr">
        <is>
          <t>ต่อ ชม.</t>
        </is>
      </c>
      <c r="O742" s="276" t="inlineStr">
        <is>
          <t>(บาท)</t>
        </is>
      </c>
      <c r="P742" s="60" t="inlineStr">
        <is>
          <t>ใน</t>
        </is>
      </c>
      <c r="Q742" s="60" t="inlineStr">
        <is>
          <t>นอก</t>
        </is>
      </c>
      <c r="R742" s="276" t="inlineStr">
        <is>
          <t>ต่อ ชม.</t>
        </is>
      </c>
      <c r="S742" s="276" t="inlineStr">
        <is>
          <t>(บาท)</t>
        </is>
      </c>
    </row>
    <row r="743" ht="22.2" customHeight="1" s="330">
      <c r="A743" s="275" t="n">
        <v>17</v>
      </c>
      <c r="B743" s="477">
        <f>AB19</f>
        <v/>
      </c>
      <c r="C743" s="334" t="n"/>
      <c r="D743" s="335" t="n"/>
      <c r="E743" s="275" t="inlineStr">
        <is>
          <t>ครู</t>
        </is>
      </c>
      <c r="F743" s="6" t="n">
        <v>5</v>
      </c>
      <c r="G743" s="303" t="inlineStr">
        <is>
          <t>จันทร์</t>
        </is>
      </c>
      <c r="H743" s="325" t="inlineStr">
        <is>
          <t>20101-2002</t>
        </is>
      </c>
      <c r="I743" s="325" t="inlineStr">
        <is>
          <t>ปวช.2/8 ชย. (ปกติ)</t>
        </is>
      </c>
      <c r="J743" s="252" t="inlineStr">
        <is>
          <t>08.10-12.10</t>
        </is>
      </c>
      <c r="K743" s="331" t="n"/>
      <c r="L743" s="252" t="n"/>
      <c r="M743" s="332" t="n"/>
      <c r="N743" s="332" t="n"/>
      <c r="O743" s="244">
        <f>M743*N743</f>
        <v/>
      </c>
      <c r="P743" s="332" t="n"/>
      <c r="Q743" s="265" t="n"/>
      <c r="R743" s="332" t="n"/>
      <c r="S743" s="244">
        <f>Q743*R743</f>
        <v/>
      </c>
    </row>
    <row r="744" ht="22.2" customHeight="1" s="330">
      <c r="A744" s="4" t="n"/>
      <c r="B744" s="478" t="n"/>
      <c r="D744" s="331" t="n"/>
      <c r="E744" s="252" t="n"/>
      <c r="F744" s="249" t="n"/>
      <c r="G744" s="308">
        <f>G652</f>
        <v/>
      </c>
      <c r="H744" s="325" t="inlineStr">
        <is>
          <t>20101-2002</t>
        </is>
      </c>
      <c r="I744" s="325" t="inlineStr">
        <is>
          <t>ปวช.2/8 ชย. (ปกติ)</t>
        </is>
      </c>
      <c r="J744" s="252" t="inlineStr">
        <is>
          <t>13.10-16.10</t>
        </is>
      </c>
      <c r="K744" s="331" t="n"/>
      <c r="L744" s="252" t="n"/>
      <c r="M744" s="252" t="n"/>
      <c r="N744" s="252" t="n"/>
      <c r="O744" s="244">
        <f>M744*N744</f>
        <v/>
      </c>
      <c r="P744" s="252" t="n"/>
      <c r="Q744" s="252" t="n"/>
      <c r="R744" s="252" t="n"/>
      <c r="S744" s="244">
        <f>Q744*R744</f>
        <v/>
      </c>
    </row>
    <row r="745" ht="22.2" customHeight="1" s="330">
      <c r="A745" s="4" t="n"/>
      <c r="B745" s="5" t="n"/>
      <c r="D745" s="3" t="n"/>
      <c r="E745" s="3" t="n"/>
      <c r="F745" s="249" t="n"/>
      <c r="G745" s="248" t="n"/>
      <c r="H745" s="252" t="n"/>
      <c r="I745" s="252" t="n"/>
      <c r="J745" s="252" t="n"/>
      <c r="K745" s="331" t="n"/>
      <c r="L745" s="252" t="n"/>
      <c r="M745" s="252" t="n"/>
      <c r="N745" s="252" t="n"/>
      <c r="O745" s="244">
        <f>M745*N745</f>
        <v/>
      </c>
      <c r="P745" s="252" t="n"/>
      <c r="Q745" s="252" t="n"/>
      <c r="R745" s="252" t="n"/>
      <c r="S745" s="244">
        <f>Q745*R745</f>
        <v/>
      </c>
    </row>
    <row r="746" ht="22.2" customHeight="1" s="330">
      <c r="A746" s="4" t="n"/>
      <c r="B746" s="5" t="n"/>
      <c r="E746" s="4" t="n"/>
      <c r="F746" s="249" t="n"/>
      <c r="G746" s="248" t="n"/>
      <c r="H746" s="252" t="n"/>
      <c r="I746" s="252" t="n"/>
      <c r="J746" s="252" t="n"/>
      <c r="K746" s="331" t="n"/>
      <c r="L746" s="252" t="n"/>
      <c r="M746" s="252" t="n"/>
      <c r="N746" s="252" t="n"/>
      <c r="O746" s="244">
        <f>M746*N746</f>
        <v/>
      </c>
      <c r="P746" s="252" t="n"/>
      <c r="Q746" s="252" t="n"/>
      <c r="R746" s="252" t="n"/>
      <c r="S746" s="244">
        <f>Q746*R746</f>
        <v/>
      </c>
    </row>
    <row r="747" ht="22.2" customHeight="1" s="330">
      <c r="A747" s="4" t="n"/>
      <c r="E747" s="4" t="n"/>
      <c r="G747" s="311" t="n"/>
      <c r="H747" s="276" t="n"/>
      <c r="I747" s="276" t="n"/>
      <c r="J747" s="276" t="n"/>
      <c r="K747" s="476" t="n"/>
      <c r="L747" s="276" t="n"/>
      <c r="M747" s="252" t="n"/>
      <c r="N747" s="252" t="n"/>
      <c r="O747" s="244">
        <f>M747*N747</f>
        <v/>
      </c>
      <c r="P747" s="252" t="n"/>
      <c r="Q747" s="252" t="n"/>
      <c r="R747" s="252" t="n"/>
      <c r="S747" s="244">
        <f>Q747*R747</f>
        <v/>
      </c>
    </row>
    <row r="748" ht="22.2" customHeight="1" s="330">
      <c r="A748" s="4" t="n"/>
      <c r="E748" s="4" t="n"/>
      <c r="G748" s="62" t="inlineStr">
        <is>
          <t>อังคาร</t>
        </is>
      </c>
      <c r="H748" s="325" t="inlineStr">
        <is>
          <t>20101-2107</t>
        </is>
      </c>
      <c r="I748" s="325" t="inlineStr">
        <is>
          <t>ปวช.2/1,2 ชย. (ปกติ)</t>
        </is>
      </c>
      <c r="J748" s="252" t="inlineStr">
        <is>
          <t>08.10-10.10</t>
        </is>
      </c>
      <c r="K748" s="331" t="n"/>
      <c r="L748" s="252" t="n"/>
      <c r="M748" s="332" t="n"/>
      <c r="N748" s="332" t="n"/>
      <c r="O748" s="244">
        <f>M748*N748</f>
        <v/>
      </c>
      <c r="P748" s="332" t="n"/>
      <c r="Q748" s="265" t="n"/>
      <c r="R748" s="332" t="n"/>
      <c r="S748" s="244">
        <f>Q748*R748</f>
        <v/>
      </c>
    </row>
    <row r="749" ht="22.2" customHeight="1" s="330">
      <c r="A749" s="4" t="n"/>
      <c r="E749" s="4" t="n"/>
      <c r="G749" s="308">
        <f>G657</f>
        <v/>
      </c>
      <c r="H749" s="325" t="n"/>
      <c r="I749" s="325" t="n"/>
      <c r="J749" s="252" t="n"/>
      <c r="K749" s="331" t="n"/>
      <c r="L749" s="252" t="n"/>
      <c r="M749" s="252" t="n"/>
      <c r="N749" s="252" t="n"/>
      <c r="O749" s="244">
        <f>M749*N749</f>
        <v/>
      </c>
      <c r="P749" s="252" t="n"/>
      <c r="Q749" s="252" t="n"/>
      <c r="R749" s="252" t="n"/>
      <c r="S749" s="244">
        <f>Q749*R749</f>
        <v/>
      </c>
    </row>
    <row r="750" ht="22.2" customHeight="1" s="330">
      <c r="A750" s="4" t="n"/>
      <c r="B750" s="5" t="n"/>
      <c r="D750" s="3" t="n"/>
      <c r="E750" s="3" t="n"/>
      <c r="G750" s="252" t="n"/>
      <c r="H750" s="252" t="n"/>
      <c r="I750" s="252" t="n"/>
      <c r="J750" s="252" t="n"/>
      <c r="K750" s="331" t="n"/>
      <c r="L750" s="252" t="n"/>
      <c r="M750" s="252" t="n"/>
      <c r="N750" s="252" t="n"/>
      <c r="O750" s="244">
        <f>M750*N750</f>
        <v/>
      </c>
      <c r="P750" s="252" t="n"/>
      <c r="Q750" s="252" t="n"/>
      <c r="R750" s="252" t="n"/>
      <c r="S750" s="244">
        <f>Q750*R750</f>
        <v/>
      </c>
    </row>
    <row r="751" ht="22.2" customHeight="1" s="330">
      <c r="A751" s="4" t="n"/>
      <c r="E751" s="4" t="n"/>
      <c r="G751" s="62" t="n"/>
      <c r="H751" s="249" t="n"/>
      <c r="I751" s="252" t="n"/>
      <c r="J751" s="252" t="n"/>
      <c r="K751" s="331" t="n"/>
      <c r="L751" s="252" t="n"/>
      <c r="M751" s="252" t="n"/>
      <c r="N751" s="252" t="n"/>
      <c r="O751" s="244">
        <f>M751*N751</f>
        <v/>
      </c>
      <c r="P751" s="252" t="n"/>
      <c r="Q751" s="252" t="n"/>
      <c r="R751" s="252" t="n"/>
      <c r="S751" s="244">
        <f>Q751*R751</f>
        <v/>
      </c>
    </row>
    <row r="752" ht="22.2" customHeight="1" s="330">
      <c r="A752" s="4" t="n"/>
      <c r="D752" s="8" t="inlineStr">
        <is>
          <t> </t>
        </is>
      </c>
      <c r="E752" s="4" t="n"/>
      <c r="G752" s="63" t="n"/>
      <c r="H752" s="276" t="n"/>
      <c r="I752" s="276" t="n"/>
      <c r="J752" s="276" t="n"/>
      <c r="K752" s="476" t="n"/>
      <c r="L752" s="252" t="n"/>
      <c r="M752" s="252" t="n"/>
      <c r="N752" s="252" t="n"/>
      <c r="O752" s="244">
        <f>M752*N752</f>
        <v/>
      </c>
      <c r="P752" s="252" t="n"/>
      <c r="Q752" s="252" t="n"/>
      <c r="R752" s="252" t="n"/>
      <c r="S752" s="244">
        <f>Q752*R752</f>
        <v/>
      </c>
    </row>
    <row r="753" ht="22.2" customHeight="1" s="330">
      <c r="A753" s="4" t="n"/>
      <c r="E753" s="4" t="n"/>
      <c r="G753" s="308" t="inlineStr">
        <is>
          <t>พุธ</t>
        </is>
      </c>
      <c r="H753" s="332" t="inlineStr">
        <is>
          <t>20101-2001</t>
        </is>
      </c>
      <c r="I753" s="332" t="inlineStr">
        <is>
          <t>ปวช.1/6 ชย. (ปกติ)</t>
        </is>
      </c>
      <c r="J753" s="332" t="inlineStr">
        <is>
          <t>08.10-12.10</t>
        </is>
      </c>
      <c r="K753" s="335" t="n"/>
      <c r="L753" s="265" t="n"/>
      <c r="M753" s="332" t="n"/>
      <c r="N753" s="332" t="n"/>
      <c r="O753" s="244">
        <f>M753*N753</f>
        <v/>
      </c>
      <c r="P753" s="332" t="n"/>
      <c r="Q753" s="265" t="n"/>
      <c r="R753" s="332" t="n"/>
      <c r="S753" s="244">
        <f>Q753*R753</f>
        <v/>
      </c>
    </row>
    <row r="754" ht="22.2" customHeight="1" s="330">
      <c r="A754" s="4" t="n"/>
      <c r="B754" s="248" t="n"/>
      <c r="C754" s="249" t="n"/>
      <c r="D754" s="249" t="n"/>
      <c r="E754" s="252" t="n"/>
      <c r="G754" s="308">
        <f>G662</f>
        <v/>
      </c>
      <c r="H754" s="325" t="inlineStr">
        <is>
          <t>20101-2001</t>
        </is>
      </c>
      <c r="I754" s="325" t="inlineStr">
        <is>
          <t>ปวช.1/6 ชย. (ปกติ)</t>
        </is>
      </c>
      <c r="J754" s="252" t="inlineStr">
        <is>
          <t>13.10-16.10</t>
        </is>
      </c>
      <c r="K754" s="331" t="n"/>
      <c r="L754" s="252" t="n"/>
      <c r="M754" s="252" t="n"/>
      <c r="N754" s="252" t="n"/>
      <c r="O754" s="244">
        <f>M754*N754</f>
        <v/>
      </c>
      <c r="P754" s="252" t="n"/>
      <c r="Q754" s="252" t="n"/>
      <c r="R754" s="252" t="n"/>
      <c r="S754" s="244">
        <f>Q754*R754</f>
        <v/>
      </c>
    </row>
    <row r="755" ht="22.2" customHeight="1" s="330">
      <c r="A755" s="4" t="n"/>
      <c r="B755" s="5" t="n"/>
      <c r="D755" s="3" t="n"/>
      <c r="E755" s="3" t="n"/>
      <c r="G755" s="252" t="n"/>
      <c r="H755" s="252" t="n"/>
      <c r="I755" s="252" t="n"/>
      <c r="J755" s="252" t="n"/>
      <c r="K755" s="331" t="n"/>
      <c r="L755" s="252" t="n"/>
      <c r="M755" s="252" t="n"/>
      <c r="N755" s="252" t="n"/>
      <c r="O755" s="244">
        <f>M755*N755</f>
        <v/>
      </c>
      <c r="P755" s="252" t="n"/>
      <c r="Q755" s="252" t="n"/>
      <c r="R755" s="252" t="n"/>
      <c r="S755" s="244">
        <f>Q755*R755</f>
        <v/>
      </c>
    </row>
    <row r="756" ht="22.2" customHeight="1" s="330">
      <c r="A756" s="4" t="n"/>
      <c r="E756" s="4" t="n"/>
      <c r="G756" s="248" t="n"/>
      <c r="H756" s="248" t="n"/>
      <c r="I756" s="252" t="n"/>
      <c r="J756" s="252" t="n"/>
      <c r="K756" s="331" t="n"/>
      <c r="L756" s="252" t="n"/>
      <c r="M756" s="252" t="n"/>
      <c r="N756" s="252" t="n"/>
      <c r="O756" s="244">
        <f>M756*N756</f>
        <v/>
      </c>
      <c r="P756" s="252" t="n"/>
      <c r="Q756" s="252" t="n"/>
      <c r="R756" s="252" t="n"/>
      <c r="S756" s="244">
        <f>Q756*R756</f>
        <v/>
      </c>
    </row>
    <row r="757" ht="22.2" customHeight="1" s="330">
      <c r="A757" s="4" t="n"/>
      <c r="E757" s="4" t="n"/>
      <c r="G757" s="277" t="n"/>
      <c r="H757" s="277" t="n"/>
      <c r="I757" s="276" t="n"/>
      <c r="J757" s="276" t="n"/>
      <c r="K757" s="476" t="n"/>
      <c r="L757" s="276" t="n"/>
      <c r="M757" s="276" t="n"/>
      <c r="N757" s="276" t="n"/>
      <c r="O757" s="244">
        <f>M757*N757</f>
        <v/>
      </c>
      <c r="P757" s="276" t="n"/>
      <c r="Q757" s="276" t="n"/>
      <c r="R757" s="276" t="n"/>
      <c r="S757" s="244">
        <f>Q757*R757</f>
        <v/>
      </c>
    </row>
    <row r="758" ht="22.2" customHeight="1" s="330">
      <c r="A758" s="4" t="n"/>
      <c r="E758" s="4" t="n"/>
      <c r="G758" s="62" t="inlineStr">
        <is>
          <t>พฤหัส</t>
        </is>
      </c>
      <c r="H758" s="325" t="inlineStr">
        <is>
          <t>20101-2107</t>
        </is>
      </c>
      <c r="I758" s="325" t="inlineStr">
        <is>
          <t>ปวช.1/9,10 ชย. (ทวิ)</t>
        </is>
      </c>
      <c r="J758" s="332" t="inlineStr">
        <is>
          <t>10.10-12.10</t>
        </is>
      </c>
      <c r="K758" s="335" t="n"/>
      <c r="L758" s="265" t="n"/>
      <c r="M758" s="275" t="n"/>
      <c r="N758" s="275" t="n"/>
      <c r="O758" s="244">
        <f>M758*N758</f>
        <v/>
      </c>
      <c r="P758" s="252" t="n"/>
      <c r="Q758" s="275" t="n"/>
      <c r="R758" s="275" t="n"/>
      <c r="S758" s="244">
        <f>Q758*R758</f>
        <v/>
      </c>
    </row>
    <row r="759" ht="22.2" customHeight="1" s="330">
      <c r="A759" s="4" t="n"/>
      <c r="E759" s="4" t="n"/>
      <c r="G759" s="308">
        <f>G667</f>
        <v/>
      </c>
      <c r="H759" s="252" t="inlineStr">
        <is>
          <t>20000-2004</t>
        </is>
      </c>
      <c r="I759" s="325" t="inlineStr">
        <is>
          <t>ปวช.2/5,6 ชย. (ปกติ)</t>
        </is>
      </c>
      <c r="J759" s="252" t="inlineStr">
        <is>
          <t>13.10-15.10</t>
        </is>
      </c>
      <c r="K759" s="331" t="n"/>
      <c r="L759" s="252" t="n"/>
      <c r="M759" s="252" t="n"/>
      <c r="N759" s="252" t="n"/>
      <c r="O759" s="244">
        <f>M759*N759</f>
        <v/>
      </c>
      <c r="P759" s="252" t="n"/>
      <c r="Q759" s="252" t="n"/>
      <c r="R759" s="252" t="n"/>
      <c r="S759" s="244">
        <f>Q759*R759</f>
        <v/>
      </c>
    </row>
    <row r="760" ht="22.2" customHeight="1" s="330">
      <c r="A760" s="4" t="n"/>
      <c r="B760" s="5" t="n"/>
      <c r="E760" s="4" t="n"/>
      <c r="G760" s="252" t="n"/>
      <c r="H760" s="325" t="inlineStr">
        <is>
          <t>20101-2008</t>
        </is>
      </c>
      <c r="I760" s="325" t="inlineStr">
        <is>
          <t>ปวช.3/10 ชย. (ทวิ)</t>
        </is>
      </c>
      <c r="J760" s="252" t="inlineStr">
        <is>
          <t>15.10-19.10</t>
        </is>
      </c>
      <c r="K760" s="331" t="n"/>
      <c r="L760" s="325" t="n"/>
      <c r="M760" s="325" t="n"/>
      <c r="N760" s="325" t="n"/>
      <c r="O760" s="244">
        <f>M760*N760</f>
        <v/>
      </c>
      <c r="P760" s="325" t="n"/>
      <c r="Q760" s="325" t="n"/>
      <c r="R760" s="325" t="n"/>
      <c r="S760" s="244">
        <f>Q760*R760</f>
        <v/>
      </c>
    </row>
    <row r="761" ht="22.2" customHeight="1" s="330">
      <c r="A761" s="4" t="n"/>
      <c r="E761" s="4" t="n"/>
      <c r="G761" s="252" t="n"/>
      <c r="H761" s="252" t="n"/>
      <c r="I761" s="252" t="n"/>
      <c r="J761" s="252" t="n"/>
      <c r="K761" s="331" t="n"/>
      <c r="L761" s="252" t="n"/>
      <c r="M761" s="252" t="n"/>
      <c r="N761" s="252" t="n"/>
      <c r="O761" s="244">
        <f>M761*N761</f>
        <v/>
      </c>
      <c r="P761" s="252" t="n"/>
      <c r="Q761" s="252" t="n"/>
      <c r="R761" s="252" t="n"/>
      <c r="S761" s="244">
        <f>Q761*R761</f>
        <v/>
      </c>
    </row>
    <row r="762" ht="22.2" customHeight="1" s="330">
      <c r="A762" s="4" t="n"/>
      <c r="E762" s="4" t="n"/>
      <c r="G762" s="276" t="n"/>
      <c r="H762" s="301" t="n"/>
      <c r="I762" s="276" t="n"/>
      <c r="J762" s="276" t="n"/>
      <c r="K762" s="476" t="n"/>
      <c r="L762" s="276" t="n"/>
      <c r="M762" s="276" t="n"/>
      <c r="N762" s="276" t="n"/>
      <c r="O762" s="244">
        <f>M762*N762</f>
        <v/>
      </c>
      <c r="P762" s="276" t="n"/>
      <c r="Q762" s="276" t="n"/>
      <c r="R762" s="276" t="n"/>
      <c r="S762" s="244">
        <f>Q762*R762</f>
        <v/>
      </c>
    </row>
    <row r="763" ht="22.2" customHeight="1" s="330">
      <c r="A763" s="4" t="n"/>
      <c r="E763" s="4" t="n"/>
      <c r="G763" s="62" t="inlineStr">
        <is>
          <t>ศุกร์</t>
        </is>
      </c>
      <c r="H763" s="325" t="inlineStr">
        <is>
          <t>20101-5101</t>
        </is>
      </c>
      <c r="I763" s="325" t="inlineStr">
        <is>
          <t>ปวช.2/10 ชย. (ทวิ)</t>
        </is>
      </c>
      <c r="J763" s="332" t="inlineStr">
        <is>
          <t>08.10-12.10</t>
        </is>
      </c>
      <c r="K763" s="335" t="n"/>
      <c r="L763" s="252" t="n"/>
      <c r="M763" s="332" t="n"/>
      <c r="N763" s="332" t="n"/>
      <c r="O763" s="244">
        <f>M763*N763</f>
        <v/>
      </c>
      <c r="P763" s="332" t="n"/>
      <c r="Q763" s="265" t="n"/>
      <c r="R763" s="332" t="n"/>
      <c r="S763" s="244">
        <f>Q763*R763</f>
        <v/>
      </c>
    </row>
    <row r="764" ht="22.2" customHeight="1" s="330">
      <c r="A764" s="4" t="n"/>
      <c r="E764" s="4" t="n"/>
      <c r="G764" s="308">
        <f>G672</f>
        <v/>
      </c>
      <c r="H764" s="325" t="inlineStr">
        <is>
          <t>20101-5101</t>
        </is>
      </c>
      <c r="I764" s="325" t="inlineStr">
        <is>
          <t>ปวช.2/10 ชย. (ทวิ)</t>
        </is>
      </c>
      <c r="J764" s="252" t="inlineStr">
        <is>
          <t>13.10-16.10</t>
        </is>
      </c>
      <c r="K764" s="331" t="n"/>
      <c r="L764" s="252" t="n"/>
      <c r="M764" s="252" t="n"/>
      <c r="N764" s="252" t="n"/>
      <c r="O764" s="244">
        <f>M764*N764</f>
        <v/>
      </c>
      <c r="P764" s="252" t="n"/>
      <c r="Q764" s="252" t="n"/>
      <c r="R764" s="252" t="n"/>
      <c r="S764" s="244">
        <f>Q764*R764</f>
        <v/>
      </c>
    </row>
    <row r="765" ht="22.2" customHeight="1" s="330">
      <c r="A765" s="4" t="n"/>
      <c r="E765" s="4" t="n"/>
      <c r="G765" s="252" t="n"/>
      <c r="H765" s="325" t="n"/>
      <c r="I765" s="325" t="n"/>
      <c r="J765" s="325" t="n"/>
      <c r="K765" s="331" t="n"/>
      <c r="L765" s="252" t="n"/>
      <c r="M765" s="252" t="n"/>
      <c r="N765" s="252" t="n"/>
      <c r="O765" s="244">
        <f>M765*N765</f>
        <v/>
      </c>
      <c r="P765" s="252" t="n"/>
      <c r="Q765" s="252" t="n"/>
      <c r="R765" s="252" t="n"/>
      <c r="S765" s="244">
        <f>Q765*R765</f>
        <v/>
      </c>
    </row>
    <row r="766" ht="22.2" customHeight="1" s="330">
      <c r="A766" s="4" t="n"/>
      <c r="E766" s="4" t="n"/>
      <c r="G766" s="252" t="n"/>
      <c r="H766" s="249" t="n"/>
      <c r="I766" s="252" t="n"/>
      <c r="J766" s="252" t="n"/>
      <c r="K766" s="331" t="n"/>
      <c r="L766" s="252" t="n"/>
      <c r="M766" s="252" t="n"/>
      <c r="N766" s="252" t="n"/>
      <c r="O766" s="244">
        <f>M766*N766</f>
        <v/>
      </c>
      <c r="P766" s="252" t="n"/>
      <c r="Q766" s="252" t="n"/>
      <c r="R766" s="252" t="n"/>
      <c r="S766" s="244">
        <f>Q766*R766</f>
        <v/>
      </c>
    </row>
    <row r="767" ht="22.2" customHeight="1" s="330">
      <c r="A767" s="4" t="n"/>
      <c r="E767" s="4" t="n"/>
      <c r="F767" s="4" t="n"/>
      <c r="G767" s="278" t="n"/>
      <c r="H767" s="301" t="n"/>
      <c r="I767" s="276" t="n"/>
      <c r="J767" s="276" t="n"/>
      <c r="K767" s="476" t="n"/>
      <c r="L767" s="276" t="n"/>
      <c r="M767" s="276" t="n"/>
      <c r="N767" s="276" t="n"/>
      <c r="O767" s="244">
        <f>M767*N767</f>
        <v/>
      </c>
      <c r="P767" s="276" t="n"/>
      <c r="Q767" s="276" t="n"/>
      <c r="R767" s="276" t="n"/>
      <c r="S767" s="244">
        <f>Q767*R767</f>
        <v/>
      </c>
    </row>
    <row r="768" ht="22.2" customHeight="1" s="330">
      <c r="A768" s="4" t="n"/>
      <c r="E768" s="4" t="n"/>
      <c r="F768" s="4" t="n"/>
      <c r="G768" s="17" t="inlineStr">
        <is>
          <t>รวมขั่วโมงที่สอนแยก ภาระงาน/ เกินภาระงาน</t>
        </is>
      </c>
      <c r="H768" s="467" t="n"/>
      <c r="I768" s="467" t="n"/>
      <c r="J768" s="467" t="n"/>
      <c r="K768" s="362" t="n"/>
      <c r="L768" s="17">
        <f>SUM(L743:L767)</f>
        <v/>
      </c>
      <c r="M768" s="17">
        <f>SUM(M743:M767)</f>
        <v/>
      </c>
      <c r="N768" s="17" t="n"/>
      <c r="O768" s="17" t="n"/>
      <c r="P768" s="17">
        <f>SUM(P743:P767)</f>
        <v/>
      </c>
      <c r="Q768" s="17">
        <f>SUM(Q743:Q767)</f>
        <v/>
      </c>
      <c r="R768" s="279" t="n"/>
      <c r="S768" s="17" t="n"/>
    </row>
    <row r="769" ht="22.2" customHeight="1" s="330">
      <c r="A769" s="4" t="n"/>
      <c r="E769" s="4" t="n"/>
      <c r="F769" s="4" t="n"/>
      <c r="G769" s="17" t="inlineStr">
        <is>
          <t>รวมจำนวนชั่วโมงสอนคาบต่อสับดาห์</t>
        </is>
      </c>
      <c r="H769" s="467" t="n"/>
      <c r="I769" s="467" t="n"/>
      <c r="J769" s="467" t="n"/>
      <c r="K769" s="362" t="n"/>
      <c r="L769" s="17">
        <f>L768+M768</f>
        <v/>
      </c>
      <c r="M769" s="362" t="n"/>
      <c r="N769" s="298" t="n"/>
      <c r="O769" s="17" t="n"/>
      <c r="P769" s="17">
        <f>P768+Q768</f>
        <v/>
      </c>
      <c r="Q769" s="362" t="n"/>
      <c r="R769" s="278" t="n"/>
      <c r="S769" s="276" t="n"/>
    </row>
    <row r="770" ht="22.2" customHeight="1" s="330">
      <c r="A770" s="4" t="n"/>
      <c r="E770" s="4" t="n"/>
      <c r="F770" s="4" t="n"/>
      <c r="G770" s="17" t="inlineStr">
        <is>
          <t>จำนวนชั่วโมงสอนตามภาระงานสอน</t>
        </is>
      </c>
      <c r="H770" s="467" t="n"/>
      <c r="I770" s="467" t="n"/>
      <c r="J770" s="467" t="n"/>
      <c r="K770" s="362" t="n"/>
      <c r="L770" s="17" t="n">
        <v>18</v>
      </c>
      <c r="M770" s="362" t="n"/>
      <c r="N770" s="298" t="n"/>
      <c r="O770" s="17" t="n"/>
      <c r="P770" s="17" t="n">
        <v>0</v>
      </c>
      <c r="Q770" s="362" t="n"/>
      <c r="R770" s="249" t="n"/>
      <c r="S770" s="252" t="n"/>
    </row>
    <row r="771" ht="22.2" customHeight="1" s="330" thickBot="1">
      <c r="A771" s="4" t="n"/>
      <c r="E771" s="4" t="n"/>
      <c r="F771" s="15" t="n"/>
      <c r="G771" s="17" t="inlineStr">
        <is>
          <t>จำนวนชั่วโมงบิกเกินภาระงานสอน/ค่าสอน</t>
        </is>
      </c>
      <c r="H771" s="467" t="n"/>
      <c r="I771" s="467" t="n"/>
      <c r="J771" s="467" t="n"/>
      <c r="K771" s="362" t="n"/>
      <c r="L771" s="18" t="n">
        <v>0</v>
      </c>
      <c r="M771" s="18">
        <f>SUM(M743:M767)</f>
        <v/>
      </c>
      <c r="N771" s="18" t="n"/>
      <c r="O771" s="18">
        <f>SUM(O743:O767)</f>
        <v/>
      </c>
      <c r="P771" s="18" t="n">
        <v>0</v>
      </c>
      <c r="Q771" s="18">
        <f>SUM(Q743:Q767)</f>
        <v/>
      </c>
      <c r="R771" s="19" t="n"/>
      <c r="S771" s="18">
        <f>SUM(S743:S767)</f>
        <v/>
      </c>
    </row>
    <row r="772" ht="22.2" customHeight="1" s="330" thickTop="1">
      <c r="A772" s="299" t="inlineStr">
        <is>
          <t>รวมจำนวนหน่วยชั่วโมงที่ขอเบิกค่าสอน ….</t>
        </is>
      </c>
      <c r="B772" s="467" t="n"/>
      <c r="C772" s="467" t="n"/>
      <c r="D772" s="467" t="n"/>
      <c r="E772" s="467" t="n"/>
      <c r="F772" s="467" t="n"/>
      <c r="G772" s="467" t="n"/>
      <c r="H772" s="298">
        <f>M771+Q771</f>
        <v/>
      </c>
      <c r="I772" s="298" t="inlineStr">
        <is>
          <t>….ชั่วโมง</t>
        </is>
      </c>
      <c r="J772" s="298" t="n"/>
      <c r="K772" s="301" t="inlineStr">
        <is>
          <t>ยอดเงินรวม</t>
        </is>
      </c>
      <c r="L772" s="471" t="n"/>
      <c r="M772" s="471" t="n"/>
      <c r="N772" s="301" t="n"/>
      <c r="O772" s="301" t="n"/>
      <c r="P772" s="302">
        <f>S771+O771</f>
        <v/>
      </c>
      <c r="Q772" s="482" t="n"/>
      <c r="R772" s="21" t="n"/>
      <c r="S772" s="20" t="inlineStr">
        <is>
          <t>..บาท</t>
        </is>
      </c>
    </row>
    <row r="773" ht="22.2" customHeight="1" s="330">
      <c r="A773" s="207" t="inlineStr">
        <is>
          <t>ผู้ขอเบิก</t>
        </is>
      </c>
      <c r="B773" s="334" t="n"/>
      <c r="C773" s="334" t="n"/>
      <c r="D773" s="334" t="n"/>
      <c r="E773" s="334" t="n"/>
      <c r="F773" s="334" t="n"/>
      <c r="G773" s="335" t="n"/>
      <c r="H773" s="207" t="inlineStr">
        <is>
          <t>ผู้รับรอง</t>
        </is>
      </c>
      <c r="I773" s="334" t="n"/>
      <c r="J773" s="334" t="n"/>
      <c r="K773" s="334" t="n"/>
      <c r="L773" s="335" t="n"/>
      <c r="M773" s="207" t="inlineStr">
        <is>
          <t>ผู้ตรวจ</t>
        </is>
      </c>
      <c r="N773" s="334" t="n"/>
      <c r="O773" s="334" t="n"/>
      <c r="P773" s="334" t="n"/>
      <c r="Q773" s="334" t="n"/>
      <c r="R773" s="334" t="n"/>
      <c r="S773" s="335" t="n"/>
    </row>
    <row r="774" ht="22.2" customHeight="1" s="330">
      <c r="A774" s="252" t="inlineStr">
        <is>
          <t>ลงชื่อ……………………………………………</t>
        </is>
      </c>
      <c r="G774" s="331" t="n"/>
      <c r="H774" s="252" t="inlineStr">
        <is>
          <t>ลงชื่อ……………………………………………</t>
        </is>
      </c>
      <c r="L774" s="331" t="n"/>
      <c r="M774" s="252" t="inlineStr">
        <is>
          <t>ลงชื่อ……………………………………………</t>
        </is>
      </c>
      <c r="S774" s="331" t="n"/>
    </row>
    <row r="775" ht="22.2" customHeight="1" s="330">
      <c r="A775" s="12" t="inlineStr">
        <is>
          <t>(</t>
        </is>
      </c>
      <c r="B775" s="309">
        <f>B743</f>
        <v/>
      </c>
      <c r="G775" s="310" t="inlineStr">
        <is>
          <t>)</t>
        </is>
      </c>
      <c r="H775" s="309" t="inlineStr">
        <is>
          <t>(</t>
        </is>
      </c>
      <c r="I775" s="314">
        <f>I729</f>
        <v/>
      </c>
      <c r="L775" s="13" t="inlineStr">
        <is>
          <t>)</t>
        </is>
      </c>
      <c r="M775" s="61" t="inlineStr">
        <is>
          <t>(</t>
        </is>
      </c>
      <c r="N775" s="61" t="n"/>
      <c r="O775" s="309" t="inlineStr">
        <is>
          <t>นายพิสุทธิศักดิ์  กล่อมนาค</t>
        </is>
      </c>
      <c r="R775" s="29" t="n"/>
      <c r="S775" s="310" t="inlineStr">
        <is>
          <t>)</t>
        </is>
      </c>
    </row>
    <row r="776" ht="22.2" customHeight="1" s="330">
      <c r="A776" s="483" t="inlineStr">
        <is>
          <t xml:space="preserve">                        ตำแหน่ง ครู</t>
        </is>
      </c>
      <c r="G776" s="331" t="n"/>
      <c r="H776" s="62" t="inlineStr">
        <is>
          <t>ตำแหน่ง หัวหน้าแผนก</t>
        </is>
      </c>
      <c r="L776" s="331" t="n"/>
      <c r="M776" s="62" t="inlineStr">
        <is>
          <t>ตำแหน่ง   ผู้ตรวจสอบ</t>
        </is>
      </c>
      <c r="S776" s="331" t="n"/>
    </row>
    <row r="777" ht="22.2" customHeight="1" s="330">
      <c r="A777" s="63">
        <f>A179</f>
        <v/>
      </c>
      <c r="B777" s="471" t="n"/>
      <c r="C777" s="471" t="n"/>
      <c r="D777" s="471" t="n"/>
      <c r="E777" s="471" t="n"/>
      <c r="F777" s="471" t="n"/>
      <c r="G777" s="476" t="n"/>
      <c r="H777" s="62">
        <f>A179</f>
        <v/>
      </c>
      <c r="L777" s="331" t="n"/>
      <c r="M777" s="63">
        <f>A179</f>
        <v/>
      </c>
      <c r="N777" s="471" t="n"/>
      <c r="O777" s="471" t="n"/>
      <c r="P777" s="471" t="n"/>
      <c r="Q777" s="471" t="n"/>
      <c r="R777" s="471" t="n"/>
      <c r="S777" s="476" t="n"/>
    </row>
    <row r="778" ht="22.2" customHeight="1" s="330">
      <c r="A778" s="207" t="inlineStr">
        <is>
          <t>ผู้ตรวจ</t>
        </is>
      </c>
      <c r="B778" s="334" t="n"/>
      <c r="C778" s="334" t="n"/>
      <c r="D778" s="334" t="n"/>
      <c r="E778" s="334" t="n"/>
      <c r="F778" s="334" t="n"/>
      <c r="G778" s="334" t="n"/>
      <c r="H778" s="334" t="n"/>
      <c r="I778" s="335" t="n"/>
      <c r="J778" s="207" t="inlineStr">
        <is>
          <t>ผู้เห็นชอบ</t>
        </is>
      </c>
      <c r="K778" s="334" t="n"/>
      <c r="L778" s="334" t="n"/>
      <c r="M778" s="334" t="n"/>
      <c r="N778" s="334" t="n"/>
      <c r="O778" s="334" t="n"/>
      <c r="P778" s="334" t="n"/>
      <c r="Q778" s="334" t="n"/>
      <c r="R778" s="334" t="n"/>
      <c r="S778" s="335" t="n"/>
    </row>
    <row r="779" ht="22.2" customHeight="1" s="330">
      <c r="A779" s="252" t="inlineStr">
        <is>
          <t>ลงชื่อ……………………………………………</t>
        </is>
      </c>
      <c r="I779" s="331" t="n"/>
      <c r="J779" s="252" t="inlineStr">
        <is>
          <t>ลงชื่อ……………………………………………</t>
        </is>
      </c>
      <c r="S779" s="331" t="n"/>
    </row>
    <row r="780" ht="22.2" customHeight="1" s="330">
      <c r="A780" s="12" t="n"/>
      <c r="B780" s="309" t="inlineStr">
        <is>
          <t xml:space="preserve">          (นางศิวรักษ์   บุญประเสริฐ)</t>
        </is>
      </c>
      <c r="I780" s="310" t="n"/>
      <c r="J780" s="29" t="n"/>
      <c r="K780" s="29" t="n"/>
      <c r="L780" s="309" t="inlineStr">
        <is>
          <t>(นายปรีชา  โพธิ์เกิด)</t>
        </is>
      </c>
      <c r="R780" s="29" t="n"/>
      <c r="S780" s="13" t="n"/>
    </row>
    <row r="781" ht="22.2" customHeight="1" s="330">
      <c r="A781" s="62" t="inlineStr">
        <is>
          <t>ตำแหน่งครู  หัวหน้างานพัฒนาหลักสูตร ฯ</t>
        </is>
      </c>
      <c r="I781" s="331" t="n"/>
      <c r="J781" s="62" t="inlineStr">
        <is>
          <t>ตำแหน่ง  รองผู้อำนวยการฝ่ายวิชาการ</t>
        </is>
      </c>
      <c r="S781" s="331" t="n"/>
    </row>
    <row r="782" ht="22.2" customHeight="1" s="330">
      <c r="A782" s="63">
        <f>A179</f>
        <v/>
      </c>
      <c r="B782" s="471" t="n"/>
      <c r="C782" s="471" t="n"/>
      <c r="D782" s="471" t="n"/>
      <c r="E782" s="471" t="n"/>
      <c r="F782" s="471" t="n"/>
      <c r="G782" s="471" t="n"/>
      <c r="H782" s="471" t="n"/>
      <c r="I782" s="476" t="n"/>
      <c r="J782" s="63">
        <f>A179</f>
        <v/>
      </c>
      <c r="K782" s="471" t="n"/>
      <c r="L782" s="471" t="n"/>
      <c r="M782" s="471" t="n"/>
      <c r="N782" s="471" t="n"/>
      <c r="O782" s="471" t="n"/>
      <c r="P782" s="471" t="n"/>
      <c r="Q782" s="471" t="n"/>
      <c r="R782" s="471" t="n"/>
      <c r="S782" s="476" t="n"/>
    </row>
    <row r="783" ht="22.2" customHeight="1" s="330">
      <c r="A78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784" ht="22.2" customHeight="1" s="330">
      <c r="A784" s="254">
        <f>A2</f>
        <v/>
      </c>
    </row>
    <row r="785" ht="22.2" customHeight="1" s="330">
      <c r="A785" s="253" t="inlineStr">
        <is>
          <t xml:space="preserve">    ระหว่างวันที่</t>
        </is>
      </c>
      <c r="D785" s="254">
        <f>D3</f>
        <v/>
      </c>
      <c r="E785" s="254" t="inlineStr">
        <is>
          <t xml:space="preserve">   เดือน  </t>
        </is>
      </c>
      <c r="F785" s="254">
        <f>F3</f>
        <v/>
      </c>
      <c r="H785" s="254">
        <f>H3</f>
        <v/>
      </c>
      <c r="I785" s="254" t="inlineStr">
        <is>
          <t xml:space="preserve">     ถึง วันที่</t>
        </is>
      </c>
      <c r="J785" s="254">
        <f>J3</f>
        <v/>
      </c>
      <c r="K785" s="254" t="inlineStr">
        <is>
          <t xml:space="preserve">   เดือน </t>
        </is>
      </c>
      <c r="L785" s="254">
        <f>L3</f>
        <v/>
      </c>
      <c r="N785" s="254">
        <f>N3</f>
        <v/>
      </c>
      <c r="P785" s="254" t="n"/>
      <c r="R785" s="254" t="n"/>
    </row>
    <row r="786" ht="22.2" customHeight="1" s="330">
      <c r="G786" s="58" t="inlineStr">
        <is>
          <t>ü</t>
        </is>
      </c>
      <c r="H786" s="301" t="inlineStr">
        <is>
          <t>ครู</t>
        </is>
      </c>
      <c r="I786" s="301" t="inlineStr">
        <is>
          <t>หน้าที่พิเศษ</t>
        </is>
      </c>
      <c r="J786" s="290" t="n"/>
      <c r="K786" s="290" t="n"/>
    </row>
    <row r="787" ht="22.2" customHeight="1" s="330">
      <c r="A787" s="28" t="inlineStr">
        <is>
          <t>ที่</t>
        </is>
      </c>
      <c r="B787" s="28" t="inlineStr">
        <is>
          <t>ชื่อ-สกุล</t>
        </is>
      </c>
      <c r="C787" s="334" t="n"/>
      <c r="D787" s="335" t="n"/>
      <c r="E787" s="16" t="inlineStr">
        <is>
          <t>ตำแหน่ง</t>
        </is>
      </c>
      <c r="F787" s="17" t="inlineStr">
        <is>
          <t>ระยะเวลาที่สอน</t>
        </is>
      </c>
      <c r="G787" s="362" t="n"/>
      <c r="H787" s="17" t="inlineStr">
        <is>
          <t>รหัสวิชา</t>
        </is>
      </c>
      <c r="I787" s="275" t="inlineStr">
        <is>
          <t>ชั้น,แผนก,ห้อง</t>
        </is>
      </c>
      <c r="J787" s="17" t="inlineStr">
        <is>
          <t>เวลาสอน</t>
        </is>
      </c>
      <c r="K787" s="335" t="n"/>
      <c r="L787" s="17" t="inlineStr">
        <is>
          <t>ปวช.(คาบ)</t>
        </is>
      </c>
      <c r="M787" s="362" t="n"/>
      <c r="N787" s="244" t="inlineStr">
        <is>
          <t>เงิน</t>
        </is>
      </c>
      <c r="O787" s="275" t="inlineStr">
        <is>
          <t>ยอดเงิน</t>
        </is>
      </c>
      <c r="P787" s="473" t="inlineStr">
        <is>
          <t>ปวส.(คาบ)</t>
        </is>
      </c>
      <c r="Q787" s="362" t="n"/>
      <c r="R787" s="244" t="inlineStr">
        <is>
          <t>เงิน</t>
        </is>
      </c>
      <c r="S787" s="275" t="inlineStr">
        <is>
          <t>ยอดเงิน</t>
        </is>
      </c>
    </row>
    <row r="788" ht="22.2" customHeight="1" s="330">
      <c r="A788" s="60" t="n"/>
      <c r="B788" s="9" t="n"/>
      <c r="C788" s="10" t="n"/>
      <c r="D788" s="14" t="n"/>
      <c r="E788" s="11" t="n"/>
      <c r="F788" s="276" t="inlineStr">
        <is>
          <t>ส.</t>
        </is>
      </c>
      <c r="G788" s="276" t="inlineStr">
        <is>
          <t>วดป.</t>
        </is>
      </c>
      <c r="H788" s="474" t="n"/>
      <c r="I788" s="276" t="n"/>
      <c r="J788" s="475" t="n"/>
      <c r="K788" s="476" t="n"/>
      <c r="L788" s="276" t="inlineStr">
        <is>
          <t>ใน</t>
        </is>
      </c>
      <c r="M788" s="276" t="inlineStr">
        <is>
          <t>นอก</t>
        </is>
      </c>
      <c r="N788" s="276" t="inlineStr">
        <is>
          <t>ต่อ ชม.</t>
        </is>
      </c>
      <c r="O788" s="276" t="inlineStr">
        <is>
          <t>(บาท)</t>
        </is>
      </c>
      <c r="P788" s="60" t="inlineStr">
        <is>
          <t>ใน</t>
        </is>
      </c>
      <c r="Q788" s="60" t="inlineStr">
        <is>
          <t>นอก</t>
        </is>
      </c>
      <c r="R788" s="276" t="inlineStr">
        <is>
          <t>ต่อ ชม.</t>
        </is>
      </c>
      <c r="S788" s="276" t="inlineStr">
        <is>
          <t>(บาท)</t>
        </is>
      </c>
    </row>
    <row r="789" ht="22.2" customHeight="1" s="330">
      <c r="A789" s="275" t="n">
        <v>18</v>
      </c>
      <c r="B789" s="477">
        <f>AB20</f>
        <v/>
      </c>
      <c r="C789" s="334" t="n"/>
      <c r="D789" s="335" t="n"/>
      <c r="E789" s="275" t="inlineStr">
        <is>
          <t>ครู</t>
        </is>
      </c>
      <c r="F789" s="6" t="n">
        <v>5</v>
      </c>
      <c r="G789" s="303" t="inlineStr">
        <is>
          <t>จันทร์</t>
        </is>
      </c>
      <c r="H789" s="325" t="inlineStr">
        <is>
          <t>20101-2110</t>
        </is>
      </c>
      <c r="I789" s="325" t="inlineStr">
        <is>
          <t>ปวช.3/4 ชย. (ปกติ)</t>
        </is>
      </c>
      <c r="J789" s="332" t="inlineStr">
        <is>
          <t>08.10-12.10</t>
        </is>
      </c>
      <c r="K789" s="335" t="n"/>
      <c r="L789" s="265" t="n"/>
      <c r="M789" s="332" t="n"/>
      <c r="N789" s="332" t="n"/>
      <c r="O789" s="244">
        <f>M789*N789</f>
        <v/>
      </c>
      <c r="P789" s="332" t="n"/>
      <c r="Q789" s="265" t="n"/>
      <c r="R789" s="332" t="n"/>
      <c r="S789" s="244">
        <f>Q789*R789</f>
        <v/>
      </c>
    </row>
    <row r="790" ht="22.2" customHeight="1" s="330">
      <c r="A790" s="4" t="n"/>
      <c r="B790" s="478" t="n"/>
      <c r="D790" s="331" t="n"/>
      <c r="E790" s="252" t="n"/>
      <c r="F790" s="249" t="n"/>
      <c r="G790" s="308">
        <f>G560</f>
        <v/>
      </c>
      <c r="H790" s="325" t="n"/>
      <c r="I790" s="325" t="n"/>
      <c r="J790" s="252" t="n"/>
      <c r="K790" s="331" t="n"/>
      <c r="L790" s="252" t="n"/>
      <c r="M790" s="252" t="n"/>
      <c r="N790" s="252" t="n"/>
      <c r="O790" s="244">
        <f>M790*N790</f>
        <v/>
      </c>
      <c r="P790" s="252" t="n"/>
      <c r="Q790" s="252" t="n"/>
      <c r="R790" s="252" t="n"/>
      <c r="S790" s="244">
        <f>Q790*R790</f>
        <v/>
      </c>
    </row>
    <row r="791" ht="22.2" customHeight="1" s="330">
      <c r="A791" s="4" t="n"/>
      <c r="B791" s="5" t="n"/>
      <c r="D791" s="3" t="n"/>
      <c r="E791" s="3" t="n"/>
      <c r="F791" s="249" t="n"/>
      <c r="G791" s="248" t="n"/>
      <c r="H791" s="252" t="n"/>
      <c r="I791" s="252" t="n"/>
      <c r="J791" s="252" t="n"/>
      <c r="K791" s="331" t="n"/>
      <c r="L791" s="252" t="n"/>
      <c r="M791" s="252" t="n"/>
      <c r="N791" s="252" t="n"/>
      <c r="O791" s="244">
        <f>M791*N791</f>
        <v/>
      </c>
      <c r="P791" s="252" t="n"/>
      <c r="Q791" s="252" t="n"/>
      <c r="R791" s="252" t="n"/>
      <c r="S791" s="244">
        <f>Q791*R791</f>
        <v/>
      </c>
    </row>
    <row r="792" ht="22.2" customHeight="1" s="330">
      <c r="A792" s="4" t="n"/>
      <c r="B792" s="5" t="n"/>
      <c r="E792" s="4" t="n"/>
      <c r="F792" s="249" t="n"/>
      <c r="G792" s="248" t="n"/>
      <c r="H792" s="252" t="n"/>
      <c r="I792" s="252" t="n"/>
      <c r="J792" s="252" t="n"/>
      <c r="K792" s="331" t="n"/>
      <c r="L792" s="252" t="n"/>
      <c r="M792" s="252" t="n"/>
      <c r="N792" s="252" t="n"/>
      <c r="O792" s="244">
        <f>M792*N792</f>
        <v/>
      </c>
      <c r="P792" s="252" t="n"/>
      <c r="Q792" s="252" t="n"/>
      <c r="R792" s="252" t="n"/>
      <c r="S792" s="244">
        <f>Q792*R792</f>
        <v/>
      </c>
    </row>
    <row r="793" ht="22.2" customHeight="1" s="330">
      <c r="A793" s="4" t="n"/>
      <c r="E793" s="4" t="n"/>
      <c r="G793" s="311" t="n"/>
      <c r="H793" s="276" t="n"/>
      <c r="I793" s="276" t="n"/>
      <c r="J793" s="276" t="n"/>
      <c r="K793" s="476" t="n"/>
      <c r="L793" s="252" t="n"/>
      <c r="M793" s="252" t="n"/>
      <c r="N793" s="252" t="n"/>
      <c r="O793" s="244">
        <f>M793*N793</f>
        <v/>
      </c>
      <c r="P793" s="252" t="n"/>
      <c r="Q793" s="252" t="n"/>
      <c r="R793" s="252" t="n"/>
      <c r="S793" s="244">
        <f>Q793*R793</f>
        <v/>
      </c>
    </row>
    <row r="794" ht="22.2" customHeight="1" s="330">
      <c r="A794" s="4" t="n"/>
      <c r="E794" s="4" t="n"/>
      <c r="G794" s="62" t="inlineStr">
        <is>
          <t>อังคาร</t>
        </is>
      </c>
      <c r="H794" s="325" t="inlineStr">
        <is>
          <t>20101-2103</t>
        </is>
      </c>
      <c r="I794" s="325" t="inlineStr">
        <is>
          <t>ปวช.2/5 ชย. (ปกติ)</t>
        </is>
      </c>
      <c r="J794" s="332" t="inlineStr">
        <is>
          <t>08.10-12.10</t>
        </is>
      </c>
      <c r="K794" s="335" t="n"/>
      <c r="L794" s="265" t="n"/>
      <c r="M794" s="332" t="n"/>
      <c r="N794" s="332" t="n"/>
      <c r="O794" s="244">
        <f>M794*N794</f>
        <v/>
      </c>
      <c r="P794" s="332" t="n"/>
      <c r="Q794" s="265" t="n"/>
      <c r="R794" s="332" t="n"/>
      <c r="S794" s="244">
        <f>Q794*R794</f>
        <v/>
      </c>
    </row>
    <row r="795" ht="22.2" customHeight="1" s="330">
      <c r="A795" s="4" t="n"/>
      <c r="E795" s="4" t="n"/>
      <c r="G795" s="308">
        <f>G565</f>
        <v/>
      </c>
      <c r="H795" s="325" t="inlineStr">
        <is>
          <t>20101-2103</t>
        </is>
      </c>
      <c r="I795" s="325" t="inlineStr">
        <is>
          <t>ปวช.2/6 ชย. (ปกติ)</t>
        </is>
      </c>
      <c r="J795" s="252" t="inlineStr">
        <is>
          <t>13.10-17.10</t>
        </is>
      </c>
      <c r="K795" s="331" t="n"/>
      <c r="L795" s="252" t="n"/>
      <c r="M795" s="252" t="n"/>
      <c r="N795" s="252" t="n"/>
      <c r="O795" s="244">
        <f>M795*N795</f>
        <v/>
      </c>
      <c r="P795" s="252" t="n"/>
      <c r="Q795" s="252" t="n"/>
      <c r="R795" s="252" t="n"/>
      <c r="S795" s="244">
        <f>Q795*R795</f>
        <v/>
      </c>
    </row>
    <row r="796" ht="22.2" customHeight="1" s="330">
      <c r="A796" s="4" t="n"/>
      <c r="B796" s="5" t="n"/>
      <c r="D796" s="3" t="n"/>
      <c r="E796" s="3" t="n"/>
      <c r="G796" s="252" t="n"/>
      <c r="H796" s="252" t="n"/>
      <c r="I796" s="252" t="n"/>
      <c r="J796" s="252" t="n"/>
      <c r="K796" s="331" t="n"/>
      <c r="L796" s="252" t="n"/>
      <c r="M796" s="252" t="n"/>
      <c r="N796" s="252" t="n"/>
      <c r="O796" s="244">
        <f>M796*N796</f>
        <v/>
      </c>
      <c r="P796" s="252" t="n"/>
      <c r="Q796" s="252" t="n"/>
      <c r="R796" s="252" t="n"/>
      <c r="S796" s="244">
        <f>Q796*R796</f>
        <v/>
      </c>
    </row>
    <row r="797" ht="22.2" customHeight="1" s="330">
      <c r="A797" s="4" t="n"/>
      <c r="E797" s="4" t="n"/>
      <c r="G797" s="62" t="n"/>
      <c r="H797" s="252" t="n"/>
      <c r="I797" s="252" t="n"/>
      <c r="J797" s="252" t="n"/>
      <c r="K797" s="331" t="n"/>
      <c r="L797" s="252" t="n"/>
      <c r="M797" s="252" t="n"/>
      <c r="N797" s="252" t="n"/>
      <c r="O797" s="244">
        <f>M797*N797</f>
        <v/>
      </c>
      <c r="P797" s="252" t="n"/>
      <c r="Q797" s="252" t="n"/>
      <c r="R797" s="252" t="n"/>
      <c r="S797" s="244">
        <f>Q797*R797</f>
        <v/>
      </c>
    </row>
    <row r="798" ht="22.2" customHeight="1" s="330">
      <c r="A798" s="4" t="n"/>
      <c r="D798" s="8" t="inlineStr">
        <is>
          <t> </t>
        </is>
      </c>
      <c r="E798" s="4" t="n"/>
      <c r="G798" s="63" t="n"/>
      <c r="H798" s="276" t="n"/>
      <c r="I798" s="276" t="n"/>
      <c r="J798" s="276" t="n"/>
      <c r="K798" s="476" t="n"/>
      <c r="L798" s="252" t="n"/>
      <c r="M798" s="252" t="n"/>
      <c r="N798" s="252" t="n"/>
      <c r="O798" s="244">
        <f>M798*N798</f>
        <v/>
      </c>
      <c r="P798" s="252" t="n"/>
      <c r="Q798" s="252" t="n"/>
      <c r="R798" s="252" t="n"/>
      <c r="S798" s="244">
        <f>Q798*R798</f>
        <v/>
      </c>
    </row>
    <row r="799" ht="22.2" customHeight="1" s="330">
      <c r="A799" s="4" t="n"/>
      <c r="E799" s="4" t="n"/>
      <c r="G799" s="308" t="inlineStr">
        <is>
          <t>พุธ</t>
        </is>
      </c>
      <c r="H799" s="325" t="inlineStr">
        <is>
          <t>20101-2103</t>
        </is>
      </c>
      <c r="I799" s="325" t="inlineStr">
        <is>
          <t>ปวช.2/7 ชย. (ปกติ)</t>
        </is>
      </c>
      <c r="J799" s="332" t="inlineStr">
        <is>
          <t>08.10-12.10</t>
        </is>
      </c>
      <c r="K799" s="335" t="n"/>
      <c r="L799" s="265" t="n"/>
      <c r="M799" s="332" t="n"/>
      <c r="N799" s="332" t="n"/>
      <c r="O799" s="244">
        <f>M799*N799</f>
        <v/>
      </c>
      <c r="P799" s="332" t="n"/>
      <c r="Q799" s="265" t="n"/>
      <c r="R799" s="332" t="n"/>
      <c r="S799" s="244">
        <f>Q799*R799</f>
        <v/>
      </c>
    </row>
    <row r="800" ht="22.2" customHeight="1" s="330">
      <c r="A800" s="4" t="n"/>
      <c r="B800" s="248" t="n"/>
      <c r="C800" s="249" t="n"/>
      <c r="D800" s="249" t="n"/>
      <c r="E800" s="252" t="n"/>
      <c r="G800" s="308">
        <f>G570</f>
        <v/>
      </c>
      <c r="H800" s="325" t="inlineStr">
        <is>
          <t>20101-2103</t>
        </is>
      </c>
      <c r="I800" s="325" t="inlineStr">
        <is>
          <t>ปวช.2/8 ชย. (ปกติ)</t>
        </is>
      </c>
      <c r="J800" s="252" t="inlineStr">
        <is>
          <t>13.10-17.10</t>
        </is>
      </c>
      <c r="K800" s="331" t="n"/>
      <c r="L800" s="252" t="n"/>
      <c r="M800" s="252" t="n"/>
      <c r="N800" s="252" t="n"/>
      <c r="O800" s="244">
        <f>M800*N800</f>
        <v/>
      </c>
      <c r="P800" s="252" t="n"/>
      <c r="Q800" s="252" t="n"/>
      <c r="R800" s="252" t="n"/>
      <c r="S800" s="244">
        <f>Q800*R800</f>
        <v/>
      </c>
    </row>
    <row r="801" ht="22.2" customHeight="1" s="330">
      <c r="A801" s="4" t="n"/>
      <c r="B801" s="5" t="n"/>
      <c r="D801" s="3" t="n"/>
      <c r="E801" s="3" t="n"/>
      <c r="G801" s="252" t="n"/>
      <c r="H801" s="325" t="n"/>
      <c r="I801" s="325" t="n"/>
      <c r="J801" s="252" t="n"/>
      <c r="K801" s="331" t="n"/>
      <c r="L801" s="252" t="n"/>
      <c r="M801" s="252" t="n"/>
      <c r="N801" s="252" t="n"/>
      <c r="O801" s="244">
        <f>M801*N801</f>
        <v/>
      </c>
      <c r="P801" s="252" t="n"/>
      <c r="Q801" s="252" t="n"/>
      <c r="R801" s="252" t="n"/>
      <c r="S801" s="244">
        <f>Q801*R801</f>
        <v/>
      </c>
    </row>
    <row r="802" ht="22.2" customHeight="1" s="330">
      <c r="A802" s="4" t="n"/>
      <c r="E802" s="4" t="n"/>
      <c r="G802" s="248" t="n"/>
      <c r="H802" s="248" t="n"/>
      <c r="I802" s="252" t="n"/>
      <c r="J802" s="252" t="n"/>
      <c r="K802" s="331" t="n"/>
      <c r="L802" s="252" t="n"/>
      <c r="M802" s="252" t="n"/>
      <c r="N802" s="252" t="n"/>
      <c r="O802" s="244">
        <f>M802*N802</f>
        <v/>
      </c>
      <c r="P802" s="252" t="n"/>
      <c r="Q802" s="252" t="n"/>
      <c r="R802" s="252" t="n"/>
      <c r="S802" s="244">
        <f>Q802*R802</f>
        <v/>
      </c>
    </row>
    <row r="803" ht="22.2" customHeight="1" s="330">
      <c r="A803" s="4" t="n"/>
      <c r="E803" s="4" t="n"/>
      <c r="G803" s="277" t="n"/>
      <c r="H803" s="277" t="n"/>
      <c r="I803" s="276" t="n"/>
      <c r="J803" s="276" t="n"/>
      <c r="K803" s="476" t="n"/>
      <c r="L803" s="276" t="n"/>
      <c r="M803" s="276" t="n"/>
      <c r="N803" s="276" t="n"/>
      <c r="O803" s="244">
        <f>M803*N803</f>
        <v/>
      </c>
      <c r="P803" s="276" t="n"/>
      <c r="Q803" s="276" t="n"/>
      <c r="R803" s="276" t="n"/>
      <c r="S803" s="244">
        <f>Q803*R803</f>
        <v/>
      </c>
    </row>
    <row r="804" ht="22.2" customHeight="1" s="330">
      <c r="A804" s="4" t="n"/>
      <c r="E804" s="4" t="n"/>
      <c r="G804" s="62" t="inlineStr">
        <is>
          <t>พฤหัส</t>
        </is>
      </c>
      <c r="H804" s="325" t="inlineStr">
        <is>
          <t>20101-2005</t>
        </is>
      </c>
      <c r="I804" s="325" t="inlineStr">
        <is>
          <t>ปวช.2/2 ชย. (ปกติ)</t>
        </is>
      </c>
      <c r="J804" s="332" t="inlineStr">
        <is>
          <t>08.10-12.10</t>
        </is>
      </c>
      <c r="K804" s="335" t="n"/>
      <c r="L804" s="275" t="n"/>
      <c r="M804" s="252" t="n"/>
      <c r="N804" s="252" t="n"/>
      <c r="O804" s="244">
        <f>M804*N804</f>
        <v/>
      </c>
      <c r="P804" s="252" t="n"/>
      <c r="Q804" s="275" t="n"/>
      <c r="R804" s="275" t="n"/>
      <c r="S804" s="244">
        <f>Q804*R804</f>
        <v/>
      </c>
      <c r="T804" s="25" t="n"/>
      <c r="U804" s="26" t="inlineStr">
        <is>
          <t xml:space="preserve">     PLC</t>
        </is>
      </c>
      <c r="V804" s="64" t="n"/>
      <c r="W804" s="27" t="n"/>
      <c r="X804" s="27" t="n"/>
    </row>
    <row r="805" ht="22.2" customHeight="1" s="330">
      <c r="A805" s="4" t="n"/>
      <c r="E805" s="4" t="n"/>
      <c r="G805" s="308">
        <f>G575</f>
        <v/>
      </c>
      <c r="H805" s="325" t="inlineStr">
        <is>
          <t>20000-2002</t>
        </is>
      </c>
      <c r="I805" s="325" t="inlineStr">
        <is>
          <t>ปวช.1/7,8 ชย. (ปกติ)</t>
        </is>
      </c>
      <c r="J805" s="252" t="inlineStr">
        <is>
          <t>13.10-15.10</t>
        </is>
      </c>
      <c r="K805" s="331" t="n"/>
      <c r="L805" s="285" t="n"/>
      <c r="M805" s="252" t="n"/>
      <c r="N805" s="252" t="n"/>
      <c r="O805" s="244">
        <f>M805*N805</f>
        <v/>
      </c>
      <c r="P805" s="252" t="n"/>
      <c r="Q805" s="252" t="n"/>
      <c r="R805" s="252" t="n"/>
      <c r="S805" s="244">
        <f>Q805*R805</f>
        <v/>
      </c>
      <c r="T805" s="27" t="inlineStr">
        <is>
          <t> </t>
        </is>
      </c>
      <c r="U805" s="26" t="inlineStr">
        <is>
          <t>17.10-19.10</t>
        </is>
      </c>
      <c r="V805" s="64" t="n"/>
      <c r="W805" s="27" t="n"/>
      <c r="X805" s="27" t="n"/>
    </row>
    <row r="806" ht="22.2" customHeight="1" s="330">
      <c r="A806" s="4" t="n"/>
      <c r="B806" s="5" t="n"/>
      <c r="E806" s="4" t="n"/>
      <c r="G806" s="252" t="n"/>
      <c r="H806" s="325" t="inlineStr">
        <is>
          <t>20101-2005</t>
        </is>
      </c>
      <c r="I806" s="325" t="inlineStr">
        <is>
          <t>ปวช.2/2 ชย. (ปกติ)</t>
        </is>
      </c>
      <c r="J806" s="252" t="inlineStr">
        <is>
          <t>15.10-18.10</t>
        </is>
      </c>
      <c r="K806" s="331" t="n"/>
      <c r="L806" s="252" t="n"/>
      <c r="M806" s="325" t="n"/>
      <c r="N806" s="325" t="n"/>
      <c r="O806" s="244">
        <f>M806*N806</f>
        <v/>
      </c>
      <c r="P806" s="325" t="n"/>
      <c r="Q806" s="325" t="n"/>
      <c r="R806" s="325" t="n"/>
      <c r="S806" s="244">
        <f>Q806*R806</f>
        <v/>
      </c>
    </row>
    <row r="807" ht="22.2" customHeight="1" s="330">
      <c r="A807" s="4" t="n"/>
      <c r="E807" s="4" t="n"/>
      <c r="G807" s="252" t="n"/>
      <c r="H807" s="252" t="n"/>
      <c r="I807" s="252" t="n"/>
      <c r="J807" s="252" t="n"/>
      <c r="K807" s="331" t="n"/>
      <c r="L807" s="252" t="n"/>
      <c r="M807" s="252" t="n"/>
      <c r="N807" s="252" t="n"/>
      <c r="O807" s="244">
        <f>M807*N807</f>
        <v/>
      </c>
      <c r="P807" s="252" t="n"/>
      <c r="Q807" s="252" t="n"/>
      <c r="R807" s="252" t="n"/>
      <c r="S807" s="244">
        <f>Q807*R807</f>
        <v/>
      </c>
    </row>
    <row r="808" ht="22.2" customHeight="1" s="330">
      <c r="A808" s="4" t="n"/>
      <c r="E808" s="4" t="n"/>
      <c r="G808" s="276" t="n"/>
      <c r="H808" s="301" t="n"/>
      <c r="I808" s="276" t="n"/>
      <c r="J808" s="276" t="n"/>
      <c r="K808" s="476" t="n"/>
      <c r="L808" s="276" t="n"/>
      <c r="M808" s="276" t="n"/>
      <c r="N808" s="276" t="n"/>
      <c r="O808" s="244">
        <f>M808*N808</f>
        <v/>
      </c>
      <c r="P808" s="276" t="n"/>
      <c r="Q808" s="276" t="n"/>
      <c r="R808" s="276" t="n"/>
      <c r="S808" s="244">
        <f>Q808*R808</f>
        <v/>
      </c>
    </row>
    <row r="809" ht="22.2" customHeight="1" s="330">
      <c r="A809" s="4" t="n"/>
      <c r="E809" s="4" t="n"/>
      <c r="G809" s="62" t="inlineStr">
        <is>
          <t>ศุกร์</t>
        </is>
      </c>
      <c r="H809" s="325" t="inlineStr">
        <is>
          <t>20101-2110</t>
        </is>
      </c>
      <c r="I809" s="325" t="inlineStr">
        <is>
          <t>ปวช.3/2 ชย. (ปกติ)</t>
        </is>
      </c>
      <c r="J809" s="332" t="inlineStr">
        <is>
          <t>08.10-12.10</t>
        </is>
      </c>
      <c r="K809" s="335" t="n"/>
      <c r="L809" s="265" t="n"/>
      <c r="M809" s="252" t="n"/>
      <c r="N809" s="252" t="n"/>
      <c r="O809" s="244">
        <f>M809*N809</f>
        <v/>
      </c>
      <c r="P809" s="332" t="n"/>
      <c r="Q809" s="265" t="n"/>
      <c r="R809" s="332" t="n"/>
      <c r="S809" s="244">
        <f>Q809*R809</f>
        <v/>
      </c>
    </row>
    <row r="810" ht="22.2" customHeight="1" s="330">
      <c r="A810" s="4" t="n"/>
      <c r="E810" s="4" t="n"/>
      <c r="G810" s="308">
        <f>G580</f>
        <v/>
      </c>
      <c r="H810" s="325" t="n"/>
      <c r="I810" s="325" t="n"/>
      <c r="J810" s="252" t="n"/>
      <c r="K810" s="331" t="n"/>
      <c r="L810" s="252" t="n"/>
      <c r="M810" s="252" t="n"/>
      <c r="N810" s="252" t="n"/>
      <c r="O810" s="244">
        <f>M810*N810</f>
        <v/>
      </c>
      <c r="P810" s="252" t="n"/>
      <c r="Q810" s="252" t="n"/>
      <c r="R810" s="252" t="n"/>
      <c r="S810" s="244">
        <f>Q810*R810</f>
        <v/>
      </c>
    </row>
    <row r="811" ht="22.2" customHeight="1" s="330">
      <c r="A811" s="4" t="n"/>
      <c r="E811" s="4" t="n"/>
      <c r="G811" s="252" t="n"/>
      <c r="H811" s="325" t="n"/>
      <c r="I811" s="325" t="n"/>
      <c r="J811" s="252" t="n"/>
      <c r="K811" s="331" t="n"/>
      <c r="L811" s="252" t="n"/>
      <c r="M811" s="325" t="n"/>
      <c r="N811" s="325" t="n"/>
      <c r="O811" s="244">
        <f>M811*N811</f>
        <v/>
      </c>
      <c r="P811" s="252" t="n"/>
      <c r="Q811" s="252" t="n"/>
      <c r="R811" s="252" t="n"/>
      <c r="S811" s="244">
        <f>Q811*R811</f>
        <v/>
      </c>
    </row>
    <row r="812" ht="22.2" customHeight="1" s="330">
      <c r="A812" s="4" t="n"/>
      <c r="E812" s="4" t="n"/>
      <c r="G812" s="252" t="n"/>
      <c r="H812" s="249" t="inlineStr">
        <is>
          <t> </t>
        </is>
      </c>
      <c r="I812" s="252" t="n"/>
      <c r="J812" s="252" t="n"/>
      <c r="K812" s="331" t="n"/>
      <c r="L812" s="252" t="n"/>
      <c r="M812" s="252" t="n"/>
      <c r="N812" s="252" t="n"/>
      <c r="O812" s="244">
        <f>M812*N812</f>
        <v/>
      </c>
      <c r="P812" s="252" t="n"/>
      <c r="Q812" s="252" t="n"/>
      <c r="R812" s="252" t="n"/>
      <c r="S812" s="244">
        <f>Q812*R812</f>
        <v/>
      </c>
    </row>
    <row r="813" ht="22.2" customHeight="1" s="330">
      <c r="A813" s="4" t="n"/>
      <c r="E813" s="4" t="n"/>
      <c r="F813" s="4" t="n"/>
      <c r="G813" s="278" t="n"/>
      <c r="H813" s="301" t="n"/>
      <c r="I813" s="276" t="n"/>
      <c r="J813" s="276" t="n"/>
      <c r="K813" s="476" t="n"/>
      <c r="L813" s="276" t="n"/>
      <c r="M813" s="276" t="n"/>
      <c r="N813" s="276" t="n"/>
      <c r="O813" s="244">
        <f>M813*N813</f>
        <v/>
      </c>
      <c r="P813" s="276" t="n"/>
      <c r="Q813" s="276" t="n"/>
      <c r="R813" s="276" t="n"/>
      <c r="S813" s="244">
        <f>Q813*R813</f>
        <v/>
      </c>
    </row>
    <row r="814" ht="22.2" customHeight="1" s="330">
      <c r="A814" s="4" t="n"/>
      <c r="E814" s="4" t="n"/>
      <c r="F814" s="4" t="n"/>
      <c r="G814" s="17" t="inlineStr">
        <is>
          <t>รวมขั่วโมงที่สอนแยก ภาระงาน/ เกินภาระงาน</t>
        </is>
      </c>
      <c r="H814" s="467" t="n"/>
      <c r="I814" s="467" t="n"/>
      <c r="J814" s="467" t="n"/>
      <c r="K814" s="362" t="n"/>
      <c r="L814" s="17">
        <f>SUM(L789:L813)</f>
        <v/>
      </c>
      <c r="M814" s="17">
        <f>SUM(M789:M813)</f>
        <v/>
      </c>
      <c r="N814" s="17" t="n"/>
      <c r="O814" s="17" t="n"/>
      <c r="P814" s="17">
        <f>SUM(P789:P813)</f>
        <v/>
      </c>
      <c r="Q814" s="17">
        <f>SUM(Q789:Q813)</f>
        <v/>
      </c>
      <c r="R814" s="279" t="n"/>
      <c r="S814" s="17" t="n"/>
    </row>
    <row r="815" ht="22.2" customHeight="1" s="330">
      <c r="A815" s="4" t="n"/>
      <c r="E815" s="4" t="n"/>
      <c r="F815" s="4" t="n"/>
      <c r="G815" s="17" t="inlineStr">
        <is>
          <t>รวมจำนวนชั่วโมงสอนคาบต่อสับดาห์</t>
        </is>
      </c>
      <c r="H815" s="467" t="n"/>
      <c r="I815" s="467" t="n"/>
      <c r="J815" s="467" t="n"/>
      <c r="K815" s="362" t="n"/>
      <c r="L815" s="17">
        <f>L814+M814</f>
        <v/>
      </c>
      <c r="M815" s="362" t="n"/>
      <c r="N815" s="298" t="n"/>
      <c r="O815" s="17" t="n"/>
      <c r="P815" s="17">
        <f>P814+Q814</f>
        <v/>
      </c>
      <c r="Q815" s="362" t="n"/>
      <c r="R815" s="278" t="n"/>
      <c r="S815" s="276" t="n"/>
    </row>
    <row r="816" ht="22.2" customHeight="1" s="330">
      <c r="A816" s="4" t="n"/>
      <c r="E816" s="4" t="n"/>
      <c r="F816" s="4" t="n"/>
      <c r="G816" s="17" t="inlineStr">
        <is>
          <t>จำนวนชั่วโมงสอนตามภาระงานสอน</t>
        </is>
      </c>
      <c r="H816" s="467" t="n"/>
      <c r="I816" s="467" t="n"/>
      <c r="J816" s="467" t="n"/>
      <c r="K816" s="362" t="n"/>
      <c r="L816" s="17" t="n">
        <v>18</v>
      </c>
      <c r="M816" s="362" t="n"/>
      <c r="N816" s="298" t="n"/>
      <c r="O816" s="17" t="n"/>
      <c r="P816" s="17" t="n">
        <v>0</v>
      </c>
      <c r="Q816" s="362" t="n"/>
      <c r="R816" s="249" t="n"/>
      <c r="S816" s="252" t="n"/>
    </row>
    <row r="817" ht="22.2" customHeight="1" s="330" thickBot="1">
      <c r="A817" s="4" t="n"/>
      <c r="E817" s="4" t="n"/>
      <c r="F817" s="15" t="n"/>
      <c r="G817" s="17" t="inlineStr">
        <is>
          <t>จำนวนชั่วโมงบิกเกินภาระงานสอน/ค่าสอน</t>
        </is>
      </c>
      <c r="H817" s="467" t="n"/>
      <c r="I817" s="467" t="n"/>
      <c r="J817" s="467" t="n"/>
      <c r="K817" s="362" t="n"/>
      <c r="L817" s="18" t="n">
        <v>0</v>
      </c>
      <c r="M817" s="18">
        <f>SUM(M789:M813)</f>
        <v/>
      </c>
      <c r="N817" s="18" t="n"/>
      <c r="O817" s="18">
        <f>SUM(O789:O813)</f>
        <v/>
      </c>
      <c r="P817" s="18" t="n">
        <v>0</v>
      </c>
      <c r="Q817" s="18">
        <f>SUM(Q789:Q813)</f>
        <v/>
      </c>
      <c r="R817" s="19" t="n"/>
      <c r="S817" s="18">
        <f>SUM(S789:S813)</f>
        <v/>
      </c>
    </row>
    <row r="818" ht="22.2" customHeight="1" s="330" thickTop="1">
      <c r="A818" s="299" t="inlineStr">
        <is>
          <t>รวมจำนวนหน่วยชั่วโมงที่ขอเบิกค่าสอน ….</t>
        </is>
      </c>
      <c r="B818" s="467" t="n"/>
      <c r="C818" s="467" t="n"/>
      <c r="D818" s="467" t="n"/>
      <c r="E818" s="467" t="n"/>
      <c r="F818" s="467" t="n"/>
      <c r="G818" s="467" t="n"/>
      <c r="H818" s="298">
        <f>M817+Q817</f>
        <v/>
      </c>
      <c r="I818" s="298" t="inlineStr">
        <is>
          <t>….ชั่วโมง</t>
        </is>
      </c>
      <c r="J818" s="298" t="n"/>
      <c r="K818" s="301" t="inlineStr">
        <is>
          <t>ยอดเงินรวม</t>
        </is>
      </c>
      <c r="L818" s="471" t="n"/>
      <c r="M818" s="471" t="n"/>
      <c r="N818" s="301" t="n"/>
      <c r="O818" s="301" t="n"/>
      <c r="P818" s="302">
        <f>S817+O817</f>
        <v/>
      </c>
      <c r="Q818" s="482" t="n"/>
      <c r="R818" s="21" t="n"/>
      <c r="S818" s="20" t="inlineStr">
        <is>
          <t>..บาท</t>
        </is>
      </c>
    </row>
    <row r="819" ht="22.2" customHeight="1" s="330">
      <c r="A819" s="207" t="inlineStr">
        <is>
          <t>ผู้ขอเบิก</t>
        </is>
      </c>
      <c r="B819" s="334" t="n"/>
      <c r="C819" s="334" t="n"/>
      <c r="D819" s="334" t="n"/>
      <c r="E819" s="334" t="n"/>
      <c r="F819" s="334" t="n"/>
      <c r="G819" s="335" t="n"/>
      <c r="H819" s="207" t="inlineStr">
        <is>
          <t>ผู้รับรอง</t>
        </is>
      </c>
      <c r="I819" s="334" t="n"/>
      <c r="J819" s="334" t="n"/>
      <c r="K819" s="334" t="n"/>
      <c r="L819" s="335" t="n"/>
      <c r="M819" s="207" t="inlineStr">
        <is>
          <t>ผู้ตรวจ</t>
        </is>
      </c>
      <c r="N819" s="334" t="n"/>
      <c r="O819" s="334" t="n"/>
      <c r="P819" s="334" t="n"/>
      <c r="Q819" s="334" t="n"/>
      <c r="R819" s="334" t="n"/>
      <c r="S819" s="335" t="n"/>
    </row>
    <row r="820" ht="22.2" customHeight="1" s="330">
      <c r="A820" s="252" t="inlineStr">
        <is>
          <t>ลงชื่อ……………………………………………</t>
        </is>
      </c>
      <c r="G820" s="331" t="n"/>
      <c r="H820" s="252" t="inlineStr">
        <is>
          <t>ลงชื่อ……………………………………………</t>
        </is>
      </c>
      <c r="L820" s="331" t="n"/>
      <c r="M820" s="252" t="inlineStr">
        <is>
          <t>ลงชื่อ……………………………………………</t>
        </is>
      </c>
      <c r="S820" s="331" t="n"/>
    </row>
    <row r="821" ht="22.2" customHeight="1" s="330">
      <c r="A821" s="12" t="inlineStr">
        <is>
          <t>(</t>
        </is>
      </c>
      <c r="B821" s="309">
        <f>B789</f>
        <v/>
      </c>
      <c r="G821" s="310" t="inlineStr">
        <is>
          <t>)</t>
        </is>
      </c>
      <c r="H821" s="309" t="inlineStr">
        <is>
          <t>(</t>
        </is>
      </c>
      <c r="I821" s="314">
        <f>I591</f>
        <v/>
      </c>
      <c r="L821" s="13" t="inlineStr">
        <is>
          <t>)</t>
        </is>
      </c>
      <c r="M821" s="61" t="inlineStr">
        <is>
          <t>(</t>
        </is>
      </c>
      <c r="N821" s="61" t="n"/>
      <c r="O821" s="309" t="inlineStr">
        <is>
          <t>นายพิสุทธิศักดิ์  กล่อมนาค</t>
        </is>
      </c>
      <c r="R821" s="29" t="n"/>
      <c r="S821" s="310" t="inlineStr">
        <is>
          <t>)</t>
        </is>
      </c>
    </row>
    <row r="822" ht="22.2" customHeight="1" s="330">
      <c r="A822" s="483" t="inlineStr">
        <is>
          <t xml:space="preserve">                        ตำแหน่ง ครู</t>
        </is>
      </c>
      <c r="G822" s="331" t="n"/>
      <c r="H822" s="62" t="inlineStr">
        <is>
          <t>ตำแหน่ง หัวหน้าแผนก</t>
        </is>
      </c>
      <c r="L822" s="331" t="n"/>
      <c r="M822" s="62" t="inlineStr">
        <is>
          <t>ตำแหน่ง   ผู้ตรวจสอบ</t>
        </is>
      </c>
      <c r="S822" s="331" t="n"/>
    </row>
    <row r="823" ht="22.2" customHeight="1" s="330">
      <c r="A823" s="63">
        <f>A41</f>
        <v/>
      </c>
      <c r="B823" s="471" t="n"/>
      <c r="C823" s="471" t="n"/>
      <c r="D823" s="471" t="n"/>
      <c r="E823" s="471" t="n"/>
      <c r="F823" s="471" t="n"/>
      <c r="G823" s="476" t="n"/>
      <c r="H823" s="62">
        <f>A41</f>
        <v/>
      </c>
      <c r="L823" s="331" t="n"/>
      <c r="M823" s="63">
        <f>A41</f>
        <v/>
      </c>
      <c r="N823" s="471" t="n"/>
      <c r="O823" s="471" t="n"/>
      <c r="P823" s="471" t="n"/>
      <c r="Q823" s="471" t="n"/>
      <c r="R823" s="471" t="n"/>
      <c r="S823" s="476" t="n"/>
    </row>
    <row r="824" ht="22.2" customHeight="1" s="330">
      <c r="A824" s="207" t="inlineStr">
        <is>
          <t>ผู้ตรวจ</t>
        </is>
      </c>
      <c r="B824" s="334" t="n"/>
      <c r="C824" s="334" t="n"/>
      <c r="D824" s="334" t="n"/>
      <c r="E824" s="334" t="n"/>
      <c r="F824" s="334" t="n"/>
      <c r="G824" s="334" t="n"/>
      <c r="H824" s="334" t="n"/>
      <c r="I824" s="335" t="n"/>
      <c r="J824" s="207" t="inlineStr">
        <is>
          <t>ผู้เห็นชอบ</t>
        </is>
      </c>
      <c r="K824" s="334" t="n"/>
      <c r="L824" s="334" t="n"/>
      <c r="M824" s="334" t="n"/>
      <c r="N824" s="334" t="n"/>
      <c r="O824" s="334" t="n"/>
      <c r="P824" s="334" t="n"/>
      <c r="Q824" s="334" t="n"/>
      <c r="R824" s="334" t="n"/>
      <c r="S824" s="335" t="n"/>
    </row>
    <row r="825" ht="22.2" customHeight="1" s="330">
      <c r="A825" s="252" t="inlineStr">
        <is>
          <t>ลงชื่อ……………………………………………</t>
        </is>
      </c>
      <c r="I825" s="331" t="n"/>
      <c r="J825" s="252" t="inlineStr">
        <is>
          <t>ลงชื่อ……………………………………………</t>
        </is>
      </c>
      <c r="S825" s="331" t="n"/>
    </row>
    <row r="826" ht="22.2" customHeight="1" s="330">
      <c r="A826" s="12" t="n"/>
      <c r="B826" s="309" t="inlineStr">
        <is>
          <t xml:space="preserve">          (นางศิวรักษ์   บุญประเสริฐ)</t>
        </is>
      </c>
      <c r="I826" s="310" t="n"/>
      <c r="J826" s="29" t="n"/>
      <c r="K826" s="29" t="n"/>
      <c r="L826" s="309" t="inlineStr">
        <is>
          <t>(นายปรีชา  โพธิ์เกิด)</t>
        </is>
      </c>
      <c r="R826" s="29" t="n"/>
      <c r="S826" s="13" t="n"/>
    </row>
    <row r="827" ht="22.2" customHeight="1" s="330">
      <c r="A827" s="62" t="inlineStr">
        <is>
          <t>ตำแหน่งครู  หัวหน้างานพัฒนาหลักสูตร ฯ</t>
        </is>
      </c>
      <c r="I827" s="331" t="n"/>
      <c r="J827" s="62" t="inlineStr">
        <is>
          <t>ตำแหน่ง  รองผู้อำนวยการฝ่ายวิชาการ</t>
        </is>
      </c>
      <c r="S827" s="331" t="n"/>
    </row>
    <row r="828" ht="22.2" customHeight="1" s="330">
      <c r="A828" s="63">
        <f>A41</f>
        <v/>
      </c>
      <c r="B828" s="471" t="n"/>
      <c r="C828" s="471" t="n"/>
      <c r="D828" s="471" t="n"/>
      <c r="E828" s="471" t="n"/>
      <c r="F828" s="471" t="n"/>
      <c r="G828" s="471" t="n"/>
      <c r="H828" s="471" t="n"/>
      <c r="I828" s="476" t="n"/>
      <c r="J828" s="63">
        <f>A41</f>
        <v/>
      </c>
      <c r="K828" s="471" t="n"/>
      <c r="L828" s="471" t="n"/>
      <c r="M828" s="471" t="n"/>
      <c r="N828" s="471" t="n"/>
      <c r="O828" s="471" t="n"/>
      <c r="P828" s="471" t="n"/>
      <c r="Q828" s="471" t="n"/>
      <c r="R828" s="471" t="n"/>
      <c r="S828" s="476" t="n"/>
    </row>
    <row r="829" ht="22.2" customHeight="1" s="330">
      <c r="A82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830" ht="22.2" customHeight="1" s="330">
      <c r="A830" s="254">
        <f>A2</f>
        <v/>
      </c>
    </row>
    <row r="831" ht="22.2" customHeight="1" s="330">
      <c r="A831" s="253" t="inlineStr">
        <is>
          <t xml:space="preserve">    ระหว่างวันที่</t>
        </is>
      </c>
      <c r="D831" s="254">
        <f>D3</f>
        <v/>
      </c>
      <c r="E831" s="254" t="inlineStr">
        <is>
          <t xml:space="preserve">   เดือน  </t>
        </is>
      </c>
      <c r="F831" s="254">
        <f>F3</f>
        <v/>
      </c>
      <c r="H831" s="254">
        <f>H3</f>
        <v/>
      </c>
      <c r="I831" s="254" t="inlineStr">
        <is>
          <t xml:space="preserve">     ถึง วันที่</t>
        </is>
      </c>
      <c r="J831" s="254">
        <f>J3</f>
        <v/>
      </c>
      <c r="K831" s="254" t="inlineStr">
        <is>
          <t xml:space="preserve">   เดือน </t>
        </is>
      </c>
      <c r="L831" s="254">
        <f>L3</f>
        <v/>
      </c>
      <c r="N831" s="254">
        <f>N3</f>
        <v/>
      </c>
      <c r="P831" s="254" t="n"/>
      <c r="R831" s="254" t="n"/>
    </row>
    <row r="832" ht="22.2" customHeight="1" s="330">
      <c r="G832" s="58" t="inlineStr">
        <is>
          <t>ü</t>
        </is>
      </c>
      <c r="H832" s="301" t="inlineStr">
        <is>
          <t>พนง.ราชการ</t>
        </is>
      </c>
      <c r="I832" s="249" t="inlineStr">
        <is>
          <t>หน้าที่พิเศษ</t>
        </is>
      </c>
      <c r="J832" s="290" t="inlineStr">
        <is>
          <t>หัวหน้างานสวัสดิการ นักเรียนนักศึกษา</t>
        </is>
      </c>
      <c r="K832" s="290" t="n"/>
    </row>
    <row r="833" ht="22.2" customHeight="1" s="330">
      <c r="A833" s="28" t="inlineStr">
        <is>
          <t>ที่</t>
        </is>
      </c>
      <c r="B833" s="28" t="inlineStr">
        <is>
          <t>ชื่อ-สกุล</t>
        </is>
      </c>
      <c r="C833" s="334" t="n"/>
      <c r="D833" s="335" t="n"/>
      <c r="E833" s="16" t="inlineStr">
        <is>
          <t>ตำแหน่ง</t>
        </is>
      </c>
      <c r="F833" s="17" t="inlineStr">
        <is>
          <t>ระยะเวลาที่สอน</t>
        </is>
      </c>
      <c r="G833" s="362" t="n"/>
      <c r="H833" s="17" t="inlineStr">
        <is>
          <t>รหัสวิชา</t>
        </is>
      </c>
      <c r="I833" s="275" t="inlineStr">
        <is>
          <t>ชั้น,แผนก,ห้อง</t>
        </is>
      </c>
      <c r="J833" s="17" t="inlineStr">
        <is>
          <t>เวลาสอน</t>
        </is>
      </c>
      <c r="K833" s="335" t="n"/>
      <c r="L833" s="17" t="inlineStr">
        <is>
          <t>ปวช.(คาบ)</t>
        </is>
      </c>
      <c r="M833" s="362" t="n"/>
      <c r="N833" s="244" t="inlineStr">
        <is>
          <t>เงิน</t>
        </is>
      </c>
      <c r="O833" s="275" t="inlineStr">
        <is>
          <t>ยอดเงิน</t>
        </is>
      </c>
      <c r="P833" s="473" t="inlineStr">
        <is>
          <t>ปวส.(คาบ)</t>
        </is>
      </c>
      <c r="Q833" s="362" t="n"/>
      <c r="R833" s="244" t="inlineStr">
        <is>
          <t>เงิน</t>
        </is>
      </c>
      <c r="S833" s="275" t="inlineStr">
        <is>
          <t>ยอดเงิน</t>
        </is>
      </c>
    </row>
    <row r="834" ht="22.2" customHeight="1" s="330">
      <c r="A834" s="60" t="n"/>
      <c r="B834" s="9" t="n"/>
      <c r="C834" s="10" t="n"/>
      <c r="D834" s="14" t="n"/>
      <c r="E834" s="11" t="n"/>
      <c r="F834" s="276" t="inlineStr">
        <is>
          <t>ส.</t>
        </is>
      </c>
      <c r="G834" s="276" t="inlineStr">
        <is>
          <t>วดป.</t>
        </is>
      </c>
      <c r="H834" s="474" t="n"/>
      <c r="I834" s="276" t="n"/>
      <c r="J834" s="475" t="n"/>
      <c r="K834" s="476" t="n"/>
      <c r="L834" s="276" t="inlineStr">
        <is>
          <t>ใน</t>
        </is>
      </c>
      <c r="M834" s="276" t="inlineStr">
        <is>
          <t>นอก</t>
        </is>
      </c>
      <c r="N834" s="276" t="inlineStr">
        <is>
          <t>ต่อ ชม.</t>
        </is>
      </c>
      <c r="O834" s="276" t="inlineStr">
        <is>
          <t>(บาท)</t>
        </is>
      </c>
      <c r="P834" s="60" t="inlineStr">
        <is>
          <t>ใน</t>
        </is>
      </c>
      <c r="Q834" s="60" t="inlineStr">
        <is>
          <t>นอก</t>
        </is>
      </c>
      <c r="R834" s="276" t="inlineStr">
        <is>
          <t>ต่อ ชม.</t>
        </is>
      </c>
      <c r="S834" s="276" t="inlineStr">
        <is>
          <t>(บาท)</t>
        </is>
      </c>
    </row>
    <row r="835" ht="22.2" customHeight="1" s="330">
      <c r="A835" s="275" t="n">
        <v>19</v>
      </c>
      <c r="B835" s="477">
        <f>AB21</f>
        <v/>
      </c>
      <c r="C835" s="334" t="n"/>
      <c r="D835" s="335" t="n"/>
      <c r="E835" s="275" t="inlineStr">
        <is>
          <t>พนักงาน</t>
        </is>
      </c>
      <c r="F835" s="6" t="n">
        <v>5</v>
      </c>
      <c r="G835" s="303" t="inlineStr">
        <is>
          <t>จันทร์</t>
        </is>
      </c>
      <c r="H835" s="332" t="n"/>
      <c r="I835" s="325" t="n"/>
      <c r="J835" s="332" t="n"/>
      <c r="K835" s="335" t="n"/>
      <c r="L835" s="265" t="n"/>
      <c r="M835" s="332" t="n"/>
      <c r="N835" s="332" t="n"/>
      <c r="O835" s="244">
        <f>M835*N835</f>
        <v/>
      </c>
      <c r="P835" s="332" t="n"/>
      <c r="Q835" s="265" t="n"/>
      <c r="R835" s="332" t="n"/>
      <c r="S835" s="244">
        <f>Q835*R835</f>
        <v/>
      </c>
    </row>
    <row r="836" ht="22.2" customHeight="1" s="330">
      <c r="A836" s="4" t="n"/>
      <c r="B836" s="478" t="n"/>
      <c r="D836" s="331" t="n"/>
      <c r="E836" s="252" t="inlineStr">
        <is>
          <t>ราชการ</t>
        </is>
      </c>
      <c r="F836" s="249" t="n"/>
      <c r="G836" s="308">
        <f>G790</f>
        <v/>
      </c>
      <c r="H836" s="325" t="n"/>
      <c r="I836" s="325" t="n"/>
      <c r="J836" s="252" t="n"/>
      <c r="K836" s="331" t="n"/>
      <c r="L836" s="252" t="n"/>
      <c r="M836" s="252" t="n"/>
      <c r="N836" s="252" t="n"/>
      <c r="O836" s="244">
        <f>M836*N836</f>
        <v/>
      </c>
      <c r="P836" s="252" t="n"/>
      <c r="Q836" s="252" t="n"/>
      <c r="R836" s="252" t="n"/>
      <c r="S836" s="244">
        <f>Q836*R836</f>
        <v/>
      </c>
    </row>
    <row r="837" ht="22.2" customHeight="1" s="330">
      <c r="A837" s="4" t="n"/>
      <c r="B837" s="5" t="n"/>
      <c r="D837" s="3" t="n"/>
      <c r="E837" s="3" t="n"/>
      <c r="F837" s="249" t="n"/>
      <c r="G837" s="248" t="n"/>
      <c r="H837" s="252" t="n"/>
      <c r="I837" s="252" t="n"/>
      <c r="J837" s="252" t="n"/>
      <c r="K837" s="331" t="n"/>
      <c r="L837" s="252" t="n"/>
      <c r="M837" s="252" t="n"/>
      <c r="N837" s="252" t="n"/>
      <c r="O837" s="244">
        <f>M837*N837</f>
        <v/>
      </c>
      <c r="P837" s="252" t="n"/>
      <c r="Q837" s="252" t="n"/>
      <c r="R837" s="252" t="n"/>
      <c r="S837" s="244">
        <f>Q837*R837</f>
        <v/>
      </c>
    </row>
    <row r="838" ht="22.2" customHeight="1" s="330">
      <c r="A838" s="4" t="n"/>
      <c r="B838" s="5" t="n"/>
      <c r="E838" s="4" t="n"/>
      <c r="F838" s="249" t="n"/>
      <c r="G838" s="248" t="n"/>
      <c r="H838" s="252" t="n"/>
      <c r="I838" s="252" t="n"/>
      <c r="J838" s="252" t="n"/>
      <c r="K838" s="331" t="n"/>
      <c r="L838" s="252" t="n"/>
      <c r="M838" s="252" t="n"/>
      <c r="N838" s="252" t="n"/>
      <c r="O838" s="244">
        <f>M838*N838</f>
        <v/>
      </c>
      <c r="P838" s="252" t="n"/>
      <c r="Q838" s="252" t="n"/>
      <c r="R838" s="252" t="n"/>
      <c r="S838" s="244">
        <f>Q838*R838</f>
        <v/>
      </c>
    </row>
    <row r="839" ht="22.2" customHeight="1" s="330">
      <c r="A839" s="4" t="n"/>
      <c r="E839" s="4" t="n"/>
      <c r="G839" s="311" t="n"/>
      <c r="H839" s="276" t="n"/>
      <c r="I839" s="276" t="n"/>
      <c r="J839" s="276" t="n"/>
      <c r="K839" s="476" t="n"/>
      <c r="L839" s="252" t="n"/>
      <c r="M839" s="252" t="n"/>
      <c r="N839" s="252" t="n"/>
      <c r="O839" s="244">
        <f>M839*N839</f>
        <v/>
      </c>
      <c r="P839" s="252" t="n"/>
      <c r="Q839" s="252" t="n"/>
      <c r="R839" s="252" t="n"/>
      <c r="S839" s="244">
        <f>Q839*R839</f>
        <v/>
      </c>
    </row>
    <row r="840" ht="22.2" customHeight="1" s="330">
      <c r="A840" s="4" t="n"/>
      <c r="E840" s="4" t="n"/>
      <c r="G840" s="62" t="inlineStr">
        <is>
          <t>อังคาร</t>
        </is>
      </c>
      <c r="H840" s="332" t="inlineStr">
        <is>
          <t>20101-5104</t>
        </is>
      </c>
      <c r="I840" s="325" t="inlineStr">
        <is>
          <t>ปวช.2/10 ชย. (ทวิ)</t>
        </is>
      </c>
      <c r="J840" s="332" t="inlineStr">
        <is>
          <t>08.10-12.10</t>
        </is>
      </c>
      <c r="K840" s="335" t="n"/>
      <c r="L840" s="265" t="n"/>
      <c r="M840" s="332" t="n"/>
      <c r="N840" s="332" t="n"/>
      <c r="O840" s="244">
        <f>M840*N840</f>
        <v/>
      </c>
      <c r="P840" s="332" t="n"/>
      <c r="Q840" s="265" t="n"/>
      <c r="R840" s="332" t="n"/>
      <c r="S840" s="244">
        <f>Q840*R840</f>
        <v/>
      </c>
    </row>
    <row r="841" ht="22.2" customHeight="1" s="330">
      <c r="A841" s="4" t="n"/>
      <c r="E841" s="4" t="n"/>
      <c r="G841" s="308">
        <f>G795</f>
        <v/>
      </c>
      <c r="H841" s="325" t="inlineStr">
        <is>
          <t>20101-5104</t>
        </is>
      </c>
      <c r="I841" s="325" t="inlineStr">
        <is>
          <t>ปวช.2/10 ชย. (ทวิ)</t>
        </is>
      </c>
      <c r="J841" s="252" t="inlineStr">
        <is>
          <t>13.10-16.10</t>
        </is>
      </c>
      <c r="K841" s="331" t="n"/>
      <c r="L841" s="252" t="n"/>
      <c r="M841" s="252" t="n"/>
      <c r="N841" s="252" t="n"/>
      <c r="O841" s="244">
        <f>M841*N841</f>
        <v/>
      </c>
      <c r="P841" s="252" t="n"/>
      <c r="Q841" s="252" t="n"/>
      <c r="R841" s="252" t="n"/>
      <c r="S841" s="244">
        <f>Q841*R841</f>
        <v/>
      </c>
    </row>
    <row r="842" ht="22.2" customHeight="1" s="330">
      <c r="A842" s="4" t="n"/>
      <c r="B842" s="5" t="n"/>
      <c r="D842" s="3" t="n"/>
      <c r="E842" s="3" t="n"/>
      <c r="G842" s="252" t="n"/>
      <c r="H842" s="248" t="n"/>
      <c r="I842" s="252" t="n"/>
      <c r="J842" s="252" t="n"/>
      <c r="K842" s="331" t="n"/>
      <c r="L842" s="252" t="n"/>
      <c r="M842" s="252" t="n"/>
      <c r="N842" s="252" t="n"/>
      <c r="O842" s="244">
        <f>M842*N842</f>
        <v/>
      </c>
      <c r="P842" s="252" t="n"/>
      <c r="Q842" s="252" t="n"/>
      <c r="R842" s="252" t="n"/>
      <c r="S842" s="244">
        <f>Q842*R842</f>
        <v/>
      </c>
    </row>
    <row r="843" ht="22.2" customHeight="1" s="330">
      <c r="A843" s="4" t="n"/>
      <c r="E843" s="4" t="n"/>
      <c r="G843" s="62" t="n"/>
      <c r="H843" s="249" t="n"/>
      <c r="I843" s="252" t="n"/>
      <c r="J843" s="252" t="n"/>
      <c r="K843" s="331" t="n"/>
      <c r="L843" s="252" t="n"/>
      <c r="M843" s="252" t="n"/>
      <c r="N843" s="252" t="n"/>
      <c r="O843" s="244">
        <f>M843*N843</f>
        <v/>
      </c>
      <c r="P843" s="252" t="n"/>
      <c r="Q843" s="252" t="n"/>
      <c r="R843" s="252" t="n"/>
      <c r="S843" s="244">
        <f>Q843*R843</f>
        <v/>
      </c>
    </row>
    <row r="844" ht="22.2" customHeight="1" s="330">
      <c r="A844" s="4" t="n"/>
      <c r="D844" s="8" t="inlineStr">
        <is>
          <t> </t>
        </is>
      </c>
      <c r="E844" s="4" t="n"/>
      <c r="G844" s="63" t="n"/>
      <c r="H844" s="249" t="n"/>
      <c r="I844" s="276" t="n"/>
      <c r="J844" s="276" t="n"/>
      <c r="K844" s="476" t="n"/>
      <c r="L844" s="252" t="n"/>
      <c r="M844" s="252" t="n"/>
      <c r="N844" s="252" t="n"/>
      <c r="O844" s="244">
        <f>M844*N844</f>
        <v/>
      </c>
      <c r="P844" s="252" t="n"/>
      <c r="Q844" s="252" t="n"/>
      <c r="R844" s="252" t="n"/>
      <c r="S844" s="244">
        <f>Q844*R844</f>
        <v/>
      </c>
    </row>
    <row r="845" ht="22.2" customHeight="1" s="330">
      <c r="A845" s="4" t="n"/>
      <c r="E845" s="4" t="n"/>
      <c r="G845" s="308" t="inlineStr">
        <is>
          <t>พุธ</t>
        </is>
      </c>
      <c r="H845" s="332" t="inlineStr">
        <is>
          <t>20101-2005</t>
        </is>
      </c>
      <c r="I845" s="325" t="inlineStr">
        <is>
          <t>ปวช.2/3 ชย. (ปกติ)</t>
        </is>
      </c>
      <c r="J845" s="332" t="inlineStr">
        <is>
          <t>08.10-12.10</t>
        </is>
      </c>
      <c r="K845" s="335" t="n"/>
      <c r="L845" s="265" t="n"/>
      <c r="M845" s="332" t="n"/>
      <c r="N845" s="332" t="n"/>
      <c r="O845" s="244">
        <f>M845*N845</f>
        <v/>
      </c>
      <c r="P845" s="332" t="n"/>
      <c r="Q845" s="265" t="n"/>
      <c r="R845" s="332" t="n"/>
      <c r="S845" s="244">
        <f>Q845*R845</f>
        <v/>
      </c>
    </row>
    <row r="846" ht="22.2" customHeight="1" s="330">
      <c r="A846" s="4" t="n"/>
      <c r="B846" s="248" t="n"/>
      <c r="C846" s="249" t="n"/>
      <c r="D846" s="249" t="n"/>
      <c r="E846" s="252" t="n"/>
      <c r="G846" s="308">
        <f>G800</f>
        <v/>
      </c>
      <c r="H846" s="325" t="inlineStr">
        <is>
          <t>20101-2005</t>
        </is>
      </c>
      <c r="I846" s="325" t="inlineStr">
        <is>
          <t>ปวช.2/3 ชย. (ปกติ)</t>
        </is>
      </c>
      <c r="J846" s="252" t="inlineStr">
        <is>
          <t>13.10-16.10</t>
        </is>
      </c>
      <c r="K846" s="331" t="n"/>
      <c r="L846" s="252" t="n"/>
      <c r="M846" s="252" t="n"/>
      <c r="N846" s="252" t="n"/>
      <c r="O846" s="244">
        <f>M846*N846</f>
        <v/>
      </c>
      <c r="P846" s="252" t="n"/>
      <c r="Q846" s="252" t="n"/>
      <c r="R846" s="252" t="n"/>
      <c r="S846" s="244">
        <f>Q846*R846</f>
        <v/>
      </c>
    </row>
    <row r="847" ht="22.2" customHeight="1" s="330">
      <c r="A847" s="4" t="n"/>
      <c r="B847" s="5" t="n"/>
      <c r="D847" s="3" t="n"/>
      <c r="E847" s="3" t="n"/>
      <c r="G847" s="252" t="n"/>
      <c r="H847" s="248" t="n"/>
      <c r="I847" s="325" t="n"/>
      <c r="J847" s="252" t="n"/>
      <c r="K847" s="331" t="n"/>
      <c r="L847" s="252" t="n"/>
      <c r="M847" s="252" t="n"/>
      <c r="N847" s="252" t="n"/>
      <c r="O847" s="244">
        <f>M847*N847</f>
        <v/>
      </c>
      <c r="P847" s="252" t="n"/>
      <c r="Q847" s="252" t="n"/>
      <c r="R847" s="252" t="n"/>
      <c r="S847" s="244">
        <f>Q847*R847</f>
        <v/>
      </c>
    </row>
    <row r="848" ht="22.2" customHeight="1" s="330">
      <c r="A848" s="4" t="n"/>
      <c r="E848" s="4" t="n"/>
      <c r="G848" s="248" t="n"/>
      <c r="H848" s="248" t="n"/>
      <c r="I848" s="252" t="n"/>
      <c r="J848" s="252" t="n"/>
      <c r="K848" s="331" t="n"/>
      <c r="L848" s="252" t="n"/>
      <c r="M848" s="252" t="n"/>
      <c r="N848" s="252" t="n"/>
      <c r="O848" s="244">
        <f>M848*N848</f>
        <v/>
      </c>
      <c r="P848" s="252" t="n"/>
      <c r="Q848" s="252" t="n"/>
      <c r="R848" s="252" t="n"/>
      <c r="S848" s="244">
        <f>Q848*R848</f>
        <v/>
      </c>
    </row>
    <row r="849" ht="22.2" customHeight="1" s="330">
      <c r="A849" s="4" t="n"/>
      <c r="E849" s="4" t="n"/>
      <c r="G849" s="277" t="n"/>
      <c r="H849" s="277" t="n"/>
      <c r="I849" s="276" t="n"/>
      <c r="J849" s="276" t="n"/>
      <c r="K849" s="476" t="n"/>
      <c r="L849" s="276" t="n"/>
      <c r="M849" s="276" t="n"/>
      <c r="N849" s="276" t="n"/>
      <c r="O849" s="244">
        <f>M849*N849</f>
        <v/>
      </c>
      <c r="P849" s="276" t="n"/>
      <c r="Q849" s="276" t="n"/>
      <c r="R849" s="276" t="n"/>
      <c r="S849" s="244">
        <f>Q849*R849</f>
        <v/>
      </c>
    </row>
    <row r="850" ht="22.2" customHeight="1" s="330">
      <c r="A850" s="4" t="n"/>
      <c r="E850" s="4" t="n"/>
      <c r="G850" s="62" t="inlineStr">
        <is>
          <t>พฤหัส</t>
        </is>
      </c>
      <c r="H850" s="332" t="inlineStr">
        <is>
          <t>20101-2110</t>
        </is>
      </c>
      <c r="I850" s="325" t="inlineStr">
        <is>
          <t>ปวช.3/1 ชย. (ปกติ)</t>
        </is>
      </c>
      <c r="J850" s="332" t="inlineStr">
        <is>
          <t>08.10-12.10</t>
        </is>
      </c>
      <c r="K850" s="335" t="n"/>
      <c r="L850" s="265" t="n"/>
      <c r="M850" s="252" t="n"/>
      <c r="N850" s="252" t="n"/>
      <c r="O850" s="244">
        <f>M850*N850</f>
        <v/>
      </c>
      <c r="P850" s="252" t="n"/>
      <c r="Q850" s="275" t="n"/>
      <c r="R850" s="275" t="n"/>
      <c r="S850" s="244">
        <f>Q850*R850</f>
        <v/>
      </c>
      <c r="T850" s="25" t="n"/>
      <c r="U850" s="26" t="inlineStr">
        <is>
          <t xml:space="preserve">     PLC</t>
        </is>
      </c>
      <c r="V850" s="64" t="n"/>
      <c r="W850" s="27" t="n"/>
      <c r="X850" s="27" t="n"/>
    </row>
    <row r="851" ht="22.2" customHeight="1" s="330">
      <c r="A851" s="4" t="n"/>
      <c r="E851" s="4" t="n"/>
      <c r="G851" s="308">
        <f>G805</f>
        <v/>
      </c>
      <c r="H851" s="325" t="inlineStr">
        <is>
          <t>20101-2005</t>
        </is>
      </c>
      <c r="I851" s="325" t="inlineStr">
        <is>
          <t>ปวช.3/3,4 ชย. (ปกติ)</t>
        </is>
      </c>
      <c r="J851" s="252" t="inlineStr">
        <is>
          <t>13.10-15.10</t>
        </is>
      </c>
      <c r="K851" s="331" t="n"/>
      <c r="L851" s="252" t="n"/>
      <c r="M851" s="252" t="n"/>
      <c r="N851" s="252" t="n"/>
      <c r="O851" s="244">
        <f>M851*N851</f>
        <v/>
      </c>
      <c r="P851" s="252" t="n"/>
      <c r="Q851" s="252" t="n"/>
      <c r="R851" s="252" t="n"/>
      <c r="S851" s="244">
        <f>Q851*R851</f>
        <v/>
      </c>
      <c r="T851" s="27" t="inlineStr">
        <is>
          <t> </t>
        </is>
      </c>
      <c r="U851" s="26" t="inlineStr">
        <is>
          <t>17.10-19.10</t>
        </is>
      </c>
      <c r="V851" s="64" t="n"/>
      <c r="W851" s="27" t="n"/>
      <c r="X851" s="27" t="n"/>
    </row>
    <row r="852" ht="22.2" customHeight="1" s="330">
      <c r="A852" s="4" t="n"/>
      <c r="B852" s="5" t="n"/>
      <c r="E852" s="4" t="n"/>
      <c r="G852" s="252" t="n"/>
      <c r="H852" s="325" t="n"/>
      <c r="I852" s="325" t="n"/>
      <c r="J852" s="252" t="n"/>
      <c r="K852" s="331" t="n"/>
      <c r="L852" s="252" t="n"/>
      <c r="M852" s="325" t="n"/>
      <c r="N852" s="325" t="n"/>
      <c r="O852" s="244">
        <f>M852*N852</f>
        <v/>
      </c>
      <c r="P852" s="325" t="n"/>
      <c r="Q852" s="325" t="n"/>
      <c r="R852" s="325" t="n"/>
      <c r="S852" s="244">
        <f>Q852*R852</f>
        <v/>
      </c>
    </row>
    <row r="853" ht="22.2" customHeight="1" s="330">
      <c r="A853" s="4" t="n"/>
      <c r="E853" s="4" t="n"/>
      <c r="G853" s="252" t="n"/>
      <c r="H853" s="252" t="n"/>
      <c r="I853" s="252" t="n"/>
      <c r="J853" s="252" t="n"/>
      <c r="K853" s="331" t="n"/>
      <c r="L853" s="252" t="n"/>
      <c r="M853" s="252" t="n"/>
      <c r="N853" s="252" t="n"/>
      <c r="O853" s="244">
        <f>M853*N853</f>
        <v/>
      </c>
      <c r="P853" s="252" t="n"/>
      <c r="Q853" s="252" t="n"/>
      <c r="R853" s="252" t="n"/>
      <c r="S853" s="244">
        <f>Q853*R853</f>
        <v/>
      </c>
    </row>
    <row r="854" ht="22.2" customHeight="1" s="330">
      <c r="A854" s="4" t="n"/>
      <c r="E854" s="4" t="n"/>
      <c r="G854" s="276" t="n"/>
      <c r="H854" s="301" t="n"/>
      <c r="I854" s="276" t="n"/>
      <c r="J854" s="276" t="n"/>
      <c r="K854" s="476" t="n"/>
      <c r="L854" s="276" t="n"/>
      <c r="M854" s="276" t="n"/>
      <c r="N854" s="276" t="n"/>
      <c r="O854" s="244">
        <f>M854*N854</f>
        <v/>
      </c>
      <c r="P854" s="276" t="n"/>
      <c r="Q854" s="276" t="n"/>
      <c r="R854" s="276" t="n"/>
      <c r="S854" s="244">
        <f>Q854*R854</f>
        <v/>
      </c>
    </row>
    <row r="855" ht="22.2" customHeight="1" s="330">
      <c r="A855" s="4" t="n"/>
      <c r="E855" s="4" t="n"/>
      <c r="G855" s="62" t="inlineStr">
        <is>
          <t>ศุกร์</t>
        </is>
      </c>
      <c r="H855" s="332" t="inlineStr">
        <is>
          <t>20101-2005</t>
        </is>
      </c>
      <c r="I855" s="325" t="inlineStr">
        <is>
          <t>ปวช.2/1 ชย. (ปกติ)</t>
        </is>
      </c>
      <c r="J855" s="332" t="inlineStr">
        <is>
          <t>08.10-12.10</t>
        </is>
      </c>
      <c r="K855" s="335" t="n"/>
      <c r="L855" s="252" t="n"/>
      <c r="M855" s="332" t="n"/>
      <c r="N855" s="332" t="n"/>
      <c r="O855" s="244">
        <f>M855*N855</f>
        <v/>
      </c>
      <c r="P855" s="332" t="n"/>
      <c r="Q855" s="265" t="n"/>
      <c r="R855" s="332" t="n"/>
      <c r="S855" s="244">
        <f>Q855*R855</f>
        <v/>
      </c>
    </row>
    <row r="856" ht="22.2" customHeight="1" s="330">
      <c r="A856" s="4" t="n"/>
      <c r="E856" s="4" t="n"/>
      <c r="G856" s="308">
        <f>G810</f>
        <v/>
      </c>
      <c r="H856" s="325" t="inlineStr">
        <is>
          <t>20101-2005</t>
        </is>
      </c>
      <c r="I856" s="325" t="inlineStr">
        <is>
          <t>ปวช.2/1 ชย. (ปกติ)</t>
        </is>
      </c>
      <c r="J856" s="252" t="inlineStr">
        <is>
          <t>13.10-16.10</t>
        </is>
      </c>
      <c r="K856" s="331" t="n"/>
      <c r="L856" s="252" t="n"/>
      <c r="M856" s="252" t="n"/>
      <c r="N856" s="252" t="n"/>
      <c r="O856" s="244">
        <f>M856*N856</f>
        <v/>
      </c>
      <c r="P856" s="252" t="n"/>
      <c r="Q856" s="252" t="n"/>
      <c r="R856" s="252" t="n"/>
      <c r="S856" s="244">
        <f>Q856*R856</f>
        <v/>
      </c>
    </row>
    <row r="857" ht="22.2" customHeight="1" s="330">
      <c r="A857" s="4" t="n"/>
      <c r="E857" s="4" t="n"/>
      <c r="G857" s="252" t="n"/>
      <c r="H857" s="248" t="n"/>
      <c r="I857" s="252" t="n"/>
      <c r="J857" s="252" t="n"/>
      <c r="K857" s="331" t="n"/>
      <c r="L857" s="252" t="n"/>
      <c r="M857" s="252" t="n"/>
      <c r="N857" s="252" t="n"/>
      <c r="O857" s="244">
        <f>M857*N857</f>
        <v/>
      </c>
      <c r="P857" s="252" t="n"/>
      <c r="Q857" s="252" t="n"/>
      <c r="R857" s="252" t="n"/>
      <c r="S857" s="244">
        <f>Q857*R857</f>
        <v/>
      </c>
    </row>
    <row r="858" ht="22.2" customHeight="1" s="330">
      <c r="A858" s="4" t="n"/>
      <c r="E858" s="4" t="n"/>
      <c r="G858" s="252" t="n"/>
      <c r="H858" s="249" t="inlineStr">
        <is>
          <t> </t>
        </is>
      </c>
      <c r="I858" s="252" t="n"/>
      <c r="J858" s="252" t="n"/>
      <c r="K858" s="331" t="n"/>
      <c r="L858" s="252" t="n"/>
      <c r="M858" s="252" t="n"/>
      <c r="N858" s="252" t="n"/>
      <c r="O858" s="244">
        <f>M858*N858</f>
        <v/>
      </c>
      <c r="P858" s="252" t="n"/>
      <c r="Q858" s="252" t="n"/>
      <c r="R858" s="252" t="n"/>
      <c r="S858" s="244">
        <f>Q858*R858</f>
        <v/>
      </c>
    </row>
    <row r="859" ht="22.2" customHeight="1" s="330">
      <c r="A859" s="4" t="n"/>
      <c r="E859" s="4" t="n"/>
      <c r="F859" s="4" t="n"/>
      <c r="G859" s="278" t="n"/>
      <c r="H859" s="301" t="n"/>
      <c r="I859" s="276" t="n"/>
      <c r="J859" s="276" t="n"/>
      <c r="K859" s="476" t="n"/>
      <c r="L859" s="276" t="n"/>
      <c r="M859" s="276" t="n"/>
      <c r="N859" s="276" t="n"/>
      <c r="O859" s="244">
        <f>M859*N859</f>
        <v/>
      </c>
      <c r="P859" s="276" t="n"/>
      <c r="Q859" s="276" t="n"/>
      <c r="R859" s="276" t="n"/>
      <c r="S859" s="244">
        <f>Q859*R859</f>
        <v/>
      </c>
    </row>
    <row r="860" ht="22.2" customHeight="1" s="330">
      <c r="A860" s="4" t="n"/>
      <c r="E860" s="4" t="n"/>
      <c r="F860" s="4" t="n"/>
      <c r="G860" s="17" t="inlineStr">
        <is>
          <t>รวมขั่วโมงที่สอนแยก ภาระงาน/ เกินภาระงาน</t>
        </is>
      </c>
      <c r="H860" s="467" t="n"/>
      <c r="I860" s="467" t="n"/>
      <c r="J860" s="467" t="n"/>
      <c r="K860" s="362" t="n"/>
      <c r="L860" s="17">
        <f>SUM(L835:L859)</f>
        <v/>
      </c>
      <c r="M860" s="17">
        <f>SUM(M835:M859)</f>
        <v/>
      </c>
      <c r="N860" s="17" t="n"/>
      <c r="O860" s="17" t="n"/>
      <c r="P860" s="17">
        <f>SUM(P835:P859)</f>
        <v/>
      </c>
      <c r="Q860" s="17">
        <f>SUM(Q835:Q859)</f>
        <v/>
      </c>
      <c r="R860" s="279" t="n"/>
      <c r="S860" s="17" t="n"/>
    </row>
    <row r="861" ht="22.2" customHeight="1" s="330">
      <c r="A861" s="4" t="n"/>
      <c r="E861" s="4" t="n"/>
      <c r="F861" s="4" t="n"/>
      <c r="G861" s="17" t="inlineStr">
        <is>
          <t>รวมจำนวนชั่วโมงสอนคาบต่อสับดาห์</t>
        </is>
      </c>
      <c r="H861" s="467" t="n"/>
      <c r="I861" s="467" t="n"/>
      <c r="J861" s="467" t="n"/>
      <c r="K861" s="362" t="n"/>
      <c r="L861" s="17">
        <f>L860+M860</f>
        <v/>
      </c>
      <c r="M861" s="362" t="n"/>
      <c r="N861" s="298" t="n"/>
      <c r="O861" s="17" t="n"/>
      <c r="P861" s="17">
        <f>P860+Q860</f>
        <v/>
      </c>
      <c r="Q861" s="362" t="n"/>
      <c r="R861" s="278" t="n"/>
      <c r="S861" s="276" t="n"/>
    </row>
    <row r="862" ht="22.2" customHeight="1" s="330">
      <c r="A862" s="4" t="n"/>
      <c r="E862" s="4" t="n"/>
      <c r="F862" s="4" t="n"/>
      <c r="G862" s="17" t="inlineStr">
        <is>
          <t>จำนวนชั่วโมงสอนตามภาระงานสอน</t>
        </is>
      </c>
      <c r="H862" s="467" t="n"/>
      <c r="I862" s="467" t="n"/>
      <c r="J862" s="467" t="n"/>
      <c r="K862" s="362" t="n"/>
      <c r="L862" s="17" t="n">
        <v>12</v>
      </c>
      <c r="M862" s="362" t="n"/>
      <c r="N862" s="298" t="n"/>
      <c r="O862" s="17" t="n"/>
      <c r="P862" s="17" t="n">
        <v>0</v>
      </c>
      <c r="Q862" s="362" t="n"/>
      <c r="R862" s="249" t="n"/>
      <c r="S862" s="252" t="n"/>
    </row>
    <row r="863" ht="22.2" customHeight="1" s="330" thickBot="1">
      <c r="A863" s="4" t="n"/>
      <c r="E863" s="4" t="n"/>
      <c r="F863" s="15" t="n"/>
      <c r="G863" s="17" t="inlineStr">
        <is>
          <t>จำนวนชั่วโมงบิกเกินภาระงานสอน/ค่าสอน</t>
        </is>
      </c>
      <c r="H863" s="467" t="n"/>
      <c r="I863" s="467" t="n"/>
      <c r="J863" s="467" t="n"/>
      <c r="K863" s="362" t="n"/>
      <c r="L863" s="18" t="n">
        <v>0</v>
      </c>
      <c r="M863" s="18">
        <f>SUM(M835:M859)</f>
        <v/>
      </c>
      <c r="N863" s="18" t="n"/>
      <c r="O863" s="18">
        <f>SUM(O835:O859)</f>
        <v/>
      </c>
      <c r="P863" s="18" t="n">
        <v>0</v>
      </c>
      <c r="Q863" s="18">
        <f>SUM(Q835:Q859)</f>
        <v/>
      </c>
      <c r="R863" s="19" t="n"/>
      <c r="S863" s="18">
        <f>SUM(S835:S859)</f>
        <v/>
      </c>
    </row>
    <row r="864" ht="22.2" customHeight="1" s="330" thickTop="1">
      <c r="A864" s="299" t="inlineStr">
        <is>
          <t>รวมจำนวนหน่วยชั่วโมงที่ขอเบิกค่าสอน ….</t>
        </is>
      </c>
      <c r="B864" s="467" t="n"/>
      <c r="C864" s="467" t="n"/>
      <c r="D864" s="467" t="n"/>
      <c r="E864" s="467" t="n"/>
      <c r="F864" s="467" t="n"/>
      <c r="G864" s="467" t="n"/>
      <c r="H864" s="298">
        <f>M863+Q863</f>
        <v/>
      </c>
      <c r="I864" s="298" t="inlineStr">
        <is>
          <t>….ชั่วโมง</t>
        </is>
      </c>
      <c r="J864" s="298" t="n"/>
      <c r="K864" s="301" t="inlineStr">
        <is>
          <t>ยอดเงินรวม</t>
        </is>
      </c>
      <c r="L864" s="471" t="n"/>
      <c r="M864" s="471" t="n"/>
      <c r="N864" s="301" t="n"/>
      <c r="O864" s="301" t="n"/>
      <c r="P864" s="302">
        <f>S863+O863</f>
        <v/>
      </c>
      <c r="Q864" s="482" t="n"/>
      <c r="R864" s="21" t="n"/>
      <c r="S864" s="20" t="inlineStr">
        <is>
          <t>..บาท</t>
        </is>
      </c>
    </row>
    <row r="865" ht="22.2" customHeight="1" s="330">
      <c r="A865" s="207" t="inlineStr">
        <is>
          <t>ผู้ขอเบิก</t>
        </is>
      </c>
      <c r="B865" s="334" t="n"/>
      <c r="C865" s="334" t="n"/>
      <c r="D865" s="334" t="n"/>
      <c r="E865" s="334" t="n"/>
      <c r="F865" s="334" t="n"/>
      <c r="G865" s="335" t="n"/>
      <c r="H865" s="207" t="inlineStr">
        <is>
          <t>ผู้รับรอง</t>
        </is>
      </c>
      <c r="I865" s="334" t="n"/>
      <c r="J865" s="334" t="n"/>
      <c r="K865" s="334" t="n"/>
      <c r="L865" s="335" t="n"/>
      <c r="M865" s="207" t="inlineStr">
        <is>
          <t>ผู้ตรวจ</t>
        </is>
      </c>
      <c r="N865" s="334" t="n"/>
      <c r="O865" s="334" t="n"/>
      <c r="P865" s="334" t="n"/>
      <c r="Q865" s="334" t="n"/>
      <c r="R865" s="334" t="n"/>
      <c r="S865" s="335" t="n"/>
    </row>
    <row r="866" ht="22.2" customHeight="1" s="330">
      <c r="A866" s="252" t="inlineStr">
        <is>
          <t>ลงชื่อ……………………………………………</t>
        </is>
      </c>
      <c r="G866" s="331" t="n"/>
      <c r="H866" s="252" t="inlineStr">
        <is>
          <t>ลงชื่อ……………………………………………</t>
        </is>
      </c>
      <c r="L866" s="331" t="n"/>
      <c r="M866" s="252" t="inlineStr">
        <is>
          <t>ลงชื่อ……………………………………………</t>
        </is>
      </c>
      <c r="S866" s="331" t="n"/>
    </row>
    <row r="867" ht="22.2" customHeight="1" s="330">
      <c r="A867" s="12" t="inlineStr">
        <is>
          <t>(</t>
        </is>
      </c>
      <c r="B867" s="309">
        <f>B835</f>
        <v/>
      </c>
      <c r="G867" s="310" t="inlineStr">
        <is>
          <t>)</t>
        </is>
      </c>
      <c r="H867" s="309" t="inlineStr">
        <is>
          <t>(</t>
        </is>
      </c>
      <c r="I867" s="314">
        <f>I821</f>
        <v/>
      </c>
      <c r="L867" s="13" t="inlineStr">
        <is>
          <t>)</t>
        </is>
      </c>
      <c r="M867" s="61" t="inlineStr">
        <is>
          <t>(</t>
        </is>
      </c>
      <c r="N867" s="61" t="n"/>
      <c r="O867" s="309" t="inlineStr">
        <is>
          <t>นายพิสุทธิศักดิ์  กล่อมนาค</t>
        </is>
      </c>
      <c r="R867" s="29" t="n"/>
      <c r="S867" s="310" t="inlineStr">
        <is>
          <t>)</t>
        </is>
      </c>
    </row>
    <row r="868" ht="22.2" customHeight="1" s="330">
      <c r="A868" s="483" t="inlineStr">
        <is>
          <t xml:space="preserve">               ตำแหน่ง  พนักงานราชการ</t>
        </is>
      </c>
      <c r="G868" s="331" t="n"/>
      <c r="H868" s="62" t="inlineStr">
        <is>
          <t>ตำแหน่ง หัวหน้าแผนก</t>
        </is>
      </c>
      <c r="L868" s="331" t="n"/>
      <c r="M868" s="62" t="inlineStr">
        <is>
          <t>ตำแหน่ง   ผู้ตรวจสอบ</t>
        </is>
      </c>
      <c r="S868" s="331" t="n"/>
    </row>
    <row r="869" ht="22.2" customHeight="1" s="330">
      <c r="A869" s="63">
        <f>A41</f>
        <v/>
      </c>
      <c r="B869" s="471" t="n"/>
      <c r="C869" s="471" t="n"/>
      <c r="D869" s="471" t="n"/>
      <c r="E869" s="471" t="n"/>
      <c r="F869" s="471" t="n"/>
      <c r="G869" s="476" t="n"/>
      <c r="H869" s="62">
        <f>A41</f>
        <v/>
      </c>
      <c r="L869" s="331" t="n"/>
      <c r="M869" s="63">
        <f>A41</f>
        <v/>
      </c>
      <c r="N869" s="471" t="n"/>
      <c r="O869" s="471" t="n"/>
      <c r="P869" s="471" t="n"/>
      <c r="Q869" s="471" t="n"/>
      <c r="R869" s="471" t="n"/>
      <c r="S869" s="476" t="n"/>
    </row>
    <row r="870" ht="22.2" customHeight="1" s="330">
      <c r="A870" s="207" t="inlineStr">
        <is>
          <t>ผู้ตรวจ</t>
        </is>
      </c>
      <c r="B870" s="334" t="n"/>
      <c r="C870" s="334" t="n"/>
      <c r="D870" s="334" t="n"/>
      <c r="E870" s="334" t="n"/>
      <c r="F870" s="334" t="n"/>
      <c r="G870" s="334" t="n"/>
      <c r="H870" s="334" t="n"/>
      <c r="I870" s="335" t="n"/>
      <c r="J870" s="207" t="inlineStr">
        <is>
          <t>ผู้เห็นชอบ</t>
        </is>
      </c>
      <c r="K870" s="334" t="n"/>
      <c r="L870" s="334" t="n"/>
      <c r="M870" s="334" t="n"/>
      <c r="N870" s="334" t="n"/>
      <c r="O870" s="334" t="n"/>
      <c r="P870" s="334" t="n"/>
      <c r="Q870" s="334" t="n"/>
      <c r="R870" s="334" t="n"/>
      <c r="S870" s="335" t="n"/>
    </row>
    <row r="871" ht="22.2" customHeight="1" s="330">
      <c r="A871" s="252" t="inlineStr">
        <is>
          <t>ลงชื่อ……………………………………………</t>
        </is>
      </c>
      <c r="I871" s="331" t="n"/>
      <c r="J871" s="252" t="inlineStr">
        <is>
          <t>ลงชื่อ……………………………………………</t>
        </is>
      </c>
      <c r="S871" s="331" t="n"/>
    </row>
    <row r="872" ht="22.2" customHeight="1" s="330">
      <c r="A872" s="12" t="n"/>
      <c r="B872" s="309" t="inlineStr">
        <is>
          <t xml:space="preserve">          (นางศิวรักษ์   บุญประเสริฐ)</t>
        </is>
      </c>
      <c r="I872" s="310" t="n"/>
      <c r="J872" s="29" t="n"/>
      <c r="K872" s="29" t="n"/>
      <c r="L872" s="309" t="inlineStr">
        <is>
          <t>(นายปรีชา  โพธิ์เกิด)</t>
        </is>
      </c>
      <c r="R872" s="29" t="n"/>
      <c r="S872" s="13" t="n"/>
    </row>
    <row r="873" ht="22.2" customHeight="1" s="330">
      <c r="A873" s="62" t="inlineStr">
        <is>
          <t>ตำแหน่งครู  หัวหน้างานพัฒนาหลักสูตร ฯ</t>
        </is>
      </c>
      <c r="I873" s="331" t="n"/>
      <c r="J873" s="62" t="inlineStr">
        <is>
          <t>ตำแหน่ง  รองผู้อำนวยการฝ่ายวิชาการ</t>
        </is>
      </c>
      <c r="S873" s="331" t="n"/>
    </row>
    <row r="874" ht="22.2" customHeight="1" s="330">
      <c r="A874" s="63">
        <f>A41</f>
        <v/>
      </c>
      <c r="B874" s="471" t="n"/>
      <c r="C874" s="471" t="n"/>
      <c r="D874" s="471" t="n"/>
      <c r="E874" s="471" t="n"/>
      <c r="F874" s="471" t="n"/>
      <c r="G874" s="471" t="n"/>
      <c r="H874" s="471" t="n"/>
      <c r="I874" s="476" t="n"/>
      <c r="J874" s="63">
        <f>A41</f>
        <v/>
      </c>
      <c r="K874" s="471" t="n"/>
      <c r="L874" s="471" t="n"/>
      <c r="M874" s="471" t="n"/>
      <c r="N874" s="471" t="n"/>
      <c r="O874" s="471" t="n"/>
      <c r="P874" s="471" t="n"/>
      <c r="Q874" s="471" t="n"/>
      <c r="R874" s="471" t="n"/>
      <c r="S874" s="476" t="n"/>
    </row>
    <row r="875" ht="22.2" customHeight="1" s="330">
      <c r="A87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876" ht="22.2" customHeight="1" s="330">
      <c r="A876" s="254">
        <f>A2</f>
        <v/>
      </c>
    </row>
    <row r="877" ht="22.2" customHeight="1" s="330">
      <c r="A877" s="253" t="inlineStr">
        <is>
          <t xml:space="preserve">    ระหว่างวันที่</t>
        </is>
      </c>
      <c r="D877" s="254">
        <f>D3</f>
        <v/>
      </c>
      <c r="E877" s="254" t="inlineStr">
        <is>
          <t xml:space="preserve">   เดือน  </t>
        </is>
      </c>
      <c r="F877" s="254">
        <f>F3</f>
        <v/>
      </c>
      <c r="H877" s="254">
        <f>H3</f>
        <v/>
      </c>
      <c r="I877" s="254" t="inlineStr">
        <is>
          <t xml:space="preserve">     ถึง วันที่</t>
        </is>
      </c>
      <c r="J877" s="254">
        <f>J3</f>
        <v/>
      </c>
      <c r="K877" s="254" t="inlineStr">
        <is>
          <t xml:space="preserve">   เดือน </t>
        </is>
      </c>
      <c r="L877" s="254">
        <f>L3</f>
        <v/>
      </c>
      <c r="N877" s="254">
        <f>N3</f>
        <v/>
      </c>
      <c r="P877" s="254" t="n"/>
      <c r="R877" s="254" t="n"/>
    </row>
    <row r="878" ht="22.2" customHeight="1" s="330">
      <c r="G878" s="58" t="inlineStr">
        <is>
          <t>ü</t>
        </is>
      </c>
      <c r="H878" s="8" t="inlineStr">
        <is>
          <t>ครูพิเศษ</t>
        </is>
      </c>
      <c r="I878" s="249" t="inlineStr">
        <is>
          <t>หน้าที่พิเศษ</t>
        </is>
      </c>
      <c r="K878" s="290" t="n"/>
    </row>
    <row r="879" ht="22.2" customHeight="1" s="330">
      <c r="A879" s="28" t="inlineStr">
        <is>
          <t>ที่</t>
        </is>
      </c>
      <c r="B879" s="28" t="inlineStr">
        <is>
          <t>ชื่อ-สกุล</t>
        </is>
      </c>
      <c r="C879" s="334" t="n"/>
      <c r="D879" s="335" t="n"/>
      <c r="E879" s="16" t="inlineStr">
        <is>
          <t>ตำแหน่ง</t>
        </is>
      </c>
      <c r="F879" s="17" t="inlineStr">
        <is>
          <t>ระยะเวลาที่สอน</t>
        </is>
      </c>
      <c r="G879" s="362" t="n"/>
      <c r="H879" s="17" t="inlineStr">
        <is>
          <t>รหัสวิชา</t>
        </is>
      </c>
      <c r="I879" s="275" t="inlineStr">
        <is>
          <t>ชั้น,แผนก,ห้อง</t>
        </is>
      </c>
      <c r="J879" s="17" t="inlineStr">
        <is>
          <t>เวลาสอน</t>
        </is>
      </c>
      <c r="K879" s="335" t="n"/>
      <c r="L879" s="17" t="inlineStr">
        <is>
          <t>ปวช.(คาบ)</t>
        </is>
      </c>
      <c r="M879" s="362" t="n"/>
      <c r="N879" s="244" t="inlineStr">
        <is>
          <t>เงิน</t>
        </is>
      </c>
      <c r="O879" s="275" t="inlineStr">
        <is>
          <t>ยอดเงิน</t>
        </is>
      </c>
      <c r="P879" s="473" t="inlineStr">
        <is>
          <t>ปวส.(คาบ)</t>
        </is>
      </c>
      <c r="Q879" s="362" t="n"/>
      <c r="R879" s="244" t="inlineStr">
        <is>
          <t>เงิน</t>
        </is>
      </c>
      <c r="S879" s="275" t="inlineStr">
        <is>
          <t>ยอดเงิน</t>
        </is>
      </c>
    </row>
    <row r="880" ht="22.2" customHeight="1" s="330">
      <c r="A880" s="60" t="n"/>
      <c r="B880" s="9" t="n"/>
      <c r="C880" s="10" t="n"/>
      <c r="D880" s="14" t="n"/>
      <c r="E880" s="11" t="n"/>
      <c r="F880" s="276" t="inlineStr">
        <is>
          <t>ส.</t>
        </is>
      </c>
      <c r="G880" s="276" t="inlineStr">
        <is>
          <t>วดป.</t>
        </is>
      </c>
      <c r="H880" s="474" t="n"/>
      <c r="I880" s="276" t="n"/>
      <c r="J880" s="475" t="n"/>
      <c r="K880" s="476" t="n"/>
      <c r="L880" s="276" t="inlineStr">
        <is>
          <t>ใน</t>
        </is>
      </c>
      <c r="M880" s="276" t="inlineStr">
        <is>
          <t>นอก</t>
        </is>
      </c>
      <c r="N880" s="276" t="inlineStr">
        <is>
          <t>ต่อ ชม.</t>
        </is>
      </c>
      <c r="O880" s="276" t="inlineStr">
        <is>
          <t>(บาท)</t>
        </is>
      </c>
      <c r="P880" s="60" t="inlineStr">
        <is>
          <t>ใน</t>
        </is>
      </c>
      <c r="Q880" s="60" t="inlineStr">
        <is>
          <t>นอก</t>
        </is>
      </c>
      <c r="R880" s="276" t="inlineStr">
        <is>
          <t>ต่อ ชม.</t>
        </is>
      </c>
      <c r="S880" s="276" t="inlineStr">
        <is>
          <t>(บาท)</t>
        </is>
      </c>
    </row>
    <row r="881" ht="22.2" customHeight="1" s="330">
      <c r="A881" s="275" t="n">
        <v>20</v>
      </c>
      <c r="B881" s="477">
        <f>AB22</f>
        <v/>
      </c>
      <c r="C881" s="334" t="n"/>
      <c r="D881" s="335" t="n"/>
      <c r="E881" s="275" t="inlineStr">
        <is>
          <t>ครู</t>
        </is>
      </c>
      <c r="F881" s="6" t="n">
        <v>5</v>
      </c>
      <c r="G881" s="303" t="inlineStr">
        <is>
          <t>จันทร์</t>
        </is>
      </c>
      <c r="H881" s="332" t="inlineStr">
        <is>
          <t>20101-2404</t>
        </is>
      </c>
      <c r="I881" s="325" t="inlineStr">
        <is>
          <t>ปวช.3/3 ชย. (ปกติ)</t>
        </is>
      </c>
      <c r="J881" s="332" t="inlineStr">
        <is>
          <t>08.10-12.10</t>
        </is>
      </c>
      <c r="K881" s="335" t="n"/>
      <c r="L881" s="265" t="n"/>
      <c r="M881" s="332" t="n"/>
      <c r="N881" s="332" t="n"/>
      <c r="O881" s="244">
        <f>M881*N881</f>
        <v/>
      </c>
      <c r="P881" s="332" t="n"/>
      <c r="Q881" s="265" t="n"/>
      <c r="R881" s="332" t="n"/>
      <c r="S881" s="244">
        <f>Q881*R881</f>
        <v/>
      </c>
    </row>
    <row r="882" ht="22.2" customHeight="1" s="330">
      <c r="A882" s="4" t="n"/>
      <c r="B882" s="478" t="n"/>
      <c r="D882" s="331" t="n"/>
      <c r="E882" s="252" t="inlineStr">
        <is>
          <t>พิเศษ</t>
        </is>
      </c>
      <c r="F882" s="249" t="n"/>
      <c r="G882" s="74">
        <f>G8</f>
        <v/>
      </c>
      <c r="H882" s="325" t="inlineStr">
        <is>
          <t>20101-2404</t>
        </is>
      </c>
      <c r="I882" s="325" t="inlineStr">
        <is>
          <t>ปวช.3/3 ชย. (ปกติ)</t>
        </is>
      </c>
      <c r="J882" s="252" t="inlineStr">
        <is>
          <t>13.10-16.10</t>
        </is>
      </c>
      <c r="K882" s="331" t="n"/>
      <c r="L882" s="252" t="n"/>
      <c r="M882" s="252" t="n"/>
      <c r="N882" s="252" t="n"/>
      <c r="O882" s="244">
        <f>M882*N882</f>
        <v/>
      </c>
      <c r="P882" s="252" t="n"/>
      <c r="Q882" s="252" t="n"/>
      <c r="R882" s="252" t="n"/>
      <c r="S882" s="244">
        <f>Q882*R882</f>
        <v/>
      </c>
    </row>
    <row r="883" ht="22.2" customHeight="1" s="330">
      <c r="A883" s="4" t="n"/>
      <c r="B883" s="5" t="n"/>
      <c r="D883" s="3" t="n"/>
      <c r="E883" s="3" t="n"/>
      <c r="F883" s="249" t="n"/>
      <c r="G883" s="248" t="n"/>
      <c r="H883" s="325" t="n"/>
      <c r="I883" s="325" t="n"/>
      <c r="J883" s="252" t="n"/>
      <c r="K883" s="331" t="n"/>
      <c r="L883" s="252" t="n"/>
      <c r="M883" s="252" t="n"/>
      <c r="N883" s="252" t="n"/>
      <c r="O883" s="244">
        <f>M883*N883</f>
        <v/>
      </c>
      <c r="P883" s="252" t="n"/>
      <c r="Q883" s="252" t="n"/>
      <c r="R883" s="252" t="n"/>
      <c r="S883" s="244">
        <f>Q883*R883</f>
        <v/>
      </c>
    </row>
    <row r="884" ht="22.2" customHeight="1" s="330">
      <c r="A884" s="4" t="n"/>
      <c r="B884" s="5" t="n"/>
      <c r="E884" s="4" t="n"/>
      <c r="F884" s="249" t="n"/>
      <c r="G884" s="248" t="n"/>
      <c r="H884" s="252" t="n"/>
      <c r="I884" s="252" t="n"/>
      <c r="J884" s="252" t="n"/>
      <c r="K884" s="331" t="n"/>
      <c r="L884" s="252" t="n"/>
      <c r="M884" s="252" t="n"/>
      <c r="N884" s="252" t="n"/>
      <c r="O884" s="244">
        <f>M884*N884</f>
        <v/>
      </c>
      <c r="P884" s="252" t="n"/>
      <c r="Q884" s="252" t="n"/>
      <c r="R884" s="252" t="n"/>
      <c r="S884" s="244">
        <f>Q884*R884</f>
        <v/>
      </c>
    </row>
    <row r="885" ht="22.2" customHeight="1" s="330">
      <c r="A885" s="4" t="n"/>
      <c r="E885" s="4" t="n"/>
      <c r="G885" s="311" t="n"/>
      <c r="H885" s="276" t="n"/>
      <c r="I885" s="276" t="n"/>
      <c r="J885" s="276" t="n"/>
      <c r="K885" s="476" t="n"/>
      <c r="L885" s="252" t="n"/>
      <c r="M885" s="252" t="n"/>
      <c r="N885" s="252" t="n"/>
      <c r="O885" s="244">
        <f>M885*N885</f>
        <v/>
      </c>
      <c r="P885" s="252" t="n"/>
      <c r="Q885" s="252" t="n"/>
      <c r="R885" s="252" t="n"/>
      <c r="S885" s="244">
        <f>Q885*R885</f>
        <v/>
      </c>
    </row>
    <row r="886" ht="22.2" customHeight="1" s="330">
      <c r="A886" s="4" t="n"/>
      <c r="E886" s="4" t="n"/>
      <c r="G886" s="62" t="inlineStr">
        <is>
          <t>อังคาร</t>
        </is>
      </c>
      <c r="H886" s="325" t="inlineStr">
        <is>
          <t>20101-2404</t>
        </is>
      </c>
      <c r="I886" s="325" t="inlineStr">
        <is>
          <t>ปวช.3/4 ชย. (ปกติ)</t>
        </is>
      </c>
      <c r="J886" s="332" t="inlineStr">
        <is>
          <t>08.10-12.10</t>
        </is>
      </c>
      <c r="K886" s="335" t="n"/>
      <c r="L886" s="265" t="n"/>
      <c r="M886" s="332" t="n"/>
      <c r="N886" s="332" t="n"/>
      <c r="O886" s="244">
        <f>M886*N886</f>
        <v/>
      </c>
      <c r="P886" s="332" t="n"/>
      <c r="Q886" s="265" t="n"/>
      <c r="R886" s="332" t="n"/>
      <c r="S886" s="244">
        <f>Q886*R886</f>
        <v/>
      </c>
    </row>
    <row r="887" ht="22.2" customHeight="1" s="330">
      <c r="A887" s="4" t="n"/>
      <c r="E887" s="4" t="n"/>
      <c r="G887" s="74">
        <f>G13</f>
        <v/>
      </c>
      <c r="H887" s="325" t="inlineStr">
        <is>
          <t>20101-2404</t>
        </is>
      </c>
      <c r="I887" s="325" t="inlineStr">
        <is>
          <t>ปวช.3/4 ชย. (ปกติ)</t>
        </is>
      </c>
      <c r="J887" s="252" t="inlineStr">
        <is>
          <t>13.10-16.10</t>
        </is>
      </c>
      <c r="K887" s="331" t="n"/>
      <c r="L887" s="252" t="n"/>
      <c r="M887" s="252" t="n"/>
      <c r="N887" s="252" t="n"/>
      <c r="O887" s="244">
        <f>M887*N887</f>
        <v/>
      </c>
      <c r="P887" s="252" t="n"/>
      <c r="Q887" s="252" t="n"/>
      <c r="R887" s="252" t="n"/>
      <c r="S887" s="244">
        <f>Q887*R887</f>
        <v/>
      </c>
    </row>
    <row r="888" ht="22.2" customHeight="1" s="330">
      <c r="A888" s="4" t="n"/>
      <c r="B888" s="5" t="n"/>
      <c r="D888" s="3" t="n"/>
      <c r="E888" s="3" t="n"/>
      <c r="G888" s="252" t="n"/>
      <c r="H888" s="325" t="n"/>
      <c r="I888" s="325" t="n"/>
      <c r="J888" s="252" t="n"/>
      <c r="K888" s="331" t="n"/>
      <c r="L888" s="252" t="n"/>
      <c r="M888" s="252" t="n"/>
      <c r="N888" s="252" t="n"/>
      <c r="O888" s="244">
        <f>M888*N888</f>
        <v/>
      </c>
      <c r="P888" s="252" t="n"/>
      <c r="Q888" s="252" t="n"/>
      <c r="R888" s="252" t="n"/>
      <c r="S888" s="244">
        <f>Q888*R888</f>
        <v/>
      </c>
    </row>
    <row r="889" ht="22.2" customHeight="1" s="330">
      <c r="A889" s="4" t="n"/>
      <c r="E889" s="4" t="n"/>
      <c r="G889" s="62" t="n"/>
      <c r="H889" s="249" t="n"/>
      <c r="I889" s="252" t="n"/>
      <c r="J889" s="252" t="n"/>
      <c r="K889" s="331" t="n"/>
      <c r="L889" s="252" t="n"/>
      <c r="M889" s="252" t="n"/>
      <c r="N889" s="252" t="n"/>
      <c r="O889" s="244">
        <f>M889*N889</f>
        <v/>
      </c>
      <c r="P889" s="252" t="n"/>
      <c r="Q889" s="252" t="n"/>
      <c r="R889" s="252" t="n"/>
      <c r="S889" s="244">
        <f>Q889*R889</f>
        <v/>
      </c>
    </row>
    <row r="890" ht="22.2" customHeight="1" s="330">
      <c r="A890" s="4" t="n"/>
      <c r="D890" s="8" t="inlineStr">
        <is>
          <t> </t>
        </is>
      </c>
      <c r="E890" s="4" t="n"/>
      <c r="G890" s="63" t="n"/>
      <c r="H890" s="276" t="n"/>
      <c r="I890" s="276" t="n"/>
      <c r="J890" s="276" t="n"/>
      <c r="K890" s="476" t="n"/>
      <c r="L890" s="276" t="n"/>
      <c r="M890" s="252" t="n"/>
      <c r="N890" s="252" t="n"/>
      <c r="O890" s="244">
        <f>M890*N890</f>
        <v/>
      </c>
      <c r="P890" s="252" t="n"/>
      <c r="Q890" s="252" t="n"/>
      <c r="R890" s="252" t="n"/>
      <c r="S890" s="244">
        <f>Q890*R890</f>
        <v/>
      </c>
    </row>
    <row r="891" ht="22.2" customHeight="1" s="330">
      <c r="A891" s="4" t="n"/>
      <c r="E891" s="4" t="n"/>
      <c r="G891" s="308" t="inlineStr">
        <is>
          <t>พุธ</t>
        </is>
      </c>
      <c r="H891" s="325" t="inlineStr">
        <is>
          <t>20101-8001</t>
        </is>
      </c>
      <c r="I891" s="325" t="inlineStr">
        <is>
          <t>ปวช.3/7 ชย. (ปกติ)</t>
        </is>
      </c>
      <c r="J891" s="332" t="inlineStr">
        <is>
          <t>08.10-12.10</t>
        </is>
      </c>
      <c r="K891" s="335" t="n"/>
      <c r="L891" s="252" t="n"/>
      <c r="M891" s="332" t="n"/>
      <c r="N891" s="332" t="n"/>
      <c r="O891" s="244">
        <f>M891*N891</f>
        <v/>
      </c>
      <c r="P891" s="209" t="n"/>
      <c r="Q891" s="209" t="n"/>
      <c r="R891" s="209" t="n"/>
      <c r="S891" s="244">
        <f>Q891*R891</f>
        <v/>
      </c>
    </row>
    <row r="892" ht="22.2" customHeight="1" s="330">
      <c r="A892" s="4" t="n"/>
      <c r="B892" s="248" t="n"/>
      <c r="C892" s="249" t="n"/>
      <c r="D892" s="249" t="n"/>
      <c r="E892" s="252" t="n"/>
      <c r="G892" s="74">
        <f>G18</f>
        <v/>
      </c>
      <c r="H892" s="325" t="n"/>
      <c r="I892" s="325" t="n"/>
      <c r="J892" s="252" t="n"/>
      <c r="K892" s="331" t="n"/>
      <c r="L892" s="252" t="n"/>
      <c r="M892" s="252" t="n"/>
      <c r="N892" s="252" t="n"/>
      <c r="O892" s="244">
        <f>M892*N892</f>
        <v/>
      </c>
      <c r="P892" s="4" t="n"/>
      <c r="Q892" s="4" t="n"/>
      <c r="R892" s="4" t="n"/>
      <c r="S892" s="244">
        <f>Q892*R892</f>
        <v/>
      </c>
    </row>
    <row r="893" ht="22.2" customHeight="1" s="330">
      <c r="A893" s="4" t="n"/>
      <c r="B893" s="5" t="n"/>
      <c r="D893" s="3" t="n"/>
      <c r="E893" s="3" t="n"/>
      <c r="G893" s="252" t="n"/>
      <c r="H893" s="325" t="n"/>
      <c r="I893" s="325" t="n"/>
      <c r="J893" s="252" t="n"/>
      <c r="K893" s="331" t="n"/>
      <c r="L893" s="252" t="n"/>
      <c r="M893" s="252" t="n"/>
      <c r="N893" s="252" t="n"/>
      <c r="O893" s="244">
        <f>M893*N893</f>
        <v/>
      </c>
      <c r="P893" s="252" t="n"/>
      <c r="Q893" s="250" t="n"/>
      <c r="R893" s="252" t="n"/>
      <c r="S893" s="244">
        <f>Q893*R893</f>
        <v/>
      </c>
    </row>
    <row r="894" ht="22.2" customHeight="1" s="330">
      <c r="A894" s="4" t="n"/>
      <c r="E894" s="4" t="n"/>
      <c r="G894" s="248" t="n"/>
      <c r="H894" s="248" t="n"/>
      <c r="I894" s="252" t="n"/>
      <c r="J894" s="252" t="n"/>
      <c r="K894" s="331" t="n"/>
      <c r="L894" s="252" t="n"/>
      <c r="M894" s="252" t="n"/>
      <c r="N894" s="252" t="n"/>
      <c r="O894" s="244">
        <f>M894*N894</f>
        <v/>
      </c>
      <c r="P894" s="252" t="n"/>
      <c r="Q894" s="252" t="n"/>
      <c r="R894" s="252" t="n"/>
      <c r="S894" s="244">
        <f>Q894*R894</f>
        <v/>
      </c>
    </row>
    <row r="895" ht="22.2" customHeight="1" s="330">
      <c r="A895" s="4" t="n"/>
      <c r="E895" s="4" t="n"/>
      <c r="G895" s="277" t="n"/>
      <c r="H895" s="277" t="n"/>
      <c r="I895" s="276" t="n"/>
      <c r="J895" s="276" t="n"/>
      <c r="K895" s="476" t="n"/>
      <c r="L895" s="276" t="n"/>
      <c r="M895" s="276" t="n"/>
      <c r="N895" s="276" t="n"/>
      <c r="O895" s="244">
        <f>M895*N895</f>
        <v/>
      </c>
      <c r="P895" s="276" t="n"/>
      <c r="Q895" s="276" t="n"/>
      <c r="R895" s="276" t="n"/>
      <c r="S895" s="244">
        <f>Q895*R895</f>
        <v/>
      </c>
    </row>
    <row r="896" ht="22.2" customHeight="1" s="330">
      <c r="A896" s="4" t="n"/>
      <c r="E896" s="4" t="n"/>
      <c r="G896" s="62" t="inlineStr">
        <is>
          <t>พฤหัส</t>
        </is>
      </c>
      <c r="H896" s="325" t="inlineStr">
        <is>
          <t>20101-2404</t>
        </is>
      </c>
      <c r="I896" s="325" t="inlineStr">
        <is>
          <t>ปวช.3/2 ชย. (ปกติ)</t>
        </is>
      </c>
      <c r="J896" s="332" t="inlineStr">
        <is>
          <t>08.10-12.10</t>
        </is>
      </c>
      <c r="K896" s="335" t="n"/>
      <c r="L896" s="265" t="n"/>
      <c r="M896" s="332" t="n"/>
      <c r="N896" s="325" t="n"/>
      <c r="O896" s="244">
        <f>M896*N896</f>
        <v/>
      </c>
      <c r="P896" s="252" t="n"/>
      <c r="Q896" s="275" t="n"/>
      <c r="R896" s="275" t="n"/>
      <c r="S896" s="244">
        <f>Q896*R896</f>
        <v/>
      </c>
    </row>
    <row r="897" ht="22.2" customHeight="1" s="330">
      <c r="A897" s="4" t="n"/>
      <c r="E897" s="4" t="n"/>
      <c r="G897" s="74">
        <f>G23</f>
        <v/>
      </c>
      <c r="H897" s="325" t="inlineStr">
        <is>
          <t>20101-2404</t>
        </is>
      </c>
      <c r="I897" s="325" t="inlineStr">
        <is>
          <t>ปวช.3/2 ชย. (ปกติ)</t>
        </is>
      </c>
      <c r="J897" s="252" t="inlineStr">
        <is>
          <t>15.10-18.10</t>
        </is>
      </c>
      <c r="K897" s="331" t="n"/>
      <c r="L897" s="252" t="n"/>
      <c r="M897" s="252" t="n"/>
      <c r="N897" s="252" t="n"/>
      <c r="O897" s="244">
        <f>M897*N897</f>
        <v/>
      </c>
      <c r="P897" s="252" t="n"/>
      <c r="Q897" s="252" t="n"/>
      <c r="R897" s="252" t="n"/>
      <c r="S897" s="244">
        <f>Q897*R897</f>
        <v/>
      </c>
    </row>
    <row r="898" ht="22.2" customHeight="1" s="330">
      <c r="A898" s="4" t="n"/>
      <c r="B898" s="5" t="n"/>
      <c r="E898" s="4" t="n"/>
      <c r="G898" s="252" t="n"/>
      <c r="H898" s="325" t="n"/>
      <c r="I898" s="325" t="n"/>
      <c r="J898" s="252" t="n"/>
      <c r="K898" s="331" t="n"/>
      <c r="L898" s="252" t="n"/>
      <c r="M898" s="252" t="n"/>
      <c r="N898" s="252" t="n"/>
      <c r="O898" s="244">
        <f>M898*N898</f>
        <v/>
      </c>
      <c r="P898" s="325" t="n"/>
      <c r="Q898" s="325" t="n"/>
      <c r="R898" s="325" t="n"/>
      <c r="S898" s="244">
        <f>Q898*R898</f>
        <v/>
      </c>
    </row>
    <row r="899" ht="22.2" customHeight="1" s="330">
      <c r="A899" s="4" t="n"/>
      <c r="E899" s="4" t="n"/>
      <c r="G899" s="252" t="n"/>
      <c r="H899" s="252" t="n"/>
      <c r="I899" s="252" t="n"/>
      <c r="J899" s="252" t="n"/>
      <c r="K899" s="331" t="n"/>
      <c r="L899" s="252" t="n"/>
      <c r="M899" s="252" t="n"/>
      <c r="N899" s="252" t="n"/>
      <c r="O899" s="244">
        <f>M899*N899</f>
        <v/>
      </c>
      <c r="P899" s="252" t="n"/>
      <c r="Q899" s="252" t="n"/>
      <c r="R899" s="252" t="n"/>
      <c r="S899" s="244">
        <f>Q899*R899</f>
        <v/>
      </c>
    </row>
    <row r="900" ht="22.2" customHeight="1" s="330">
      <c r="A900" s="4" t="n"/>
      <c r="E900" s="4" t="n"/>
      <c r="G900" s="276" t="n"/>
      <c r="H900" s="301" t="n"/>
      <c r="I900" s="276" t="n"/>
      <c r="J900" s="276" t="n"/>
      <c r="K900" s="476" t="n"/>
      <c r="L900" s="276" t="n"/>
      <c r="M900" s="276" t="n"/>
      <c r="N900" s="276" t="n"/>
      <c r="O900" s="244">
        <f>M900*N900</f>
        <v/>
      </c>
      <c r="P900" s="276" t="n"/>
      <c r="Q900" s="276" t="n"/>
      <c r="R900" s="276" t="n"/>
      <c r="S900" s="244">
        <f>Q900*R900</f>
        <v/>
      </c>
    </row>
    <row r="901" ht="22.2" customHeight="1" s="330">
      <c r="A901" s="4" t="n"/>
      <c r="E901" s="4" t="n"/>
      <c r="G901" s="62" t="inlineStr">
        <is>
          <t>ศุกร์</t>
        </is>
      </c>
      <c r="H901" s="325" t="inlineStr">
        <is>
          <t>20101-2404</t>
        </is>
      </c>
      <c r="I901" s="325" t="inlineStr">
        <is>
          <t>ปวช.3/1 ชย. (ปกติ)</t>
        </is>
      </c>
      <c r="J901" s="332" t="inlineStr">
        <is>
          <t>08.10-12.10</t>
        </is>
      </c>
      <c r="K901" s="335" t="n"/>
      <c r="L901" s="265" t="n"/>
      <c r="M901" s="252" t="n"/>
      <c r="N901" s="252" t="n"/>
      <c r="O901" s="244">
        <f>M901*N901</f>
        <v/>
      </c>
      <c r="P901" s="332" t="n"/>
      <c r="Q901" s="265" t="n"/>
      <c r="R901" s="332" t="n"/>
      <c r="S901" s="244">
        <f>Q901*R901</f>
        <v/>
      </c>
    </row>
    <row r="902" ht="22.2" customHeight="1" s="330">
      <c r="A902" s="4" t="n"/>
      <c r="E902" s="4" t="n"/>
      <c r="G902" s="204">
        <f>G28</f>
        <v/>
      </c>
      <c r="H902" s="325" t="inlineStr">
        <is>
          <t>20101-2404</t>
        </is>
      </c>
      <c r="I902" s="325" t="inlineStr">
        <is>
          <t>ปวช.3/1 ชย. (ปกติ)</t>
        </is>
      </c>
      <c r="J902" s="252" t="inlineStr">
        <is>
          <t>13.10-16.10</t>
        </is>
      </c>
      <c r="K902" s="331" t="n"/>
      <c r="L902" s="252" t="n"/>
      <c r="M902" s="252" t="n"/>
      <c r="N902" s="252" t="n"/>
      <c r="O902" s="244">
        <f>M902*N902</f>
        <v/>
      </c>
      <c r="P902" s="252" t="n"/>
      <c r="Q902" s="252" t="n"/>
      <c r="R902" s="252" t="n"/>
      <c r="S902" s="244">
        <f>Q902*R902</f>
        <v/>
      </c>
    </row>
    <row r="903" ht="22.2" customHeight="1" s="330">
      <c r="A903" s="4" t="n"/>
      <c r="E903" s="4" t="n"/>
      <c r="G903" s="252" t="n"/>
      <c r="H903" s="56" t="n"/>
      <c r="I903" s="56" t="n"/>
      <c r="J903" s="331" t="n"/>
      <c r="K903" s="331" t="n"/>
      <c r="L903" s="252" t="n"/>
      <c r="M903" s="252" t="n"/>
      <c r="N903" s="252" t="n"/>
      <c r="O903" s="244">
        <f>M903*N903</f>
        <v/>
      </c>
      <c r="P903" s="252" t="n"/>
      <c r="Q903" s="252" t="n"/>
      <c r="R903" s="252" t="n"/>
      <c r="S903" s="244">
        <f>Q903*R903</f>
        <v/>
      </c>
    </row>
    <row r="904" ht="22.2" customHeight="1" s="330">
      <c r="A904" s="4" t="n"/>
      <c r="E904" s="4" t="n"/>
      <c r="G904" s="252" t="n"/>
      <c r="H904" s="56" t="n"/>
      <c r="I904" s="56" t="n"/>
      <c r="J904" s="331" t="n"/>
      <c r="K904" s="331" t="n"/>
      <c r="L904" s="252" t="n"/>
      <c r="M904" s="252" t="n"/>
      <c r="N904" s="252" t="n"/>
      <c r="O904" s="244">
        <f>M904*N904</f>
        <v/>
      </c>
      <c r="P904" s="252" t="n"/>
      <c r="Q904" s="252" t="n"/>
      <c r="R904" s="252" t="n"/>
      <c r="S904" s="244">
        <f>Q904*R904</f>
        <v/>
      </c>
    </row>
    <row r="905" ht="22.2" customHeight="1" s="330">
      <c r="A905" s="4" t="n"/>
      <c r="E905" s="4" t="n"/>
      <c r="F905" s="4" t="n"/>
      <c r="G905" s="278" t="n"/>
      <c r="H905" s="301" t="n"/>
      <c r="I905" s="276" t="n"/>
      <c r="J905" s="276" t="n"/>
      <c r="K905" s="476" t="n"/>
      <c r="L905" s="276" t="n"/>
      <c r="M905" s="276" t="n"/>
      <c r="N905" s="276" t="n"/>
      <c r="O905" s="244">
        <f>M905*N905</f>
        <v/>
      </c>
      <c r="P905" s="276" t="n"/>
      <c r="Q905" s="276" t="n"/>
      <c r="R905" s="276" t="n"/>
      <c r="S905" s="244">
        <f>Q905*R905</f>
        <v/>
      </c>
    </row>
    <row r="906" ht="22.2" customHeight="1" s="330">
      <c r="A906" s="4" t="n"/>
      <c r="E906" s="4" t="n"/>
      <c r="F906" s="4" t="n"/>
      <c r="G906" s="17" t="inlineStr">
        <is>
          <t>รวมขั่วโมงที่สอนแยก ภาระงาน/ เกินภาระงาน</t>
        </is>
      </c>
      <c r="H906" s="467" t="n"/>
      <c r="I906" s="467" t="n"/>
      <c r="J906" s="467" t="n"/>
      <c r="K906" s="362" t="n"/>
      <c r="L906" s="17">
        <f>SUM(L881:L905)</f>
        <v/>
      </c>
      <c r="M906" s="17">
        <f>SUM(M881:M905)</f>
        <v/>
      </c>
      <c r="N906" s="17" t="n"/>
      <c r="O906" s="17" t="n"/>
      <c r="P906" s="17">
        <f>SUM(P881:P905)</f>
        <v/>
      </c>
      <c r="Q906" s="17">
        <f>SUM(Q881:Q905)</f>
        <v/>
      </c>
      <c r="R906" s="279" t="n"/>
      <c r="S906" s="17" t="n"/>
      <c r="T906" s="25" t="n"/>
      <c r="U906" s="26" t="inlineStr">
        <is>
          <t xml:space="preserve">     PLC</t>
        </is>
      </c>
      <c r="V906" s="64" t="n"/>
      <c r="W906" s="27" t="n"/>
      <c r="X906" s="27" t="n"/>
    </row>
    <row r="907" ht="22.2" customHeight="1" s="330">
      <c r="A907" s="4" t="n"/>
      <c r="E907" s="4" t="n"/>
      <c r="F907" s="4" t="n"/>
      <c r="G907" s="17" t="inlineStr">
        <is>
          <t>รวมจำนวนชั่วโมงสอนคาบต่อสับดาห์</t>
        </is>
      </c>
      <c r="H907" s="467" t="n"/>
      <c r="I907" s="467" t="n"/>
      <c r="J907" s="467" t="n"/>
      <c r="K907" s="362" t="n"/>
      <c r="L907" s="17">
        <f>L906+M906</f>
        <v/>
      </c>
      <c r="M907" s="362" t="n"/>
      <c r="N907" s="17" t="n"/>
      <c r="O907" s="298" t="n"/>
      <c r="P907" s="17">
        <f>P906+Q906</f>
        <v/>
      </c>
      <c r="Q907" s="362" t="n"/>
      <c r="R907" s="278" t="n"/>
      <c r="S907" s="276" t="n"/>
      <c r="T907" s="27" t="inlineStr">
        <is>
          <t> </t>
        </is>
      </c>
      <c r="U907" s="26" t="inlineStr">
        <is>
          <t>17.10-19.10</t>
        </is>
      </c>
      <c r="V907" s="64" t="n"/>
      <c r="W907" s="27" t="n"/>
      <c r="X907" s="27" t="n"/>
    </row>
    <row r="908" ht="22.2" customHeight="1" s="330">
      <c r="A908" s="4" t="n"/>
      <c r="E908" s="4" t="n"/>
      <c r="F908" s="4" t="n"/>
      <c r="G908" s="17" t="inlineStr">
        <is>
          <t>จำนวนชั่วโมงสอนตามภาระงานสอน</t>
        </is>
      </c>
      <c r="H908" s="467" t="n"/>
      <c r="I908" s="467" t="n"/>
      <c r="J908" s="467" t="n"/>
      <c r="K908" s="362" t="n"/>
      <c r="L908" s="17" t="n">
        <v>18</v>
      </c>
      <c r="M908" s="362" t="n"/>
      <c r="N908" s="298" t="n"/>
      <c r="O908" s="17" t="n"/>
      <c r="P908" s="153" t="inlineStr">
        <is>
          <t>0</t>
        </is>
      </c>
      <c r="Q908" s="362" t="n"/>
      <c r="R908" s="249" t="n"/>
      <c r="S908" s="252" t="n"/>
    </row>
    <row r="909" ht="22.2" customHeight="1" s="330" thickBot="1">
      <c r="A909" s="4" t="n"/>
      <c r="E909" s="4" t="n"/>
      <c r="F909" s="15" t="n"/>
      <c r="G909" s="17" t="inlineStr">
        <is>
          <t>จำนวนชั่วโมงบิกเกินภาระงานสอน/ค่าสอน</t>
        </is>
      </c>
      <c r="H909" s="467" t="n"/>
      <c r="I909" s="467" t="n"/>
      <c r="J909" s="467" t="n"/>
      <c r="K909" s="362" t="n"/>
      <c r="L909" s="18" t="n">
        <v>0</v>
      </c>
      <c r="M909" s="18">
        <f>SUM(M881:M905)</f>
        <v/>
      </c>
      <c r="N909" s="18" t="n"/>
      <c r="O909" s="18">
        <f>SUM(O881:O905)</f>
        <v/>
      </c>
      <c r="P909" s="18" t="n">
        <v>0</v>
      </c>
      <c r="Q909" s="18">
        <f>SUM(Q881:Q905)</f>
        <v/>
      </c>
      <c r="R909" s="19" t="n"/>
      <c r="S909" s="18">
        <f>SUM(S881:S905)</f>
        <v/>
      </c>
    </row>
    <row r="910" ht="22.2" customHeight="1" s="330" thickTop="1">
      <c r="A910" s="299" t="inlineStr">
        <is>
          <t>รวมจำนวนหน่วยชั่วโมงที่ขอเบิกค่าสอน ….</t>
        </is>
      </c>
      <c r="B910" s="467" t="n"/>
      <c r="C910" s="467" t="n"/>
      <c r="D910" s="467" t="n"/>
      <c r="E910" s="467" t="n"/>
      <c r="F910" s="467" t="n"/>
      <c r="G910" s="467" t="n"/>
      <c r="H910" s="298">
        <f>M909+Q909</f>
        <v/>
      </c>
      <c r="I910" s="298" t="inlineStr">
        <is>
          <t>….ชั่วโมง</t>
        </is>
      </c>
      <c r="J910" s="298" t="n"/>
      <c r="K910" s="301" t="inlineStr">
        <is>
          <t>ยอดเงินรวม</t>
        </is>
      </c>
      <c r="L910" s="471" t="n"/>
      <c r="M910" s="471" t="n"/>
      <c r="N910" s="301" t="n"/>
      <c r="O910" s="301" t="n"/>
      <c r="P910" s="302">
        <f>S909+O909</f>
        <v/>
      </c>
      <c r="Q910" s="482" t="n"/>
      <c r="R910" s="21" t="n"/>
      <c r="S910" s="20" t="inlineStr">
        <is>
          <t>..บาท</t>
        </is>
      </c>
    </row>
    <row r="911" ht="22.2" customHeight="1" s="330">
      <c r="A911" s="207" t="inlineStr">
        <is>
          <t>ผู้ขอเบิก</t>
        </is>
      </c>
      <c r="B911" s="334" t="n"/>
      <c r="C911" s="334" t="n"/>
      <c r="D911" s="334" t="n"/>
      <c r="E911" s="334" t="n"/>
      <c r="F911" s="334" t="n"/>
      <c r="G911" s="335" t="n"/>
      <c r="H911" s="207" t="inlineStr">
        <is>
          <t>ผู้รับรอง</t>
        </is>
      </c>
      <c r="I911" s="334" t="n"/>
      <c r="J911" s="334" t="n"/>
      <c r="K911" s="334" t="n"/>
      <c r="L911" s="335" t="n"/>
      <c r="M911" s="207" t="inlineStr">
        <is>
          <t>ผู้ตรวจ</t>
        </is>
      </c>
      <c r="N911" s="334" t="n"/>
      <c r="O911" s="334" t="n"/>
      <c r="P911" s="334" t="n"/>
      <c r="Q911" s="334" t="n"/>
      <c r="R911" s="334" t="n"/>
      <c r="S911" s="335" t="n"/>
    </row>
    <row r="912" ht="22.2" customHeight="1" s="330">
      <c r="A912" s="252" t="inlineStr">
        <is>
          <t>ลงชื่อ……………………………………………</t>
        </is>
      </c>
      <c r="G912" s="331" t="n"/>
      <c r="H912" s="252" t="inlineStr">
        <is>
          <t>ลงชื่อ……………………………………………</t>
        </is>
      </c>
      <c r="L912" s="331" t="n"/>
      <c r="M912" s="252" t="inlineStr">
        <is>
          <t>ลงชื่อ……………………………………………</t>
        </is>
      </c>
      <c r="S912" s="331" t="n"/>
    </row>
    <row r="913" ht="22.2" customHeight="1" s="330">
      <c r="A913" s="12" t="inlineStr">
        <is>
          <t>(</t>
        </is>
      </c>
      <c r="B913" s="309">
        <f>B881</f>
        <v/>
      </c>
      <c r="G913" s="310" t="inlineStr">
        <is>
          <t>)</t>
        </is>
      </c>
      <c r="H913" s="309" t="inlineStr">
        <is>
          <t>(</t>
        </is>
      </c>
      <c r="I913" s="314">
        <f>I867</f>
        <v/>
      </c>
      <c r="L913" s="13" t="inlineStr">
        <is>
          <t>)</t>
        </is>
      </c>
      <c r="M913" s="61" t="inlineStr">
        <is>
          <t>(</t>
        </is>
      </c>
      <c r="N913" s="61" t="n"/>
      <c r="O913" s="309" t="inlineStr">
        <is>
          <t>นายพิสุทธิศักดิ์  กล่อมนาค</t>
        </is>
      </c>
      <c r="R913" s="29" t="n"/>
      <c r="S913" s="310" t="inlineStr">
        <is>
          <t>)</t>
        </is>
      </c>
    </row>
    <row r="914" ht="22.2" customHeight="1" s="330">
      <c r="A914" s="483" t="inlineStr">
        <is>
          <t xml:space="preserve">                 ตำแหน่ง  ครูพิเศษ</t>
        </is>
      </c>
      <c r="G914" s="331" t="n"/>
      <c r="H914" s="62" t="inlineStr">
        <is>
          <t>ตำแหน่ง หัวหน้าแผนก</t>
        </is>
      </c>
      <c r="L914" s="331" t="n"/>
      <c r="M914" s="62" t="inlineStr">
        <is>
          <t>ตำแหน่ง   ผู้ตรวจสอบ</t>
        </is>
      </c>
      <c r="S914" s="331" t="n"/>
    </row>
    <row r="915" ht="22.2" customHeight="1" s="330">
      <c r="A915" s="63">
        <f>A41</f>
        <v/>
      </c>
      <c r="B915" s="471" t="n"/>
      <c r="C915" s="471" t="n"/>
      <c r="D915" s="471" t="n"/>
      <c r="E915" s="471" t="n"/>
      <c r="F915" s="471" t="n"/>
      <c r="G915" s="476" t="n"/>
      <c r="H915" s="62">
        <f>A41</f>
        <v/>
      </c>
      <c r="L915" s="331" t="n"/>
      <c r="M915" s="63">
        <f>A41</f>
        <v/>
      </c>
      <c r="N915" s="471" t="n"/>
      <c r="O915" s="471" t="n"/>
      <c r="P915" s="471" t="n"/>
      <c r="Q915" s="471" t="n"/>
      <c r="R915" s="471" t="n"/>
      <c r="S915" s="476" t="n"/>
    </row>
    <row r="916" ht="22.2" customHeight="1" s="330">
      <c r="A916" s="207" t="inlineStr">
        <is>
          <t>ผู้ตรวจ</t>
        </is>
      </c>
      <c r="B916" s="334" t="n"/>
      <c r="C916" s="334" t="n"/>
      <c r="D916" s="334" t="n"/>
      <c r="E916" s="334" t="n"/>
      <c r="F916" s="334" t="n"/>
      <c r="G916" s="334" t="n"/>
      <c r="H916" s="334" t="n"/>
      <c r="I916" s="335" t="n"/>
      <c r="J916" s="207" t="inlineStr">
        <is>
          <t>ผู้เห็นชอบ</t>
        </is>
      </c>
      <c r="K916" s="334" t="n"/>
      <c r="L916" s="334" t="n"/>
      <c r="M916" s="334" t="n"/>
      <c r="N916" s="334" t="n"/>
      <c r="O916" s="334" t="n"/>
      <c r="P916" s="334" t="n"/>
      <c r="Q916" s="334" t="n"/>
      <c r="R916" s="334" t="n"/>
      <c r="S916" s="335" t="n"/>
    </row>
    <row r="917" ht="22.2" customHeight="1" s="330">
      <c r="A917" s="252" t="inlineStr">
        <is>
          <t>ลงชื่อ……………………………………………</t>
        </is>
      </c>
      <c r="I917" s="331" t="n"/>
      <c r="J917" s="252" t="inlineStr">
        <is>
          <t>ลงชื่อ……………………………………………</t>
        </is>
      </c>
      <c r="S917" s="331" t="n"/>
    </row>
    <row r="918" ht="22.2" customHeight="1" s="330">
      <c r="A918" s="12" t="n"/>
      <c r="B918" s="309" t="inlineStr">
        <is>
          <t xml:space="preserve">          (นางศิวรักษ์   บุญประเสริฐ)</t>
        </is>
      </c>
      <c r="I918" s="310" t="n"/>
      <c r="J918" s="29" t="n"/>
      <c r="K918" s="29" t="n"/>
      <c r="L918" s="309" t="inlineStr">
        <is>
          <t>(นายปรีชา  โพธิ์เกิด)</t>
        </is>
      </c>
      <c r="R918" s="29" t="n"/>
      <c r="S918" s="13" t="n"/>
    </row>
    <row r="919" ht="22.2" customHeight="1" s="330">
      <c r="A919" s="62" t="inlineStr">
        <is>
          <t>ตำแหน่งครู  หัวหน้างานพัฒนาหลักสูตร ฯ</t>
        </is>
      </c>
      <c r="I919" s="331" t="n"/>
      <c r="J919" s="62" t="inlineStr">
        <is>
          <t>ตำแหน่ง  รองผู้อำนวยการฝ่ายวิชาการ</t>
        </is>
      </c>
      <c r="S919" s="331" t="n"/>
    </row>
    <row r="920" ht="22.2" customHeight="1" s="330">
      <c r="A920" s="63">
        <f>A41</f>
        <v/>
      </c>
      <c r="B920" s="471" t="n"/>
      <c r="C920" s="471" t="n"/>
      <c r="D920" s="471" t="n"/>
      <c r="E920" s="471" t="n"/>
      <c r="F920" s="471" t="n"/>
      <c r="G920" s="471" t="n"/>
      <c r="H920" s="471" t="n"/>
      <c r="I920" s="476" t="n"/>
      <c r="J920" s="63">
        <f>A41</f>
        <v/>
      </c>
      <c r="K920" s="471" t="n"/>
      <c r="L920" s="471" t="n"/>
      <c r="M920" s="471" t="n"/>
      <c r="N920" s="471" t="n"/>
      <c r="O920" s="471" t="n"/>
      <c r="P920" s="471" t="n"/>
      <c r="Q920" s="471" t="n"/>
      <c r="R920" s="471" t="n"/>
      <c r="S920" s="476" t="n"/>
    </row>
    <row r="921" ht="22.2" customHeight="1" s="330">
      <c r="A92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22" ht="22.2" customHeight="1" s="330">
      <c r="A922" s="254">
        <f>A2</f>
        <v/>
      </c>
    </row>
    <row r="923" ht="22.2" customHeight="1" s="330">
      <c r="A923" s="253" t="inlineStr">
        <is>
          <t xml:space="preserve">    ระหว่างวันที่</t>
        </is>
      </c>
      <c r="D923" s="254">
        <f>D3</f>
        <v/>
      </c>
      <c r="E923" s="254" t="inlineStr">
        <is>
          <t xml:space="preserve">   เดือน  </t>
        </is>
      </c>
      <c r="F923" s="254">
        <f>F3</f>
        <v/>
      </c>
      <c r="H923" s="254">
        <f>H3</f>
        <v/>
      </c>
      <c r="I923" s="254" t="inlineStr">
        <is>
          <t xml:space="preserve">     ถึง วันที่</t>
        </is>
      </c>
      <c r="J923" s="254">
        <f>J3</f>
        <v/>
      </c>
      <c r="K923" s="254" t="inlineStr">
        <is>
          <t xml:space="preserve">   เดือน </t>
        </is>
      </c>
      <c r="L923" s="254">
        <f>L3</f>
        <v/>
      </c>
      <c r="N923" s="254">
        <f>N3</f>
        <v/>
      </c>
      <c r="P923" s="254" t="n"/>
      <c r="R923" s="254" t="n"/>
    </row>
    <row r="924" ht="22.2" customHeight="1" s="330">
      <c r="G924" s="58" t="inlineStr">
        <is>
          <t>ü</t>
        </is>
      </c>
      <c r="H924" s="8" t="inlineStr">
        <is>
          <t>ครูพิเศษ</t>
        </is>
      </c>
      <c r="I924" s="249" t="inlineStr">
        <is>
          <t>หน้าที่พิเศษ</t>
        </is>
      </c>
      <c r="K924" s="290" t="n"/>
    </row>
    <row r="925" ht="22.2" customHeight="1" s="330">
      <c r="A925" s="28" t="inlineStr">
        <is>
          <t>ที่</t>
        </is>
      </c>
      <c r="B925" s="28" t="inlineStr">
        <is>
          <t>ชื่อ-สกุล</t>
        </is>
      </c>
      <c r="C925" s="334" t="n"/>
      <c r="D925" s="335" t="n"/>
      <c r="E925" s="16" t="inlineStr">
        <is>
          <t>ตำแหน่ง</t>
        </is>
      </c>
      <c r="F925" s="17" t="inlineStr">
        <is>
          <t>ระยะเวลาที่สอน</t>
        </is>
      </c>
      <c r="G925" s="362" t="n"/>
      <c r="H925" s="17" t="inlineStr">
        <is>
          <t>รหัสวิชา</t>
        </is>
      </c>
      <c r="I925" s="275" t="inlineStr">
        <is>
          <t>ชั้น,แผนก,ห้อง</t>
        </is>
      </c>
      <c r="J925" s="17" t="inlineStr">
        <is>
          <t>เวลาสอน</t>
        </is>
      </c>
      <c r="K925" s="335" t="n"/>
      <c r="L925" s="17" t="inlineStr">
        <is>
          <t>ปวช.(คาบ)</t>
        </is>
      </c>
      <c r="M925" s="362" t="n"/>
      <c r="N925" s="244" t="inlineStr">
        <is>
          <t>เงิน</t>
        </is>
      </c>
      <c r="O925" s="275" t="inlineStr">
        <is>
          <t>ยอดเงิน</t>
        </is>
      </c>
      <c r="P925" s="473" t="inlineStr">
        <is>
          <t>ปวส.(คาบ)</t>
        </is>
      </c>
      <c r="Q925" s="362" t="n"/>
      <c r="R925" s="244" t="inlineStr">
        <is>
          <t>เงิน</t>
        </is>
      </c>
      <c r="S925" s="275" t="inlineStr">
        <is>
          <t>ยอดเงิน</t>
        </is>
      </c>
    </row>
    <row r="926" ht="22.2" customHeight="1" s="330">
      <c r="A926" s="60" t="n"/>
      <c r="B926" s="9" t="n"/>
      <c r="C926" s="10" t="n"/>
      <c r="D926" s="14" t="n"/>
      <c r="E926" s="11" t="n"/>
      <c r="F926" s="276" t="inlineStr">
        <is>
          <t>ส.</t>
        </is>
      </c>
      <c r="G926" s="276" t="inlineStr">
        <is>
          <t>วดป.</t>
        </is>
      </c>
      <c r="H926" s="474" t="n"/>
      <c r="I926" s="276" t="n"/>
      <c r="J926" s="475" t="n"/>
      <c r="K926" s="476" t="n"/>
      <c r="L926" s="276" t="inlineStr">
        <is>
          <t>ใน</t>
        </is>
      </c>
      <c r="M926" s="276" t="inlineStr">
        <is>
          <t>นอก</t>
        </is>
      </c>
      <c r="N926" s="276" t="inlineStr">
        <is>
          <t>ต่อ ชม.</t>
        </is>
      </c>
      <c r="O926" s="276" t="inlineStr">
        <is>
          <t>(บาท)</t>
        </is>
      </c>
      <c r="P926" s="60" t="inlineStr">
        <is>
          <t>ใน</t>
        </is>
      </c>
      <c r="Q926" s="60" t="inlineStr">
        <is>
          <t>นอก</t>
        </is>
      </c>
      <c r="R926" s="276" t="inlineStr">
        <is>
          <t>ต่อ ชม.</t>
        </is>
      </c>
      <c r="S926" s="276" t="inlineStr">
        <is>
          <t>(บาท)</t>
        </is>
      </c>
    </row>
    <row r="927" ht="22.2" customHeight="1" s="330">
      <c r="A927" s="275" t="n">
        <v>21</v>
      </c>
      <c r="B927" s="477">
        <f>AB23</f>
        <v/>
      </c>
      <c r="C927" s="334" t="n"/>
      <c r="D927" s="335" t="n"/>
      <c r="E927" s="275" t="inlineStr">
        <is>
          <t>ครู</t>
        </is>
      </c>
      <c r="F927" s="6" t="n">
        <v>5</v>
      </c>
      <c r="G927" s="303" t="inlineStr">
        <is>
          <t>จันทร์</t>
        </is>
      </c>
      <c r="H927" s="332" t="inlineStr">
        <is>
          <t>20101-2009</t>
        </is>
      </c>
      <c r="I927" s="325" t="inlineStr">
        <is>
          <t>ปวช.2/7 ชย. (ปกติ)</t>
        </is>
      </c>
      <c r="J927" s="332" t="inlineStr">
        <is>
          <t>08.10-12.10</t>
        </is>
      </c>
      <c r="K927" s="335" t="n"/>
      <c r="L927" s="265" t="n"/>
      <c r="M927" s="332" t="n"/>
      <c r="N927" s="332" t="n"/>
      <c r="O927" s="244">
        <f>M927*N927</f>
        <v/>
      </c>
      <c r="P927" s="332" t="n"/>
      <c r="Q927" s="265" t="n"/>
      <c r="R927" s="332" t="n"/>
      <c r="S927" s="244">
        <f>Q927*R927</f>
        <v/>
      </c>
    </row>
    <row r="928" ht="22.2" customHeight="1" s="330">
      <c r="A928" s="4" t="n"/>
      <c r="B928" s="478" t="n"/>
      <c r="D928" s="331" t="n"/>
      <c r="E928" s="252" t="inlineStr">
        <is>
          <t>พิเศษ</t>
        </is>
      </c>
      <c r="F928" s="249" t="n"/>
      <c r="G928" s="308">
        <f>G882</f>
        <v/>
      </c>
      <c r="H928" s="325" t="n"/>
      <c r="I928" s="325" t="n"/>
      <c r="J928" s="252" t="n"/>
      <c r="K928" s="331" t="n"/>
      <c r="L928" s="252" t="n"/>
      <c r="M928" s="252" t="n"/>
      <c r="N928" s="252" t="n"/>
      <c r="O928" s="244">
        <f>M928*N928</f>
        <v/>
      </c>
      <c r="P928" s="252" t="n"/>
      <c r="Q928" s="252" t="n"/>
      <c r="R928" s="252" t="n"/>
      <c r="S928" s="244">
        <f>Q928*R928</f>
        <v/>
      </c>
    </row>
    <row r="929" ht="22.2" customHeight="1" s="330">
      <c r="A929" s="4" t="n"/>
      <c r="B929" s="5" t="n"/>
      <c r="D929" s="3" t="n"/>
      <c r="E929" s="3" t="n"/>
      <c r="F929" s="249" t="n"/>
      <c r="G929" s="248" t="n"/>
      <c r="H929" s="252" t="n"/>
      <c r="I929" s="252" t="n"/>
      <c r="J929" s="252" t="n"/>
      <c r="K929" s="331" t="n"/>
      <c r="L929" s="252" t="n"/>
      <c r="M929" s="252" t="n"/>
      <c r="N929" s="252" t="n"/>
      <c r="O929" s="244">
        <f>M929*N929</f>
        <v/>
      </c>
      <c r="P929" s="252" t="n"/>
      <c r="Q929" s="252" t="n"/>
      <c r="R929" s="252" t="n"/>
      <c r="S929" s="244">
        <f>Q929*R929</f>
        <v/>
      </c>
    </row>
    <row r="930" ht="22.2" customHeight="1" s="330">
      <c r="A930" s="4" t="n"/>
      <c r="B930" s="5" t="n"/>
      <c r="E930" s="4" t="n"/>
      <c r="F930" s="249" t="n"/>
      <c r="G930" s="248" t="n"/>
      <c r="H930" s="252" t="n"/>
      <c r="I930" s="252" t="n"/>
      <c r="J930" s="252" t="n"/>
      <c r="K930" s="331" t="n"/>
      <c r="L930" s="252" t="n"/>
      <c r="M930" s="252" t="n"/>
      <c r="N930" s="252" t="n"/>
      <c r="O930" s="244">
        <f>M930*N930</f>
        <v/>
      </c>
      <c r="P930" s="252" t="n"/>
      <c r="Q930" s="252" t="n"/>
      <c r="R930" s="252" t="n"/>
      <c r="S930" s="244">
        <f>Q930*R930</f>
        <v/>
      </c>
    </row>
    <row r="931" ht="22.2" customHeight="1" s="330">
      <c r="A931" s="4" t="n"/>
      <c r="E931" s="4" t="n"/>
      <c r="G931" s="311" t="n"/>
      <c r="H931" s="276" t="n"/>
      <c r="I931" s="276" t="n"/>
      <c r="J931" s="276" t="n"/>
      <c r="K931" s="476" t="n"/>
      <c r="L931" s="252" t="n"/>
      <c r="M931" s="252" t="n"/>
      <c r="N931" s="252" t="n"/>
      <c r="O931" s="244">
        <f>M931*N931</f>
        <v/>
      </c>
      <c r="P931" s="252" t="n"/>
      <c r="Q931" s="252" t="n"/>
      <c r="R931" s="252" t="n"/>
      <c r="S931" s="244">
        <f>Q931*R931</f>
        <v/>
      </c>
    </row>
    <row r="932" ht="22.2" customHeight="1" s="330">
      <c r="A932" s="4" t="n"/>
      <c r="E932" s="4" t="n"/>
      <c r="G932" s="62" t="inlineStr">
        <is>
          <t>อังคาร</t>
        </is>
      </c>
      <c r="H932" s="332" t="inlineStr">
        <is>
          <t>20101-2009</t>
        </is>
      </c>
      <c r="I932" s="325" t="inlineStr">
        <is>
          <t>ปวช.2/8 ชย. (ปกติ)</t>
        </is>
      </c>
      <c r="J932" s="332" t="inlineStr">
        <is>
          <t>08.10-12.10</t>
        </is>
      </c>
      <c r="K932" s="335" t="n"/>
      <c r="L932" s="265" t="n"/>
      <c r="M932" s="332" t="n"/>
      <c r="N932" s="332" t="n"/>
      <c r="O932" s="244">
        <f>M932*N932</f>
        <v/>
      </c>
      <c r="P932" s="332" t="n"/>
      <c r="Q932" s="265" t="n"/>
      <c r="R932" s="332" t="n"/>
      <c r="S932" s="244">
        <f>Q932*R932</f>
        <v/>
      </c>
    </row>
    <row r="933" ht="22.2" customHeight="1" s="330">
      <c r="A933" s="4" t="n"/>
      <c r="E933" s="4" t="n"/>
      <c r="G933" s="308">
        <f>G887</f>
        <v/>
      </c>
      <c r="H933" s="325" t="inlineStr">
        <is>
          <t>20101-2110</t>
        </is>
      </c>
      <c r="I933" s="325" t="inlineStr">
        <is>
          <t>ปวช.3/3 ชย. (ปกติ)</t>
        </is>
      </c>
      <c r="J933" s="252" t="inlineStr">
        <is>
          <t>13.10-17.10</t>
        </is>
      </c>
      <c r="K933" s="331" t="n"/>
      <c r="L933" s="252" t="n"/>
      <c r="M933" s="252" t="n"/>
      <c r="N933" s="252" t="n"/>
      <c r="O933" s="244">
        <f>M933*N933</f>
        <v/>
      </c>
      <c r="P933" s="252" t="n"/>
      <c r="Q933" s="252" t="n"/>
      <c r="R933" s="252" t="n"/>
      <c r="S933" s="244">
        <f>Q933*R933</f>
        <v/>
      </c>
    </row>
    <row r="934" ht="22.2" customHeight="1" s="330">
      <c r="A934" s="4" t="n"/>
      <c r="B934" s="5" t="n"/>
      <c r="D934" s="3" t="n"/>
      <c r="E934" s="3" t="n"/>
      <c r="G934" s="252" t="n"/>
      <c r="H934" s="248" t="n"/>
      <c r="I934" s="252" t="n"/>
      <c r="J934" s="252" t="n"/>
      <c r="K934" s="331" t="n"/>
      <c r="L934" s="252" t="n"/>
      <c r="M934" s="252" t="n"/>
      <c r="N934" s="252" t="n"/>
      <c r="O934" s="244">
        <f>M934*N934</f>
        <v/>
      </c>
      <c r="P934" s="252" t="n"/>
      <c r="Q934" s="252" t="n"/>
      <c r="R934" s="252" t="n"/>
      <c r="S934" s="244">
        <f>Q934*R934</f>
        <v/>
      </c>
    </row>
    <row r="935" ht="22.2" customHeight="1" s="330">
      <c r="A935" s="4" t="n"/>
      <c r="E935" s="4" t="n"/>
      <c r="G935" s="62" t="n"/>
      <c r="H935" s="249" t="n"/>
      <c r="I935" s="252" t="n"/>
      <c r="J935" s="252" t="n"/>
      <c r="K935" s="331" t="n"/>
      <c r="L935" s="252" t="n"/>
      <c r="M935" s="252" t="n"/>
      <c r="N935" s="252" t="n"/>
      <c r="O935" s="244">
        <f>M935*N935</f>
        <v/>
      </c>
      <c r="P935" s="252" t="n"/>
      <c r="Q935" s="252" t="n"/>
      <c r="R935" s="252" t="n"/>
      <c r="S935" s="244">
        <f>Q935*R935</f>
        <v/>
      </c>
    </row>
    <row r="936" ht="22.2" customHeight="1" s="330">
      <c r="A936" s="4" t="n"/>
      <c r="D936" s="8" t="inlineStr">
        <is>
          <t> </t>
        </is>
      </c>
      <c r="E936" s="4" t="n"/>
      <c r="G936" s="63" t="n"/>
      <c r="H936" s="276" t="n"/>
      <c r="I936" s="276" t="n"/>
      <c r="J936" s="276" t="n"/>
      <c r="K936" s="476" t="n"/>
      <c r="L936" s="252" t="n"/>
      <c r="M936" s="252" t="n"/>
      <c r="N936" s="252" t="n"/>
      <c r="O936" s="244">
        <f>M936*N936</f>
        <v/>
      </c>
      <c r="P936" s="252" t="n"/>
      <c r="Q936" s="252" t="n"/>
      <c r="R936" s="252" t="n"/>
      <c r="S936" s="244">
        <f>Q936*R936</f>
        <v/>
      </c>
    </row>
    <row r="937" ht="22.2" customHeight="1" s="330">
      <c r="A937" s="4" t="n"/>
      <c r="E937" s="4" t="n"/>
      <c r="G937" s="308" t="inlineStr">
        <is>
          <t>พุธ</t>
        </is>
      </c>
      <c r="H937" s="325" t="inlineStr">
        <is>
          <t>20101-5101</t>
        </is>
      </c>
      <c r="I937" s="325" t="inlineStr">
        <is>
          <t>ปวช.2/9 ชย. (ทวิ)</t>
        </is>
      </c>
      <c r="J937" s="332" t="inlineStr">
        <is>
          <t>08.10-12.10</t>
        </is>
      </c>
      <c r="K937" s="335" t="n"/>
      <c r="L937" s="265" t="n"/>
      <c r="M937" s="332" t="n"/>
      <c r="N937" s="332" t="n"/>
      <c r="O937" s="244">
        <f>M937*N937</f>
        <v/>
      </c>
      <c r="P937" s="332" t="n"/>
      <c r="Q937" s="265" t="n"/>
      <c r="R937" s="332" t="n"/>
      <c r="S937" s="244">
        <f>Q937*R937</f>
        <v/>
      </c>
    </row>
    <row r="938" ht="22.2" customHeight="1" s="330">
      <c r="A938" s="4" t="n"/>
      <c r="B938" s="248" t="n"/>
      <c r="C938" s="249" t="n"/>
      <c r="D938" s="249" t="n"/>
      <c r="E938" s="252" t="n"/>
      <c r="G938" s="308">
        <f>G892</f>
        <v/>
      </c>
      <c r="H938" s="325" t="inlineStr">
        <is>
          <t>20101-5101</t>
        </is>
      </c>
      <c r="I938" s="325" t="inlineStr">
        <is>
          <t>ปวช.2/9 ชย. (ทวิ)</t>
        </is>
      </c>
      <c r="J938" s="325" t="inlineStr">
        <is>
          <t>13.10-16.10</t>
        </is>
      </c>
      <c r="K938" s="331" t="n"/>
      <c r="L938" s="252" t="n"/>
      <c r="M938" s="252" t="n"/>
      <c r="N938" s="252" t="n"/>
      <c r="O938" s="244">
        <f>M938*N938</f>
        <v/>
      </c>
      <c r="P938" s="252" t="n"/>
      <c r="Q938" s="252" t="n"/>
      <c r="R938" s="252" t="n"/>
      <c r="S938" s="244">
        <f>Q938*R938</f>
        <v/>
      </c>
    </row>
    <row r="939" ht="22.2" customHeight="1" s="330">
      <c r="A939" s="4" t="n"/>
      <c r="B939" s="5" t="n"/>
      <c r="D939" s="3" t="n"/>
      <c r="E939" s="3" t="n"/>
      <c r="G939" s="252" t="n"/>
      <c r="H939" s="325" t="n"/>
      <c r="I939" s="325" t="n"/>
      <c r="J939" s="252" t="n"/>
      <c r="K939" s="331" t="n"/>
      <c r="L939" s="252" t="n"/>
      <c r="M939" s="252" t="n"/>
      <c r="N939" s="252" t="n"/>
      <c r="O939" s="244">
        <f>M939*N939</f>
        <v/>
      </c>
      <c r="P939" s="252" t="n"/>
      <c r="Q939" s="252" t="n"/>
      <c r="R939" s="252" t="n"/>
      <c r="S939" s="244">
        <f>Q939*R939</f>
        <v/>
      </c>
    </row>
    <row r="940" ht="22.2" customHeight="1" s="330">
      <c r="A940" s="4" t="n"/>
      <c r="E940" s="4" t="n"/>
      <c r="G940" s="248" t="n"/>
      <c r="H940" s="325" t="n"/>
      <c r="I940" s="325" t="n"/>
      <c r="J940" s="252" t="n"/>
      <c r="K940" s="331" t="n"/>
      <c r="L940" s="252" t="n"/>
      <c r="M940" s="252" t="n"/>
      <c r="N940" s="252" t="n"/>
      <c r="O940" s="244">
        <f>M940*N940</f>
        <v/>
      </c>
      <c r="P940" s="252" t="n"/>
      <c r="Q940" s="252" t="n"/>
      <c r="R940" s="252" t="n"/>
      <c r="S940" s="244">
        <f>Q940*R940</f>
        <v/>
      </c>
    </row>
    <row r="941" ht="22.2" customHeight="1" s="330">
      <c r="A941" s="4" t="n"/>
      <c r="E941" s="4" t="n"/>
      <c r="G941" s="277" t="n"/>
      <c r="H941" s="277" t="n"/>
      <c r="I941" s="276" t="n"/>
      <c r="J941" s="276" t="n"/>
      <c r="K941" s="476" t="n"/>
      <c r="L941" s="276" t="n"/>
      <c r="M941" s="276" t="n"/>
      <c r="N941" s="276" t="n"/>
      <c r="O941" s="244">
        <f>M941*N941</f>
        <v/>
      </c>
      <c r="P941" s="276" t="n"/>
      <c r="Q941" s="276" t="n"/>
      <c r="R941" s="276" t="n"/>
      <c r="S941" s="244">
        <f>Q941*R941</f>
        <v/>
      </c>
    </row>
    <row r="942" ht="22.2" customHeight="1" s="330">
      <c r="A942" s="4" t="n"/>
      <c r="E942" s="4" t="n"/>
      <c r="G942" s="62" t="inlineStr">
        <is>
          <t>พฤหัส</t>
        </is>
      </c>
      <c r="H942" s="332" t="inlineStr">
        <is>
          <t>20101-2009</t>
        </is>
      </c>
      <c r="I942" s="325" t="inlineStr">
        <is>
          <t>ปวช.2/5 ชย. (ปกติ)</t>
        </is>
      </c>
      <c r="J942" s="252" t="inlineStr">
        <is>
          <t>08.10-12.10</t>
        </is>
      </c>
      <c r="K942" s="331" t="n"/>
      <c r="L942" s="265" t="n"/>
      <c r="M942" s="252" t="n"/>
      <c r="N942" s="252" t="n"/>
      <c r="O942" s="244">
        <f>M942*N942</f>
        <v/>
      </c>
      <c r="P942" s="252" t="n"/>
      <c r="Q942" s="275" t="n"/>
      <c r="R942" s="275" t="n"/>
      <c r="S942" s="244">
        <f>Q942*R942</f>
        <v/>
      </c>
    </row>
    <row r="943" ht="22.2" customHeight="1" s="330">
      <c r="A943" s="4" t="n"/>
      <c r="E943" s="4" t="n"/>
      <c r="G943" s="308">
        <f>G897</f>
        <v/>
      </c>
      <c r="H943" s="252" t="inlineStr">
        <is>
          <t>20000-2002</t>
        </is>
      </c>
      <c r="I943" s="325" t="inlineStr">
        <is>
          <t>ปวช.1/5,6 ชย. (ปกติ)</t>
        </is>
      </c>
      <c r="J943" s="325" t="inlineStr">
        <is>
          <t>13.10-15.10</t>
        </is>
      </c>
      <c r="K943" s="331" t="n"/>
      <c r="L943" s="252" t="n"/>
      <c r="M943" s="252" t="n"/>
      <c r="N943" s="252" t="n"/>
      <c r="O943" s="244">
        <f>M943*N943</f>
        <v/>
      </c>
      <c r="P943" s="252" t="n"/>
      <c r="Q943" s="252" t="n"/>
      <c r="R943" s="252" t="n"/>
      <c r="S943" s="244">
        <f>Q943*R943</f>
        <v/>
      </c>
    </row>
    <row r="944" ht="22.2" customHeight="1" s="330">
      <c r="A944" s="4" t="n"/>
      <c r="B944" s="5" t="n"/>
      <c r="E944" s="4" t="n"/>
      <c r="G944" s="252" t="n"/>
      <c r="H944" s="325" t="inlineStr">
        <is>
          <t>20101-2009</t>
        </is>
      </c>
      <c r="I944" s="325" t="inlineStr">
        <is>
          <t>ปวช.1/9 ชย. (ทวิ)</t>
        </is>
      </c>
      <c r="J944" s="252" t="inlineStr">
        <is>
          <t>15.10-19.10</t>
        </is>
      </c>
      <c r="K944" s="331" t="n"/>
      <c r="L944" s="252" t="n"/>
      <c r="M944" s="325" t="n"/>
      <c r="N944" s="325" t="n"/>
      <c r="O944" s="244">
        <f>M944*N944</f>
        <v/>
      </c>
      <c r="P944" s="325" t="n"/>
      <c r="Q944" s="325" t="n"/>
      <c r="R944" s="325" t="n"/>
      <c r="S944" s="244">
        <f>Q944*R944</f>
        <v/>
      </c>
    </row>
    <row r="945" ht="22.2" customHeight="1" s="330">
      <c r="A945" s="4" t="n"/>
      <c r="E945" s="4" t="n"/>
      <c r="G945" s="252" t="n"/>
      <c r="H945" s="252" t="n"/>
      <c r="I945" s="325" t="n"/>
      <c r="J945" s="252" t="n"/>
      <c r="K945" s="331" t="n"/>
      <c r="L945" s="252" t="n"/>
      <c r="M945" s="252" t="n"/>
      <c r="N945" s="252" t="n"/>
      <c r="O945" s="244">
        <f>M945*N945</f>
        <v/>
      </c>
      <c r="P945" s="252" t="n"/>
      <c r="Q945" s="252" t="n"/>
      <c r="R945" s="252" t="n"/>
      <c r="S945" s="244">
        <f>Q945*R945</f>
        <v/>
      </c>
    </row>
    <row r="946" ht="22.2" customHeight="1" s="330">
      <c r="A946" s="4" t="n"/>
      <c r="E946" s="4" t="n"/>
      <c r="G946" s="276" t="n"/>
      <c r="H946" s="301" t="n"/>
      <c r="I946" s="276" t="n"/>
      <c r="J946" s="276" t="n"/>
      <c r="K946" s="476" t="n"/>
      <c r="L946" s="276" t="n"/>
      <c r="M946" s="276" t="n"/>
      <c r="N946" s="276" t="n"/>
      <c r="O946" s="244">
        <f>M946*N946</f>
        <v/>
      </c>
      <c r="P946" s="276" t="n"/>
      <c r="Q946" s="276" t="n"/>
      <c r="R946" s="276" t="n"/>
      <c r="S946" s="244">
        <f>Q946*R946</f>
        <v/>
      </c>
    </row>
    <row r="947" ht="22.2" customHeight="1" s="330">
      <c r="A947" s="4" t="n"/>
      <c r="E947" s="4" t="n"/>
      <c r="G947" s="62" t="inlineStr">
        <is>
          <t>ศุกร์</t>
        </is>
      </c>
      <c r="H947" s="332" t="inlineStr">
        <is>
          <t>20101-2009</t>
        </is>
      </c>
      <c r="I947" s="325" t="inlineStr">
        <is>
          <t>ปวช.2/6 ชย. (ปกติ)</t>
        </is>
      </c>
      <c r="J947" s="332" t="inlineStr">
        <is>
          <t>08.10-12.10</t>
        </is>
      </c>
      <c r="K947" s="335" t="n"/>
      <c r="L947" s="265" t="n"/>
      <c r="M947" s="332" t="n"/>
      <c r="N947" s="332" t="n"/>
      <c r="O947" s="244">
        <f>M947*N947</f>
        <v/>
      </c>
      <c r="P947" s="332" t="n"/>
      <c r="Q947" s="265" t="n"/>
      <c r="R947" s="332" t="n"/>
      <c r="S947" s="244">
        <f>Q947*R947</f>
        <v/>
      </c>
      <c r="T947" s="25" t="n"/>
      <c r="U947" s="26" t="inlineStr">
        <is>
          <t xml:space="preserve">     PLC</t>
        </is>
      </c>
      <c r="V947" s="64" t="n"/>
      <c r="W947" s="27" t="n"/>
      <c r="X947" s="27" t="n"/>
    </row>
    <row r="948" ht="22.2" customHeight="1" s="330">
      <c r="A948" s="4" t="n"/>
      <c r="E948" s="4" t="n"/>
      <c r="G948" s="308">
        <f>G902</f>
        <v/>
      </c>
      <c r="H948" s="325" t="n"/>
      <c r="I948" s="325" t="n"/>
      <c r="J948" s="252" t="n"/>
      <c r="K948" s="331" t="n"/>
      <c r="L948" s="252" t="n"/>
      <c r="M948" s="252" t="n"/>
      <c r="N948" s="252" t="n"/>
      <c r="O948" s="244">
        <f>M948*N948</f>
        <v/>
      </c>
      <c r="P948" s="252" t="n"/>
      <c r="Q948" s="252" t="n"/>
      <c r="R948" s="252" t="n"/>
      <c r="S948" s="244">
        <f>Q948*R948</f>
        <v/>
      </c>
      <c r="T948" s="27" t="inlineStr">
        <is>
          <t> </t>
        </is>
      </c>
      <c r="U948" s="26" t="inlineStr">
        <is>
          <t>17.10-19.10</t>
        </is>
      </c>
      <c r="V948" s="64" t="n"/>
      <c r="W948" s="27" t="n"/>
      <c r="X948" s="27" t="n"/>
    </row>
    <row r="949" ht="22.2" customHeight="1" s="330">
      <c r="A949" s="4" t="n"/>
      <c r="E949" s="4" t="n"/>
      <c r="G949" s="252" t="n"/>
      <c r="H949" s="248" t="n"/>
      <c r="I949" s="252" t="n"/>
      <c r="J949" s="252" t="n"/>
      <c r="K949" s="331" t="n"/>
      <c r="L949" s="252" t="n"/>
      <c r="M949" s="252" t="n"/>
      <c r="N949" s="252" t="n"/>
      <c r="O949" s="244">
        <f>M949*N949</f>
        <v/>
      </c>
      <c r="P949" s="252" t="n"/>
      <c r="Q949" s="252" t="n"/>
      <c r="R949" s="252" t="n"/>
      <c r="S949" s="244">
        <f>Q949*R949</f>
        <v/>
      </c>
    </row>
    <row r="950" ht="22.2" customHeight="1" s="330">
      <c r="A950" s="4" t="n"/>
      <c r="E950" s="4" t="n"/>
      <c r="G950" s="252" t="n"/>
      <c r="H950" s="249" t="inlineStr">
        <is>
          <t> </t>
        </is>
      </c>
      <c r="I950" s="252" t="n"/>
      <c r="J950" s="252" t="n"/>
      <c r="K950" s="331" t="n"/>
      <c r="L950" s="252" t="n"/>
      <c r="M950" s="252" t="n"/>
      <c r="N950" s="252" t="n"/>
      <c r="O950" s="244">
        <f>M950*N950</f>
        <v/>
      </c>
      <c r="P950" s="252" t="n"/>
      <c r="Q950" s="252" t="n"/>
      <c r="R950" s="252" t="n"/>
      <c r="S950" s="244">
        <f>Q950*R950</f>
        <v/>
      </c>
    </row>
    <row r="951" ht="22.2" customHeight="1" s="330">
      <c r="A951" s="4" t="n"/>
      <c r="E951" s="4" t="n"/>
      <c r="F951" s="4" t="n"/>
      <c r="G951" s="278" t="n"/>
      <c r="H951" s="301" t="n"/>
      <c r="I951" s="276" t="n"/>
      <c r="J951" s="276" t="n"/>
      <c r="K951" s="476" t="n"/>
      <c r="L951" s="276" t="n"/>
      <c r="M951" s="276" t="n"/>
      <c r="N951" s="276" t="n"/>
      <c r="O951" s="244">
        <f>M951*N951</f>
        <v/>
      </c>
      <c r="P951" s="276" t="n"/>
      <c r="Q951" s="276" t="n"/>
      <c r="R951" s="276" t="n"/>
      <c r="S951" s="244">
        <f>Q951*R951</f>
        <v/>
      </c>
    </row>
    <row r="952" ht="22.2" customHeight="1" s="330">
      <c r="A952" s="4" t="n"/>
      <c r="E952" s="4" t="n"/>
      <c r="F952" s="4" t="n"/>
      <c r="G952" s="17" t="inlineStr">
        <is>
          <t>รวมขั่วโมงที่สอนแยก ภาระงาน/ เกินภาระงาน</t>
        </is>
      </c>
      <c r="H952" s="467" t="n"/>
      <c r="I952" s="467" t="n"/>
      <c r="J952" s="467" t="n"/>
      <c r="K952" s="362" t="n"/>
      <c r="L952" s="17">
        <f>SUM(L927:L951)</f>
        <v/>
      </c>
      <c r="M952" s="17">
        <f>SUM(M927:M951)</f>
        <v/>
      </c>
      <c r="N952" s="17" t="n"/>
      <c r="O952" s="17" t="n"/>
      <c r="P952" s="17">
        <f>SUM(P927:P951)</f>
        <v/>
      </c>
      <c r="Q952" s="17">
        <f>SUM(Q927:Q951)</f>
        <v/>
      </c>
      <c r="R952" s="279" t="n"/>
      <c r="S952" s="17" t="n"/>
    </row>
    <row r="953" ht="22.2" customHeight="1" s="330">
      <c r="A953" s="4" t="n"/>
      <c r="E953" s="4" t="n"/>
      <c r="F953" s="4" t="n"/>
      <c r="G953" s="17" t="inlineStr">
        <is>
          <t>รวมจำนวนชั่วโมงสอนคาบต่อสับดาห์</t>
        </is>
      </c>
      <c r="H953" s="467" t="n"/>
      <c r="I953" s="467" t="n"/>
      <c r="J953" s="467" t="n"/>
      <c r="K953" s="362" t="n"/>
      <c r="L953" s="17">
        <f>L952+M952</f>
        <v/>
      </c>
      <c r="M953" s="362" t="n"/>
      <c r="N953" s="17" t="n"/>
      <c r="O953" s="298" t="n"/>
      <c r="P953" s="17">
        <f>P952+Q952</f>
        <v/>
      </c>
      <c r="Q953" s="362" t="n"/>
      <c r="R953" s="278" t="n"/>
      <c r="S953" s="276" t="n"/>
    </row>
    <row r="954" ht="22.2" customHeight="1" s="330">
      <c r="A954" s="4" t="n"/>
      <c r="E954" s="4" t="n"/>
      <c r="F954" s="4" t="n"/>
      <c r="G954" s="17" t="inlineStr">
        <is>
          <t>จำนวนชั่วโมงสอนตามภาระงานสอน</t>
        </is>
      </c>
      <c r="H954" s="467" t="n"/>
      <c r="I954" s="467" t="n"/>
      <c r="J954" s="467" t="n"/>
      <c r="K954" s="362" t="n"/>
      <c r="L954" s="17" t="n">
        <v>18</v>
      </c>
      <c r="M954" s="362" t="n"/>
      <c r="N954" s="17" t="n"/>
      <c r="O954" s="298" t="n"/>
      <c r="P954" s="17" t="n">
        <v>0</v>
      </c>
      <c r="Q954" s="362" t="n"/>
      <c r="R954" s="249" t="n"/>
      <c r="S954" s="252" t="n"/>
    </row>
    <row r="955" ht="22.2" customHeight="1" s="330" thickBot="1">
      <c r="A955" s="4" t="n"/>
      <c r="E955" s="4" t="n"/>
      <c r="F955" s="15" t="n"/>
      <c r="G955" s="17" t="inlineStr">
        <is>
          <t>จำนวนชั่วโมงบิกเกินภาระงานสอน/ค่าสอน</t>
        </is>
      </c>
      <c r="H955" s="467" t="n"/>
      <c r="I955" s="467" t="n"/>
      <c r="J955" s="467" t="n"/>
      <c r="K955" s="362" t="n"/>
      <c r="L955" s="18" t="n">
        <v>0</v>
      </c>
      <c r="M955" s="18">
        <f>SUM(M927:M951)</f>
        <v/>
      </c>
      <c r="N955" s="18" t="n"/>
      <c r="O955" s="18">
        <f>SUM(O927:O951)</f>
        <v/>
      </c>
      <c r="P955" s="18" t="n">
        <v>0</v>
      </c>
      <c r="Q955" s="18">
        <f>SUM(Q927:Q951)</f>
        <v/>
      </c>
      <c r="R955" s="19" t="n"/>
      <c r="S955" s="18">
        <f>SUM(S927:S951)</f>
        <v/>
      </c>
    </row>
    <row r="956" ht="22.2" customHeight="1" s="330" thickTop="1">
      <c r="A956" s="299" t="inlineStr">
        <is>
          <t>รวมจำนวนหน่วยชั่วโมงที่ขอเบิกค่าสอน ….</t>
        </is>
      </c>
      <c r="B956" s="467" t="n"/>
      <c r="C956" s="467" t="n"/>
      <c r="D956" s="467" t="n"/>
      <c r="E956" s="467" t="n"/>
      <c r="F956" s="467" t="n"/>
      <c r="G956" s="467" t="n"/>
      <c r="H956" s="298">
        <f>M955+Q955</f>
        <v/>
      </c>
      <c r="I956" s="298" t="inlineStr">
        <is>
          <t>….ชั่วโมง</t>
        </is>
      </c>
      <c r="J956" s="298" t="n"/>
      <c r="K956" s="301" t="inlineStr">
        <is>
          <t>ยอดเงินรวม</t>
        </is>
      </c>
      <c r="L956" s="471" t="n"/>
      <c r="M956" s="471" t="n"/>
      <c r="N956" s="301" t="n"/>
      <c r="O956" s="301" t="n"/>
      <c r="P956" s="302">
        <f>S955+O955</f>
        <v/>
      </c>
      <c r="Q956" s="482" t="n"/>
      <c r="R956" s="21" t="n"/>
      <c r="S956" s="20" t="inlineStr">
        <is>
          <t>..บาท</t>
        </is>
      </c>
    </row>
    <row r="957" ht="22.2" customHeight="1" s="330">
      <c r="A957" s="207" t="inlineStr">
        <is>
          <t>ผู้ขอเบิก</t>
        </is>
      </c>
      <c r="B957" s="334" t="n"/>
      <c r="C957" s="334" t="n"/>
      <c r="D957" s="334" t="n"/>
      <c r="E957" s="334" t="n"/>
      <c r="F957" s="334" t="n"/>
      <c r="G957" s="335" t="n"/>
      <c r="H957" s="207" t="inlineStr">
        <is>
          <t>ผู้รับรอง</t>
        </is>
      </c>
      <c r="I957" s="334" t="n"/>
      <c r="J957" s="334" t="n"/>
      <c r="K957" s="334" t="n"/>
      <c r="L957" s="335" t="n"/>
      <c r="M957" s="207" t="inlineStr">
        <is>
          <t>ผู้ตรวจ</t>
        </is>
      </c>
      <c r="N957" s="334" t="n"/>
      <c r="O957" s="334" t="n"/>
      <c r="P957" s="334" t="n"/>
      <c r="Q957" s="334" t="n"/>
      <c r="R957" s="334" t="n"/>
      <c r="S957" s="335" t="n"/>
    </row>
    <row r="958" ht="22.2" customHeight="1" s="330">
      <c r="A958" s="252" t="inlineStr">
        <is>
          <t>ลงชื่อ……………………………………………</t>
        </is>
      </c>
      <c r="G958" s="331" t="n"/>
      <c r="H958" s="252" t="inlineStr">
        <is>
          <t>ลงชื่อ……………………………………………</t>
        </is>
      </c>
      <c r="L958" s="331" t="n"/>
      <c r="M958" s="252" t="inlineStr">
        <is>
          <t>ลงชื่อ……………………………………………</t>
        </is>
      </c>
      <c r="S958" s="331" t="n"/>
    </row>
    <row r="959" ht="22.2" customHeight="1" s="330">
      <c r="A959" s="12" t="inlineStr">
        <is>
          <t>(</t>
        </is>
      </c>
      <c r="B959" s="309">
        <f>B927</f>
        <v/>
      </c>
      <c r="G959" s="310" t="inlineStr">
        <is>
          <t>)</t>
        </is>
      </c>
      <c r="H959" s="309" t="inlineStr">
        <is>
          <t>(</t>
        </is>
      </c>
      <c r="I959" s="314">
        <f>I913</f>
        <v/>
      </c>
      <c r="L959" s="13" t="inlineStr">
        <is>
          <t>)</t>
        </is>
      </c>
      <c r="M959" s="61" t="inlineStr">
        <is>
          <t>(</t>
        </is>
      </c>
      <c r="N959" s="61" t="n"/>
      <c r="O959" s="309" t="inlineStr">
        <is>
          <t>นายพิสุทธิศักดิ์  กล่อมนาค</t>
        </is>
      </c>
      <c r="R959" s="29" t="n"/>
      <c r="S959" s="310" t="inlineStr">
        <is>
          <t>)</t>
        </is>
      </c>
    </row>
    <row r="960" ht="22.2" customHeight="1" s="330">
      <c r="A960" s="483" t="inlineStr">
        <is>
          <t xml:space="preserve">                 ตำแหน่ง  ครูพิเศษ</t>
        </is>
      </c>
      <c r="G960" s="331" t="n"/>
      <c r="H960" s="62" t="inlineStr">
        <is>
          <t>ตำแหน่ง หัวหน้าแผนก</t>
        </is>
      </c>
      <c r="L960" s="331" t="n"/>
      <c r="M960" s="62" t="inlineStr">
        <is>
          <t>ตำแหน่ง   ผู้ตรวจสอบ</t>
        </is>
      </c>
      <c r="S960" s="331" t="n"/>
    </row>
    <row r="961" ht="22.2" customHeight="1" s="330">
      <c r="A961" s="63">
        <f>A41</f>
        <v/>
      </c>
      <c r="B961" s="471" t="n"/>
      <c r="C961" s="471" t="n"/>
      <c r="D961" s="471" t="n"/>
      <c r="E961" s="471" t="n"/>
      <c r="F961" s="471" t="n"/>
      <c r="G961" s="476" t="n"/>
      <c r="H961" s="62">
        <f>A41</f>
        <v/>
      </c>
      <c r="L961" s="331" t="n"/>
      <c r="M961" s="63">
        <f>A41</f>
        <v/>
      </c>
      <c r="N961" s="471" t="n"/>
      <c r="O961" s="471" t="n"/>
      <c r="P961" s="471" t="n"/>
      <c r="Q961" s="471" t="n"/>
      <c r="R961" s="471" t="n"/>
      <c r="S961" s="476" t="n"/>
    </row>
    <row r="962" ht="22.2" customHeight="1" s="330">
      <c r="A962" s="207" t="inlineStr">
        <is>
          <t>ผู้ตรวจ</t>
        </is>
      </c>
      <c r="B962" s="334" t="n"/>
      <c r="C962" s="334" t="n"/>
      <c r="D962" s="334" t="n"/>
      <c r="E962" s="334" t="n"/>
      <c r="F962" s="334" t="n"/>
      <c r="G962" s="334" t="n"/>
      <c r="H962" s="334" t="n"/>
      <c r="I962" s="335" t="n"/>
      <c r="J962" s="207" t="inlineStr">
        <is>
          <t>ผู้เห็นชอบ</t>
        </is>
      </c>
      <c r="K962" s="334" t="n"/>
      <c r="L962" s="334" t="n"/>
      <c r="M962" s="334" t="n"/>
      <c r="N962" s="334" t="n"/>
      <c r="O962" s="334" t="n"/>
      <c r="P962" s="334" t="n"/>
      <c r="Q962" s="334" t="n"/>
      <c r="R962" s="334" t="n"/>
      <c r="S962" s="335" t="n"/>
    </row>
    <row r="963" ht="22.2" customHeight="1" s="330">
      <c r="A963" s="252" t="inlineStr">
        <is>
          <t>ลงชื่อ……………………………………………</t>
        </is>
      </c>
      <c r="I963" s="331" t="n"/>
      <c r="J963" s="252" t="inlineStr">
        <is>
          <t>ลงชื่อ……………………………………………</t>
        </is>
      </c>
      <c r="S963" s="331" t="n"/>
    </row>
    <row r="964" ht="22.2" customHeight="1" s="330">
      <c r="A964" s="12" t="n"/>
      <c r="B964" s="309" t="inlineStr">
        <is>
          <t xml:space="preserve">          (นางศิวรักษ์   บุญประเสริฐ)</t>
        </is>
      </c>
      <c r="I964" s="310" t="n"/>
      <c r="J964" s="29" t="n"/>
      <c r="K964" s="29" t="n"/>
      <c r="L964" s="309" t="inlineStr">
        <is>
          <t>(นายปรีชา  โพธิ์เกิด)</t>
        </is>
      </c>
      <c r="R964" s="29" t="n"/>
      <c r="S964" s="13" t="n"/>
    </row>
    <row r="965" ht="22.2" customHeight="1" s="330">
      <c r="A965" s="62" t="inlineStr">
        <is>
          <t>ตำแหน่งครู  หัวหน้างานพัฒนาหลักสูตร ฯ</t>
        </is>
      </c>
      <c r="I965" s="331" t="n"/>
      <c r="J965" s="62" t="inlineStr">
        <is>
          <t>ตำแหน่ง  รองผู้อำนวยการฝ่ายวิชาการ</t>
        </is>
      </c>
      <c r="S965" s="331" t="n"/>
    </row>
    <row r="966" ht="22.2" customHeight="1" s="330">
      <c r="A966" s="63">
        <f>A41</f>
        <v/>
      </c>
      <c r="B966" s="471" t="n"/>
      <c r="C966" s="471" t="n"/>
      <c r="D966" s="471" t="n"/>
      <c r="E966" s="471" t="n"/>
      <c r="F966" s="471" t="n"/>
      <c r="G966" s="471" t="n"/>
      <c r="H966" s="471" t="n"/>
      <c r="I966" s="476" t="n"/>
      <c r="J966" s="63">
        <f>A41</f>
        <v/>
      </c>
      <c r="K966" s="471" t="n"/>
      <c r="L966" s="471" t="n"/>
      <c r="M966" s="471" t="n"/>
      <c r="N966" s="471" t="n"/>
      <c r="O966" s="471" t="n"/>
      <c r="P966" s="471" t="n"/>
      <c r="Q966" s="471" t="n"/>
      <c r="R966" s="471" t="n"/>
      <c r="S966" s="476" t="n"/>
    </row>
    <row r="967" ht="22.2" customHeight="1" s="330">
      <c r="A96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968" ht="22.2" customHeight="1" s="330">
      <c r="A968" s="254">
        <f>A2</f>
        <v/>
      </c>
    </row>
    <row r="969" ht="22.2" customHeight="1" s="330">
      <c r="A969" s="253" t="inlineStr">
        <is>
          <t xml:space="preserve">    ระหว่างวันที่</t>
        </is>
      </c>
      <c r="D969" s="254">
        <f>D3</f>
        <v/>
      </c>
      <c r="E969" s="254" t="inlineStr">
        <is>
          <t xml:space="preserve">   เดือน  </t>
        </is>
      </c>
      <c r="F969" s="254">
        <f>F3</f>
        <v/>
      </c>
      <c r="H969" s="254">
        <f>H3</f>
        <v/>
      </c>
      <c r="I969" s="254" t="inlineStr">
        <is>
          <t xml:space="preserve">     ถึง วันที่</t>
        </is>
      </c>
      <c r="J969" s="254">
        <f>J3</f>
        <v/>
      </c>
      <c r="K969" s="254" t="inlineStr">
        <is>
          <t xml:space="preserve">   เดือน </t>
        </is>
      </c>
      <c r="L969" s="254">
        <f>L3</f>
        <v/>
      </c>
      <c r="N969" s="254">
        <f>N3</f>
        <v/>
      </c>
      <c r="P969" s="254" t="n"/>
      <c r="R969" s="254" t="n"/>
    </row>
    <row r="970" ht="22.2" customHeight="1" s="330">
      <c r="G970" s="58" t="inlineStr">
        <is>
          <t>ü</t>
        </is>
      </c>
      <c r="H970" s="8" t="inlineStr">
        <is>
          <t>ครูพิเศษ</t>
        </is>
      </c>
      <c r="I970" s="249" t="inlineStr">
        <is>
          <t>หน้าที่พิเศษ</t>
        </is>
      </c>
      <c r="K970" s="290" t="n"/>
    </row>
    <row r="971" ht="22.2" customHeight="1" s="330">
      <c r="A971" s="28" t="inlineStr">
        <is>
          <t>ที่</t>
        </is>
      </c>
      <c r="B971" s="28" t="inlineStr">
        <is>
          <t>ชื่อ-สกุล</t>
        </is>
      </c>
      <c r="C971" s="334" t="n"/>
      <c r="D971" s="335" t="n"/>
      <c r="E971" s="16" t="inlineStr">
        <is>
          <t>ตำแหน่ง</t>
        </is>
      </c>
      <c r="F971" s="17" t="inlineStr">
        <is>
          <t>ระยะเวลาที่สอน</t>
        </is>
      </c>
      <c r="G971" s="362" t="n"/>
      <c r="H971" s="17" t="inlineStr">
        <is>
          <t>รหัสวิชา</t>
        </is>
      </c>
      <c r="I971" s="275" t="inlineStr">
        <is>
          <t>ชั้น,แผนก,ห้อง</t>
        </is>
      </c>
      <c r="J971" s="17" t="inlineStr">
        <is>
          <t>เวลาสอน</t>
        </is>
      </c>
      <c r="K971" s="335" t="n"/>
      <c r="L971" s="17" t="inlineStr">
        <is>
          <t>ปวช.(คาบ)</t>
        </is>
      </c>
      <c r="M971" s="362" t="n"/>
      <c r="N971" s="244" t="inlineStr">
        <is>
          <t>เงิน</t>
        </is>
      </c>
      <c r="O971" s="275" t="inlineStr">
        <is>
          <t>ยอดเงิน</t>
        </is>
      </c>
      <c r="P971" s="473" t="inlineStr">
        <is>
          <t>ปวส.(คาบ)</t>
        </is>
      </c>
      <c r="Q971" s="362" t="n"/>
      <c r="R971" s="244" t="inlineStr">
        <is>
          <t>เงิน</t>
        </is>
      </c>
      <c r="S971" s="275" t="inlineStr">
        <is>
          <t>ยอดเงิน</t>
        </is>
      </c>
    </row>
    <row r="972" ht="22.2" customHeight="1" s="330">
      <c r="A972" s="60" t="n"/>
      <c r="B972" s="9" t="n"/>
      <c r="C972" s="10" t="n"/>
      <c r="D972" s="14" t="n"/>
      <c r="E972" s="11" t="n"/>
      <c r="F972" s="276" t="inlineStr">
        <is>
          <t>ส.</t>
        </is>
      </c>
      <c r="G972" s="276" t="inlineStr">
        <is>
          <t>วดป.</t>
        </is>
      </c>
      <c r="H972" s="474" t="n"/>
      <c r="I972" s="276" t="n"/>
      <c r="J972" s="475" t="n"/>
      <c r="K972" s="476" t="n"/>
      <c r="L972" s="276" t="inlineStr">
        <is>
          <t>ใน</t>
        </is>
      </c>
      <c r="M972" s="276" t="inlineStr">
        <is>
          <t>นอก</t>
        </is>
      </c>
      <c r="N972" s="276" t="inlineStr">
        <is>
          <t>ต่อ ชม.</t>
        </is>
      </c>
      <c r="O972" s="276" t="inlineStr">
        <is>
          <t>(บาท)</t>
        </is>
      </c>
      <c r="P972" s="60" t="inlineStr">
        <is>
          <t>ใน</t>
        </is>
      </c>
      <c r="Q972" s="60" t="inlineStr">
        <is>
          <t>นอก</t>
        </is>
      </c>
      <c r="R972" s="276" t="inlineStr">
        <is>
          <t>ต่อ ชม.</t>
        </is>
      </c>
      <c r="S972" s="276" t="inlineStr">
        <is>
          <t>(บาท)</t>
        </is>
      </c>
    </row>
    <row r="973" ht="22.2" customHeight="1" s="330">
      <c r="A973" s="275" t="n">
        <v>22</v>
      </c>
      <c r="B973" s="477">
        <f>AB24</f>
        <v/>
      </c>
      <c r="C973" s="334" t="n"/>
      <c r="D973" s="335" t="n"/>
      <c r="E973" s="275" t="inlineStr">
        <is>
          <t>ครู</t>
        </is>
      </c>
      <c r="F973" s="6" t="n">
        <v>5</v>
      </c>
      <c r="G973" s="303" t="inlineStr">
        <is>
          <t>จันทร์</t>
        </is>
      </c>
      <c r="H973" s="332" t="inlineStr">
        <is>
          <t>20101-2104</t>
        </is>
      </c>
      <c r="I973" s="325" t="inlineStr">
        <is>
          <t>ปวช.3/1 ชย. (ปกติ)</t>
        </is>
      </c>
      <c r="J973" s="332" t="inlineStr">
        <is>
          <t>08.10-12.10</t>
        </is>
      </c>
      <c r="K973" s="335" t="n"/>
      <c r="L973" s="265" t="n"/>
      <c r="M973" s="332" t="n"/>
      <c r="N973" s="332" t="n"/>
      <c r="O973" s="244">
        <f>M973*N973</f>
        <v/>
      </c>
      <c r="P973" s="332" t="n"/>
      <c r="Q973" s="265" t="n"/>
      <c r="R973" s="332" t="n"/>
      <c r="S973" s="244">
        <f>Q973*R973</f>
        <v/>
      </c>
    </row>
    <row r="974" ht="22.2" customHeight="1" s="330">
      <c r="A974" s="4" t="n"/>
      <c r="E974" s="252" t="inlineStr">
        <is>
          <t>พิเศษ</t>
        </is>
      </c>
      <c r="F974" s="249" t="n"/>
      <c r="G974" s="308">
        <f>G928</f>
        <v/>
      </c>
      <c r="H974" s="325" t="inlineStr">
        <is>
          <t>20101-2104</t>
        </is>
      </c>
      <c r="I974" s="325" t="inlineStr">
        <is>
          <t>ปวช.3/1 ชย. (ปกติ)</t>
        </is>
      </c>
      <c r="J974" s="252" t="inlineStr">
        <is>
          <t>13.10-16.10</t>
        </is>
      </c>
      <c r="K974" s="331" t="n"/>
      <c r="L974" s="252" t="n"/>
      <c r="M974" s="252" t="n"/>
      <c r="N974" s="252" t="n"/>
      <c r="O974" s="244">
        <f>M974*N974</f>
        <v/>
      </c>
      <c r="P974" s="252" t="n"/>
      <c r="Q974" s="252" t="n"/>
      <c r="R974" s="252" t="n"/>
      <c r="S974" s="244">
        <f>Q974*R974</f>
        <v/>
      </c>
    </row>
    <row r="975" ht="22.2" customHeight="1" s="330">
      <c r="A975" s="4" t="n"/>
      <c r="E975" s="4" t="n"/>
      <c r="F975" s="249" t="n"/>
      <c r="G975" s="248" t="n"/>
      <c r="H975" s="252" t="n"/>
      <c r="I975" s="252" t="n"/>
      <c r="J975" s="252" t="n"/>
      <c r="K975" s="331" t="n"/>
      <c r="L975" s="252" t="n"/>
      <c r="M975" s="252" t="n"/>
      <c r="N975" s="252" t="n"/>
      <c r="O975" s="244">
        <f>M975*N975</f>
        <v/>
      </c>
      <c r="P975" s="252" t="n"/>
      <c r="Q975" s="252" t="n"/>
      <c r="R975" s="252" t="n"/>
      <c r="S975" s="244">
        <f>Q975*R975</f>
        <v/>
      </c>
    </row>
    <row r="976" ht="22.2" customHeight="1" s="330">
      <c r="A976" s="4" t="n"/>
      <c r="B976" s="5" t="n"/>
      <c r="E976" s="4" t="n"/>
      <c r="F976" s="249" t="n"/>
      <c r="G976" s="248" t="n"/>
      <c r="H976" s="252" t="n"/>
      <c r="I976" s="252" t="n"/>
      <c r="J976" s="252" t="n"/>
      <c r="K976" s="331" t="n"/>
      <c r="L976" s="252" t="n"/>
      <c r="M976" s="252" t="n"/>
      <c r="N976" s="252" t="n"/>
      <c r="O976" s="244">
        <f>M976*N976</f>
        <v/>
      </c>
      <c r="P976" s="252" t="n"/>
      <c r="Q976" s="252" t="n"/>
      <c r="R976" s="252" t="n"/>
      <c r="S976" s="244">
        <f>Q976*R976</f>
        <v/>
      </c>
    </row>
    <row r="977" ht="22.2" customHeight="1" s="330">
      <c r="A977" s="4" t="n"/>
      <c r="E977" s="4" t="n"/>
      <c r="G977" s="311" t="n"/>
      <c r="H977" s="276" t="n"/>
      <c r="I977" s="276" t="n"/>
      <c r="J977" s="276" t="n"/>
      <c r="K977" s="476" t="n"/>
      <c r="L977" s="252" t="n"/>
      <c r="M977" s="252" t="n"/>
      <c r="N977" s="252" t="n"/>
      <c r="O977" s="244">
        <f>M977*N977</f>
        <v/>
      </c>
      <c r="P977" s="252" t="n"/>
      <c r="Q977" s="252" t="n"/>
      <c r="R977" s="252" t="n"/>
      <c r="S977" s="244">
        <f>Q977*R977</f>
        <v/>
      </c>
    </row>
    <row r="978" ht="22.2" customHeight="1" s="330">
      <c r="A978" s="4" t="n"/>
      <c r="E978" s="4" t="n"/>
      <c r="G978" s="62" t="inlineStr">
        <is>
          <t>อังคาร</t>
        </is>
      </c>
      <c r="H978" s="332" t="inlineStr">
        <is>
          <t>20101-2104</t>
        </is>
      </c>
      <c r="I978" s="325" t="inlineStr">
        <is>
          <t>ปวช.3/2 ชย. (ปกติ)</t>
        </is>
      </c>
      <c r="J978" s="332" t="inlineStr">
        <is>
          <t>08.10-12.10</t>
        </is>
      </c>
      <c r="K978" s="335" t="n"/>
      <c r="L978" s="265" t="n"/>
      <c r="M978" s="332" t="n"/>
      <c r="N978" s="332" t="n"/>
      <c r="O978" s="244">
        <f>M978*N978</f>
        <v/>
      </c>
      <c r="P978" s="332" t="n"/>
      <c r="Q978" s="265" t="n"/>
      <c r="R978" s="332" t="n"/>
      <c r="S978" s="244">
        <f>Q978*R978</f>
        <v/>
      </c>
    </row>
    <row r="979" ht="22.2" customHeight="1" s="330">
      <c r="A979" s="4" t="n"/>
      <c r="E979" s="4" t="n"/>
      <c r="G979" s="308">
        <f>G933</f>
        <v/>
      </c>
      <c r="H979" s="325" t="inlineStr">
        <is>
          <t>20101-2104</t>
        </is>
      </c>
      <c r="I979" s="325" t="inlineStr">
        <is>
          <t>ปวช.3/2 ชย. (ปกติ)</t>
        </is>
      </c>
      <c r="J979" s="252" t="inlineStr">
        <is>
          <t>13.10-16.10</t>
        </is>
      </c>
      <c r="K979" s="331" t="n"/>
      <c r="L979" s="252" t="n"/>
      <c r="M979" s="252" t="n"/>
      <c r="N979" s="252" t="n"/>
      <c r="O979" s="244">
        <f>M979*N979</f>
        <v/>
      </c>
      <c r="P979" s="252" t="n"/>
      <c r="Q979" s="252" t="n"/>
      <c r="R979" s="252" t="n"/>
      <c r="S979" s="244">
        <f>Q979*R979</f>
        <v/>
      </c>
    </row>
    <row r="980" ht="22.2" customHeight="1" s="330">
      <c r="A980" s="4" t="n"/>
      <c r="B980" s="5" t="n"/>
      <c r="D980" s="3" t="n"/>
      <c r="E980" s="3" t="n"/>
      <c r="G980" s="252" t="n"/>
      <c r="H980" s="248" t="n"/>
      <c r="I980" s="252" t="n"/>
      <c r="J980" s="252" t="n"/>
      <c r="K980" s="331" t="n"/>
      <c r="L980" s="252" t="n"/>
      <c r="M980" s="252" t="n"/>
      <c r="N980" s="252" t="n"/>
      <c r="O980" s="244">
        <f>M980*N980</f>
        <v/>
      </c>
      <c r="P980" s="252" t="n"/>
      <c r="Q980" s="252" t="n"/>
      <c r="R980" s="252" t="n"/>
      <c r="S980" s="244">
        <f>Q980*R980</f>
        <v/>
      </c>
    </row>
    <row r="981" ht="22.2" customHeight="1" s="330">
      <c r="A981" s="4" t="n"/>
      <c r="E981" s="4" t="n"/>
      <c r="G981" s="62" t="n"/>
      <c r="H981" s="248" t="n"/>
      <c r="I981" s="252" t="n"/>
      <c r="J981" s="252" t="n"/>
      <c r="K981" s="331" t="n"/>
      <c r="L981" s="252" t="n"/>
      <c r="M981" s="252" t="n"/>
      <c r="N981" s="252" t="n"/>
      <c r="O981" s="244">
        <f>M981*N981</f>
        <v/>
      </c>
      <c r="P981" s="252" t="n"/>
      <c r="Q981" s="252" t="n"/>
      <c r="R981" s="252" t="n"/>
      <c r="S981" s="244">
        <f>Q981*R981</f>
        <v/>
      </c>
    </row>
    <row r="982" ht="22.2" customHeight="1" s="330">
      <c r="A982" s="4" t="n"/>
      <c r="D982" s="8" t="inlineStr">
        <is>
          <t> </t>
        </is>
      </c>
      <c r="E982" s="4" t="n"/>
      <c r="G982" s="63" t="n"/>
      <c r="H982" s="276" t="n"/>
      <c r="I982" s="276" t="n"/>
      <c r="J982" s="276" t="n"/>
      <c r="K982" s="476" t="n"/>
      <c r="L982" s="252" t="n"/>
      <c r="M982" s="252" t="n"/>
      <c r="N982" s="252" t="n"/>
      <c r="O982" s="244">
        <f>M982*N982</f>
        <v/>
      </c>
      <c r="P982" s="252" t="n"/>
      <c r="Q982" s="252" t="n"/>
      <c r="R982" s="252" t="n"/>
      <c r="S982" s="244">
        <f>Q982*R982</f>
        <v/>
      </c>
    </row>
    <row r="983" ht="22.2" customHeight="1" s="330">
      <c r="A983" s="4" t="n"/>
      <c r="E983" s="4" t="n"/>
      <c r="G983" s="308" t="inlineStr">
        <is>
          <t>พุธ</t>
        </is>
      </c>
      <c r="H983" s="332" t="inlineStr">
        <is>
          <t>20101-2104</t>
        </is>
      </c>
      <c r="I983" s="325" t="inlineStr">
        <is>
          <t>ปวช.3/3 ชย. (ปกติ)</t>
        </is>
      </c>
      <c r="J983" s="332" t="inlineStr">
        <is>
          <t>08.10-12.10</t>
        </is>
      </c>
      <c r="K983" s="335" t="n"/>
      <c r="L983" s="265" t="n"/>
      <c r="M983" s="332" t="n"/>
      <c r="N983" s="332" t="n"/>
      <c r="O983" s="244">
        <f>M983*N983</f>
        <v/>
      </c>
      <c r="P983" s="332" t="n"/>
      <c r="Q983" s="265" t="n"/>
      <c r="R983" s="332" t="n"/>
      <c r="S983" s="244">
        <f>Q983*R983</f>
        <v/>
      </c>
    </row>
    <row r="984" ht="22.2" customHeight="1" s="330">
      <c r="A984" s="4" t="n"/>
      <c r="B984" s="248" t="n"/>
      <c r="C984" s="249" t="n"/>
      <c r="D984" s="249" t="n"/>
      <c r="E984" s="252" t="n"/>
      <c r="G984" s="308">
        <f>G938</f>
        <v/>
      </c>
      <c r="H984" s="325" t="inlineStr">
        <is>
          <t>20101-2104</t>
        </is>
      </c>
      <c r="I984" s="325" t="inlineStr">
        <is>
          <t>ปวช.3/3 ชย. (ปกติ)</t>
        </is>
      </c>
      <c r="J984" s="252" t="inlineStr">
        <is>
          <t>13.10-16.10</t>
        </is>
      </c>
      <c r="K984" s="331" t="n"/>
      <c r="L984" s="252" t="n"/>
      <c r="M984" s="252" t="n"/>
      <c r="N984" s="252" t="n"/>
      <c r="O984" s="244">
        <f>M984*N984</f>
        <v/>
      </c>
      <c r="P984" s="252" t="n"/>
      <c r="Q984" s="252" t="n"/>
      <c r="R984" s="252" t="n"/>
      <c r="S984" s="244">
        <f>Q984*R984</f>
        <v/>
      </c>
    </row>
    <row r="985" ht="22.2" customHeight="1" s="330">
      <c r="A985" s="4" t="n"/>
      <c r="B985" s="5" t="n"/>
      <c r="D985" s="3" t="n"/>
      <c r="E985" s="3" t="n"/>
      <c r="G985" s="252" t="n"/>
      <c r="H985" s="252" t="n"/>
      <c r="I985" s="325" t="n"/>
      <c r="J985" s="252" t="n"/>
      <c r="K985" s="331" t="n"/>
      <c r="L985" s="252" t="n"/>
      <c r="M985" s="252" t="n"/>
      <c r="N985" s="252" t="n"/>
      <c r="O985" s="244">
        <f>M985*N985</f>
        <v/>
      </c>
      <c r="P985" s="252" t="n"/>
      <c r="Q985" s="252" t="n"/>
      <c r="R985" s="252" t="n"/>
      <c r="S985" s="244">
        <f>Q985*R985</f>
        <v/>
      </c>
    </row>
    <row r="986" ht="22.2" customHeight="1" s="330">
      <c r="A986" s="4" t="n"/>
      <c r="E986" s="4" t="n"/>
      <c r="G986" s="248" t="n"/>
      <c r="H986" s="248" t="n"/>
      <c r="I986" s="252" t="n"/>
      <c r="J986" s="252" t="n"/>
      <c r="K986" s="331" t="n"/>
      <c r="L986" s="252" t="n"/>
      <c r="M986" s="252" t="n"/>
      <c r="N986" s="252" t="n"/>
      <c r="O986" s="244">
        <f>M986*N986</f>
        <v/>
      </c>
      <c r="P986" s="252" t="n"/>
      <c r="Q986" s="252" t="n"/>
      <c r="R986" s="252" t="n"/>
      <c r="S986" s="244">
        <f>Q986*R986</f>
        <v/>
      </c>
    </row>
    <row r="987" ht="22.2" customHeight="1" s="330">
      <c r="A987" s="4" t="n"/>
      <c r="E987" s="4" t="n"/>
      <c r="G987" s="277" t="n"/>
      <c r="H987" s="277" t="n"/>
      <c r="I987" s="276" t="n"/>
      <c r="J987" s="276" t="n"/>
      <c r="K987" s="476" t="n"/>
      <c r="L987" s="276" t="n"/>
      <c r="M987" s="276" t="n"/>
      <c r="N987" s="276" t="n"/>
      <c r="O987" s="244">
        <f>M987*N987</f>
        <v/>
      </c>
      <c r="P987" s="276" t="n"/>
      <c r="Q987" s="276" t="n"/>
      <c r="R987" s="276" t="n"/>
      <c r="S987" s="244">
        <f>Q987*R987</f>
        <v/>
      </c>
    </row>
    <row r="988" ht="22.2" customHeight="1" s="330">
      <c r="A988" s="4" t="n"/>
      <c r="E988" s="4" t="n"/>
      <c r="G988" s="62" t="inlineStr">
        <is>
          <t>พฤหัส</t>
        </is>
      </c>
      <c r="H988" s="325" t="inlineStr">
        <is>
          <t>20101-2106</t>
        </is>
      </c>
      <c r="I988" s="325" t="inlineStr">
        <is>
          <t>ปวช.3/5 ชย. (ปกติ)</t>
        </is>
      </c>
      <c r="J988" s="332" t="inlineStr">
        <is>
          <t>08.10-12.10</t>
        </is>
      </c>
      <c r="K988" s="335" t="n"/>
      <c r="L988" s="265" t="n"/>
      <c r="M988" s="332" t="n"/>
      <c r="N988" s="332" t="n"/>
      <c r="O988" s="244">
        <f>M988*N988</f>
        <v/>
      </c>
      <c r="P988" s="332" t="n"/>
      <c r="Q988" s="265" t="n"/>
      <c r="R988" s="332" t="n"/>
      <c r="S988" s="244">
        <f>Q988*R988</f>
        <v/>
      </c>
    </row>
    <row r="989" ht="22.2" customHeight="1" s="330">
      <c r="A989" s="4" t="n"/>
      <c r="E989" s="4" t="n"/>
      <c r="G989" s="308">
        <f>G943</f>
        <v/>
      </c>
      <c r="H989" s="325" t="n"/>
      <c r="I989" s="325" t="n"/>
      <c r="J989" s="252" t="n"/>
      <c r="K989" s="331" t="n"/>
      <c r="L989" s="252" t="n"/>
      <c r="M989" s="252" t="n"/>
      <c r="N989" s="252" t="n"/>
      <c r="O989" s="244">
        <f>M989*N989</f>
        <v/>
      </c>
      <c r="P989" s="252" t="n"/>
      <c r="Q989" s="252" t="n"/>
      <c r="R989" s="252" t="n"/>
      <c r="S989" s="244">
        <f>Q989*R989</f>
        <v/>
      </c>
    </row>
    <row r="990" ht="22.2" customHeight="1" s="330">
      <c r="A990" s="4" t="n"/>
      <c r="B990" s="5" t="n"/>
      <c r="E990" s="4" t="n"/>
      <c r="G990" s="252" t="n"/>
      <c r="H990" s="325" t="n"/>
      <c r="I990" s="325" t="n"/>
      <c r="J990" s="252" t="n"/>
      <c r="K990" s="331" t="n"/>
      <c r="L990" s="252" t="n"/>
      <c r="M990" s="252" t="n"/>
      <c r="N990" s="252" t="n"/>
      <c r="O990" s="244">
        <f>M990*N990</f>
        <v/>
      </c>
      <c r="P990" s="252" t="n"/>
      <c r="Q990" s="252" t="n"/>
      <c r="R990" s="252" t="n"/>
      <c r="S990" s="244">
        <f>Q990*R990</f>
        <v/>
      </c>
    </row>
    <row r="991" ht="22.2" customHeight="1" s="330">
      <c r="A991" s="4" t="n"/>
      <c r="E991" s="4" t="n"/>
      <c r="G991" s="252" t="n"/>
      <c r="H991" s="252" t="n"/>
      <c r="I991" s="252" t="n"/>
      <c r="J991" s="252" t="n"/>
      <c r="K991" s="331" t="n"/>
      <c r="L991" s="252" t="n"/>
      <c r="M991" s="252" t="n"/>
      <c r="N991" s="252" t="n"/>
      <c r="O991" s="244">
        <f>M991*N991</f>
        <v/>
      </c>
      <c r="P991" s="252" t="n"/>
      <c r="Q991" s="252" t="n"/>
      <c r="R991" s="252" t="n"/>
      <c r="S991" s="244">
        <f>Q991*R991</f>
        <v/>
      </c>
    </row>
    <row r="992" ht="22.2" customHeight="1" s="330">
      <c r="A992" s="4" t="n"/>
      <c r="E992" s="4" t="n"/>
      <c r="G992" s="276" t="n"/>
      <c r="H992" s="301" t="n"/>
      <c r="I992" s="276" t="n"/>
      <c r="J992" s="276" t="n"/>
      <c r="K992" s="476" t="n"/>
      <c r="L992" s="276" t="n"/>
      <c r="M992" s="276" t="n"/>
      <c r="N992" s="276" t="n"/>
      <c r="O992" s="244">
        <f>M992*N992</f>
        <v/>
      </c>
      <c r="P992" s="276" t="n"/>
      <c r="Q992" s="276" t="n"/>
      <c r="R992" s="276" t="n"/>
      <c r="S992" s="244">
        <f>Q992*R992</f>
        <v/>
      </c>
    </row>
    <row r="993" ht="22.2" customHeight="1" s="330">
      <c r="A993" s="4" t="n"/>
      <c r="E993" s="4" t="n"/>
      <c r="G993" s="62" t="inlineStr">
        <is>
          <t>ศุกร์</t>
        </is>
      </c>
      <c r="H993" s="325" t="inlineStr">
        <is>
          <t>20101-2104</t>
        </is>
      </c>
      <c r="I993" s="325" t="inlineStr">
        <is>
          <t>ปวช.3/4 ชย. (ปกติ)</t>
        </is>
      </c>
      <c r="J993" s="332" t="inlineStr">
        <is>
          <t>09.10-12.10</t>
        </is>
      </c>
      <c r="K993" s="335" t="n"/>
      <c r="L993" s="265" t="n"/>
      <c r="M993" s="332" t="n"/>
      <c r="N993" s="332" t="n"/>
      <c r="O993" s="244">
        <f>M993*N993</f>
        <v/>
      </c>
      <c r="P993" s="332" t="n"/>
      <c r="Q993" s="265" t="n"/>
      <c r="R993" s="332" t="n"/>
      <c r="S993" s="244">
        <f>Q993*R993</f>
        <v/>
      </c>
    </row>
    <row r="994" ht="22.2" customHeight="1" s="330">
      <c r="A994" s="4" t="n"/>
      <c r="E994" s="4" t="n"/>
      <c r="G994" s="308">
        <f>G948</f>
        <v/>
      </c>
      <c r="H994" s="325" t="inlineStr">
        <is>
          <t>20101-2104</t>
        </is>
      </c>
      <c r="I994" s="325" t="inlineStr">
        <is>
          <t>ปวช.3/4 ชย. (ปกติ)</t>
        </is>
      </c>
      <c r="J994" s="252" t="inlineStr">
        <is>
          <t>13.10-17.10</t>
        </is>
      </c>
      <c r="K994" s="331" t="n"/>
      <c r="L994" s="252" t="n"/>
      <c r="M994" s="252" t="n"/>
      <c r="N994" s="252" t="n"/>
      <c r="O994" s="244">
        <f>M994*N994</f>
        <v/>
      </c>
      <c r="P994" s="252" t="n"/>
      <c r="Q994" s="252" t="n"/>
      <c r="R994" s="252" t="n"/>
      <c r="S994" s="244">
        <f>Q994*R994</f>
        <v/>
      </c>
    </row>
    <row r="995" ht="22.2" customHeight="1" s="330">
      <c r="A995" s="4" t="n"/>
      <c r="E995" s="4" t="n"/>
      <c r="G995" s="252" t="n"/>
      <c r="H995" s="252" t="n"/>
      <c r="I995" s="252" t="n"/>
      <c r="J995" s="325" t="n"/>
      <c r="K995" s="331" t="n"/>
      <c r="L995" s="285" t="n"/>
      <c r="M995" s="325" t="n"/>
      <c r="N995" s="325" t="n"/>
      <c r="O995" s="244">
        <f>M995*N995</f>
        <v/>
      </c>
      <c r="P995" s="325" t="n"/>
      <c r="Q995" s="285" t="n"/>
      <c r="R995" s="325" t="n"/>
      <c r="S995" s="244">
        <f>Q995*R995</f>
        <v/>
      </c>
    </row>
    <row r="996" ht="22.2" customHeight="1" s="330">
      <c r="A996" s="4" t="n"/>
      <c r="E996" s="4" t="n"/>
      <c r="G996" s="252" t="n"/>
      <c r="H996" s="252" t="n"/>
      <c r="I996" s="252" t="n"/>
      <c r="J996" s="252" t="n"/>
      <c r="K996" s="331" t="n"/>
      <c r="L996" s="252" t="n"/>
      <c r="M996" s="252" t="n"/>
      <c r="N996" s="252" t="n"/>
      <c r="O996" s="244">
        <f>M996*N996</f>
        <v/>
      </c>
      <c r="P996" s="252" t="n"/>
      <c r="Q996" s="252" t="n"/>
      <c r="R996" s="252" t="n"/>
      <c r="S996" s="244">
        <f>Q996*R996</f>
        <v/>
      </c>
    </row>
    <row r="997" ht="22.2" customHeight="1" s="330">
      <c r="A997" s="4" t="n"/>
      <c r="E997" s="4" t="n"/>
      <c r="F997" s="4" t="n"/>
      <c r="G997" s="278" t="n"/>
      <c r="H997" s="277" t="n"/>
      <c r="I997" s="276" t="n"/>
      <c r="J997" s="276" t="n"/>
      <c r="K997" s="476" t="n"/>
      <c r="L997" s="276" t="n"/>
      <c r="M997" s="276" t="n"/>
      <c r="N997" s="276" t="n"/>
      <c r="O997" s="244">
        <f>M997*N997</f>
        <v/>
      </c>
      <c r="P997" s="276" t="n"/>
      <c r="Q997" s="276" t="n"/>
      <c r="R997" s="276" t="n"/>
      <c r="S997" s="244">
        <f>Q997*R997</f>
        <v/>
      </c>
    </row>
    <row r="998" ht="22.2" customHeight="1" s="330">
      <c r="A998" s="4" t="n"/>
      <c r="E998" s="4" t="n"/>
      <c r="F998" s="4" t="n"/>
      <c r="G998" s="17" t="inlineStr">
        <is>
          <t>รวมขั่วโมงที่สอนแยก ภาระงาน/ เกินภาระงาน</t>
        </is>
      </c>
      <c r="H998" s="467" t="n"/>
      <c r="I998" s="467" t="n"/>
      <c r="J998" s="467" t="n"/>
      <c r="K998" s="362" t="n"/>
      <c r="L998" s="17">
        <f>SUM(L973:L997)</f>
        <v/>
      </c>
      <c r="M998" s="17">
        <f>SUM(M973:M997)</f>
        <v/>
      </c>
      <c r="N998" s="17" t="n"/>
      <c r="O998" s="17" t="n"/>
      <c r="P998" s="17">
        <f>SUM(P973:P997)</f>
        <v/>
      </c>
      <c r="Q998" s="17">
        <f>SUM(Q973:Q997)</f>
        <v/>
      </c>
      <c r="R998" s="279" t="n"/>
      <c r="S998" s="17" t="n"/>
      <c r="T998" s="25" t="n"/>
      <c r="U998" s="26" t="inlineStr">
        <is>
          <t xml:space="preserve">     PLC</t>
        </is>
      </c>
      <c r="V998" s="64" t="n"/>
      <c r="W998" s="27" t="n"/>
      <c r="X998" s="27" t="n"/>
    </row>
    <row r="999" ht="22.2" customHeight="1" s="330">
      <c r="A999" s="4" t="n"/>
      <c r="E999" s="4" t="n"/>
      <c r="F999" s="4" t="n"/>
      <c r="G999" s="17" t="inlineStr">
        <is>
          <t>รวมจำนวนชั่วโมงสอนคาบต่อสับดาห์</t>
        </is>
      </c>
      <c r="H999" s="467" t="n"/>
      <c r="I999" s="467" t="n"/>
      <c r="J999" s="467" t="n"/>
      <c r="K999" s="362" t="n"/>
      <c r="L999" s="17">
        <f>L998+M998</f>
        <v/>
      </c>
      <c r="M999" s="362" t="n"/>
      <c r="N999" s="298" t="n"/>
      <c r="O999" s="17" t="n"/>
      <c r="P999" s="17">
        <f>P998+Q998</f>
        <v/>
      </c>
      <c r="Q999" s="362" t="n"/>
      <c r="R999" s="278" t="n"/>
      <c r="S999" s="276" t="n"/>
      <c r="T999" s="27" t="inlineStr">
        <is>
          <t> </t>
        </is>
      </c>
      <c r="U999" s="26" t="inlineStr">
        <is>
          <t>17.10-19.10</t>
        </is>
      </c>
      <c r="V999" s="64" t="n"/>
      <c r="W999" s="27" t="n"/>
      <c r="X999" s="27" t="n"/>
    </row>
    <row r="1000" ht="22.2" customHeight="1" s="330">
      <c r="A1000" s="4" t="n"/>
      <c r="E1000" s="4" t="n"/>
      <c r="F1000" s="4" t="n"/>
      <c r="G1000" s="17" t="inlineStr">
        <is>
          <t>จำนวนชั่วโมงสอนตามภาระงานสอน</t>
        </is>
      </c>
      <c r="H1000" s="467" t="n"/>
      <c r="I1000" s="467" t="n"/>
      <c r="J1000" s="467" t="n"/>
      <c r="K1000" s="362" t="n"/>
      <c r="L1000" s="17" t="n">
        <v>18</v>
      </c>
      <c r="M1000" s="362" t="n"/>
      <c r="N1000" s="298" t="n"/>
      <c r="O1000" s="17" t="n"/>
      <c r="P1000" s="17" t="n">
        <v>0</v>
      </c>
      <c r="Q1000" s="362" t="n"/>
      <c r="R1000" s="249" t="n"/>
      <c r="S1000" s="252" t="n"/>
    </row>
    <row r="1001" ht="22.2" customHeight="1" s="330" thickBot="1">
      <c r="A1001" s="4" t="n"/>
      <c r="E1001" s="4" t="n"/>
      <c r="F1001" s="15" t="n"/>
      <c r="G1001" s="17" t="inlineStr">
        <is>
          <t>จำนวนชั่วโมงบิกเกินภาระงานสอน/ค่าสอน</t>
        </is>
      </c>
      <c r="H1001" s="467" t="n"/>
      <c r="I1001" s="467" t="n"/>
      <c r="J1001" s="467" t="n"/>
      <c r="K1001" s="362" t="n"/>
      <c r="L1001" s="18" t="n">
        <v>0</v>
      </c>
      <c r="M1001" s="18">
        <f>SUM(M973:M997)</f>
        <v/>
      </c>
      <c r="N1001" s="18" t="n"/>
      <c r="O1001" s="18">
        <f>SUM(O973:O997)</f>
        <v/>
      </c>
      <c r="P1001" s="18" t="n">
        <v>0</v>
      </c>
      <c r="Q1001" s="18">
        <f>SUM(Q973:Q997)</f>
        <v/>
      </c>
      <c r="R1001" s="19" t="n"/>
      <c r="S1001" s="18">
        <f>SUM(S973:S997)</f>
        <v/>
      </c>
    </row>
    <row r="1002" ht="22.2" customHeight="1" s="330" thickTop="1">
      <c r="A1002" s="299" t="inlineStr">
        <is>
          <t>รวมจำนวนหน่วยชั่วโมงที่ขอเบิกค่าสอน ….</t>
        </is>
      </c>
      <c r="B1002" s="467" t="n"/>
      <c r="C1002" s="467" t="n"/>
      <c r="D1002" s="467" t="n"/>
      <c r="E1002" s="467" t="n"/>
      <c r="F1002" s="467" t="n"/>
      <c r="G1002" s="467" t="n"/>
      <c r="H1002" s="298">
        <f>M1001+Q1001</f>
        <v/>
      </c>
      <c r="I1002" s="298" t="inlineStr">
        <is>
          <t>….ชั่วโมง</t>
        </is>
      </c>
      <c r="J1002" s="298" t="n"/>
      <c r="K1002" s="301" t="inlineStr">
        <is>
          <t>ยอดเงินรวม</t>
        </is>
      </c>
      <c r="L1002" s="471" t="n"/>
      <c r="M1002" s="471" t="n"/>
      <c r="N1002" s="301" t="n"/>
      <c r="O1002" s="301" t="n"/>
      <c r="P1002" s="302">
        <f>S1001+O1001</f>
        <v/>
      </c>
      <c r="Q1002" s="482" t="n"/>
      <c r="R1002" s="21" t="n"/>
      <c r="S1002" s="20" t="inlineStr">
        <is>
          <t>..บาท</t>
        </is>
      </c>
    </row>
    <row r="1003" ht="22.2" customHeight="1" s="330">
      <c r="A1003" s="207" t="inlineStr">
        <is>
          <t>ผู้ขอเบิก</t>
        </is>
      </c>
      <c r="B1003" s="334" t="n"/>
      <c r="C1003" s="334" t="n"/>
      <c r="D1003" s="334" t="n"/>
      <c r="E1003" s="334" t="n"/>
      <c r="F1003" s="334" t="n"/>
      <c r="G1003" s="335" t="n"/>
      <c r="H1003" s="207" t="inlineStr">
        <is>
          <t>ผู้รับรอง</t>
        </is>
      </c>
      <c r="I1003" s="334" t="n"/>
      <c r="J1003" s="334" t="n"/>
      <c r="K1003" s="334" t="n"/>
      <c r="L1003" s="335" t="n"/>
      <c r="M1003" s="207" t="inlineStr">
        <is>
          <t>ผู้ตรวจ</t>
        </is>
      </c>
      <c r="N1003" s="334" t="n"/>
      <c r="O1003" s="334" t="n"/>
      <c r="P1003" s="334" t="n"/>
      <c r="Q1003" s="334" t="n"/>
      <c r="R1003" s="334" t="n"/>
      <c r="S1003" s="335" t="n"/>
    </row>
    <row r="1004" ht="22.2" customHeight="1" s="330">
      <c r="A1004" s="252" t="inlineStr">
        <is>
          <t>ลงชื่อ……………………………………………</t>
        </is>
      </c>
      <c r="G1004" s="331" t="n"/>
      <c r="H1004" s="252" t="inlineStr">
        <is>
          <t>ลงชื่อ……………………………………………</t>
        </is>
      </c>
      <c r="L1004" s="331" t="n"/>
      <c r="M1004" s="252" t="inlineStr">
        <is>
          <t>ลงชื่อ……………………………………………</t>
        </is>
      </c>
      <c r="S1004" s="331" t="n"/>
    </row>
    <row r="1005" ht="22.2" customHeight="1" s="330">
      <c r="A1005" s="12" t="inlineStr">
        <is>
          <t>(</t>
        </is>
      </c>
      <c r="B1005" s="309">
        <f>B973</f>
        <v/>
      </c>
      <c r="G1005" s="310" t="inlineStr">
        <is>
          <t>)</t>
        </is>
      </c>
      <c r="H1005" s="309" t="inlineStr">
        <is>
          <t>(</t>
        </is>
      </c>
      <c r="I1005" s="314">
        <f>I959</f>
        <v/>
      </c>
      <c r="L1005" s="13" t="inlineStr">
        <is>
          <t>)</t>
        </is>
      </c>
      <c r="M1005" s="61" t="inlineStr">
        <is>
          <t>(</t>
        </is>
      </c>
      <c r="N1005" s="61" t="n"/>
      <c r="O1005" s="309" t="inlineStr">
        <is>
          <t>นายพิสุทธิศักดิ์  กล่อมนาค</t>
        </is>
      </c>
      <c r="R1005" s="29" t="n"/>
      <c r="S1005" s="310" t="inlineStr">
        <is>
          <t>)</t>
        </is>
      </c>
    </row>
    <row r="1006" ht="22.2" customHeight="1" s="330">
      <c r="A1006" s="483" t="inlineStr">
        <is>
          <t xml:space="preserve">                 ตำแหน่ง  ครูพิเศษ</t>
        </is>
      </c>
      <c r="G1006" s="331" t="n"/>
      <c r="H1006" s="62" t="inlineStr">
        <is>
          <t>ตำแหน่ง หัวหน้าแผนก</t>
        </is>
      </c>
      <c r="L1006" s="331" t="n"/>
      <c r="M1006" s="62" t="inlineStr">
        <is>
          <t>ตำแหน่ง   ผู้ตรวจสอบ</t>
        </is>
      </c>
      <c r="S1006" s="331" t="n"/>
    </row>
    <row r="1007" ht="22.2" customHeight="1" s="330">
      <c r="A1007" s="63">
        <f>A41</f>
        <v/>
      </c>
      <c r="B1007" s="471" t="n"/>
      <c r="C1007" s="471" t="n"/>
      <c r="D1007" s="471" t="n"/>
      <c r="E1007" s="471" t="n"/>
      <c r="F1007" s="471" t="n"/>
      <c r="G1007" s="476" t="n"/>
      <c r="H1007" s="62">
        <f>A41</f>
        <v/>
      </c>
      <c r="L1007" s="331" t="n"/>
      <c r="M1007" s="63">
        <f>A41</f>
        <v/>
      </c>
      <c r="N1007" s="471" t="n"/>
      <c r="O1007" s="471" t="n"/>
      <c r="P1007" s="471" t="n"/>
      <c r="Q1007" s="471" t="n"/>
      <c r="R1007" s="471" t="n"/>
      <c r="S1007" s="476" t="n"/>
    </row>
    <row r="1008" ht="22.2" customHeight="1" s="330">
      <c r="A1008" s="207" t="inlineStr">
        <is>
          <t>ผู้ตรวจ</t>
        </is>
      </c>
      <c r="B1008" s="334" t="n"/>
      <c r="C1008" s="334" t="n"/>
      <c r="D1008" s="334" t="n"/>
      <c r="E1008" s="334" t="n"/>
      <c r="F1008" s="334" t="n"/>
      <c r="G1008" s="334" t="n"/>
      <c r="H1008" s="334" t="n"/>
      <c r="I1008" s="335" t="n"/>
      <c r="J1008" s="207" t="inlineStr">
        <is>
          <t>ผู้เห็นชอบ</t>
        </is>
      </c>
      <c r="K1008" s="334" t="n"/>
      <c r="L1008" s="334" t="n"/>
      <c r="M1008" s="334" t="n"/>
      <c r="N1008" s="334" t="n"/>
      <c r="O1008" s="334" t="n"/>
      <c r="P1008" s="334" t="n"/>
      <c r="Q1008" s="334" t="n"/>
      <c r="R1008" s="334" t="n"/>
      <c r="S1008" s="335" t="n"/>
    </row>
    <row r="1009" ht="22.2" customHeight="1" s="330">
      <c r="A1009" s="252" t="inlineStr">
        <is>
          <t>ลงชื่อ……………………………………………</t>
        </is>
      </c>
      <c r="I1009" s="331" t="n"/>
      <c r="J1009" s="252" t="inlineStr">
        <is>
          <t>ลงชื่อ……………………………………………</t>
        </is>
      </c>
      <c r="S1009" s="331" t="n"/>
    </row>
    <row r="1010" ht="22.2" customHeight="1" s="330">
      <c r="A1010" s="12" t="n"/>
      <c r="B1010" s="309" t="inlineStr">
        <is>
          <t xml:space="preserve">          (นางศิวรักษ์   บุญประเสริฐ)</t>
        </is>
      </c>
      <c r="I1010" s="310" t="n"/>
      <c r="J1010" s="29" t="n"/>
      <c r="K1010" s="29" t="n"/>
      <c r="L1010" s="309" t="inlineStr">
        <is>
          <t>(นายปรีชา  โพธิ์เกิด)</t>
        </is>
      </c>
      <c r="R1010" s="29" t="n"/>
      <c r="S1010" s="13" t="n"/>
    </row>
    <row r="1011" ht="22.2" customHeight="1" s="330">
      <c r="A1011" s="62" t="inlineStr">
        <is>
          <t>ตำแหน่งครู  หัวหน้างานพัฒนาหลักสูตร ฯ</t>
        </is>
      </c>
      <c r="I1011" s="331" t="n"/>
      <c r="J1011" s="62" t="inlineStr">
        <is>
          <t>ตำแหน่ง  รองผู้อำนวยการฝ่ายวิชาการ</t>
        </is>
      </c>
      <c r="S1011" s="331" t="n"/>
    </row>
    <row r="1012" ht="22.2" customHeight="1" s="330">
      <c r="A1012" s="63">
        <f>A41</f>
        <v/>
      </c>
      <c r="B1012" s="471" t="n"/>
      <c r="C1012" s="471" t="n"/>
      <c r="D1012" s="471" t="n"/>
      <c r="E1012" s="471" t="n"/>
      <c r="F1012" s="471" t="n"/>
      <c r="G1012" s="471" t="n"/>
      <c r="H1012" s="471" t="n"/>
      <c r="I1012" s="476" t="n"/>
      <c r="J1012" s="63">
        <f>A41</f>
        <v/>
      </c>
      <c r="K1012" s="471" t="n"/>
      <c r="L1012" s="471" t="n"/>
      <c r="M1012" s="471" t="n"/>
      <c r="N1012" s="471" t="n"/>
      <c r="O1012" s="471" t="n"/>
      <c r="P1012" s="471" t="n"/>
      <c r="Q1012" s="471" t="n"/>
      <c r="R1012" s="471" t="n"/>
      <c r="S1012" s="476" t="n"/>
    </row>
    <row r="1013" ht="22.2" customHeight="1" s="330">
      <c r="A1013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014" ht="22.2" customHeight="1" s="330">
      <c r="A1014" s="254">
        <f>A2</f>
        <v/>
      </c>
    </row>
    <row r="1015" ht="22.2" customHeight="1" s="330">
      <c r="A1015" s="253" t="inlineStr">
        <is>
          <t xml:space="preserve">    ระหว่างวันที่</t>
        </is>
      </c>
      <c r="D1015" s="254">
        <f>D3</f>
        <v/>
      </c>
      <c r="E1015" s="254" t="inlineStr">
        <is>
          <t xml:space="preserve">   เดือน  </t>
        </is>
      </c>
      <c r="F1015" s="254">
        <f>F3</f>
        <v/>
      </c>
      <c r="H1015" s="254">
        <f>H3</f>
        <v/>
      </c>
      <c r="I1015" s="254" t="inlineStr">
        <is>
          <t xml:space="preserve">     ถึง วันที่</t>
        </is>
      </c>
      <c r="J1015" s="254">
        <f>J3</f>
        <v/>
      </c>
      <c r="K1015" s="254" t="inlineStr">
        <is>
          <t xml:space="preserve">   เดือน </t>
        </is>
      </c>
      <c r="L1015" s="254">
        <f>L3</f>
        <v/>
      </c>
      <c r="N1015" s="254">
        <f>N3</f>
        <v/>
      </c>
      <c r="P1015" s="254" t="n"/>
      <c r="R1015" s="254" t="n"/>
    </row>
    <row r="1016" ht="22.2" customHeight="1" s="330">
      <c r="G1016" s="58" t="inlineStr">
        <is>
          <t>ü</t>
        </is>
      </c>
      <c r="H1016" s="8" t="inlineStr">
        <is>
          <t>ครูพิเศษ</t>
        </is>
      </c>
      <c r="I1016" s="249" t="inlineStr">
        <is>
          <t>หน้าที่พิเศษ</t>
        </is>
      </c>
      <c r="K1016" s="290" t="n"/>
    </row>
    <row r="1017" ht="22.2" customHeight="1" s="330">
      <c r="A1017" s="28" t="inlineStr">
        <is>
          <t>ที่</t>
        </is>
      </c>
      <c r="B1017" s="28" t="inlineStr">
        <is>
          <t>ชื่อ-สกุล</t>
        </is>
      </c>
      <c r="C1017" s="334" t="n"/>
      <c r="D1017" s="335" t="n"/>
      <c r="E1017" s="16" t="inlineStr">
        <is>
          <t>ตำแหน่ง</t>
        </is>
      </c>
      <c r="F1017" s="17" t="inlineStr">
        <is>
          <t>ระยะเวลาที่สอน</t>
        </is>
      </c>
      <c r="G1017" s="362" t="n"/>
      <c r="H1017" s="17" t="inlineStr">
        <is>
          <t>รหัสวิชา</t>
        </is>
      </c>
      <c r="I1017" s="275" t="inlineStr">
        <is>
          <t>ชั้น,แผนก,ห้อง</t>
        </is>
      </c>
      <c r="J1017" s="17" t="inlineStr">
        <is>
          <t>เวลาสอน</t>
        </is>
      </c>
      <c r="K1017" s="335" t="n"/>
      <c r="L1017" s="17" t="inlineStr">
        <is>
          <t>ปวช.(คาบ)</t>
        </is>
      </c>
      <c r="M1017" s="362" t="n"/>
      <c r="N1017" s="244" t="inlineStr">
        <is>
          <t>เงิน</t>
        </is>
      </c>
      <c r="O1017" s="275" t="inlineStr">
        <is>
          <t>ยอดเงิน</t>
        </is>
      </c>
      <c r="P1017" s="473" t="inlineStr">
        <is>
          <t>ปวส.(คาบ)</t>
        </is>
      </c>
      <c r="Q1017" s="362" t="n"/>
      <c r="R1017" s="244" t="inlineStr">
        <is>
          <t>เงิน</t>
        </is>
      </c>
      <c r="S1017" s="275" t="inlineStr">
        <is>
          <t>ยอดเงิน</t>
        </is>
      </c>
    </row>
    <row r="1018" ht="22.2" customHeight="1" s="330">
      <c r="A1018" s="60" t="n"/>
      <c r="B1018" s="9" t="n"/>
      <c r="C1018" s="10" t="n"/>
      <c r="D1018" s="14" t="n"/>
      <c r="E1018" s="11" t="n"/>
      <c r="F1018" s="276" t="inlineStr">
        <is>
          <t>ส.</t>
        </is>
      </c>
      <c r="G1018" s="276" t="inlineStr">
        <is>
          <t>วดป.</t>
        </is>
      </c>
      <c r="H1018" s="474" t="n"/>
      <c r="I1018" s="276" t="n"/>
      <c r="J1018" s="475" t="n"/>
      <c r="K1018" s="476" t="n"/>
      <c r="L1018" s="276" t="inlineStr">
        <is>
          <t>ใน</t>
        </is>
      </c>
      <c r="M1018" s="276" t="inlineStr">
        <is>
          <t>นอก</t>
        </is>
      </c>
      <c r="N1018" s="276" t="inlineStr">
        <is>
          <t>ต่อ ชม.</t>
        </is>
      </c>
      <c r="O1018" s="276" t="inlineStr">
        <is>
          <t>(บาท)</t>
        </is>
      </c>
      <c r="P1018" s="60" t="inlineStr">
        <is>
          <t>ใน</t>
        </is>
      </c>
      <c r="Q1018" s="60" t="inlineStr">
        <is>
          <t>นอก</t>
        </is>
      </c>
      <c r="R1018" s="276" t="inlineStr">
        <is>
          <t>ต่อ ชม.</t>
        </is>
      </c>
      <c r="S1018" s="276" t="inlineStr">
        <is>
          <t>(บาท)</t>
        </is>
      </c>
    </row>
    <row r="1019" ht="22.2" customHeight="1" s="330">
      <c r="A1019" s="275" t="n">
        <v>23</v>
      </c>
      <c r="B1019" s="477">
        <f>AB25</f>
        <v/>
      </c>
      <c r="C1019" s="334" t="n"/>
      <c r="D1019" s="335" t="n"/>
      <c r="E1019" s="275" t="inlineStr">
        <is>
          <t>ครู</t>
        </is>
      </c>
      <c r="F1019" s="6" t="n">
        <v>5</v>
      </c>
      <c r="G1019" s="303" t="inlineStr">
        <is>
          <t>จันทร์</t>
        </is>
      </c>
      <c r="H1019" s="252" t="inlineStr">
        <is>
          <t>20101-8501</t>
        </is>
      </c>
      <c r="I1019" s="325" t="inlineStr">
        <is>
          <t>ปวช.3/9,10 ชย. (ทวิ)</t>
        </is>
      </c>
      <c r="J1019" s="332" t="inlineStr">
        <is>
          <t>08.10-12.10</t>
        </is>
      </c>
      <c r="K1019" s="335" t="n"/>
      <c r="L1019" s="265" t="n"/>
      <c r="M1019" s="332" t="n"/>
      <c r="N1019" s="332" t="n"/>
      <c r="O1019" s="244">
        <f>M1019*N1019</f>
        <v/>
      </c>
      <c r="P1019" s="332" t="n"/>
      <c r="Q1019" s="265" t="n"/>
      <c r="R1019" s="332" t="n"/>
      <c r="S1019" s="244">
        <f>Q1019*R1019</f>
        <v/>
      </c>
    </row>
    <row r="1020" ht="22.2" customHeight="1" s="330">
      <c r="A1020" s="4" t="n"/>
      <c r="B1020" s="478" t="n"/>
      <c r="D1020" s="331" t="n"/>
      <c r="E1020" s="252" t="inlineStr">
        <is>
          <t>พิเศษ</t>
        </is>
      </c>
      <c r="F1020" s="249" t="n"/>
      <c r="G1020" s="308">
        <f>G974</f>
        <v/>
      </c>
      <c r="H1020" s="252" t="n"/>
      <c r="I1020" s="325" t="n"/>
      <c r="J1020" s="325" t="n"/>
      <c r="K1020" s="331" t="n"/>
      <c r="L1020" s="252" t="n"/>
      <c r="M1020" s="252" t="n"/>
      <c r="N1020" s="252" t="n"/>
      <c r="O1020" s="244">
        <f>M1020*N1020</f>
        <v/>
      </c>
      <c r="P1020" s="252" t="n"/>
      <c r="Q1020" s="252" t="n"/>
      <c r="R1020" s="252" t="n"/>
      <c r="S1020" s="244">
        <f>Q1020*R1020</f>
        <v/>
      </c>
    </row>
    <row r="1021" ht="22.2" customHeight="1" s="330">
      <c r="A1021" s="4" t="n"/>
      <c r="B1021" s="5" t="n"/>
      <c r="D1021" s="3" t="n"/>
      <c r="E1021" s="3" t="n"/>
      <c r="F1021" s="249" t="n"/>
      <c r="G1021" s="248" t="n"/>
      <c r="H1021" s="252" t="n"/>
      <c r="I1021" s="252" t="n"/>
      <c r="J1021" s="252" t="n"/>
      <c r="K1021" s="331" t="n"/>
      <c r="L1021" s="252" t="n"/>
      <c r="M1021" s="252" t="n"/>
      <c r="N1021" s="252" t="n"/>
      <c r="O1021" s="244">
        <f>M1021*N1021</f>
        <v/>
      </c>
      <c r="P1021" s="252" t="n"/>
      <c r="Q1021" s="252" t="n"/>
      <c r="R1021" s="252" t="n"/>
      <c r="S1021" s="244">
        <f>Q1021*R1021</f>
        <v/>
      </c>
    </row>
    <row r="1022" ht="22.2" customHeight="1" s="330">
      <c r="A1022" s="4" t="n"/>
      <c r="B1022" s="5" t="n"/>
      <c r="E1022" s="4" t="n"/>
      <c r="F1022" s="249" t="n"/>
      <c r="G1022" s="248" t="n"/>
      <c r="H1022" s="252" t="n"/>
      <c r="I1022" s="252" t="n"/>
      <c r="J1022" s="252" t="n"/>
      <c r="K1022" s="331" t="n"/>
      <c r="L1022" s="252" t="n"/>
      <c r="M1022" s="252" t="n"/>
      <c r="N1022" s="252" t="n"/>
      <c r="O1022" s="244">
        <f>M1022*N1022</f>
        <v/>
      </c>
      <c r="P1022" s="252" t="n"/>
      <c r="Q1022" s="252" t="n"/>
      <c r="R1022" s="252" t="n"/>
      <c r="S1022" s="244">
        <f>Q1022*R1022</f>
        <v/>
      </c>
    </row>
    <row r="1023" ht="22.2" customHeight="1" s="330">
      <c r="A1023" s="4" t="n"/>
      <c r="E1023" s="4" t="n"/>
      <c r="G1023" s="311" t="n"/>
      <c r="H1023" s="276" t="n"/>
      <c r="I1023" s="276" t="n"/>
      <c r="J1023" s="276" t="n"/>
      <c r="K1023" s="476" t="n"/>
      <c r="L1023" s="252" t="n"/>
      <c r="M1023" s="252" t="n"/>
      <c r="N1023" s="252" t="n"/>
      <c r="O1023" s="244">
        <f>M1023*N1023</f>
        <v/>
      </c>
      <c r="P1023" s="252" t="n"/>
      <c r="Q1023" s="252" t="n"/>
      <c r="R1023" s="252" t="n"/>
      <c r="S1023" s="244">
        <f>Q1023*R1023</f>
        <v/>
      </c>
    </row>
    <row r="1024" ht="22.2" customHeight="1" s="330">
      <c r="A1024" s="4" t="n"/>
      <c r="E1024" s="4" t="n"/>
      <c r="G1024" s="62" t="inlineStr">
        <is>
          <t>อังคาร</t>
        </is>
      </c>
      <c r="H1024" s="252" t="inlineStr">
        <is>
          <t>20101-2001</t>
        </is>
      </c>
      <c r="I1024" s="325" t="inlineStr">
        <is>
          <t>ปวช.1/10 ชย. (ทวิ)</t>
        </is>
      </c>
      <c r="J1024" s="332" t="inlineStr">
        <is>
          <t>08.10-12.10</t>
        </is>
      </c>
      <c r="K1024" s="335" t="n"/>
      <c r="L1024" s="265" t="n"/>
      <c r="M1024" s="332" t="n"/>
      <c r="N1024" s="332" t="n"/>
      <c r="O1024" s="244">
        <f>M1024*N1024</f>
        <v/>
      </c>
      <c r="P1024" s="332" t="n"/>
      <c r="Q1024" s="265" t="n"/>
      <c r="R1024" s="332" t="n"/>
      <c r="S1024" s="244">
        <f>Q1024*R1024</f>
        <v/>
      </c>
    </row>
    <row r="1025" ht="22.2" customHeight="1" s="330">
      <c r="A1025" s="4" t="n"/>
      <c r="E1025" s="4" t="n"/>
      <c r="G1025" s="308">
        <f>G979</f>
        <v/>
      </c>
      <c r="H1025" s="252" t="inlineStr">
        <is>
          <t>20101-2001</t>
        </is>
      </c>
      <c r="I1025" s="325" t="inlineStr">
        <is>
          <t>ปวช.1/10 ชย. (ทวิ)</t>
        </is>
      </c>
      <c r="J1025" s="252" t="inlineStr">
        <is>
          <t>13.10-16.10</t>
        </is>
      </c>
      <c r="K1025" s="331" t="n"/>
      <c r="L1025" s="252" t="n"/>
      <c r="M1025" s="252" t="n"/>
      <c r="N1025" s="252" t="n"/>
      <c r="O1025" s="244">
        <f>M1025*N1025</f>
        <v/>
      </c>
      <c r="P1025" s="252" t="n"/>
      <c r="Q1025" s="252" t="n"/>
      <c r="R1025" s="252" t="n"/>
      <c r="S1025" s="244">
        <f>Q1025*R1025</f>
        <v/>
      </c>
    </row>
    <row r="1026" ht="22.2" customHeight="1" s="330">
      <c r="A1026" s="4" t="n"/>
      <c r="B1026" s="5" t="n"/>
      <c r="D1026" s="3" t="n"/>
      <c r="E1026" s="3" t="n"/>
      <c r="G1026" s="252" t="n"/>
      <c r="H1026" s="252" t="n"/>
      <c r="I1026" s="252" t="n"/>
      <c r="J1026" s="252" t="n"/>
      <c r="K1026" s="331" t="n"/>
      <c r="L1026" s="252" t="n"/>
      <c r="M1026" s="252" t="n"/>
      <c r="N1026" s="252" t="n"/>
      <c r="O1026" s="244">
        <f>M1026*N1026</f>
        <v/>
      </c>
      <c r="P1026" s="252" t="n"/>
      <c r="Q1026" s="252" t="n"/>
      <c r="R1026" s="252" t="n"/>
      <c r="S1026" s="244">
        <f>Q1026*R1026</f>
        <v/>
      </c>
    </row>
    <row r="1027" ht="22.2" customHeight="1" s="330">
      <c r="A1027" s="4" t="n"/>
      <c r="E1027" s="4" t="n"/>
      <c r="G1027" s="62" t="n"/>
      <c r="H1027" s="252" t="n"/>
      <c r="I1027" s="252" t="n"/>
      <c r="J1027" s="252" t="n"/>
      <c r="K1027" s="331" t="n"/>
      <c r="L1027" s="252" t="n"/>
      <c r="M1027" s="252" t="n"/>
      <c r="N1027" s="252" t="n"/>
      <c r="O1027" s="244">
        <f>M1027*N1027</f>
        <v/>
      </c>
      <c r="P1027" s="252" t="n"/>
      <c r="Q1027" s="252" t="n"/>
      <c r="R1027" s="252" t="n"/>
      <c r="S1027" s="244">
        <f>Q1027*R1027</f>
        <v/>
      </c>
    </row>
    <row r="1028" ht="22.2" customHeight="1" s="330">
      <c r="A1028" s="4" t="n"/>
      <c r="D1028" s="8" t="inlineStr">
        <is>
          <t> </t>
        </is>
      </c>
      <c r="E1028" s="4" t="n"/>
      <c r="G1028" s="63" t="n"/>
      <c r="H1028" s="276" t="n"/>
      <c r="I1028" s="276" t="n"/>
      <c r="J1028" s="276" t="n"/>
      <c r="K1028" s="476" t="n"/>
      <c r="L1028" s="252" t="n"/>
      <c r="M1028" s="252" t="n"/>
      <c r="N1028" s="252" t="n"/>
      <c r="O1028" s="244">
        <f>M1028*N1028</f>
        <v/>
      </c>
      <c r="P1028" s="252" t="n"/>
      <c r="Q1028" s="252" t="n"/>
      <c r="R1028" s="252" t="n"/>
      <c r="S1028" s="244">
        <f>Q1028*R1028</f>
        <v/>
      </c>
    </row>
    <row r="1029" ht="22.2" customHeight="1" s="330">
      <c r="A1029" s="4" t="n"/>
      <c r="E1029" s="4" t="n"/>
      <c r="G1029" s="308" t="inlineStr">
        <is>
          <t>พุธ</t>
        </is>
      </c>
      <c r="H1029" s="252" t="inlineStr">
        <is>
          <t>20101-2101</t>
        </is>
      </c>
      <c r="I1029" s="325" t="inlineStr">
        <is>
          <t>ปวช.1/4 ชย. (ปกติ)</t>
        </is>
      </c>
      <c r="J1029" s="332" t="inlineStr">
        <is>
          <t>08.10-12.10</t>
        </is>
      </c>
      <c r="K1029" s="335" t="n"/>
      <c r="L1029" s="265" t="n"/>
      <c r="M1029" s="332" t="n"/>
      <c r="N1029" s="332" t="n"/>
      <c r="O1029" s="244">
        <f>M1029*N1029</f>
        <v/>
      </c>
      <c r="P1029" s="332" t="n"/>
      <c r="Q1029" s="265" t="n"/>
      <c r="R1029" s="332" t="n"/>
      <c r="S1029" s="244">
        <f>Q1029*R1029</f>
        <v/>
      </c>
    </row>
    <row r="1030" ht="22.2" customHeight="1" s="330">
      <c r="A1030" s="4" t="n"/>
      <c r="B1030" s="248" t="n"/>
      <c r="C1030" s="249" t="n"/>
      <c r="D1030" s="249" t="n"/>
      <c r="E1030" s="252" t="n"/>
      <c r="G1030" s="308">
        <f>G984</f>
        <v/>
      </c>
      <c r="H1030" s="252" t="inlineStr">
        <is>
          <t>20101-2101</t>
        </is>
      </c>
      <c r="I1030" s="325" t="inlineStr">
        <is>
          <t>ปวช.1/4 ชย. (ปกติ)</t>
        </is>
      </c>
      <c r="J1030" s="252" t="inlineStr">
        <is>
          <t>13.10-16.10</t>
        </is>
      </c>
      <c r="K1030" s="331" t="n"/>
      <c r="L1030" s="252" t="n"/>
      <c r="M1030" s="252" t="n"/>
      <c r="N1030" s="252" t="n"/>
      <c r="O1030" s="244">
        <f>M1030*N1030</f>
        <v/>
      </c>
      <c r="P1030" s="252" t="n"/>
      <c r="Q1030" s="252" t="n"/>
      <c r="R1030" s="252" t="n"/>
      <c r="S1030" s="244">
        <f>Q1030*R1030</f>
        <v/>
      </c>
    </row>
    <row r="1031" ht="22.2" customHeight="1" s="330">
      <c r="A1031" s="4" t="n"/>
      <c r="B1031" s="5" t="n"/>
      <c r="D1031" s="3" t="n"/>
      <c r="E1031" s="3" t="n"/>
      <c r="G1031" s="252" t="n"/>
      <c r="H1031" s="252" t="n"/>
      <c r="I1031" s="325" t="n"/>
      <c r="J1031" s="252" t="n"/>
      <c r="K1031" s="331" t="n"/>
      <c r="L1031" s="252" t="n"/>
      <c r="M1031" s="252" t="n"/>
      <c r="N1031" s="252" t="n"/>
      <c r="O1031" s="244">
        <f>M1031*N1031</f>
        <v/>
      </c>
      <c r="P1031" s="252" t="n"/>
      <c r="Q1031" s="252" t="n"/>
      <c r="R1031" s="252" t="n"/>
      <c r="S1031" s="244">
        <f>Q1031*R1031</f>
        <v/>
      </c>
    </row>
    <row r="1032" ht="22.2" customHeight="1" s="330">
      <c r="A1032" s="4" t="n"/>
      <c r="E1032" s="4" t="n"/>
      <c r="G1032" s="248" t="n"/>
      <c r="H1032" s="248" t="n"/>
      <c r="I1032" s="252" t="n"/>
      <c r="J1032" s="252" t="n"/>
      <c r="K1032" s="331" t="n"/>
      <c r="L1032" s="252" t="n"/>
      <c r="M1032" s="252" t="n"/>
      <c r="N1032" s="252" t="n"/>
      <c r="O1032" s="244">
        <f>M1032*N1032</f>
        <v/>
      </c>
      <c r="P1032" s="252" t="n"/>
      <c r="Q1032" s="252" t="n"/>
      <c r="R1032" s="252" t="n"/>
      <c r="S1032" s="244">
        <f>Q1032*R1032</f>
        <v/>
      </c>
    </row>
    <row r="1033" ht="22.2" customHeight="1" s="330">
      <c r="A1033" s="4" t="n"/>
      <c r="E1033" s="4" t="n"/>
      <c r="G1033" s="277" t="n"/>
      <c r="H1033" s="277" t="n"/>
      <c r="I1033" s="276" t="n"/>
      <c r="J1033" s="276" t="n"/>
      <c r="K1033" s="476" t="n"/>
      <c r="L1033" s="276" t="n"/>
      <c r="M1033" s="276" t="n"/>
      <c r="N1033" s="276" t="n"/>
      <c r="O1033" s="244">
        <f>M1033*N1033</f>
        <v/>
      </c>
      <c r="P1033" s="276" t="n"/>
      <c r="Q1033" s="276" t="n"/>
      <c r="R1033" s="276" t="n"/>
      <c r="S1033" s="244">
        <f>Q1033*R1033</f>
        <v/>
      </c>
    </row>
    <row r="1034" ht="22.2" customHeight="1" s="330">
      <c r="A1034" s="4" t="n"/>
      <c r="E1034" s="4" t="n"/>
      <c r="G1034" s="62" t="inlineStr">
        <is>
          <t>พฤหัส</t>
        </is>
      </c>
      <c r="H1034" s="252" t="inlineStr">
        <is>
          <t>20101-2101</t>
        </is>
      </c>
      <c r="I1034" s="325" t="inlineStr">
        <is>
          <t>ปวช.1/1 ชย. (ปกติ)</t>
        </is>
      </c>
      <c r="J1034" s="332" t="inlineStr">
        <is>
          <t>08.10-12.10</t>
        </is>
      </c>
      <c r="K1034" s="335" t="n"/>
      <c r="L1034" s="325" t="n"/>
      <c r="M1034" s="275" t="n"/>
      <c r="N1034" s="275" t="n"/>
      <c r="O1034" s="244">
        <f>M1034*N1034</f>
        <v/>
      </c>
      <c r="P1034" s="275" t="n"/>
      <c r="Q1034" s="275" t="n"/>
      <c r="R1034" s="275" t="n"/>
      <c r="S1034" s="244">
        <f>Q1034*R1034</f>
        <v/>
      </c>
      <c r="T1034" s="25" t="n"/>
      <c r="U1034" s="26" t="inlineStr">
        <is>
          <t xml:space="preserve">     PLC</t>
        </is>
      </c>
      <c r="V1034" s="64" t="n"/>
      <c r="W1034" s="27" t="n"/>
      <c r="X1034" s="27" t="n"/>
    </row>
    <row r="1035" ht="22.2" customHeight="1" s="330">
      <c r="A1035" s="4" t="n"/>
      <c r="E1035" s="4" t="n"/>
      <c r="G1035" s="308">
        <f>G989</f>
        <v/>
      </c>
      <c r="H1035" s="252" t="inlineStr">
        <is>
          <t>20101-2101</t>
        </is>
      </c>
      <c r="I1035" s="325" t="inlineStr">
        <is>
          <t>ปวช.1/1 ชย. (ปกติ)</t>
        </is>
      </c>
      <c r="J1035" s="252" t="inlineStr">
        <is>
          <t>15.10-18.10</t>
        </is>
      </c>
      <c r="K1035" s="331" t="n"/>
      <c r="L1035" s="252" t="n"/>
      <c r="M1035" s="252" t="n"/>
      <c r="N1035" s="252" t="n"/>
      <c r="O1035" s="244">
        <f>M1035*N1035</f>
        <v/>
      </c>
      <c r="P1035" s="252" t="n"/>
      <c r="Q1035" s="252" t="n"/>
      <c r="R1035" s="252" t="n"/>
      <c r="S1035" s="244">
        <f>Q1035*R1035</f>
        <v/>
      </c>
      <c r="T1035" s="27" t="inlineStr">
        <is>
          <t> </t>
        </is>
      </c>
      <c r="U1035" s="26" t="inlineStr">
        <is>
          <t>17.10-19.10</t>
        </is>
      </c>
      <c r="V1035" s="64" t="n"/>
      <c r="W1035" s="27" t="n"/>
      <c r="X1035" s="27" t="n"/>
    </row>
    <row r="1036" ht="22.2" customHeight="1" s="330">
      <c r="A1036" s="4" t="n"/>
      <c r="B1036" s="5" t="n"/>
      <c r="E1036" s="4" t="n"/>
      <c r="G1036" s="252" t="n"/>
      <c r="H1036" s="252" t="n"/>
      <c r="I1036" s="325" t="n"/>
      <c r="J1036" s="252" t="n"/>
      <c r="K1036" s="331" t="n"/>
      <c r="L1036" s="252" t="n"/>
      <c r="M1036" s="325" t="n"/>
      <c r="N1036" s="325" t="n"/>
      <c r="O1036" s="244">
        <f>M1036*N1036</f>
        <v/>
      </c>
      <c r="P1036" s="325" t="n"/>
      <c r="Q1036" s="325" t="n"/>
      <c r="R1036" s="325" t="n"/>
      <c r="S1036" s="244">
        <f>Q1036*R1036</f>
        <v/>
      </c>
    </row>
    <row r="1037" ht="22.2" customHeight="1" s="330">
      <c r="A1037" s="4" t="n"/>
      <c r="E1037" s="4" t="n"/>
      <c r="G1037" s="252" t="n"/>
      <c r="H1037" s="252" t="n"/>
      <c r="I1037" s="252" t="n"/>
      <c r="J1037" s="252" t="n"/>
      <c r="K1037" s="331" t="n"/>
      <c r="L1037" s="252" t="n"/>
      <c r="M1037" s="252" t="n"/>
      <c r="N1037" s="252" t="n"/>
      <c r="O1037" s="244">
        <f>M1037*N1037</f>
        <v/>
      </c>
      <c r="P1037" s="252" t="n"/>
      <c r="Q1037" s="252" t="n"/>
      <c r="R1037" s="252" t="n"/>
      <c r="S1037" s="244">
        <f>Q1037*R1037</f>
        <v/>
      </c>
    </row>
    <row r="1038" ht="22.2" customHeight="1" s="330">
      <c r="A1038" s="4" t="n"/>
      <c r="E1038" s="4" t="n"/>
      <c r="G1038" s="276" t="n"/>
      <c r="H1038" s="277" t="n"/>
      <c r="I1038" s="276" t="n"/>
      <c r="J1038" s="276" t="n"/>
      <c r="K1038" s="476" t="n"/>
      <c r="L1038" s="276" t="n"/>
      <c r="M1038" s="276" t="n"/>
      <c r="N1038" s="276" t="n"/>
      <c r="O1038" s="244">
        <f>M1038*N1038</f>
        <v/>
      </c>
      <c r="P1038" s="276" t="n"/>
      <c r="Q1038" s="276" t="n"/>
      <c r="R1038" s="276" t="n"/>
      <c r="S1038" s="244">
        <f>Q1038*R1038</f>
        <v/>
      </c>
    </row>
    <row r="1039" ht="22.2" customHeight="1" s="330">
      <c r="A1039" s="4" t="n"/>
      <c r="E1039" s="4" t="n"/>
      <c r="G1039" s="62" t="inlineStr">
        <is>
          <t>ศุกร์</t>
        </is>
      </c>
      <c r="H1039" s="252" t="inlineStr">
        <is>
          <t>20101-2101</t>
        </is>
      </c>
      <c r="I1039" s="325" t="inlineStr">
        <is>
          <t>ปวช.1/3 ชย. (ปกติ)</t>
        </is>
      </c>
      <c r="J1039" s="332" t="inlineStr">
        <is>
          <t>08.10-12.10</t>
        </is>
      </c>
      <c r="K1039" s="335" t="n"/>
      <c r="L1039" s="252" t="n"/>
      <c r="M1039" s="252" t="n"/>
      <c r="N1039" s="252" t="n"/>
      <c r="O1039" s="244">
        <f>M1039*N1039</f>
        <v/>
      </c>
      <c r="P1039" s="332" t="n"/>
      <c r="Q1039" s="265" t="n"/>
      <c r="R1039" s="332" t="n"/>
      <c r="S1039" s="244">
        <f>Q1039*R1039</f>
        <v/>
      </c>
    </row>
    <row r="1040" ht="22.2" customHeight="1" s="330">
      <c r="A1040" s="4" t="n"/>
      <c r="E1040" s="4" t="n"/>
      <c r="G1040" s="308">
        <f>G994</f>
        <v/>
      </c>
      <c r="H1040" s="252" t="inlineStr">
        <is>
          <t>20101-2101</t>
        </is>
      </c>
      <c r="I1040" s="325" t="inlineStr">
        <is>
          <t>ปวช.1/3 ชย. (ปกติ)</t>
        </is>
      </c>
      <c r="J1040" s="252" t="inlineStr">
        <is>
          <t>13.10-16.10</t>
        </is>
      </c>
      <c r="K1040" s="331" t="n"/>
      <c r="L1040" s="252" t="n"/>
      <c r="M1040" s="252" t="n"/>
      <c r="N1040" s="252" t="n"/>
      <c r="O1040" s="244">
        <f>M1040*N1040</f>
        <v/>
      </c>
      <c r="P1040" s="252" t="n"/>
      <c r="Q1040" s="252" t="n"/>
      <c r="R1040" s="252" t="n"/>
      <c r="S1040" s="244">
        <f>Q1040*R1040</f>
        <v/>
      </c>
    </row>
    <row r="1041" ht="22.2" customHeight="1" s="330">
      <c r="A1041" s="4" t="n"/>
      <c r="E1041" s="4" t="n"/>
      <c r="G1041" s="252" t="n"/>
      <c r="H1041" s="252" t="n"/>
      <c r="I1041" s="252" t="n"/>
      <c r="J1041" s="252" t="n"/>
      <c r="K1041" s="331" t="n"/>
      <c r="L1041" s="252" t="n"/>
      <c r="M1041" s="252" t="n"/>
      <c r="N1041" s="252" t="n"/>
      <c r="O1041" s="244">
        <f>M1041*N1041</f>
        <v/>
      </c>
      <c r="P1041" s="252" t="n"/>
      <c r="Q1041" s="252" t="n"/>
      <c r="R1041" s="252" t="n"/>
      <c r="S1041" s="244">
        <f>Q1041*R1041</f>
        <v/>
      </c>
    </row>
    <row r="1042" ht="22.2" customHeight="1" s="330">
      <c r="A1042" s="4" t="n"/>
      <c r="E1042" s="4" t="n"/>
      <c r="G1042" s="252" t="n"/>
      <c r="H1042" s="252" t="n"/>
      <c r="I1042" s="252" t="n"/>
      <c r="J1042" s="252" t="n"/>
      <c r="K1042" s="331" t="n"/>
      <c r="L1042" s="252" t="n"/>
      <c r="M1042" s="252" t="n"/>
      <c r="N1042" s="252" t="n"/>
      <c r="O1042" s="244">
        <f>M1042*N1042</f>
        <v/>
      </c>
      <c r="P1042" s="252" t="n"/>
      <c r="Q1042" s="252" t="n"/>
      <c r="R1042" s="252" t="n"/>
      <c r="S1042" s="244">
        <f>Q1042*R1042</f>
        <v/>
      </c>
    </row>
    <row r="1043" ht="22.2" customHeight="1" s="330">
      <c r="A1043" s="4" t="n"/>
      <c r="E1043" s="4" t="n"/>
      <c r="F1043" s="4" t="n"/>
      <c r="G1043" s="278" t="n"/>
      <c r="H1043" s="301" t="n"/>
      <c r="I1043" s="276" t="n"/>
      <c r="J1043" s="276" t="n"/>
      <c r="K1043" s="476" t="n"/>
      <c r="L1043" s="276" t="n"/>
      <c r="M1043" s="276" t="n"/>
      <c r="N1043" s="276" t="n"/>
      <c r="O1043" s="244">
        <f>M1043*N1043</f>
        <v/>
      </c>
      <c r="P1043" s="276" t="n"/>
      <c r="Q1043" s="276" t="n"/>
      <c r="R1043" s="276" t="n"/>
      <c r="S1043" s="244">
        <f>Q1043*R1043</f>
        <v/>
      </c>
    </row>
    <row r="1044" ht="22.2" customHeight="1" s="330">
      <c r="A1044" s="4" t="n"/>
      <c r="E1044" s="4" t="n"/>
      <c r="F1044" s="4" t="n"/>
      <c r="G1044" s="17" t="inlineStr">
        <is>
          <t>รวมขั่วโมงที่สอนแยก ภาระงาน/ เกินภาระงาน</t>
        </is>
      </c>
      <c r="H1044" s="467" t="n"/>
      <c r="I1044" s="467" t="n"/>
      <c r="J1044" s="467" t="n"/>
      <c r="K1044" s="362" t="n"/>
      <c r="L1044" s="17">
        <f>SUM(L1019:L1043)</f>
        <v/>
      </c>
      <c r="M1044" s="17">
        <f>SUM(M1019:M1043)</f>
        <v/>
      </c>
      <c r="N1044" s="17" t="n"/>
      <c r="O1044" s="17" t="n"/>
      <c r="P1044" s="17">
        <f>SUM(P1019:P1043)</f>
        <v/>
      </c>
      <c r="Q1044" s="17">
        <f>SUM(Q1019:Q1043)</f>
        <v/>
      </c>
      <c r="R1044" s="279" t="n"/>
      <c r="S1044" s="17" t="n"/>
    </row>
    <row r="1045" ht="22.2" customHeight="1" s="330">
      <c r="A1045" s="4" t="n"/>
      <c r="E1045" s="4" t="n"/>
      <c r="F1045" s="4" t="n"/>
      <c r="G1045" s="17" t="inlineStr">
        <is>
          <t>รวมจำนวนชั่วโมงสอนคาบต่อสับดาห์</t>
        </is>
      </c>
      <c r="H1045" s="467" t="n"/>
      <c r="I1045" s="467" t="n"/>
      <c r="J1045" s="467" t="n"/>
      <c r="K1045" s="362" t="n"/>
      <c r="L1045" s="17">
        <f>L1044+M1044</f>
        <v/>
      </c>
      <c r="M1045" s="362" t="n"/>
      <c r="N1045" s="298" t="n"/>
      <c r="O1045" s="17" t="n"/>
      <c r="P1045" s="17">
        <f>P1044+Q1044</f>
        <v/>
      </c>
      <c r="Q1045" s="362" t="n"/>
      <c r="R1045" s="278" t="n"/>
      <c r="S1045" s="276" t="n"/>
    </row>
    <row r="1046" ht="22.2" customHeight="1" s="330">
      <c r="A1046" s="4" t="n"/>
      <c r="E1046" s="4" t="n"/>
      <c r="F1046" s="4" t="n"/>
      <c r="G1046" s="17" t="inlineStr">
        <is>
          <t>จำนวนชั่วโมงสอนตามภาระงานสอน</t>
        </is>
      </c>
      <c r="H1046" s="467" t="n"/>
      <c r="I1046" s="467" t="n"/>
      <c r="J1046" s="467" t="n"/>
      <c r="K1046" s="362" t="n"/>
      <c r="L1046" s="17" t="n">
        <v>18</v>
      </c>
      <c r="M1046" s="362" t="n"/>
      <c r="N1046" s="298" t="n"/>
      <c r="O1046" s="17" t="n"/>
      <c r="P1046" s="17" t="n">
        <v>0</v>
      </c>
      <c r="Q1046" s="362" t="n"/>
      <c r="R1046" s="249" t="n"/>
      <c r="S1046" s="252" t="n"/>
    </row>
    <row r="1047" ht="22.2" customHeight="1" s="330" thickBot="1">
      <c r="A1047" s="4" t="n"/>
      <c r="E1047" s="4" t="n"/>
      <c r="F1047" s="15" t="n"/>
      <c r="G1047" s="17" t="inlineStr">
        <is>
          <t>จำนวนชั่วโมงบิกเกินภาระงานสอน/ค่าสอน</t>
        </is>
      </c>
      <c r="H1047" s="467" t="n"/>
      <c r="I1047" s="467" t="n"/>
      <c r="J1047" s="467" t="n"/>
      <c r="K1047" s="362" t="n"/>
      <c r="L1047" s="18" t="n">
        <v>0</v>
      </c>
      <c r="M1047" s="18">
        <f>SUM(M1019:M1043)</f>
        <v/>
      </c>
      <c r="N1047" s="18" t="n"/>
      <c r="O1047" s="18">
        <f>SUM(O1019:O1043)</f>
        <v/>
      </c>
      <c r="P1047" s="18" t="n">
        <v>0</v>
      </c>
      <c r="Q1047" s="18">
        <f>SUM(Q1019:Q1043)</f>
        <v/>
      </c>
      <c r="R1047" s="19" t="n"/>
      <c r="S1047" s="18">
        <f>SUM(S1019:S1043)</f>
        <v/>
      </c>
    </row>
    <row r="1048" ht="22.2" customHeight="1" s="330" thickTop="1">
      <c r="A1048" s="299" t="inlineStr">
        <is>
          <t>รวมจำนวนหน่วยชั่วโมงที่ขอเบิกค่าสอน ….</t>
        </is>
      </c>
      <c r="B1048" s="467" t="n"/>
      <c r="C1048" s="467" t="n"/>
      <c r="D1048" s="467" t="n"/>
      <c r="E1048" s="467" t="n"/>
      <c r="F1048" s="467" t="n"/>
      <c r="G1048" s="467" t="n"/>
      <c r="H1048" s="298">
        <f>M1047+Q1047</f>
        <v/>
      </c>
      <c r="I1048" s="298" t="inlineStr">
        <is>
          <t>….ชั่วโมง</t>
        </is>
      </c>
      <c r="J1048" s="298" t="n"/>
      <c r="K1048" s="301" t="inlineStr">
        <is>
          <t>ยอดเงินรวม</t>
        </is>
      </c>
      <c r="L1048" s="471" t="n"/>
      <c r="M1048" s="471" t="n"/>
      <c r="N1048" s="301" t="n"/>
      <c r="O1048" s="301" t="n"/>
      <c r="P1048" s="302">
        <f>S1047+O1047</f>
        <v/>
      </c>
      <c r="Q1048" s="482" t="n"/>
      <c r="R1048" s="21" t="n"/>
      <c r="S1048" s="20" t="inlineStr">
        <is>
          <t>..บาท</t>
        </is>
      </c>
    </row>
    <row r="1049" ht="22.2" customHeight="1" s="330">
      <c r="A1049" s="207" t="inlineStr">
        <is>
          <t>ผู้ขอเบิก</t>
        </is>
      </c>
      <c r="B1049" s="334" t="n"/>
      <c r="C1049" s="334" t="n"/>
      <c r="D1049" s="334" t="n"/>
      <c r="E1049" s="334" t="n"/>
      <c r="F1049" s="334" t="n"/>
      <c r="G1049" s="335" t="n"/>
      <c r="H1049" s="207" t="inlineStr">
        <is>
          <t>ผู้รับรอง</t>
        </is>
      </c>
      <c r="I1049" s="334" t="n"/>
      <c r="J1049" s="334" t="n"/>
      <c r="K1049" s="334" t="n"/>
      <c r="L1049" s="335" t="n"/>
      <c r="M1049" s="207" t="inlineStr">
        <is>
          <t>ผู้ตรวจ</t>
        </is>
      </c>
      <c r="N1049" s="334" t="n"/>
      <c r="O1049" s="334" t="n"/>
      <c r="P1049" s="334" t="n"/>
      <c r="Q1049" s="334" t="n"/>
      <c r="R1049" s="334" t="n"/>
      <c r="S1049" s="335" t="n"/>
    </row>
    <row r="1050" ht="22.2" customHeight="1" s="330">
      <c r="A1050" s="252" t="inlineStr">
        <is>
          <t>ลงชื่อ……………………………………………</t>
        </is>
      </c>
      <c r="G1050" s="331" t="n"/>
      <c r="H1050" s="252" t="inlineStr">
        <is>
          <t>ลงชื่อ……………………………………………</t>
        </is>
      </c>
      <c r="L1050" s="331" t="n"/>
      <c r="M1050" s="252" t="inlineStr">
        <is>
          <t>ลงชื่อ……………………………………………</t>
        </is>
      </c>
      <c r="S1050" s="331" t="n"/>
    </row>
    <row r="1051" ht="22.2" customHeight="1" s="330">
      <c r="A1051" s="12" t="inlineStr">
        <is>
          <t>(</t>
        </is>
      </c>
      <c r="B1051" s="309">
        <f>B1019</f>
        <v/>
      </c>
      <c r="G1051" s="310" t="inlineStr">
        <is>
          <t>)</t>
        </is>
      </c>
      <c r="H1051" s="309" t="inlineStr">
        <is>
          <t>(</t>
        </is>
      </c>
      <c r="I1051" s="314">
        <f>I1005</f>
        <v/>
      </c>
      <c r="L1051" s="13" t="inlineStr">
        <is>
          <t>)</t>
        </is>
      </c>
      <c r="M1051" s="61" t="inlineStr">
        <is>
          <t>(</t>
        </is>
      </c>
      <c r="N1051" s="61" t="n"/>
      <c r="O1051" s="309" t="inlineStr">
        <is>
          <t>นายพิสุทธิศักดิ์  กล่อมนาค</t>
        </is>
      </c>
      <c r="R1051" s="29" t="n"/>
      <c r="S1051" s="310" t="inlineStr">
        <is>
          <t>)</t>
        </is>
      </c>
    </row>
    <row r="1052" ht="22.2" customHeight="1" s="330">
      <c r="A1052" s="483" t="inlineStr">
        <is>
          <t xml:space="preserve">                 ตำแหน่ง  ครูพิเศษ</t>
        </is>
      </c>
      <c r="G1052" s="331" t="n"/>
      <c r="H1052" s="62" t="inlineStr">
        <is>
          <t>ตำแหน่ง หัวหน้าแผนก</t>
        </is>
      </c>
      <c r="L1052" s="331" t="n"/>
      <c r="M1052" s="62" t="inlineStr">
        <is>
          <t>ตำแหน่ง   ผู้ตรวจสอบ</t>
        </is>
      </c>
      <c r="S1052" s="331" t="n"/>
    </row>
    <row r="1053" ht="22.2" customHeight="1" s="330">
      <c r="A1053" s="63">
        <f>A41</f>
        <v/>
      </c>
      <c r="B1053" s="471" t="n"/>
      <c r="C1053" s="471" t="n"/>
      <c r="D1053" s="471" t="n"/>
      <c r="E1053" s="471" t="n"/>
      <c r="F1053" s="471" t="n"/>
      <c r="G1053" s="476" t="n"/>
      <c r="H1053" s="62">
        <f>A41</f>
        <v/>
      </c>
      <c r="L1053" s="331" t="n"/>
      <c r="M1053" s="63">
        <f>A41</f>
        <v/>
      </c>
      <c r="N1053" s="471" t="n"/>
      <c r="O1053" s="471" t="n"/>
      <c r="P1053" s="471" t="n"/>
      <c r="Q1053" s="471" t="n"/>
      <c r="R1053" s="471" t="n"/>
      <c r="S1053" s="476" t="n"/>
    </row>
    <row r="1054" ht="22.2" customHeight="1" s="330">
      <c r="A1054" s="207" t="inlineStr">
        <is>
          <t>ผู้ตรวจ</t>
        </is>
      </c>
      <c r="B1054" s="334" t="n"/>
      <c r="C1054" s="334" t="n"/>
      <c r="D1054" s="334" t="n"/>
      <c r="E1054" s="334" t="n"/>
      <c r="F1054" s="334" t="n"/>
      <c r="G1054" s="334" t="n"/>
      <c r="H1054" s="334" t="n"/>
      <c r="I1054" s="335" t="n"/>
      <c r="J1054" s="207" t="inlineStr">
        <is>
          <t>ผู้เห็นชอบ</t>
        </is>
      </c>
      <c r="K1054" s="334" t="n"/>
      <c r="L1054" s="334" t="n"/>
      <c r="M1054" s="334" t="n"/>
      <c r="N1054" s="334" t="n"/>
      <c r="O1054" s="334" t="n"/>
      <c r="P1054" s="334" t="n"/>
      <c r="Q1054" s="334" t="n"/>
      <c r="R1054" s="334" t="n"/>
      <c r="S1054" s="335" t="n"/>
    </row>
    <row r="1055" ht="22.2" customHeight="1" s="330">
      <c r="A1055" s="252" t="inlineStr">
        <is>
          <t>ลงชื่อ……………………………………………</t>
        </is>
      </c>
      <c r="I1055" s="331" t="n"/>
      <c r="J1055" s="252" t="inlineStr">
        <is>
          <t>ลงชื่อ……………………………………………</t>
        </is>
      </c>
      <c r="S1055" s="331" t="n"/>
    </row>
    <row r="1056" ht="22.2" customHeight="1" s="330">
      <c r="A1056" s="12" t="n"/>
      <c r="B1056" s="309" t="inlineStr">
        <is>
          <t xml:space="preserve">          (นางศิวรักษ์   บุญประเสริฐ)</t>
        </is>
      </c>
      <c r="I1056" s="310" t="n"/>
      <c r="J1056" s="29" t="n"/>
      <c r="K1056" s="29" t="n"/>
      <c r="L1056" s="309" t="inlineStr">
        <is>
          <t>(นายปรีชา  โพธิ์เกิด)</t>
        </is>
      </c>
      <c r="R1056" s="29" t="n"/>
      <c r="S1056" s="13" t="n"/>
    </row>
    <row r="1057" ht="22.2" customHeight="1" s="330">
      <c r="A1057" s="62" t="inlineStr">
        <is>
          <t>ตำแหน่งครู  หัวหน้างานพัฒนาหลักสูตร ฯ</t>
        </is>
      </c>
      <c r="I1057" s="331" t="n"/>
      <c r="J1057" s="62" t="inlineStr">
        <is>
          <t>ตำแหน่ง  รองผู้อำนวยการฝ่ายวิชาการ</t>
        </is>
      </c>
      <c r="S1057" s="331" t="n"/>
    </row>
    <row r="1058" ht="22.2" customHeight="1" s="330">
      <c r="A1058" s="63">
        <f>A41</f>
        <v/>
      </c>
      <c r="B1058" s="471" t="n"/>
      <c r="C1058" s="471" t="n"/>
      <c r="D1058" s="471" t="n"/>
      <c r="E1058" s="471" t="n"/>
      <c r="F1058" s="471" t="n"/>
      <c r="G1058" s="471" t="n"/>
      <c r="H1058" s="471" t="n"/>
      <c r="I1058" s="476" t="n"/>
      <c r="J1058" s="63">
        <f>A41</f>
        <v/>
      </c>
      <c r="K1058" s="471" t="n"/>
      <c r="L1058" s="471" t="n"/>
      <c r="M1058" s="471" t="n"/>
      <c r="N1058" s="471" t="n"/>
      <c r="O1058" s="471" t="n"/>
      <c r="P1058" s="471" t="n"/>
      <c r="Q1058" s="471" t="n"/>
      <c r="R1058" s="471" t="n"/>
      <c r="S1058" s="476" t="n"/>
    </row>
    <row r="1059" ht="22.2" customHeight="1" s="330">
      <c r="A1059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060" ht="22.2" customHeight="1" s="330">
      <c r="A1060" s="254">
        <f>A2</f>
        <v/>
      </c>
    </row>
    <row r="1061" ht="22.2" customHeight="1" s="330">
      <c r="A1061" s="253" t="inlineStr">
        <is>
          <t xml:space="preserve">    ระหว่างวันที่</t>
        </is>
      </c>
      <c r="D1061" s="254">
        <f>D3</f>
        <v/>
      </c>
      <c r="E1061" s="254" t="inlineStr">
        <is>
          <t xml:space="preserve">   เดือน  </t>
        </is>
      </c>
      <c r="F1061" s="254">
        <f>F3</f>
        <v/>
      </c>
      <c r="H1061" s="254">
        <f>H3</f>
        <v/>
      </c>
      <c r="I1061" s="254" t="inlineStr">
        <is>
          <t xml:space="preserve">     ถึง วันที่</t>
        </is>
      </c>
      <c r="J1061" s="254">
        <f>J3</f>
        <v/>
      </c>
      <c r="K1061" s="254" t="inlineStr">
        <is>
          <t xml:space="preserve">   เดือน </t>
        </is>
      </c>
      <c r="L1061" s="254">
        <f>L3</f>
        <v/>
      </c>
      <c r="N1061" s="254">
        <f>N3</f>
        <v/>
      </c>
      <c r="P1061" s="254" t="n"/>
      <c r="R1061" s="254" t="n"/>
    </row>
    <row r="1062" ht="22.2" customHeight="1" s="330">
      <c r="G1062" s="58" t="inlineStr">
        <is>
          <t>ü</t>
        </is>
      </c>
      <c r="H1062" s="8" t="inlineStr">
        <is>
          <t>ครูพิเศษ</t>
        </is>
      </c>
      <c r="I1062" s="249" t="inlineStr">
        <is>
          <t>หน้าที่พิเศษ</t>
        </is>
      </c>
      <c r="K1062" s="290" t="n"/>
    </row>
    <row r="1063" ht="22.2" customHeight="1" s="330">
      <c r="A1063" s="28" t="inlineStr">
        <is>
          <t>ที่</t>
        </is>
      </c>
      <c r="B1063" s="28" t="inlineStr">
        <is>
          <t>ชื่อ-สกุล</t>
        </is>
      </c>
      <c r="C1063" s="334" t="n"/>
      <c r="D1063" s="335" t="n"/>
      <c r="E1063" s="16" t="inlineStr">
        <is>
          <t>ตำแหน่ง</t>
        </is>
      </c>
      <c r="F1063" s="17" t="inlineStr">
        <is>
          <t>ระยะเวลาที่สอน</t>
        </is>
      </c>
      <c r="G1063" s="362" t="n"/>
      <c r="H1063" s="17" t="inlineStr">
        <is>
          <t>รหัสวิชา</t>
        </is>
      </c>
      <c r="I1063" s="275" t="inlineStr">
        <is>
          <t>ชั้น,แผนก,ห้อง</t>
        </is>
      </c>
      <c r="J1063" s="17" t="inlineStr">
        <is>
          <t>เวลาสอน</t>
        </is>
      </c>
      <c r="K1063" s="335" t="n"/>
      <c r="L1063" s="17" t="inlineStr">
        <is>
          <t>ปวช.(คาบ)</t>
        </is>
      </c>
      <c r="M1063" s="362" t="n"/>
      <c r="N1063" s="244" t="inlineStr">
        <is>
          <t>เงิน</t>
        </is>
      </c>
      <c r="O1063" s="275" t="inlineStr">
        <is>
          <t>ยอดเงิน</t>
        </is>
      </c>
      <c r="P1063" s="473" t="inlineStr">
        <is>
          <t>ปวส.(คาบ)</t>
        </is>
      </c>
      <c r="Q1063" s="362" t="n"/>
      <c r="R1063" s="244" t="inlineStr">
        <is>
          <t>เงิน</t>
        </is>
      </c>
      <c r="S1063" s="275" t="inlineStr">
        <is>
          <t>ยอดเงิน</t>
        </is>
      </c>
    </row>
    <row r="1064" ht="22.2" customHeight="1" s="330">
      <c r="A1064" s="60" t="n"/>
      <c r="B1064" s="9" t="n"/>
      <c r="C1064" s="10" t="n"/>
      <c r="D1064" s="14" t="n"/>
      <c r="E1064" s="11" t="n"/>
      <c r="F1064" s="276" t="inlineStr">
        <is>
          <t>ส.</t>
        </is>
      </c>
      <c r="G1064" s="276" t="inlineStr">
        <is>
          <t>วดป.</t>
        </is>
      </c>
      <c r="H1064" s="474" t="n"/>
      <c r="I1064" s="276" t="n"/>
      <c r="J1064" s="475" t="n"/>
      <c r="K1064" s="476" t="n"/>
      <c r="L1064" s="276" t="inlineStr">
        <is>
          <t>ใน</t>
        </is>
      </c>
      <c r="M1064" s="276" t="inlineStr">
        <is>
          <t>นอก</t>
        </is>
      </c>
      <c r="N1064" s="276" t="inlineStr">
        <is>
          <t>ต่อ ชม.</t>
        </is>
      </c>
      <c r="O1064" s="276" t="inlineStr">
        <is>
          <t>(บาท)</t>
        </is>
      </c>
      <c r="P1064" s="60" t="inlineStr">
        <is>
          <t>ใน</t>
        </is>
      </c>
      <c r="Q1064" s="60" t="inlineStr">
        <is>
          <t>นอก</t>
        </is>
      </c>
      <c r="R1064" s="276" t="inlineStr">
        <is>
          <t>ต่อ ชม.</t>
        </is>
      </c>
      <c r="S1064" s="276" t="inlineStr">
        <is>
          <t>(บาท)</t>
        </is>
      </c>
    </row>
    <row r="1065" ht="22.2" customHeight="1" s="330">
      <c r="A1065" s="275" t="n">
        <v>24</v>
      </c>
      <c r="B1065" s="477">
        <f>AB26</f>
        <v/>
      </c>
      <c r="C1065" s="334" t="n"/>
      <c r="D1065" s="335" t="n"/>
      <c r="E1065" s="275" t="inlineStr">
        <is>
          <t>ครู</t>
        </is>
      </c>
      <c r="F1065" s="6" t="n">
        <v>5</v>
      </c>
      <c r="G1065" s="303" t="inlineStr">
        <is>
          <t>จันทร์</t>
        </is>
      </c>
      <c r="H1065" s="252" t="inlineStr">
        <is>
          <t>20101-5102</t>
        </is>
      </c>
      <c r="I1065" s="325" t="inlineStr">
        <is>
          <t>ปวช.2/9 ชย. (ทวิ)</t>
        </is>
      </c>
      <c r="J1065" s="332" t="inlineStr">
        <is>
          <t>08.10-12.10</t>
        </is>
      </c>
      <c r="K1065" s="335" t="n"/>
      <c r="L1065" s="265" t="n"/>
      <c r="M1065" s="332" t="n"/>
      <c r="N1065" s="332" t="n"/>
      <c r="O1065" s="244">
        <f>M1065*N1065</f>
        <v/>
      </c>
      <c r="P1065" s="332" t="n"/>
      <c r="Q1065" s="265" t="n"/>
      <c r="R1065" s="332" t="n"/>
      <c r="S1065" s="244">
        <f>Q1065*R1065</f>
        <v/>
      </c>
    </row>
    <row r="1066" ht="22.2" customHeight="1" s="330">
      <c r="A1066" s="4" t="n"/>
      <c r="B1066" s="478" t="n"/>
      <c r="D1066" s="331" t="n"/>
      <c r="E1066" s="252" t="inlineStr">
        <is>
          <t>พิเศษ</t>
        </is>
      </c>
      <c r="F1066" s="249" t="n"/>
      <c r="G1066" s="308">
        <f>G1020</f>
        <v/>
      </c>
      <c r="H1066" s="252" t="inlineStr">
        <is>
          <t>20101-5102</t>
        </is>
      </c>
      <c r="I1066" s="325" t="inlineStr">
        <is>
          <t>ปวช.2/9 ชย. (ทวิ)</t>
        </is>
      </c>
      <c r="J1066" s="325" t="inlineStr">
        <is>
          <t>13.10-16.10</t>
        </is>
      </c>
      <c r="K1066" s="331" t="n"/>
      <c r="L1066" s="252" t="n"/>
      <c r="M1066" s="252" t="n"/>
      <c r="N1066" s="252" t="n"/>
      <c r="O1066" s="244">
        <f>M1066*N1066</f>
        <v/>
      </c>
      <c r="P1066" s="252" t="n"/>
      <c r="Q1066" s="252" t="n"/>
      <c r="R1066" s="252" t="n"/>
      <c r="S1066" s="244">
        <f>Q1066*R1066</f>
        <v/>
      </c>
    </row>
    <row r="1067" ht="22.2" customHeight="1" s="330">
      <c r="A1067" s="4" t="n"/>
      <c r="B1067" s="5" t="n"/>
      <c r="D1067" s="3" t="n"/>
      <c r="E1067" s="3" t="n"/>
      <c r="F1067" s="249" t="n"/>
      <c r="G1067" s="248" t="n"/>
      <c r="H1067" s="252" t="inlineStr">
        <is>
          <t>20101-8501</t>
        </is>
      </c>
      <c r="I1067" s="325" t="inlineStr">
        <is>
          <t>ปวช.3/3,4 ชย. (ปกติ)</t>
        </is>
      </c>
      <c r="J1067" s="325" t="inlineStr">
        <is>
          <t>16.10-18.10</t>
        </is>
      </c>
      <c r="K1067" s="331" t="n"/>
      <c r="L1067" s="252" t="n"/>
      <c r="M1067" s="252" t="n"/>
      <c r="N1067" s="252" t="n"/>
      <c r="O1067" s="244">
        <f>M1067*N1067</f>
        <v/>
      </c>
      <c r="P1067" s="252" t="n"/>
      <c r="Q1067" s="252" t="n"/>
      <c r="R1067" s="252" t="n"/>
      <c r="S1067" s="244">
        <f>Q1067*R1067</f>
        <v/>
      </c>
    </row>
    <row r="1068" ht="22.2" customHeight="1" s="330">
      <c r="A1068" s="4" t="n"/>
      <c r="B1068" s="5" t="n"/>
      <c r="E1068" s="4" t="n"/>
      <c r="F1068" s="249" t="n"/>
      <c r="G1068" s="248" t="n"/>
      <c r="H1068" s="252" t="n"/>
      <c r="I1068" s="252" t="n"/>
      <c r="J1068" s="252" t="n"/>
      <c r="K1068" s="331" t="n"/>
      <c r="L1068" s="252" t="n"/>
      <c r="M1068" s="252" t="n"/>
      <c r="N1068" s="252" t="n"/>
      <c r="O1068" s="244">
        <f>M1068*N1068</f>
        <v/>
      </c>
      <c r="P1068" s="252" t="n"/>
      <c r="Q1068" s="252" t="n"/>
      <c r="R1068" s="252" t="n"/>
      <c r="S1068" s="244">
        <f>Q1068*R1068</f>
        <v/>
      </c>
    </row>
    <row r="1069" ht="22.2" customHeight="1" s="330">
      <c r="A1069" s="4" t="n"/>
      <c r="D1069" s="8" t="inlineStr">
        <is>
          <t> </t>
        </is>
      </c>
      <c r="E1069" s="4" t="n"/>
      <c r="G1069" s="311" t="n"/>
      <c r="H1069" s="276" t="n"/>
      <c r="I1069" s="57" t="n"/>
      <c r="J1069" s="276" t="n"/>
      <c r="K1069" s="476" t="n"/>
      <c r="L1069" s="252" t="n"/>
      <c r="M1069" s="252" t="n"/>
      <c r="N1069" s="252" t="n"/>
      <c r="O1069" s="244">
        <f>M1069*N1069</f>
        <v/>
      </c>
      <c r="P1069" s="252" t="n"/>
      <c r="Q1069" s="252" t="n"/>
      <c r="R1069" s="252" t="n"/>
      <c r="S1069" s="244">
        <f>Q1069*R1069</f>
        <v/>
      </c>
    </row>
    <row r="1070" ht="22.2" customHeight="1" s="330">
      <c r="A1070" s="4" t="n"/>
      <c r="E1070" s="4" t="n"/>
      <c r="G1070" s="62" t="inlineStr">
        <is>
          <t>อังคาร</t>
        </is>
      </c>
      <c r="H1070" s="252" t="inlineStr">
        <is>
          <t>20101-2001</t>
        </is>
      </c>
      <c r="I1070" s="325" t="inlineStr">
        <is>
          <t>ปวช.1/9 ชย. (ทวิ)</t>
        </is>
      </c>
      <c r="J1070" s="332" t="inlineStr">
        <is>
          <t>08.10-12.10</t>
        </is>
      </c>
      <c r="K1070" s="335" t="n"/>
      <c r="L1070" s="265" t="n"/>
      <c r="M1070" s="332" t="n"/>
      <c r="N1070" s="332" t="n"/>
      <c r="O1070" s="244">
        <f>M1070*N1070</f>
        <v/>
      </c>
      <c r="P1070" s="332" t="n"/>
      <c r="Q1070" s="265" t="n"/>
      <c r="R1070" s="332" t="n"/>
      <c r="S1070" s="244">
        <f>Q1070*R1070</f>
        <v/>
      </c>
    </row>
    <row r="1071" ht="22.2" customHeight="1" s="330">
      <c r="A1071" s="4" t="n"/>
      <c r="B1071" s="248" t="n"/>
      <c r="C1071" s="249" t="n"/>
      <c r="D1071" s="249" t="n"/>
      <c r="E1071" s="252" t="n"/>
      <c r="G1071" s="62">
        <f>G1025</f>
        <v/>
      </c>
      <c r="H1071" s="252" t="inlineStr">
        <is>
          <t>20101-2001</t>
        </is>
      </c>
      <c r="I1071" s="325" t="inlineStr">
        <is>
          <t>ปวช.1/9 ชย. (ทวิ)</t>
        </is>
      </c>
      <c r="J1071" s="325" t="inlineStr">
        <is>
          <t>13.10-16.10</t>
        </is>
      </c>
      <c r="K1071" s="331" t="n"/>
      <c r="L1071" s="252" t="n"/>
      <c r="M1071" s="252" t="n"/>
      <c r="N1071" s="252" t="n"/>
      <c r="O1071" s="244">
        <f>M1071*N1071</f>
        <v/>
      </c>
      <c r="P1071" s="252" t="n"/>
      <c r="Q1071" s="252" t="n"/>
      <c r="R1071" s="252" t="n"/>
      <c r="S1071" s="244">
        <f>Q1071*R1071</f>
        <v/>
      </c>
    </row>
    <row r="1072" ht="22.2" customHeight="1" s="330">
      <c r="A1072" s="4" t="n"/>
      <c r="B1072" s="5" t="n"/>
      <c r="D1072" s="3" t="n"/>
      <c r="E1072" s="3" t="n"/>
      <c r="G1072" s="252" t="n"/>
      <c r="H1072" s="325" t="n"/>
      <c r="I1072" s="286" t="n"/>
      <c r="J1072" s="325" t="n"/>
      <c r="K1072" s="331" t="n"/>
      <c r="L1072" s="252" t="n"/>
      <c r="M1072" s="252" t="n"/>
      <c r="N1072" s="252" t="n"/>
      <c r="O1072" s="244">
        <f>M1072*N1072</f>
        <v/>
      </c>
      <c r="P1072" s="252" t="n"/>
      <c r="Q1072" s="252" t="n"/>
      <c r="R1072" s="252" t="n"/>
      <c r="S1072" s="244">
        <f>Q1072*R1072</f>
        <v/>
      </c>
    </row>
    <row r="1073" ht="22.2" customHeight="1" s="330">
      <c r="A1073" s="4" t="n"/>
      <c r="E1073" s="4" t="n"/>
      <c r="G1073" s="62" t="n"/>
      <c r="H1073" s="249" t="n"/>
      <c r="I1073" s="252" t="n"/>
      <c r="J1073" s="252" t="n"/>
      <c r="K1073" s="331" t="n"/>
      <c r="L1073" s="252" t="n"/>
      <c r="M1073" s="252" t="n"/>
      <c r="N1073" s="252" t="n"/>
      <c r="O1073" s="244">
        <f>M1073*N1073</f>
        <v/>
      </c>
      <c r="P1073" s="252" t="n"/>
      <c r="Q1073" s="252" t="n"/>
      <c r="R1073" s="252" t="n"/>
      <c r="S1073" s="244">
        <f>Q1073*R1073</f>
        <v/>
      </c>
    </row>
    <row r="1074" ht="22.2" customHeight="1" s="330">
      <c r="A1074" s="4" t="n"/>
      <c r="D1074" s="8" t="inlineStr">
        <is>
          <t> </t>
        </is>
      </c>
      <c r="E1074" s="4" t="n"/>
      <c r="G1074" s="63" t="n"/>
      <c r="H1074" s="276" t="n"/>
      <c r="I1074" s="276" t="n"/>
      <c r="J1074" s="276" t="n"/>
      <c r="K1074" s="476" t="n"/>
      <c r="L1074" s="252" t="n"/>
      <c r="M1074" s="252" t="n"/>
      <c r="N1074" s="252" t="n"/>
      <c r="O1074" s="244">
        <f>M1074*N1074</f>
        <v/>
      </c>
      <c r="P1074" s="252" t="n"/>
      <c r="Q1074" s="252" t="n"/>
      <c r="R1074" s="252" t="n"/>
      <c r="S1074" s="244">
        <f>Q1074*R1074</f>
        <v/>
      </c>
    </row>
    <row r="1075" ht="22.2" customHeight="1" s="330">
      <c r="A1075" s="4" t="n"/>
      <c r="E1075" s="4" t="n"/>
      <c r="G1075" s="308" t="inlineStr">
        <is>
          <t>พุธ</t>
        </is>
      </c>
      <c r="H1075" s="252" t="inlineStr">
        <is>
          <t>20101-8501</t>
        </is>
      </c>
      <c r="I1075" s="325" t="inlineStr">
        <is>
          <t>ปวช.3/3,4 ชย. (ปกติ)</t>
        </is>
      </c>
      <c r="J1075" s="332" t="inlineStr">
        <is>
          <t>16.10-18.10</t>
        </is>
      </c>
      <c r="K1075" s="335" t="n"/>
      <c r="L1075" s="265" t="n"/>
      <c r="M1075" s="332" t="n"/>
      <c r="N1075" s="332" t="n"/>
      <c r="O1075" s="244">
        <f>M1075*N1075</f>
        <v/>
      </c>
      <c r="P1075" s="332" t="n"/>
      <c r="Q1075" s="265" t="n"/>
      <c r="R1075" s="332" t="n"/>
      <c r="S1075" s="244">
        <f>Q1075*R1075</f>
        <v/>
      </c>
    </row>
    <row r="1076" ht="22.2" customHeight="1" s="330">
      <c r="A1076" s="4" t="n"/>
      <c r="B1076" s="248" t="n"/>
      <c r="C1076" s="249" t="n"/>
      <c r="D1076" s="249" t="n"/>
      <c r="E1076" s="252" t="n"/>
      <c r="G1076" s="308">
        <f>G1030</f>
        <v/>
      </c>
      <c r="H1076" s="325" t="n"/>
      <c r="I1076" s="325" t="n"/>
      <c r="J1076" s="325" t="n"/>
      <c r="K1076" s="331" t="n"/>
      <c r="L1076" s="252" t="n"/>
      <c r="M1076" s="252" t="n"/>
      <c r="N1076" s="252" t="n"/>
      <c r="O1076" s="244">
        <f>M1076*N1076</f>
        <v/>
      </c>
      <c r="P1076" s="252" t="n"/>
      <c r="Q1076" s="252" t="n"/>
      <c r="R1076" s="252" t="n"/>
      <c r="S1076" s="244">
        <f>Q1076*R1076</f>
        <v/>
      </c>
    </row>
    <row r="1077" ht="22.2" customHeight="1" s="330">
      <c r="A1077" s="4" t="n"/>
      <c r="B1077" s="5" t="n"/>
      <c r="D1077" s="3" t="n"/>
      <c r="E1077" s="3" t="n"/>
      <c r="G1077" s="252" t="n"/>
      <c r="H1077" s="286" t="n"/>
      <c r="I1077" s="325" t="n"/>
      <c r="J1077" s="325" t="n"/>
      <c r="K1077" s="331" t="n"/>
      <c r="L1077" s="252" t="n"/>
      <c r="M1077" s="252" t="n"/>
      <c r="N1077" s="252" t="n"/>
      <c r="O1077" s="244">
        <f>M1077*N1077</f>
        <v/>
      </c>
      <c r="P1077" s="252" t="n"/>
      <c r="Q1077" s="252" t="n"/>
      <c r="R1077" s="252" t="n"/>
      <c r="S1077" s="244">
        <f>Q1077*R1077</f>
        <v/>
      </c>
    </row>
    <row r="1078" ht="22.2" customHeight="1" s="330">
      <c r="A1078" s="4" t="n"/>
      <c r="E1078" s="4" t="n"/>
      <c r="G1078" s="252" t="n"/>
      <c r="H1078" s="249" t="n"/>
      <c r="I1078" s="252" t="n"/>
      <c r="J1078" s="252" t="n"/>
      <c r="K1078" s="331" t="n"/>
      <c r="L1078" s="252" t="n"/>
      <c r="M1078" s="252" t="n"/>
      <c r="N1078" s="252" t="n"/>
      <c r="O1078" s="244">
        <f>M1078*N1078</f>
        <v/>
      </c>
      <c r="P1078" s="252" t="n"/>
      <c r="Q1078" s="252" t="n"/>
      <c r="R1078" s="252" t="n"/>
      <c r="S1078" s="244">
        <f>Q1078*R1078</f>
        <v/>
      </c>
    </row>
    <row r="1079" ht="22.2" customHeight="1" s="330">
      <c r="A1079" s="4" t="n"/>
      <c r="E1079" s="4" t="n"/>
      <c r="G1079" s="277" t="n"/>
      <c r="H1079" s="277" t="n"/>
      <c r="I1079" s="276" t="n"/>
      <c r="J1079" s="276" t="n"/>
      <c r="K1079" s="476" t="n"/>
      <c r="L1079" s="276" t="n"/>
      <c r="M1079" s="276" t="n"/>
      <c r="N1079" s="276" t="n"/>
      <c r="O1079" s="244">
        <f>M1079*N1079</f>
        <v/>
      </c>
      <c r="P1079" s="276" t="n"/>
      <c r="Q1079" s="276" t="n"/>
      <c r="R1079" s="276" t="n"/>
      <c r="S1079" s="244">
        <f>Q1079*R1079</f>
        <v/>
      </c>
    </row>
    <row r="1080" ht="22.2" customHeight="1" s="330">
      <c r="A1080" s="4" t="n"/>
      <c r="E1080" s="4" t="n"/>
      <c r="G1080" s="62" t="inlineStr">
        <is>
          <t>พฤหัส</t>
        </is>
      </c>
      <c r="H1080" s="252" t="inlineStr">
        <is>
          <t>20101-2001</t>
        </is>
      </c>
      <c r="I1080" s="325" t="inlineStr">
        <is>
          <t>ปวช.1/7 ชย. (ปกติ)</t>
        </is>
      </c>
      <c r="J1080" s="332" t="inlineStr">
        <is>
          <t>08.10-12.10</t>
        </is>
      </c>
      <c r="K1080" s="335" t="n"/>
      <c r="L1080" s="265" t="n"/>
      <c r="M1080" s="252" t="n"/>
      <c r="N1080" s="252" t="n"/>
      <c r="O1080" s="244">
        <f>M1080*N1080</f>
        <v/>
      </c>
      <c r="P1080" s="252" t="n"/>
      <c r="Q1080" s="275" t="n"/>
      <c r="R1080" s="275" t="n"/>
      <c r="S1080" s="244">
        <f>Q1080*R1080</f>
        <v/>
      </c>
    </row>
    <row r="1081" ht="22.2" customHeight="1" s="330">
      <c r="A1081" s="4" t="n"/>
      <c r="E1081" s="4" t="n"/>
      <c r="G1081" s="308">
        <f>G1035</f>
        <v/>
      </c>
      <c r="H1081" s="252" t="inlineStr">
        <is>
          <t>20101-2001</t>
        </is>
      </c>
      <c r="I1081" s="325" t="inlineStr">
        <is>
          <t>ปวช.1/7 ชย. (ปกติ)</t>
        </is>
      </c>
      <c r="J1081" s="325" t="inlineStr">
        <is>
          <t>15.10-18.10</t>
        </is>
      </c>
      <c r="K1081" s="331" t="n"/>
      <c r="L1081" s="252" t="n"/>
      <c r="M1081" s="252" t="n"/>
      <c r="N1081" s="252" t="n"/>
      <c r="O1081" s="244">
        <f>M1081*N1081</f>
        <v/>
      </c>
      <c r="P1081" s="252" t="n"/>
      <c r="Q1081" s="252" t="n"/>
      <c r="R1081" s="252" t="n"/>
      <c r="S1081" s="244">
        <f>Q1081*R1081</f>
        <v/>
      </c>
    </row>
    <row r="1082" ht="22.2" customHeight="1" s="330">
      <c r="A1082" s="4" t="n"/>
      <c r="B1082" s="5" t="n"/>
      <c r="E1082" s="4" t="n"/>
      <c r="G1082" s="252" t="n"/>
      <c r="H1082" s="325" t="n"/>
      <c r="I1082" s="325" t="n"/>
      <c r="J1082" s="325" t="n"/>
      <c r="K1082" s="331" t="n"/>
      <c r="L1082" s="252" t="n"/>
      <c r="M1082" s="325" t="n"/>
      <c r="N1082" s="325" t="n"/>
      <c r="O1082" s="244">
        <f>M1082*N1082</f>
        <v/>
      </c>
      <c r="P1082" s="325" t="n"/>
      <c r="Q1082" s="325" t="n"/>
      <c r="R1082" s="325" t="n"/>
      <c r="S1082" s="244">
        <f>Q1082*R1082</f>
        <v/>
      </c>
    </row>
    <row r="1083" ht="22.2" customHeight="1" s="330">
      <c r="A1083" s="4" t="n"/>
      <c r="E1083" s="4" t="n"/>
      <c r="G1083" s="252" t="n"/>
      <c r="H1083" s="252" t="n"/>
      <c r="I1083" s="252" t="n"/>
      <c r="J1083" s="252" t="n"/>
      <c r="K1083" s="331" t="n"/>
      <c r="L1083" s="252" t="n"/>
      <c r="M1083" s="252" t="n"/>
      <c r="N1083" s="252" t="n"/>
      <c r="O1083" s="244">
        <f>M1083*N1083</f>
        <v/>
      </c>
      <c r="P1083" s="252" t="n"/>
      <c r="Q1083" s="252" t="n"/>
      <c r="R1083" s="252" t="n"/>
      <c r="S1083" s="244">
        <f>Q1083*R1083</f>
        <v/>
      </c>
    </row>
    <row r="1084" ht="22.2" customHeight="1" s="330">
      <c r="A1084" s="4" t="n"/>
      <c r="E1084" s="4" t="n"/>
      <c r="G1084" s="276" t="n"/>
      <c r="H1084" s="301" t="n"/>
      <c r="I1084" s="276" t="n"/>
      <c r="J1084" s="276" t="n"/>
      <c r="K1084" s="476" t="n"/>
      <c r="L1084" s="276" t="n"/>
      <c r="M1084" s="276" t="n"/>
      <c r="N1084" s="276" t="n"/>
      <c r="O1084" s="244">
        <f>M1084*N1084</f>
        <v/>
      </c>
      <c r="P1084" s="276" t="n"/>
      <c r="Q1084" s="276" t="n"/>
      <c r="R1084" s="276" t="n"/>
      <c r="S1084" s="244">
        <f>Q1084*R1084</f>
        <v/>
      </c>
    </row>
    <row r="1085" ht="22.2" customHeight="1" s="330">
      <c r="A1085" s="4" t="n"/>
      <c r="E1085" s="4" t="n"/>
      <c r="G1085" s="62" t="inlineStr">
        <is>
          <t>ศุกร์</t>
        </is>
      </c>
      <c r="H1085" s="252" t="inlineStr">
        <is>
          <t>20101-2001</t>
        </is>
      </c>
      <c r="I1085" s="325" t="inlineStr">
        <is>
          <t>ปวช.1/8 ชย. (ปกติ)</t>
        </is>
      </c>
      <c r="J1085" s="332" t="inlineStr">
        <is>
          <t>08.10-12.10</t>
        </is>
      </c>
      <c r="K1085" s="335" t="n"/>
      <c r="L1085" s="265" t="n"/>
      <c r="M1085" s="252" t="n"/>
      <c r="N1085" s="252" t="n"/>
      <c r="O1085" s="244">
        <f>M1085*N1085</f>
        <v/>
      </c>
      <c r="P1085" s="332" t="n"/>
      <c r="Q1085" s="265" t="n"/>
      <c r="R1085" s="332" t="n"/>
      <c r="S1085" s="244">
        <f>Q1085*R1085</f>
        <v/>
      </c>
      <c r="T1085" s="25" t="n"/>
      <c r="U1085" s="26" t="inlineStr">
        <is>
          <t xml:space="preserve">     PLC</t>
        </is>
      </c>
      <c r="V1085" s="64" t="n"/>
      <c r="W1085" s="27" t="n"/>
      <c r="X1085" s="27" t="n"/>
    </row>
    <row r="1086" ht="22.2" customHeight="1" s="330">
      <c r="A1086" s="4" t="n"/>
      <c r="E1086" s="4" t="n"/>
      <c r="G1086" s="308">
        <f>G1040</f>
        <v/>
      </c>
      <c r="H1086" s="252" t="inlineStr">
        <is>
          <t>20101-2001</t>
        </is>
      </c>
      <c r="I1086" s="325" t="inlineStr">
        <is>
          <t>ปวช.1/8 ชย. (ปกติ)</t>
        </is>
      </c>
      <c r="J1086" s="325" t="inlineStr">
        <is>
          <t>13.10-16.10</t>
        </is>
      </c>
      <c r="K1086" s="331" t="n"/>
      <c r="L1086" s="252" t="n"/>
      <c r="M1086" s="252" t="n"/>
      <c r="N1086" s="252" t="n"/>
      <c r="O1086" s="244">
        <f>M1086*N1086</f>
        <v/>
      </c>
      <c r="P1086" s="252" t="n"/>
      <c r="Q1086" s="252" t="n"/>
      <c r="R1086" s="252" t="n"/>
      <c r="S1086" s="244">
        <f>Q1086*R1086</f>
        <v/>
      </c>
      <c r="T1086" s="27" t="inlineStr">
        <is>
          <t> </t>
        </is>
      </c>
      <c r="U1086" s="26" t="inlineStr">
        <is>
          <t>17.10-19.10</t>
        </is>
      </c>
      <c r="V1086" s="64" t="n"/>
      <c r="W1086" s="27" t="n"/>
      <c r="X1086" s="27" t="n"/>
    </row>
    <row r="1087" ht="22.2" customHeight="1" s="330">
      <c r="A1087" s="4" t="n"/>
      <c r="D1087" s="331" t="n"/>
      <c r="E1087" s="56" t="n"/>
      <c r="G1087" s="252" t="n"/>
      <c r="H1087" s="325" t="n"/>
      <c r="I1087" s="325" t="n"/>
      <c r="J1087" s="325" t="n"/>
      <c r="K1087" s="331" t="n"/>
      <c r="L1087" s="252" t="n"/>
      <c r="M1087" s="252" t="n"/>
      <c r="N1087" s="252" t="n"/>
      <c r="O1087" s="244">
        <f>M1087*N1087</f>
        <v/>
      </c>
      <c r="P1087" s="252" t="n"/>
      <c r="Q1087" s="252" t="n"/>
      <c r="R1087" s="252" t="n"/>
      <c r="S1087" s="244">
        <f>Q1087*R1087</f>
        <v/>
      </c>
    </row>
    <row r="1088" ht="22.2" customHeight="1" s="330">
      <c r="A1088" s="4" t="n"/>
      <c r="E1088" s="4" t="n"/>
      <c r="G1088" s="252" t="n"/>
      <c r="H1088" s="249" t="inlineStr">
        <is>
          <t> </t>
        </is>
      </c>
      <c r="I1088" s="252" t="n"/>
      <c r="J1088" s="252" t="n"/>
      <c r="K1088" s="331" t="n"/>
      <c r="L1088" s="252" t="n"/>
      <c r="M1088" s="252" t="n"/>
      <c r="N1088" s="252" t="n"/>
      <c r="O1088" s="244">
        <f>M1088*N1088</f>
        <v/>
      </c>
      <c r="P1088" s="252" t="n"/>
      <c r="Q1088" s="252" t="n"/>
      <c r="R1088" s="252" t="n"/>
      <c r="S1088" s="244">
        <f>Q1088*R1088</f>
        <v/>
      </c>
    </row>
    <row r="1089" ht="22.2" customHeight="1" s="330">
      <c r="A1089" s="4" t="n"/>
      <c r="E1089" s="4" t="n"/>
      <c r="F1089" s="4" t="n"/>
      <c r="G1089" s="278" t="n"/>
      <c r="H1089" s="301" t="n"/>
      <c r="I1089" s="276" t="n"/>
      <c r="J1089" s="276" t="n"/>
      <c r="K1089" s="476" t="n"/>
      <c r="L1089" s="276" t="n"/>
      <c r="M1089" s="276" t="n"/>
      <c r="N1089" s="276" t="n"/>
      <c r="O1089" s="244">
        <f>M1089*N1089</f>
        <v/>
      </c>
      <c r="P1089" s="276" t="n"/>
      <c r="Q1089" s="276" t="n"/>
      <c r="R1089" s="276" t="n"/>
      <c r="S1089" s="244">
        <f>Q1089*R1089</f>
        <v/>
      </c>
    </row>
    <row r="1090" ht="22.2" customHeight="1" s="330">
      <c r="A1090" s="4" t="n"/>
      <c r="E1090" s="4" t="n"/>
      <c r="F1090" s="4" t="n"/>
      <c r="G1090" s="17" t="inlineStr">
        <is>
          <t>รวมขั่วโมงที่สอนแยก ภาระงาน/ เกินภาระงาน</t>
        </is>
      </c>
      <c r="H1090" s="467" t="n"/>
      <c r="I1090" s="467" t="n"/>
      <c r="J1090" s="467" t="n"/>
      <c r="K1090" s="362" t="n"/>
      <c r="L1090" s="17">
        <f>SUM(L1065:L1089)</f>
        <v/>
      </c>
      <c r="M1090" s="17">
        <f>SUM(M1065:M1089)</f>
        <v/>
      </c>
      <c r="N1090" s="17" t="n"/>
      <c r="O1090" s="17" t="n"/>
      <c r="P1090" s="17">
        <f>SUM(P1065:P1089)</f>
        <v/>
      </c>
      <c r="Q1090" s="17">
        <f>SUM(Q1065:Q1089)</f>
        <v/>
      </c>
      <c r="R1090" s="279" t="n"/>
      <c r="S1090" s="17" t="n"/>
    </row>
    <row r="1091" ht="22.2" customHeight="1" s="330">
      <c r="A1091" s="4" t="n"/>
      <c r="E1091" s="4" t="n"/>
      <c r="F1091" s="4" t="n"/>
      <c r="G1091" s="17" t="inlineStr">
        <is>
          <t>รวมจำนวนชั่วโมงสอนคาบต่อสับดาห์</t>
        </is>
      </c>
      <c r="H1091" s="467" t="n"/>
      <c r="I1091" s="467" t="n"/>
      <c r="J1091" s="467" t="n"/>
      <c r="K1091" s="362" t="n"/>
      <c r="L1091" s="17">
        <f>L1090+M1090</f>
        <v/>
      </c>
      <c r="M1091" s="362" t="n"/>
      <c r="N1091" s="298" t="n"/>
      <c r="O1091" s="17" t="n"/>
      <c r="P1091" s="17">
        <f>P1090+Q1090</f>
        <v/>
      </c>
      <c r="Q1091" s="362" t="n"/>
      <c r="R1091" s="278" t="n"/>
      <c r="S1091" s="276" t="n"/>
    </row>
    <row r="1092" ht="22.2" customHeight="1" s="330">
      <c r="A1092" s="4" t="n"/>
      <c r="E1092" s="4" t="n"/>
      <c r="F1092" s="4" t="n"/>
      <c r="G1092" s="17" t="inlineStr">
        <is>
          <t>จำนวนชั่วโมงสอนตามภาระงานสอน</t>
        </is>
      </c>
      <c r="H1092" s="467" t="n"/>
      <c r="I1092" s="467" t="n"/>
      <c r="J1092" s="467" t="n"/>
      <c r="K1092" s="362" t="n"/>
      <c r="L1092" s="17" t="n">
        <v>18</v>
      </c>
      <c r="M1092" s="362" t="n"/>
      <c r="N1092" s="298" t="n"/>
      <c r="O1092" s="17" t="n"/>
      <c r="P1092" s="17" t="n">
        <v>0</v>
      </c>
      <c r="Q1092" s="362" t="n"/>
      <c r="R1092" s="249" t="n"/>
      <c r="S1092" s="252" t="n"/>
    </row>
    <row r="1093" ht="22.2" customHeight="1" s="330" thickBot="1">
      <c r="A1093" s="4" t="n"/>
      <c r="E1093" s="4" t="n"/>
      <c r="F1093" s="15" t="n"/>
      <c r="G1093" s="17" t="inlineStr">
        <is>
          <t>จำนวนชั่วโมงบิกเกินภาระงานสอน/ค่าสอน</t>
        </is>
      </c>
      <c r="H1093" s="467" t="n"/>
      <c r="I1093" s="467" t="n"/>
      <c r="J1093" s="467" t="n"/>
      <c r="K1093" s="362" t="n"/>
      <c r="L1093" s="18" t="n">
        <v>0</v>
      </c>
      <c r="M1093" s="18">
        <f>SUM(M1065:M1089)</f>
        <v/>
      </c>
      <c r="N1093" s="18" t="n"/>
      <c r="O1093" s="18">
        <f>SUM(O1065:O1089)</f>
        <v/>
      </c>
      <c r="P1093" s="18" t="n">
        <v>0</v>
      </c>
      <c r="Q1093" s="18">
        <f>SUM(Q1065:Q1089)</f>
        <v/>
      </c>
      <c r="R1093" s="19" t="n"/>
      <c r="S1093" s="18">
        <f>SUM(S1065:S1089)</f>
        <v/>
      </c>
    </row>
    <row r="1094" ht="22.2" customHeight="1" s="330" thickTop="1">
      <c r="A1094" s="299" t="inlineStr">
        <is>
          <t>รวมจำนวนหน่วยชั่วโมงที่ขอเบิกค่าสอน ….</t>
        </is>
      </c>
      <c r="B1094" s="467" t="n"/>
      <c r="C1094" s="467" t="n"/>
      <c r="D1094" s="467" t="n"/>
      <c r="E1094" s="467" t="n"/>
      <c r="F1094" s="467" t="n"/>
      <c r="G1094" s="467" t="n"/>
      <c r="H1094" s="298">
        <f>M1093+Q1093</f>
        <v/>
      </c>
      <c r="I1094" s="298" t="inlineStr">
        <is>
          <t>….ชั่วโมง</t>
        </is>
      </c>
      <c r="J1094" s="298" t="n"/>
      <c r="K1094" s="301" t="inlineStr">
        <is>
          <t>ยอดเงินรวม</t>
        </is>
      </c>
      <c r="L1094" s="471" t="n"/>
      <c r="M1094" s="471" t="n"/>
      <c r="N1094" s="301" t="n"/>
      <c r="O1094" s="301" t="n"/>
      <c r="P1094" s="302">
        <f>S1093+O1093</f>
        <v/>
      </c>
      <c r="Q1094" s="482" t="n"/>
      <c r="R1094" s="21" t="n"/>
      <c r="S1094" s="20" t="inlineStr">
        <is>
          <t>..บาท</t>
        </is>
      </c>
    </row>
    <row r="1095" ht="22.2" customHeight="1" s="330">
      <c r="A1095" s="207" t="inlineStr">
        <is>
          <t>ผู้ขอเบิก</t>
        </is>
      </c>
      <c r="B1095" s="334" t="n"/>
      <c r="C1095" s="334" t="n"/>
      <c r="D1095" s="334" t="n"/>
      <c r="E1095" s="334" t="n"/>
      <c r="F1095" s="334" t="n"/>
      <c r="G1095" s="335" t="n"/>
      <c r="H1095" s="207" t="inlineStr">
        <is>
          <t>ผู้รับรอง</t>
        </is>
      </c>
      <c r="I1095" s="334" t="n"/>
      <c r="J1095" s="334" t="n"/>
      <c r="K1095" s="334" t="n"/>
      <c r="L1095" s="335" t="n"/>
      <c r="M1095" s="207" t="inlineStr">
        <is>
          <t>ผู้ตรวจ</t>
        </is>
      </c>
      <c r="N1095" s="334" t="n"/>
      <c r="O1095" s="334" t="n"/>
      <c r="P1095" s="334" t="n"/>
      <c r="Q1095" s="334" t="n"/>
      <c r="R1095" s="334" t="n"/>
      <c r="S1095" s="335" t="n"/>
    </row>
    <row r="1096" ht="22.2" customHeight="1" s="330">
      <c r="A1096" s="252" t="inlineStr">
        <is>
          <t>ลงชื่อ……………………………………………</t>
        </is>
      </c>
      <c r="G1096" s="331" t="n"/>
      <c r="H1096" s="252" t="inlineStr">
        <is>
          <t>ลงชื่อ……………………………………………</t>
        </is>
      </c>
      <c r="L1096" s="331" t="n"/>
      <c r="M1096" s="252" t="inlineStr">
        <is>
          <t>ลงชื่อ……………………………………………</t>
        </is>
      </c>
      <c r="S1096" s="331" t="n"/>
    </row>
    <row r="1097" ht="22.2" customHeight="1" s="330">
      <c r="A1097" s="12" t="inlineStr">
        <is>
          <t>(</t>
        </is>
      </c>
      <c r="B1097" s="309">
        <f>B1065</f>
        <v/>
      </c>
      <c r="G1097" s="310" t="inlineStr">
        <is>
          <t>)</t>
        </is>
      </c>
      <c r="H1097" s="309" t="inlineStr">
        <is>
          <t>(</t>
        </is>
      </c>
      <c r="I1097" s="314">
        <f>I1051</f>
        <v/>
      </c>
      <c r="L1097" s="13" t="inlineStr">
        <is>
          <t>)</t>
        </is>
      </c>
      <c r="M1097" s="61" t="inlineStr">
        <is>
          <t>(</t>
        </is>
      </c>
      <c r="N1097" s="61" t="n"/>
      <c r="O1097" s="309" t="inlineStr">
        <is>
          <t>นายพิสุทธิศักดิ์  กล่อมนาค</t>
        </is>
      </c>
      <c r="R1097" s="29" t="n"/>
      <c r="S1097" s="310" t="inlineStr">
        <is>
          <t>)</t>
        </is>
      </c>
    </row>
    <row r="1098" ht="22.2" customHeight="1" s="330">
      <c r="A1098" s="483" t="inlineStr">
        <is>
          <t xml:space="preserve">                 ตำแหน่ง  ครูพิเศษ</t>
        </is>
      </c>
      <c r="G1098" s="331" t="n"/>
      <c r="H1098" s="62" t="inlineStr">
        <is>
          <t>ตำแหน่ง หัวหน้าแผนก</t>
        </is>
      </c>
      <c r="L1098" s="331" t="n"/>
      <c r="M1098" s="62" t="inlineStr">
        <is>
          <t>ตำแหน่ง   ผู้ตรวจสอบ</t>
        </is>
      </c>
      <c r="S1098" s="331" t="n"/>
    </row>
    <row r="1099" ht="22.2" customHeight="1" s="330">
      <c r="A1099" s="63">
        <f>A41</f>
        <v/>
      </c>
      <c r="B1099" s="471" t="n"/>
      <c r="C1099" s="471" t="n"/>
      <c r="D1099" s="471" t="n"/>
      <c r="E1099" s="471" t="n"/>
      <c r="F1099" s="471" t="n"/>
      <c r="G1099" s="476" t="n"/>
      <c r="H1099" s="62">
        <f>A41</f>
        <v/>
      </c>
      <c r="L1099" s="331" t="n"/>
      <c r="M1099" s="63">
        <f>A41</f>
        <v/>
      </c>
      <c r="N1099" s="471" t="n"/>
      <c r="O1099" s="471" t="n"/>
      <c r="P1099" s="471" t="n"/>
      <c r="Q1099" s="471" t="n"/>
      <c r="R1099" s="471" t="n"/>
      <c r="S1099" s="476" t="n"/>
    </row>
    <row r="1100" ht="22.2" customHeight="1" s="330">
      <c r="A1100" s="207" t="inlineStr">
        <is>
          <t>ผู้ตรวจ</t>
        </is>
      </c>
      <c r="B1100" s="334" t="n"/>
      <c r="C1100" s="334" t="n"/>
      <c r="D1100" s="334" t="n"/>
      <c r="E1100" s="334" t="n"/>
      <c r="F1100" s="334" t="n"/>
      <c r="G1100" s="334" t="n"/>
      <c r="H1100" s="334" t="n"/>
      <c r="I1100" s="335" t="n"/>
      <c r="J1100" s="207" t="inlineStr">
        <is>
          <t>ผู้เห็นชอบ</t>
        </is>
      </c>
      <c r="K1100" s="334" t="n"/>
      <c r="L1100" s="334" t="n"/>
      <c r="M1100" s="334" t="n"/>
      <c r="N1100" s="334" t="n"/>
      <c r="O1100" s="334" t="n"/>
      <c r="P1100" s="334" t="n"/>
      <c r="Q1100" s="334" t="n"/>
      <c r="R1100" s="334" t="n"/>
      <c r="S1100" s="335" t="n"/>
    </row>
    <row r="1101" ht="22.2" customHeight="1" s="330">
      <c r="A1101" s="252" t="inlineStr">
        <is>
          <t>ลงชื่อ……………………………………………</t>
        </is>
      </c>
      <c r="I1101" s="331" t="n"/>
      <c r="J1101" s="252" t="inlineStr">
        <is>
          <t>ลงชื่อ……………………………………………</t>
        </is>
      </c>
      <c r="S1101" s="331" t="n"/>
    </row>
    <row r="1102" ht="22.2" customHeight="1" s="330">
      <c r="A1102" s="12" t="n"/>
      <c r="B1102" s="309" t="inlineStr">
        <is>
          <t xml:space="preserve">          (นางศิวรักษ์   บุญประเสริฐ)</t>
        </is>
      </c>
      <c r="I1102" s="310" t="n"/>
      <c r="J1102" s="29" t="n"/>
      <c r="K1102" s="29" t="n"/>
      <c r="L1102" s="309" t="inlineStr">
        <is>
          <t>(นายปรีชา  โพธิ์เกิด)</t>
        </is>
      </c>
      <c r="R1102" s="29" t="n"/>
      <c r="S1102" s="13" t="n"/>
    </row>
    <row r="1103" ht="22.2" customHeight="1" s="330">
      <c r="A1103" s="62" t="inlineStr">
        <is>
          <t>ตำแหน่งครู  หัวหน้างานพัฒนาหลักสูตร ฯ</t>
        </is>
      </c>
      <c r="I1103" s="331" t="n"/>
      <c r="J1103" s="62" t="inlineStr">
        <is>
          <t>ตำแหน่ง  รองผู้อำนวยการฝ่ายวิชาการ</t>
        </is>
      </c>
      <c r="S1103" s="331" t="n"/>
    </row>
    <row r="1104" ht="22.2" customHeight="1" s="330">
      <c r="A1104" s="63">
        <f>A41</f>
        <v/>
      </c>
      <c r="B1104" s="471" t="n"/>
      <c r="C1104" s="471" t="n"/>
      <c r="D1104" s="471" t="n"/>
      <c r="E1104" s="471" t="n"/>
      <c r="F1104" s="471" t="n"/>
      <c r="G1104" s="471" t="n"/>
      <c r="H1104" s="471" t="n"/>
      <c r="I1104" s="476" t="n"/>
      <c r="J1104" s="63">
        <f>A41</f>
        <v/>
      </c>
      <c r="K1104" s="471" t="n"/>
      <c r="L1104" s="471" t="n"/>
      <c r="M1104" s="471" t="n"/>
      <c r="N1104" s="471" t="n"/>
      <c r="O1104" s="471" t="n"/>
      <c r="P1104" s="471" t="n"/>
      <c r="Q1104" s="471" t="n"/>
      <c r="R1104" s="471" t="n"/>
      <c r="S1104" s="476" t="n"/>
    </row>
    <row r="1105" ht="22.2" customHeight="1" s="330">
      <c r="A1105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06" ht="22.2" customHeight="1" s="330">
      <c r="A1106" s="254">
        <f>A2</f>
        <v/>
      </c>
    </row>
    <row r="1107" ht="22.2" customHeight="1" s="330">
      <c r="A1107" s="253" t="inlineStr">
        <is>
          <t xml:space="preserve">    ระหว่างวันที่</t>
        </is>
      </c>
      <c r="D1107" s="254">
        <f>D3</f>
        <v/>
      </c>
      <c r="E1107" s="254" t="inlineStr">
        <is>
          <t xml:space="preserve">   เดือน  </t>
        </is>
      </c>
      <c r="F1107" s="254">
        <f>F3</f>
        <v/>
      </c>
      <c r="H1107" s="254">
        <f>H3</f>
        <v/>
      </c>
      <c r="I1107" s="254" t="inlineStr">
        <is>
          <t xml:space="preserve">     ถึง วันที่</t>
        </is>
      </c>
      <c r="J1107" s="254">
        <f>J3</f>
        <v/>
      </c>
      <c r="K1107" s="254" t="inlineStr">
        <is>
          <t xml:space="preserve">   เดือน </t>
        </is>
      </c>
      <c r="L1107" s="254">
        <f>L3</f>
        <v/>
      </c>
      <c r="N1107" s="254">
        <f>N3</f>
        <v/>
      </c>
      <c r="P1107" s="254" t="n"/>
      <c r="R1107" s="254" t="n"/>
    </row>
    <row r="1108" ht="22.2" customHeight="1" s="330">
      <c r="G1108" s="58" t="inlineStr">
        <is>
          <t>ü</t>
        </is>
      </c>
      <c r="H1108" s="8" t="inlineStr">
        <is>
          <t>ครูพิเศษ</t>
        </is>
      </c>
      <c r="I1108" s="249" t="inlineStr">
        <is>
          <t>หน้าที่พิเศษ</t>
        </is>
      </c>
      <c r="K1108" s="290" t="n"/>
    </row>
    <row r="1109" ht="22.2" customHeight="1" s="330">
      <c r="A1109" s="28" t="inlineStr">
        <is>
          <t>ที่</t>
        </is>
      </c>
      <c r="B1109" s="28" t="inlineStr">
        <is>
          <t>ชื่อ-สกุล</t>
        </is>
      </c>
      <c r="C1109" s="334" t="n"/>
      <c r="D1109" s="335" t="n"/>
      <c r="E1109" s="16" t="inlineStr">
        <is>
          <t>ตำแหน่ง</t>
        </is>
      </c>
      <c r="F1109" s="17" t="inlineStr">
        <is>
          <t>ระยะเวลาที่สอน</t>
        </is>
      </c>
      <c r="G1109" s="362" t="n"/>
      <c r="H1109" s="17" t="inlineStr">
        <is>
          <t>รหัสวิชา</t>
        </is>
      </c>
      <c r="I1109" s="275" t="inlineStr">
        <is>
          <t>ชั้น,แผนก,ห้อง</t>
        </is>
      </c>
      <c r="J1109" s="17" t="inlineStr">
        <is>
          <t>เวลาสอน</t>
        </is>
      </c>
      <c r="K1109" s="335" t="n"/>
      <c r="L1109" s="17" t="inlineStr">
        <is>
          <t>ปวช.(คาบ)</t>
        </is>
      </c>
      <c r="M1109" s="362" t="n"/>
      <c r="N1109" s="244" t="inlineStr">
        <is>
          <t>เงิน</t>
        </is>
      </c>
      <c r="O1109" s="275" t="inlineStr">
        <is>
          <t>ยอดเงิน</t>
        </is>
      </c>
      <c r="P1109" s="473" t="inlineStr">
        <is>
          <t>ปวส.(คาบ)</t>
        </is>
      </c>
      <c r="Q1109" s="362" t="n"/>
      <c r="R1109" s="244" t="inlineStr">
        <is>
          <t>เงิน</t>
        </is>
      </c>
      <c r="S1109" s="275" t="inlineStr">
        <is>
          <t>ยอดเงิน</t>
        </is>
      </c>
    </row>
    <row r="1110" ht="22.2" customHeight="1" s="330">
      <c r="A1110" s="60" t="n"/>
      <c r="B1110" s="9" t="n"/>
      <c r="C1110" s="10" t="n"/>
      <c r="D1110" s="14" t="n"/>
      <c r="E1110" s="11" t="n"/>
      <c r="F1110" s="276" t="inlineStr">
        <is>
          <t>ส.</t>
        </is>
      </c>
      <c r="G1110" s="276" t="inlineStr">
        <is>
          <t>วดป.</t>
        </is>
      </c>
      <c r="H1110" s="474" t="n"/>
      <c r="I1110" s="276" t="n"/>
      <c r="J1110" s="475" t="n"/>
      <c r="K1110" s="476" t="n"/>
      <c r="L1110" s="276" t="inlineStr">
        <is>
          <t>ใน</t>
        </is>
      </c>
      <c r="M1110" s="276" t="inlineStr">
        <is>
          <t>นอก</t>
        </is>
      </c>
      <c r="N1110" s="276" t="inlineStr">
        <is>
          <t>ต่อ ชม.</t>
        </is>
      </c>
      <c r="O1110" s="276" t="inlineStr">
        <is>
          <t>(บาท)</t>
        </is>
      </c>
      <c r="P1110" s="60" t="inlineStr">
        <is>
          <t>ใน</t>
        </is>
      </c>
      <c r="Q1110" s="60" t="inlineStr">
        <is>
          <t>นอก</t>
        </is>
      </c>
      <c r="R1110" s="276" t="inlineStr">
        <is>
          <t>ต่อ ชม.</t>
        </is>
      </c>
      <c r="S1110" s="276" t="inlineStr">
        <is>
          <t>(บาท)</t>
        </is>
      </c>
    </row>
    <row r="1111" ht="22.2" customHeight="1" s="330">
      <c r="A1111" s="275" t="n">
        <v>25</v>
      </c>
      <c r="B1111" s="477">
        <f>AB27</f>
        <v/>
      </c>
      <c r="C1111" s="334" t="n"/>
      <c r="D1111" s="335" t="n"/>
      <c r="E1111" s="275" t="inlineStr">
        <is>
          <t>ครู</t>
        </is>
      </c>
      <c r="F1111" s="6" t="n">
        <v>5</v>
      </c>
      <c r="G1111" s="303" t="inlineStr">
        <is>
          <t>จันทร์</t>
        </is>
      </c>
      <c r="H1111" s="332" t="n"/>
      <c r="I1111" s="325" t="n"/>
      <c r="J1111" s="275" t="n"/>
      <c r="K1111" s="335" t="n"/>
      <c r="L1111" s="332" t="n"/>
      <c r="M1111" s="156" t="n"/>
      <c r="N1111" s="156" t="n"/>
      <c r="O1111" s="244">
        <f>M1111*N1111</f>
        <v/>
      </c>
      <c r="P1111" s="332" t="n"/>
      <c r="Q1111" s="265" t="n"/>
      <c r="R1111" s="332" t="n"/>
      <c r="S1111" s="244">
        <f>Q1111*R1111</f>
        <v/>
      </c>
    </row>
    <row r="1112" ht="22.2" customHeight="1" s="330">
      <c r="A1112" s="4" t="n"/>
      <c r="B1112" s="478" t="n"/>
      <c r="D1112" s="331" t="n"/>
      <c r="E1112" s="252" t="inlineStr">
        <is>
          <t>พิเศษ</t>
        </is>
      </c>
      <c r="F1112" s="249" t="n"/>
      <c r="G1112" s="308">
        <f>G1066</f>
        <v/>
      </c>
      <c r="H1112" s="325" t="n"/>
      <c r="I1112" s="325" t="n"/>
      <c r="J1112" s="252" t="n"/>
      <c r="K1112" s="331" t="n"/>
      <c r="L1112" s="252" t="n"/>
      <c r="M1112" s="56" t="n"/>
      <c r="N1112" s="56" t="n"/>
      <c r="O1112" s="244">
        <f>M1112*N1112</f>
        <v/>
      </c>
      <c r="P1112" s="252" t="n"/>
      <c r="Q1112" s="252" t="n"/>
      <c r="R1112" s="252" t="n"/>
      <c r="S1112" s="244">
        <f>Q1112*R1112</f>
        <v/>
      </c>
    </row>
    <row r="1113" ht="22.2" customHeight="1" s="330">
      <c r="A1113" s="4" t="n"/>
      <c r="B1113" s="5" t="n"/>
      <c r="D1113" s="3" t="n"/>
      <c r="E1113" s="3" t="n"/>
      <c r="F1113" s="249" t="n"/>
      <c r="G1113" s="248" t="n"/>
      <c r="H1113" s="325" t="n"/>
      <c r="I1113" s="325" t="n"/>
      <c r="J1113" s="252" t="n"/>
      <c r="K1113" s="331" t="n"/>
      <c r="L1113" s="252" t="n"/>
      <c r="M1113" s="252" t="n"/>
      <c r="N1113" s="252" t="n"/>
      <c r="O1113" s="244">
        <f>M1113*N1113</f>
        <v/>
      </c>
      <c r="P1113" s="252" t="n"/>
      <c r="Q1113" s="252" t="n"/>
      <c r="R1113" s="252" t="n"/>
      <c r="S1113" s="244">
        <f>Q1113*R1113</f>
        <v/>
      </c>
    </row>
    <row r="1114" ht="22.2" customHeight="1" s="330">
      <c r="A1114" s="4" t="n"/>
      <c r="B1114" s="5" t="n"/>
      <c r="E1114" s="4" t="n"/>
      <c r="F1114" s="249" t="n"/>
      <c r="G1114" s="248" t="n"/>
      <c r="H1114" s="252" t="n"/>
      <c r="I1114" s="252" t="n"/>
      <c r="J1114" s="252" t="n"/>
      <c r="K1114" s="331" t="n"/>
      <c r="L1114" s="252" t="n"/>
      <c r="M1114" s="252" t="n"/>
      <c r="N1114" s="252" t="n"/>
      <c r="O1114" s="244">
        <f>M1114*N1114</f>
        <v/>
      </c>
      <c r="P1114" s="252" t="n"/>
      <c r="Q1114" s="252" t="n"/>
      <c r="R1114" s="252" t="n"/>
      <c r="S1114" s="244">
        <f>Q1114*R1114</f>
        <v/>
      </c>
    </row>
    <row r="1115" ht="22.2" customHeight="1" s="330">
      <c r="A1115" s="4" t="n"/>
      <c r="E1115" s="4" t="n"/>
      <c r="G1115" s="311" t="n"/>
      <c r="H1115" s="276" t="n"/>
      <c r="I1115" s="276" t="n"/>
      <c r="J1115" s="276" t="n"/>
      <c r="K1115" s="476" t="n"/>
      <c r="L1115" s="252" t="n"/>
      <c r="M1115" s="276" t="n"/>
      <c r="N1115" s="276" t="n"/>
      <c r="O1115" s="244">
        <f>M1115*N1115</f>
        <v/>
      </c>
      <c r="P1115" s="252" t="n"/>
      <c r="Q1115" s="252" t="n"/>
      <c r="R1115" s="252" t="n"/>
      <c r="S1115" s="244">
        <f>Q1115*R1115</f>
        <v/>
      </c>
    </row>
    <row r="1116" ht="22.2" customHeight="1" s="330">
      <c r="A1116" s="4" t="n"/>
      <c r="E1116" s="4" t="n"/>
      <c r="G1116" s="62" t="inlineStr">
        <is>
          <t>อังคาร</t>
        </is>
      </c>
      <c r="H1116" s="332" t="inlineStr">
        <is>
          <t>30101-2605</t>
        </is>
      </c>
      <c r="I1116" s="325" t="inlineStr">
        <is>
          <t>ปวส.1/6 สย. (ม.6)</t>
        </is>
      </c>
      <c r="J1116" s="275" t="inlineStr">
        <is>
          <t>08.10-12.10</t>
        </is>
      </c>
      <c r="K1116" s="335" t="n"/>
      <c r="L1116" s="332" t="n"/>
      <c r="M1116" s="182" t="n"/>
      <c r="N1116" s="179" t="n"/>
      <c r="O1116" s="244">
        <f>M1116*N1116</f>
        <v/>
      </c>
      <c r="P1116" s="332" t="n"/>
      <c r="Q1116" s="265" t="n"/>
      <c r="R1116" s="332" t="n"/>
      <c r="S1116" s="244">
        <f>Q1116*R1116</f>
        <v/>
      </c>
    </row>
    <row r="1117" ht="22.2" customHeight="1" s="330">
      <c r="A1117" s="4" t="n"/>
      <c r="E1117" s="4" t="n"/>
      <c r="G1117" s="308">
        <f>G1071</f>
        <v/>
      </c>
      <c r="H1117" s="325" t="inlineStr">
        <is>
          <t>30101-2605</t>
        </is>
      </c>
      <c r="I1117" s="325" t="inlineStr">
        <is>
          <t>ปวส.1/6 สย. (ม.6)</t>
        </is>
      </c>
      <c r="J1117" s="252" t="inlineStr">
        <is>
          <t>13.10-14.10</t>
        </is>
      </c>
      <c r="K1117" s="331" t="n"/>
      <c r="L1117" s="252" t="n"/>
      <c r="M1117" s="250" t="n"/>
      <c r="N1117" s="252" t="n"/>
      <c r="O1117" s="244">
        <f>M1117*N1117</f>
        <v/>
      </c>
      <c r="P1117" s="252" t="n"/>
      <c r="Q1117" s="252" t="n"/>
      <c r="R1117" s="252" t="n"/>
      <c r="S1117" s="244">
        <f>Q1117*R1117</f>
        <v/>
      </c>
    </row>
    <row r="1118" ht="22.2" customHeight="1" s="330">
      <c r="A1118" s="4" t="n"/>
      <c r="B1118" s="5" t="n"/>
      <c r="D1118" s="3" t="n"/>
      <c r="E1118" s="3" t="n"/>
      <c r="G1118" s="252" t="n"/>
      <c r="H1118" s="325" t="inlineStr">
        <is>
          <t>30101-2605</t>
        </is>
      </c>
      <c r="I1118" s="325" t="inlineStr">
        <is>
          <t>ปวส.1/5 สย. (ม.6)</t>
        </is>
      </c>
      <c r="J1118" s="252" t="inlineStr">
        <is>
          <t>14.10-19.10</t>
        </is>
      </c>
      <c r="K1118" s="331" t="n"/>
      <c r="L1118" s="252" t="n"/>
      <c r="M1118" s="252" t="n"/>
      <c r="N1118" s="252" t="n"/>
      <c r="O1118" s="244">
        <f>M1118*N1118</f>
        <v/>
      </c>
      <c r="P1118" s="252" t="n"/>
      <c r="Q1118" s="252" t="n"/>
      <c r="R1118" s="252" t="n"/>
      <c r="S1118" s="244">
        <f>Q1118*R1118</f>
        <v/>
      </c>
    </row>
    <row r="1119" ht="22.2" customHeight="1" s="330">
      <c r="A1119" s="4" t="n"/>
      <c r="E1119" s="4" t="n"/>
      <c r="G1119" s="62" t="n"/>
      <c r="H1119" s="249" t="n"/>
      <c r="I1119" s="252" t="n"/>
      <c r="J1119" s="252" t="n"/>
      <c r="K1119" s="331" t="n"/>
      <c r="L1119" s="252" t="n"/>
      <c r="M1119" s="252" t="n"/>
      <c r="N1119" s="252" t="n"/>
      <c r="O1119" s="244">
        <f>M1119*N1119</f>
        <v/>
      </c>
      <c r="P1119" s="252" t="n"/>
      <c r="Q1119" s="252" t="n"/>
      <c r="R1119" s="252" t="n"/>
      <c r="S1119" s="244">
        <f>Q1119*R1119</f>
        <v/>
      </c>
    </row>
    <row r="1120" ht="22.2" customHeight="1" s="330">
      <c r="A1120" s="4" t="n"/>
      <c r="D1120" s="8" t="inlineStr">
        <is>
          <t> </t>
        </is>
      </c>
      <c r="E1120" s="4" t="n"/>
      <c r="G1120" s="63" t="n"/>
      <c r="H1120" s="276" t="n"/>
      <c r="I1120" s="276" t="n"/>
      <c r="J1120" s="276" t="n"/>
      <c r="K1120" s="476" t="n"/>
      <c r="L1120" s="252" t="n"/>
      <c r="M1120" s="276" t="n"/>
      <c r="N1120" s="276" t="n"/>
      <c r="O1120" s="244">
        <f>M1120*N1120</f>
        <v/>
      </c>
      <c r="P1120" s="252" t="n"/>
      <c r="Q1120" s="252" t="n"/>
      <c r="R1120" s="252" t="n"/>
      <c r="S1120" s="244">
        <f>Q1120*R1120</f>
        <v/>
      </c>
    </row>
    <row r="1121" ht="22.2" customHeight="1" s="330">
      <c r="A1121" s="4" t="n"/>
      <c r="E1121" s="4" t="n"/>
      <c r="G1121" s="308" t="inlineStr">
        <is>
          <t>พุธ</t>
        </is>
      </c>
      <c r="H1121" s="325" t="inlineStr">
        <is>
          <t>30101-2105</t>
        </is>
      </c>
      <c r="I1121" s="325" t="inlineStr">
        <is>
          <t>ปวส.1/2 สย. (ปกติ)</t>
        </is>
      </c>
      <c r="J1121" s="275" t="inlineStr">
        <is>
          <t>08.10-12.10</t>
        </is>
      </c>
      <c r="K1121" s="335" t="n"/>
      <c r="L1121" s="332" t="n"/>
      <c r="M1121" s="179" t="n"/>
      <c r="N1121" s="179" t="n"/>
      <c r="O1121" s="244">
        <f>M1121*N1121</f>
        <v/>
      </c>
      <c r="P1121" s="332" t="n"/>
      <c r="Q1121" s="265" t="n"/>
      <c r="R1121" s="332" t="n"/>
      <c r="S1121" s="244">
        <f>Q1121*R1121</f>
        <v/>
      </c>
    </row>
    <row r="1122" ht="22.2" customHeight="1" s="330">
      <c r="A1122" s="4" t="n"/>
      <c r="B1122" s="248" t="n"/>
      <c r="C1122" s="249" t="n"/>
      <c r="D1122" s="249" t="n"/>
      <c r="E1122" s="252" t="n"/>
      <c r="G1122" s="308">
        <f>G1076</f>
        <v/>
      </c>
      <c r="H1122" s="325" t="inlineStr">
        <is>
          <t>30101-2105</t>
        </is>
      </c>
      <c r="I1122" s="325" t="inlineStr">
        <is>
          <t>ปวส.1/2 สย. (ปกติ)</t>
        </is>
      </c>
      <c r="J1122" s="252" t="inlineStr">
        <is>
          <t>13.10-14.10</t>
        </is>
      </c>
      <c r="K1122" s="331" t="n"/>
      <c r="L1122" s="252" t="n"/>
      <c r="M1122" s="180" t="n"/>
      <c r="N1122" s="180" t="n"/>
      <c r="O1122" s="244">
        <f>M1122*N1122</f>
        <v/>
      </c>
      <c r="P1122" s="252" t="n"/>
      <c r="Q1122" s="252" t="n"/>
      <c r="R1122" s="252" t="n"/>
      <c r="S1122" s="244">
        <f>Q1122*R1122</f>
        <v/>
      </c>
    </row>
    <row r="1123" ht="22.2" customHeight="1" s="330">
      <c r="A1123" s="4" t="n"/>
      <c r="B1123" s="5" t="n"/>
      <c r="D1123" s="3" t="n"/>
      <c r="E1123" s="3" t="n"/>
      <c r="G1123" s="252" t="n"/>
      <c r="H1123" s="325" t="inlineStr">
        <is>
          <t>30101-2105</t>
        </is>
      </c>
      <c r="I1123" s="325" t="inlineStr">
        <is>
          <t>ปวส.1/1 สย. (ปกติ)</t>
        </is>
      </c>
      <c r="J1123" s="252" t="inlineStr">
        <is>
          <t>14.10-19.10</t>
        </is>
      </c>
      <c r="K1123" s="331" t="n"/>
      <c r="L1123" s="252" t="n"/>
      <c r="M1123" s="180" t="n"/>
      <c r="N1123" s="180" t="n"/>
      <c r="O1123" s="244">
        <f>M1123*N1123</f>
        <v/>
      </c>
      <c r="P1123" s="252" t="n"/>
      <c r="Q1123" s="252" t="n"/>
      <c r="R1123" s="252" t="n"/>
      <c r="S1123" s="244">
        <f>Q1123*R1123</f>
        <v/>
      </c>
    </row>
    <row r="1124" ht="22.2" customHeight="1" s="330">
      <c r="A1124" s="4" t="n"/>
      <c r="E1124" s="4" t="n"/>
      <c r="G1124" s="252" t="n"/>
      <c r="H1124" s="248" t="n"/>
      <c r="I1124" s="252" t="n"/>
      <c r="J1124" s="252" t="n"/>
      <c r="K1124" s="331" t="n"/>
      <c r="L1124" s="252" t="n"/>
      <c r="M1124" s="252" t="n"/>
      <c r="N1124" s="252" t="n"/>
      <c r="O1124" s="244">
        <f>M1124*N1124</f>
        <v/>
      </c>
      <c r="P1124" s="252" t="n"/>
      <c r="Q1124" s="252" t="n"/>
      <c r="R1124" s="252" t="n"/>
      <c r="S1124" s="244">
        <f>Q1124*R1124</f>
        <v/>
      </c>
    </row>
    <row r="1125" ht="22.2" customHeight="1" s="330">
      <c r="A1125" s="4" t="n"/>
      <c r="E1125" s="4" t="n"/>
      <c r="G1125" s="277" t="n"/>
      <c r="H1125" s="277" t="n"/>
      <c r="I1125" s="276" t="n"/>
      <c r="J1125" s="276" t="n"/>
      <c r="K1125" s="476" t="n"/>
      <c r="L1125" s="276" t="n"/>
      <c r="M1125" s="276" t="n"/>
      <c r="N1125" s="276" t="n"/>
      <c r="O1125" s="244">
        <f>M1125*N1125</f>
        <v/>
      </c>
      <c r="P1125" s="276" t="n"/>
      <c r="Q1125" s="276" t="n"/>
      <c r="R1125" s="276" t="n"/>
      <c r="S1125" s="244">
        <f>Q1125*R1125</f>
        <v/>
      </c>
    </row>
    <row r="1126" ht="22.2" customHeight="1" s="330">
      <c r="A1126" s="4" t="n"/>
      <c r="E1126" s="4" t="n"/>
      <c r="G1126" s="62" t="inlineStr">
        <is>
          <t>พฤหัส</t>
        </is>
      </c>
      <c r="H1126" s="325" t="inlineStr">
        <is>
          <t>30101-0001</t>
        </is>
      </c>
      <c r="I1126" s="325" t="inlineStr">
        <is>
          <t>ปวส.2/6 สย. (ม.6)</t>
        </is>
      </c>
      <c r="J1126" s="275" t="inlineStr">
        <is>
          <t>08.10-11.10</t>
        </is>
      </c>
      <c r="K1126" s="335" t="n"/>
      <c r="L1126" s="252" t="n"/>
      <c r="M1126" s="252" t="n"/>
      <c r="N1126" s="252" t="n"/>
      <c r="O1126" s="244">
        <f>M1126*N1126</f>
        <v/>
      </c>
      <c r="P1126" s="252" t="n"/>
      <c r="Q1126" s="275" t="n"/>
      <c r="R1126" s="275" t="n"/>
      <c r="S1126" s="244">
        <f>Q1126*R1126</f>
        <v/>
      </c>
      <c r="T1126" s="25" t="n"/>
      <c r="U1126" s="26" t="inlineStr">
        <is>
          <t xml:space="preserve">     PLC</t>
        </is>
      </c>
      <c r="V1126" s="64" t="n"/>
      <c r="W1126" s="27" t="n"/>
      <c r="X1126" s="27" t="n"/>
    </row>
    <row r="1127" ht="22.2" customHeight="1" s="330">
      <c r="A1127" s="4" t="n"/>
      <c r="E1127" s="4" t="n"/>
      <c r="G1127" s="308">
        <f>G1081</f>
        <v/>
      </c>
      <c r="H1127" s="325" t="inlineStr">
        <is>
          <t>30000-2002</t>
        </is>
      </c>
      <c r="I1127" s="325" t="inlineStr">
        <is>
          <t xml:space="preserve">ปวส.2/7 1/7 สย. </t>
        </is>
      </c>
      <c r="J1127" s="252" t="inlineStr">
        <is>
          <t>13.10-15.10</t>
        </is>
      </c>
      <c r="K1127" s="331" t="n"/>
      <c r="L1127" s="252" t="n"/>
      <c r="M1127" s="252" t="n"/>
      <c r="N1127" s="252" t="n"/>
      <c r="O1127" s="244">
        <f>M1127*N1127</f>
        <v/>
      </c>
      <c r="P1127" s="252" t="n"/>
      <c r="Q1127" s="252" t="n"/>
      <c r="R1127" s="252" t="n"/>
      <c r="S1127" s="244">
        <f>Q1127*R1127</f>
        <v/>
      </c>
      <c r="T1127" s="27" t="inlineStr">
        <is>
          <t> </t>
        </is>
      </c>
      <c r="U1127" s="26" t="inlineStr">
        <is>
          <t>17.10-19.10</t>
        </is>
      </c>
      <c r="V1127" s="64" t="n"/>
      <c r="W1127" s="27" t="n"/>
      <c r="X1127" s="27" t="n"/>
    </row>
    <row r="1128" ht="22.2" customHeight="1" s="330">
      <c r="A1128" s="4" t="n"/>
      <c r="B1128" s="5" t="n"/>
      <c r="E1128" s="4" t="n"/>
      <c r="G1128" s="252" t="n"/>
      <c r="H1128" s="325" t="n"/>
      <c r="I1128" s="325" t="n"/>
      <c r="J1128" s="252" t="n"/>
      <c r="K1128" s="331" t="n"/>
      <c r="L1128" s="325" t="n"/>
      <c r="M1128" s="325" t="n"/>
      <c r="N1128" s="325" t="n"/>
      <c r="O1128" s="244">
        <f>M1128*N1128</f>
        <v/>
      </c>
      <c r="P1128" s="325" t="n"/>
      <c r="Q1128" s="325" t="n"/>
      <c r="R1128" s="325" t="n"/>
      <c r="S1128" s="244">
        <f>Q1128*R1128</f>
        <v/>
      </c>
    </row>
    <row r="1129" ht="22.2" customHeight="1" s="330">
      <c r="A1129" s="4" t="n"/>
      <c r="E1129" s="4" t="n"/>
      <c r="G1129" s="252" t="n"/>
      <c r="H1129" s="252" t="n"/>
      <c r="I1129" s="252" t="n"/>
      <c r="J1129" s="252" t="n"/>
      <c r="K1129" s="331" t="n"/>
      <c r="L1129" s="252" t="n"/>
      <c r="M1129" s="252" t="n"/>
      <c r="N1129" s="252" t="n"/>
      <c r="O1129" s="244">
        <f>M1129*N1129</f>
        <v/>
      </c>
      <c r="P1129" s="252" t="n"/>
      <c r="Q1129" s="252" t="n"/>
      <c r="R1129" s="252" t="n"/>
      <c r="S1129" s="244">
        <f>Q1129*R1129</f>
        <v/>
      </c>
    </row>
    <row r="1130" ht="22.2" customHeight="1" s="330">
      <c r="A1130" s="4" t="n"/>
      <c r="E1130" s="4" t="n"/>
      <c r="G1130" s="276" t="n"/>
      <c r="H1130" s="301" t="n"/>
      <c r="I1130" s="276" t="n"/>
      <c r="J1130" s="276" t="n"/>
      <c r="K1130" s="476" t="n"/>
      <c r="L1130" s="276" t="n"/>
      <c r="M1130" s="276" t="n"/>
      <c r="N1130" s="276" t="n"/>
      <c r="O1130" s="244">
        <f>M1130*N1130</f>
        <v/>
      </c>
      <c r="P1130" s="276" t="n"/>
      <c r="Q1130" s="276" t="n"/>
      <c r="R1130" s="276" t="n"/>
      <c r="S1130" s="244">
        <f>Q1130*R1130</f>
        <v/>
      </c>
    </row>
    <row r="1131" ht="22.2" customHeight="1" s="330">
      <c r="A1131" s="4" t="n"/>
      <c r="E1131" s="4" t="n"/>
      <c r="G1131" s="62" t="inlineStr">
        <is>
          <t>ศุกร์</t>
        </is>
      </c>
      <c r="H1131" s="325" t="inlineStr">
        <is>
          <t>30101-2109</t>
        </is>
      </c>
      <c r="I1131" s="325" t="inlineStr">
        <is>
          <t>ปวส.2/6 สย. (ม.6)</t>
        </is>
      </c>
      <c r="J1131" s="275" t="inlineStr">
        <is>
          <t>08.10-12.10</t>
        </is>
      </c>
      <c r="K1131" s="335" t="n"/>
      <c r="L1131" s="252" t="n"/>
      <c r="M1131" s="252" t="n"/>
      <c r="N1131" s="252" t="n"/>
      <c r="O1131" s="244">
        <f>M1131*N1131</f>
        <v/>
      </c>
      <c r="P1131" s="332" t="n"/>
      <c r="Q1131" s="265" t="n"/>
      <c r="R1131" s="332" t="n"/>
      <c r="S1131" s="244">
        <f>Q1131*R1131</f>
        <v/>
      </c>
    </row>
    <row r="1132" ht="22.2" customHeight="1" s="330">
      <c r="A1132" s="4" t="n"/>
      <c r="E1132" s="4" t="n"/>
      <c r="G1132" s="308">
        <f>G1086</f>
        <v/>
      </c>
      <c r="H1132" s="325" t="inlineStr">
        <is>
          <t>30101-2109</t>
        </is>
      </c>
      <c r="I1132" s="325" t="inlineStr">
        <is>
          <t>ปวส.2/6 สย. (ม.6)</t>
        </is>
      </c>
      <c r="J1132" s="252" t="inlineStr">
        <is>
          <t>13.10-14.10</t>
        </is>
      </c>
      <c r="K1132" s="331" t="n"/>
      <c r="L1132" s="252" t="n"/>
      <c r="M1132" s="252" t="n"/>
      <c r="N1132" s="252" t="n"/>
      <c r="O1132" s="244">
        <f>M1132*N1132</f>
        <v/>
      </c>
      <c r="P1132" s="252" t="n"/>
      <c r="Q1132" s="252" t="n"/>
      <c r="R1132" s="252" t="n"/>
      <c r="S1132" s="244">
        <f>Q1132*R1132</f>
        <v/>
      </c>
    </row>
    <row r="1133" ht="22.2" customHeight="1" s="330">
      <c r="A1133" s="4" t="n"/>
      <c r="E1133" s="4" t="n"/>
      <c r="G1133" s="252" t="n"/>
      <c r="H1133" s="252" t="n"/>
      <c r="I1133" s="252" t="n"/>
      <c r="J1133" s="252" t="n"/>
      <c r="K1133" s="331" t="n"/>
      <c r="L1133" s="252" t="n"/>
      <c r="M1133" s="252" t="n"/>
      <c r="N1133" s="252" t="n"/>
      <c r="O1133" s="244">
        <f>M1133*N1133</f>
        <v/>
      </c>
      <c r="P1133" s="252" t="n"/>
      <c r="Q1133" s="252" t="n"/>
      <c r="R1133" s="252" t="n"/>
      <c r="S1133" s="244">
        <f>Q1133*R1133</f>
        <v/>
      </c>
    </row>
    <row r="1134" ht="22.2" customHeight="1" s="330">
      <c r="A1134" s="4" t="n"/>
      <c r="E1134" s="4" t="n"/>
      <c r="G1134" s="252" t="n"/>
      <c r="H1134" s="249" t="inlineStr">
        <is>
          <t> </t>
        </is>
      </c>
      <c r="I1134" s="252" t="n"/>
      <c r="J1134" s="252" t="n"/>
      <c r="K1134" s="331" t="n"/>
      <c r="L1134" s="252" t="n"/>
      <c r="M1134" s="252" t="n"/>
      <c r="N1134" s="252" t="n"/>
      <c r="O1134" s="244">
        <f>M1134*N1134</f>
        <v/>
      </c>
      <c r="P1134" s="252" t="n"/>
      <c r="Q1134" s="252" t="n"/>
      <c r="R1134" s="252" t="n"/>
      <c r="S1134" s="244">
        <f>Q1134*R1134</f>
        <v/>
      </c>
    </row>
    <row r="1135" ht="22.2" customHeight="1" s="330">
      <c r="A1135" s="4" t="n"/>
      <c r="E1135" s="4" t="n"/>
      <c r="F1135" s="4" t="n"/>
      <c r="G1135" s="278" t="n"/>
      <c r="H1135" s="301" t="n"/>
      <c r="I1135" s="276" t="n"/>
      <c r="J1135" s="276" t="n"/>
      <c r="K1135" s="476" t="n"/>
      <c r="L1135" s="276" t="n"/>
      <c r="M1135" s="276" t="n"/>
      <c r="N1135" s="276" t="n"/>
      <c r="O1135" s="244">
        <f>M1135*N1135</f>
        <v/>
      </c>
      <c r="P1135" s="276" t="n"/>
      <c r="Q1135" s="276" t="n"/>
      <c r="R1135" s="276" t="n"/>
      <c r="S1135" s="244">
        <f>Q1135*R1135</f>
        <v/>
      </c>
    </row>
    <row r="1136" ht="22.2" customHeight="1" s="330">
      <c r="A1136" s="4" t="n"/>
      <c r="E1136" s="4" t="n"/>
      <c r="F1136" s="4" t="n"/>
      <c r="G1136" s="17" t="inlineStr">
        <is>
          <t>รวมขั่วโมงที่สอนแยก ภาระงาน/ เกินภาระงาน</t>
        </is>
      </c>
      <c r="H1136" s="467" t="n"/>
      <c r="I1136" s="467" t="n"/>
      <c r="J1136" s="467" t="n"/>
      <c r="K1136" s="362" t="n"/>
      <c r="L1136" s="17">
        <f>SUM(L1111:L1135)</f>
        <v/>
      </c>
      <c r="M1136" s="17">
        <f>SUM(M1111:M1135)</f>
        <v/>
      </c>
      <c r="N1136" s="17" t="n"/>
      <c r="O1136" s="17" t="n"/>
      <c r="P1136" s="17">
        <f>SUM(P1111:P1135)</f>
        <v/>
      </c>
      <c r="Q1136" s="17">
        <f>SUM(Q1111:Q1135)</f>
        <v/>
      </c>
      <c r="R1136" s="279" t="n"/>
      <c r="S1136" s="17" t="n"/>
    </row>
    <row r="1137" ht="22.2" customHeight="1" s="330">
      <c r="A1137" s="4" t="n"/>
      <c r="E1137" s="4" t="n"/>
      <c r="F1137" s="4" t="n"/>
      <c r="G1137" s="17" t="inlineStr">
        <is>
          <t>รวมจำนวนชั่วโมงสอนคาบต่อสับดาห์</t>
        </is>
      </c>
      <c r="H1137" s="467" t="n"/>
      <c r="I1137" s="467" t="n"/>
      <c r="J1137" s="467" t="n"/>
      <c r="K1137" s="362" t="n"/>
      <c r="L1137" s="17">
        <f>L1136+M1136</f>
        <v/>
      </c>
      <c r="M1137" s="362" t="n"/>
      <c r="N1137" s="298" t="n"/>
      <c r="O1137" s="17" t="n"/>
      <c r="P1137" s="17">
        <f>P1136+Q1136</f>
        <v/>
      </c>
      <c r="Q1137" s="362" t="n"/>
      <c r="R1137" s="278" t="n"/>
      <c r="S1137" s="276" t="n"/>
    </row>
    <row r="1138" ht="22.2" customHeight="1" s="330">
      <c r="A1138" s="4" t="n"/>
      <c r="E1138" s="4" t="n"/>
      <c r="F1138" s="4" t="n"/>
      <c r="G1138" s="17" t="inlineStr">
        <is>
          <t>จำนวนชั่วโมงสอนตามภาระงานสอน</t>
        </is>
      </c>
      <c r="H1138" s="467" t="n"/>
      <c r="I1138" s="467" t="n"/>
      <c r="J1138" s="467" t="n"/>
      <c r="K1138" s="362" t="n"/>
      <c r="L1138" s="153" t="inlineStr">
        <is>
          <t>0</t>
        </is>
      </c>
      <c r="M1138" s="362" t="n"/>
      <c r="N1138" s="151" t="n"/>
      <c r="O1138" s="154" t="n"/>
      <c r="P1138" s="485" t="inlineStr">
        <is>
          <t>15</t>
        </is>
      </c>
      <c r="Q1138" s="362" t="n"/>
      <c r="R1138" s="249" t="n"/>
      <c r="S1138" s="252" t="n"/>
    </row>
    <row r="1139" ht="22.2" customHeight="1" s="330" thickBot="1">
      <c r="A1139" s="4" t="n"/>
      <c r="E1139" s="4" t="n"/>
      <c r="F1139" s="15" t="n"/>
      <c r="G1139" s="17" t="inlineStr">
        <is>
          <t>จำนวนชั่วโมงบิกเกินภาระงานสอน/ค่าสอน</t>
        </is>
      </c>
      <c r="H1139" s="467" t="n"/>
      <c r="I1139" s="467" t="n"/>
      <c r="J1139" s="467" t="n"/>
      <c r="K1139" s="362" t="n"/>
      <c r="L1139" s="18" t="n">
        <v>0</v>
      </c>
      <c r="M1139" s="18">
        <f>SUM(M1111:M1135)</f>
        <v/>
      </c>
      <c r="N1139" s="18" t="n"/>
      <c r="O1139" s="18">
        <f>SUM(O1111:O1135)</f>
        <v/>
      </c>
      <c r="P1139" s="18" t="n">
        <v>0</v>
      </c>
      <c r="Q1139" s="18">
        <f>SUM(Q1111:Q1135)</f>
        <v/>
      </c>
      <c r="R1139" s="19" t="n"/>
      <c r="S1139" s="18">
        <f>SUM(S1111:S1135)</f>
        <v/>
      </c>
    </row>
    <row r="1140" ht="22.2" customHeight="1" s="330" thickTop="1">
      <c r="A1140" s="299" t="inlineStr">
        <is>
          <t>รวมจำนวนหน่วยชั่วโมงที่ขอเบิกค่าสอน ….</t>
        </is>
      </c>
      <c r="B1140" s="467" t="n"/>
      <c r="C1140" s="467" t="n"/>
      <c r="D1140" s="467" t="n"/>
      <c r="E1140" s="467" t="n"/>
      <c r="F1140" s="467" t="n"/>
      <c r="G1140" s="467" t="n"/>
      <c r="H1140" s="298">
        <f>M1139+Q1139</f>
        <v/>
      </c>
      <c r="I1140" s="298" t="inlineStr">
        <is>
          <t>….ชั่วโมง</t>
        </is>
      </c>
      <c r="J1140" s="298" t="n"/>
      <c r="K1140" s="301" t="inlineStr">
        <is>
          <t>ยอดเงินรวม</t>
        </is>
      </c>
      <c r="L1140" s="471" t="n"/>
      <c r="M1140" s="471" t="n"/>
      <c r="N1140" s="301" t="n"/>
      <c r="O1140" s="301" t="n"/>
      <c r="P1140" s="302">
        <f>S1139+O1139</f>
        <v/>
      </c>
      <c r="Q1140" s="482" t="n"/>
      <c r="R1140" s="21" t="n"/>
      <c r="S1140" s="20" t="inlineStr">
        <is>
          <t>..บาท</t>
        </is>
      </c>
    </row>
    <row r="1141" ht="22.2" customHeight="1" s="330">
      <c r="A1141" s="207" t="inlineStr">
        <is>
          <t>ผู้ขอเบิก</t>
        </is>
      </c>
      <c r="B1141" s="334" t="n"/>
      <c r="C1141" s="334" t="n"/>
      <c r="D1141" s="334" t="n"/>
      <c r="E1141" s="334" t="n"/>
      <c r="F1141" s="334" t="n"/>
      <c r="G1141" s="335" t="n"/>
      <c r="H1141" s="207" t="inlineStr">
        <is>
          <t>ผู้รับรอง</t>
        </is>
      </c>
      <c r="I1141" s="334" t="n"/>
      <c r="J1141" s="334" t="n"/>
      <c r="K1141" s="334" t="n"/>
      <c r="L1141" s="335" t="n"/>
      <c r="M1141" s="207" t="inlineStr">
        <is>
          <t>ผู้ตรวจ</t>
        </is>
      </c>
      <c r="N1141" s="334" t="n"/>
      <c r="O1141" s="334" t="n"/>
      <c r="P1141" s="334" t="n"/>
      <c r="Q1141" s="334" t="n"/>
      <c r="R1141" s="334" t="n"/>
      <c r="S1141" s="335" t="n"/>
    </row>
    <row r="1142" ht="22.2" customHeight="1" s="330">
      <c r="A1142" s="252" t="inlineStr">
        <is>
          <t>ลงชื่อ……………………………………………</t>
        </is>
      </c>
      <c r="G1142" s="331" t="n"/>
      <c r="H1142" s="252" t="inlineStr">
        <is>
          <t>ลงชื่อ……………………………………………</t>
        </is>
      </c>
      <c r="L1142" s="331" t="n"/>
      <c r="M1142" s="252" t="inlineStr">
        <is>
          <t>ลงชื่อ……………………………………………</t>
        </is>
      </c>
      <c r="S1142" s="331" t="n"/>
    </row>
    <row r="1143" ht="22.2" customHeight="1" s="330">
      <c r="A1143" s="12" t="inlineStr">
        <is>
          <t>(</t>
        </is>
      </c>
      <c r="B1143" s="309">
        <f>B1111</f>
        <v/>
      </c>
      <c r="G1143" s="310" t="inlineStr">
        <is>
          <t>)</t>
        </is>
      </c>
      <c r="H1143" s="309" t="inlineStr">
        <is>
          <t>(</t>
        </is>
      </c>
      <c r="I1143" s="314">
        <f>I1097</f>
        <v/>
      </c>
      <c r="L1143" s="13" t="inlineStr">
        <is>
          <t>)</t>
        </is>
      </c>
      <c r="M1143" s="61" t="inlineStr">
        <is>
          <t>(</t>
        </is>
      </c>
      <c r="N1143" s="61" t="n"/>
      <c r="O1143" s="309" t="inlineStr">
        <is>
          <t>นายพิสุทธิศักดิ์  กล่อมนาค</t>
        </is>
      </c>
      <c r="R1143" s="29" t="n"/>
      <c r="S1143" s="310" t="inlineStr">
        <is>
          <t>)</t>
        </is>
      </c>
    </row>
    <row r="1144" ht="22.2" customHeight="1" s="330">
      <c r="A1144" s="483" t="inlineStr">
        <is>
          <t xml:space="preserve">                 ตำแหน่ง  ครูพิเศษ</t>
        </is>
      </c>
      <c r="G1144" s="331" t="n"/>
      <c r="H1144" s="62" t="inlineStr">
        <is>
          <t>ตำแหน่ง หัวหน้าแผนก</t>
        </is>
      </c>
      <c r="L1144" s="331" t="n"/>
      <c r="M1144" s="62" t="inlineStr">
        <is>
          <t>ตำแหน่ง   ผู้ตรวจสอบ</t>
        </is>
      </c>
      <c r="S1144" s="331" t="n"/>
    </row>
    <row r="1145" ht="22.2" customHeight="1" s="330">
      <c r="A1145" s="63">
        <f>A41</f>
        <v/>
      </c>
      <c r="B1145" s="471" t="n"/>
      <c r="C1145" s="471" t="n"/>
      <c r="D1145" s="471" t="n"/>
      <c r="E1145" s="471" t="n"/>
      <c r="F1145" s="471" t="n"/>
      <c r="G1145" s="476" t="n"/>
      <c r="H1145" s="62">
        <f>A41</f>
        <v/>
      </c>
      <c r="L1145" s="331" t="n"/>
      <c r="M1145" s="63">
        <f>A41</f>
        <v/>
      </c>
      <c r="N1145" s="471" t="n"/>
      <c r="O1145" s="471" t="n"/>
      <c r="P1145" s="471" t="n"/>
      <c r="Q1145" s="471" t="n"/>
      <c r="R1145" s="471" t="n"/>
      <c r="S1145" s="476" t="n"/>
    </row>
    <row r="1146" ht="22.2" customHeight="1" s="330">
      <c r="A1146" s="207" t="inlineStr">
        <is>
          <t>ผู้ตรวจ</t>
        </is>
      </c>
      <c r="B1146" s="334" t="n"/>
      <c r="C1146" s="334" t="n"/>
      <c r="D1146" s="334" t="n"/>
      <c r="E1146" s="334" t="n"/>
      <c r="F1146" s="334" t="n"/>
      <c r="G1146" s="334" t="n"/>
      <c r="H1146" s="334" t="n"/>
      <c r="I1146" s="335" t="n"/>
      <c r="J1146" s="207" t="inlineStr">
        <is>
          <t>ผู้เห็นชอบ</t>
        </is>
      </c>
      <c r="K1146" s="334" t="n"/>
      <c r="L1146" s="334" t="n"/>
      <c r="M1146" s="334" t="n"/>
      <c r="N1146" s="334" t="n"/>
      <c r="O1146" s="334" t="n"/>
      <c r="P1146" s="334" t="n"/>
      <c r="Q1146" s="334" t="n"/>
      <c r="R1146" s="334" t="n"/>
      <c r="S1146" s="335" t="n"/>
    </row>
    <row r="1147" ht="22.2" customHeight="1" s="330">
      <c r="A1147" s="252" t="inlineStr">
        <is>
          <t>ลงชื่อ……………………………………………</t>
        </is>
      </c>
      <c r="I1147" s="331" t="n"/>
      <c r="J1147" s="252" t="inlineStr">
        <is>
          <t>ลงชื่อ……………………………………………</t>
        </is>
      </c>
      <c r="S1147" s="331" t="n"/>
    </row>
    <row r="1148" ht="22.2" customHeight="1" s="330">
      <c r="A1148" s="12" t="n"/>
      <c r="B1148" s="309" t="inlineStr">
        <is>
          <t xml:space="preserve">          (นางศิวรักษ์   บุญประเสริฐ)</t>
        </is>
      </c>
      <c r="I1148" s="310" t="n"/>
      <c r="J1148" s="29" t="n"/>
      <c r="K1148" s="29" t="n"/>
      <c r="L1148" s="309" t="inlineStr">
        <is>
          <t>(นายปรีชา  โพธิ์เกิด)</t>
        </is>
      </c>
      <c r="R1148" s="29" t="n"/>
      <c r="S1148" s="13" t="n"/>
    </row>
    <row r="1149" ht="22.2" customHeight="1" s="330">
      <c r="A1149" s="62" t="inlineStr">
        <is>
          <t>ตำแหน่งครู  หัวหน้างานพัฒนาหลักสูตร ฯ</t>
        </is>
      </c>
      <c r="I1149" s="331" t="n"/>
      <c r="J1149" s="62" t="inlineStr">
        <is>
          <t>ตำแหน่ง  รองผู้อำนวยการฝ่ายวิชาการ</t>
        </is>
      </c>
      <c r="S1149" s="331" t="n"/>
    </row>
    <row r="1150" ht="22.2" customHeight="1" s="330">
      <c r="A1150" s="63">
        <f>A41</f>
        <v/>
      </c>
      <c r="B1150" s="471" t="n"/>
      <c r="C1150" s="471" t="n"/>
      <c r="D1150" s="471" t="n"/>
      <c r="E1150" s="471" t="n"/>
      <c r="F1150" s="471" t="n"/>
      <c r="G1150" s="471" t="n"/>
      <c r="H1150" s="471" t="n"/>
      <c r="I1150" s="476" t="n"/>
      <c r="J1150" s="63">
        <f>A41</f>
        <v/>
      </c>
      <c r="K1150" s="471" t="n"/>
      <c r="L1150" s="471" t="n"/>
      <c r="M1150" s="471" t="n"/>
      <c r="N1150" s="471" t="n"/>
      <c r="O1150" s="471" t="n"/>
      <c r="P1150" s="471" t="n"/>
      <c r="Q1150" s="471" t="n"/>
      <c r="R1150" s="471" t="n"/>
      <c r="S1150" s="476" t="n"/>
    </row>
    <row r="1151" ht="22.2" customHeight="1" s="330">
      <c r="A1151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52" ht="22.2" customHeight="1" s="330">
      <c r="A1152" s="254">
        <f>A2</f>
        <v/>
      </c>
    </row>
    <row r="1153" ht="22.2" customHeight="1" s="330">
      <c r="A1153" s="253" t="inlineStr">
        <is>
          <t xml:space="preserve">    ระหว่างวันที่</t>
        </is>
      </c>
      <c r="D1153" s="254">
        <f>D3</f>
        <v/>
      </c>
      <c r="E1153" s="254" t="inlineStr">
        <is>
          <t xml:space="preserve">   เดือน  </t>
        </is>
      </c>
      <c r="F1153" s="254">
        <f>F3</f>
        <v/>
      </c>
      <c r="H1153" s="254">
        <f>H3</f>
        <v/>
      </c>
      <c r="I1153" s="254" t="inlineStr">
        <is>
          <t xml:space="preserve">     ถึง วันที่</t>
        </is>
      </c>
      <c r="J1153" s="254">
        <f>J3</f>
        <v/>
      </c>
      <c r="K1153" s="254" t="inlineStr">
        <is>
          <t xml:space="preserve">   เดือน </t>
        </is>
      </c>
      <c r="L1153" s="254">
        <f>L3</f>
        <v/>
      </c>
      <c r="N1153" s="254">
        <f>N3</f>
        <v/>
      </c>
      <c r="P1153" s="254" t="n"/>
      <c r="R1153" s="254" t="n"/>
    </row>
    <row r="1154" ht="22.2" customHeight="1" s="330">
      <c r="G1154" s="58" t="inlineStr">
        <is>
          <t>ü</t>
        </is>
      </c>
      <c r="H1154" s="8" t="inlineStr">
        <is>
          <t>ครูพิเศษ</t>
        </is>
      </c>
      <c r="I1154" s="249" t="inlineStr">
        <is>
          <t>หน้าที่พิเศษ</t>
        </is>
      </c>
      <c r="K1154" s="290" t="n"/>
    </row>
    <row r="1155" ht="22.2" customHeight="1" s="330">
      <c r="A1155" s="28" t="inlineStr">
        <is>
          <t>ที่</t>
        </is>
      </c>
      <c r="B1155" s="28" t="inlineStr">
        <is>
          <t>ชื่อ-สกุล</t>
        </is>
      </c>
      <c r="C1155" s="334" t="n"/>
      <c r="D1155" s="335" t="n"/>
      <c r="E1155" s="16" t="inlineStr">
        <is>
          <t>ตำแหน่ง</t>
        </is>
      </c>
      <c r="F1155" s="17" t="inlineStr">
        <is>
          <t>ระยะเวลาที่สอน</t>
        </is>
      </c>
      <c r="G1155" s="362" t="n"/>
      <c r="H1155" s="17" t="inlineStr">
        <is>
          <t>รหัสวิชา</t>
        </is>
      </c>
      <c r="I1155" s="275" t="inlineStr">
        <is>
          <t>ชั้น,แผนก,ห้อง</t>
        </is>
      </c>
      <c r="J1155" s="17" t="inlineStr">
        <is>
          <t>เวลาสอน</t>
        </is>
      </c>
      <c r="K1155" s="335" t="n"/>
      <c r="L1155" s="17" t="inlineStr">
        <is>
          <t>ปวช.(คาบ)</t>
        </is>
      </c>
      <c r="M1155" s="362" t="n"/>
      <c r="N1155" s="244" t="inlineStr">
        <is>
          <t>เงิน</t>
        </is>
      </c>
      <c r="O1155" s="275" t="inlineStr">
        <is>
          <t>ยอดเงิน</t>
        </is>
      </c>
      <c r="P1155" s="473" t="inlineStr">
        <is>
          <t>ปวส.(คาบ)</t>
        </is>
      </c>
      <c r="Q1155" s="362" t="n"/>
      <c r="R1155" s="244" t="inlineStr">
        <is>
          <t>เงิน</t>
        </is>
      </c>
      <c r="S1155" s="275" t="inlineStr">
        <is>
          <t>ยอดเงิน</t>
        </is>
      </c>
    </row>
    <row r="1156" ht="22.2" customHeight="1" s="330">
      <c r="A1156" s="60" t="n"/>
      <c r="B1156" s="9" t="n"/>
      <c r="C1156" s="10" t="n"/>
      <c r="D1156" s="14" t="n"/>
      <c r="E1156" s="11" t="n"/>
      <c r="F1156" s="276" t="inlineStr">
        <is>
          <t>ส.</t>
        </is>
      </c>
      <c r="G1156" s="276" t="inlineStr">
        <is>
          <t>วดป.</t>
        </is>
      </c>
      <c r="H1156" s="474" t="n"/>
      <c r="I1156" s="276" t="n"/>
      <c r="J1156" s="475" t="n"/>
      <c r="K1156" s="476" t="n"/>
      <c r="L1156" s="276" t="inlineStr">
        <is>
          <t>ใน</t>
        </is>
      </c>
      <c r="M1156" s="276" t="inlineStr">
        <is>
          <t>นอก</t>
        </is>
      </c>
      <c r="N1156" s="276" t="inlineStr">
        <is>
          <t>ต่อ ชม.</t>
        </is>
      </c>
      <c r="O1156" s="276" t="inlineStr">
        <is>
          <t>(บาท)</t>
        </is>
      </c>
      <c r="P1156" s="60" t="inlineStr">
        <is>
          <t>ใน</t>
        </is>
      </c>
      <c r="Q1156" s="60" t="inlineStr">
        <is>
          <t>นอก</t>
        </is>
      </c>
      <c r="R1156" s="276" t="inlineStr">
        <is>
          <t>ต่อ ชม.</t>
        </is>
      </c>
      <c r="S1156" s="276" t="inlineStr">
        <is>
          <t>(บาท)</t>
        </is>
      </c>
    </row>
    <row r="1157" ht="22.2" customHeight="1" s="330">
      <c r="A1157" s="275" t="n">
        <v>26</v>
      </c>
      <c r="B1157" s="477">
        <f>AB28</f>
        <v/>
      </c>
      <c r="C1157" s="334" t="n"/>
      <c r="D1157" s="335" t="n"/>
      <c r="E1157" s="275" t="inlineStr">
        <is>
          <t>ครู</t>
        </is>
      </c>
      <c r="F1157" s="6" t="n">
        <v>5</v>
      </c>
      <c r="G1157" s="303" t="inlineStr">
        <is>
          <t>จันทร์</t>
        </is>
      </c>
      <c r="H1157" s="332" t="n"/>
      <c r="I1157" s="325" t="n"/>
      <c r="J1157" s="275" t="n"/>
      <c r="K1157" s="335" t="n"/>
      <c r="L1157" s="332" t="n"/>
      <c r="M1157" s="156" t="n"/>
      <c r="N1157" s="156" t="n"/>
      <c r="O1157" s="244">
        <f>M1157*N1157</f>
        <v/>
      </c>
      <c r="P1157" s="332" t="n"/>
      <c r="Q1157" s="265" t="n"/>
      <c r="R1157" s="332" t="n"/>
      <c r="S1157" s="244">
        <f>Q1157*R1157</f>
        <v/>
      </c>
    </row>
    <row r="1158" ht="22.2" customHeight="1" s="330">
      <c r="A1158" s="4" t="n"/>
      <c r="B1158" s="478" t="n"/>
      <c r="D1158" s="331" t="n"/>
      <c r="E1158" s="252" t="inlineStr">
        <is>
          <t>พิเศษ</t>
        </is>
      </c>
      <c r="F1158" s="249" t="n"/>
      <c r="G1158" s="308">
        <f>G1112</f>
        <v/>
      </c>
      <c r="H1158" s="325" t="n"/>
      <c r="I1158" s="325" t="n"/>
      <c r="J1158" s="252" t="n"/>
      <c r="K1158" s="331" t="n"/>
      <c r="L1158" s="252" t="n"/>
      <c r="M1158" s="56" t="n"/>
      <c r="N1158" s="56" t="n"/>
      <c r="O1158" s="244">
        <f>M1158*N1158</f>
        <v/>
      </c>
      <c r="P1158" s="252" t="n"/>
      <c r="Q1158" s="252" t="n"/>
      <c r="R1158" s="252" t="n"/>
      <c r="S1158" s="244">
        <f>Q1158*R1158</f>
        <v/>
      </c>
    </row>
    <row r="1159" ht="22.2" customHeight="1" s="330">
      <c r="A1159" s="4" t="n"/>
      <c r="B1159" s="5" t="n"/>
      <c r="D1159" s="3" t="n"/>
      <c r="E1159" s="3" t="n"/>
      <c r="F1159" s="249" t="n"/>
      <c r="G1159" s="248" t="n"/>
      <c r="H1159" s="252" t="n"/>
      <c r="I1159" s="252" t="n"/>
      <c r="J1159" s="252" t="n"/>
      <c r="K1159" s="331" t="n"/>
      <c r="L1159" s="252" t="n"/>
      <c r="M1159" s="252" t="n"/>
      <c r="N1159" s="252" t="n"/>
      <c r="O1159" s="244">
        <f>M1159*N1159</f>
        <v/>
      </c>
      <c r="P1159" s="252" t="n"/>
      <c r="Q1159" s="252" t="n"/>
      <c r="R1159" s="252" t="n"/>
      <c r="S1159" s="244">
        <f>Q1159*R1159</f>
        <v/>
      </c>
    </row>
    <row r="1160" ht="22.2" customHeight="1" s="330">
      <c r="A1160" s="4" t="n"/>
      <c r="B1160" s="5" t="n"/>
      <c r="E1160" s="4" t="n"/>
      <c r="F1160" s="249" t="n"/>
      <c r="G1160" s="248" t="n"/>
      <c r="H1160" s="252" t="n"/>
      <c r="I1160" s="252" t="n"/>
      <c r="J1160" s="252" t="n"/>
      <c r="K1160" s="331" t="n"/>
      <c r="L1160" s="252" t="n"/>
      <c r="M1160" s="252" t="n"/>
      <c r="N1160" s="252" t="n"/>
      <c r="O1160" s="244">
        <f>M1160*N1160</f>
        <v/>
      </c>
      <c r="P1160" s="252" t="n"/>
      <c r="Q1160" s="252" t="n"/>
      <c r="R1160" s="252" t="n"/>
      <c r="S1160" s="244">
        <f>Q1160*R1160</f>
        <v/>
      </c>
    </row>
    <row r="1161" ht="22.2" customHeight="1" s="330">
      <c r="A1161" s="4" t="n"/>
      <c r="E1161" s="4" t="n"/>
      <c r="G1161" s="311" t="n"/>
      <c r="H1161" s="276" t="n"/>
      <c r="I1161" s="276" t="n"/>
      <c r="J1161" s="276" t="n"/>
      <c r="K1161" s="476" t="n"/>
      <c r="L1161" s="252" t="n"/>
      <c r="M1161" s="276" t="n"/>
      <c r="N1161" s="276" t="n"/>
      <c r="O1161" s="244">
        <f>M1161*N1161</f>
        <v/>
      </c>
      <c r="P1161" s="252" t="n"/>
      <c r="Q1161" s="252" t="n"/>
      <c r="R1161" s="252" t="n"/>
      <c r="S1161" s="244">
        <f>Q1161*R1161</f>
        <v/>
      </c>
    </row>
    <row r="1162" ht="22.2" customHeight="1" s="330">
      <c r="A1162" s="4" t="n"/>
      <c r="E1162" s="4" t="n"/>
      <c r="G1162" s="62" t="inlineStr">
        <is>
          <t>อังคาร</t>
        </is>
      </c>
      <c r="H1162" s="325" t="inlineStr">
        <is>
          <t>20101-2004</t>
        </is>
      </c>
      <c r="I1162" s="325" t="inlineStr">
        <is>
          <t>ปวช.1/3 ชย. (ปกติ)</t>
        </is>
      </c>
      <c r="J1162" s="275" t="inlineStr">
        <is>
          <t>08.10-12.10</t>
        </is>
      </c>
      <c r="K1162" s="335" t="n"/>
      <c r="L1162" s="332" t="n"/>
      <c r="M1162" s="182" t="n"/>
      <c r="N1162" s="179" t="n"/>
      <c r="O1162" s="244">
        <f>M1162*N1162</f>
        <v/>
      </c>
      <c r="P1162" s="332" t="n"/>
      <c r="Q1162" s="265" t="n"/>
      <c r="R1162" s="332" t="n"/>
      <c r="S1162" s="244">
        <f>Q1162*R1162</f>
        <v/>
      </c>
      <c r="T1162" s="25" t="n"/>
      <c r="U1162" s="26" t="inlineStr">
        <is>
          <t xml:space="preserve">     PLC</t>
        </is>
      </c>
      <c r="V1162" s="64" t="n"/>
      <c r="W1162" s="27" t="n"/>
      <c r="X1162" s="27" t="n"/>
    </row>
    <row r="1163" ht="22.2" customHeight="1" s="330">
      <c r="A1163" s="4" t="n"/>
      <c r="E1163" s="4" t="n"/>
      <c r="G1163" s="308">
        <f>G1117</f>
        <v/>
      </c>
      <c r="H1163" s="325" t="inlineStr">
        <is>
          <t>20101-2004</t>
        </is>
      </c>
      <c r="I1163" s="325" t="inlineStr">
        <is>
          <t>ปวช.1/4 ชย. (ปกติ)</t>
        </is>
      </c>
      <c r="J1163" s="252" t="inlineStr">
        <is>
          <t>13.10-17.10</t>
        </is>
      </c>
      <c r="K1163" s="331" t="n"/>
      <c r="L1163" s="252" t="n"/>
      <c r="M1163" s="250" t="n"/>
      <c r="N1163" s="252" t="n"/>
      <c r="O1163" s="244">
        <f>M1163*N1163</f>
        <v/>
      </c>
      <c r="P1163" s="252" t="n"/>
      <c r="Q1163" s="252" t="n"/>
      <c r="R1163" s="252" t="n"/>
      <c r="S1163" s="244">
        <f>Q1163*R1163</f>
        <v/>
      </c>
      <c r="T1163" s="27" t="inlineStr">
        <is>
          <t> </t>
        </is>
      </c>
      <c r="U1163" s="26" t="inlineStr">
        <is>
          <t>17.10-19.10</t>
        </is>
      </c>
      <c r="V1163" s="64" t="n"/>
      <c r="W1163" s="27" t="n"/>
      <c r="X1163" s="27" t="n"/>
    </row>
    <row r="1164" ht="22.2" customHeight="1" s="330">
      <c r="A1164" s="4" t="n"/>
      <c r="B1164" s="5" t="n"/>
      <c r="D1164" s="3" t="n"/>
      <c r="E1164" s="3" t="n"/>
      <c r="G1164" s="252" t="n"/>
      <c r="H1164" s="252" t="n"/>
      <c r="I1164" s="252" t="n"/>
      <c r="J1164" s="252" t="n"/>
      <c r="K1164" s="331" t="n"/>
      <c r="L1164" s="252" t="n"/>
      <c r="M1164" s="252" t="n"/>
      <c r="N1164" s="252" t="n"/>
      <c r="O1164" s="244">
        <f>M1164*N1164</f>
        <v/>
      </c>
      <c r="P1164" s="252" t="n"/>
      <c r="Q1164" s="252" t="n"/>
      <c r="R1164" s="252" t="n"/>
      <c r="S1164" s="244">
        <f>Q1164*R1164</f>
        <v/>
      </c>
    </row>
    <row r="1165" ht="22.2" customHeight="1" s="330">
      <c r="A1165" s="4" t="n"/>
      <c r="E1165" s="4" t="n"/>
      <c r="G1165" s="62" t="n"/>
      <c r="H1165" s="249" t="n"/>
      <c r="I1165" s="252" t="n"/>
      <c r="J1165" s="252" t="n"/>
      <c r="K1165" s="331" t="n"/>
      <c r="L1165" s="252" t="n"/>
      <c r="M1165" s="252" t="n"/>
      <c r="N1165" s="252" t="n"/>
      <c r="O1165" s="244">
        <f>M1165*N1165</f>
        <v/>
      </c>
      <c r="P1165" s="252" t="n"/>
      <c r="Q1165" s="252" t="n"/>
      <c r="R1165" s="252" t="n"/>
      <c r="S1165" s="244">
        <f>Q1165*R1165</f>
        <v/>
      </c>
    </row>
    <row r="1166" ht="22.2" customHeight="1" s="330">
      <c r="A1166" s="4" t="n"/>
      <c r="D1166" s="8" t="inlineStr">
        <is>
          <t> </t>
        </is>
      </c>
      <c r="E1166" s="4" t="n"/>
      <c r="G1166" s="63" t="n"/>
      <c r="H1166" s="276" t="n"/>
      <c r="I1166" s="276" t="n"/>
      <c r="J1166" s="276" t="n"/>
      <c r="K1166" s="476" t="n"/>
      <c r="L1166" s="252" t="n"/>
      <c r="M1166" s="276" t="n"/>
      <c r="N1166" s="276" t="n"/>
      <c r="O1166" s="244">
        <f>M1166*N1166</f>
        <v/>
      </c>
      <c r="P1166" s="252" t="n"/>
      <c r="Q1166" s="252" t="n"/>
      <c r="R1166" s="252" t="n"/>
      <c r="S1166" s="244">
        <f>Q1166*R1166</f>
        <v/>
      </c>
    </row>
    <row r="1167" ht="22.2" customHeight="1" s="330">
      <c r="A1167" s="4" t="n"/>
      <c r="E1167" s="4" t="n"/>
      <c r="G1167" s="308" t="inlineStr">
        <is>
          <t>พุธ</t>
        </is>
      </c>
      <c r="H1167" s="325" t="inlineStr">
        <is>
          <t>20101-2001</t>
        </is>
      </c>
      <c r="I1167" s="325" t="inlineStr">
        <is>
          <t>ปวช.1/5 ชย. (ปกติ)</t>
        </is>
      </c>
      <c r="J1167" s="275" t="inlineStr">
        <is>
          <t>08.10-12.10</t>
        </is>
      </c>
      <c r="K1167" s="335" t="n"/>
      <c r="L1167" s="332" t="n"/>
      <c r="M1167" s="179" t="n"/>
      <c r="N1167" s="179" t="n"/>
      <c r="O1167" s="244">
        <f>M1167*N1167</f>
        <v/>
      </c>
      <c r="P1167" s="332" t="n"/>
      <c r="Q1167" s="265" t="n"/>
      <c r="R1167" s="332" t="n"/>
      <c r="S1167" s="244">
        <f>Q1167*R1167</f>
        <v/>
      </c>
    </row>
    <row r="1168" ht="22.2" customHeight="1" s="330">
      <c r="A1168" s="4" t="n"/>
      <c r="B1168" s="248" t="n"/>
      <c r="C1168" s="249" t="n"/>
      <c r="D1168" s="249" t="n"/>
      <c r="E1168" s="252" t="n"/>
      <c r="G1168" s="308">
        <f>G1122</f>
        <v/>
      </c>
      <c r="H1168" s="325" t="inlineStr">
        <is>
          <t>20101-2001</t>
        </is>
      </c>
      <c r="I1168" s="325" t="inlineStr">
        <is>
          <t>ปวช.1/5 ชย. (ปกติ)</t>
        </is>
      </c>
      <c r="J1168" s="252" t="inlineStr">
        <is>
          <t>13.10-16.10</t>
        </is>
      </c>
      <c r="K1168" s="331" t="n"/>
      <c r="L1168" s="252" t="n"/>
      <c r="M1168" s="180" t="n"/>
      <c r="N1168" s="180" t="n"/>
      <c r="O1168" s="244">
        <f>M1168*N1168</f>
        <v/>
      </c>
      <c r="P1168" s="252" t="n"/>
      <c r="Q1168" s="252" t="n"/>
      <c r="R1168" s="252" t="n"/>
      <c r="S1168" s="244">
        <f>Q1168*R1168</f>
        <v/>
      </c>
    </row>
    <row r="1169" ht="22.2" customHeight="1" s="330">
      <c r="A1169" s="4" t="n"/>
      <c r="B1169" s="5" t="n"/>
      <c r="D1169" s="3" t="n"/>
      <c r="E1169" s="3" t="n"/>
      <c r="G1169" s="252" t="n"/>
      <c r="H1169" s="325" t="n"/>
      <c r="I1169" s="325" t="n"/>
      <c r="J1169" s="252" t="n"/>
      <c r="K1169" s="331" t="n"/>
      <c r="L1169" s="252" t="n"/>
      <c r="M1169" s="180" t="n"/>
      <c r="N1169" s="180" t="n"/>
      <c r="O1169" s="244">
        <f>M1169*N1169</f>
        <v/>
      </c>
      <c r="P1169" s="252" t="n"/>
      <c r="Q1169" s="252" t="n"/>
      <c r="R1169" s="252" t="n"/>
      <c r="S1169" s="244">
        <f>Q1169*R1169</f>
        <v/>
      </c>
    </row>
    <row r="1170" ht="22.2" customHeight="1" s="330">
      <c r="A1170" s="4" t="n"/>
      <c r="E1170" s="4" t="n"/>
      <c r="G1170" s="248" t="n"/>
      <c r="H1170" s="248" t="n"/>
      <c r="I1170" s="252" t="n"/>
      <c r="J1170" s="252" t="n"/>
      <c r="K1170" s="331" t="n"/>
      <c r="L1170" s="252" t="n"/>
      <c r="M1170" s="252" t="n"/>
      <c r="N1170" s="252" t="n"/>
      <c r="O1170" s="244">
        <f>M1170*N1170</f>
        <v/>
      </c>
      <c r="P1170" s="252" t="n"/>
      <c r="Q1170" s="252" t="n"/>
      <c r="R1170" s="252" t="n"/>
      <c r="S1170" s="244">
        <f>Q1170*R1170</f>
        <v/>
      </c>
    </row>
    <row r="1171" ht="22.2" customHeight="1" s="330">
      <c r="A1171" s="4" t="n"/>
      <c r="E1171" s="4" t="n"/>
      <c r="G1171" s="277" t="n"/>
      <c r="H1171" s="277" t="n"/>
      <c r="I1171" s="276" t="n"/>
      <c r="J1171" s="276" t="n"/>
      <c r="K1171" s="476" t="n"/>
      <c r="L1171" s="276" t="n"/>
      <c r="M1171" s="276" t="n"/>
      <c r="N1171" s="276" t="n"/>
      <c r="O1171" s="244">
        <f>M1171*N1171</f>
        <v/>
      </c>
      <c r="P1171" s="276" t="n"/>
      <c r="Q1171" s="276" t="n"/>
      <c r="R1171" s="276" t="n"/>
      <c r="S1171" s="244">
        <f>Q1171*R1171</f>
        <v/>
      </c>
    </row>
    <row r="1172" ht="22.2" customHeight="1" s="330">
      <c r="A1172" s="4" t="n"/>
      <c r="E1172" s="4" t="n"/>
      <c r="G1172" s="62" t="inlineStr">
        <is>
          <t>พฤหัส</t>
        </is>
      </c>
      <c r="H1172" s="325" t="inlineStr">
        <is>
          <t>20101-2008</t>
        </is>
      </c>
      <c r="I1172" s="325" t="inlineStr">
        <is>
          <t>ปวช.3/9 ชย. (ทวิ)</t>
        </is>
      </c>
      <c r="J1172" s="275" t="inlineStr">
        <is>
          <t>08.10-12.10</t>
        </is>
      </c>
      <c r="K1172" s="335" t="n"/>
      <c r="L1172" s="252" t="n"/>
      <c r="M1172" s="252" t="n"/>
      <c r="N1172" s="252" t="n"/>
      <c r="O1172" s="244">
        <f>M1172*N1172</f>
        <v/>
      </c>
      <c r="P1172" s="252" t="n"/>
      <c r="Q1172" s="275" t="n"/>
      <c r="R1172" s="275" t="n"/>
      <c r="S1172" s="244">
        <f>Q1172*R1172</f>
        <v/>
      </c>
    </row>
    <row r="1173" ht="22.2" customHeight="1" s="330">
      <c r="A1173" s="4" t="n"/>
      <c r="E1173" s="4" t="n"/>
      <c r="G1173" s="308">
        <f>G1127</f>
        <v/>
      </c>
      <c r="H1173" s="325" t="inlineStr">
        <is>
          <t>20000-2002</t>
        </is>
      </c>
      <c r="I1173" s="325" t="inlineStr">
        <is>
          <t>ปวช.1/9,10 ชย. (ทวิ)</t>
        </is>
      </c>
      <c r="J1173" s="252" t="inlineStr">
        <is>
          <t>13.10-15.10</t>
        </is>
      </c>
      <c r="K1173" s="331" t="n"/>
      <c r="L1173" s="252" t="n"/>
      <c r="M1173" s="252" t="n"/>
      <c r="N1173" s="252" t="n"/>
      <c r="O1173" s="244">
        <f>M1173*N1173</f>
        <v/>
      </c>
      <c r="P1173" s="252" t="n"/>
      <c r="Q1173" s="252" t="n"/>
      <c r="R1173" s="252" t="n"/>
      <c r="S1173" s="244">
        <f>Q1173*R1173</f>
        <v/>
      </c>
    </row>
    <row r="1174" ht="22.2" customHeight="1" s="330">
      <c r="A1174" s="4" t="n"/>
      <c r="B1174" s="5" t="n"/>
      <c r="E1174" s="4" t="n"/>
      <c r="G1174" s="252" t="n"/>
      <c r="H1174" s="325" t="inlineStr">
        <is>
          <t>20101-2009</t>
        </is>
      </c>
      <c r="I1174" s="325" t="inlineStr">
        <is>
          <t>ปวช.1/10 ชย. (ทวิ)</t>
        </is>
      </c>
      <c r="J1174" s="252" t="inlineStr">
        <is>
          <t>15.10-19.10</t>
        </is>
      </c>
      <c r="K1174" s="331" t="n"/>
      <c r="L1174" s="325" t="n"/>
      <c r="M1174" s="325" t="n"/>
      <c r="N1174" s="325" t="n"/>
      <c r="O1174" s="244">
        <f>M1174*N1174</f>
        <v/>
      </c>
      <c r="P1174" s="325" t="n"/>
      <c r="Q1174" s="325" t="n"/>
      <c r="R1174" s="325" t="n"/>
      <c r="S1174" s="244">
        <f>Q1174*R1174</f>
        <v/>
      </c>
    </row>
    <row r="1175" ht="22.2" customHeight="1" s="330">
      <c r="A1175" s="4" t="n"/>
      <c r="E1175" s="4" t="n"/>
      <c r="G1175" s="252" t="n"/>
      <c r="H1175" s="252" t="n"/>
      <c r="I1175" s="252" t="n"/>
      <c r="J1175" s="252" t="n"/>
      <c r="K1175" s="331" t="n"/>
      <c r="L1175" s="252" t="n"/>
      <c r="M1175" s="252" t="n"/>
      <c r="N1175" s="252" t="n"/>
      <c r="O1175" s="244">
        <f>M1175*N1175</f>
        <v/>
      </c>
      <c r="P1175" s="252" t="n"/>
      <c r="Q1175" s="252" t="n"/>
      <c r="R1175" s="252" t="n"/>
      <c r="S1175" s="244">
        <f>Q1175*R1175</f>
        <v/>
      </c>
    </row>
    <row r="1176" ht="22.2" customHeight="1" s="330">
      <c r="A1176" s="4" t="n"/>
      <c r="E1176" s="4" t="n"/>
      <c r="G1176" s="276" t="n"/>
      <c r="H1176" s="301" t="n"/>
      <c r="I1176" s="276" t="n"/>
      <c r="J1176" s="276" t="n"/>
      <c r="K1176" s="476" t="n"/>
      <c r="L1176" s="276" t="n"/>
      <c r="M1176" s="276" t="n"/>
      <c r="N1176" s="276" t="n"/>
      <c r="O1176" s="244">
        <f>M1176*N1176</f>
        <v/>
      </c>
      <c r="P1176" s="276" t="n"/>
      <c r="Q1176" s="276" t="n"/>
      <c r="R1176" s="276" t="n"/>
      <c r="S1176" s="244">
        <f>Q1176*R1176</f>
        <v/>
      </c>
    </row>
    <row r="1177" ht="22.2" customHeight="1" s="330">
      <c r="A1177" s="4" t="n"/>
      <c r="E1177" s="4" t="n"/>
      <c r="G1177" s="62" t="inlineStr">
        <is>
          <t>ศุกร์</t>
        </is>
      </c>
      <c r="H1177" s="325" t="inlineStr">
        <is>
          <t>20101-2004</t>
        </is>
      </c>
      <c r="I1177" s="325" t="inlineStr">
        <is>
          <t>ปวช.1/2 ชย. (ปกติ)</t>
        </is>
      </c>
      <c r="J1177" s="275" t="inlineStr">
        <is>
          <t>08.10-12.10</t>
        </is>
      </c>
      <c r="K1177" s="335" t="n"/>
      <c r="L1177" s="252" t="n"/>
      <c r="M1177" s="252" t="n"/>
      <c r="N1177" s="252" t="n"/>
      <c r="O1177" s="244">
        <f>M1177*N1177</f>
        <v/>
      </c>
      <c r="P1177" s="332" t="n"/>
      <c r="Q1177" s="265" t="n"/>
      <c r="R1177" s="332" t="n"/>
      <c r="S1177" s="244">
        <f>Q1177*R1177</f>
        <v/>
      </c>
    </row>
    <row r="1178" ht="22.2" customHeight="1" s="330">
      <c r="A1178" s="4" t="n"/>
      <c r="E1178" s="4" t="n"/>
      <c r="G1178" s="308">
        <f>G1132</f>
        <v/>
      </c>
      <c r="H1178" s="325" t="inlineStr">
        <is>
          <t>20101-2004</t>
        </is>
      </c>
      <c r="I1178" s="325" t="inlineStr">
        <is>
          <t>ปวช.1/1 ชย. (ปกติ)</t>
        </is>
      </c>
      <c r="J1178" s="252" t="inlineStr">
        <is>
          <t>13.10-17.10</t>
        </is>
      </c>
      <c r="K1178" s="331" t="n"/>
      <c r="L1178" s="252" t="n"/>
      <c r="M1178" s="252" t="n"/>
      <c r="N1178" s="252" t="n"/>
      <c r="O1178" s="244">
        <f>M1178*N1178</f>
        <v/>
      </c>
      <c r="P1178" s="252" t="n"/>
      <c r="Q1178" s="252" t="n"/>
      <c r="R1178" s="252" t="n"/>
      <c r="S1178" s="244">
        <f>Q1178*R1178</f>
        <v/>
      </c>
    </row>
    <row r="1179" ht="22.2" customHeight="1" s="330">
      <c r="A1179" s="4" t="n"/>
      <c r="E1179" s="4" t="n"/>
      <c r="G1179" s="252" t="n"/>
      <c r="H1179" s="252" t="n"/>
      <c r="I1179" s="252" t="n"/>
      <c r="J1179" s="252" t="n"/>
      <c r="K1179" s="331" t="n"/>
      <c r="L1179" s="252" t="n"/>
      <c r="M1179" s="252" t="n"/>
      <c r="N1179" s="252" t="n"/>
      <c r="O1179" s="244">
        <f>M1179*N1179</f>
        <v/>
      </c>
      <c r="P1179" s="252" t="n"/>
      <c r="Q1179" s="252" t="n"/>
      <c r="R1179" s="252" t="n"/>
      <c r="S1179" s="244">
        <f>Q1179*R1179</f>
        <v/>
      </c>
    </row>
    <row r="1180" ht="22.2" customHeight="1" s="330">
      <c r="A1180" s="4" t="n"/>
      <c r="E1180" s="4" t="n"/>
      <c r="G1180" s="252" t="n"/>
      <c r="H1180" s="249" t="inlineStr">
        <is>
          <t> </t>
        </is>
      </c>
      <c r="I1180" s="252" t="n"/>
      <c r="J1180" s="252" t="n"/>
      <c r="K1180" s="331" t="n"/>
      <c r="L1180" s="252" t="n"/>
      <c r="M1180" s="252" t="n"/>
      <c r="N1180" s="252" t="n"/>
      <c r="O1180" s="244">
        <f>M1180*N1180</f>
        <v/>
      </c>
      <c r="P1180" s="252" t="n"/>
      <c r="Q1180" s="252" t="n"/>
      <c r="R1180" s="252" t="n"/>
      <c r="S1180" s="244">
        <f>Q1180*R1180</f>
        <v/>
      </c>
    </row>
    <row r="1181" ht="22.2" customHeight="1" s="330">
      <c r="A1181" s="4" t="n"/>
      <c r="E1181" s="4" t="n"/>
      <c r="F1181" s="4" t="n"/>
      <c r="G1181" s="278" t="n"/>
      <c r="H1181" s="301" t="n"/>
      <c r="I1181" s="276" t="n"/>
      <c r="J1181" s="276" t="n"/>
      <c r="K1181" s="476" t="n"/>
      <c r="L1181" s="276" t="n"/>
      <c r="M1181" s="276" t="n"/>
      <c r="N1181" s="276" t="n"/>
      <c r="O1181" s="244">
        <f>M1181*N1181</f>
        <v/>
      </c>
      <c r="P1181" s="276" t="n"/>
      <c r="Q1181" s="276" t="n"/>
      <c r="R1181" s="276" t="n"/>
      <c r="S1181" s="244">
        <f>Q1181*R1181</f>
        <v/>
      </c>
    </row>
    <row r="1182" ht="22.2" customHeight="1" s="330">
      <c r="A1182" s="4" t="n"/>
      <c r="E1182" s="4" t="n"/>
      <c r="F1182" s="4" t="n"/>
      <c r="G1182" s="17" t="inlineStr">
        <is>
          <t>รวมขั่วโมงที่สอนแยก ภาระงาน/ เกินภาระงาน</t>
        </is>
      </c>
      <c r="H1182" s="467" t="n"/>
      <c r="I1182" s="467" t="n"/>
      <c r="J1182" s="467" t="n"/>
      <c r="K1182" s="362" t="n"/>
      <c r="L1182" s="17">
        <f>SUM(L1157:L1181)</f>
        <v/>
      </c>
      <c r="M1182" s="17">
        <f>SUM(M1157:M1181)</f>
        <v/>
      </c>
      <c r="N1182" s="17" t="n"/>
      <c r="O1182" s="17" t="n"/>
      <c r="P1182" s="17">
        <f>SUM(P1157:P1181)</f>
        <v/>
      </c>
      <c r="Q1182" s="17">
        <f>SUM(Q1157:Q1181)</f>
        <v/>
      </c>
      <c r="R1182" s="279" t="n"/>
      <c r="S1182" s="17" t="n"/>
    </row>
    <row r="1183" ht="22.2" customHeight="1" s="330">
      <c r="A1183" s="4" t="n"/>
      <c r="E1183" s="4" t="n"/>
      <c r="F1183" s="4" t="n"/>
      <c r="G1183" s="17" t="inlineStr">
        <is>
          <t>รวมจำนวนชั่วโมงสอนคาบต่อสับดาห์</t>
        </is>
      </c>
      <c r="H1183" s="467" t="n"/>
      <c r="I1183" s="467" t="n"/>
      <c r="J1183" s="467" t="n"/>
      <c r="K1183" s="362" t="n"/>
      <c r="L1183" s="17">
        <f>L1182+M1182</f>
        <v/>
      </c>
      <c r="M1183" s="362" t="n"/>
      <c r="N1183" s="298" t="n"/>
      <c r="O1183" s="17" t="n"/>
      <c r="P1183" s="17">
        <f>P1182+Q1182</f>
        <v/>
      </c>
      <c r="Q1183" s="362" t="n"/>
      <c r="R1183" s="278" t="n"/>
      <c r="S1183" s="276" t="n"/>
    </row>
    <row r="1184" ht="22.2" customHeight="1" s="330">
      <c r="A1184" s="4" t="n"/>
      <c r="E1184" s="4" t="n"/>
      <c r="F1184" s="4" t="n"/>
      <c r="G1184" s="17" t="inlineStr">
        <is>
          <t>จำนวนชั่วโมงสอนตามภาระงานสอน</t>
        </is>
      </c>
      <c r="H1184" s="467" t="n"/>
      <c r="I1184" s="467" t="n"/>
      <c r="J1184" s="467" t="n"/>
      <c r="K1184" s="362" t="n"/>
      <c r="L1184" s="17" t="n">
        <v>18</v>
      </c>
      <c r="M1184" s="362" t="n"/>
      <c r="N1184" s="252" t="n"/>
      <c r="O1184" s="252" t="n"/>
      <c r="P1184" s="17" t="n">
        <v>0</v>
      </c>
      <c r="Q1184" s="362" t="n"/>
      <c r="R1184" s="249" t="n"/>
      <c r="S1184" s="252" t="n"/>
    </row>
    <row r="1185" ht="22.2" customHeight="1" s="330" thickBot="1">
      <c r="A1185" s="4" t="n"/>
      <c r="E1185" s="4" t="n"/>
      <c r="F1185" s="15" t="n"/>
      <c r="G1185" s="17" t="inlineStr">
        <is>
          <t>จำนวนชั่วโมงบิกเกินภาระงานสอน/ค่าสอน</t>
        </is>
      </c>
      <c r="H1185" s="467" t="n"/>
      <c r="I1185" s="467" t="n"/>
      <c r="J1185" s="467" t="n"/>
      <c r="K1185" s="362" t="n"/>
      <c r="L1185" s="18" t="n">
        <v>0</v>
      </c>
      <c r="M1185" s="18">
        <f>SUM(M1157:M1181)</f>
        <v/>
      </c>
      <c r="N1185" s="18" t="n"/>
      <c r="O1185" s="18">
        <f>SUM(O1157:O1181)</f>
        <v/>
      </c>
      <c r="P1185" s="18" t="n">
        <v>0</v>
      </c>
      <c r="Q1185" s="18">
        <f>SUM(Q1157:Q1181)</f>
        <v/>
      </c>
      <c r="R1185" s="19" t="n"/>
      <c r="S1185" s="18">
        <f>SUM(S1157:S1181)</f>
        <v/>
      </c>
    </row>
    <row r="1186" ht="22.2" customHeight="1" s="330" thickTop="1">
      <c r="A1186" s="299" t="inlineStr">
        <is>
          <t>รวมจำนวนหน่วยชั่วโมงที่ขอเบิกค่าสอน ….</t>
        </is>
      </c>
      <c r="B1186" s="467" t="n"/>
      <c r="C1186" s="467" t="n"/>
      <c r="D1186" s="467" t="n"/>
      <c r="E1186" s="467" t="n"/>
      <c r="F1186" s="467" t="n"/>
      <c r="G1186" s="467" t="n"/>
      <c r="H1186" s="298">
        <f>M1185+Q1185</f>
        <v/>
      </c>
      <c r="I1186" s="298" t="inlineStr">
        <is>
          <t>….ชั่วโมง</t>
        </is>
      </c>
      <c r="J1186" s="298" t="n"/>
      <c r="K1186" s="301" t="inlineStr">
        <is>
          <t>ยอดเงินรวม</t>
        </is>
      </c>
      <c r="L1186" s="471" t="n"/>
      <c r="M1186" s="471" t="n"/>
      <c r="N1186" s="301" t="n"/>
      <c r="O1186" s="301" t="n"/>
      <c r="P1186" s="302">
        <f>S1185+O1185</f>
        <v/>
      </c>
      <c r="Q1186" s="482" t="n"/>
      <c r="R1186" s="21" t="n"/>
      <c r="S1186" s="53" t="inlineStr">
        <is>
          <t>..บาท</t>
        </is>
      </c>
    </row>
    <row r="1187" ht="22.2" customHeight="1" s="330">
      <c r="A1187" s="207" t="inlineStr">
        <is>
          <t>ผู้ขอเบิก</t>
        </is>
      </c>
      <c r="B1187" s="334" t="n"/>
      <c r="C1187" s="334" t="n"/>
      <c r="D1187" s="334" t="n"/>
      <c r="E1187" s="334" t="n"/>
      <c r="F1187" s="334" t="n"/>
      <c r="G1187" s="335" t="n"/>
      <c r="H1187" s="207" t="inlineStr">
        <is>
          <t>ผู้รับรอง</t>
        </is>
      </c>
      <c r="I1187" s="334" t="n"/>
      <c r="J1187" s="334" t="n"/>
      <c r="K1187" s="334" t="n"/>
      <c r="L1187" s="335" t="n"/>
      <c r="M1187" s="207" t="inlineStr">
        <is>
          <t>ผู้ตรวจ</t>
        </is>
      </c>
      <c r="N1187" s="334" t="n"/>
      <c r="O1187" s="334" t="n"/>
      <c r="P1187" s="334" t="n"/>
      <c r="Q1187" s="334" t="n"/>
      <c r="R1187" s="334" t="n"/>
      <c r="S1187" s="335" t="n"/>
    </row>
    <row r="1188" ht="22.2" customHeight="1" s="330">
      <c r="A1188" s="252" t="inlineStr">
        <is>
          <t>ลงชื่อ……………………………………………</t>
        </is>
      </c>
      <c r="G1188" s="331" t="n"/>
      <c r="H1188" s="252" t="inlineStr">
        <is>
          <t>ลงชื่อ……………………………………………</t>
        </is>
      </c>
      <c r="L1188" s="331" t="n"/>
      <c r="M1188" s="252" t="inlineStr">
        <is>
          <t>ลงชื่อ……………………………………………</t>
        </is>
      </c>
      <c r="S1188" s="331" t="n"/>
    </row>
    <row r="1189" ht="22.2" customHeight="1" s="330">
      <c r="A1189" s="12" t="inlineStr">
        <is>
          <t>(</t>
        </is>
      </c>
      <c r="B1189" s="309">
        <f>B1157</f>
        <v/>
      </c>
      <c r="G1189" s="310" t="inlineStr">
        <is>
          <t>)</t>
        </is>
      </c>
      <c r="H1189" s="309" t="inlineStr">
        <is>
          <t>(</t>
        </is>
      </c>
      <c r="I1189" s="314">
        <f>I1143</f>
        <v/>
      </c>
      <c r="L1189" s="13" t="inlineStr">
        <is>
          <t>)</t>
        </is>
      </c>
      <c r="M1189" s="61" t="inlineStr">
        <is>
          <t>(</t>
        </is>
      </c>
      <c r="N1189" s="61" t="n"/>
      <c r="O1189" s="309" t="inlineStr">
        <is>
          <t>นายพิสุทธิศักดิ์  กล่อมนาค</t>
        </is>
      </c>
      <c r="R1189" s="29" t="n"/>
      <c r="S1189" s="310" t="inlineStr">
        <is>
          <t>)</t>
        </is>
      </c>
    </row>
    <row r="1190" ht="22.2" customHeight="1" s="330">
      <c r="A1190" s="483" t="inlineStr">
        <is>
          <t xml:space="preserve">                 ตำแหน่ง  ครูพิเศษ</t>
        </is>
      </c>
      <c r="G1190" s="331" t="n"/>
      <c r="H1190" s="62" t="inlineStr">
        <is>
          <t>ตำแหน่ง หัวหน้าแผนก</t>
        </is>
      </c>
      <c r="L1190" s="331" t="n"/>
      <c r="M1190" s="62" t="inlineStr">
        <is>
          <t>ตำแหน่ง   ผู้ตรวจสอบ</t>
        </is>
      </c>
      <c r="S1190" s="331" t="n"/>
    </row>
    <row r="1191" ht="22.2" customHeight="1" s="330">
      <c r="A1191" s="63">
        <f>A41</f>
        <v/>
      </c>
      <c r="B1191" s="471" t="n"/>
      <c r="C1191" s="471" t="n"/>
      <c r="D1191" s="471" t="n"/>
      <c r="E1191" s="471" t="n"/>
      <c r="F1191" s="471" t="n"/>
      <c r="G1191" s="476" t="n"/>
      <c r="H1191" s="62">
        <f>A41</f>
        <v/>
      </c>
      <c r="L1191" s="331" t="n"/>
      <c r="M1191" s="63">
        <f>A41</f>
        <v/>
      </c>
      <c r="N1191" s="471" t="n"/>
      <c r="O1191" s="471" t="n"/>
      <c r="P1191" s="471" t="n"/>
      <c r="Q1191" s="471" t="n"/>
      <c r="R1191" s="471" t="n"/>
      <c r="S1191" s="476" t="n"/>
    </row>
    <row r="1192" ht="22.2" customHeight="1" s="330">
      <c r="A1192" s="207" t="inlineStr">
        <is>
          <t>ผู้ตรวจ</t>
        </is>
      </c>
      <c r="B1192" s="334" t="n"/>
      <c r="C1192" s="334" t="n"/>
      <c r="D1192" s="334" t="n"/>
      <c r="E1192" s="334" t="n"/>
      <c r="F1192" s="334" t="n"/>
      <c r="G1192" s="334" t="n"/>
      <c r="H1192" s="334" t="n"/>
      <c r="I1192" s="335" t="n"/>
      <c r="J1192" s="207" t="inlineStr">
        <is>
          <t>ผู้เห็นชอบ</t>
        </is>
      </c>
      <c r="K1192" s="334" t="n"/>
      <c r="L1192" s="334" t="n"/>
      <c r="M1192" s="334" t="n"/>
      <c r="N1192" s="334" t="n"/>
      <c r="O1192" s="334" t="n"/>
      <c r="P1192" s="334" t="n"/>
      <c r="Q1192" s="334" t="n"/>
      <c r="R1192" s="334" t="n"/>
      <c r="S1192" s="335" t="n"/>
    </row>
    <row r="1193" ht="22.2" customHeight="1" s="330">
      <c r="A1193" s="252" t="inlineStr">
        <is>
          <t>ลงชื่อ……………………………………………</t>
        </is>
      </c>
      <c r="I1193" s="331" t="n"/>
      <c r="J1193" s="252" t="inlineStr">
        <is>
          <t>ลงชื่อ……………………………………………</t>
        </is>
      </c>
      <c r="S1193" s="331" t="n"/>
    </row>
    <row r="1194" ht="22.2" customHeight="1" s="330">
      <c r="A1194" s="12" t="n"/>
      <c r="B1194" s="309" t="inlineStr">
        <is>
          <t xml:space="preserve">          (นางศิวรักษ์   บุญประเสริฐ)</t>
        </is>
      </c>
      <c r="I1194" s="310" t="n"/>
      <c r="J1194" s="29" t="n"/>
      <c r="K1194" s="29" t="n"/>
      <c r="L1194" s="309" t="inlineStr">
        <is>
          <t>(นายปรีชา  โพธิ์เกิด)</t>
        </is>
      </c>
      <c r="R1194" s="29" t="n"/>
      <c r="S1194" s="13" t="n"/>
    </row>
    <row r="1195" ht="22.2" customHeight="1" s="330">
      <c r="A1195" s="62" t="inlineStr">
        <is>
          <t>ตำแหน่งครู  หัวหน้างานพัฒนาหลักสูตร ฯ</t>
        </is>
      </c>
      <c r="I1195" s="331" t="n"/>
      <c r="J1195" s="62" t="inlineStr">
        <is>
          <t>ตำแหน่ง  รองผู้อำนวยการฝ่ายวิชาการ</t>
        </is>
      </c>
      <c r="S1195" s="331" t="n"/>
    </row>
    <row r="1196" ht="22.2" customHeight="1" s="330">
      <c r="A1196" s="63">
        <f>A41</f>
        <v/>
      </c>
      <c r="B1196" s="471" t="n"/>
      <c r="C1196" s="471" t="n"/>
      <c r="D1196" s="471" t="n"/>
      <c r="E1196" s="471" t="n"/>
      <c r="F1196" s="471" t="n"/>
      <c r="G1196" s="471" t="n"/>
      <c r="H1196" s="471" t="n"/>
      <c r="I1196" s="476" t="n"/>
      <c r="J1196" s="63">
        <f>A41</f>
        <v/>
      </c>
      <c r="K1196" s="471" t="n"/>
      <c r="L1196" s="471" t="n"/>
      <c r="M1196" s="471" t="n"/>
      <c r="N1196" s="471" t="n"/>
      <c r="O1196" s="471" t="n"/>
      <c r="P1196" s="471" t="n"/>
      <c r="Q1196" s="471" t="n"/>
      <c r="R1196" s="471" t="n"/>
      <c r="S1196" s="476" t="n"/>
    </row>
    <row r="1197" ht="22.2" customHeight="1" s="330">
      <c r="A1197" s="254" t="inlineStr">
        <is>
          <t>ใบเบิกจ่ายเงินค่าสอนพิเศษและค่าสอนเกินภาระงานสอนในสถานศึกษา</t>
        </is>
      </c>
    </row>
    <row r="1198" ht="22.2" customHeight="1" s="330">
      <c r="A1198" s="254">
        <f>A2</f>
        <v/>
      </c>
    </row>
    <row r="1199" ht="22.2" customHeight="1" s="330">
      <c r="A1199" s="253" t="inlineStr">
        <is>
          <t xml:space="preserve">    ระหว่างวันที่</t>
        </is>
      </c>
      <c r="D1199" s="254">
        <f>D3</f>
        <v/>
      </c>
      <c r="E1199" s="254" t="inlineStr">
        <is>
          <t xml:space="preserve">   เดือน  </t>
        </is>
      </c>
      <c r="F1199" s="254">
        <f>F3</f>
        <v/>
      </c>
      <c r="H1199" s="254">
        <f>H3</f>
        <v/>
      </c>
      <c r="I1199" s="254" t="inlineStr">
        <is>
          <t xml:space="preserve">     ถึง วันที่</t>
        </is>
      </c>
      <c r="J1199" s="254">
        <f>J3</f>
        <v/>
      </c>
      <c r="K1199" s="254" t="inlineStr">
        <is>
          <t xml:space="preserve">   เดือน </t>
        </is>
      </c>
      <c r="L1199" s="254">
        <f>L3</f>
        <v/>
      </c>
      <c r="N1199" s="254">
        <f>N3</f>
        <v/>
      </c>
      <c r="P1199" s="254" t="n"/>
      <c r="R1199" s="254" t="n"/>
    </row>
    <row r="1200" ht="22.2" customHeight="1" s="330">
      <c r="H1200" s="290" t="inlineStr">
        <is>
          <t>ครู</t>
        </is>
      </c>
      <c r="I1200" s="249" t="inlineStr">
        <is>
          <t>หน้าที่พิเศษ</t>
        </is>
      </c>
      <c r="J1200" s="290" t="n"/>
    </row>
    <row r="1201" ht="22.2" customHeight="1" s="330">
      <c r="G1201" s="58" t="inlineStr">
        <is>
          <t>ü</t>
        </is>
      </c>
      <c r="H1201" s="8" t="inlineStr">
        <is>
          <t>ครูพิเศษ</t>
        </is>
      </c>
      <c r="I1201" s="249" t="inlineStr">
        <is>
          <t>หน้าที่พิเศษ</t>
        </is>
      </c>
      <c r="K1201" s="290" t="n"/>
    </row>
    <row r="1202" ht="22.2" customHeight="1" s="330">
      <c r="A1202" s="28" t="inlineStr">
        <is>
          <t>ที่</t>
        </is>
      </c>
      <c r="B1202" s="28" t="inlineStr">
        <is>
          <t>ชื่อ-สกุล</t>
        </is>
      </c>
      <c r="C1202" s="334" t="n"/>
      <c r="D1202" s="335" t="n"/>
      <c r="E1202" s="16" t="inlineStr">
        <is>
          <t>ตำแหน่ง</t>
        </is>
      </c>
      <c r="F1202" s="17" t="inlineStr">
        <is>
          <t>ระยะเวลาที่สอน</t>
        </is>
      </c>
      <c r="G1202" s="362" t="n"/>
      <c r="H1202" s="17" t="inlineStr">
        <is>
          <t>รหัสวิชา</t>
        </is>
      </c>
      <c r="I1202" s="275" t="inlineStr">
        <is>
          <t>ชั้น,แผนก,ห้อง</t>
        </is>
      </c>
      <c r="J1202" s="17" t="inlineStr">
        <is>
          <t>เวลาสอน</t>
        </is>
      </c>
      <c r="K1202" s="335" t="n"/>
      <c r="L1202" s="17" t="inlineStr">
        <is>
          <t>ปวช.(คาบ)</t>
        </is>
      </c>
      <c r="M1202" s="362" t="n"/>
      <c r="N1202" s="244" t="inlineStr">
        <is>
          <t>เงิน</t>
        </is>
      </c>
      <c r="O1202" s="275" t="inlineStr">
        <is>
          <t>ยอดเงิน</t>
        </is>
      </c>
      <c r="P1202" s="473" t="inlineStr">
        <is>
          <t>ปวส.(คาบ)</t>
        </is>
      </c>
      <c r="Q1202" s="362" t="n"/>
      <c r="R1202" s="244" t="inlineStr">
        <is>
          <t>เงิน</t>
        </is>
      </c>
      <c r="S1202" s="275" t="inlineStr">
        <is>
          <t>ยอดเงิน</t>
        </is>
      </c>
    </row>
    <row r="1203" ht="22.2" customHeight="1" s="330">
      <c r="A1203" s="60" t="n"/>
      <c r="B1203" s="9" t="n"/>
      <c r="C1203" s="10" t="n"/>
      <c r="D1203" s="14" t="n"/>
      <c r="E1203" s="11" t="n"/>
      <c r="F1203" s="276" t="n">
        <v>5</v>
      </c>
      <c r="G1203" s="276" t="inlineStr">
        <is>
          <t>วดป.</t>
        </is>
      </c>
      <c r="H1203" s="474" t="n"/>
      <c r="I1203" s="276" t="n"/>
      <c r="J1203" s="475" t="n"/>
      <c r="K1203" s="476" t="n"/>
      <c r="L1203" s="276" t="inlineStr">
        <is>
          <t>ใน</t>
        </is>
      </c>
      <c r="M1203" s="276" t="inlineStr">
        <is>
          <t>นอก</t>
        </is>
      </c>
      <c r="N1203" s="276" t="inlineStr">
        <is>
          <t>ต่อ ชม.</t>
        </is>
      </c>
      <c r="O1203" s="276" t="inlineStr">
        <is>
          <t>(บาท)</t>
        </is>
      </c>
      <c r="P1203" s="60" t="inlineStr">
        <is>
          <t>ใน</t>
        </is>
      </c>
      <c r="Q1203" s="60" t="inlineStr">
        <is>
          <t>นอก</t>
        </is>
      </c>
      <c r="R1203" s="276" t="inlineStr">
        <is>
          <t>ต่อ ชม.</t>
        </is>
      </c>
      <c r="S1203" s="276" t="inlineStr">
        <is>
          <t>(บาท)</t>
        </is>
      </c>
    </row>
    <row r="1204" ht="22.2" customHeight="1" s="330">
      <c r="A1204" s="275" t="n">
        <v>27</v>
      </c>
      <c r="B1204" s="477">
        <f>AB29</f>
        <v/>
      </c>
      <c r="C1204" s="334" t="n"/>
      <c r="D1204" s="335" t="n"/>
      <c r="E1204" s="275" t="inlineStr">
        <is>
          <t>ครู</t>
        </is>
      </c>
      <c r="F1204" s="6">
        <f>F7</f>
        <v/>
      </c>
      <c r="G1204" s="303" t="inlineStr">
        <is>
          <t>จันทร์</t>
        </is>
      </c>
      <c r="H1204" s="332" t="n"/>
      <c r="I1204" s="332" t="n"/>
      <c r="J1204" s="332" t="n"/>
      <c r="K1204" s="335" t="n"/>
      <c r="L1204" s="265" t="n"/>
      <c r="M1204" s="332" t="n"/>
      <c r="N1204" s="332" t="n"/>
      <c r="O1204" s="244">
        <f>M1204*N1204</f>
        <v/>
      </c>
      <c r="P1204" s="332" t="n"/>
      <c r="Q1204" s="265" t="n"/>
      <c r="R1204" s="332" t="n"/>
      <c r="S1204" s="244">
        <f>Q1204*R1204</f>
        <v/>
      </c>
    </row>
    <row r="1205" ht="22.2" customHeight="1" s="330">
      <c r="A1205" s="4" t="n"/>
      <c r="B1205" s="478" t="n"/>
      <c r="D1205" s="331" t="n"/>
      <c r="E1205" s="252" t="inlineStr">
        <is>
          <t>พิเศษ</t>
        </is>
      </c>
      <c r="F1205" s="249" t="n"/>
      <c r="G1205" s="308">
        <f>G1158</f>
        <v/>
      </c>
      <c r="H1205" s="252" t="n"/>
      <c r="I1205" s="252" t="n"/>
      <c r="J1205" s="252" t="n"/>
      <c r="K1205" s="331" t="n"/>
      <c r="L1205" s="252" t="n"/>
      <c r="M1205" s="252" t="n"/>
      <c r="N1205" s="252" t="n"/>
      <c r="O1205" s="244">
        <f>M1205*N1205</f>
        <v/>
      </c>
      <c r="P1205" s="252" t="n"/>
      <c r="Q1205" s="252" t="n"/>
      <c r="R1205" s="252" t="n"/>
      <c r="S1205" s="244">
        <f>Q1205*R1205</f>
        <v/>
      </c>
    </row>
    <row r="1206" ht="22.2" customHeight="1" s="330">
      <c r="A1206" s="4" t="n"/>
      <c r="B1206" s="5" t="n"/>
      <c r="D1206" s="3" t="n"/>
      <c r="E1206" s="3" t="n"/>
      <c r="F1206" s="249" t="n"/>
      <c r="G1206" s="248" t="n"/>
      <c r="H1206" s="252" t="n"/>
      <c r="I1206" s="252" t="n"/>
      <c r="J1206" s="252" t="n"/>
      <c r="K1206" s="331" t="n"/>
      <c r="L1206" s="252" t="n"/>
      <c r="M1206" s="252" t="n"/>
      <c r="N1206" s="252" t="n"/>
      <c r="O1206" s="244">
        <f>M1206*N1206</f>
        <v/>
      </c>
      <c r="P1206" s="252" t="n"/>
      <c r="Q1206" s="252" t="n"/>
      <c r="R1206" s="252" t="n"/>
      <c r="S1206" s="244">
        <f>Q1206*R1206</f>
        <v/>
      </c>
    </row>
    <row r="1207" ht="22.2" customHeight="1" s="330">
      <c r="A1207" s="4" t="n"/>
      <c r="B1207" s="5" t="n"/>
      <c r="E1207" s="4" t="n"/>
      <c r="F1207" s="249" t="n"/>
      <c r="G1207" s="248" t="n"/>
      <c r="H1207" s="252" t="n"/>
      <c r="I1207" s="252" t="n"/>
      <c r="J1207" s="252" t="n"/>
      <c r="K1207" s="331" t="n"/>
      <c r="L1207" s="252" t="n"/>
      <c r="M1207" s="252" t="n"/>
      <c r="N1207" s="252" t="n"/>
      <c r="O1207" s="244">
        <f>M1207*N1207</f>
        <v/>
      </c>
      <c r="P1207" s="252" t="n"/>
      <c r="Q1207" s="252" t="n"/>
      <c r="R1207" s="252" t="n"/>
      <c r="S1207" s="244">
        <f>Q1207*R1207</f>
        <v/>
      </c>
    </row>
    <row r="1208" ht="22.2" customHeight="1" s="330">
      <c r="A1208" s="4" t="n"/>
      <c r="E1208" s="4" t="n"/>
      <c r="G1208" s="311" t="n"/>
      <c r="H1208" s="276" t="n"/>
      <c r="I1208" s="252" t="n"/>
      <c r="J1208" s="276" t="n"/>
      <c r="K1208" s="476" t="n"/>
      <c r="L1208" s="252" t="n"/>
      <c r="M1208" s="252" t="n"/>
      <c r="N1208" s="252" t="n"/>
      <c r="O1208" s="244">
        <f>M1208*N1208</f>
        <v/>
      </c>
      <c r="P1208" s="252" t="n"/>
      <c r="Q1208" s="252" t="n"/>
      <c r="R1208" s="252" t="n"/>
      <c r="S1208" s="244">
        <f>Q1208*R1208</f>
        <v/>
      </c>
    </row>
    <row r="1209" ht="22.2" customHeight="1" s="330">
      <c r="A1209" s="4" t="n"/>
      <c r="E1209" s="4" t="n"/>
      <c r="G1209" s="62" t="inlineStr">
        <is>
          <t>อังคาร</t>
        </is>
      </c>
      <c r="H1209" s="332" t="n"/>
      <c r="I1209" s="332" t="n"/>
      <c r="J1209" s="332" t="n"/>
      <c r="K1209" s="335" t="n"/>
      <c r="L1209" s="265" t="n"/>
      <c r="M1209" s="332" t="n"/>
      <c r="N1209" s="332" t="n"/>
      <c r="O1209" s="244">
        <f>M1209*N1209</f>
        <v/>
      </c>
      <c r="P1209" s="332" t="n"/>
      <c r="Q1209" s="265" t="n"/>
      <c r="R1209" s="332" t="n"/>
      <c r="S1209" s="244">
        <f>Q1209*R1209</f>
        <v/>
      </c>
    </row>
    <row r="1210" ht="22.2" customHeight="1" s="330">
      <c r="A1210" s="4" t="n"/>
      <c r="E1210" s="4" t="n"/>
      <c r="G1210" s="308">
        <f>G1163</f>
        <v/>
      </c>
      <c r="H1210" s="252" t="n"/>
      <c r="I1210" s="252" t="n"/>
      <c r="J1210" s="252" t="n"/>
      <c r="K1210" s="331" t="n"/>
      <c r="L1210" s="252" t="n"/>
      <c r="M1210" s="252" t="n"/>
      <c r="N1210" s="252" t="n"/>
      <c r="O1210" s="244">
        <f>M1210*N1210</f>
        <v/>
      </c>
      <c r="P1210" s="252" t="n"/>
      <c r="Q1210" s="252" t="n"/>
      <c r="R1210" s="252" t="n"/>
      <c r="S1210" s="244">
        <f>Q1210*R1210</f>
        <v/>
      </c>
    </row>
    <row r="1211" ht="22.2" customHeight="1" s="330">
      <c r="A1211" s="4" t="n"/>
      <c r="B1211" s="5" t="n"/>
      <c r="D1211" s="3" t="n"/>
      <c r="E1211" s="3" t="n"/>
      <c r="G1211" s="252" t="n"/>
      <c r="H1211" s="252" t="n"/>
      <c r="I1211" s="252" t="n"/>
      <c r="J1211" s="252" t="n"/>
      <c r="K1211" s="331" t="n"/>
      <c r="L1211" s="252" t="n"/>
      <c r="M1211" s="252" t="n"/>
      <c r="N1211" s="252" t="n"/>
      <c r="O1211" s="244">
        <f>M1211*N1211</f>
        <v/>
      </c>
      <c r="P1211" s="252" t="n"/>
      <c r="Q1211" s="252" t="n"/>
      <c r="R1211" s="252" t="n"/>
      <c r="S1211" s="244">
        <f>Q1211*R1211</f>
        <v/>
      </c>
    </row>
    <row r="1212" ht="22.2" customHeight="1" s="330">
      <c r="A1212" s="4" t="n"/>
      <c r="E1212" s="4" t="n"/>
      <c r="G1212" s="62" t="n"/>
      <c r="H1212" s="249" t="n"/>
      <c r="I1212" s="252" t="n"/>
      <c r="J1212" s="252" t="n"/>
      <c r="K1212" s="331" t="n"/>
      <c r="L1212" s="252" t="n"/>
      <c r="M1212" s="252" t="n"/>
      <c r="N1212" s="252" t="n"/>
      <c r="O1212" s="244">
        <f>M1212*N1212</f>
        <v/>
      </c>
      <c r="P1212" s="252" t="n"/>
      <c r="Q1212" s="252" t="n"/>
      <c r="R1212" s="252" t="n"/>
      <c r="S1212" s="244">
        <f>Q1212*R1212</f>
        <v/>
      </c>
    </row>
    <row r="1213" ht="22.2" customHeight="1" s="330">
      <c r="A1213" s="4" t="n"/>
      <c r="D1213" s="8" t="inlineStr">
        <is>
          <t> </t>
        </is>
      </c>
      <c r="E1213" s="4" t="n"/>
      <c r="G1213" s="63" t="n"/>
      <c r="H1213" s="249" t="n"/>
      <c r="I1213" s="252" t="n"/>
      <c r="J1213" s="276" t="n"/>
      <c r="K1213" s="476" t="n"/>
      <c r="L1213" s="252" t="n"/>
      <c r="M1213" s="252" t="n"/>
      <c r="N1213" s="252" t="n"/>
      <c r="O1213" s="244">
        <f>M1213*N1213</f>
        <v/>
      </c>
      <c r="P1213" s="252" t="n"/>
      <c r="Q1213" s="252" t="n"/>
      <c r="R1213" s="252" t="n"/>
      <c r="S1213" s="244">
        <f>Q1213*R1213</f>
        <v/>
      </c>
    </row>
    <row r="1214" ht="22.2" customHeight="1" s="330">
      <c r="A1214" s="4" t="n"/>
      <c r="E1214" s="4" t="n"/>
      <c r="G1214" s="308" t="inlineStr">
        <is>
          <t>พุธ</t>
        </is>
      </c>
      <c r="H1214" s="332" t="n"/>
      <c r="I1214" s="332" t="n"/>
      <c r="J1214" s="332" t="n"/>
      <c r="K1214" s="335" t="n"/>
      <c r="L1214" s="265" t="n"/>
      <c r="M1214" s="332" t="n"/>
      <c r="N1214" s="332" t="n"/>
      <c r="O1214" s="244">
        <f>M1214*N1214</f>
        <v/>
      </c>
      <c r="P1214" s="332" t="n"/>
      <c r="Q1214" s="265" t="n"/>
      <c r="R1214" s="332" t="n"/>
      <c r="S1214" s="244">
        <f>Q1214*R1214</f>
        <v/>
      </c>
      <c r="T1214" s="25" t="n"/>
      <c r="U1214" s="26" t="inlineStr">
        <is>
          <t xml:space="preserve">     PLC</t>
        </is>
      </c>
      <c r="V1214" s="64" t="n"/>
      <c r="W1214" s="27" t="n"/>
      <c r="X1214" s="27" t="n"/>
    </row>
    <row r="1215" ht="22.2" customHeight="1" s="330">
      <c r="A1215" s="4" t="n"/>
      <c r="B1215" s="248" t="n"/>
      <c r="C1215" s="249" t="n"/>
      <c r="D1215" s="249" t="n"/>
      <c r="E1215" s="252" t="n"/>
      <c r="G1215" s="308">
        <f>G1168</f>
        <v/>
      </c>
      <c r="H1215" s="252" t="n"/>
      <c r="I1215" s="325" t="n"/>
      <c r="J1215" s="252" t="n"/>
      <c r="K1215" s="331" t="n"/>
      <c r="L1215" s="252" t="n"/>
      <c r="M1215" s="252" t="n"/>
      <c r="N1215" s="252" t="n"/>
      <c r="O1215" s="244">
        <f>M1215*N1215</f>
        <v/>
      </c>
      <c r="P1215" s="252" t="n"/>
      <c r="Q1215" s="252" t="n"/>
      <c r="R1215" s="252" t="n"/>
      <c r="S1215" s="244">
        <f>Q1215*R1215</f>
        <v/>
      </c>
      <c r="T1215" s="27" t="inlineStr">
        <is>
          <t> </t>
        </is>
      </c>
      <c r="U1215" s="26" t="inlineStr">
        <is>
          <t>17.10-19.10</t>
        </is>
      </c>
      <c r="V1215" s="64" t="n"/>
      <c r="W1215" s="27" t="n"/>
      <c r="X1215" s="27" t="n"/>
    </row>
    <row r="1216" ht="22.2" customHeight="1" s="330">
      <c r="A1216" s="4" t="n"/>
      <c r="B1216" s="5" t="n"/>
      <c r="D1216" s="3" t="n"/>
      <c r="E1216" s="3" t="n"/>
      <c r="G1216" s="252" t="n"/>
      <c r="H1216" s="252" t="n"/>
      <c r="I1216" s="325" t="n"/>
      <c r="J1216" s="252" t="n"/>
      <c r="K1216" s="331" t="n"/>
      <c r="L1216" s="252" t="n"/>
      <c r="M1216" s="252" t="n"/>
      <c r="N1216" s="252" t="n"/>
      <c r="O1216" s="244">
        <f>M1216*N1216</f>
        <v/>
      </c>
      <c r="P1216" s="252" t="n"/>
      <c r="Q1216" s="252" t="n"/>
      <c r="R1216" s="252" t="n"/>
      <c r="S1216" s="244">
        <f>Q1216*R1216</f>
        <v/>
      </c>
    </row>
    <row r="1217" ht="22.2" customHeight="1" s="330">
      <c r="A1217" s="4" t="n"/>
      <c r="E1217" s="4" t="n"/>
      <c r="G1217" s="248" t="n"/>
      <c r="H1217" s="248" t="n"/>
      <c r="I1217" s="252" t="n"/>
      <c r="J1217" s="252" t="n"/>
      <c r="K1217" s="331" t="n"/>
      <c r="L1217" s="252" t="n"/>
      <c r="M1217" s="252" t="n"/>
      <c r="N1217" s="252" t="n"/>
      <c r="O1217" s="244">
        <f>M1217*N1217</f>
        <v/>
      </c>
      <c r="P1217" s="252" t="n"/>
      <c r="Q1217" s="252" t="n"/>
      <c r="R1217" s="252" t="n"/>
      <c r="S1217" s="244">
        <f>Q1217*R1217</f>
        <v/>
      </c>
    </row>
    <row r="1218" ht="22.2" customHeight="1" s="330">
      <c r="A1218" s="4" t="n"/>
      <c r="E1218" s="4" t="n"/>
      <c r="G1218" s="277" t="n"/>
      <c r="H1218" s="277" t="n"/>
      <c r="I1218" s="276" t="n"/>
      <c r="J1218" s="276" t="n"/>
      <c r="K1218" s="476" t="n"/>
      <c r="L1218" s="276" t="n"/>
      <c r="M1218" s="276" t="n"/>
      <c r="N1218" s="276" t="n"/>
      <c r="O1218" s="244">
        <f>M1218*N1218</f>
        <v/>
      </c>
      <c r="P1218" s="276" t="n"/>
      <c r="Q1218" s="276" t="n"/>
      <c r="R1218" s="276" t="n"/>
      <c r="S1218" s="244">
        <f>Q1218*R1218</f>
        <v/>
      </c>
    </row>
    <row r="1219" ht="22.2" customHeight="1" s="330">
      <c r="A1219" s="4" t="n"/>
      <c r="E1219" s="4" t="n"/>
      <c r="G1219" s="62" t="inlineStr">
        <is>
          <t>พฤหัส</t>
        </is>
      </c>
      <c r="H1219" s="332" t="n"/>
      <c r="I1219" s="332" t="n"/>
      <c r="J1219" s="275" t="n"/>
      <c r="K1219" s="335" t="n"/>
      <c r="L1219" s="252" t="n"/>
      <c r="M1219" s="252" t="n"/>
      <c r="N1219" s="252" t="n"/>
      <c r="O1219" s="244">
        <f>M1219*N1219</f>
        <v/>
      </c>
      <c r="P1219" s="252" t="n"/>
      <c r="Q1219" s="275" t="n"/>
      <c r="R1219" s="275" t="n"/>
      <c r="S1219" s="244">
        <f>Q1219*R1219</f>
        <v/>
      </c>
    </row>
    <row r="1220" ht="22.2" customHeight="1" s="330">
      <c r="A1220" s="4" t="n"/>
      <c r="E1220" s="4" t="n"/>
      <c r="G1220" s="308">
        <f>G1173</f>
        <v/>
      </c>
      <c r="H1220" s="252" t="n"/>
      <c r="I1220" s="325" t="n"/>
      <c r="J1220" s="252" t="n"/>
      <c r="K1220" s="331" t="n"/>
      <c r="L1220" s="252" t="n"/>
      <c r="M1220" s="252" t="n"/>
      <c r="N1220" s="252" t="n"/>
      <c r="O1220" s="244">
        <f>M1220*N1220</f>
        <v/>
      </c>
      <c r="P1220" s="252" t="n"/>
      <c r="Q1220" s="252" t="n"/>
      <c r="R1220" s="252" t="n"/>
      <c r="S1220" s="244">
        <f>Q1220*R1220</f>
        <v/>
      </c>
    </row>
    <row r="1221" ht="22.2" customHeight="1" s="330">
      <c r="A1221" s="4" t="n"/>
      <c r="B1221" s="5" t="n"/>
      <c r="E1221" s="4" t="n"/>
      <c r="G1221" s="252" t="n"/>
      <c r="H1221" s="252" t="n"/>
      <c r="I1221" s="325" t="n"/>
      <c r="J1221" s="252" t="n"/>
      <c r="K1221" s="331" t="n"/>
      <c r="L1221" s="325" t="n"/>
      <c r="M1221" s="325" t="n"/>
      <c r="N1221" s="325" t="n"/>
      <c r="O1221" s="244">
        <f>M1221*N1221</f>
        <v/>
      </c>
      <c r="P1221" s="325" t="n"/>
      <c r="Q1221" s="325" t="n"/>
      <c r="R1221" s="325" t="n"/>
      <c r="S1221" s="244">
        <f>Q1221*R1221</f>
        <v/>
      </c>
    </row>
    <row r="1222" ht="22.2" customHeight="1" s="330">
      <c r="A1222" s="4" t="n"/>
      <c r="E1222" s="4" t="n"/>
      <c r="G1222" s="252" t="n"/>
      <c r="H1222" s="252" t="n"/>
      <c r="I1222" s="252" t="n"/>
      <c r="J1222" s="252" t="n"/>
      <c r="K1222" s="331" t="n"/>
      <c r="L1222" s="252" t="n"/>
      <c r="M1222" s="252" t="n"/>
      <c r="N1222" s="252" t="n"/>
      <c r="O1222" s="244">
        <f>M1222*N1222</f>
        <v/>
      </c>
      <c r="P1222" s="252" t="n"/>
      <c r="Q1222" s="252" t="n"/>
      <c r="R1222" s="252" t="n"/>
      <c r="S1222" s="244">
        <f>Q1222*R1222</f>
        <v/>
      </c>
    </row>
    <row r="1223" ht="22.2" customHeight="1" s="330">
      <c r="A1223" s="4" t="n"/>
      <c r="E1223" s="4" t="n"/>
      <c r="G1223" s="276" t="n"/>
      <c r="H1223" s="301" t="n"/>
      <c r="I1223" s="276" t="n"/>
      <c r="J1223" s="276" t="n"/>
      <c r="K1223" s="476" t="n"/>
      <c r="L1223" s="276" t="n"/>
      <c r="M1223" s="276" t="n"/>
      <c r="N1223" s="276" t="n"/>
      <c r="O1223" s="244">
        <f>M1223*N1223</f>
        <v/>
      </c>
      <c r="P1223" s="276" t="n"/>
      <c r="Q1223" s="276" t="n"/>
      <c r="R1223" s="276" t="n"/>
      <c r="S1223" s="244">
        <f>Q1223*R1223</f>
        <v/>
      </c>
    </row>
    <row r="1224" ht="22.2" customHeight="1" s="330">
      <c r="A1224" s="4" t="n"/>
      <c r="E1224" s="4" t="n"/>
      <c r="G1224" s="62" t="inlineStr">
        <is>
          <t>ศุกร์</t>
        </is>
      </c>
      <c r="H1224" s="332" t="n"/>
      <c r="I1224" s="252" t="n"/>
      <c r="J1224" s="332" t="n"/>
      <c r="K1224" s="335" t="n"/>
      <c r="L1224" s="252" t="n"/>
      <c r="M1224" s="252" t="n"/>
      <c r="N1224" s="252" t="n"/>
      <c r="O1224" s="244">
        <f>M1224*N1224</f>
        <v/>
      </c>
      <c r="P1224" s="332" t="n"/>
      <c r="Q1224" s="265" t="n"/>
      <c r="R1224" s="332" t="n"/>
      <c r="S1224" s="244">
        <f>Q1224*R1224</f>
        <v/>
      </c>
    </row>
    <row r="1225" ht="22.2" customHeight="1" s="330">
      <c r="A1225" s="4" t="n"/>
      <c r="E1225" s="4" t="n"/>
      <c r="G1225" s="308">
        <f>G1178</f>
        <v/>
      </c>
      <c r="H1225" s="252" t="n"/>
      <c r="I1225" s="252" t="n"/>
      <c r="J1225" s="252" t="n"/>
      <c r="K1225" s="331" t="n"/>
      <c r="L1225" s="252" t="n"/>
      <c r="M1225" s="252" t="n"/>
      <c r="N1225" s="252" t="n"/>
      <c r="O1225" s="244">
        <f>M1225*N1225</f>
        <v/>
      </c>
      <c r="P1225" s="252" t="n"/>
      <c r="Q1225" s="252" t="n"/>
      <c r="R1225" s="252" t="n"/>
      <c r="S1225" s="244">
        <f>Q1225*R1225</f>
        <v/>
      </c>
    </row>
    <row r="1226" ht="22.2" customHeight="1" s="330">
      <c r="A1226" s="4" t="n"/>
      <c r="E1226" s="4" t="n"/>
      <c r="G1226" s="252" t="n"/>
      <c r="H1226" s="252" t="n"/>
      <c r="I1226" s="252" t="n"/>
      <c r="J1226" s="252" t="n"/>
      <c r="K1226" s="331" t="n"/>
      <c r="L1226" s="252" t="n"/>
      <c r="M1226" s="252" t="n"/>
      <c r="N1226" s="252" t="n"/>
      <c r="O1226" s="244">
        <f>M1226*N1226</f>
        <v/>
      </c>
      <c r="P1226" s="252" t="n"/>
      <c r="Q1226" s="252" t="n"/>
      <c r="R1226" s="252" t="n"/>
      <c r="S1226" s="244">
        <f>Q1226*R1226</f>
        <v/>
      </c>
    </row>
    <row r="1227" ht="22.2" customHeight="1" s="330">
      <c r="A1227" s="4" t="n"/>
      <c r="E1227" s="4" t="n"/>
      <c r="G1227" s="252" t="n"/>
      <c r="H1227" s="249" t="inlineStr">
        <is>
          <t> </t>
        </is>
      </c>
      <c r="I1227" s="252" t="n"/>
      <c r="J1227" s="252" t="n"/>
      <c r="K1227" s="331" t="n"/>
      <c r="L1227" s="252" t="n"/>
      <c r="M1227" s="252" t="n"/>
      <c r="N1227" s="252" t="n"/>
      <c r="O1227" s="244">
        <f>M1227*N1227</f>
        <v/>
      </c>
      <c r="P1227" s="252" t="n"/>
      <c r="Q1227" s="252" t="n"/>
      <c r="R1227" s="252" t="n"/>
      <c r="S1227" s="244">
        <f>Q1227*R1227</f>
        <v/>
      </c>
    </row>
    <row r="1228" ht="22.2" customHeight="1" s="330">
      <c r="A1228" s="4" t="n"/>
      <c r="E1228" s="4" t="n"/>
      <c r="F1228" s="4" t="n"/>
      <c r="G1228" s="278" t="n"/>
      <c r="H1228" s="301" t="n"/>
      <c r="I1228" s="276" t="n"/>
      <c r="J1228" s="276" t="n"/>
      <c r="K1228" s="476" t="n"/>
      <c r="L1228" s="276" t="n"/>
      <c r="M1228" s="276" t="n"/>
      <c r="N1228" s="276" t="n"/>
      <c r="O1228" s="244">
        <f>M1228*N1228</f>
        <v/>
      </c>
      <c r="P1228" s="276" t="n"/>
      <c r="Q1228" s="276" t="n"/>
      <c r="R1228" s="276" t="n"/>
      <c r="S1228" s="244">
        <f>Q1228*R1228</f>
        <v/>
      </c>
    </row>
    <row r="1229" ht="22.2" customHeight="1" s="330">
      <c r="A1229" s="4" t="n"/>
      <c r="E1229" s="4" t="n"/>
      <c r="F1229" s="4" t="n"/>
      <c r="G1229" s="17" t="inlineStr">
        <is>
          <t>รวมขั่วโมงที่สอนแยก ภาระงาน/ เกินภาระงาน</t>
        </is>
      </c>
      <c r="H1229" s="467" t="n"/>
      <c r="I1229" s="467" t="n"/>
      <c r="J1229" s="467" t="n"/>
      <c r="K1229" s="362" t="n"/>
      <c r="L1229" s="17">
        <f>SUM(L1204:L1228)</f>
        <v/>
      </c>
      <c r="M1229" s="17">
        <f>SUM(M1204:M1228)</f>
        <v/>
      </c>
      <c r="N1229" s="17" t="n"/>
      <c r="O1229" s="17" t="n"/>
      <c r="P1229" s="17">
        <f>SUM(P1204:P1228)</f>
        <v/>
      </c>
      <c r="Q1229" s="17">
        <f>SUM(Q1204:Q1228)</f>
        <v/>
      </c>
      <c r="R1229" s="279" t="n"/>
      <c r="S1229" s="17" t="n"/>
    </row>
    <row r="1230" ht="22.2" customHeight="1" s="330">
      <c r="A1230" s="4" t="n"/>
      <c r="E1230" s="4" t="n"/>
      <c r="F1230" s="4" t="n"/>
      <c r="G1230" s="17" t="inlineStr">
        <is>
          <t>รวมจำนวนชั่วโมงสอนคาบต่อสับดาห์</t>
        </is>
      </c>
      <c r="H1230" s="467" t="n"/>
      <c r="I1230" s="467" t="n"/>
      <c r="J1230" s="467" t="n"/>
      <c r="K1230" s="362" t="n"/>
      <c r="L1230" s="17">
        <f>L1229+M1229</f>
        <v/>
      </c>
      <c r="M1230" s="362" t="n"/>
      <c r="N1230" s="298" t="n"/>
      <c r="O1230" s="17" t="n"/>
      <c r="P1230" s="17">
        <f>P1229+Q1229</f>
        <v/>
      </c>
      <c r="Q1230" s="362" t="n"/>
      <c r="R1230" s="278" t="n"/>
      <c r="S1230" s="276" t="n"/>
    </row>
    <row r="1231" ht="22.2" customHeight="1" s="330">
      <c r="A1231" s="4" t="n"/>
      <c r="E1231" s="4" t="n"/>
      <c r="F1231" s="4" t="n"/>
      <c r="G1231" s="17" t="inlineStr">
        <is>
          <t>จำนวนชั่วโมงสอนตามภาระงานสอน</t>
        </is>
      </c>
      <c r="H1231" s="467" t="n"/>
      <c r="I1231" s="467" t="n"/>
      <c r="J1231" s="467" t="n"/>
      <c r="K1231" s="362" t="n"/>
      <c r="L1231" s="252" t="n">
        <v>18</v>
      </c>
      <c r="M1231" s="252" t="inlineStr">
        <is>
          <t>ปวช.</t>
        </is>
      </c>
      <c r="N1231" s="252" t="n"/>
      <c r="O1231" s="252" t="n"/>
      <c r="P1231" s="252" t="n"/>
      <c r="Q1231" s="252" t="inlineStr">
        <is>
          <t>ปวส.</t>
        </is>
      </c>
      <c r="R1231" s="249" t="n"/>
      <c r="S1231" s="252" t="n"/>
    </row>
    <row r="1232" ht="22.2" customHeight="1" s="330" thickBot="1">
      <c r="A1232" s="4" t="n"/>
      <c r="E1232" s="4" t="n"/>
      <c r="F1232" s="15" t="n"/>
      <c r="G1232" s="17" t="inlineStr">
        <is>
          <t>จำนวนชั่วโมงบิกเกินภาระงานสอน/ค่าสอน</t>
        </is>
      </c>
      <c r="H1232" s="467" t="n"/>
      <c r="I1232" s="467" t="n"/>
      <c r="J1232" s="467" t="n"/>
      <c r="K1232" s="362" t="n"/>
      <c r="L1232" s="18" t="n">
        <v>0</v>
      </c>
      <c r="M1232" s="18">
        <f>SUM(M1204:M1228)</f>
        <v/>
      </c>
      <c r="N1232" s="18" t="n"/>
      <c r="O1232" s="18">
        <f>SUM(O1204:O1228)</f>
        <v/>
      </c>
      <c r="P1232" s="18" t="n">
        <v>0</v>
      </c>
      <c r="Q1232" s="18">
        <f>SUM(Q1204:Q1228)</f>
        <v/>
      </c>
      <c r="R1232" s="19" t="n"/>
      <c r="S1232" s="18">
        <f>SUM(S1204:S1228)</f>
        <v/>
      </c>
    </row>
    <row r="1233" ht="22.2" customHeight="1" s="330" thickTop="1">
      <c r="A1233" s="299" t="inlineStr">
        <is>
          <t>รวมจำนวนหน่วยชั่วโมงที่ขอเบิกค่าสอน ….</t>
        </is>
      </c>
      <c r="B1233" s="467" t="n"/>
      <c r="C1233" s="467" t="n"/>
      <c r="D1233" s="467" t="n"/>
      <c r="E1233" s="467" t="n"/>
      <c r="F1233" s="467" t="n"/>
      <c r="G1233" s="467" t="n"/>
      <c r="H1233" s="298">
        <f>M1232+Q1232</f>
        <v/>
      </c>
      <c r="I1233" s="298" t="inlineStr">
        <is>
          <t>….ชั่วโมง</t>
        </is>
      </c>
      <c r="J1233" s="298" t="n"/>
      <c r="K1233" s="301" t="inlineStr">
        <is>
          <t>ยอดเงินรวม</t>
        </is>
      </c>
      <c r="L1233" s="471" t="n"/>
      <c r="M1233" s="471" t="n"/>
      <c r="N1233" s="301" t="n"/>
      <c r="O1233" s="301" t="n"/>
      <c r="P1233" s="302">
        <f>S1232+O1232</f>
        <v/>
      </c>
      <c r="Q1233" s="482" t="n"/>
      <c r="R1233" s="21" t="n"/>
      <c r="S1233" s="20" t="inlineStr">
        <is>
          <t>..บาท</t>
        </is>
      </c>
    </row>
    <row r="1234" ht="22.2" customHeight="1" s="330">
      <c r="A1234" s="207" t="inlineStr">
        <is>
          <t>ผู้ขอเบิก</t>
        </is>
      </c>
      <c r="B1234" s="334" t="n"/>
      <c r="C1234" s="334" t="n"/>
      <c r="D1234" s="334" t="n"/>
      <c r="E1234" s="334" t="n"/>
      <c r="F1234" s="334" t="n"/>
      <c r="G1234" s="335" t="n"/>
      <c r="H1234" s="207" t="inlineStr">
        <is>
          <t>ผู้รับรอง</t>
        </is>
      </c>
      <c r="I1234" s="334" t="n"/>
      <c r="J1234" s="334" t="n"/>
      <c r="K1234" s="334" t="n"/>
      <c r="L1234" s="335" t="n"/>
      <c r="M1234" s="207" t="inlineStr">
        <is>
          <t>ผู้ตรวจ</t>
        </is>
      </c>
      <c r="N1234" s="334" t="n"/>
      <c r="O1234" s="334" t="n"/>
      <c r="P1234" s="334" t="n"/>
      <c r="Q1234" s="334" t="n"/>
      <c r="R1234" s="334" t="n"/>
      <c r="S1234" s="335" t="n"/>
    </row>
    <row r="1235" ht="22.2" customHeight="1" s="330">
      <c r="A1235" s="252" t="inlineStr">
        <is>
          <t>ลงชื่อ……………………………………………</t>
        </is>
      </c>
      <c r="G1235" s="331" t="n"/>
      <c r="H1235" s="252" t="inlineStr">
        <is>
          <t>ลงชื่อ……………………………………………</t>
        </is>
      </c>
      <c r="L1235" s="331" t="n"/>
      <c r="M1235" s="252" t="inlineStr">
        <is>
          <t>ลงชื่อ……………………………………………</t>
        </is>
      </c>
      <c r="S1235" s="331" t="n"/>
    </row>
    <row r="1236" ht="22.2" customHeight="1" s="330">
      <c r="A1236" s="12" t="inlineStr">
        <is>
          <t>(</t>
        </is>
      </c>
      <c r="B1236" s="309">
        <f>AB27</f>
        <v/>
      </c>
      <c r="G1236" s="310" t="inlineStr">
        <is>
          <t>)</t>
        </is>
      </c>
      <c r="H1236" s="309" t="inlineStr">
        <is>
          <t>(</t>
        </is>
      </c>
      <c r="I1236" s="314" t="inlineStr">
        <is>
          <t>นายไพรัช  อินทุรัตน์</t>
        </is>
      </c>
      <c r="L1236" s="13" t="inlineStr">
        <is>
          <t>)</t>
        </is>
      </c>
      <c r="M1236" s="61" t="inlineStr">
        <is>
          <t>(</t>
        </is>
      </c>
      <c r="N1236" s="61" t="n"/>
      <c r="O1236" s="309" t="inlineStr">
        <is>
          <t>นายพิสุทธิศักดิ์  กล่อมนาค</t>
        </is>
      </c>
      <c r="R1236" s="29" t="n"/>
      <c r="S1236" s="310" t="inlineStr">
        <is>
          <t>)</t>
        </is>
      </c>
    </row>
    <row r="1237" ht="22.2" customHeight="1" s="330">
      <c r="A1237" s="483" t="inlineStr">
        <is>
          <t xml:space="preserve">                 ตำแหน่ง  ครูพิเศษ</t>
        </is>
      </c>
      <c r="G1237" s="331" t="n"/>
      <c r="H1237" s="62" t="inlineStr">
        <is>
          <t>ตำแหน่ง หัวหน้าแผนก</t>
        </is>
      </c>
      <c r="L1237" s="331" t="n"/>
      <c r="M1237" s="62" t="inlineStr">
        <is>
          <t>ตำแหน่ง   ผู้ตรวจสอบ</t>
        </is>
      </c>
      <c r="S1237" s="331" t="n"/>
    </row>
    <row r="1238" ht="22.2" customHeight="1" s="330">
      <c r="A1238" s="63">
        <f>A41</f>
        <v/>
      </c>
      <c r="B1238" s="471" t="n"/>
      <c r="C1238" s="471" t="n"/>
      <c r="D1238" s="471" t="n"/>
      <c r="E1238" s="471" t="n"/>
      <c r="F1238" s="471" t="n"/>
      <c r="G1238" s="476" t="n"/>
      <c r="H1238" s="62">
        <f>A41</f>
        <v/>
      </c>
      <c r="L1238" s="331" t="n"/>
      <c r="M1238" s="63">
        <f>A41</f>
        <v/>
      </c>
      <c r="N1238" s="471" t="n"/>
      <c r="O1238" s="471" t="n"/>
      <c r="P1238" s="471" t="n"/>
      <c r="Q1238" s="471" t="n"/>
      <c r="R1238" s="471" t="n"/>
      <c r="S1238" s="476" t="n"/>
    </row>
    <row r="1239" ht="22.2" customHeight="1" s="330">
      <c r="A1239" s="207" t="inlineStr">
        <is>
          <t>ผู้ตรวจ</t>
        </is>
      </c>
      <c r="B1239" s="334" t="n"/>
      <c r="C1239" s="334" t="n"/>
      <c r="D1239" s="334" t="n"/>
      <c r="E1239" s="334" t="n"/>
      <c r="F1239" s="334" t="n"/>
      <c r="G1239" s="334" t="n"/>
      <c r="H1239" s="334" t="n"/>
      <c r="I1239" s="335" t="n"/>
      <c r="J1239" s="207" t="inlineStr">
        <is>
          <t>ผู้เห็นชอบ</t>
        </is>
      </c>
      <c r="K1239" s="334" t="n"/>
      <c r="L1239" s="334" t="n"/>
      <c r="M1239" s="334" t="n"/>
      <c r="N1239" s="334" t="n"/>
      <c r="O1239" s="334" t="n"/>
      <c r="P1239" s="334" t="n"/>
      <c r="Q1239" s="334" t="n"/>
      <c r="R1239" s="334" t="n"/>
      <c r="S1239" s="335" t="n"/>
    </row>
    <row r="1240" ht="22.2" customHeight="1" s="330">
      <c r="A1240" s="252" t="inlineStr">
        <is>
          <t>ลงชื่อ……………………………………………</t>
        </is>
      </c>
      <c r="I1240" s="331" t="n"/>
      <c r="J1240" s="252" t="inlineStr">
        <is>
          <t>ลงชื่อ……………………………………………</t>
        </is>
      </c>
      <c r="S1240" s="331" t="n"/>
    </row>
    <row r="1241" ht="22.2" customHeight="1" s="330">
      <c r="A1241" s="12" t="n"/>
      <c r="B1241" s="309" t="inlineStr">
        <is>
          <t xml:space="preserve">          (นางศิวรักษ์   บุญประเสริฐ)</t>
        </is>
      </c>
      <c r="I1241" s="310" t="n"/>
      <c r="J1241" s="29" t="n"/>
      <c r="K1241" s="29" t="n"/>
      <c r="L1241" s="309" t="inlineStr">
        <is>
          <t>(นายปรีชา  โพธิ์เกิด)</t>
        </is>
      </c>
      <c r="R1241" s="29" t="n"/>
      <c r="S1241" s="13" t="n"/>
    </row>
    <row r="1242" ht="22.2" customHeight="1" s="330">
      <c r="A1242" s="62" t="inlineStr">
        <is>
          <t>ตำแหน่งครู  หัวหน้างานพัฒนาหลักสูตร ฯ</t>
        </is>
      </c>
      <c r="I1242" s="331" t="n"/>
      <c r="J1242" s="62" t="inlineStr">
        <is>
          <t>ตำแหน่ง  รองผู้อำนวยการฝ่ายวิชาการ</t>
        </is>
      </c>
      <c r="S1242" s="331" t="n"/>
    </row>
    <row r="1243" ht="22.2" customHeight="1" s="330">
      <c r="A1243" s="63">
        <f>A41</f>
        <v/>
      </c>
      <c r="B1243" s="471" t="n"/>
      <c r="C1243" s="471" t="n"/>
      <c r="D1243" s="471" t="n"/>
      <c r="E1243" s="471" t="n"/>
      <c r="F1243" s="471" t="n"/>
      <c r="G1243" s="471" t="n"/>
      <c r="H1243" s="471" t="n"/>
      <c r="I1243" s="476" t="n"/>
      <c r="J1243" s="63">
        <f>A41</f>
        <v/>
      </c>
      <c r="K1243" s="471" t="n"/>
      <c r="L1243" s="471" t="n"/>
      <c r="M1243" s="471" t="n"/>
      <c r="N1243" s="471" t="n"/>
      <c r="O1243" s="471" t="n"/>
      <c r="P1243" s="471" t="n"/>
      <c r="Q1243" s="471" t="n"/>
      <c r="R1243" s="471" t="n"/>
      <c r="S1243" s="476" t="n"/>
    </row>
  </sheetData>
  <mergeCells count="2174">
    <mergeCell ref="H451:L451"/>
    <mergeCell ref="H961:L961"/>
    <mergeCell ref="P496:Q496"/>
    <mergeCell ref="J933:K933"/>
    <mergeCell ref="M221:S221"/>
    <mergeCell ref="AH27:AJ27"/>
    <mergeCell ref="J288:K288"/>
    <mergeCell ref="J207:K207"/>
    <mergeCell ref="L263:M263"/>
    <mergeCell ref="B1005:F1005"/>
    <mergeCell ref="J5:K6"/>
    <mergeCell ref="J824:S824"/>
    <mergeCell ref="B734:H734"/>
    <mergeCell ref="J1147:S1147"/>
    <mergeCell ref="J934:K934"/>
    <mergeCell ref="J928:K928"/>
    <mergeCell ref="J805:K805"/>
    <mergeCell ref="AH22:AJ22"/>
    <mergeCell ref="J963:S963"/>
    <mergeCell ref="H593:L593"/>
    <mergeCell ref="N785:O785"/>
    <mergeCell ref="O269:Q269"/>
    <mergeCell ref="A776:G776"/>
    <mergeCell ref="K1233:M1233"/>
    <mergeCell ref="B882:D882"/>
    <mergeCell ref="G492:K492"/>
    <mergeCell ref="J347:K347"/>
    <mergeCell ref="P1183:Q1183"/>
    <mergeCell ref="K1048:M1048"/>
    <mergeCell ref="A963:I963"/>
    <mergeCell ref="A1199:C1199"/>
    <mergeCell ref="J349:K349"/>
    <mergeCell ref="P511:Q511"/>
    <mergeCell ref="J981:K981"/>
    <mergeCell ref="L412:Q412"/>
    <mergeCell ref="J518:K518"/>
    <mergeCell ref="H911:L911"/>
    <mergeCell ref="P542:Q542"/>
    <mergeCell ref="J947:K947"/>
    <mergeCell ref="L741:M741"/>
    <mergeCell ref="A83:G83"/>
    <mergeCell ref="J344:K344"/>
    <mergeCell ref="J520:K520"/>
    <mergeCell ref="A186:S186"/>
    <mergeCell ref="J976:K976"/>
    <mergeCell ref="J375:K375"/>
    <mergeCell ref="G539:K539"/>
    <mergeCell ref="B1051:F1051"/>
    <mergeCell ref="P141:Q141"/>
    <mergeCell ref="J1193:S1193"/>
    <mergeCell ref="J246:K246"/>
    <mergeCell ref="J459:S459"/>
    <mergeCell ref="J675:K675"/>
    <mergeCell ref="I453:K453"/>
    <mergeCell ref="J973:K973"/>
    <mergeCell ref="P1202:Q1202"/>
    <mergeCell ref="P143:Q143"/>
    <mergeCell ref="J248:K248"/>
    <mergeCell ref="A45:I45"/>
    <mergeCell ref="J975:K975"/>
    <mergeCell ref="L1092:M1092"/>
    <mergeCell ref="J1029:K1029"/>
    <mergeCell ref="L642:Q642"/>
    <mergeCell ref="M914:S914"/>
    <mergeCell ref="B606:D606"/>
    <mergeCell ref="M313:S313"/>
    <mergeCell ref="O683:Q683"/>
    <mergeCell ref="A1190:G1190"/>
    <mergeCell ref="F925:G925"/>
    <mergeCell ref="H1003:L1003"/>
    <mergeCell ref="M911:S911"/>
    <mergeCell ref="J747:K747"/>
    <mergeCell ref="H787:H788"/>
    <mergeCell ref="J180:S180"/>
    <mergeCell ref="J1176:K1176"/>
    <mergeCell ref="J292:K292"/>
    <mergeCell ref="J286:K286"/>
    <mergeCell ref="J302:K302"/>
    <mergeCell ref="N877:O877"/>
    <mergeCell ref="A732:I732"/>
    <mergeCell ref="A275:I275"/>
    <mergeCell ref="B550:H550"/>
    <mergeCell ref="J287:K287"/>
    <mergeCell ref="I499:K499"/>
    <mergeCell ref="J1073:K1073"/>
    <mergeCell ref="J14:K14"/>
    <mergeCell ref="J610:K610"/>
    <mergeCell ref="AH9:AJ9"/>
    <mergeCell ref="AE8:AG8"/>
    <mergeCell ref="I223:K223"/>
    <mergeCell ref="J13:K13"/>
    <mergeCell ref="A450:G450"/>
    <mergeCell ref="J1075:K1075"/>
    <mergeCell ref="J618:K618"/>
    <mergeCell ref="J1202:K1203"/>
    <mergeCell ref="AE10:AG10"/>
    <mergeCell ref="AH11:AJ11"/>
    <mergeCell ref="J15:K15"/>
    <mergeCell ref="J1068:K1068"/>
    <mergeCell ref="G494:K494"/>
    <mergeCell ref="H129:L129"/>
    <mergeCell ref="M1003:S1003"/>
    <mergeCell ref="A589:G589"/>
    <mergeCell ref="J51:K52"/>
    <mergeCell ref="B695:D695"/>
    <mergeCell ref="G34:K34"/>
    <mergeCell ref="L1045:M1045"/>
    <mergeCell ref="H727:L727"/>
    <mergeCell ref="A962:I962"/>
    <mergeCell ref="A501:G501"/>
    <mergeCell ref="A279:C279"/>
    <mergeCell ref="F509:G509"/>
    <mergeCell ref="J974:K974"/>
    <mergeCell ref="J1215:K1215"/>
    <mergeCell ref="P264:Q264"/>
    <mergeCell ref="A592:G592"/>
    <mergeCell ref="B315:F315"/>
    <mergeCell ref="AE21:AG21"/>
    <mergeCell ref="L1061:M1061"/>
    <mergeCell ref="J244:K244"/>
    <mergeCell ref="J1119:K1119"/>
    <mergeCell ref="J700:K700"/>
    <mergeCell ref="A690:I690"/>
    <mergeCell ref="AE23:AG23"/>
    <mergeCell ref="L1063:M1063"/>
    <mergeCell ref="J28:K28"/>
    <mergeCell ref="O591:Q591"/>
    <mergeCell ref="L3:M3"/>
    <mergeCell ref="A1060:S1060"/>
    <mergeCell ref="J272:S272"/>
    <mergeCell ref="A819:G819"/>
    <mergeCell ref="L5:M5"/>
    <mergeCell ref="P1015:Q1015"/>
    <mergeCell ref="B281:D281"/>
    <mergeCell ref="A599:S599"/>
    <mergeCell ref="K358:M358"/>
    <mergeCell ref="J384:K384"/>
    <mergeCell ref="M129:S129"/>
    <mergeCell ref="A87:G87"/>
    <mergeCell ref="P125:Q125"/>
    <mergeCell ref="J989:K989"/>
    <mergeCell ref="J255:K255"/>
    <mergeCell ref="M638:S638"/>
    <mergeCell ref="K956:M956"/>
    <mergeCell ref="B913:F913"/>
    <mergeCell ref="H684:L684"/>
    <mergeCell ref="B642:H642"/>
    <mergeCell ref="J982:K982"/>
    <mergeCell ref="J842:K842"/>
    <mergeCell ref="M727:S727"/>
    <mergeCell ref="J713:K713"/>
    <mergeCell ref="G217:K217"/>
    <mergeCell ref="J511:K512"/>
    <mergeCell ref="J110:K110"/>
    <mergeCell ref="H1098:L1098"/>
    <mergeCell ref="H501:L501"/>
    <mergeCell ref="J715:K715"/>
    <mergeCell ref="M1238:S1238"/>
    <mergeCell ref="L356:M356"/>
    <mergeCell ref="H38:L38"/>
    <mergeCell ref="A961:G961"/>
    <mergeCell ref="A542:G542"/>
    <mergeCell ref="Z27:AA27"/>
    <mergeCell ref="B790:D790"/>
    <mergeCell ref="G400:K400"/>
    <mergeCell ref="H40:L40"/>
    <mergeCell ref="J1069:K1069"/>
    <mergeCell ref="A544:G544"/>
    <mergeCell ref="J99:K99"/>
    <mergeCell ref="G402:K402"/>
    <mergeCell ref="J397:K397"/>
    <mergeCell ref="A1107:C1107"/>
    <mergeCell ref="A414:I414"/>
    <mergeCell ref="J1071:K1071"/>
    <mergeCell ref="P1233:Q1233"/>
    <mergeCell ref="Z22:AA22"/>
    <mergeCell ref="AE6:AG6"/>
    <mergeCell ref="J101:K101"/>
    <mergeCell ref="J1160:K1160"/>
    <mergeCell ref="A1054:I1054"/>
    <mergeCell ref="J100:K100"/>
    <mergeCell ref="B872:H872"/>
    <mergeCell ref="F601:G601"/>
    <mergeCell ref="J1066:K1066"/>
    <mergeCell ref="A1055:I1055"/>
    <mergeCell ref="G32:K32"/>
    <mergeCell ref="J1101:S1101"/>
    <mergeCell ref="M37:S37"/>
    <mergeCell ref="H97:H98"/>
    <mergeCell ref="O407:Q407"/>
    <mergeCell ref="J29:K29"/>
    <mergeCell ref="J1082:K1082"/>
    <mergeCell ref="P51:Q51"/>
    <mergeCell ref="A588:G588"/>
    <mergeCell ref="G630:K630"/>
    <mergeCell ref="J1213:K1213"/>
    <mergeCell ref="M1098:S1098"/>
    <mergeCell ref="AE17:AG17"/>
    <mergeCell ref="P954:Q954"/>
    <mergeCell ref="M38:S38"/>
    <mergeCell ref="J1084:K1084"/>
    <mergeCell ref="J329:K329"/>
    <mergeCell ref="G632:K632"/>
    <mergeCell ref="J627:K627"/>
    <mergeCell ref="P649:Q649"/>
    <mergeCell ref="AE19:AG19"/>
    <mergeCell ref="J481:K481"/>
    <mergeCell ref="J552:S552"/>
    <mergeCell ref="M1004:S1004"/>
    <mergeCell ref="J24:K24"/>
    <mergeCell ref="J1208:K1208"/>
    <mergeCell ref="P680:Q680"/>
    <mergeCell ref="L1183:M1183"/>
    <mergeCell ref="J1085:K1085"/>
    <mergeCell ref="J26:K26"/>
    <mergeCell ref="L126:M126"/>
    <mergeCell ref="N601:O601"/>
    <mergeCell ref="A43:I43"/>
    <mergeCell ref="J482:K482"/>
    <mergeCell ref="P1094:Q1094"/>
    <mergeCell ref="A914:G914"/>
    <mergeCell ref="B1189:F1189"/>
    <mergeCell ref="J813:K813"/>
    <mergeCell ref="I591:K591"/>
    <mergeCell ref="J807:K807"/>
    <mergeCell ref="J1111:K1111"/>
    <mergeCell ref="J350:K350"/>
    <mergeCell ref="J386:K386"/>
    <mergeCell ref="A738:S738"/>
    <mergeCell ref="J352:K352"/>
    <mergeCell ref="J711:K711"/>
    <mergeCell ref="I407:K407"/>
    <mergeCell ref="L1202:M1202"/>
    <mergeCell ref="L780:Q780"/>
    <mergeCell ref="P693:Q693"/>
    <mergeCell ref="B419:D419"/>
    <mergeCell ref="K680:M680"/>
    <mergeCell ref="M451:S451"/>
    <mergeCell ref="A1003:G1003"/>
    <mergeCell ref="P726:Q726"/>
    <mergeCell ref="P263:Q263"/>
    <mergeCell ref="J70:K70"/>
    <mergeCell ref="J235:K236"/>
    <mergeCell ref="K1094:M1094"/>
    <mergeCell ref="J63:K63"/>
    <mergeCell ref="H925:H926"/>
    <mergeCell ref="AB49:AD49"/>
    <mergeCell ref="J422:K422"/>
    <mergeCell ref="J1166:K1166"/>
    <mergeCell ref="J851:K851"/>
    <mergeCell ref="J833:K834"/>
    <mergeCell ref="B743:D743"/>
    <mergeCell ref="J424:K424"/>
    <mergeCell ref="H823:L823"/>
    <mergeCell ref="J1037:K1037"/>
    <mergeCell ref="L1230:M1230"/>
    <mergeCell ref="J853:K853"/>
    <mergeCell ref="AB50:AD50"/>
    <mergeCell ref="O499:Q499"/>
    <mergeCell ref="A870:I870"/>
    <mergeCell ref="G1185:K1185"/>
    <mergeCell ref="Z9:AA9"/>
    <mergeCell ref="A784:S784"/>
    <mergeCell ref="H362:L362"/>
    <mergeCell ref="P1046:Q1046"/>
    <mergeCell ref="I637:K637"/>
    <mergeCell ref="Z11:AA11"/>
    <mergeCell ref="J421:K421"/>
    <mergeCell ref="G724:K724"/>
    <mergeCell ref="J579:K579"/>
    <mergeCell ref="P923:Q923"/>
    <mergeCell ref="J755:K755"/>
    <mergeCell ref="B223:F223"/>
    <mergeCell ref="J152:K152"/>
    <mergeCell ref="J748:K748"/>
    <mergeCell ref="J1177:K1177"/>
    <mergeCell ref="A135:I135"/>
    <mergeCell ref="J750:K750"/>
    <mergeCell ref="J1100:S1100"/>
    <mergeCell ref="J1204:K1204"/>
    <mergeCell ref="J1179:K1179"/>
    <mergeCell ref="J147:K147"/>
    <mergeCell ref="O131:Q131"/>
    <mergeCell ref="A727:G727"/>
    <mergeCell ref="H409:L409"/>
    <mergeCell ref="P678:Q678"/>
    <mergeCell ref="H235:H236"/>
    <mergeCell ref="O729:Q729"/>
    <mergeCell ref="J468:K468"/>
    <mergeCell ref="P373:Q373"/>
    <mergeCell ref="A417:C417"/>
    <mergeCell ref="P33:Q33"/>
    <mergeCell ref="L511:M511"/>
    <mergeCell ref="H1049:L1049"/>
    <mergeCell ref="J163:K163"/>
    <mergeCell ref="M823:S823"/>
    <mergeCell ref="J294:K294"/>
    <mergeCell ref="A1238:G1238"/>
    <mergeCell ref="J365:S365"/>
    <mergeCell ref="J890:K890"/>
    <mergeCell ref="A364:I364"/>
    <mergeCell ref="J165:K165"/>
    <mergeCell ref="A1239:I1239"/>
    <mergeCell ref="J382:K382"/>
    <mergeCell ref="L872:Q872"/>
    <mergeCell ref="J892:K892"/>
    <mergeCell ref="J811:K811"/>
    <mergeCell ref="AB2:AD2"/>
    <mergeCell ref="J77:K77"/>
    <mergeCell ref="J348:K348"/>
    <mergeCell ref="J1223:K1223"/>
    <mergeCell ref="L264:M264"/>
    <mergeCell ref="A1240:I1240"/>
    <mergeCell ref="A181:I181"/>
    <mergeCell ref="M820:S820"/>
    <mergeCell ref="L141:M141"/>
    <mergeCell ref="J522:K522"/>
    <mergeCell ref="J735:S735"/>
    <mergeCell ref="A505:I505"/>
    <mergeCell ref="J524:K524"/>
    <mergeCell ref="M409:S409"/>
    <mergeCell ref="B780:H780"/>
    <mergeCell ref="J61:K61"/>
    <mergeCell ref="A876:S876"/>
    <mergeCell ref="H175:L175"/>
    <mergeCell ref="A1098:G1098"/>
    <mergeCell ref="M1049:S1049"/>
    <mergeCell ref="J1122:K1122"/>
    <mergeCell ref="L125:M125"/>
    <mergeCell ref="B741:D741"/>
    <mergeCell ref="P831:Q831"/>
    <mergeCell ref="A38:G38"/>
    <mergeCell ref="J519:K519"/>
    <mergeCell ref="AB48:AD48"/>
    <mergeCell ref="P404:Q404"/>
    <mergeCell ref="H176:L176"/>
    <mergeCell ref="Z7:AA7"/>
    <mergeCell ref="A40:G40"/>
    <mergeCell ref="A680:G680"/>
    <mergeCell ref="G538:K538"/>
    <mergeCell ref="J1192:S1192"/>
    <mergeCell ref="J664:K664"/>
    <mergeCell ref="H178:L178"/>
    <mergeCell ref="L310:M310"/>
    <mergeCell ref="J237:K237"/>
    <mergeCell ref="G540:K540"/>
    <mergeCell ref="Z8:AA8"/>
    <mergeCell ref="J535:K535"/>
    <mergeCell ref="J1173:K1173"/>
    <mergeCell ref="Z2:AA2"/>
    <mergeCell ref="G1136:K1136"/>
    <mergeCell ref="F141:G141"/>
    <mergeCell ref="P1045:Q1045"/>
    <mergeCell ref="A736:I736"/>
    <mergeCell ref="J239:K239"/>
    <mergeCell ref="J537:K537"/>
    <mergeCell ref="J1175:K1175"/>
    <mergeCell ref="J118:K118"/>
    <mergeCell ref="A1192:I1192"/>
    <mergeCell ref="O637:Q637"/>
    <mergeCell ref="F739:G739"/>
    <mergeCell ref="A1106:S1106"/>
    <mergeCell ref="I775:K775"/>
    <mergeCell ref="F741:G741"/>
    <mergeCell ref="P1061:Q1061"/>
    <mergeCell ref="F1153:G1153"/>
    <mergeCell ref="M175:S175"/>
    <mergeCell ref="J563:K563"/>
    <mergeCell ref="J167:K167"/>
    <mergeCell ref="G768:K768"/>
    <mergeCell ref="A726:G726"/>
    <mergeCell ref="J894:K894"/>
    <mergeCell ref="J932:K932"/>
    <mergeCell ref="J888:K888"/>
    <mergeCell ref="H133:L133"/>
    <mergeCell ref="M176:S176"/>
    <mergeCell ref="G770:K770"/>
    <mergeCell ref="P787:Q787"/>
    <mergeCell ref="J690:S690"/>
    <mergeCell ref="J162:K162"/>
    <mergeCell ref="L51:M51"/>
    <mergeCell ref="H547:L547"/>
    <mergeCell ref="AH13:AJ13"/>
    <mergeCell ref="P818:Q818"/>
    <mergeCell ref="L954:M954"/>
    <mergeCell ref="J164:K164"/>
    <mergeCell ref="H1109:H1110"/>
    <mergeCell ref="A739:C739"/>
    <mergeCell ref="G909:K909"/>
    <mergeCell ref="B836:D836"/>
    <mergeCell ref="P171:Q171"/>
    <mergeCell ref="L649:M649"/>
    <mergeCell ref="J616:K616"/>
    <mergeCell ref="F785:G785"/>
    <mergeCell ref="K1186:M1186"/>
    <mergeCell ref="J372:S372"/>
    <mergeCell ref="J487:K487"/>
    <mergeCell ref="A1052:G1052"/>
    <mergeCell ref="AH8:AJ8"/>
    <mergeCell ref="H1191:L1191"/>
    <mergeCell ref="AB16:AD16"/>
    <mergeCell ref="J1214:K1214"/>
    <mergeCell ref="J410:S410"/>
    <mergeCell ref="AH10:AJ10"/>
    <mergeCell ref="AB9:AD9"/>
    <mergeCell ref="J609:K609"/>
    <mergeCell ref="J945:K945"/>
    <mergeCell ref="J146:K146"/>
    <mergeCell ref="G449:K449"/>
    <mergeCell ref="J488:K488"/>
    <mergeCell ref="A503:I503"/>
    <mergeCell ref="J1008:S1008"/>
    <mergeCell ref="AB11:AD11"/>
    <mergeCell ref="J515:K515"/>
    <mergeCell ref="J92:S92"/>
    <mergeCell ref="I545:K545"/>
    <mergeCell ref="B557:D557"/>
    <mergeCell ref="J331:K331"/>
    <mergeCell ref="I1143:K1143"/>
    <mergeCell ref="J629:K629"/>
    <mergeCell ref="AH28:AJ28"/>
    <mergeCell ref="P97:Q97"/>
    <mergeCell ref="P401:Q401"/>
    <mergeCell ref="J736:S736"/>
    <mergeCell ref="J208:K208"/>
    <mergeCell ref="G79:K79"/>
    <mergeCell ref="J373:K374"/>
    <mergeCell ref="M547:S547"/>
    <mergeCell ref="AH21:AJ21"/>
    <mergeCell ref="J89:S89"/>
    <mergeCell ref="L693:M693"/>
    <mergeCell ref="J201:K201"/>
    <mergeCell ref="A823:G823"/>
    <mergeCell ref="AH23:AJ23"/>
    <mergeCell ref="O39:Q39"/>
    <mergeCell ref="A179:G179"/>
    <mergeCell ref="J971:K972"/>
    <mergeCell ref="L596:Q596"/>
    <mergeCell ref="J203:K203"/>
    <mergeCell ref="B881:D881"/>
    <mergeCell ref="K174:M174"/>
    <mergeCell ref="A89:I89"/>
    <mergeCell ref="H1202:H1203"/>
    <mergeCell ref="J259:K259"/>
    <mergeCell ref="A818:G818"/>
    <mergeCell ref="H957:L957"/>
    <mergeCell ref="H500:L500"/>
    <mergeCell ref="B458:H458"/>
    <mergeCell ref="P1184:Q1184"/>
    <mergeCell ref="J261:K261"/>
    <mergeCell ref="H741:H742"/>
    <mergeCell ref="J559:K559"/>
    <mergeCell ref="A820:G820"/>
    <mergeCell ref="G862:K862"/>
    <mergeCell ref="F5:G5"/>
    <mergeCell ref="J254:K254"/>
    <mergeCell ref="M270:S270"/>
    <mergeCell ref="J561:K561"/>
    <mergeCell ref="J859:K859"/>
    <mergeCell ref="P126:Q126"/>
    <mergeCell ref="J256:K256"/>
    <mergeCell ref="A229:I229"/>
    <mergeCell ref="F877:G877"/>
    <mergeCell ref="A409:G409"/>
    <mergeCell ref="J502:S502"/>
    <mergeCell ref="M497:S497"/>
    <mergeCell ref="P816:Q816"/>
    <mergeCell ref="H373:H374"/>
    <mergeCell ref="A404:G404"/>
    <mergeCell ref="H1187:L1187"/>
    <mergeCell ref="G906:K906"/>
    <mergeCell ref="J281:K282"/>
    <mergeCell ref="J432:K432"/>
    <mergeCell ref="B191:D191"/>
    <mergeCell ref="J503:S503"/>
    <mergeCell ref="H271:L271"/>
    <mergeCell ref="P1230:Q1230"/>
    <mergeCell ref="AH6:AJ6"/>
    <mergeCell ref="L678:M678"/>
    <mergeCell ref="G908:K908"/>
    <mergeCell ref="J941:K941"/>
    <mergeCell ref="J1212:K1212"/>
    <mergeCell ref="M957:S957"/>
    <mergeCell ref="L373:M373"/>
    <mergeCell ref="L1010:Q1010"/>
    <mergeCell ref="J1030:K1030"/>
    <mergeCell ref="L33:M33"/>
    <mergeCell ref="A130:G130"/>
    <mergeCell ref="B649:D649"/>
    <mergeCell ref="H869:L869"/>
    <mergeCell ref="B192:D192"/>
    <mergeCell ref="J486:K486"/>
    <mergeCell ref="A916:I916"/>
    <mergeCell ref="A132:G132"/>
    <mergeCell ref="P493:Q493"/>
    <mergeCell ref="J300:K300"/>
    <mergeCell ref="J644:S644"/>
    <mergeCell ref="M639:S639"/>
    <mergeCell ref="H268:L268"/>
    <mergeCell ref="F1109:G1109"/>
    <mergeCell ref="G1232:K1232"/>
    <mergeCell ref="AH24:AJ24"/>
    <mergeCell ref="J879:K880"/>
    <mergeCell ref="AH17:AJ17"/>
    <mergeCell ref="J931:K931"/>
    <mergeCell ref="P953:Q953"/>
    <mergeCell ref="A644:I644"/>
    <mergeCell ref="J1083:K1083"/>
    <mergeCell ref="J626:K626"/>
    <mergeCell ref="M1099:S1099"/>
    <mergeCell ref="A643:I643"/>
    <mergeCell ref="AH19:AJ19"/>
    <mergeCell ref="J662:K662"/>
    <mergeCell ref="J199:K199"/>
    <mergeCell ref="A1014:S1014"/>
    <mergeCell ref="J628:K628"/>
    <mergeCell ref="I867:K867"/>
    <mergeCell ref="F95:G95"/>
    <mergeCell ref="B879:D879"/>
    <mergeCell ref="P969:Q969"/>
    <mergeCell ref="A176:G176"/>
    <mergeCell ref="J657:K657"/>
    <mergeCell ref="F97:G97"/>
    <mergeCell ref="P971:Q971"/>
    <mergeCell ref="A178:G178"/>
    <mergeCell ref="F693:G693"/>
    <mergeCell ref="J874:S874"/>
    <mergeCell ref="J346:K346"/>
    <mergeCell ref="M869:S869"/>
    <mergeCell ref="J340:K340"/>
    <mergeCell ref="J252:K252"/>
    <mergeCell ref="J944:K944"/>
    <mergeCell ref="J804:K804"/>
    <mergeCell ref="M268:S268"/>
    <mergeCell ref="J1109:K1110"/>
    <mergeCell ref="J341:K341"/>
    <mergeCell ref="A1145:G1145"/>
    <mergeCell ref="B1019:D1019"/>
    <mergeCell ref="J377:K377"/>
    <mergeCell ref="G861:K861"/>
    <mergeCell ref="L1046:M1046"/>
    <mergeCell ref="N49:O49"/>
    <mergeCell ref="O775:Q775"/>
    <mergeCell ref="M866:S866"/>
    <mergeCell ref="A185:S185"/>
    <mergeCell ref="H1095:L1095"/>
    <mergeCell ref="I913:K913"/>
    <mergeCell ref="J59:K59"/>
    <mergeCell ref="J672:K672"/>
    <mergeCell ref="G1000:K1000"/>
    <mergeCell ref="F1202:G1202"/>
    <mergeCell ref="F143:G143"/>
    <mergeCell ref="P1199:Q1199"/>
    <mergeCell ref="A42:I42"/>
    <mergeCell ref="A411:I411"/>
    <mergeCell ref="A1103:I1103"/>
    <mergeCell ref="J97:K98"/>
    <mergeCell ref="J1026:K1026"/>
    <mergeCell ref="J184:S184"/>
    <mergeCell ref="J1028:K1028"/>
    <mergeCell ref="A128:G128"/>
    <mergeCell ref="G1047:K1047"/>
    <mergeCell ref="P309:Q309"/>
    <mergeCell ref="G584:K584"/>
    <mergeCell ref="A129:G129"/>
    <mergeCell ref="L787:M787"/>
    <mergeCell ref="J754:K754"/>
    <mergeCell ref="J439:K439"/>
    <mergeCell ref="K542:M542"/>
    <mergeCell ref="J510:S510"/>
    <mergeCell ref="H224:L224"/>
    <mergeCell ref="J710:K710"/>
    <mergeCell ref="J291:K291"/>
    <mergeCell ref="A1191:G1191"/>
    <mergeCell ref="J293:K293"/>
    <mergeCell ref="M1095:S1095"/>
    <mergeCell ref="A272:I272"/>
    <mergeCell ref="G587:K587"/>
    <mergeCell ref="F189:G189"/>
    <mergeCell ref="A270:G270"/>
    <mergeCell ref="J230:S230"/>
    <mergeCell ref="J11:K11"/>
    <mergeCell ref="J467:K467"/>
    <mergeCell ref="T76:X76"/>
    <mergeCell ref="B1143:F1143"/>
    <mergeCell ref="P233:Q233"/>
    <mergeCell ref="AE7:AG7"/>
    <mergeCell ref="J469:K469"/>
    <mergeCell ref="J767:K767"/>
    <mergeCell ref="J12:K12"/>
    <mergeCell ref="J1065:K1065"/>
    <mergeCell ref="P235:Q235"/>
    <mergeCell ref="J978:K978"/>
    <mergeCell ref="B85:F85"/>
    <mergeCell ref="M685:S685"/>
    <mergeCell ref="J227:S227"/>
    <mergeCell ref="L831:M831"/>
    <mergeCell ref="A1152:S1152"/>
    <mergeCell ref="O1051:Q1051"/>
    <mergeCell ref="AE2:AG2"/>
    <mergeCell ref="L833:M833"/>
    <mergeCell ref="J339:K339"/>
    <mergeCell ref="L401:M401"/>
    <mergeCell ref="B283:D283"/>
    <mergeCell ref="P864:Q864"/>
    <mergeCell ref="H1155:H1156"/>
    <mergeCell ref="A957:G957"/>
    <mergeCell ref="A500:G500"/>
    <mergeCell ref="L1194:Q1194"/>
    <mergeCell ref="J65:K65"/>
    <mergeCell ref="H638:L638"/>
    <mergeCell ref="J480:K480"/>
    <mergeCell ref="J551:S551"/>
    <mergeCell ref="J399:K399"/>
    <mergeCell ref="J670:K670"/>
    <mergeCell ref="J697:K697"/>
    <mergeCell ref="A958:G958"/>
    <mergeCell ref="J1126:K1126"/>
    <mergeCell ref="J1120:K1120"/>
    <mergeCell ref="J392:K392"/>
    <mergeCell ref="J25:K25"/>
    <mergeCell ref="J663:K663"/>
    <mergeCell ref="J699:K699"/>
    <mergeCell ref="J997:K997"/>
    <mergeCell ref="H777:L777"/>
    <mergeCell ref="L1184:M1184"/>
    <mergeCell ref="N187:O187"/>
    <mergeCell ref="J394:K394"/>
    <mergeCell ref="J665:K665"/>
    <mergeCell ref="A1101:I1101"/>
    <mergeCell ref="P279:Q279"/>
    <mergeCell ref="L879:M879"/>
    <mergeCell ref="J1121:K1121"/>
    <mergeCell ref="F1015:G1015"/>
    <mergeCell ref="A1099:G1099"/>
    <mergeCell ref="F1017:G1017"/>
    <mergeCell ref="Z6:AA6"/>
    <mergeCell ref="G81:K81"/>
    <mergeCell ref="J640:S640"/>
    <mergeCell ref="J112:K112"/>
    <mergeCell ref="J383:K383"/>
    <mergeCell ref="M635:S635"/>
    <mergeCell ref="J839:K839"/>
    <mergeCell ref="J376:K376"/>
    <mergeCell ref="G679:K679"/>
    <mergeCell ref="J419:K420"/>
    <mergeCell ref="J534:K534"/>
    <mergeCell ref="J841:K841"/>
    <mergeCell ref="B329:D329"/>
    <mergeCell ref="J597:S597"/>
    <mergeCell ref="J107:K107"/>
    <mergeCell ref="J378:K378"/>
    <mergeCell ref="L816:M816"/>
    <mergeCell ref="L172:M172"/>
    <mergeCell ref="J712:K712"/>
    <mergeCell ref="L171:M171"/>
    <mergeCell ref="B787:D787"/>
    <mergeCell ref="H1007:L1007"/>
    <mergeCell ref="B330:D330"/>
    <mergeCell ref="A461:S461"/>
    <mergeCell ref="H37:L37"/>
    <mergeCell ref="A268:G268"/>
    <mergeCell ref="P631:Q631"/>
    <mergeCell ref="A864:G864"/>
    <mergeCell ref="B1112:D1112"/>
    <mergeCell ref="J438:K438"/>
    <mergeCell ref="J782:S782"/>
    <mergeCell ref="B177:F177"/>
    <mergeCell ref="M777:S777"/>
    <mergeCell ref="H406:L406"/>
    <mergeCell ref="J319:S319"/>
    <mergeCell ref="Z19:AA19"/>
    <mergeCell ref="A866:G866"/>
    <mergeCell ref="AE3:AG3"/>
    <mergeCell ref="J763:K763"/>
    <mergeCell ref="J8:K8"/>
    <mergeCell ref="G311:K311"/>
    <mergeCell ref="F603:G603"/>
    <mergeCell ref="J852:K852"/>
    <mergeCell ref="M1235:S1235"/>
    <mergeCell ref="J1017:K1018"/>
    <mergeCell ref="J765:K765"/>
    <mergeCell ref="J10:K10"/>
    <mergeCell ref="J606:K606"/>
    <mergeCell ref="J1221:K1221"/>
    <mergeCell ref="A456:I456"/>
    <mergeCell ref="M774:S774"/>
    <mergeCell ref="A93:S93"/>
    <mergeCell ref="J766:K766"/>
    <mergeCell ref="H546:L546"/>
    <mergeCell ref="L953:M953"/>
    <mergeCell ref="N1015:O1015"/>
    <mergeCell ref="A1050:G1050"/>
    <mergeCell ref="A371:C371"/>
    <mergeCell ref="P1107:Q1107"/>
    <mergeCell ref="A691:S691"/>
    <mergeCell ref="J607:K607"/>
    <mergeCell ref="J905:K905"/>
    <mergeCell ref="P1109:Q1109"/>
    <mergeCell ref="A316:G316"/>
    <mergeCell ref="A1193:I1193"/>
    <mergeCell ref="J1012:S1012"/>
    <mergeCell ref="M1007:S1007"/>
    <mergeCell ref="H636:L636"/>
    <mergeCell ref="AE16:AG16"/>
    <mergeCell ref="AB15:AD15"/>
    <mergeCell ref="J478:K478"/>
    <mergeCell ref="J549:S549"/>
    <mergeCell ref="J21:K21"/>
    <mergeCell ref="J1211:K1211"/>
    <mergeCell ref="L969:M969"/>
    <mergeCell ref="J1205:K1205"/>
    <mergeCell ref="AE18:AG18"/>
    <mergeCell ref="I361:K361"/>
    <mergeCell ref="J23:K23"/>
    <mergeCell ref="M406:S406"/>
    <mergeCell ref="A313:G313"/>
    <mergeCell ref="L971:M971"/>
    <mergeCell ref="J479:K479"/>
    <mergeCell ref="B1157:D1157"/>
    <mergeCell ref="J1206:K1206"/>
    <mergeCell ref="J91:S91"/>
    <mergeCell ref="L448:M448"/>
    <mergeCell ref="O913:Q913"/>
    <mergeCell ref="A3:C3"/>
    <mergeCell ref="A911:G911"/>
    <mergeCell ref="G769:K769"/>
    <mergeCell ref="A323:S323"/>
    <mergeCell ref="K450:M450"/>
    <mergeCell ref="J689:S689"/>
    <mergeCell ref="H1017:H1018"/>
    <mergeCell ref="A601:C601"/>
    <mergeCell ref="J810:K810"/>
    <mergeCell ref="J835:K835"/>
    <mergeCell ref="G1138:K1138"/>
    <mergeCell ref="M1187:S1187"/>
    <mergeCell ref="A91:I91"/>
    <mergeCell ref="M546:S546"/>
    <mergeCell ref="A180:I180"/>
    <mergeCell ref="J837:K837"/>
    <mergeCell ref="P999:Q999"/>
    <mergeCell ref="J1135:K1135"/>
    <mergeCell ref="AB28:AD28"/>
    <mergeCell ref="J103:K103"/>
    <mergeCell ref="P417:Q417"/>
    <mergeCell ref="M1144:S1144"/>
    <mergeCell ref="AB29:AD29"/>
    <mergeCell ref="J778:S778"/>
    <mergeCell ref="A2:S2"/>
    <mergeCell ref="J321:S321"/>
    <mergeCell ref="J436:K436"/>
    <mergeCell ref="J848:K848"/>
    <mergeCell ref="J919:S919"/>
    <mergeCell ref="J429:K429"/>
    <mergeCell ref="J858:K858"/>
    <mergeCell ref="L494:M494"/>
    <mergeCell ref="J850:K850"/>
    <mergeCell ref="J431:K431"/>
    <mergeCell ref="L44:Q44"/>
    <mergeCell ref="L493:M493"/>
    <mergeCell ref="F325:G325"/>
    <mergeCell ref="L309:M309"/>
    <mergeCell ref="A783:S783"/>
    <mergeCell ref="H822:L822"/>
    <mergeCell ref="B925:D925"/>
    <mergeCell ref="J1158:K1158"/>
    <mergeCell ref="H359:L359"/>
    <mergeCell ref="H1063:H1064"/>
    <mergeCell ref="F327:G327"/>
    <mergeCell ref="A408:G408"/>
    <mergeCell ref="J576:K576"/>
    <mergeCell ref="G124:K124"/>
    <mergeCell ref="J113:K113"/>
    <mergeCell ref="J149:K149"/>
    <mergeCell ref="P448:Q448"/>
    <mergeCell ref="H5:H6"/>
    <mergeCell ref="A1006:G1006"/>
    <mergeCell ref="J121:K121"/>
    <mergeCell ref="J1174:K1174"/>
    <mergeCell ref="J115:K115"/>
    <mergeCell ref="Z28:AA28"/>
    <mergeCell ref="A138:I138"/>
    <mergeCell ref="M498:S498"/>
    <mergeCell ref="J571:K571"/>
    <mergeCell ref="J150:K150"/>
    <mergeCell ref="A920:I920"/>
    <mergeCell ref="N95:O95"/>
    <mergeCell ref="J573:K573"/>
    <mergeCell ref="J116:K116"/>
    <mergeCell ref="A231:S231"/>
    <mergeCell ref="H868:L868"/>
    <mergeCell ref="N693:O693"/>
    <mergeCell ref="J477:K477"/>
    <mergeCell ref="L235:M235"/>
    <mergeCell ref="M87:S87"/>
    <mergeCell ref="A829:S829"/>
    <mergeCell ref="A638:G638"/>
    <mergeCell ref="J284:K284"/>
    <mergeCell ref="J800:K800"/>
    <mergeCell ref="J1150:S1150"/>
    <mergeCell ref="J364:S364"/>
    <mergeCell ref="M359:S359"/>
    <mergeCell ref="B237:D237"/>
    <mergeCell ref="J808:K808"/>
    <mergeCell ref="J1228:K1228"/>
    <mergeCell ref="J1220:K1220"/>
    <mergeCell ref="J801:K801"/>
    <mergeCell ref="AB26:AD26"/>
    <mergeCell ref="J76:K76"/>
    <mergeCell ref="N325:O325"/>
    <mergeCell ref="J803:K803"/>
    <mergeCell ref="M1142:S1142"/>
    <mergeCell ref="L1017:M1017"/>
    <mergeCell ref="H1188:L1188"/>
    <mergeCell ref="H454:L454"/>
    <mergeCell ref="AB27:AD27"/>
    <mergeCell ref="A1237:G1237"/>
    <mergeCell ref="N923:O923"/>
    <mergeCell ref="A774:G774"/>
    <mergeCell ref="J948:K948"/>
    <mergeCell ref="G219:K219"/>
    <mergeCell ref="J942:K942"/>
    <mergeCell ref="M868:S868"/>
    <mergeCell ref="J521:K521"/>
    <mergeCell ref="M224:S224"/>
    <mergeCell ref="L279:M279"/>
    <mergeCell ref="J673:K673"/>
    <mergeCell ref="P80:Q80"/>
    <mergeCell ref="J977:K977"/>
    <mergeCell ref="J514:K514"/>
    <mergeCell ref="G817:K817"/>
    <mergeCell ref="J943:K943"/>
    <mergeCell ref="J979:K979"/>
    <mergeCell ref="J516:K516"/>
    <mergeCell ref="A1:S1"/>
    <mergeCell ref="J460:S460"/>
    <mergeCell ref="A506:I506"/>
    <mergeCell ref="A37:G37"/>
    <mergeCell ref="I729:K729"/>
    <mergeCell ref="G448:K448"/>
    <mergeCell ref="A406:G406"/>
    <mergeCell ref="J58:K58"/>
    <mergeCell ref="J574:K574"/>
    <mergeCell ref="A1002:G1002"/>
    <mergeCell ref="J920:S920"/>
    <mergeCell ref="M915:S915"/>
    <mergeCell ref="K818:M818"/>
    <mergeCell ref="J457:S457"/>
    <mergeCell ref="J567:K567"/>
    <mergeCell ref="A1004:G1004"/>
    <mergeCell ref="J656:K656"/>
    <mergeCell ref="M1188:S1188"/>
    <mergeCell ref="J569:K569"/>
    <mergeCell ref="M454:S454"/>
    <mergeCell ref="L631:M631"/>
    <mergeCell ref="J658:K658"/>
    <mergeCell ref="J440:K440"/>
    <mergeCell ref="F465:G465"/>
    <mergeCell ref="A546:G546"/>
    <mergeCell ref="M912:S912"/>
    <mergeCell ref="F1061:G1061"/>
    <mergeCell ref="F1063:G1063"/>
    <mergeCell ref="A1144:G1144"/>
    <mergeCell ref="A509:C509"/>
    <mergeCell ref="A873:I873"/>
    <mergeCell ref="A276:I276"/>
    <mergeCell ref="J885:K885"/>
    <mergeCell ref="A1242:I1242"/>
    <mergeCell ref="J745:K745"/>
    <mergeCell ref="P907:Q907"/>
    <mergeCell ref="J1043:K1043"/>
    <mergeCell ref="J687:S687"/>
    <mergeCell ref="B361:F361"/>
    <mergeCell ref="J159:K159"/>
    <mergeCell ref="B235:D235"/>
    <mergeCell ref="A553:S553"/>
    <mergeCell ref="J153:K153"/>
    <mergeCell ref="J290:K290"/>
    <mergeCell ref="L1107:M1107"/>
    <mergeCell ref="J582:K582"/>
    <mergeCell ref="A273:I273"/>
    <mergeCell ref="L217:M217"/>
    <mergeCell ref="A451:G451"/>
    <mergeCell ref="L1109:M1109"/>
    <mergeCell ref="B833:D833"/>
    <mergeCell ref="B376:D376"/>
    <mergeCell ref="J613:K613"/>
    <mergeCell ref="P1140:Q1140"/>
    <mergeCell ref="J285:K285"/>
    <mergeCell ref="A141:C141"/>
    <mergeCell ref="J828:S828"/>
    <mergeCell ref="P49:Q49"/>
    <mergeCell ref="K588:M588"/>
    <mergeCell ref="J614:K614"/>
    <mergeCell ref="J827:S827"/>
    <mergeCell ref="J608:K608"/>
    <mergeCell ref="AH7:AJ7"/>
    <mergeCell ref="M222:S222"/>
    <mergeCell ref="J1063:K1064"/>
    <mergeCell ref="J301:K301"/>
    <mergeCell ref="J939:K939"/>
    <mergeCell ref="P1137:Q1137"/>
    <mergeCell ref="B136:H136"/>
    <mergeCell ref="B973:D973"/>
    <mergeCell ref="G815:K815"/>
    <mergeCell ref="H267:L267"/>
    <mergeCell ref="A502:I502"/>
    <mergeCell ref="N463:O463"/>
    <mergeCell ref="F49:G49"/>
    <mergeCell ref="H592:L592"/>
    <mergeCell ref="N1061:O1061"/>
    <mergeCell ref="P1153:Q1153"/>
    <mergeCell ref="A140:S140"/>
    <mergeCell ref="P1155:Q1155"/>
    <mergeCell ref="J652:K652"/>
    <mergeCell ref="G955:K955"/>
    <mergeCell ref="P95:Q95"/>
    <mergeCell ref="J986:K986"/>
    <mergeCell ref="J1057:S1057"/>
    <mergeCell ref="J654:K654"/>
    <mergeCell ref="J996:K996"/>
    <mergeCell ref="J988:K988"/>
    <mergeCell ref="A359:G359"/>
    <mergeCell ref="A1100:I1100"/>
    <mergeCell ref="L182:Q182"/>
    <mergeCell ref="J525:K525"/>
    <mergeCell ref="T104:X104"/>
    <mergeCell ref="J456:S456"/>
    <mergeCell ref="A921:S921"/>
    <mergeCell ref="J873:S873"/>
    <mergeCell ref="H497:L497"/>
    <mergeCell ref="J380:K380"/>
    <mergeCell ref="B1205:D1205"/>
    <mergeCell ref="J714:K714"/>
    <mergeCell ref="J985:K985"/>
    <mergeCell ref="B453:F453"/>
    <mergeCell ref="J251:K251"/>
    <mergeCell ref="B182:H182"/>
    <mergeCell ref="J595:S595"/>
    <mergeCell ref="M267:S267"/>
    <mergeCell ref="L1199:M1199"/>
    <mergeCell ref="H143:H144"/>
    <mergeCell ref="J253:K253"/>
    <mergeCell ref="M636:S636"/>
    <mergeCell ref="G676:K676"/>
    <mergeCell ref="M592:S592"/>
    <mergeCell ref="J709:K709"/>
    <mergeCell ref="J980:K980"/>
    <mergeCell ref="H41:L41"/>
    <mergeCell ref="G126:K126"/>
    <mergeCell ref="N233:O233"/>
    <mergeCell ref="J598:S598"/>
    <mergeCell ref="H1096:L1096"/>
    <mergeCell ref="H639:L639"/>
    <mergeCell ref="N831:O831"/>
    <mergeCell ref="J698:K698"/>
    <mergeCell ref="G1001:K1001"/>
    <mergeCell ref="B928:D928"/>
    <mergeCell ref="A225:G225"/>
    <mergeCell ref="J393:K393"/>
    <mergeCell ref="A967:S967"/>
    <mergeCell ref="J1067:K1067"/>
    <mergeCell ref="AH3:AJ3"/>
    <mergeCell ref="J395:K395"/>
    <mergeCell ref="B683:F683"/>
    <mergeCell ref="J1027:K1027"/>
    <mergeCell ref="AH5:AJ5"/>
    <mergeCell ref="G173:K173"/>
    <mergeCell ref="A1188:G1188"/>
    <mergeCell ref="A454:G454"/>
    <mergeCell ref="G170:K170"/>
    <mergeCell ref="P187:Q187"/>
    <mergeCell ref="J1209:K1209"/>
    <mergeCell ref="P494:Q494"/>
    <mergeCell ref="K726:M726"/>
    <mergeCell ref="J965:S965"/>
    <mergeCell ref="L999:M999"/>
    <mergeCell ref="AE13:AG13"/>
    <mergeCell ref="G1231:K1231"/>
    <mergeCell ref="G172:K172"/>
    <mergeCell ref="A912:G912"/>
    <mergeCell ref="A641:I641"/>
    <mergeCell ref="J1086:K1086"/>
    <mergeCell ref="A877:C877"/>
    <mergeCell ref="A455:G455"/>
    <mergeCell ref="J27:K27"/>
    <mergeCell ref="P189:Q189"/>
    <mergeCell ref="A184:I184"/>
    <mergeCell ref="J1080:K1080"/>
    <mergeCell ref="M1096:S1096"/>
    <mergeCell ref="AH16:AJ16"/>
    <mergeCell ref="AE15:AG15"/>
    <mergeCell ref="L90:Q90"/>
    <mergeCell ref="J20:K20"/>
    <mergeCell ref="B1010:H1010"/>
    <mergeCell ref="J196:K196"/>
    <mergeCell ref="P218:Q218"/>
    <mergeCell ref="J625:K625"/>
    <mergeCell ref="B269:F269"/>
    <mergeCell ref="J1081:K1081"/>
    <mergeCell ref="J22:K22"/>
    <mergeCell ref="A1013:S1013"/>
    <mergeCell ref="P1091:Q1091"/>
    <mergeCell ref="L80:M80"/>
    <mergeCell ref="F971:G971"/>
    <mergeCell ref="A175:G175"/>
    <mergeCell ref="A781:I781"/>
    <mergeCell ref="J137:S137"/>
    <mergeCell ref="J793:K793"/>
    <mergeCell ref="J1222:K1222"/>
    <mergeCell ref="J338:K338"/>
    <mergeCell ref="J138:S138"/>
    <mergeCell ref="L770:M770"/>
    <mergeCell ref="AE28:AG28"/>
    <mergeCell ref="J794:K794"/>
    <mergeCell ref="A956:G956"/>
    <mergeCell ref="J707:K707"/>
    <mergeCell ref="L320:Q320"/>
    <mergeCell ref="B596:H596"/>
    <mergeCell ref="A1059:S1059"/>
    <mergeCell ref="B284:D284"/>
    <mergeCell ref="H635:L635"/>
    <mergeCell ref="A923:C923"/>
    <mergeCell ref="F1199:G1199"/>
    <mergeCell ref="A221:G221"/>
    <mergeCell ref="J66:K66"/>
    <mergeCell ref="H360:L360"/>
    <mergeCell ref="J389:K389"/>
    <mergeCell ref="H465:H466"/>
    <mergeCell ref="G999:K999"/>
    <mergeCell ref="G265:K265"/>
    <mergeCell ref="A647:C647"/>
    <mergeCell ref="A1011:I1011"/>
    <mergeCell ref="G998:K998"/>
    <mergeCell ref="J1023:K1023"/>
    <mergeCell ref="J122:K122"/>
    <mergeCell ref="H879:H880"/>
    <mergeCell ref="A410:I410"/>
    <mergeCell ref="J718:K718"/>
    <mergeCell ref="J849:K849"/>
    <mergeCell ref="J1025:K1025"/>
    <mergeCell ref="A324:S324"/>
    <mergeCell ref="J720:K720"/>
    <mergeCell ref="I1236:K1236"/>
    <mergeCell ref="I177:K177"/>
    <mergeCell ref="L1091:M1091"/>
    <mergeCell ref="A1008:I1008"/>
    <mergeCell ref="N969:O969"/>
    <mergeCell ref="J1178:K1178"/>
    <mergeCell ref="J751:K751"/>
    <mergeCell ref="A48:S48"/>
    <mergeCell ref="J148:K148"/>
    <mergeCell ref="J104:K104"/>
    <mergeCell ref="J966:S966"/>
    <mergeCell ref="J1165:K1165"/>
    <mergeCell ref="J752:K752"/>
    <mergeCell ref="J746:K746"/>
    <mergeCell ref="J105:K105"/>
    <mergeCell ref="M360:S360"/>
    <mergeCell ref="A267:G267"/>
    <mergeCell ref="L49:M49"/>
    <mergeCell ref="B1111:D1111"/>
    <mergeCell ref="H405:L405"/>
    <mergeCell ref="F187:G187"/>
    <mergeCell ref="J143:K144"/>
    <mergeCell ref="K404:M404"/>
    <mergeCell ref="H730:L730"/>
    <mergeCell ref="B53:D53"/>
    <mergeCell ref="J430:K430"/>
    <mergeCell ref="P634:Q634"/>
    <mergeCell ref="L1137:M1137"/>
    <mergeCell ref="N1199:O1199"/>
    <mergeCell ref="A1234:G1234"/>
    <mergeCell ref="J46:S46"/>
    <mergeCell ref="J764:K764"/>
    <mergeCell ref="J9:K9"/>
    <mergeCell ref="A779:I779"/>
    <mergeCell ref="A593:G593"/>
    <mergeCell ref="J1218:K1218"/>
    <mergeCell ref="J161:K161"/>
    <mergeCell ref="M684:S684"/>
    <mergeCell ref="H1190:L1190"/>
    <mergeCell ref="P356:Q356"/>
    <mergeCell ref="AE24:AG24"/>
    <mergeCell ref="G1093:K1093"/>
    <mergeCell ref="A1151:S1151"/>
    <mergeCell ref="A94:S94"/>
    <mergeCell ref="AE26:AG26"/>
    <mergeCell ref="J792:K792"/>
    <mergeCell ref="A782:I782"/>
    <mergeCell ref="J31:K31"/>
    <mergeCell ref="A319:I319"/>
    <mergeCell ref="O867:Q867"/>
    <mergeCell ref="A497:G497"/>
    <mergeCell ref="K36:M36"/>
    <mergeCell ref="J1011:S1011"/>
    <mergeCell ref="J62:K62"/>
    <mergeCell ref="I1005:K1005"/>
    <mergeCell ref="J1123:K1123"/>
    <mergeCell ref="J64:K64"/>
    <mergeCell ref="M316:S316"/>
    <mergeCell ref="J1117:K1117"/>
    <mergeCell ref="K634:M634"/>
    <mergeCell ref="B591:F591"/>
    <mergeCell ref="J660:K660"/>
    <mergeCell ref="J733:S733"/>
    <mergeCell ref="B8:D8"/>
    <mergeCell ref="M405:S405"/>
    <mergeCell ref="J276:S276"/>
    <mergeCell ref="J57:K57"/>
    <mergeCell ref="J391:K391"/>
    <mergeCell ref="J189:K190"/>
    <mergeCell ref="M730:S730"/>
    <mergeCell ref="B918:H918"/>
    <mergeCell ref="J1118:K1118"/>
    <mergeCell ref="T114:X114"/>
    <mergeCell ref="H776:L776"/>
    <mergeCell ref="B99:D99"/>
    <mergeCell ref="P586:Q586"/>
    <mergeCell ref="G264:K264"/>
    <mergeCell ref="A639:G639"/>
    <mergeCell ref="Z3:AA3"/>
    <mergeCell ref="G78:K78"/>
    <mergeCell ref="A36:G36"/>
    <mergeCell ref="B5:D5"/>
    <mergeCell ref="H1234:L1234"/>
    <mergeCell ref="P402:Q402"/>
    <mergeCell ref="Z5:AA5"/>
    <mergeCell ref="G80:K80"/>
    <mergeCell ref="G1139:K1139"/>
    <mergeCell ref="J75:K75"/>
    <mergeCell ref="A785:C785"/>
    <mergeCell ref="B1066:D1066"/>
    <mergeCell ref="A363:G363"/>
    <mergeCell ref="A634:G634"/>
    <mergeCell ref="A92:I92"/>
    <mergeCell ref="J531:K531"/>
    <mergeCell ref="J444:K444"/>
    <mergeCell ref="G1045:K1045"/>
    <mergeCell ref="L1241:Q1241"/>
    <mergeCell ref="J533:K533"/>
    <mergeCell ref="J1171:K1171"/>
    <mergeCell ref="A548:I548"/>
    <mergeCell ref="J856:K856"/>
    <mergeCell ref="O1236:Q1236"/>
    <mergeCell ref="J744:K744"/>
    <mergeCell ref="B145:D145"/>
    <mergeCell ref="A1146:I1146"/>
    <mergeCell ref="J889:K889"/>
    <mergeCell ref="J322:S322"/>
    <mergeCell ref="Z16:AA16"/>
    <mergeCell ref="I39:K39"/>
    <mergeCell ref="J760:K760"/>
    <mergeCell ref="G308:K308"/>
    <mergeCell ref="A266:G266"/>
    <mergeCell ref="B499:F499"/>
    <mergeCell ref="P325:Q325"/>
    <mergeCell ref="Z18:AA18"/>
    <mergeCell ref="B51:D51"/>
    <mergeCell ref="J4:N4"/>
    <mergeCell ref="P632:Q632"/>
    <mergeCell ref="H189:H190"/>
    <mergeCell ref="G310:K310"/>
    <mergeCell ref="J762:K762"/>
    <mergeCell ref="Z17:AA17"/>
    <mergeCell ref="A874:I874"/>
    <mergeCell ref="M1145:S1145"/>
    <mergeCell ref="J884:K884"/>
    <mergeCell ref="P327:Q327"/>
    <mergeCell ref="M682:S682"/>
    <mergeCell ref="G722:K722"/>
    <mergeCell ref="M1234:S1234"/>
    <mergeCell ref="L228:Q228"/>
    <mergeCell ref="J886:K886"/>
    <mergeCell ref="H87:L87"/>
    <mergeCell ref="L861:M861"/>
    <mergeCell ref="N279:O279"/>
    <mergeCell ref="H543:L543"/>
    <mergeCell ref="J757:K757"/>
    <mergeCell ref="L826:Q826"/>
    <mergeCell ref="J887:K887"/>
    <mergeCell ref="A1049:G1049"/>
    <mergeCell ref="P772:Q772"/>
    <mergeCell ref="L218:M218"/>
    <mergeCell ref="J902:K902"/>
    <mergeCell ref="AB12:AD12"/>
    <mergeCell ref="J475:K475"/>
    <mergeCell ref="J904:K904"/>
    <mergeCell ref="J605:K605"/>
    <mergeCell ref="F51:G51"/>
    <mergeCell ref="J897:K897"/>
    <mergeCell ref="AB13:AD13"/>
    <mergeCell ref="J55:K55"/>
    <mergeCell ref="A232:S232"/>
    <mergeCell ref="AB7:AD7"/>
    <mergeCell ref="J476:K476"/>
    <mergeCell ref="A1104:I1104"/>
    <mergeCell ref="J1114:K1114"/>
    <mergeCell ref="J899:K899"/>
    <mergeCell ref="J88:S88"/>
    <mergeCell ref="A459:I459"/>
    <mergeCell ref="L458:Q458"/>
    <mergeCell ref="P371:Q371"/>
    <mergeCell ref="J1116:K1116"/>
    <mergeCell ref="L417:M417"/>
    <mergeCell ref="B97:D97"/>
    <mergeCell ref="A1197:S1197"/>
    <mergeCell ref="J1149:S1149"/>
    <mergeCell ref="J930:K930"/>
    <mergeCell ref="H773:L773"/>
    <mergeCell ref="AH18:AJ18"/>
    <mergeCell ref="A88:I88"/>
    <mergeCell ref="J204:K204"/>
    <mergeCell ref="J1055:S1055"/>
    <mergeCell ref="J198:K198"/>
    <mergeCell ref="J548:S548"/>
    <mergeCell ref="M543:S543"/>
    <mergeCell ref="G1137:K1137"/>
    <mergeCell ref="A1095:G1095"/>
    <mergeCell ref="AB25:AD25"/>
    <mergeCell ref="J529:K529"/>
    <mergeCell ref="J802:K802"/>
    <mergeCell ref="J327:K328"/>
    <mergeCell ref="B1056:H1056"/>
    <mergeCell ref="J1146:S1146"/>
    <mergeCell ref="H914:L914"/>
    <mergeCell ref="O177:Q177"/>
    <mergeCell ref="J1127:K1127"/>
    <mergeCell ref="J68:K68"/>
    <mergeCell ref="B1202:D1202"/>
    <mergeCell ref="B143:D143"/>
    <mergeCell ref="P724:Q724"/>
    <mergeCell ref="H915:L915"/>
    <mergeCell ref="J1129:K1129"/>
    <mergeCell ref="I315:K315"/>
    <mergeCell ref="H281:H282"/>
    <mergeCell ref="N1107:O1107"/>
    <mergeCell ref="J257:K257"/>
    <mergeCell ref="P419:Q419"/>
    <mergeCell ref="B1204:D1204"/>
    <mergeCell ref="A230:I230"/>
    <mergeCell ref="H498:L498"/>
    <mergeCell ref="J242:K242"/>
    <mergeCell ref="J855:K855"/>
    <mergeCell ref="Z13:AA13"/>
    <mergeCell ref="J428:K428"/>
    <mergeCell ref="B44:H44"/>
    <mergeCell ref="J857:K857"/>
    <mergeCell ref="Z15:AA15"/>
    <mergeCell ref="J840:K840"/>
    <mergeCell ref="A227:I227"/>
    <mergeCell ref="A405:G405"/>
    <mergeCell ref="M41:S41"/>
    <mergeCell ref="L187:M187"/>
    <mergeCell ref="A508:S508"/>
    <mergeCell ref="A95:C95"/>
    <mergeCell ref="L189:M189"/>
    <mergeCell ref="P34:Q34"/>
    <mergeCell ref="Z25:AA25"/>
    <mergeCell ref="P463:Q463"/>
    <mergeCell ref="H511:H512"/>
    <mergeCell ref="J568:K568"/>
    <mergeCell ref="P770:Q770"/>
    <mergeCell ref="J781:S781"/>
    <mergeCell ref="P36:Q36"/>
    <mergeCell ref="A693:C693"/>
    <mergeCell ref="P465:Q465"/>
    <mergeCell ref="L550:Q550"/>
    <mergeCell ref="J570:K570"/>
    <mergeCell ref="J893:K893"/>
    <mergeCell ref="B189:D189"/>
    <mergeCell ref="L366:Q366"/>
    <mergeCell ref="B826:H826"/>
    <mergeCell ref="G1046:K1046"/>
    <mergeCell ref="AB3:AD3"/>
    <mergeCell ref="H865:L865"/>
    <mergeCell ref="J901:K901"/>
    <mergeCell ref="J895:K895"/>
    <mergeCell ref="A547:G547"/>
    <mergeCell ref="L964:Q964"/>
    <mergeCell ref="AB5:AD5"/>
    <mergeCell ref="J169:K169"/>
    <mergeCell ref="T19:X19"/>
    <mergeCell ref="J1224:K1224"/>
    <mergeCell ref="A457:I457"/>
    <mergeCell ref="O1005:Q1005"/>
    <mergeCell ref="A1057:I1057"/>
    <mergeCell ref="AH20:AJ20"/>
    <mergeCell ref="J200:K200"/>
    <mergeCell ref="J1226:K1226"/>
    <mergeCell ref="A1243:I1243"/>
    <mergeCell ref="J623:K623"/>
    <mergeCell ref="J927:K927"/>
    <mergeCell ref="G1230:K1230"/>
    <mergeCell ref="A640:I640"/>
    <mergeCell ref="J202:K202"/>
    <mergeCell ref="J798:K798"/>
    <mergeCell ref="A554:S554"/>
    <mergeCell ref="AH15:AJ15"/>
    <mergeCell ref="J929:K929"/>
    <mergeCell ref="J1227:K1227"/>
    <mergeCell ref="J950:K950"/>
    <mergeCell ref="J195:K195"/>
    <mergeCell ref="J624:K624"/>
    <mergeCell ref="A597:I597"/>
    <mergeCell ref="P509:Q509"/>
    <mergeCell ref="J197:K197"/>
    <mergeCell ref="B560:D560"/>
    <mergeCell ref="P82:Q82"/>
    <mergeCell ref="I821:K821"/>
    <mergeCell ref="AB18:AD18"/>
    <mergeCell ref="A777:G777"/>
    <mergeCell ref="G216:K216"/>
    <mergeCell ref="A174:G174"/>
    <mergeCell ref="J870:S870"/>
    <mergeCell ref="J342:K342"/>
    <mergeCell ref="M865:S865"/>
    <mergeCell ref="P540:Q540"/>
    <mergeCell ref="G218:K218"/>
    <mergeCell ref="A1235:G1235"/>
    <mergeCell ref="G541:K541"/>
    <mergeCell ref="J213:K213"/>
    <mergeCell ref="G814:K814"/>
    <mergeCell ref="A772:G772"/>
    <mergeCell ref="J649:K650"/>
    <mergeCell ref="J940:K940"/>
    <mergeCell ref="M133:S133"/>
    <mergeCell ref="H179:L179"/>
    <mergeCell ref="J215:K215"/>
    <mergeCell ref="L95:M95"/>
    <mergeCell ref="J337:K337"/>
    <mergeCell ref="J513:K513"/>
    <mergeCell ref="L402:M402"/>
    <mergeCell ref="J671:K671"/>
    <mergeCell ref="O315:Q315"/>
    <mergeCell ref="L97:M97"/>
    <mergeCell ref="F233:G233"/>
    <mergeCell ref="B1017:D1017"/>
    <mergeCell ref="J210:K210"/>
    <mergeCell ref="P739:Q739"/>
    <mergeCell ref="F235:G235"/>
    <mergeCell ref="P217:Q217"/>
    <mergeCell ref="F831:G831"/>
    <mergeCell ref="J564:K564"/>
    <mergeCell ref="F833:G833"/>
    <mergeCell ref="B637:F637"/>
    <mergeCell ref="J566:K566"/>
    <mergeCell ref="J109:K109"/>
    <mergeCell ref="H327:H328"/>
    <mergeCell ref="J1022:K1022"/>
    <mergeCell ref="A1012:I1012"/>
    <mergeCell ref="A549:I549"/>
    <mergeCell ref="A543:G543"/>
    <mergeCell ref="J1024:K1024"/>
    <mergeCell ref="L325:M325"/>
    <mergeCell ref="H225:L225"/>
    <mergeCell ref="H681:L681"/>
    <mergeCell ref="A233:C233"/>
    <mergeCell ref="L327:M327"/>
    <mergeCell ref="F463:G463"/>
    <mergeCell ref="M179:S179"/>
    <mergeCell ref="B603:D603"/>
    <mergeCell ref="A1187:G1187"/>
    <mergeCell ref="P910:Q910"/>
    <mergeCell ref="A831:C831"/>
    <mergeCell ref="J1040:K1040"/>
    <mergeCell ref="P447:Q447"/>
    <mergeCell ref="G125:K125"/>
    <mergeCell ref="J437:K437"/>
    <mergeCell ref="L688:Q688"/>
    <mergeCell ref="M960:S960"/>
    <mergeCell ref="H222:L222"/>
    <mergeCell ref="B964:H964"/>
    <mergeCell ref="J1042:K1042"/>
    <mergeCell ref="J1164:K1164"/>
    <mergeCell ref="G127:K127"/>
    <mergeCell ref="A869:G869"/>
    <mergeCell ref="O85:Q85"/>
    <mergeCell ref="J1035:K1035"/>
    <mergeCell ref="J193:K193"/>
    <mergeCell ref="A370:S370"/>
    <mergeCell ref="J226:S226"/>
    <mergeCell ref="J305:K305"/>
    <mergeCell ref="A1015:C1015"/>
    <mergeCell ref="A968:S968"/>
    <mergeCell ref="J307:K307"/>
    <mergeCell ref="AH4:AJ4"/>
    <mergeCell ref="P79:Q79"/>
    <mergeCell ref="M225:S225"/>
    <mergeCell ref="K910:M910"/>
    <mergeCell ref="L371:M371"/>
    <mergeCell ref="J936:K936"/>
    <mergeCell ref="M681:S681"/>
    <mergeCell ref="J1195:S1195"/>
    <mergeCell ref="J938:K938"/>
    <mergeCell ref="L274:Q274"/>
    <mergeCell ref="J465:K466"/>
    <mergeCell ref="B1194:H1194"/>
    <mergeCell ref="F923:G923"/>
    <mergeCell ref="J335:K335"/>
    <mergeCell ref="H1052:L1052"/>
    <mergeCell ref="B375:D375"/>
    <mergeCell ref="AH26:AJ26"/>
    <mergeCell ref="P220:Q220"/>
    <mergeCell ref="J368:S368"/>
    <mergeCell ref="J669:K669"/>
    <mergeCell ref="H1238:L1238"/>
    <mergeCell ref="J206:K206"/>
    <mergeCell ref="A915:G915"/>
    <mergeCell ref="A496:G496"/>
    <mergeCell ref="M1006:S1006"/>
    <mergeCell ref="G354:K354"/>
    <mergeCell ref="P555:Q555"/>
    <mergeCell ref="P862:Q862"/>
    <mergeCell ref="H419:H420"/>
    <mergeCell ref="J992:K992"/>
    <mergeCell ref="A498:G498"/>
    <mergeCell ref="G356:K356"/>
    <mergeCell ref="P557:Q557"/>
    <mergeCell ref="J351:K351"/>
    <mergeCell ref="J326:K326"/>
    <mergeCell ref="G952:K952"/>
    <mergeCell ref="A910:G910"/>
    <mergeCell ref="A368:I368"/>
    <mergeCell ref="M271:S271"/>
    <mergeCell ref="A1096:G1096"/>
    <mergeCell ref="J353:K353"/>
    <mergeCell ref="L724:M724"/>
    <mergeCell ref="J651:K651"/>
    <mergeCell ref="G954:K954"/>
    <mergeCell ref="J993:K993"/>
    <mergeCell ref="J987:K987"/>
    <mergeCell ref="O1189:Q1189"/>
    <mergeCell ref="L419:M419"/>
    <mergeCell ref="F555:G555"/>
    <mergeCell ref="J653:K653"/>
    <mergeCell ref="J995:K995"/>
    <mergeCell ref="P1002:Q1002"/>
    <mergeCell ref="F557:G557"/>
    <mergeCell ref="A365:I365"/>
    <mergeCell ref="H314:L314"/>
    <mergeCell ref="H51:H52"/>
    <mergeCell ref="J379:K379"/>
    <mergeCell ref="F1155:G1155"/>
    <mergeCell ref="A82:G82"/>
    <mergeCell ref="J74:K74"/>
    <mergeCell ref="J250:K250"/>
    <mergeCell ref="J594:S594"/>
    <mergeCell ref="H649:H650"/>
    <mergeCell ref="J706:K706"/>
    <mergeCell ref="A462:S462"/>
    <mergeCell ref="P908:Q908"/>
    <mergeCell ref="G586:K586"/>
    <mergeCell ref="A865:G865"/>
    <mergeCell ref="J708:K708"/>
    <mergeCell ref="J1031:K1031"/>
    <mergeCell ref="B327:D327"/>
    <mergeCell ref="Z20:AA20"/>
    <mergeCell ref="J674:K674"/>
    <mergeCell ref="N555:O555"/>
    <mergeCell ref="J1033:K1033"/>
    <mergeCell ref="A685:G685"/>
    <mergeCell ref="L1102:Q1102"/>
    <mergeCell ref="M317:S317"/>
    <mergeCell ref="M773:S773"/>
    <mergeCell ref="N1153:O1153"/>
    <mergeCell ref="P1048:Q1048"/>
    <mergeCell ref="J303:K303"/>
    <mergeCell ref="A868:G868"/>
    <mergeCell ref="A224:G224"/>
    <mergeCell ref="H544:L544"/>
    <mergeCell ref="J557:K558"/>
    <mergeCell ref="B467:D467"/>
    <mergeCell ref="J123:K123"/>
    <mergeCell ref="J761:K761"/>
    <mergeCell ref="J304:K304"/>
    <mergeCell ref="A321:I321"/>
    <mergeCell ref="M314:S314"/>
    <mergeCell ref="J1155:K1156"/>
    <mergeCell ref="A692:S692"/>
    <mergeCell ref="B1065:D1065"/>
    <mergeCell ref="J423:K423"/>
    <mergeCell ref="J306:K306"/>
    <mergeCell ref="G907:K907"/>
    <mergeCell ref="O821:Q821"/>
    <mergeCell ref="A735:I735"/>
    <mergeCell ref="P647:Q647"/>
    <mergeCell ref="I959:K959"/>
    <mergeCell ref="J1077:K1077"/>
    <mergeCell ref="J18:K18"/>
    <mergeCell ref="AE12:AG12"/>
    <mergeCell ref="J474:K474"/>
    <mergeCell ref="J17:K17"/>
    <mergeCell ref="J903:K903"/>
    <mergeCell ref="J1079:K1079"/>
    <mergeCell ref="AE14:AG14"/>
    <mergeCell ref="J787:K788"/>
    <mergeCell ref="L1148:Q1148"/>
    <mergeCell ref="J1078:K1078"/>
    <mergeCell ref="J19:K19"/>
    <mergeCell ref="J1072:K1072"/>
    <mergeCell ref="B697:D697"/>
    <mergeCell ref="J991:K991"/>
    <mergeCell ref="L233:M233"/>
    <mergeCell ref="L540:M540"/>
    <mergeCell ref="O453:Q453"/>
    <mergeCell ref="M544:S544"/>
    <mergeCell ref="H316:L316"/>
    <mergeCell ref="H731:L731"/>
    <mergeCell ref="P1000:Q1000"/>
    <mergeCell ref="H557:H558"/>
    <mergeCell ref="G678:K678"/>
    <mergeCell ref="P695:Q695"/>
    <mergeCell ref="F373:G373"/>
    <mergeCell ref="P355:Q355"/>
    <mergeCell ref="J1219:K1219"/>
    <mergeCell ref="F969:G969"/>
    <mergeCell ref="G33:K33"/>
    <mergeCell ref="J702:K702"/>
    <mergeCell ref="J1131:K1131"/>
    <mergeCell ref="AE25:AG25"/>
    <mergeCell ref="AB24:AD24"/>
    <mergeCell ref="G35:K35"/>
    <mergeCell ref="B775:F775"/>
    <mergeCell ref="M1141:S1141"/>
    <mergeCell ref="L739:M739"/>
    <mergeCell ref="J704:K704"/>
    <mergeCell ref="J1133:K1133"/>
    <mergeCell ref="A1150:I1150"/>
    <mergeCell ref="A687:I687"/>
    <mergeCell ref="H1099:L1099"/>
    <mergeCell ref="J243:K243"/>
    <mergeCell ref="A681:G681"/>
    <mergeCell ref="A46:I46"/>
    <mergeCell ref="L463:M463"/>
    <mergeCell ref="H363:L363"/>
    <mergeCell ref="G262:K262"/>
    <mergeCell ref="A220:G220"/>
    <mergeCell ref="L465:M465"/>
    <mergeCell ref="J916:S916"/>
    <mergeCell ref="J117:K117"/>
    <mergeCell ref="J388:K388"/>
    <mergeCell ref="J844:K844"/>
    <mergeCell ref="A222:G222"/>
    <mergeCell ref="P925:Q925"/>
    <mergeCell ref="A969:C969"/>
    <mergeCell ref="P585:Q585"/>
    <mergeCell ref="J119:K119"/>
    <mergeCell ref="P281:Q281"/>
    <mergeCell ref="J390:K390"/>
    <mergeCell ref="G263:K263"/>
    <mergeCell ref="A827:I827"/>
    <mergeCell ref="J846:K846"/>
    <mergeCell ref="M731:S731"/>
    <mergeCell ref="J917:S917"/>
    <mergeCell ref="J427:K427"/>
    <mergeCell ref="B1102:H1102"/>
    <mergeCell ref="A1198:S1198"/>
    <mergeCell ref="P312:Q312"/>
    <mergeCell ref="H603:H604"/>
    <mergeCell ref="J717:K717"/>
    <mergeCell ref="H84:L84"/>
    <mergeCell ref="P741:Q741"/>
    <mergeCell ref="A1007:G1007"/>
    <mergeCell ref="J114:K114"/>
    <mergeCell ref="J385:K385"/>
    <mergeCell ref="L447:M447"/>
    <mergeCell ref="Z4:AA4"/>
    <mergeCell ref="F279:G279"/>
    <mergeCell ref="B1063:D1063"/>
    <mergeCell ref="J719:K719"/>
    <mergeCell ref="J572:K572"/>
    <mergeCell ref="H86:L86"/>
    <mergeCell ref="J145:K145"/>
    <mergeCell ref="F281:G281"/>
    <mergeCell ref="A733:I733"/>
    <mergeCell ref="J443:K443"/>
    <mergeCell ref="B821:F821"/>
    <mergeCell ref="H1145:L1145"/>
    <mergeCell ref="G860:K860"/>
    <mergeCell ref="A47:S47"/>
    <mergeCell ref="J111:K111"/>
    <mergeCell ref="J445:K445"/>
    <mergeCell ref="J743:K743"/>
    <mergeCell ref="L632:M632"/>
    <mergeCell ref="J1172:K1172"/>
    <mergeCell ref="Z26:AA26"/>
    <mergeCell ref="L509:M509"/>
    <mergeCell ref="A830:S830"/>
    <mergeCell ref="A1058:I1058"/>
    <mergeCell ref="I683:K683"/>
    <mergeCell ref="J1070:K1070"/>
    <mergeCell ref="P785:Q785"/>
    <mergeCell ref="AE5:AG5"/>
    <mergeCell ref="H833:H834"/>
    <mergeCell ref="J1103:S1103"/>
    <mergeCell ref="P358:Q358"/>
    <mergeCell ref="J686:S686"/>
    <mergeCell ref="J158:K158"/>
    <mergeCell ref="A1233:G1233"/>
    <mergeCell ref="P956:Q956"/>
    <mergeCell ref="J45:S45"/>
    <mergeCell ref="M84:S84"/>
    <mergeCell ref="G1091:K1091"/>
    <mergeCell ref="A636:G636"/>
    <mergeCell ref="J1217:K1217"/>
    <mergeCell ref="J489:K489"/>
    <mergeCell ref="J160:K160"/>
    <mergeCell ref="G1090:K1090"/>
    <mergeCell ref="A1048:G1048"/>
    <mergeCell ref="M86:S86"/>
    <mergeCell ref="J1210:K1210"/>
    <mergeCell ref="L555:M555"/>
    <mergeCell ref="H455:L455"/>
    <mergeCell ref="J491:K491"/>
    <mergeCell ref="L862:M862"/>
    <mergeCell ref="AB22:AD22"/>
    <mergeCell ref="J72:K72"/>
    <mergeCell ref="J789:K789"/>
    <mergeCell ref="G1092:K1092"/>
    <mergeCell ref="J799:K799"/>
    <mergeCell ref="L557:M557"/>
    <mergeCell ref="J484:K484"/>
    <mergeCell ref="A416:S416"/>
    <mergeCell ref="H1053:L1053"/>
    <mergeCell ref="J30:K30"/>
    <mergeCell ref="I269:K269"/>
    <mergeCell ref="A314:G314"/>
    <mergeCell ref="F695:G695"/>
    <mergeCell ref="P677:Q677"/>
    <mergeCell ref="B1158:D1158"/>
    <mergeCell ref="F1107:G1107"/>
    <mergeCell ref="H452:L452"/>
    <mergeCell ref="G171:K171"/>
    <mergeCell ref="J517:K517"/>
    <mergeCell ref="J809:K809"/>
    <mergeCell ref="J54:K54"/>
    <mergeCell ref="G357:K357"/>
    <mergeCell ref="J212:K212"/>
    <mergeCell ref="A919:I919"/>
    <mergeCell ref="J732:S732"/>
    <mergeCell ref="B7:D7"/>
    <mergeCell ref="J1115:K1115"/>
    <mergeCell ref="J56:K56"/>
    <mergeCell ref="J214:K214"/>
    <mergeCell ref="A825:I825"/>
    <mergeCell ref="B465:D465"/>
    <mergeCell ref="H685:L685"/>
    <mergeCell ref="B421:D421"/>
    <mergeCell ref="A139:S139"/>
    <mergeCell ref="P310:Q310"/>
    <mergeCell ref="J812:K812"/>
    <mergeCell ref="J414:S414"/>
    <mergeCell ref="A1094:G1094"/>
    <mergeCell ref="M455:S455"/>
    <mergeCell ref="K1140:M1140"/>
    <mergeCell ref="J441:K441"/>
    <mergeCell ref="A362:G362"/>
    <mergeCell ref="P723:Q723"/>
    <mergeCell ref="J1058:S1058"/>
    <mergeCell ref="J530:K530"/>
    <mergeCell ref="M1053:S1053"/>
    <mergeCell ref="H682:L682"/>
    <mergeCell ref="G401:K401"/>
    <mergeCell ref="J1168:K1168"/>
    <mergeCell ref="J695:K696"/>
    <mergeCell ref="B605:D605"/>
    <mergeCell ref="J1039:K1039"/>
    <mergeCell ref="J532:K532"/>
    <mergeCell ref="J1170:K1170"/>
    <mergeCell ref="G403:K403"/>
    <mergeCell ref="O361:Q361"/>
    <mergeCell ref="P539:Q539"/>
    <mergeCell ref="M452:S452"/>
    <mergeCell ref="O959:Q959"/>
    <mergeCell ref="A49:C49"/>
    <mergeCell ref="B959:F959"/>
    <mergeCell ref="A1140:G1140"/>
    <mergeCell ref="A369:S369"/>
    <mergeCell ref="J154:K154"/>
    <mergeCell ref="I1097:K1097"/>
    <mergeCell ref="J583:K583"/>
    <mergeCell ref="J881:K881"/>
    <mergeCell ref="A1142:G1142"/>
    <mergeCell ref="G1184:K1184"/>
    <mergeCell ref="A871:I871"/>
    <mergeCell ref="J120:K120"/>
    <mergeCell ref="A137:I137"/>
    <mergeCell ref="L136:Q136"/>
    <mergeCell ref="J156:K156"/>
    <mergeCell ref="J43:S43"/>
    <mergeCell ref="L647:M647"/>
    <mergeCell ref="J883:K883"/>
    <mergeCell ref="J155:K155"/>
    <mergeCell ref="J426:K426"/>
    <mergeCell ref="J1181:K1181"/>
    <mergeCell ref="J1041:K1041"/>
    <mergeCell ref="J578:K578"/>
    <mergeCell ref="J925:K926"/>
    <mergeCell ref="J157:K157"/>
    <mergeCell ref="J641:S641"/>
    <mergeCell ref="J151:K151"/>
    <mergeCell ref="B835:D835"/>
    <mergeCell ref="A1153:C1153"/>
    <mergeCell ref="AH2:AJ2"/>
    <mergeCell ref="A731:G731"/>
    <mergeCell ref="P769:Q769"/>
    <mergeCell ref="G447:K447"/>
    <mergeCell ref="J611:K611"/>
    <mergeCell ref="K128:M128"/>
    <mergeCell ref="J296:K296"/>
    <mergeCell ref="M819:S819"/>
    <mergeCell ref="J367:S367"/>
    <mergeCell ref="P1138:Q1138"/>
    <mergeCell ref="H695:H696"/>
    <mergeCell ref="G816:K816"/>
    <mergeCell ref="J298:K298"/>
    <mergeCell ref="J603:K604"/>
    <mergeCell ref="T83:Z83"/>
    <mergeCell ref="B513:D513"/>
    <mergeCell ref="J825:S825"/>
    <mergeCell ref="J297:K297"/>
    <mergeCell ref="AB4:AD4"/>
    <mergeCell ref="A367:I367"/>
    <mergeCell ref="A183:I183"/>
    <mergeCell ref="A1186:G1186"/>
    <mergeCell ref="J299:K299"/>
    <mergeCell ref="F371:G371"/>
    <mergeCell ref="M822:S822"/>
    <mergeCell ref="J1113:K1113"/>
    <mergeCell ref="L355:M355"/>
    <mergeCell ref="B971:D971"/>
    <mergeCell ref="B514:D514"/>
    <mergeCell ref="H1237:L1237"/>
    <mergeCell ref="J381:K381"/>
    <mergeCell ref="J622:K622"/>
    <mergeCell ref="H590:L590"/>
    <mergeCell ref="J655:K655"/>
    <mergeCell ref="A358:G358"/>
    <mergeCell ref="J983:K983"/>
    <mergeCell ref="J1054:S1054"/>
    <mergeCell ref="J526:K526"/>
    <mergeCell ref="J949:K949"/>
    <mergeCell ref="A360:G360"/>
    <mergeCell ref="A966:I966"/>
    <mergeCell ref="J528:K528"/>
    <mergeCell ref="G953:K953"/>
    <mergeCell ref="J1124:K1124"/>
    <mergeCell ref="A965:I965"/>
    <mergeCell ref="J984:K984"/>
    <mergeCell ref="P877:Q877"/>
    <mergeCell ref="A84:G84"/>
    <mergeCell ref="A277:S277"/>
    <mergeCell ref="I1189:K1189"/>
    <mergeCell ref="P879:Q879"/>
    <mergeCell ref="A86:G86"/>
    <mergeCell ref="L925:M925"/>
    <mergeCell ref="J523:K523"/>
    <mergeCell ref="L281:M281"/>
    <mergeCell ref="L585:M585"/>
    <mergeCell ref="F417:G417"/>
    <mergeCell ref="M593:S593"/>
    <mergeCell ref="A278:S278"/>
    <mergeCell ref="J247:K247"/>
    <mergeCell ref="A684:G684"/>
    <mergeCell ref="I131:K131"/>
    <mergeCell ref="F419:G419"/>
    <mergeCell ref="J1196:S1196"/>
    <mergeCell ref="J668:K668"/>
    <mergeCell ref="H820:L820"/>
    <mergeCell ref="J249:K249"/>
    <mergeCell ref="J241:K241"/>
    <mergeCell ref="J854:K854"/>
    <mergeCell ref="A598:I598"/>
    <mergeCell ref="G725:K725"/>
    <mergeCell ref="M1237:S1237"/>
    <mergeCell ref="A1196:I1196"/>
    <mergeCell ref="G1183:K1183"/>
    <mergeCell ref="N371:O371"/>
    <mergeCell ref="O1097:Q1097"/>
    <mergeCell ref="A507:S507"/>
    <mergeCell ref="H971:H972"/>
    <mergeCell ref="J994:K994"/>
    <mergeCell ref="J183:S183"/>
    <mergeCell ref="B1148:H1148"/>
    <mergeCell ref="J289:K289"/>
    <mergeCell ref="L1000:M1000"/>
    <mergeCell ref="H130:L130"/>
    <mergeCell ref="N3:O3"/>
    <mergeCell ref="A1053:G1053"/>
    <mergeCell ref="J166:K166"/>
    <mergeCell ref="L695:M695"/>
    <mergeCell ref="H866:L866"/>
    <mergeCell ref="H132:L132"/>
    <mergeCell ref="B90:H90"/>
    <mergeCell ref="M363:S363"/>
    <mergeCell ref="T9:X9"/>
    <mergeCell ref="A1105:S1105"/>
    <mergeCell ref="J191:K191"/>
    <mergeCell ref="A452:G452"/>
    <mergeCell ref="N417:O417"/>
    <mergeCell ref="J620:K620"/>
    <mergeCell ref="G493:K493"/>
    <mergeCell ref="J1076:K1076"/>
    <mergeCell ref="M961:S961"/>
    <mergeCell ref="L79:M79"/>
    <mergeCell ref="G309:K309"/>
    <mergeCell ref="K864:M864"/>
    <mergeCell ref="AH12:AJ12"/>
    <mergeCell ref="G1229:K1229"/>
    <mergeCell ref="J192:K192"/>
    <mergeCell ref="G495:K495"/>
    <mergeCell ref="O1143:Q1143"/>
    <mergeCell ref="J621:K621"/>
    <mergeCell ref="J615:K615"/>
    <mergeCell ref="L677:M677"/>
    <mergeCell ref="AH14:AJ14"/>
    <mergeCell ref="J194:K194"/>
    <mergeCell ref="F511:G511"/>
    <mergeCell ref="B559:D559"/>
    <mergeCell ref="J333:K333"/>
    <mergeCell ref="AE29:AG29"/>
    <mergeCell ref="L918:Q918"/>
    <mergeCell ref="A322:I322"/>
    <mergeCell ref="J135:S135"/>
    <mergeCell ref="J245:K245"/>
    <mergeCell ref="M130:S130"/>
    <mergeCell ref="A682:G682"/>
    <mergeCell ref="J791:K791"/>
    <mergeCell ref="J1089:K1089"/>
    <mergeCell ref="J334:K334"/>
    <mergeCell ref="AH25:AJ25"/>
    <mergeCell ref="M132:S132"/>
    <mergeCell ref="B407:F407"/>
    <mergeCell ref="J205:K205"/>
    <mergeCell ref="J336:K336"/>
    <mergeCell ref="L1153:M1153"/>
    <mergeCell ref="J659:K659"/>
    <mergeCell ref="P588:Q588"/>
    <mergeCell ref="P1017:Q1017"/>
    <mergeCell ref="M590:S590"/>
    <mergeCell ref="L1155:M1155"/>
    <mergeCell ref="L723:M723"/>
    <mergeCell ref="V5:X5"/>
    <mergeCell ref="P1186:Q1186"/>
    <mergeCell ref="J275:S275"/>
    <mergeCell ref="A822:G822"/>
    <mergeCell ref="A187:C187"/>
    <mergeCell ref="A551:I551"/>
    <mergeCell ref="J990:K990"/>
    <mergeCell ref="B1097:F1097"/>
    <mergeCell ref="J1020:K1020"/>
    <mergeCell ref="H960:L960"/>
    <mergeCell ref="J721:K721"/>
    <mergeCell ref="P128:Q128"/>
    <mergeCell ref="J1019:K1019"/>
    <mergeCell ref="A1009:I1009"/>
    <mergeCell ref="J258:K258"/>
    <mergeCell ref="L908:M908"/>
    <mergeCell ref="J565:K565"/>
    <mergeCell ref="B39:F39"/>
    <mergeCell ref="J181:S181"/>
    <mergeCell ref="A646:S646"/>
    <mergeCell ref="L785:M785"/>
    <mergeCell ref="J1021:K1021"/>
    <mergeCell ref="J260:K260"/>
    <mergeCell ref="J716:K716"/>
    <mergeCell ref="B511:D511"/>
    <mergeCell ref="P601:Q601"/>
    <mergeCell ref="P603:Q603"/>
    <mergeCell ref="J506:S506"/>
    <mergeCell ref="G585:K585"/>
    <mergeCell ref="A1149:I1149"/>
    <mergeCell ref="J1239:S1239"/>
    <mergeCell ref="J962:S962"/>
    <mergeCell ref="K266:M266"/>
    <mergeCell ref="J434:K434"/>
    <mergeCell ref="J705:K705"/>
    <mergeCell ref="J505:S505"/>
    <mergeCell ref="J1161:K1161"/>
    <mergeCell ref="J1074:K1074"/>
    <mergeCell ref="L769:M769"/>
    <mergeCell ref="J741:K742"/>
    <mergeCell ref="J617:K617"/>
    <mergeCell ref="J1032:K1032"/>
    <mergeCell ref="P815:Q815"/>
    <mergeCell ref="B651:D651"/>
    <mergeCell ref="J1163:K1163"/>
    <mergeCell ref="J951:K951"/>
    <mergeCell ref="L1138:M1138"/>
    <mergeCell ref="N141:O141"/>
    <mergeCell ref="J619:K619"/>
    <mergeCell ref="J1034:K1034"/>
    <mergeCell ref="H1006:L1006"/>
    <mergeCell ref="B1109:D1109"/>
    <mergeCell ref="H270:L270"/>
    <mergeCell ref="B652:D652"/>
    <mergeCell ref="N739:O739"/>
    <mergeCell ref="J946:K946"/>
    <mergeCell ref="A590:G590"/>
    <mergeCell ref="G631:K631"/>
    <mergeCell ref="J1104:S1104"/>
    <mergeCell ref="A318:I318"/>
    <mergeCell ref="H728:L728"/>
    <mergeCell ref="AE27:AG27"/>
    <mergeCell ref="P833:Q833"/>
    <mergeCell ref="J7:K7"/>
    <mergeCell ref="J330:K330"/>
    <mergeCell ref="G633:K633"/>
    <mergeCell ref="AE20:AG20"/>
    <mergeCell ref="J1087:K1087"/>
    <mergeCell ref="J332:K332"/>
    <mergeCell ref="AE22:AG22"/>
    <mergeCell ref="A778:I778"/>
    <mergeCell ref="A415:S415"/>
    <mergeCell ref="J790:K790"/>
    <mergeCell ref="J1088:K1088"/>
    <mergeCell ref="J661:K661"/>
    <mergeCell ref="B131:F131"/>
    <mergeCell ref="J60:K60"/>
    <mergeCell ref="J273:S273"/>
    <mergeCell ref="L877:M877"/>
    <mergeCell ref="J53:K53"/>
    <mergeCell ref="B729:F729"/>
    <mergeCell ref="J806:K806"/>
    <mergeCell ref="H958:L958"/>
    <mergeCell ref="J387:K387"/>
    <mergeCell ref="J871:S871"/>
    <mergeCell ref="J343:K343"/>
    <mergeCell ref="G863:K863"/>
    <mergeCell ref="J345:K345"/>
    <mergeCell ref="G677:K677"/>
    <mergeCell ref="A635:G635"/>
    <mergeCell ref="M728:S728"/>
    <mergeCell ref="H774:L774"/>
    <mergeCell ref="H317:L317"/>
    <mergeCell ref="N509:O509"/>
    <mergeCell ref="B1241:H1241"/>
    <mergeCell ref="A325:C325"/>
    <mergeCell ref="J71:K71"/>
    <mergeCell ref="A645:S645"/>
    <mergeCell ref="K772:M772"/>
    <mergeCell ref="J1157:K1157"/>
    <mergeCell ref="J1132:K1132"/>
    <mergeCell ref="J73:K73"/>
    <mergeCell ref="A1147:I1147"/>
    <mergeCell ref="B1020:D1020"/>
    <mergeCell ref="A413:I413"/>
    <mergeCell ref="M1052:S1052"/>
    <mergeCell ref="J1159:K1159"/>
    <mergeCell ref="J1134:K1134"/>
    <mergeCell ref="J102:K102"/>
    <mergeCell ref="J425:K425"/>
    <mergeCell ref="J318:S318"/>
    <mergeCell ref="Z12:AA12"/>
    <mergeCell ref="H1004:L1004"/>
    <mergeCell ref="G723:K723"/>
    <mergeCell ref="J756:K756"/>
    <mergeCell ref="B228:H228"/>
    <mergeCell ref="P172:Q172"/>
    <mergeCell ref="J643:S643"/>
    <mergeCell ref="Z14:AA14"/>
    <mergeCell ref="A555:C555"/>
    <mergeCell ref="A133:G133"/>
    <mergeCell ref="J758:K758"/>
    <mergeCell ref="J295:K295"/>
    <mergeCell ref="J847:K847"/>
    <mergeCell ref="M40:S40"/>
    <mergeCell ref="K1002:M1002"/>
    <mergeCell ref="B688:H688"/>
    <mergeCell ref="B789:D789"/>
    <mergeCell ref="J882:K882"/>
    <mergeCell ref="J1180:K1180"/>
    <mergeCell ref="J1216:K1216"/>
    <mergeCell ref="J759:K759"/>
    <mergeCell ref="J1243:S1243"/>
    <mergeCell ref="J753:K753"/>
    <mergeCell ref="F647:G647"/>
    <mergeCell ref="H1144:L1144"/>
    <mergeCell ref="F649:G649"/>
    <mergeCell ref="O223:Q223"/>
    <mergeCell ref="A730:G730"/>
    <mergeCell ref="J898:K898"/>
    <mergeCell ref="G446:K446"/>
    <mergeCell ref="H1050:L1050"/>
    <mergeCell ref="B373:D373"/>
    <mergeCell ref="AE9:AG9"/>
    <mergeCell ref="AB8:AD8"/>
    <mergeCell ref="J471:K471"/>
    <mergeCell ref="J900:K900"/>
    <mergeCell ref="L1056:Q1056"/>
    <mergeCell ref="G1044:K1044"/>
    <mergeCell ref="A460:I460"/>
    <mergeCell ref="H1141:L1141"/>
    <mergeCell ref="AB10:AD10"/>
    <mergeCell ref="AE11:AG11"/>
    <mergeCell ref="J473:K473"/>
    <mergeCell ref="J16:K16"/>
    <mergeCell ref="J229:S229"/>
    <mergeCell ref="J1200:K1200"/>
    <mergeCell ref="J168:K168"/>
    <mergeCell ref="J472:K472"/>
    <mergeCell ref="AE4:AG4"/>
    <mergeCell ref="L143:M143"/>
    <mergeCell ref="B545:F545"/>
    <mergeCell ref="B274:H274"/>
    <mergeCell ref="A737:S737"/>
    <mergeCell ref="J1112:K1112"/>
    <mergeCell ref="J797:K797"/>
    <mergeCell ref="H313:L313"/>
    <mergeCell ref="J67:K67"/>
    <mergeCell ref="J413:S413"/>
    <mergeCell ref="F879:G879"/>
    <mergeCell ref="A960:G960"/>
    <mergeCell ref="A689:I689"/>
    <mergeCell ref="J1128:K1128"/>
    <mergeCell ref="J69:K69"/>
    <mergeCell ref="AB21:AD21"/>
    <mergeCell ref="G355:K355"/>
    <mergeCell ref="J701:K701"/>
    <mergeCell ref="P266:Q266"/>
    <mergeCell ref="J1130:K1130"/>
    <mergeCell ref="AB23:AD23"/>
    <mergeCell ref="J396:K396"/>
    <mergeCell ref="J667:K667"/>
    <mergeCell ref="J527:K527"/>
    <mergeCell ref="M1050:S1050"/>
    <mergeCell ref="J703:K703"/>
    <mergeCell ref="J485:K485"/>
    <mergeCell ref="B320:H320"/>
    <mergeCell ref="K496:M496"/>
    <mergeCell ref="J398:K398"/>
    <mergeCell ref="A686:I686"/>
    <mergeCell ref="N647:O647"/>
    <mergeCell ref="J1125:K1125"/>
    <mergeCell ref="B744:D744"/>
    <mergeCell ref="A41:G41"/>
    <mergeCell ref="AB51:AD51"/>
    <mergeCell ref="A226:I226"/>
    <mergeCell ref="Z10:AA10"/>
    <mergeCell ref="L586:M586"/>
    <mergeCell ref="J238:K238"/>
    <mergeCell ref="J843:K843"/>
    <mergeCell ref="L601:M601"/>
    <mergeCell ref="J240:K240"/>
    <mergeCell ref="J845:K845"/>
    <mergeCell ref="L603:M603"/>
    <mergeCell ref="J749:K749"/>
    <mergeCell ref="A600:S600"/>
    <mergeCell ref="J838:K838"/>
    <mergeCell ref="A1195:I1195"/>
    <mergeCell ref="H83:L83"/>
    <mergeCell ref="A828:I828"/>
    <mergeCell ref="P1063:Q1063"/>
    <mergeCell ref="H1142:L1142"/>
    <mergeCell ref="K82:M82"/>
    <mergeCell ref="B366:H366"/>
    <mergeCell ref="H408:L408"/>
    <mergeCell ref="J108:K108"/>
    <mergeCell ref="Z21:AA21"/>
    <mergeCell ref="P1092:Q1092"/>
    <mergeCell ref="L815:M815"/>
    <mergeCell ref="J1240:S1240"/>
    <mergeCell ref="I1051:K1051"/>
    <mergeCell ref="J442:K442"/>
    <mergeCell ref="A728:G728"/>
    <mergeCell ref="A271:G271"/>
    <mergeCell ref="J896:K896"/>
    <mergeCell ref="Z29:AA29"/>
    <mergeCell ref="J1169:K1169"/>
    <mergeCell ref="M362:S362"/>
    <mergeCell ref="Z23:AA23"/>
    <mergeCell ref="J1242:S1242"/>
    <mergeCell ref="M178:S178"/>
    <mergeCell ref="AB6:AD6"/>
    <mergeCell ref="J779:S779"/>
    <mergeCell ref="B54:D54"/>
    <mergeCell ref="G771:K771"/>
    <mergeCell ref="J891:K891"/>
    <mergeCell ref="M776:S776"/>
    <mergeCell ref="Z24:AA24"/>
    <mergeCell ref="J1225:K1225"/>
    <mergeCell ref="J470:K470"/>
    <mergeCell ref="B468:D468"/>
    <mergeCell ref="O545:Q545"/>
    <mergeCell ref="F787:G787"/>
    <mergeCell ref="J42:S42"/>
    <mergeCell ref="P174:Q174"/>
    <mergeCell ref="J795:K795"/>
    <mergeCell ref="K312:M312"/>
    <mergeCell ref="AB17:AD17"/>
    <mergeCell ref="J411:S411"/>
    <mergeCell ref="M83:S83"/>
    <mergeCell ref="L1015:M1015"/>
    <mergeCell ref="J1207:K1207"/>
    <mergeCell ref="J490:K490"/>
    <mergeCell ref="AB19:AD19"/>
    <mergeCell ref="A594:I594"/>
    <mergeCell ref="B867:F867"/>
    <mergeCell ref="M408:S408"/>
    <mergeCell ref="J796:K796"/>
    <mergeCell ref="J1009:S1009"/>
    <mergeCell ref="B412:H412"/>
    <mergeCell ref="J612:K612"/>
    <mergeCell ref="B100:D100"/>
    <mergeCell ref="A317:G317"/>
    <mergeCell ref="AB20:AD20"/>
    <mergeCell ref="J483:K483"/>
    <mergeCell ref="L734:Q734"/>
    <mergeCell ref="AB14:AD14"/>
    <mergeCell ref="L539:M539"/>
    <mergeCell ref="A595:I595"/>
    <mergeCell ref="A773:G773"/>
    <mergeCell ref="B1155:D1155"/>
    <mergeCell ref="H912:L912"/>
    <mergeCell ref="B698:D698"/>
    <mergeCell ref="H1235:L1235"/>
    <mergeCell ref="J935:K935"/>
    <mergeCell ref="I85:K85"/>
    <mergeCell ref="A463:C463"/>
    <mergeCell ref="AH29:AJ29"/>
    <mergeCell ref="A312:G312"/>
    <mergeCell ref="J666:K666"/>
    <mergeCell ref="J937:K937"/>
    <mergeCell ref="J209:K209"/>
    <mergeCell ref="P861:Q861"/>
    <mergeCell ref="M1191:S1191"/>
    <mergeCell ref="A1061:C1061"/>
    <mergeCell ref="J211:K211"/>
    <mergeCell ref="M1190:S1190"/>
    <mergeCell ref="A922:S922"/>
    <mergeCell ref="J536:K536"/>
    <mergeCell ref="L907:M907"/>
    <mergeCell ref="H589:L589"/>
    <mergeCell ref="A824:I824"/>
    <mergeCell ref="J836:K836"/>
    <mergeCell ref="J560:K560"/>
    <mergeCell ref="B1236:F1236"/>
    <mergeCell ref="P3:Q3"/>
    <mergeCell ref="J106:K106"/>
    <mergeCell ref="L923:M923"/>
    <mergeCell ref="J562:K562"/>
    <mergeCell ref="A552:I552"/>
    <mergeCell ref="P5:Q5"/>
    <mergeCell ref="J1167:K1167"/>
    <mergeCell ref="J433:K433"/>
    <mergeCell ref="B927:D927"/>
    <mergeCell ref="H221:L221"/>
    <mergeCell ref="J435:K435"/>
    <mergeCell ref="J134:S134"/>
    <mergeCell ref="L504:Q504"/>
    <mergeCell ref="J1162:K1162"/>
    <mergeCell ref="F3:G3"/>
    <mergeCell ref="K220:M220"/>
    <mergeCell ref="H819:L819"/>
    <mergeCell ref="P450:Q450"/>
    <mergeCell ref="J580:K580"/>
    <mergeCell ref="J1036:K1036"/>
    <mergeCell ref="M500:S500"/>
    <mergeCell ref="A134:I134"/>
    <mergeCell ref="B504:H504"/>
    <mergeCell ref="M589:S589"/>
    <mergeCell ref="A1141:G1141"/>
    <mergeCell ref="J1038:K1038"/>
    <mergeCell ref="J283:K283"/>
    <mergeCell ref="J581:K581"/>
    <mergeCell ref="J575:K575"/>
    <mergeCell ref="G1182:K1182"/>
    <mergeCell ref="M958:S958"/>
    <mergeCell ref="M501:S501"/>
    <mergeCell ref="L34:M34"/>
    <mergeCell ref="J577:K577"/>
    <mergeCell ref="A917:I917"/>
    <mergeCell ref="A875:S875"/>
  </mergeCells>
  <printOptions horizontalCentered="1"/>
  <pageMargins left="0.1574803149606299" right="0.1574803149606299" top="0.1968503937007874" bottom="0.1968503937007874" header="0.3149606299212598" footer="0.3149606299212598"/>
  <pageSetup orientation="portrait" paperSize="9" scale="73" horizontalDpi="4294967293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1</dc:creator>
  <dcterms:created xsi:type="dcterms:W3CDTF">2008-10-14T09:19:58Z</dcterms:created>
  <dcterms:modified xsi:type="dcterms:W3CDTF">2026-09-12T15:21:52Z</dcterms:modified>
  <cp:lastModifiedBy>POLLAKIT NOYKERD</cp:lastModifiedBy>
  <cp:lastPrinted>2024-01-22T03:03:11Z</cp:lastPrinted>
</cp:coreProperties>
</file>