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เวิร์กบุ๊กนี้"/>
  <bookViews>
    <workbookView visibility="visible" minimized="0" showHorizontalScroll="1" showVerticalScroll="1" showSheetTabs="1" xWindow="-108" yWindow="-108" windowWidth="23256" windowHeight="12720" tabRatio="688" firstSheet="0" activeTab="4" autoFilterDateGrouping="1"/>
  </bookViews>
  <sheets>
    <sheet name="สัปดาห์ที่ 1" sheetId="1" state="visible" r:id="rId1"/>
    <sheet name="สัปดาห์ที่ 2" sheetId="2" state="visible" r:id="rId2"/>
    <sheet name="สัปดาห์ที่ 3" sheetId="3" state="visible" r:id="rId3"/>
    <sheet name="สัปดาห์ที่ 4" sheetId="4" state="visible" r:id="rId4"/>
    <sheet name="ตารางแจงเงินรายบุคคล" sheetId="5" state="visible" r:id="rId5"/>
    <sheet name="งบหน้ารวมครู" sheetId="6" state="visible" r:id="rId6"/>
    <sheet name="สัปดาห์ที่ 5" sheetId="7" state="visible" r:id="rId7"/>
  </sheets>
  <definedNames>
    <definedName name="_xlnm.Print_Area" localSheetId="0">'สัปดาห์ที่ 1'!$A$1:$AK$1243</definedName>
    <definedName name="_xlnm.Print_Area" localSheetId="1">'สัปดาห์ที่ 2'!$A$1:$AK$1243</definedName>
    <definedName name="_xlnm.Print_Area" localSheetId="2">'สัปดาห์ที่ 3'!$A$1:$AK$1243</definedName>
    <definedName name="_xlnm.Print_Area" localSheetId="3">'สัปดาห์ที่ 4'!$A$1:$AK$1243</definedName>
    <definedName name="_xlnm.Print_Area" localSheetId="4">'ตารางแจงเงินรายบุคคล'!$A$1:$P$92</definedName>
    <definedName name="_xlnm.Print_Area" localSheetId="5">'งบหน้ารวมครู'!$A$1:$M$104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7">
    <font>
      <name val="AngsanaUPC"/>
      <charset val="222"/>
      <sz val="16"/>
    </font>
    <font>
      <name val="AngsanaUPC"/>
      <family val="1"/>
      <sz val="16"/>
    </font>
    <font>
      <name val="TH SarabunPSK"/>
      <family val="2"/>
      <b val="1"/>
      <color indexed="8"/>
      <sz val="16"/>
    </font>
    <font>
      <name val="TH SarabunPSK"/>
      <family val="2"/>
      <color indexed="8"/>
      <sz val="14"/>
    </font>
    <font>
      <name val="TH SarabunPSK"/>
      <family val="2"/>
      <sz val="14"/>
    </font>
    <font>
      <name val="TH SarabunPSK"/>
      <family val="2"/>
      <sz val="12"/>
    </font>
    <font>
      <name val="TH SarabunPSK"/>
      <family val="2"/>
      <b val="1"/>
      <color indexed="8"/>
      <sz val="14"/>
    </font>
    <font>
      <name val="TH SarabunPSK"/>
      <family val="2"/>
      <b val="1"/>
      <sz val="14"/>
    </font>
    <font>
      <name val="Cordia New"/>
      <family val="2"/>
      <sz val="14"/>
    </font>
    <font>
      <name val="AngsanaUPC"/>
      <family val="1"/>
      <sz val="16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ngsanaUPC"/>
      <charset val="222"/>
      <family val="1"/>
      <sz val="16"/>
    </font>
    <font>
      <name val="TH SarabunPSK"/>
      <family val="2"/>
      <sz val="16"/>
    </font>
    <font>
      <name val="TH SarabunPSK"/>
      <family val="2"/>
      <color indexed="8"/>
      <sz val="16"/>
    </font>
    <font>
      <name val="TH SarabunPSK"/>
      <family val="2"/>
      <b val="1"/>
      <sz val="16"/>
    </font>
    <font>
      <name val="TH SarabunPSK"/>
      <family val="2"/>
      <b val="1"/>
      <sz val="18"/>
    </font>
    <font>
      <name val="TH SarabunPSK"/>
      <family val="2"/>
      <b val="1"/>
      <color indexed="8"/>
      <sz val="18"/>
    </font>
    <font>
      <name val="TH SarabunPSK"/>
      <family val="2"/>
      <b val="1"/>
      <color rgb="FFFF0000"/>
      <sz val="36"/>
    </font>
    <font>
      <name val="TH SarabunPSK"/>
      <family val="2"/>
      <b val="1"/>
      <color rgb="FFFF0000"/>
      <sz val="22"/>
    </font>
    <font>
      <name val="TH SarabunPSK"/>
      <family val="2"/>
      <b val="1"/>
      <color theme="1"/>
      <sz val="22"/>
    </font>
    <font>
      <name val="TH SarabunPSK"/>
      <family val="2"/>
      <color theme="1"/>
      <sz val="14"/>
    </font>
    <font>
      <name val="TH SarabunPSK"/>
      <family val="2"/>
      <b val="1"/>
      <color theme="1"/>
      <sz val="18"/>
    </font>
    <font>
      <name val="TH SarabunPSK"/>
      <family val="2"/>
      <b val="1"/>
      <color theme="1"/>
      <sz val="16"/>
    </font>
    <font>
      <name val="TH SarabunPSK"/>
      <family val="2"/>
      <color theme="1"/>
      <sz val="18"/>
    </font>
    <font>
      <name val="TH SarabunPSK"/>
      <charset val="222"/>
      <family val="2"/>
      <color theme="1"/>
      <sz val="22"/>
    </font>
    <font>
      <name val="TH SarabunPSK"/>
      <charset val="222"/>
      <family val="2"/>
      <b val="1"/>
      <color theme="1"/>
      <sz val="22"/>
    </font>
    <font>
      <name val="TH SarabunPSK"/>
      <charset val="222"/>
      <family val="2"/>
      <sz val="22"/>
    </font>
    <font>
      <name val="TH SarabunPSK"/>
      <family val="2"/>
      <sz val="22"/>
    </font>
    <font>
      <name val="TH SarabunPSK"/>
      <family val="2"/>
      <b val="1"/>
      <sz val="22"/>
    </font>
    <font>
      <name val="TH SarabunPSK"/>
      <family val="2"/>
      <b val="1"/>
      <sz val="20"/>
    </font>
    <font>
      <name val="AngsanaUPC"/>
      <family val="1"/>
      <b val="1"/>
      <sz val="18"/>
    </font>
    <font>
      <name val="AngsanaUPC"/>
      <family val="1"/>
      <b val="1"/>
      <sz val="20"/>
    </font>
    <font>
      <name val="TH SarabunPSK"/>
      <family val="2"/>
      <b val="1"/>
      <color theme="1"/>
      <sz val="20"/>
    </font>
    <font>
      <name val="AngsanaUPC"/>
      <family val="1"/>
      <sz val="18"/>
    </font>
    <font>
      <name val="TH SarabunPSK"/>
      <family val="2"/>
      <b val="1"/>
      <color rgb="FFFF0000"/>
      <sz val="14"/>
    </font>
    <font>
      <name val="TH SarabunPSK"/>
      <family val="2"/>
      <color indexed="8"/>
      <sz val="14"/>
      <u val="single"/>
    </font>
    <font>
      <name val="Wingdings"/>
      <charset val="2"/>
      <color indexed="8"/>
      <sz val="13"/>
    </font>
    <font>
      <name val="TH SarabunPSK"/>
      <charset val="222"/>
      <family val="2"/>
      <b val="1"/>
      <sz val="14"/>
    </font>
    <font>
      <name val="TH SarabunPSK"/>
      <charset val="222"/>
      <family val="2"/>
      <sz val="14"/>
    </font>
    <font>
      <name val="Wingdings"/>
      <charset val="2"/>
      <sz val="14"/>
    </font>
    <font>
      <name val="Angsana New"/>
      <charset val="222"/>
      <family val="1"/>
      <sz val="14"/>
    </font>
    <font>
      <name val="AngsanaUPC"/>
      <charset val="222"/>
      <family val="1"/>
      <sz val="14"/>
    </font>
    <font>
      <name val="TH SarabunPSK"/>
      <family val="2"/>
      <b val="1"/>
      <color rgb="FFFF0000"/>
      <sz val="16"/>
    </font>
    <font>
      <name val="TH SarabunPSK"/>
      <family val="2"/>
      <sz val="18"/>
    </font>
    <font>
      <name val="TH SarabunPSK"/>
      <family val="2"/>
      <b val="1"/>
      <color rgb="FF000000"/>
      <sz val="16"/>
    </font>
    <font>
      <name val="TH SarabunPSK"/>
      <family val="2"/>
      <b val="1"/>
      <color rgb="FF0070C0"/>
      <sz val="14"/>
    </font>
  </fonts>
  <fills count="1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8">
    <xf numFmtId="0" fontId="0" fillId="0" borderId="0"/>
    <xf numFmtId="0" fontId="8" fillId="0" borderId="0"/>
    <xf numFmtId="0" fontId="9" fillId="0" borderId="0"/>
    <xf numFmtId="0" fontId="10" fillId="0" borderId="0"/>
    <xf numFmtId="0" fontId="11" fillId="0" borderId="0"/>
    <xf numFmtId="44" fontId="10" fillId="0" borderId="0"/>
    <xf numFmtId="0" fontId="9" fillId="0" borderId="0"/>
    <xf numFmtId="43" fontId="12" fillId="0" borderId="0"/>
  </cellStyleXfs>
  <cellXfs count="529">
    <xf numFmtId="0" fontId="0" fillId="0" borderId="0" pivotButton="0" quotePrefix="0" xfId="0"/>
    <xf numFmtId="49" fontId="3" fillId="0" borderId="5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3" fillId="0" borderId="12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34" applyAlignment="1" pivotButton="0" quotePrefix="0" xfId="0">
      <alignment horizontal="left" vertical="center"/>
    </xf>
    <xf numFmtId="0" fontId="3" fillId="0" borderId="4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vertical="center"/>
    </xf>
    <xf numFmtId="0" fontId="17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3" fillId="0" borderId="0" pivotButton="0" quotePrefix="0" xfId="0"/>
    <xf numFmtId="0" fontId="21" fillId="0" borderId="0" applyAlignment="1" pivotButton="0" quotePrefix="0" xfId="0">
      <alignment horizontal="center" vertical="center"/>
    </xf>
    <xf numFmtId="0" fontId="15" fillId="5" borderId="11" applyAlignment="1" pivotButton="0" quotePrefix="0" xfId="0">
      <alignment horizontal="center" vertical="top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vertical="center"/>
    </xf>
    <xf numFmtId="164" fontId="21" fillId="0" borderId="12" applyAlignment="1" pivotButton="0" quotePrefix="0" xfId="7">
      <alignment vertical="center"/>
    </xf>
    <xf numFmtId="0" fontId="23" fillId="0" borderId="32" applyAlignment="1" pivotButton="0" quotePrefix="0" xfId="0">
      <alignment horizontal="center" vertical="center"/>
    </xf>
    <xf numFmtId="164" fontId="23" fillId="2" borderId="12" applyAlignment="1" pivotButton="0" quotePrefix="0" xfId="7">
      <alignment horizontal="center"/>
    </xf>
    <xf numFmtId="0" fontId="15" fillId="5" borderId="11" applyAlignment="1" pivotButton="0" quotePrefix="0" xfId="0">
      <alignment horizontal="center" vertical="center"/>
    </xf>
    <xf numFmtId="0" fontId="24" fillId="0" borderId="0" pivotButton="0" quotePrefix="0" xfId="0"/>
    <xf numFmtId="0" fontId="22" fillId="0" borderId="0" pivotButton="0" quotePrefix="0" xfId="0"/>
    <xf numFmtId="164" fontId="25" fillId="0" borderId="0" applyAlignment="1" pivotButton="0" quotePrefix="0" xfId="7">
      <alignment vertical="center"/>
    </xf>
    <xf numFmtId="0" fontId="27" fillId="0" borderId="0" applyAlignment="1" pivotButton="0" quotePrefix="0" xfId="0">
      <alignment vertical="center"/>
    </xf>
    <xf numFmtId="164" fontId="26" fillId="0" borderId="10" applyAlignment="1" pivotButton="0" quotePrefix="0" xfId="7">
      <alignment vertical="center"/>
    </xf>
    <xf numFmtId="164" fontId="20" fillId="0" borderId="0" applyAlignment="1" pivotButton="0" quotePrefix="0" xfId="7">
      <alignment vertical="center"/>
    </xf>
    <xf numFmtId="0" fontId="20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28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left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vertical="center"/>
    </xf>
    <xf numFmtId="0" fontId="3" fillId="0" borderId="7" applyAlignment="1" pivotButton="0" quotePrefix="0" xfId="0">
      <alignment horizontal="center" vertical="top"/>
    </xf>
    <xf numFmtId="49" fontId="3" fillId="0" borderId="7" applyAlignment="1" pivotButton="0" quotePrefix="0" xfId="0">
      <alignment vertical="center"/>
    </xf>
    <xf numFmtId="0" fontId="3" fillId="0" borderId="41" applyAlignment="1" pivotButton="0" quotePrefix="0" xfId="0">
      <alignment horizontal="left" vertical="center"/>
    </xf>
    <xf numFmtId="0" fontId="18" fillId="0" borderId="13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0" fillId="0" borderId="5" pivotButton="0" quotePrefix="0" xfId="0"/>
    <xf numFmtId="0" fontId="36" fillId="0" borderId="8" applyAlignment="1" pivotButton="0" quotePrefix="0" xfId="0">
      <alignment horizontal="center" vertical="center"/>
    </xf>
    <xf numFmtId="0" fontId="37" fillId="0" borderId="0" applyAlignment="1" pivotButton="0" quotePrefix="0" xfId="1">
      <alignment horizontal="center"/>
    </xf>
    <xf numFmtId="0" fontId="3" fillId="0" borderId="10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6" fillId="0" borderId="5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7" fillId="4" borderId="0" applyAlignment="1" pivotButton="0" quotePrefix="0" xfId="6">
      <alignment vertical="center"/>
    </xf>
    <xf numFmtId="0" fontId="17" fillId="3" borderId="0" applyAlignment="1" pivotButton="0" quotePrefix="0" xfId="6">
      <alignment vertical="center"/>
    </xf>
    <xf numFmtId="0" fontId="17" fillId="2" borderId="0" applyAlignment="1" pivotButton="0" quotePrefix="0" xfId="6">
      <alignment vertical="center"/>
    </xf>
    <xf numFmtId="0" fontId="18" fillId="0" borderId="0" applyAlignment="1" pivotButton="0" quotePrefix="0" xfId="0">
      <alignment vertical="center"/>
    </xf>
    <xf numFmtId="0" fontId="35" fillId="0" borderId="5" applyAlignment="1" pivotButton="0" quotePrefix="0" xfId="0">
      <alignment horizontal="center" vertical="center"/>
    </xf>
    <xf numFmtId="0" fontId="35" fillId="0" borderId="11" applyAlignment="1" pivotButton="0" quotePrefix="0" xfId="6">
      <alignment horizontal="center" vertical="center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6">
      <alignment vertical="center"/>
    </xf>
    <xf numFmtId="0" fontId="3" fillId="0" borderId="0" applyAlignment="1" pivotButton="0" quotePrefix="0" xfId="6">
      <alignment horizontal="center" vertical="center"/>
    </xf>
    <xf numFmtId="0" fontId="3" fillId="0" borderId="0" applyAlignment="1" pivotButton="0" quotePrefix="0" xfId="6">
      <alignment horizontal="left" vertical="center"/>
    </xf>
    <xf numFmtId="49" fontId="6" fillId="0" borderId="13" applyAlignment="1" pivotButton="0" quotePrefix="0" xfId="0">
      <alignment horizontal="center" vertical="center"/>
    </xf>
    <xf numFmtId="0" fontId="39" fillId="0" borderId="0" pivotButton="0" quotePrefix="0" xfId="0"/>
    <xf numFmtId="0" fontId="38" fillId="0" borderId="0" applyAlignment="1" pivotButton="0" quotePrefix="0" xfId="0">
      <alignment horizontal="left"/>
    </xf>
    <xf numFmtId="0" fontId="41" fillId="0" borderId="0" applyAlignment="1" pivotButton="0" quotePrefix="0" xfId="0">
      <alignment vertical="distributed"/>
    </xf>
    <xf numFmtId="3" fontId="39" fillId="0" borderId="18" applyAlignment="1" pivotButton="0" quotePrefix="0" xfId="0">
      <alignment horizontal="center" vertical="distributed"/>
    </xf>
    <xf numFmtId="3" fontId="41" fillId="0" borderId="0" applyAlignment="1" pivotButton="0" quotePrefix="0" xfId="0">
      <alignment vertical="distributed"/>
    </xf>
    <xf numFmtId="3" fontId="39" fillId="0" borderId="0" pivotButton="0" quotePrefix="0" xfId="0"/>
    <xf numFmtId="0" fontId="41" fillId="0" borderId="0" pivotButton="0" quotePrefix="0" xfId="0"/>
    <xf numFmtId="0" fontId="38" fillId="0" borderId="0" pivotButton="0" quotePrefix="0" xfId="0"/>
    <xf numFmtId="0" fontId="38" fillId="0" borderId="0" applyAlignment="1" pivotButton="0" quotePrefix="0" xfId="0">
      <alignment horizontal="right"/>
    </xf>
    <xf numFmtId="0" fontId="39" fillId="0" borderId="0" applyAlignment="1" pivotButton="0" quotePrefix="0" xfId="0">
      <alignment horizontal="right"/>
    </xf>
    <xf numFmtId="0" fontId="39" fillId="0" borderId="0" applyAlignment="1" pivotButton="0" quotePrefix="0" xfId="0">
      <alignment horizontal="left"/>
    </xf>
    <xf numFmtId="49" fontId="39" fillId="0" borderId="11" applyAlignment="1" pivotButton="0" quotePrefix="0" xfId="0">
      <alignment horizontal="center" vertical="center"/>
    </xf>
    <xf numFmtId="49" fontId="39" fillId="0" borderId="25" applyAlignment="1" pivotButton="0" quotePrefix="0" xfId="0">
      <alignment horizontal="center" vertical="center"/>
    </xf>
    <xf numFmtId="49" fontId="39" fillId="0" borderId="15" applyAlignment="1" pivotButton="0" quotePrefix="0" xfId="0">
      <alignment horizontal="center" vertical="center"/>
    </xf>
    <xf numFmtId="49" fontId="39" fillId="0" borderId="31" applyAlignment="1" pivotButton="0" quotePrefix="0" xfId="0">
      <alignment horizontal="center" vertical="center"/>
    </xf>
    <xf numFmtId="0" fontId="39" fillId="0" borderId="11" applyAlignment="1" pivotButton="0" quotePrefix="0" xfId="0">
      <alignment horizontal="center"/>
    </xf>
    <xf numFmtId="0" fontId="39" fillId="0" borderId="5" applyAlignment="1" pivotButton="0" quotePrefix="0" xfId="0">
      <alignment horizontal="center" vertical="center"/>
    </xf>
    <xf numFmtId="0" fontId="39" fillId="0" borderId="5" applyAlignment="1" pivotButton="0" quotePrefix="0" xfId="0">
      <alignment horizontal="center"/>
    </xf>
    <xf numFmtId="0" fontId="39" fillId="0" borderId="7" applyAlignment="1" pivotButton="0" quotePrefix="0" xfId="0">
      <alignment horizontal="center"/>
    </xf>
    <xf numFmtId="49" fontId="39" fillId="0" borderId="13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49" fontId="39" fillId="0" borderId="7" applyAlignment="1" pivotButton="0" quotePrefix="0" xfId="0">
      <alignment horizontal="center" vertical="center"/>
    </xf>
    <xf numFmtId="0" fontId="39" fillId="0" borderId="5" pivotButton="0" quotePrefix="0" xfId="0"/>
    <xf numFmtId="0" fontId="39" fillId="0" borderId="8" pivotButton="0" quotePrefix="0" xfId="0"/>
    <xf numFmtId="0" fontId="39" fillId="0" borderId="9" pivotButton="0" quotePrefix="0" xfId="0"/>
    <xf numFmtId="0" fontId="39" fillId="0" borderId="10" pivotButton="0" quotePrefix="0" xfId="0"/>
    <xf numFmtId="0" fontId="39" fillId="0" borderId="6" pivotButton="0" quotePrefix="0" xfId="0"/>
    <xf numFmtId="0" fontId="39" fillId="0" borderId="8" applyAlignment="1" pivotButton="0" quotePrefix="0" xfId="0">
      <alignment horizontal="center"/>
    </xf>
    <xf numFmtId="0" fontId="39" fillId="0" borderId="6" applyAlignment="1" pivotButton="0" quotePrefix="0" xfId="0">
      <alignment horizontal="center"/>
    </xf>
    <xf numFmtId="0" fontId="39" fillId="0" borderId="20" applyAlignment="1" pivotButton="0" quotePrefix="0" xfId="0">
      <alignment horizontal="center"/>
    </xf>
    <xf numFmtId="0" fontId="40" fillId="0" borderId="21" applyAlignment="1" pivotButton="0" quotePrefix="0" xfId="0">
      <alignment horizontal="center"/>
    </xf>
    <xf numFmtId="0" fontId="39" fillId="0" borderId="18" applyAlignment="1" pivotButton="0" quotePrefix="0" xfId="0">
      <alignment horizontal="center"/>
    </xf>
    <xf numFmtId="164" fontId="39" fillId="0" borderId="18" applyAlignment="1" pivotButton="0" quotePrefix="0" xfId="7">
      <alignment horizontal="right"/>
    </xf>
    <xf numFmtId="0" fontId="39" fillId="0" borderId="30" pivotButton="0" quotePrefix="0" xfId="0"/>
    <xf numFmtId="49" fontId="39" fillId="0" borderId="20" applyAlignment="1" pivotButton="0" quotePrefix="0" xfId="0">
      <alignment horizontal="center"/>
    </xf>
    <xf numFmtId="0" fontId="39" fillId="0" borderId="20" pivotButton="0" quotePrefix="0" xfId="0"/>
    <xf numFmtId="0" fontId="39" fillId="0" borderId="19" applyAlignment="1" pivotButton="0" quotePrefix="0" xfId="0">
      <alignment horizontal="center"/>
    </xf>
    <xf numFmtId="164" fontId="39" fillId="0" borderId="19" applyAlignment="1" pivotButton="0" quotePrefix="0" xfId="7">
      <alignment horizontal="right"/>
    </xf>
    <xf numFmtId="0" fontId="39" fillId="0" borderId="19" pivotButton="0" quotePrefix="0" xfId="0"/>
    <xf numFmtId="0" fontId="39" fillId="0" borderId="17" pivotButton="0" quotePrefix="0" xfId="0"/>
    <xf numFmtId="3" fontId="39" fillId="0" borderId="19" applyAlignment="1" pivotButton="0" quotePrefix="0" xfId="0">
      <alignment horizontal="right"/>
    </xf>
    <xf numFmtId="0" fontId="39" fillId="0" borderId="42" applyAlignment="1" pivotButton="0" quotePrefix="0" xfId="0">
      <alignment horizontal="center"/>
    </xf>
    <xf numFmtId="0" fontId="39" fillId="0" borderId="43" applyAlignment="1" pivotButton="0" quotePrefix="0" xfId="0">
      <alignment horizontal="center"/>
    </xf>
    <xf numFmtId="3" fontId="39" fillId="0" borderId="43" applyAlignment="1" pivotButton="0" quotePrefix="0" xfId="0">
      <alignment horizontal="right"/>
    </xf>
    <xf numFmtId="0" fontId="39" fillId="0" borderId="36" pivotButton="0" quotePrefix="0" xfId="0"/>
    <xf numFmtId="0" fontId="39" fillId="0" borderId="42" pivotButton="0" quotePrefix="0" xfId="0"/>
    <xf numFmtId="0" fontId="39" fillId="0" borderId="26" pivotButton="0" quotePrefix="0" xfId="0"/>
    <xf numFmtId="0" fontId="39" fillId="0" borderId="27" pivotButton="0" quotePrefix="0" xfId="0"/>
    <xf numFmtId="3" fontId="38" fillId="0" borderId="40" applyAlignment="1" pivotButton="0" quotePrefix="0" xfId="0">
      <alignment horizontal="right"/>
    </xf>
    <xf numFmtId="0" fontId="39" fillId="0" borderId="28" pivotButton="0" quotePrefix="0" xfId="0"/>
    <xf numFmtId="0" fontId="39" fillId="0" borderId="13" pivotButton="0" quotePrefix="0" xfId="0"/>
    <xf numFmtId="3" fontId="39" fillId="0" borderId="0" applyAlignment="1" pivotButton="0" quotePrefix="0" xfId="0">
      <alignment horizontal="left"/>
    </xf>
    <xf numFmtId="0" fontId="39" fillId="0" borderId="0" applyAlignment="1" pivotButton="0" quotePrefix="0" xfId="0">
      <alignment horizontal="center"/>
    </xf>
    <xf numFmtId="0" fontId="39" fillId="0" borderId="7" pivotButton="0" quotePrefix="0" xfId="0"/>
    <xf numFmtId="0" fontId="39" fillId="0" borderId="13" applyAlignment="1" pivotButton="0" quotePrefix="0" xfId="0">
      <alignment horizontal="right"/>
    </xf>
    <xf numFmtId="0" fontId="39" fillId="0" borderId="7" applyAlignment="1" pivotButton="0" quotePrefix="0" xfId="0">
      <alignment horizontal="left"/>
    </xf>
    <xf numFmtId="0" fontId="39" fillId="0" borderId="13" applyAlignment="1" pivotButton="0" quotePrefix="0" xfId="0">
      <alignment horizontal="center"/>
    </xf>
    <xf numFmtId="49" fontId="39" fillId="0" borderId="1" applyAlignment="1" pivotButton="0" quotePrefix="0" xfId="0">
      <alignment horizontal="center" vertical="center"/>
    </xf>
    <xf numFmtId="49" fontId="39" fillId="0" borderId="2" applyAlignment="1" pivotButton="0" quotePrefix="0" xfId="0">
      <alignment horizontal="center" vertical="center"/>
    </xf>
    <xf numFmtId="49" fontId="39" fillId="0" borderId="3" applyAlignment="1" pivotButton="0" quotePrefix="0" xfId="0">
      <alignment horizontal="center" vertical="center"/>
    </xf>
    <xf numFmtId="49" fontId="39" fillId="0" borderId="4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/>
    </xf>
    <xf numFmtId="49" fontId="39" fillId="0" borderId="3" applyAlignment="1" pivotButton="0" quotePrefix="0" xfId="0">
      <alignment horizontal="center"/>
    </xf>
    <xf numFmtId="49" fontId="39" fillId="0" borderId="1" applyAlignment="1" pivotButton="0" quotePrefix="0" xfId="0">
      <alignment horizontal="center"/>
    </xf>
    <xf numFmtId="0" fontId="40" fillId="0" borderId="19" applyAlignment="1" pivotButton="0" quotePrefix="0" xfId="0">
      <alignment horizontal="center"/>
    </xf>
    <xf numFmtId="3" fontId="38" fillId="0" borderId="29" applyAlignment="1" pivotButton="0" quotePrefix="0" xfId="0">
      <alignment horizontal="right"/>
    </xf>
    <xf numFmtId="0" fontId="39" fillId="0" borderId="22" pivotButton="0" quotePrefix="0" xfId="0"/>
    <xf numFmtId="3" fontId="39" fillId="0" borderId="20" applyAlignment="1" pivotButton="0" quotePrefix="0" xfId="0">
      <alignment horizontal="right"/>
    </xf>
    <xf numFmtId="3" fontId="39" fillId="0" borderId="19" pivotButton="0" quotePrefix="0" xfId="0"/>
    <xf numFmtId="0" fontId="39" fillId="0" borderId="27" applyAlignment="1" pivotButton="0" quotePrefix="0" xfId="0">
      <alignment horizontal="center"/>
    </xf>
    <xf numFmtId="0" fontId="39" fillId="0" borderId="28" applyAlignment="1" pivotButton="0" quotePrefix="0" xfId="0">
      <alignment horizontal="center"/>
    </xf>
    <xf numFmtId="3" fontId="39" fillId="0" borderId="0" applyAlignment="1" pivotButton="0" quotePrefix="0" xfId="0">
      <alignment horizontal="center"/>
    </xf>
    <xf numFmtId="0" fontId="4" fillId="0" borderId="11" applyAlignment="1" pivotButton="0" quotePrefix="0" xfId="6">
      <alignment horizontal="center" vertical="center"/>
    </xf>
    <xf numFmtId="0" fontId="4" fillId="0" borderId="5" applyAlignment="1" pivotButton="0" quotePrefix="0" xfId="6">
      <alignment horizontal="center" vertical="center"/>
    </xf>
    <xf numFmtId="0" fontId="4" fillId="0" borderId="25" applyAlignment="1" pivotButton="0" quotePrefix="0" xfId="6">
      <alignment horizontal="center" vertical="center"/>
    </xf>
    <xf numFmtId="0" fontId="4" fillId="0" borderId="5" applyAlignment="1" pivotButton="0" quotePrefix="0" xfId="0">
      <alignment horizontal="center" vertical="center"/>
    </xf>
    <xf numFmtId="16" fontId="4" fillId="0" borderId="39" applyAlignment="1" pivotButton="0" quotePrefix="0" xfId="1">
      <alignment horizontal="center"/>
    </xf>
    <xf numFmtId="49" fontId="3" fillId="0" borderId="39" applyAlignment="1" pivotButton="0" quotePrefix="0" xfId="0">
      <alignment horizontal="center" vertical="center"/>
    </xf>
    <xf numFmtId="49" fontId="3" fillId="0" borderId="12" applyAlignment="1" pivotButton="0" quotePrefix="0" xfId="0">
      <alignment horizontal="center" vertical="center"/>
    </xf>
    <xf numFmtId="16" fontId="4" fillId="0" borderId="12" applyAlignment="1" pivotButton="0" quotePrefix="0" xfId="1">
      <alignment horizontal="center"/>
    </xf>
    <xf numFmtId="3" fontId="21" fillId="0" borderId="12" applyAlignment="1" pivotButton="0" quotePrefix="0" xfId="0">
      <alignment vertical="center"/>
    </xf>
    <xf numFmtId="0" fontId="0" fillId="0" borderId="11" pivotButton="0" quotePrefix="0" xfId="0"/>
    <xf numFmtId="0" fontId="0" fillId="0" borderId="31" pivotButton="0" quotePrefix="0" xfId="0"/>
    <xf numFmtId="0" fontId="3" fillId="0" borderId="8" applyAlignment="1" pivotButton="0" quotePrefix="0" xfId="6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2" fillId="0" borderId="39" applyAlignment="1" pivotButton="0" quotePrefix="0" xfId="0">
      <alignment horizontal="center" vertical="center"/>
    </xf>
    <xf numFmtId="164" fontId="26" fillId="0" borderId="0" applyAlignment="1" pivotButton="0" quotePrefix="0" xfId="7">
      <alignment vertical="center"/>
    </xf>
    <xf numFmtId="0" fontId="2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164" fontId="26" fillId="0" borderId="0" applyAlignment="1" pivotButton="0" quotePrefix="0" xfId="7">
      <alignment vertical="center"/>
    </xf>
    <xf numFmtId="0" fontId="32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6" fillId="0" borderId="13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5" fillId="0" borderId="13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35" fillId="0" borderId="7" applyAlignment="1" pivotButton="0" quotePrefix="0" xfId="0">
      <alignment vertical="center"/>
    </xf>
    <xf numFmtId="0" fontId="35" fillId="0" borderId="5" applyAlignment="1" pivotButton="0" quotePrefix="0" xfId="0">
      <alignment vertical="center"/>
    </xf>
    <xf numFmtId="0" fontId="3" fillId="0" borderId="11" applyAlignment="1" pivotButton="0" quotePrefix="0" xfId="6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43" fillId="0" borderId="5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5" pivotButton="0" quotePrefix="0" xfId="0"/>
    <xf numFmtId="0" fontId="4" fillId="0" borderId="31" applyAlignment="1" pivotButton="0" quotePrefix="0" xfId="0">
      <alignment horizontal="center"/>
    </xf>
    <xf numFmtId="0" fontId="3" fillId="0" borderId="5" applyAlignment="1" pivotButton="0" quotePrefix="0" xfId="6">
      <alignment horizontal="center" vertical="center"/>
    </xf>
    <xf numFmtId="3" fontId="39" fillId="0" borderId="42" applyAlignment="1" pivotButton="0" quotePrefix="0" xfId="0">
      <alignment horizontal="right"/>
    </xf>
    <xf numFmtId="0" fontId="6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25" applyAlignment="1" pivotButton="0" quotePrefix="0" xfId="6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3" fillId="0" borderId="13" applyAlignment="1" pivotButton="0" quotePrefix="0" xfId="6">
      <alignment horizontal="center" vertical="center"/>
    </xf>
    <xf numFmtId="0" fontId="3" fillId="0" borderId="7" applyAlignment="1" pivotButton="0" quotePrefix="0" xfId="6">
      <alignment horizontal="center" vertical="center"/>
    </xf>
    <xf numFmtId="0" fontId="0" fillId="0" borderId="7" pivotButton="0" quotePrefix="0" xfId="0"/>
    <xf numFmtId="0" fontId="14" fillId="0" borderId="0" applyAlignment="1" pivotButton="0" quotePrefix="0" xfId="0">
      <alignment horizontal="left" vertical="top"/>
    </xf>
    <xf numFmtId="49" fontId="6" fillId="0" borderId="5" applyAlignment="1" pivotButton="0" quotePrefix="0" xfId="0">
      <alignment horizontal="center" vertical="center"/>
    </xf>
    <xf numFmtId="0" fontId="0" fillId="0" borderId="15" pivotButton="0" quotePrefix="0" xfId="0"/>
    <xf numFmtId="0" fontId="3" fillId="0" borderId="15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3" fillId="0" borderId="25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45" fillId="0" borderId="5" applyAlignment="1" pivotButton="0" quotePrefix="0" xfId="0">
      <alignment vertical="center"/>
    </xf>
    <xf numFmtId="0" fontId="4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center" vertical="center"/>
    </xf>
    <xf numFmtId="164" fontId="26" fillId="0" borderId="0" applyAlignment="1" pivotButton="0" quotePrefix="0" xfId="7">
      <alignment vertical="center"/>
    </xf>
    <xf numFmtId="164" fontId="26" fillId="0" borderId="10" applyAlignment="1" pivotButton="0" quotePrefix="0" xfId="7">
      <alignment vertical="center"/>
    </xf>
    <xf numFmtId="164" fontId="26" fillId="0" borderId="0" applyAlignment="1" pivotButton="0" quotePrefix="0" xfId="7">
      <alignment vertical="center"/>
    </xf>
    <xf numFmtId="0" fontId="28" fillId="0" borderId="0" applyAlignment="1" pivotButton="0" quotePrefix="0" xfId="0">
      <alignment horizontal="center" vertical="center"/>
    </xf>
    <xf numFmtId="164" fontId="19" fillId="0" borderId="0" applyAlignment="1" pivotButton="0" quotePrefix="0" xfId="7">
      <alignment vertical="center"/>
    </xf>
    <xf numFmtId="164" fontId="29" fillId="0" borderId="0" applyAlignment="1" pivotButton="0" quotePrefix="0" xfId="7">
      <alignment vertical="center"/>
    </xf>
    <xf numFmtId="164" fontId="29" fillId="0" borderId="0" applyAlignment="1" pivotButton="0" quotePrefix="0" xfId="7">
      <alignment horizontal="center" vertical="center"/>
    </xf>
    <xf numFmtId="0" fontId="16" fillId="0" borderId="32" applyAlignment="1" pivotButton="0" quotePrefix="0" xfId="0">
      <alignment horizontal="center"/>
    </xf>
    <xf numFmtId="0" fontId="16" fillId="0" borderId="6" applyAlignment="1" pivotButton="0" quotePrefix="0" xfId="0">
      <alignment horizontal="center"/>
    </xf>
    <xf numFmtId="164" fontId="25" fillId="0" borderId="0" applyAlignment="1" pivotButton="0" quotePrefix="0" xfId="7">
      <alignment vertical="center"/>
    </xf>
    <xf numFmtId="0" fontId="28" fillId="0" borderId="0" pivotButton="0" quotePrefix="0" xfId="0"/>
    <xf numFmtId="164" fontId="28" fillId="0" borderId="0" applyAlignment="1" pivotButton="0" quotePrefix="0" xfId="7">
      <alignment horizontal="center" vertical="center"/>
    </xf>
    <xf numFmtId="0" fontId="28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164" fontId="28" fillId="0" borderId="0" applyAlignment="1" pivotButton="0" quotePrefix="0" xfId="0">
      <alignment horizontal="center" vertical="center"/>
    </xf>
    <xf numFmtId="164" fontId="29" fillId="0" borderId="0" applyAlignment="1" pivotButton="0" quotePrefix="0" xfId="7">
      <alignment horizontal="left" vertical="center"/>
    </xf>
    <xf numFmtId="0" fontId="28" fillId="0" borderId="44" applyAlignment="1" pivotButton="0" quotePrefix="0" xfId="0">
      <alignment vertical="center"/>
    </xf>
    <xf numFmtId="164" fontId="28" fillId="0" borderId="0" applyAlignment="1" pivotButton="0" quotePrefix="0" xfId="0">
      <alignment vertical="center"/>
    </xf>
    <xf numFmtId="0" fontId="40" fillId="0" borderId="17" applyAlignment="1" pivotButton="0" quotePrefix="0" xfId="0">
      <alignment horizontal="center"/>
    </xf>
    <xf numFmtId="0" fontId="40" fillId="0" borderId="18" applyAlignment="1" pivotButton="0" quotePrefix="0" xfId="0">
      <alignment horizontal="center"/>
    </xf>
    <xf numFmtId="164" fontId="29" fillId="0" borderId="0" applyAlignment="1" pivotButton="0" quotePrefix="0" xfId="7">
      <alignment horizontal="center" vertical="center"/>
    </xf>
    <xf numFmtId="164" fontId="29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29" fillId="9" borderId="0" applyAlignment="1" pivotButton="0" quotePrefix="0" xfId="0">
      <alignment horizontal="center" vertical="center"/>
    </xf>
    <xf numFmtId="0" fontId="40" fillId="0" borderId="20" applyAlignment="1" pivotButton="0" quotePrefix="0" xfId="0">
      <alignment horizontal="center"/>
    </xf>
    <xf numFmtId="164" fontId="39" fillId="0" borderId="20" applyAlignment="1" pivotButton="0" quotePrefix="0" xfId="7">
      <alignment horizontal="right"/>
    </xf>
    <xf numFmtId="0" fontId="14" fillId="0" borderId="13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/>
    </xf>
    <xf numFmtId="0" fontId="14" fillId="0" borderId="7" applyAlignment="1" pivotButton="0" quotePrefix="0" xfId="0">
      <alignment horizontal="left" vertical="top"/>
    </xf>
    <xf numFmtId="0" fontId="3" fillId="0" borderId="25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3" fontId="3" fillId="0" borderId="25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top"/>
    </xf>
    <xf numFmtId="0" fontId="14" fillId="0" borderId="7" applyAlignment="1" pivotButton="0" quotePrefix="0" xfId="0">
      <alignment horizontal="center" vertical="top"/>
    </xf>
    <xf numFmtId="0" fontId="3" fillId="0" borderId="1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3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top"/>
    </xf>
    <xf numFmtId="0" fontId="14" fillId="0" borderId="31" applyAlignment="1" pivotButton="0" quotePrefix="0" xfId="0">
      <alignment horizontal="center" vertical="top"/>
    </xf>
    <xf numFmtId="0" fontId="6" fillId="0" borderId="16" applyAlignment="1" pivotButton="0" quotePrefix="0" xfId="0">
      <alignment horizontal="center"/>
    </xf>
    <xf numFmtId="0" fontId="6" fillId="0" borderId="32" applyAlignment="1" pivotButton="0" quotePrefix="0" xfId="0">
      <alignment horizontal="center"/>
    </xf>
    <xf numFmtId="0" fontId="6" fillId="0" borderId="39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3" fillId="0" borderId="10" applyAlignment="1" pivotButton="0" quotePrefix="0" xfId="0">
      <alignment vertical="center"/>
    </xf>
    <xf numFmtId="0" fontId="3" fillId="0" borderId="25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25" applyAlignment="1" pivotButton="0" quotePrefix="0" xfId="6">
      <alignment horizontal="center" vertical="center"/>
    </xf>
    <xf numFmtId="0" fontId="3" fillId="0" borderId="31" applyAlignment="1" pivotButton="0" quotePrefix="0" xfId="6">
      <alignment horizontal="center" vertical="center"/>
    </xf>
    <xf numFmtId="3" fontId="3" fillId="0" borderId="13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3" fontId="3" fillId="0" borderId="7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4" fillId="0" borderId="32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14" fillId="0" borderId="13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3" fillId="0" borderId="13" applyAlignment="1" pivotButton="0" quotePrefix="0" xfId="6">
      <alignment horizontal="center" vertical="center"/>
    </xf>
    <xf numFmtId="0" fontId="3" fillId="0" borderId="7" applyAlignment="1" pivotButton="0" quotePrefix="0" xfId="6">
      <alignment horizontal="center" vertical="center"/>
    </xf>
    <xf numFmtId="0" fontId="17" fillId="3" borderId="13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14" fillId="0" borderId="13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7" applyAlignment="1" pivotButton="0" quotePrefix="0" xfId="0">
      <alignment vertical="center"/>
    </xf>
    <xf numFmtId="0" fontId="14" fillId="0" borderId="13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4" fillId="0" borderId="7" applyAlignment="1" pivotButton="0" quotePrefix="0" xfId="0">
      <alignment vertical="top"/>
    </xf>
    <xf numFmtId="0" fontId="3" fillId="0" borderId="39" applyAlignment="1" pivotButton="0" quotePrefix="0" xfId="0">
      <alignment horizontal="center" vertical="center"/>
    </xf>
    <xf numFmtId="0" fontId="3" fillId="0" borderId="16" applyAlignment="1" pivotButton="0" quotePrefix="0" xfId="0">
      <alignment horizontal="right" vertical="center"/>
    </xf>
    <xf numFmtId="0" fontId="3" fillId="0" borderId="39" applyAlignment="1" pivotButton="0" quotePrefix="0" xfId="0">
      <alignment horizontal="right" vertical="center"/>
    </xf>
    <xf numFmtId="0" fontId="3" fillId="0" borderId="10" applyAlignment="1" pivotButton="0" quotePrefix="0" xfId="0">
      <alignment horizontal="center" vertical="center"/>
    </xf>
    <xf numFmtId="3" fontId="3" fillId="0" borderId="41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49" fontId="3" fillId="0" borderId="16" applyAlignment="1" pivotButton="0" quotePrefix="0" xfId="0">
      <alignment horizontal="center" vertical="center"/>
    </xf>
    <xf numFmtId="49" fontId="3" fillId="0" borderId="3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11" borderId="13" applyAlignment="1" pivotButton="0" quotePrefix="0" xfId="6">
      <alignment horizontal="center" vertical="center"/>
    </xf>
    <xf numFmtId="0" fontId="3" fillId="11" borderId="7" applyAlignment="1" pivotButton="0" quotePrefix="0" xfId="6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6" fillId="0" borderId="13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0" fontId="45" fillId="0" borderId="13" applyAlignment="1" pivotButton="0" quotePrefix="0" xfId="0">
      <alignment vertical="center"/>
    </xf>
    <xf numFmtId="0" fontId="45" fillId="0" borderId="7" applyAlignment="1" pivotButton="0" quotePrefix="0" xfId="0">
      <alignment vertical="center"/>
    </xf>
    <xf numFmtId="49" fontId="3" fillId="0" borderId="13" applyAlignment="1" pivotButton="0" quotePrefix="0" xfId="0">
      <alignment horizontal="center" vertical="center"/>
    </xf>
    <xf numFmtId="49" fontId="3" fillId="0" borderId="7" applyAlignment="1" pivotButton="0" quotePrefix="0" xfId="0">
      <alignment horizontal="center" vertical="center"/>
    </xf>
    <xf numFmtId="0" fontId="3" fillId="0" borderId="5" applyAlignment="1" pivotButton="0" quotePrefix="0" xfId="6">
      <alignment horizontal="center" vertical="center"/>
    </xf>
    <xf numFmtId="0" fontId="0" fillId="0" borderId="13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49" fontId="4" fillId="0" borderId="16" applyAlignment="1" pivotButton="0" quotePrefix="0" xfId="1">
      <alignment horizontal="center"/>
    </xf>
    <xf numFmtId="49" fontId="4" fillId="0" borderId="32" applyAlignment="1" pivotButton="0" quotePrefix="0" xfId="1">
      <alignment horizontal="center"/>
    </xf>
    <xf numFmtId="0" fontId="0" fillId="0" borderId="0" pivotButton="0" quotePrefix="0" xfId="0"/>
    <xf numFmtId="0" fontId="0" fillId="0" borderId="7" pivotButton="0" quotePrefix="0" xfId="0"/>
    <xf numFmtId="0" fontId="3" fillId="0" borderId="11" applyAlignment="1" pivotButton="0" quotePrefix="0" xfId="6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31" pivotButton="0" quotePrefix="0" xfId="0"/>
    <xf numFmtId="0" fontId="45" fillId="10" borderId="25" applyAlignment="1" pivotButton="0" quotePrefix="0" xfId="0">
      <alignment horizontal="center" vertical="center"/>
    </xf>
    <xf numFmtId="0" fontId="3" fillId="10" borderId="15" applyAlignment="1" pivotButton="0" quotePrefix="0" xfId="0">
      <alignment horizontal="center" vertical="center"/>
    </xf>
    <xf numFmtId="0" fontId="3" fillId="10" borderId="31" applyAlignment="1" pivotButton="0" quotePrefix="0" xfId="0">
      <alignment horizontal="center" vertical="center"/>
    </xf>
    <xf numFmtId="0" fontId="3" fillId="10" borderId="13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0" borderId="7" applyAlignment="1" pivotButton="0" quotePrefix="0" xfId="0">
      <alignment horizontal="center" vertical="center"/>
    </xf>
    <xf numFmtId="0" fontId="45" fillId="10" borderId="15" applyAlignment="1" pivotButton="0" quotePrefix="0" xfId="0">
      <alignment horizontal="center" vertical="center"/>
    </xf>
    <xf numFmtId="0" fontId="45" fillId="10" borderId="31" applyAlignment="1" pivotButton="0" quotePrefix="0" xfId="0">
      <alignment horizontal="center" vertical="center"/>
    </xf>
    <xf numFmtId="0" fontId="45" fillId="10" borderId="9" applyAlignment="1" pivotButton="0" quotePrefix="0" xfId="0">
      <alignment horizontal="center" vertical="center"/>
    </xf>
    <xf numFmtId="0" fontId="45" fillId="10" borderId="10" applyAlignment="1" pivotButton="0" quotePrefix="0" xfId="0">
      <alignment horizontal="center" vertical="center"/>
    </xf>
    <xf numFmtId="0" fontId="45" fillId="10" borderId="6" applyAlignment="1" pivotButton="0" quotePrefix="0" xfId="0">
      <alignment horizontal="center" vertical="center"/>
    </xf>
    <xf numFmtId="0" fontId="35" fillId="0" borderId="16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22" fillId="7" borderId="16" applyAlignment="1" pivotButton="0" quotePrefix="0" xfId="0">
      <alignment horizontal="center" vertical="center"/>
    </xf>
    <xf numFmtId="164" fontId="22" fillId="7" borderId="32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164" fontId="31" fillId="6" borderId="16" applyAlignment="1" pivotButton="0" quotePrefix="0" xfId="0">
      <alignment horizontal="left" vertical="center" indent="1"/>
    </xf>
    <xf numFmtId="164" fontId="31" fillId="6" borderId="39" applyAlignment="1" pivotButton="0" quotePrefix="0" xfId="0">
      <alignment horizontal="left" vertical="center" indent="1"/>
    </xf>
    <xf numFmtId="164" fontId="31" fillId="6" borderId="32" applyAlignment="1" pivotButton="0" quotePrefix="0" xfId="0">
      <alignment horizontal="left" vertical="center" indent="1"/>
    </xf>
    <xf numFmtId="164" fontId="22" fillId="7" borderId="39" applyAlignment="1" pivotButton="0" quotePrefix="0" xfId="0">
      <alignment horizontal="center" vertical="center"/>
    </xf>
    <xf numFmtId="164" fontId="31" fillId="8" borderId="16" applyAlignment="1" pivotButton="0" quotePrefix="0" xfId="0">
      <alignment horizontal="left" vertical="center" indent="1"/>
    </xf>
    <xf numFmtId="164" fontId="31" fillId="8" borderId="39" applyAlignment="1" pivotButton="0" quotePrefix="0" xfId="0">
      <alignment horizontal="left" vertical="center" indent="1"/>
    </xf>
    <xf numFmtId="164" fontId="31" fillId="8" borderId="32" applyAlignment="1" pivotButton="0" quotePrefix="0" xfId="0">
      <alignment horizontal="left" vertical="center" indent="1"/>
    </xf>
    <xf numFmtId="0" fontId="0" fillId="0" borderId="16" pivotButton="0" quotePrefix="0" xfId="0"/>
    <xf numFmtId="0" fontId="0" fillId="0" borderId="32" pivotButton="0" quotePrefix="0" xfId="0"/>
    <xf numFmtId="0" fontId="22" fillId="0" borderId="0" applyAlignment="1" pivotButton="0" quotePrefix="0" xfId="0">
      <alignment horizontal="center" vertical="center"/>
    </xf>
    <xf numFmtId="164" fontId="29" fillId="0" borderId="0" applyAlignment="1" pivotButton="0" quotePrefix="0" xfId="7">
      <alignment horizontal="center" vertical="center"/>
    </xf>
    <xf numFmtId="164" fontId="29" fillId="0" borderId="0" applyAlignment="1" pivotButton="0" quotePrefix="0" xfId="0">
      <alignment horizontal="center" vertical="center"/>
    </xf>
    <xf numFmtId="164" fontId="19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164" fontId="29" fillId="9" borderId="45" applyAlignment="1" pivotButton="0" quotePrefix="0" xfId="0">
      <alignment horizontal="center" vertical="center"/>
    </xf>
    <xf numFmtId="0" fontId="29" fillId="9" borderId="45" applyAlignment="1" pivotButton="0" quotePrefix="0" xfId="0">
      <alignment horizontal="center" vertical="center"/>
    </xf>
    <xf numFmtId="164" fontId="31" fillId="6" borderId="16" applyAlignment="1" pivotButton="0" quotePrefix="0" xfId="0">
      <alignment horizontal="left" vertical="center"/>
    </xf>
    <xf numFmtId="164" fontId="31" fillId="6" borderId="39" applyAlignment="1" pivotButton="0" quotePrefix="0" xfId="0">
      <alignment horizontal="left" vertical="center"/>
    </xf>
    <xf numFmtId="164" fontId="31" fillId="6" borderId="32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6" fillId="5" borderId="11" applyAlignment="1" pivotButton="0" quotePrefix="0" xfId="0">
      <alignment horizontal="center" vertical="center"/>
    </xf>
    <xf numFmtId="0" fontId="16" fillId="5" borderId="8" applyAlignment="1" pivotButton="0" quotePrefix="0" xfId="0">
      <alignment horizontal="center" vertical="center"/>
    </xf>
    <xf numFmtId="0" fontId="22" fillId="5" borderId="11" applyAlignment="1" pivotButton="0" quotePrefix="0" xfId="0">
      <alignment horizontal="center" vertical="center"/>
    </xf>
    <xf numFmtId="0" fontId="22" fillId="5" borderId="8" applyAlignment="1" pivotButton="0" quotePrefix="0" xfId="0">
      <alignment horizontal="center" vertical="center"/>
    </xf>
    <xf numFmtId="0" fontId="16" fillId="5" borderId="16" applyAlignment="1" pivotButton="0" quotePrefix="0" xfId="0">
      <alignment horizontal="center"/>
    </xf>
    <xf numFmtId="0" fontId="16" fillId="5" borderId="32" applyAlignment="1" pivotButton="0" quotePrefix="0" xfId="0">
      <alignment horizontal="center"/>
    </xf>
    <xf numFmtId="164" fontId="25" fillId="0" borderId="0" applyAlignment="1" pivotButton="0" quotePrefix="0" xfId="7">
      <alignment horizontal="left" vertical="center"/>
    </xf>
    <xf numFmtId="0" fontId="15" fillId="2" borderId="16" applyAlignment="1" pivotButton="0" quotePrefix="0" xfId="0">
      <alignment horizontal="center" vertical="center"/>
    </xf>
    <xf numFmtId="0" fontId="15" fillId="2" borderId="32" applyAlignment="1" pivotButton="0" quotePrefix="0" xfId="0">
      <alignment horizontal="center" vertical="center"/>
    </xf>
    <xf numFmtId="0" fontId="30" fillId="5" borderId="16" applyAlignment="1" pivotButton="0" quotePrefix="0" xfId="0">
      <alignment horizontal="center"/>
    </xf>
    <xf numFmtId="0" fontId="30" fillId="5" borderId="39" applyAlignment="1" pivotButton="0" quotePrefix="0" xfId="0">
      <alignment horizontal="center"/>
    </xf>
    <xf numFmtId="0" fontId="30" fillId="5" borderId="32" applyAlignment="1" pivotButton="0" quotePrefix="0" xfId="0">
      <alignment horizontal="center"/>
    </xf>
    <xf numFmtId="0" fontId="20" fillId="0" borderId="0" applyAlignment="1" pivotButton="0" quotePrefix="0" xfId="0">
      <alignment horizontal="left" vertical="center"/>
    </xf>
    <xf numFmtId="164" fontId="20" fillId="0" borderId="0" applyAlignment="1" pivotButton="0" quotePrefix="0" xfId="7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32" fillId="5" borderId="25" applyAlignment="1" pivotButton="0" quotePrefix="0" xfId="0">
      <alignment horizontal="center" vertical="center"/>
    </xf>
    <xf numFmtId="0" fontId="32" fillId="5" borderId="31" applyAlignment="1" pivotButton="0" quotePrefix="0" xfId="0">
      <alignment horizontal="center" vertical="center"/>
    </xf>
    <xf numFmtId="0" fontId="32" fillId="5" borderId="9" applyAlignment="1" pivotButton="0" quotePrefix="0" xfId="0">
      <alignment horizontal="center" vertical="center"/>
    </xf>
    <xf numFmtId="0" fontId="32" fillId="5" borderId="6" applyAlignment="1" pivotButton="0" quotePrefix="0" xfId="0">
      <alignment horizontal="center" vertical="center"/>
    </xf>
    <xf numFmtId="0" fontId="30" fillId="5" borderId="11" applyAlignment="1" pivotButton="0" quotePrefix="0" xfId="0">
      <alignment horizontal="center" vertical="center"/>
    </xf>
    <xf numFmtId="0" fontId="30" fillId="5" borderId="8" applyAlignment="1" pivotButton="0" quotePrefix="0" xfId="0">
      <alignment horizontal="center" vertical="center"/>
    </xf>
    <xf numFmtId="0" fontId="33" fillId="5" borderId="11" applyAlignment="1" pivotButton="0" quotePrefix="0" xfId="0">
      <alignment horizontal="center" vertical="center"/>
    </xf>
    <xf numFmtId="0" fontId="33" fillId="5" borderId="8" applyAlignment="1" pivotButton="0" quotePrefix="0" xfId="0">
      <alignment horizontal="center" vertical="center"/>
    </xf>
    <xf numFmtId="0" fontId="15" fillId="7" borderId="16" applyAlignment="1" pivotButton="0" quotePrefix="0" xfId="0">
      <alignment horizontal="center" vertical="center"/>
    </xf>
    <xf numFmtId="0" fontId="15" fillId="7" borderId="32" applyAlignment="1" pivotButton="0" quotePrefix="0" xfId="0">
      <alignment horizontal="center" vertical="center"/>
    </xf>
    <xf numFmtId="0" fontId="15" fillId="6" borderId="16" applyAlignment="1" pivotButton="0" quotePrefix="0" xfId="0">
      <alignment horizontal="center" vertical="center"/>
    </xf>
    <xf numFmtId="0" fontId="15" fillId="6" borderId="32" applyAlignment="1" pivotButton="0" quotePrefix="0" xfId="0">
      <alignment horizontal="center" vertical="center"/>
    </xf>
    <xf numFmtId="0" fontId="22" fillId="0" borderId="16" applyAlignment="1" pivotButton="0" quotePrefix="0" xfId="0">
      <alignment horizontal="center" vertical="center"/>
    </xf>
    <xf numFmtId="0" fontId="22" fillId="0" borderId="39" applyAlignment="1" pivotButton="0" quotePrefix="0" xfId="0">
      <alignment horizontal="center" vertical="center"/>
    </xf>
    <xf numFmtId="164" fontId="26" fillId="0" borderId="0" applyAlignment="1" pivotButton="0" quotePrefix="0" xfId="7">
      <alignment vertical="center"/>
    </xf>
    <xf numFmtId="0" fontId="16" fillId="5" borderId="16" applyAlignment="1" pivotButton="0" quotePrefix="0" xfId="0">
      <alignment horizontal="center" vertical="center"/>
    </xf>
    <xf numFmtId="0" fontId="16" fillId="5" borderId="32" applyAlignment="1" pivotButton="0" quotePrefix="0" xfId="0">
      <alignment horizontal="center" vertical="center"/>
    </xf>
    <xf numFmtId="0" fontId="39" fillId="0" borderId="16" pivotButton="0" quotePrefix="0" xfId="0"/>
    <xf numFmtId="0" fontId="39" fillId="0" borderId="39" pivotButton="0" quotePrefix="0" xfId="0"/>
    <xf numFmtId="0" fontId="39" fillId="0" borderId="32" pivotButton="0" quotePrefix="0" xfId="0"/>
    <xf numFmtId="0" fontId="39" fillId="0" borderId="16" applyAlignment="1" pivotButton="0" quotePrefix="0" xfId="0">
      <alignment horizontal="center"/>
    </xf>
    <xf numFmtId="0" fontId="39" fillId="0" borderId="39" applyAlignment="1" pivotButton="0" quotePrefix="0" xfId="0">
      <alignment horizontal="center"/>
    </xf>
    <xf numFmtId="0" fontId="39" fillId="0" borderId="32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39" fillId="0" borderId="33" applyAlignment="1" pivotButton="0" quotePrefix="0" xfId="0">
      <alignment horizontal="center"/>
    </xf>
    <xf numFmtId="0" fontId="39" fillId="0" borderId="34" applyAlignment="1" pivotButton="0" quotePrefix="0" xfId="0">
      <alignment horizontal="center"/>
    </xf>
    <xf numFmtId="0" fontId="39" fillId="0" borderId="1" applyAlignment="1" pivotButton="0" quotePrefix="0" xfId="0">
      <alignment horizontal="center" vertical="center"/>
    </xf>
    <xf numFmtId="0" fontId="39" fillId="0" borderId="5" applyAlignment="1" pivotButton="0" quotePrefix="0" xfId="0">
      <alignment horizontal="center" vertical="center"/>
    </xf>
    <xf numFmtId="0" fontId="39" fillId="0" borderId="8" applyAlignment="1" pivotButton="0" quotePrefix="0" xfId="0">
      <alignment horizontal="center" vertical="center"/>
    </xf>
    <xf numFmtId="49" fontId="39" fillId="0" borderId="13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49" fontId="39" fillId="0" borderId="7" applyAlignment="1" pivotButton="0" quotePrefix="0" xfId="0">
      <alignment horizontal="center" vertical="center"/>
    </xf>
    <xf numFmtId="0" fontId="39" fillId="0" borderId="9" applyAlignment="1" pivotButton="0" quotePrefix="0" xfId="0">
      <alignment horizontal="center"/>
    </xf>
    <xf numFmtId="0" fontId="39" fillId="0" borderId="10" applyAlignment="1" pivotButton="0" quotePrefix="0" xfId="0">
      <alignment horizontal="center"/>
    </xf>
    <xf numFmtId="0" fontId="39" fillId="0" borderId="6" applyAlignment="1" pivotButton="0" quotePrefix="0" xfId="0">
      <alignment horizontal="center"/>
    </xf>
    <xf numFmtId="0" fontId="39" fillId="0" borderId="9" pivotButton="0" quotePrefix="0" xfId="0"/>
    <xf numFmtId="0" fontId="39" fillId="0" borderId="10" pivotButton="0" quotePrefix="0" xfId="0"/>
    <xf numFmtId="0" fontId="39" fillId="0" borderId="6" pivotButton="0" quotePrefix="0" xfId="0"/>
    <xf numFmtId="0" fontId="39" fillId="0" borderId="13" applyAlignment="1" pivotButton="0" quotePrefix="0" xfId="0">
      <alignment horizontal="center"/>
    </xf>
    <xf numFmtId="0" fontId="39" fillId="0" borderId="0" applyAlignment="1" pivotButton="0" quotePrefix="0" xfId="0">
      <alignment horizontal="center"/>
    </xf>
    <xf numFmtId="0" fontId="39" fillId="0" borderId="7" applyAlignment="1" pivotButton="0" quotePrefix="0" xfId="0">
      <alignment horizontal="center"/>
    </xf>
    <xf numFmtId="0" fontId="39" fillId="0" borderId="13" pivotButton="0" quotePrefix="0" xfId="0"/>
    <xf numFmtId="0" fontId="42" fillId="0" borderId="0" pivotButton="0" quotePrefix="0" xfId="0"/>
    <xf numFmtId="0" fontId="42" fillId="0" borderId="7" pivotButton="0" quotePrefix="0" xfId="0"/>
    <xf numFmtId="0" fontId="39" fillId="0" borderId="5" applyAlignment="1" pivotButton="0" quotePrefix="0" xfId="0">
      <alignment horizontal="center"/>
    </xf>
    <xf numFmtId="0" fontId="39" fillId="0" borderId="8" applyAlignment="1" pivotButton="0" quotePrefix="0" xfId="0">
      <alignment horizontal="center"/>
    </xf>
    <xf numFmtId="0" fontId="39" fillId="0" borderId="25" applyAlignment="1" pivotButton="0" quotePrefix="0" xfId="0">
      <alignment horizontal="center"/>
    </xf>
    <xf numFmtId="0" fontId="39" fillId="0" borderId="15" applyAlignment="1" pivotButton="0" quotePrefix="0" xfId="0">
      <alignment horizontal="center"/>
    </xf>
    <xf numFmtId="0" fontId="39" fillId="0" borderId="31" applyAlignment="1" pivotButton="0" quotePrefix="0" xfId="0">
      <alignment horizontal="center"/>
    </xf>
    <xf numFmtId="0" fontId="39" fillId="0" borderId="2" applyAlignment="1" pivotButton="0" quotePrefix="0" xfId="0">
      <alignment horizontal="center" vertical="center"/>
    </xf>
    <xf numFmtId="0" fontId="39" fillId="0" borderId="3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0" fontId="39" fillId="0" borderId="27" applyAlignment="1" pivotButton="0" quotePrefix="0" xfId="0">
      <alignment horizontal="center"/>
    </xf>
    <xf numFmtId="0" fontId="39" fillId="0" borderId="28" applyAlignment="1" pivotButton="0" quotePrefix="0" xfId="0">
      <alignment horizontal="center"/>
    </xf>
    <xf numFmtId="0" fontId="42" fillId="0" borderId="10" pivotButton="0" quotePrefix="0" xfId="0"/>
    <xf numFmtId="0" fontId="42" fillId="0" borderId="6" pivotButton="0" quotePrefix="0" xfId="0"/>
    <xf numFmtId="0" fontId="39" fillId="0" borderId="13" applyAlignment="1" pivotButton="0" quotePrefix="0" xfId="0">
      <alignment horizontal="right"/>
    </xf>
    <xf numFmtId="0" fontId="39" fillId="0" borderId="11" applyAlignment="1" pivotButton="0" quotePrefix="0" xfId="0">
      <alignment horizontal="center" vertical="center"/>
    </xf>
    <xf numFmtId="0" fontId="39" fillId="0" borderId="24" applyAlignment="1" pivotButton="0" quotePrefix="0" xfId="0">
      <alignment horizontal="center"/>
    </xf>
    <xf numFmtId="0" fontId="39" fillId="0" borderId="38" applyAlignment="1" pivotButton="0" quotePrefix="0" xfId="0">
      <alignment horizontal="center"/>
    </xf>
    <xf numFmtId="0" fontId="39" fillId="0" borderId="23" applyAlignment="1" pivotButton="0" quotePrefix="0" xfId="0">
      <alignment horizontal="center"/>
    </xf>
    <xf numFmtId="0" fontId="39" fillId="0" borderId="21" pivotButton="0" quotePrefix="0" xfId="0"/>
    <xf numFmtId="0" fontId="39" fillId="0" borderId="17" pivotButton="0" quotePrefix="0" xfId="0"/>
    <xf numFmtId="0" fontId="39" fillId="0" borderId="22" pivotButton="0" quotePrefix="0" xfId="0"/>
    <xf numFmtId="0" fontId="39" fillId="0" borderId="35" applyAlignment="1" pivotButton="0" quotePrefix="0" xfId="0">
      <alignment horizontal="center"/>
    </xf>
    <xf numFmtId="0" fontId="39" fillId="0" borderId="36" applyAlignment="1" pivotButton="0" quotePrefix="0" xfId="0">
      <alignment horizontal="center"/>
    </xf>
    <xf numFmtId="0" fontId="39" fillId="0" borderId="37" applyAlignment="1" pivotButton="0" quotePrefix="0" xfId="0">
      <alignment horizontal="center"/>
    </xf>
    <xf numFmtId="0" fontId="38" fillId="0" borderId="2" applyAlignment="1" pivotButton="0" quotePrefix="0" xfId="0">
      <alignment horizontal="center"/>
    </xf>
    <xf numFmtId="0" fontId="38" fillId="0" borderId="3" applyAlignment="1" pivotButton="0" quotePrefix="0" xfId="0">
      <alignment horizontal="center"/>
    </xf>
    <xf numFmtId="0" fontId="38" fillId="0" borderId="4" applyAlignment="1" pivotButton="0" quotePrefix="0" xfId="0">
      <alignment horizontal="center"/>
    </xf>
    <xf numFmtId="0" fontId="39" fillId="0" borderId="21" applyAlignment="1" pivotButton="0" quotePrefix="0" xfId="0">
      <alignment horizontal="left"/>
    </xf>
    <xf numFmtId="0" fontId="39" fillId="0" borderId="17" applyAlignment="1" pivotButton="0" quotePrefix="0" xfId="0">
      <alignment horizontal="left"/>
    </xf>
    <xf numFmtId="0" fontId="39" fillId="0" borderId="22" applyAlignment="1" pivotButton="0" quotePrefix="0" xfId="0">
      <alignment horizontal="left"/>
    </xf>
    <xf numFmtId="0" fontId="39" fillId="0" borderId="0" pivotButton="0" quotePrefix="0" xfId="0"/>
    <xf numFmtId="0" fontId="39" fillId="0" borderId="7" pivotButton="0" quotePrefix="0" xfId="0"/>
    <xf numFmtId="0" fontId="38" fillId="0" borderId="25" applyAlignment="1" pivotButton="0" quotePrefix="0" xfId="0">
      <alignment horizontal="center"/>
    </xf>
    <xf numFmtId="0" fontId="38" fillId="0" borderId="15" applyAlignment="1" pivotButton="0" quotePrefix="0" xfId="0">
      <alignment horizontal="center"/>
    </xf>
    <xf numFmtId="0" fontId="38" fillId="0" borderId="31" applyAlignment="1" pivotButton="0" quotePrefix="0" xfId="0">
      <alignment horizontal="center"/>
    </xf>
    <xf numFmtId="0" fontId="0" fillId="0" borderId="39" pivotButton="0" quotePrefix="0" xfId="0"/>
    <xf numFmtId="0" fontId="14" fillId="0" borderId="11" applyAlignment="1" pivotButton="0" quotePrefix="0" xfId="0">
      <alignment horizontal="center" vertical="top"/>
    </xf>
    <xf numFmtId="0" fontId="14" fillId="0" borderId="5" applyAlignment="1" pivotButton="0" quotePrefix="0" xfId="0">
      <alignment horizontal="left" vertical="top"/>
    </xf>
    <xf numFmtId="3" fontId="3" fillId="0" borderId="11" applyAlignment="1" pivotButton="0" quotePrefix="0" xfId="0">
      <alignment horizontal="center" vertical="center"/>
    </xf>
    <xf numFmtId="0" fontId="0" fillId="0" borderId="10" pivotButton="0" quotePrefix="0" xfId="0"/>
    <xf numFmtId="0" fontId="14" fillId="0" borderId="5" applyAlignment="1" pivotButton="0" quotePrefix="0" xfId="0">
      <alignment horizontal="center" vertical="top"/>
    </xf>
    <xf numFmtId="0" fontId="4" fillId="0" borderId="1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3" fillId="0" borderId="11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14" fillId="0" borderId="5" applyAlignment="1" pivotButton="0" quotePrefix="0" xfId="0">
      <alignment horizontal="left" vertical="center"/>
    </xf>
    <xf numFmtId="0" fontId="14" fillId="0" borderId="5" applyAlignment="1" pivotButton="0" quotePrefix="0" xfId="0">
      <alignment vertical="center"/>
    </xf>
    <xf numFmtId="0" fontId="14" fillId="0" borderId="5" applyAlignment="1" pivotButton="0" quotePrefix="0" xfId="0">
      <alignment vertical="top"/>
    </xf>
    <xf numFmtId="0" fontId="0" fillId="0" borderId="41" pivotButton="0" quotePrefix="0" xfId="0"/>
    <xf numFmtId="0" fontId="6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/>
    </xf>
    <xf numFmtId="49" fontId="4" fillId="0" borderId="12" applyAlignment="1" pivotButton="0" quotePrefix="0" xfId="1">
      <alignment horizontal="center"/>
    </xf>
    <xf numFmtId="0" fontId="45" fillId="10" borderId="11" applyAlignment="1" pivotButton="0" quotePrefix="0" xfId="0">
      <alignment horizontal="center" vertical="center"/>
    </xf>
    <xf numFmtId="0" fontId="0" fillId="0" borderId="13" pivotButton="0" quotePrefix="0" xfId="0"/>
    <xf numFmtId="0" fontId="3" fillId="11" borderId="5" applyAlignment="1" pivotButton="0" quotePrefix="0" xfId="6">
      <alignment horizontal="center" vertical="center"/>
    </xf>
    <xf numFmtId="0" fontId="45" fillId="10" borderId="12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/>
    </xf>
    <xf numFmtId="0" fontId="16" fillId="5" borderId="12" applyAlignment="1" pivotButton="0" quotePrefix="0" xfId="0">
      <alignment horizontal="center" vertical="center"/>
    </xf>
    <xf numFmtId="0" fontId="22" fillId="5" borderId="12" applyAlignment="1" pivotButton="0" quotePrefix="0" xfId="0">
      <alignment horizontal="center" vertical="center"/>
    </xf>
    <xf numFmtId="0" fontId="16" fillId="5" borderId="12" applyAlignment="1" pivotButton="0" quotePrefix="0" xfId="0">
      <alignment horizontal="center"/>
    </xf>
    <xf numFmtId="0" fontId="0" fillId="0" borderId="45" pivotButton="0" quotePrefix="0" xfId="0"/>
    <xf numFmtId="0" fontId="30" fillId="5" borderId="12" applyAlignment="1" pivotButton="0" quotePrefix="0" xfId="0">
      <alignment horizontal="center" vertical="center"/>
    </xf>
    <xf numFmtId="0" fontId="33" fillId="5" borderId="12" applyAlignment="1" pivotButton="0" quotePrefix="0" xfId="0">
      <alignment horizontal="center" vertical="center"/>
    </xf>
    <xf numFmtId="0" fontId="30" fillId="5" borderId="12" applyAlignment="1" pivotButton="0" quotePrefix="0" xfId="0">
      <alignment horizontal="center"/>
    </xf>
    <xf numFmtId="0" fontId="32" fillId="5" borderId="12" applyAlignment="1" pivotButton="0" quotePrefix="0" xfId="0">
      <alignment horizontal="center" vertical="center"/>
    </xf>
    <xf numFmtId="0" fontId="15" fillId="7" borderId="12" applyAlignment="1" pivotButton="0" quotePrefix="0" xfId="0">
      <alignment horizontal="center" vertical="center"/>
    </xf>
    <xf numFmtId="0" fontId="15" fillId="6" borderId="12" applyAlignment="1" pivotButton="0" quotePrefix="0" xfId="0">
      <alignment horizontal="center" vertical="center"/>
    </xf>
    <xf numFmtId="0" fontId="15" fillId="2" borderId="12" applyAlignment="1" pivotButton="0" quotePrefix="0" xfId="0">
      <alignment horizontal="center" vertical="center"/>
    </xf>
    <xf numFmtId="164" fontId="22" fillId="7" borderId="12" applyAlignment="1" pivotButton="0" quotePrefix="0" xfId="0">
      <alignment horizontal="center" vertical="center"/>
    </xf>
    <xf numFmtId="164" fontId="31" fillId="8" borderId="12" applyAlignment="1" pivotButton="0" quotePrefix="0" xfId="0">
      <alignment horizontal="left" vertical="center" indent="1"/>
    </xf>
    <xf numFmtId="0" fontId="0" fillId="0" borderId="12" applyAlignment="1" pivotButton="0" quotePrefix="0" xfId="0">
      <alignment horizontal="center"/>
    </xf>
    <xf numFmtId="164" fontId="31" fillId="6" borderId="12" applyAlignment="1" pivotButton="0" quotePrefix="0" xfId="0">
      <alignment horizontal="left" vertical="center" indent="1"/>
    </xf>
    <xf numFmtId="164" fontId="31" fillId="6" borderId="12" applyAlignment="1" pivotButton="0" quotePrefix="0" xfId="0">
      <alignment horizontal="left" vertical="center"/>
    </xf>
    <xf numFmtId="0" fontId="0" fillId="0" borderId="12" pivotButton="0" quotePrefix="0" xfId="0"/>
    <xf numFmtId="0" fontId="39" fillId="0" borderId="12" applyAlignment="1" pivotButton="0" quotePrefix="0" xfId="0">
      <alignment horizontal="center"/>
    </xf>
    <xf numFmtId="0" fontId="39" fillId="0" borderId="12" applyAlignment="1" pivotButton="0" quotePrefix="0" xfId="0">
      <alignment horizontal="center" vertical="center"/>
    </xf>
    <xf numFmtId="49" fontId="39" fillId="0" borderId="5" applyAlignment="1" pivotButton="0" quotePrefix="0" xfId="0">
      <alignment horizontal="center" vertical="center"/>
    </xf>
    <xf numFmtId="0" fontId="39" fillId="0" borderId="12" pivotButton="0" quotePrefix="0" xfId="0"/>
    <xf numFmtId="0" fontId="0" fillId="0" borderId="27" pivotButton="0" quotePrefix="0" xfId="0"/>
    <xf numFmtId="0" fontId="0" fillId="0" borderId="28" pivotButton="0" quotePrefix="0" xfId="0"/>
    <xf numFmtId="0" fontId="39" fillId="0" borderId="5" applyAlignment="1" pivotButton="0" quotePrefix="0" xfId="0">
      <alignment horizontal="right"/>
    </xf>
    <xf numFmtId="0" fontId="39" fillId="0" borderId="47" applyAlignment="1" pivotButton="0" quotePrefix="0" xfId="0">
      <alignment horizontal="center"/>
    </xf>
    <xf numFmtId="0" fontId="0" fillId="0" borderId="34" pivotButton="0" quotePrefix="0" xfId="0"/>
    <xf numFmtId="0" fontId="39" fillId="0" borderId="4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38" pivotButton="0" quotePrefix="0" xfId="0"/>
    <xf numFmtId="0" fontId="0" fillId="0" borderId="23" pivotButton="0" quotePrefix="0" xfId="0"/>
    <xf numFmtId="0" fontId="0" fillId="0" borderId="17" pivotButton="0" quotePrefix="0" xfId="0"/>
    <xf numFmtId="0" fontId="0" fillId="0" borderId="22" pivotButton="0" quotePrefix="0" xfId="0"/>
    <xf numFmtId="0" fontId="39" fillId="0" borderId="19" applyAlignment="1" pivotButton="0" quotePrefix="0" xfId="0">
      <alignment horizontal="left"/>
    </xf>
    <xf numFmtId="0" fontId="0" fillId="0" borderId="36" pivotButton="0" quotePrefix="0" xfId="0"/>
    <xf numFmtId="0" fontId="0" fillId="0" borderId="37" pivotButton="0" quotePrefix="0" xfId="0"/>
    <xf numFmtId="0" fontId="38" fillId="0" borderId="1" applyAlignment="1" pivotButton="0" quotePrefix="0" xfId="0">
      <alignment horizontal="center"/>
    </xf>
    <xf numFmtId="0" fontId="38" fillId="0" borderId="11" applyAlignment="1" pivotButton="0" quotePrefix="0" xfId="0">
      <alignment horizontal="center"/>
    </xf>
  </cellXfs>
  <cellStyles count="8">
    <cellStyle name="ปกติ" xfId="0" builtinId="0"/>
    <cellStyle name="Normal 2" xfId="1"/>
    <cellStyle name="ปกติ 2" xfId="2"/>
    <cellStyle name="ปกติ 3" xfId="3"/>
    <cellStyle name="Hyperlink 2" xfId="4"/>
    <cellStyle name="เครื่องหมายสกุลเงิน 2" xfId="5"/>
    <cellStyle name="ปกติ 2 2" xfId="6"/>
    <cellStyle name="จุลภาค" xfId="7" builtinId="3"/>
  </cellStyles>
  <dxfs count="2">
    <dxf>
      <fill>
        <patternFill>
          <bgColor theme="0" tint="-0.0499893185216834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9" defaultPivotStyle="PivotStyleLight16">
    <tableStyle name="CustomTableStyle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43"/>
  <sheetViews>
    <sheetView view="pageBreakPreview" topLeftCell="A47" zoomScaleNormal="115" zoomScaleSheetLayoutView="100" workbookViewId="0">
      <selection activeCell="A86" sqref="A86:G86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27</v>
      </c>
      <c r="E3" s="254" t="inlineStr">
        <is>
          <t xml:space="preserve">   เดือน  </t>
        </is>
      </c>
      <c r="F3" s="254" t="inlineStr">
        <is>
          <t>พฤศจิกายน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1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n"/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7</v>
      </c>
      <c r="G7" s="303" t="inlineStr">
        <is>
          <t>จันทร์</t>
        </is>
      </c>
      <c r="H7" s="332" t="inlineStr">
        <is>
          <t>30101-2607</t>
        </is>
      </c>
      <c r="I7" s="325" t="inlineStr">
        <is>
          <t>ปวส.2/5 สยฟ. (ม.6)</t>
        </is>
      </c>
      <c r="J7" s="332" t="inlineStr">
        <is>
          <t>08.10-12.10</t>
        </is>
      </c>
      <c r="K7" s="335" t="n"/>
      <c r="L7" s="265" t="n"/>
      <c r="M7" s="332" t="n"/>
      <c r="N7" s="332" t="n"/>
      <c r="O7" s="244">
        <f>M7*N7</f>
        <v/>
      </c>
      <c r="P7" s="332" t="n"/>
      <c r="Q7" s="265" t="n">
        <v>4</v>
      </c>
      <c r="R7" s="332" t="n">
        <v>270</v>
      </c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27 พ.ย.66</t>
        </is>
      </c>
      <c r="H8" s="325" t="inlineStr">
        <is>
          <t>30143-2005</t>
        </is>
      </c>
      <c r="I8" s="325" t="inlineStr">
        <is>
          <t>ปวส.1/2 สยฟ. (ทวิ)</t>
        </is>
      </c>
      <c r="J8" s="325" t="inlineStr">
        <is>
          <t>14.10-19.10</t>
        </is>
      </c>
      <c r="K8" s="331" t="n"/>
      <c r="L8" s="252" t="n"/>
      <c r="M8" s="252" t="n"/>
      <c r="N8" s="252" t="n"/>
      <c r="O8" s="244">
        <f>M8*N8</f>
        <v/>
      </c>
      <c r="P8" s="252" t="n">
        <v>5</v>
      </c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325" t="n"/>
      <c r="I9" s="325" t="n"/>
      <c r="J9" s="325" t="n"/>
      <c r="K9" s="331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325" t="n"/>
      <c r="I12" s="325" t="n"/>
      <c r="J12" s="332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28 พ.ย.66</t>
        </is>
      </c>
      <c r="H13" s="325" t="n"/>
      <c r="I13" s="325" t="n"/>
      <c r="J13" s="252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/>
      <c r="Q17" s="265" t="n">
        <v>4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29 พ.ย.66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/>
      <c r="Q22" s="275" t="n">
        <v>4</v>
      </c>
      <c r="R22" s="275" t="n">
        <v>270</v>
      </c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30 พ.ย.66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325" t="inlineStr">
        <is>
          <t>30143-2005</t>
        </is>
      </c>
      <c r="I27" s="325" t="inlineStr">
        <is>
          <t>ปวส.1/1 สยฟ. (ทวิ)</t>
        </is>
      </c>
      <c r="J27" s="332" t="inlineStr">
        <is>
          <t>08.10-12.10</t>
        </is>
      </c>
      <c r="K27" s="335" t="n"/>
      <c r="L27" s="265" t="n"/>
      <c r="M27" s="252" t="n"/>
      <c r="N27" s="252" t="n"/>
      <c r="O27" s="244">
        <f>M27*N27</f>
        <v/>
      </c>
      <c r="P27" s="332" t="n">
        <v>4</v>
      </c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1 ธ.ค.66</t>
        </is>
      </c>
      <c r="H28" s="325" t="inlineStr">
        <is>
          <t>30143-2005</t>
        </is>
      </c>
      <c r="I28" s="325" t="inlineStr">
        <is>
          <t>ปวส.1/1 สยฟ. (ทวิ)</t>
        </is>
      </c>
      <c r="J28" s="252" t="inlineStr">
        <is>
          <t>13.10-14.10</t>
        </is>
      </c>
      <c r="K28" s="331" t="n"/>
      <c r="L28" s="252" t="n"/>
      <c r="M28" s="252" t="n"/>
      <c r="N28" s="252" t="n"/>
      <c r="O28" s="244">
        <f>M28*N28</f>
        <v/>
      </c>
      <c r="P28" s="252" t="n">
        <v>1</v>
      </c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4  เดือน ธันวาคม  พ.ศ.2566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 t="inlineStr">
        <is>
          <t>นางสาวปาจารีย์  กฐินทอง</t>
        </is>
      </c>
      <c r="C53" s="334" t="n"/>
      <c r="D53" s="335" t="n"/>
      <c r="E53" s="275" t="inlineStr">
        <is>
          <t>พนักงาน</t>
        </is>
      </c>
      <c r="F53" s="6">
        <f>F7</f>
        <v/>
      </c>
      <c r="G53" s="303" t="inlineStr">
        <is>
          <t>จันทร์</t>
        </is>
      </c>
      <c r="H53" s="332" t="n"/>
      <c r="I53" s="325" t="n"/>
      <c r="J53" s="332" t="n"/>
      <c r="K53" s="335" t="n"/>
      <c r="L53" s="265" t="n"/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325" t="n"/>
      <c r="I54" s="325" t="n"/>
      <c r="J54" s="252" t="n"/>
      <c r="K54" s="331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252" t="n"/>
      <c r="I55" s="325" t="n"/>
      <c r="J55" s="325" t="n"/>
      <c r="K55" s="331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332" t="n"/>
      <c r="I58" s="325" t="n"/>
      <c r="J58" s="332" t="n"/>
      <c r="K58" s="335" t="n"/>
      <c r="L58" s="265" t="n"/>
      <c r="M58" s="332" t="n"/>
      <c r="N58" s="332" t="n"/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325" t="n"/>
      <c r="I59" s="325" t="n"/>
      <c r="J59" s="252" t="n"/>
      <c r="K59" s="331" t="n"/>
      <c r="L59" s="252" t="n"/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n"/>
      <c r="I63" s="325" t="n"/>
      <c r="J63" s="332" t="n"/>
      <c r="K63" s="335" t="n"/>
      <c r="L63" s="332" t="n"/>
      <c r="M63" s="332" t="n"/>
      <c r="N63" s="332" t="n"/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n"/>
      <c r="I68" s="325" t="n"/>
      <c r="J68" s="332" t="n"/>
      <c r="K68" s="335" t="n"/>
      <c r="L68" s="252" t="n"/>
      <c r="M68" s="252" t="n"/>
      <c r="N68" s="252" t="n"/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n"/>
      <c r="I69" s="325" t="n"/>
      <c r="J69" s="252" t="n"/>
      <c r="K69" s="331" t="n"/>
      <c r="L69" s="252" t="n"/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n"/>
      <c r="I70" s="325" t="n"/>
      <c r="J70" s="252" t="n"/>
      <c r="K70" s="331" t="n"/>
      <c r="L70" s="325" t="n"/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332" t="n"/>
      <c r="I73" s="325" t="n"/>
      <c r="J73" s="332" t="n"/>
      <c r="K73" s="335" t="n"/>
      <c r="L73" s="252" t="n"/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325" t="n"/>
      <c r="I74" s="325" t="n"/>
      <c r="J74" s="252" t="n"/>
      <c r="K74" s="331" t="n"/>
      <c r="L74" s="252" t="n"/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0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>
        <f>F7</f>
        <v/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>
        <f>F7</f>
        <v/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>
        <f>F7</f>
        <v/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>
        <f>F7</f>
        <v/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>
        <f>F7</f>
        <v/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>
        <f>F7</f>
        <v/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>
        <f>F7</f>
        <v/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>
        <f>F7</f>
        <v/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>
        <f>F7</f>
        <v/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>
        <f>F7</f>
        <v/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>
        <f>F7</f>
        <v/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>
        <f>F7</f>
        <v/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>
        <f>F53</f>
        <v/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>
        <f>F99</f>
        <v/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>
        <f>F145</f>
        <v/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>
        <f>F7</f>
        <v/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>
        <f>F7</f>
        <v/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>
        <f>F7</f>
        <v/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>
        <f>F7</f>
        <v/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>
        <f>F7</f>
        <v/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>
        <f>F7</f>
        <v/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>
        <f>F7</f>
        <v/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>
        <f>F7</f>
        <v/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>
        <f>F7</f>
        <v/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inlineStr">
        <is>
          <t>ส.</t>
        </is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4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J13:K1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J28:K28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J237:K237"/>
    <mergeCell ref="G540:K540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J59:K59"/>
    <mergeCell ref="J672:K672"/>
    <mergeCell ref="G1000:K1000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2:K12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J8:K8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8:K58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J1086:K1086"/>
    <mergeCell ref="A877:C877"/>
    <mergeCell ref="A455:G455"/>
    <mergeCell ref="J27:K27"/>
    <mergeCell ref="P189:Q189"/>
    <mergeCell ref="A184:I184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J9:K9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55:K55"/>
    <mergeCell ref="A232:S232"/>
    <mergeCell ref="AB7:AD7"/>
    <mergeCell ref="J476:K476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74:K74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J54:K54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7:K7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J53:K53"/>
    <mergeCell ref="B729:F729"/>
    <mergeCell ref="J806:K806"/>
    <mergeCell ref="H958:L958"/>
    <mergeCell ref="J387:K387"/>
    <mergeCell ref="J871:S871"/>
    <mergeCell ref="J343:K343"/>
    <mergeCell ref="G863:K863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J73:K73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  <rowBreaks count="26" manualBreakCount="26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4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</rowBreaks>
  <colBreaks count="1" manualBreakCount="1">
    <brk id="19" min="0" max="1199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243"/>
  <sheetViews>
    <sheetView view="pageBreakPreview" topLeftCell="A57" zoomScaleNormal="115" zoomScaleSheetLayoutView="100" workbookViewId="0">
      <selection activeCell="G62" sqref="G62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4</v>
      </c>
      <c r="E3" s="254" t="inlineStr">
        <is>
          <t xml:space="preserve">   เดือน  </t>
        </is>
      </c>
      <c r="F3" s="254" t="inlineStr">
        <is>
          <t>ธันวาคม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8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inlineStr">
        <is>
          <t>นางสาวปาจารีย์  กฐินทอง</t>
        </is>
      </c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8</v>
      </c>
      <c r="G7" s="303" t="inlineStr">
        <is>
          <t>จันทร์</t>
        </is>
      </c>
      <c r="H7" s="332" t="inlineStr">
        <is>
          <t>30101-2607</t>
        </is>
      </c>
      <c r="I7" s="325" t="inlineStr">
        <is>
          <t>ปวส.2/5 สยฟ. (ม.6)</t>
        </is>
      </c>
      <c r="J7" s="332" t="inlineStr">
        <is>
          <t>08.10-12.10</t>
        </is>
      </c>
      <c r="K7" s="335" t="n"/>
      <c r="L7" s="265" t="n"/>
      <c r="M7" s="332" t="n"/>
      <c r="N7" s="332" t="n"/>
      <c r="O7" s="244">
        <f>M7*N7</f>
        <v/>
      </c>
      <c r="P7" s="332" t="n"/>
      <c r="Q7" s="265" t="n">
        <v>4</v>
      </c>
      <c r="R7" s="332" t="n">
        <v>270</v>
      </c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4 ธ.ค.66</t>
        </is>
      </c>
      <c r="H8" s="325" t="inlineStr">
        <is>
          <t>30143-2005</t>
        </is>
      </c>
      <c r="I8" s="325" t="inlineStr">
        <is>
          <t>ปวส.1/2 สยฟ. (ทวิ)</t>
        </is>
      </c>
      <c r="J8" s="325" t="inlineStr">
        <is>
          <t>14.10-19.10</t>
        </is>
      </c>
      <c r="K8" s="331" t="n"/>
      <c r="L8" s="252" t="n"/>
      <c r="M8" s="252" t="n"/>
      <c r="N8" s="252" t="n"/>
      <c r="O8" s="244">
        <f>M8*N8</f>
        <v/>
      </c>
      <c r="P8" s="252" t="n">
        <v>5</v>
      </c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325" t="n"/>
      <c r="I9" s="325" t="n"/>
      <c r="J9" s="325" t="n"/>
      <c r="K9" s="331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486" t="inlineStr">
        <is>
          <t>หยุด</t>
        </is>
      </c>
      <c r="I12" s="334" t="n"/>
      <c r="J12" s="334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5 ธ.ค.66</t>
        </is>
      </c>
      <c r="H13" s="487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/>
      <c r="Q17" s="265" t="n">
        <v>4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6 ธ.ค.66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/>
      <c r="Q22" s="275" t="n">
        <v>4</v>
      </c>
      <c r="R22" s="275" t="n">
        <v>270</v>
      </c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7 ธ.ค.66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325" t="inlineStr">
        <is>
          <t>30143-2005</t>
        </is>
      </c>
      <c r="I27" s="325" t="inlineStr">
        <is>
          <t>ปวส.1/1 สยฟ. (ทวิ)</t>
        </is>
      </c>
      <c r="J27" s="332" t="inlineStr">
        <is>
          <t>08.10-12.10</t>
        </is>
      </c>
      <c r="K27" s="335" t="n"/>
      <c r="L27" s="265" t="n"/>
      <c r="M27" s="252" t="n"/>
      <c r="N27" s="252" t="n"/>
      <c r="O27" s="244">
        <f>M27*N27</f>
        <v/>
      </c>
      <c r="P27" s="332" t="n">
        <v>4</v>
      </c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8 ธ.ค.66</t>
        </is>
      </c>
      <c r="H28" s="325" t="inlineStr">
        <is>
          <t>30143-2005</t>
        </is>
      </c>
      <c r="I28" s="325" t="inlineStr">
        <is>
          <t>ปวส.1/1 สยฟ. (ทวิ)</t>
        </is>
      </c>
      <c r="J28" s="252" t="inlineStr">
        <is>
          <t>13.10-14.10</t>
        </is>
      </c>
      <c r="K28" s="331" t="n"/>
      <c r="L28" s="252" t="n"/>
      <c r="M28" s="252" t="n"/>
      <c r="N28" s="252" t="n"/>
      <c r="O28" s="244">
        <f>M28*N28</f>
        <v/>
      </c>
      <c r="P28" s="252" t="n">
        <v>1</v>
      </c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18  เดือน ธันวาคม  พ.ศ.2566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>
        <f>AB4</f>
        <v/>
      </c>
      <c r="C53" s="334" t="n"/>
      <c r="D53" s="335" t="n"/>
      <c r="E53" s="275" t="inlineStr">
        <is>
          <t>พนักงาน</t>
        </is>
      </c>
      <c r="F53" s="6">
        <f>F7</f>
        <v/>
      </c>
      <c r="G53" s="303" t="inlineStr">
        <is>
          <t>จันทร์</t>
        </is>
      </c>
      <c r="H53" s="332" t="inlineStr">
        <is>
          <t>20101-8501</t>
        </is>
      </c>
      <c r="I53" s="325" t="inlineStr">
        <is>
          <t>ปวช.3/9,10 ชย. (ทวิ)</t>
        </is>
      </c>
      <c r="J53" s="488" t="inlineStr">
        <is>
          <t>15.10-19.10</t>
        </is>
      </c>
      <c r="K53" s="331" t="n"/>
      <c r="L53" s="265" t="n">
        <v>4</v>
      </c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325" t="n"/>
      <c r="I54" s="325" t="n"/>
      <c r="J54" s="252" t="n"/>
      <c r="K54" s="331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252" t="n"/>
      <c r="I55" s="325" t="n"/>
      <c r="J55" s="325" t="n"/>
      <c r="K55" s="331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486" t="inlineStr">
        <is>
          <t>หยุด</t>
        </is>
      </c>
      <c r="I58" s="334" t="n"/>
      <c r="J58" s="334" t="n"/>
      <c r="K58" s="335" t="n"/>
      <c r="L58" s="265" t="n"/>
      <c r="M58" s="332" t="n"/>
      <c r="N58" s="332" t="n"/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487" t="n"/>
      <c r="K59" s="331" t="n"/>
      <c r="L59" s="252" t="n"/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inlineStr">
        <is>
          <t>20101-2008</t>
        </is>
      </c>
      <c r="I63" s="325" t="inlineStr">
        <is>
          <t>ปวช.3/10 ชย. (ทวิ)</t>
        </is>
      </c>
      <c r="J63" s="332" t="inlineStr">
        <is>
          <t>08.10-12.10</t>
        </is>
      </c>
      <c r="K63" s="335" t="n"/>
      <c r="L63" s="332" t="n"/>
      <c r="M63" s="332" t="n">
        <v>4</v>
      </c>
      <c r="N63" s="332" t="n">
        <v>200</v>
      </c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inlineStr">
        <is>
          <t>20101-2008</t>
        </is>
      </c>
      <c r="I68" s="325" t="inlineStr">
        <is>
          <t>ปวช.1/8 ชย. (ปกติ)</t>
        </is>
      </c>
      <c r="J68" s="332" t="inlineStr">
        <is>
          <t>08.10-12.10</t>
        </is>
      </c>
      <c r="K68" s="335" t="n"/>
      <c r="L68" s="252" t="n">
        <v>1</v>
      </c>
      <c r="M68" s="252" t="n">
        <v>3</v>
      </c>
      <c r="N68" s="252" t="n">
        <v>200</v>
      </c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inlineStr">
        <is>
          <t>20000-2002</t>
        </is>
      </c>
      <c r="I69" s="325" t="inlineStr">
        <is>
          <t>ปวช.1/7,8 ชย. (ปกติ)</t>
        </is>
      </c>
      <c r="J69" s="488" t="inlineStr">
        <is>
          <t>13.10-15.10</t>
        </is>
      </c>
      <c r="K69" s="331" t="n"/>
      <c r="L69" s="252" t="n">
        <v>2</v>
      </c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inlineStr">
        <is>
          <t>20143-2004</t>
        </is>
      </c>
      <c r="I70" s="325" t="inlineStr">
        <is>
          <t>ปวช.1/1 ชยฟ. (ปกติ)</t>
        </is>
      </c>
      <c r="J70" s="488" t="inlineStr">
        <is>
          <t>15.10-19.10</t>
        </is>
      </c>
      <c r="K70" s="331" t="n"/>
      <c r="L70" s="325" t="n">
        <v>4</v>
      </c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332" t="inlineStr">
        <is>
          <t>20143-2102</t>
        </is>
      </c>
      <c r="I73" s="325" t="inlineStr">
        <is>
          <t>ปวช.1/1 ชยฟ. (ปกติ)</t>
        </is>
      </c>
      <c r="J73" s="332" t="inlineStr">
        <is>
          <t>08.10-12.10</t>
        </is>
      </c>
      <c r="K73" s="335" t="n"/>
      <c r="L73" s="252" t="n">
        <v>4</v>
      </c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325" t="inlineStr">
        <is>
          <t>20143-2102</t>
        </is>
      </c>
      <c r="I74" s="325" t="inlineStr">
        <is>
          <t>ปวช.1/1 ชยฟ. (ปกติ)</t>
        </is>
      </c>
      <c r="J74" s="488" t="inlineStr">
        <is>
          <t>13.10-16.10</t>
        </is>
      </c>
      <c r="K74" s="331" t="n"/>
      <c r="L74" s="252" t="n">
        <v>3</v>
      </c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18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>
        <f>F7</f>
        <v/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>
        <f>F7</f>
        <v/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>
        <f>F7</f>
        <v/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>
        <f>F7</f>
        <v/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>
        <f>F7</f>
        <v/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>
        <f>F7</f>
        <v/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>
        <f>F7</f>
        <v/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>
        <f>F7</f>
        <v/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>
        <f>F7</f>
        <v/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>
        <f>F7</f>
        <v/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>
        <f>F7</f>
        <v/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>
        <f>F7</f>
        <v/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>
        <f>F53</f>
        <v/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>
        <f>F99</f>
        <v/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>
        <f>F145</f>
        <v/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>
        <f>F7</f>
        <v/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>
        <f>F7</f>
        <v/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>
        <f>F7</f>
        <v/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>
        <f>F7</f>
        <v/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>
        <f>F7</f>
        <v/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>
        <f>F7</f>
        <v/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>
        <f>F7</f>
        <v/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>
        <f>F7</f>
        <v/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>
        <f>F7</f>
        <v/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inlineStr">
        <is>
          <t>ส.</t>
        </is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2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J28:K28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G540:K540"/>
    <mergeCell ref="J237:K237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G1000:K1000"/>
    <mergeCell ref="J672:K672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J8:K8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H58:K59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J1086:K1086"/>
    <mergeCell ref="A877:C877"/>
    <mergeCell ref="A455:G455"/>
    <mergeCell ref="J27:K27"/>
    <mergeCell ref="P189:Q189"/>
    <mergeCell ref="A184:I184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J9:K9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55:K55"/>
    <mergeCell ref="A232:S232"/>
    <mergeCell ref="AB7:AD7"/>
    <mergeCell ref="J476:K476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74:K74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J54:K54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H12:K13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7:K7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J53:K53"/>
    <mergeCell ref="B729:F729"/>
    <mergeCell ref="J806:K806"/>
    <mergeCell ref="H958:L958"/>
    <mergeCell ref="J387:K387"/>
    <mergeCell ref="J871:S871"/>
    <mergeCell ref="J343:K343"/>
    <mergeCell ref="G863:K863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J73:K73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  <rowBreaks count="26" manualBreakCount="26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4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</rowBreaks>
  <colBreaks count="1" manualBreakCount="1">
    <brk id="19" min="0" max="1199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43"/>
  <sheetViews>
    <sheetView view="pageBreakPreview" topLeftCell="A65" zoomScaleNormal="115" zoomScaleSheetLayoutView="100" workbookViewId="0">
      <selection activeCell="H74" sqref="H74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18</v>
      </c>
      <c r="E3" s="254" t="inlineStr">
        <is>
          <t xml:space="preserve">   เดือน  </t>
        </is>
      </c>
      <c r="F3" s="254" t="inlineStr">
        <is>
          <t>ธันวาคม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22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inlineStr">
        <is>
          <t>นางสาวปาจารีย์  กฐินทอง</t>
        </is>
      </c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10</v>
      </c>
      <c r="G7" s="303" t="inlineStr">
        <is>
          <t>จันทร์</t>
        </is>
      </c>
      <c r="H7" s="332" t="inlineStr">
        <is>
          <t>30101-2607</t>
        </is>
      </c>
      <c r="I7" s="325" t="inlineStr">
        <is>
          <t>ปวส.2/5 สยฟ. (ม.6)</t>
        </is>
      </c>
      <c r="J7" s="332" t="inlineStr">
        <is>
          <t>08.10-12.10</t>
        </is>
      </c>
      <c r="K7" s="335" t="n"/>
      <c r="L7" s="265" t="n"/>
      <c r="M7" s="332" t="n"/>
      <c r="N7" s="332" t="n"/>
      <c r="O7" s="244">
        <f>M7*N7</f>
        <v/>
      </c>
      <c r="P7" s="332" t="n"/>
      <c r="Q7" s="265" t="n">
        <v>4</v>
      </c>
      <c r="R7" s="332" t="n">
        <v>270</v>
      </c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18 ธ.ค.66</t>
        </is>
      </c>
      <c r="H8" s="325" t="inlineStr">
        <is>
          <t>30143-2005</t>
        </is>
      </c>
      <c r="I8" s="325" t="inlineStr">
        <is>
          <t>ปวส.1/2 สยฟ. (ทวิ)</t>
        </is>
      </c>
      <c r="J8" s="325" t="inlineStr">
        <is>
          <t>14.10-19.10</t>
        </is>
      </c>
      <c r="K8" s="331" t="n"/>
      <c r="L8" s="252" t="n"/>
      <c r="M8" s="252" t="n"/>
      <c r="N8" s="252" t="n"/>
      <c r="O8" s="244">
        <f>M8*N8</f>
        <v/>
      </c>
      <c r="P8" s="252" t="n">
        <v>5</v>
      </c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325" t="n"/>
      <c r="I9" s="325" t="n"/>
      <c r="J9" s="325" t="n"/>
      <c r="K9" s="331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325" t="n"/>
      <c r="I12" s="325" t="n"/>
      <c r="J12" s="332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19 ธ.ค.66</t>
        </is>
      </c>
      <c r="H13" s="325" t="n"/>
      <c r="I13" s="325" t="n"/>
      <c r="J13" s="252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/>
      <c r="Q17" s="265" t="n">
        <v>4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20 ธ.ค.66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/>
      <c r="Q22" s="275" t="n">
        <v>4</v>
      </c>
      <c r="R22" s="275" t="n">
        <v>270</v>
      </c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21 ธ.ค.66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325" t="inlineStr">
        <is>
          <t>30143-2005</t>
        </is>
      </c>
      <c r="I27" s="325" t="inlineStr">
        <is>
          <t>ปวส.1/1 สยฟ. (ทวิ)</t>
        </is>
      </c>
      <c r="J27" s="332" t="inlineStr">
        <is>
          <t>08.10-12.10</t>
        </is>
      </c>
      <c r="K27" s="335" t="n"/>
      <c r="L27" s="265" t="n"/>
      <c r="M27" s="252" t="n"/>
      <c r="N27" s="252" t="n"/>
      <c r="O27" s="244">
        <f>M27*N27</f>
        <v/>
      </c>
      <c r="P27" s="332" t="n">
        <v>4</v>
      </c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22 ธ.ค.66</t>
        </is>
      </c>
      <c r="H28" s="325" t="inlineStr">
        <is>
          <t>30143-2005</t>
        </is>
      </c>
      <c r="I28" s="325" t="inlineStr">
        <is>
          <t>ปวส.1/1 สยฟ. (ทวิ)</t>
        </is>
      </c>
      <c r="J28" s="252" t="inlineStr">
        <is>
          <t>13.10-14.10</t>
        </is>
      </c>
      <c r="K28" s="331" t="n"/>
      <c r="L28" s="252" t="n"/>
      <c r="M28" s="252" t="n"/>
      <c r="N28" s="252" t="n"/>
      <c r="O28" s="244">
        <f>M28*N28</f>
        <v/>
      </c>
      <c r="P28" s="252" t="n">
        <v>1</v>
      </c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25  เดือน ธันวาคม  พ.ศ.2566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>
        <f>AB4</f>
        <v/>
      </c>
      <c r="C53" s="334" t="n"/>
      <c r="D53" s="335" t="n"/>
      <c r="E53" s="275" t="inlineStr">
        <is>
          <t>พนักงาน</t>
        </is>
      </c>
      <c r="F53" s="6">
        <f>F7</f>
        <v/>
      </c>
      <c r="G53" s="303" t="inlineStr">
        <is>
          <t>จันทร์</t>
        </is>
      </c>
      <c r="H53" s="332" t="inlineStr">
        <is>
          <t>20101-8501</t>
        </is>
      </c>
      <c r="I53" s="325" t="inlineStr">
        <is>
          <t>ปวช.3/9,10 ชย. (ทวิ)</t>
        </is>
      </c>
      <c r="J53" s="488" t="inlineStr">
        <is>
          <t>15.10-19.10</t>
        </is>
      </c>
      <c r="K53" s="331" t="n"/>
      <c r="L53" s="265" t="n">
        <v>4</v>
      </c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325" t="n"/>
      <c r="I54" s="325" t="n"/>
      <c r="J54" s="252" t="n"/>
      <c r="K54" s="331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252" t="n"/>
      <c r="I55" s="325" t="n"/>
      <c r="J55" s="325" t="n"/>
      <c r="K55" s="331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332" t="inlineStr">
        <is>
          <t>20143-2002</t>
        </is>
      </c>
      <c r="I58" s="325" t="inlineStr">
        <is>
          <t>ปวช.1/1 ชยฟ. (ปกติ)</t>
        </is>
      </c>
      <c r="J58" s="332" t="inlineStr">
        <is>
          <t>08.10-12.10</t>
        </is>
      </c>
      <c r="K58" s="335" t="n"/>
      <c r="L58" s="265" t="n"/>
      <c r="M58" s="332" t="n">
        <v>4</v>
      </c>
      <c r="N58" s="332" t="n">
        <v>200</v>
      </c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325" t="inlineStr">
        <is>
          <t>20143-2002</t>
        </is>
      </c>
      <c r="I59" s="325" t="inlineStr">
        <is>
          <t>ปวช.1/1 ชยฟ. (ปกติ)</t>
        </is>
      </c>
      <c r="J59" s="488" t="inlineStr">
        <is>
          <t>13.10-16.10</t>
        </is>
      </c>
      <c r="K59" s="331" t="n"/>
      <c r="L59" s="252" t="n">
        <v>3</v>
      </c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inlineStr">
        <is>
          <t>20101-2008</t>
        </is>
      </c>
      <c r="I63" s="325" t="inlineStr">
        <is>
          <t>ปวช.3/10 ชย. (ทวิ)</t>
        </is>
      </c>
      <c r="J63" s="332" t="inlineStr">
        <is>
          <t>08.10-12.10</t>
        </is>
      </c>
      <c r="K63" s="335" t="n"/>
      <c r="L63" s="332" t="n"/>
      <c r="M63" s="332" t="n">
        <v>4</v>
      </c>
      <c r="N63" s="332" t="n">
        <v>200</v>
      </c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inlineStr">
        <is>
          <t>20101-2008</t>
        </is>
      </c>
      <c r="I68" s="325" t="inlineStr">
        <is>
          <t>ปวช.1/8 ชย. (ปกติ)</t>
        </is>
      </c>
      <c r="J68" s="332" t="inlineStr">
        <is>
          <t>08.10-12.10</t>
        </is>
      </c>
      <c r="K68" s="335" t="n"/>
      <c r="L68" s="252" t="n"/>
      <c r="M68" s="252" t="n">
        <v>4</v>
      </c>
      <c r="N68" s="252" t="n">
        <v>200</v>
      </c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inlineStr">
        <is>
          <t>20000-2002</t>
        </is>
      </c>
      <c r="I69" s="325" t="inlineStr">
        <is>
          <t>ปวช.1/7,8 ชย. (ปกติ)</t>
        </is>
      </c>
      <c r="J69" s="488" t="inlineStr">
        <is>
          <t>13.10-15.10</t>
        </is>
      </c>
      <c r="K69" s="331" t="n"/>
      <c r="L69" s="252" t="n">
        <v>2</v>
      </c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inlineStr">
        <is>
          <t>20143-2004</t>
        </is>
      </c>
      <c r="I70" s="325" t="inlineStr">
        <is>
          <t>ปวช.1/1 ชยฟ. (ปกติ)</t>
        </is>
      </c>
      <c r="J70" s="488" t="inlineStr">
        <is>
          <t>15.10-19.10</t>
        </is>
      </c>
      <c r="K70" s="331" t="n"/>
      <c r="L70" s="325" t="n">
        <v>4</v>
      </c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332" t="inlineStr">
        <is>
          <t>20143-2102</t>
        </is>
      </c>
      <c r="I73" s="325" t="inlineStr">
        <is>
          <t>ปวช.1/1 ชยฟ. (ปกติ)</t>
        </is>
      </c>
      <c r="J73" s="332" t="inlineStr">
        <is>
          <t>08.10-12.10</t>
        </is>
      </c>
      <c r="K73" s="335" t="n"/>
      <c r="L73" s="252" t="n">
        <v>4</v>
      </c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325" t="inlineStr">
        <is>
          <t>20143-2102</t>
        </is>
      </c>
      <c r="I74" s="325" t="inlineStr">
        <is>
          <t>ปวช.1/1 ชยฟ. (ปกติ)</t>
        </is>
      </c>
      <c r="J74" s="488" t="inlineStr">
        <is>
          <t>13.10-16.10</t>
        </is>
      </c>
      <c r="K74" s="331" t="n"/>
      <c r="L74" s="252" t="n">
        <v>3</v>
      </c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18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>
        <f>F7</f>
        <v/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>
        <f>F7</f>
        <v/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>
        <f>F7</f>
        <v/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>
        <f>F7</f>
        <v/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>
        <f>F7</f>
        <v/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>
        <f>F7</f>
        <v/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>
        <f>F7</f>
        <v/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>
        <f>F7</f>
        <v/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>
        <f>F7</f>
        <v/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>
        <f>F7</f>
        <v/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>
        <f>F7</f>
        <v/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>
        <f>F7</f>
        <v/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>
        <f>F53</f>
        <v/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>
        <f>F99</f>
        <v/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>
        <f>F145</f>
        <v/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>
        <f>F7</f>
        <v/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>
        <f>F7</f>
        <v/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>
        <f>F7</f>
        <v/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>
        <f>F7</f>
        <v/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>
        <f>F7</f>
        <v/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>
        <f>F7</f>
        <v/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>
        <f>F7</f>
        <v/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>
        <f>F7</f>
        <v/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>
        <f>F7</f>
        <v/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inlineStr">
        <is>
          <t>ส.</t>
        </is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4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J13:K1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J28:K28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J237:K237"/>
    <mergeCell ref="G540:K540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J59:K59"/>
    <mergeCell ref="J672:K672"/>
    <mergeCell ref="G1000:K1000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2:K12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J8:K8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8:K58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J1086:K1086"/>
    <mergeCell ref="A877:C877"/>
    <mergeCell ref="A455:G455"/>
    <mergeCell ref="J27:K27"/>
    <mergeCell ref="P189:Q189"/>
    <mergeCell ref="A184:I184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J9:K9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55:K55"/>
    <mergeCell ref="A232:S232"/>
    <mergeCell ref="AB7:AD7"/>
    <mergeCell ref="J476:K476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74:K74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J54:K54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7:K7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J53:K53"/>
    <mergeCell ref="B729:F729"/>
    <mergeCell ref="J806:K806"/>
    <mergeCell ref="H958:L958"/>
    <mergeCell ref="J387:K387"/>
    <mergeCell ref="J871:S871"/>
    <mergeCell ref="J343:K343"/>
    <mergeCell ref="G863:K863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J73:K73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  <rowBreaks count="26" manualBreakCount="26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4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</rowBreaks>
  <colBreaks count="1" manualBreakCount="1">
    <brk id="19" min="0" max="1199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243"/>
  <sheetViews>
    <sheetView view="pageBreakPreview" topLeftCell="A60" zoomScaleNormal="115" zoomScaleSheetLayoutView="100" workbookViewId="0">
      <selection activeCell="A86" sqref="A86:G86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25</v>
      </c>
      <c r="E3" s="254" t="inlineStr">
        <is>
          <t xml:space="preserve">   เดือน  </t>
        </is>
      </c>
      <c r="F3" s="254" t="inlineStr">
        <is>
          <t>ธันวาคม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29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inlineStr">
        <is>
          <t>นางสาวปาจารีย์  กฐินทอง</t>
        </is>
      </c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11</v>
      </c>
      <c r="G7" s="303" t="inlineStr">
        <is>
          <t>จันทร์</t>
        </is>
      </c>
      <c r="H7" s="489" t="inlineStr">
        <is>
          <t>ไปราชการ</t>
        </is>
      </c>
      <c r="I7" s="334" t="n"/>
      <c r="J7" s="334" t="n"/>
      <c r="K7" s="335" t="n"/>
      <c r="L7" s="265" t="n"/>
      <c r="M7" s="332" t="n"/>
      <c r="N7" s="332" t="n"/>
      <c r="O7" s="244">
        <f>M7*N7</f>
        <v/>
      </c>
      <c r="P7" s="332" t="n"/>
      <c r="Q7" s="265" t="n"/>
      <c r="R7" s="332" t="n"/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25 ธ.ค.66</t>
        </is>
      </c>
      <c r="H8" s="475" t="n"/>
      <c r="I8" s="471" t="n"/>
      <c r="J8" s="471" t="n"/>
      <c r="K8" s="476" t="n"/>
      <c r="L8" s="252" t="n"/>
      <c r="M8" s="252" t="n"/>
      <c r="N8" s="252" t="n"/>
      <c r="O8" s="244">
        <f>M8*N8</f>
        <v/>
      </c>
      <c r="P8" s="252" t="n"/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490" t="inlineStr">
        <is>
          <t>นายสุริยา คำอุดม สอนแทน (9 ชม.)</t>
        </is>
      </c>
      <c r="I9" s="467" t="n"/>
      <c r="J9" s="467" t="n"/>
      <c r="K9" s="362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325" t="n"/>
      <c r="I12" s="325" t="n"/>
      <c r="J12" s="332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26 ธ.ค.66</t>
        </is>
      </c>
      <c r="H13" s="325" t="n"/>
      <c r="I13" s="325" t="n"/>
      <c r="J13" s="252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>
        <v>1</v>
      </c>
      <c r="Q17" s="265" t="n">
        <v>3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27 ธ.ค.66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>
        <v>4</v>
      </c>
      <c r="Q22" s="275" t="n"/>
      <c r="R22" s="275" t="n"/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28 ธ.ค.66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486" t="inlineStr">
        <is>
          <t>หยุด</t>
        </is>
      </c>
      <c r="I27" s="334" t="n"/>
      <c r="J27" s="334" t="n"/>
      <c r="K27" s="335" t="n"/>
      <c r="L27" s="265" t="n"/>
      <c r="M27" s="252" t="n"/>
      <c r="N27" s="252" t="n"/>
      <c r="O27" s="244">
        <f>M27*N27</f>
        <v/>
      </c>
      <c r="P27" s="332" t="n"/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29 ธ.ค.66</t>
        </is>
      </c>
      <c r="H28" s="487" t="n"/>
      <c r="K28" s="331" t="n"/>
      <c r="L28" s="252" t="n"/>
      <c r="M28" s="252" t="n"/>
      <c r="N28" s="252" t="n"/>
      <c r="O28" s="244">
        <f>M28*N28</f>
        <v/>
      </c>
      <c r="P28" s="252" t="n"/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2  เดือน มกราคม  พ.ศ.2567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>
        <f>AB4</f>
        <v/>
      </c>
      <c r="C53" s="334" t="n"/>
      <c r="D53" s="335" t="n"/>
      <c r="E53" s="275" t="inlineStr">
        <is>
          <t>พนักงาน</t>
        </is>
      </c>
      <c r="F53" s="6">
        <f>F7</f>
        <v/>
      </c>
      <c r="G53" s="303" t="inlineStr">
        <is>
          <t>จันทร์</t>
        </is>
      </c>
      <c r="H53" s="489" t="inlineStr">
        <is>
          <t>ไปราชการ</t>
        </is>
      </c>
      <c r="I53" s="334" t="n"/>
      <c r="J53" s="334" t="n"/>
      <c r="K53" s="335" t="n"/>
      <c r="L53" s="265" t="n"/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475" t="n"/>
      <c r="I54" s="471" t="n"/>
      <c r="J54" s="471" t="n"/>
      <c r="K54" s="476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490" t="inlineStr">
        <is>
          <t>นายวัชรัศนิ์ ไชยศาสตร์ สอนแทน (4 ชม.)</t>
        </is>
      </c>
      <c r="I55" s="467" t="n"/>
      <c r="J55" s="467" t="n"/>
      <c r="K55" s="362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332" t="inlineStr">
        <is>
          <t>20143-2002</t>
        </is>
      </c>
      <c r="I58" s="325" t="inlineStr">
        <is>
          <t>ปวช.1/1 ชยฟ. (ปกติ)</t>
        </is>
      </c>
      <c r="J58" s="332" t="inlineStr">
        <is>
          <t>08.10-12.10</t>
        </is>
      </c>
      <c r="K58" s="335" t="n"/>
      <c r="L58" s="265" t="n">
        <v>4</v>
      </c>
      <c r="M58" s="332" t="n"/>
      <c r="N58" s="332" t="n"/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325" t="inlineStr">
        <is>
          <t>20143-2002</t>
        </is>
      </c>
      <c r="I59" s="325" t="inlineStr">
        <is>
          <t>ปวช.1/1 ชยฟ. (ปกติ)</t>
        </is>
      </c>
      <c r="J59" s="488" t="inlineStr">
        <is>
          <t>13.10-16.10</t>
        </is>
      </c>
      <c r="K59" s="331" t="n"/>
      <c r="L59" s="252" t="n">
        <v>3</v>
      </c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inlineStr">
        <is>
          <t>20101-2008</t>
        </is>
      </c>
      <c r="I63" s="325" t="inlineStr">
        <is>
          <t>ปวช.3/10 ชย. (ทวิ)</t>
        </is>
      </c>
      <c r="J63" s="332" t="inlineStr">
        <is>
          <t>08.10-12.10</t>
        </is>
      </c>
      <c r="K63" s="335" t="n"/>
      <c r="L63" s="332" t="n">
        <v>1</v>
      </c>
      <c r="M63" s="332" t="n">
        <v>3</v>
      </c>
      <c r="N63" s="332" t="n">
        <v>200</v>
      </c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inlineStr">
        <is>
          <t>20101-2008</t>
        </is>
      </c>
      <c r="I68" s="325" t="inlineStr">
        <is>
          <t>ปวช.1/8 ชย. (ปกติ)</t>
        </is>
      </c>
      <c r="J68" s="332" t="inlineStr">
        <is>
          <t>08.10-12.10</t>
        </is>
      </c>
      <c r="K68" s="335" t="n"/>
      <c r="L68" s="252" t="n">
        <v>4</v>
      </c>
      <c r="M68" s="252" t="n"/>
      <c r="N68" s="252" t="n"/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inlineStr">
        <is>
          <t>20000-2002</t>
        </is>
      </c>
      <c r="I69" s="325" t="inlineStr">
        <is>
          <t>ปวช.1/7,8 ชย. (ปกติ)</t>
        </is>
      </c>
      <c r="J69" s="488" t="inlineStr">
        <is>
          <t>13.10-15.10</t>
        </is>
      </c>
      <c r="K69" s="331" t="n"/>
      <c r="L69" s="252" t="n">
        <v>2</v>
      </c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inlineStr">
        <is>
          <t>20143-2004</t>
        </is>
      </c>
      <c r="I70" s="325" t="inlineStr">
        <is>
          <t>ปวช.1/1 ชยฟ. (ปกติ)</t>
        </is>
      </c>
      <c r="J70" s="488" t="inlineStr">
        <is>
          <t>15.10-19.10</t>
        </is>
      </c>
      <c r="K70" s="331" t="n"/>
      <c r="L70" s="325" t="n">
        <v>4</v>
      </c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486" t="inlineStr">
        <is>
          <t>หยุด</t>
        </is>
      </c>
      <c r="I73" s="334" t="n"/>
      <c r="J73" s="334" t="n"/>
      <c r="K73" s="335" t="n"/>
      <c r="L73" s="252" t="n"/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487" t="n"/>
      <c r="K74" s="331" t="n"/>
      <c r="L74" s="252" t="n"/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18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>
        <f>F7</f>
        <v/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>
        <f>F7</f>
        <v/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>
        <f>F7</f>
        <v/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>
        <f>F7</f>
        <v/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>
        <f>F7</f>
        <v/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>
        <f>F7</f>
        <v/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>
        <f>F7</f>
        <v/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>
        <f>F7</f>
        <v/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>
        <f>F7</f>
        <v/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>
        <f>F7</f>
        <v/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>
        <f>F7</f>
        <v/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>
        <f>F7</f>
        <v/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>
        <f>F53</f>
        <v/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>
        <f>F99</f>
        <v/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>
        <f>F145</f>
        <v/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>
        <f>F7</f>
        <v/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>
        <f>F7</f>
        <v/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>
        <f>F7</f>
        <v/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>
        <f>F7</f>
        <v/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>
        <f>F7</f>
        <v/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>
        <f>F7</f>
        <v/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>
        <f>F7</f>
        <v/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>
        <f>F7</f>
        <v/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>
        <f>F7</f>
        <v/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inlineStr">
        <is>
          <t>ส.</t>
        </is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0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J13:K1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H55:K55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J237:K237"/>
    <mergeCell ref="G540:K540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J59:K59"/>
    <mergeCell ref="J672:K672"/>
    <mergeCell ref="G1000:K1000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2:K12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H7:K8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8:K58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H73:K74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A877:C877"/>
    <mergeCell ref="A455:G455"/>
    <mergeCell ref="P189:Q189"/>
    <mergeCell ref="A184:I184"/>
    <mergeCell ref="J1086:K1086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476:K476"/>
    <mergeCell ref="A232:S232"/>
    <mergeCell ref="AB7:AD7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H53:K54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B729:F729"/>
    <mergeCell ref="J806:K806"/>
    <mergeCell ref="H958:L958"/>
    <mergeCell ref="J387:K387"/>
    <mergeCell ref="J871:S871"/>
    <mergeCell ref="J343:K343"/>
    <mergeCell ref="G863:K863"/>
    <mergeCell ref="H9:K9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H27:K28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  <rowBreaks count="26" manualBreakCount="26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4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</rowBreaks>
  <colBreaks count="1" manualBreakCount="1">
    <brk id="19" min="0" max="1199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7"/>
  <sheetViews>
    <sheetView tabSelected="1" view="pageBreakPreview" topLeftCell="A4" zoomScale="85" zoomScaleNormal="85" zoomScaleSheetLayoutView="85" workbookViewId="0">
      <selection activeCell="B7" sqref="B7"/>
    </sheetView>
  </sheetViews>
  <sheetFormatPr baseColWidth="8" defaultRowHeight="23.4"/>
  <cols>
    <col width="6.88671875" customWidth="1" style="330" min="1" max="1"/>
    <col width="31.88671875" customWidth="1" style="330" min="2" max="2"/>
    <col width="6.6640625" customWidth="1" style="330" min="3" max="3"/>
    <col width="13.5546875" customWidth="1" style="330" min="4" max="4"/>
    <col width="6.6640625" customWidth="1" style="330" min="5" max="5"/>
    <col width="13.5546875" customWidth="1" style="330" min="6" max="6"/>
    <col width="6.6640625" customWidth="1" style="330" min="7" max="7"/>
    <col width="13.5546875" customWidth="1" style="330" min="8" max="8"/>
    <col width="6.6640625" customWidth="1" style="330" min="9" max="9"/>
    <col width="13.5546875" customWidth="1" style="330" min="10" max="10"/>
    <col width="6.6640625" customWidth="1" style="330" min="11" max="11"/>
    <col width="13.5546875" customWidth="1" style="330" min="12" max="12"/>
    <col width="6.88671875" customWidth="1" style="330" min="13" max="13"/>
    <col width="13.5546875" customWidth="1" style="330" min="14" max="15"/>
    <col width="17.33203125" customWidth="1" style="330" min="16" max="16"/>
  </cols>
  <sheetData>
    <row r="1" ht="13.5" customHeight="1" s="330">
      <c r="A1" s="30" t="n"/>
      <c r="B1" s="30" t="n"/>
      <c r="C1" s="30" t="n"/>
      <c r="D1" s="373" t="inlineStr">
        <is>
          <t>ครูประจำ</t>
        </is>
      </c>
      <c r="I1" s="31" t="n"/>
      <c r="J1" s="30" t="n"/>
      <c r="K1" s="30" t="n"/>
      <c r="L1" s="30" t="n"/>
      <c r="M1" s="30" t="n"/>
      <c r="N1" s="30" t="n"/>
      <c r="O1" s="30" t="n"/>
      <c r="P1" s="30" t="n"/>
    </row>
    <row r="2" ht="15" customHeight="1" s="330">
      <c r="A2" s="30" t="n"/>
      <c r="B2" s="30" t="n"/>
      <c r="C2" s="30" t="n"/>
      <c r="I2" s="31" t="n"/>
      <c r="J2" s="30" t="n"/>
      <c r="K2" s="30" t="n"/>
      <c r="L2" s="30" t="n"/>
      <c r="M2" s="30" t="n"/>
      <c r="N2" s="30" t="n"/>
      <c r="O2" s="30" t="n"/>
      <c r="P2" s="30" t="n"/>
    </row>
    <row r="3" ht="15" customHeight="1" s="330">
      <c r="A3" s="30" t="n"/>
      <c r="B3" s="30" t="n"/>
      <c r="C3" s="30" t="n"/>
      <c r="D3" s="31" t="n"/>
      <c r="E3" s="31" t="n"/>
      <c r="F3" s="31" t="n"/>
      <c r="G3" s="31" t="n"/>
      <c r="H3" s="31" t="n"/>
      <c r="I3" s="31" t="n"/>
      <c r="J3" s="30" t="n"/>
      <c r="K3" s="30" t="n"/>
      <c r="L3" s="30" t="n"/>
      <c r="M3" s="30" t="n"/>
      <c r="N3" s="30" t="n"/>
      <c r="O3" s="30" t="n"/>
      <c r="P3" s="30" t="n"/>
    </row>
    <row r="4" ht="21.75" customHeight="1" s="330">
      <c r="A4" s="491" t="inlineStr">
        <is>
          <t>ลำดับ</t>
        </is>
      </c>
      <c r="B4" s="492" t="inlineStr">
        <is>
          <t>ชื่อ-สกุล</t>
        </is>
      </c>
      <c r="C4" s="493" t="n">
        <v>1</v>
      </c>
      <c r="D4" s="362" t="n"/>
      <c r="E4" s="493" t="n">
        <v>2</v>
      </c>
      <c r="F4" s="362" t="n"/>
      <c r="G4" s="493" t="n">
        <v>3</v>
      </c>
      <c r="H4" s="362" t="n"/>
      <c r="I4" s="493" t="n">
        <v>4</v>
      </c>
      <c r="J4" s="362" t="n"/>
      <c r="K4" s="493" t="n">
        <v>5</v>
      </c>
      <c r="L4" s="362" t="n"/>
      <c r="M4" s="493" t="n">
        <v>6</v>
      </c>
      <c r="N4" s="362" t="n"/>
      <c r="O4" s="492" t="inlineStr">
        <is>
          <t>รวม / ชม.</t>
        </is>
      </c>
      <c r="P4" s="492" t="inlineStr">
        <is>
          <t>รวม</t>
        </is>
      </c>
    </row>
    <row r="5" ht="21.75" customHeight="1" s="330">
      <c r="A5" s="474" t="n"/>
      <c r="B5" s="474" t="n"/>
      <c r="C5" s="32" t="inlineStr">
        <is>
          <t>ชม/ส</t>
        </is>
      </c>
      <c r="D5" s="32" t="inlineStr">
        <is>
          <t>เงิน</t>
        </is>
      </c>
      <c r="E5" s="32" t="inlineStr">
        <is>
          <t>ชม/ส</t>
        </is>
      </c>
      <c r="F5" s="32" t="inlineStr">
        <is>
          <t>เงิน</t>
        </is>
      </c>
      <c r="G5" s="32" t="inlineStr">
        <is>
          <t>ชม/ส</t>
        </is>
      </c>
      <c r="H5" s="32" t="inlineStr">
        <is>
          <t>เงิน</t>
        </is>
      </c>
      <c r="I5" s="32" t="inlineStr">
        <is>
          <t>ชม/ส</t>
        </is>
      </c>
      <c r="J5" s="32" t="inlineStr">
        <is>
          <t>เงิน</t>
        </is>
      </c>
      <c r="K5" s="32" t="n">
        <v>5</v>
      </c>
      <c r="L5" s="32" t="inlineStr">
        <is>
          <t>เงิน</t>
        </is>
      </c>
      <c r="M5" s="32" t="inlineStr">
        <is>
          <t>ชม/ส</t>
        </is>
      </c>
      <c r="N5" s="32" t="inlineStr">
        <is>
          <t>เงิน</t>
        </is>
      </c>
      <c r="O5" s="474" t="n"/>
      <c r="P5" s="474" t="n"/>
    </row>
    <row r="6" ht="21.75" customHeight="1" s="330">
      <c r="A6" s="33" t="n">
        <v>1</v>
      </c>
      <c r="B6" s="34">
        <f>#REF!</f>
        <v/>
      </c>
      <c r="C6" s="34">
        <f>'สัปดาห์ที่ 1'!AE3</f>
        <v/>
      </c>
      <c r="D6" s="35">
        <f>'สัปดาห์ที่ 1'!AH3</f>
        <v/>
      </c>
      <c r="E6" s="155">
        <f>'สัปดาห์ที่ 2'!AE3</f>
        <v/>
      </c>
      <c r="F6" s="35">
        <f>'สัปดาห์ที่ 2'!AH3</f>
        <v/>
      </c>
      <c r="G6" s="155">
        <f>'สัปดาห์ที่ 3'!AE3</f>
        <v/>
      </c>
      <c r="H6" s="35">
        <f>'สัปดาห์ที่ 3'!AH3</f>
        <v/>
      </c>
      <c r="I6" s="155">
        <f>'สัปดาห์ที่ 4'!AE3</f>
        <v/>
      </c>
      <c r="J6" s="35">
        <f>'สัปดาห์ที่ 4'!AH3</f>
        <v/>
      </c>
      <c r="K6" s="35">
        <f>'สัปดาห์ที่ 5'!AE3</f>
        <v/>
      </c>
      <c r="L6" s="35">
        <f>'สัปดาห์ที่ 5'!AH3</f>
        <v/>
      </c>
      <c r="M6" s="35" t="n">
        <v>0</v>
      </c>
      <c r="N6" s="35" t="n">
        <v>0</v>
      </c>
      <c r="O6" s="35">
        <f>C6+E6+G6+I6+K6+M6</f>
        <v/>
      </c>
      <c r="P6" s="35">
        <f>D6+F6+H6+J6+L6+N6</f>
        <v/>
      </c>
    </row>
    <row r="7" ht="21.75" customHeight="1" s="330">
      <c r="A7" s="33" t="n">
        <v>2</v>
      </c>
      <c r="B7" s="34">
        <f>#REF!</f>
        <v/>
      </c>
      <c r="C7" s="34">
        <f>'สัปดาห์ที่ 1'!AE4</f>
        <v/>
      </c>
      <c r="D7" s="35">
        <f>'สัปดาห์ที่ 1'!AH4</f>
        <v/>
      </c>
      <c r="E7" s="155">
        <f>'สัปดาห์ที่ 2'!AE4</f>
        <v/>
      </c>
      <c r="F7" s="35">
        <f>'สัปดาห์ที่ 2'!AH4</f>
        <v/>
      </c>
      <c r="G7" s="155">
        <f>'สัปดาห์ที่ 3'!AE4</f>
        <v/>
      </c>
      <c r="H7" s="35">
        <f>'สัปดาห์ที่ 3'!AH4</f>
        <v/>
      </c>
      <c r="I7" s="155">
        <f>'สัปดาห์ที่ 4'!AE4</f>
        <v/>
      </c>
      <c r="J7" s="35">
        <f>'สัปดาห์ที่ 4'!AH4</f>
        <v/>
      </c>
      <c r="K7" s="35">
        <f>'สัปดาห์ที่ 5'!AE4</f>
        <v/>
      </c>
      <c r="L7" s="35">
        <f>'สัปดาห์ที่ 5'!AH4</f>
        <v/>
      </c>
      <c r="M7" s="35" t="n">
        <v>0</v>
      </c>
      <c r="N7" s="35" t="n">
        <v>0</v>
      </c>
      <c r="O7" s="35">
        <f>C7+E7+G7+I7+K7</f>
        <v/>
      </c>
      <c r="P7" s="35">
        <f>D7+F7+H7+J7+L7</f>
        <v/>
      </c>
    </row>
    <row r="8" ht="21.75" customHeight="1" s="330">
      <c r="A8" s="33" t="n">
        <v>3</v>
      </c>
      <c r="B8" s="34">
        <f>#REF!</f>
        <v/>
      </c>
      <c r="C8" s="34">
        <f>'สัปดาห์ที่ 1'!AE5</f>
        <v/>
      </c>
      <c r="D8" s="35">
        <f>'สัปดาห์ที่ 1'!AH5</f>
        <v/>
      </c>
      <c r="E8" s="155">
        <f>'สัปดาห์ที่ 2'!AE5</f>
        <v/>
      </c>
      <c r="F8" s="35">
        <f>'สัปดาห์ที่ 2'!AH5</f>
        <v/>
      </c>
      <c r="G8" s="155">
        <f>'สัปดาห์ที่ 3'!AE5</f>
        <v/>
      </c>
      <c r="H8" s="35">
        <f>'สัปดาห์ที่ 3'!AH5</f>
        <v/>
      </c>
      <c r="I8" s="155">
        <f>'สัปดาห์ที่ 4'!AE5</f>
        <v/>
      </c>
      <c r="J8" s="35">
        <f>'สัปดาห์ที่ 4'!AH5</f>
        <v/>
      </c>
      <c r="K8" s="35">
        <f>'สัปดาห์ที่ 5'!AE5</f>
        <v/>
      </c>
      <c r="L8" s="35">
        <f>'สัปดาห์ที่ 5'!AH5</f>
        <v/>
      </c>
      <c r="M8" s="35" t="n">
        <v>0</v>
      </c>
      <c r="N8" s="35" t="n">
        <v>0</v>
      </c>
      <c r="O8" s="35">
        <f>C8+E8+G8+I8+K8</f>
        <v/>
      </c>
      <c r="P8" s="35">
        <f>D8+F8+H8+J8+L8</f>
        <v/>
      </c>
    </row>
    <row r="9" ht="21.75" customHeight="1" s="330">
      <c r="A9" s="33" t="n">
        <v>4</v>
      </c>
      <c r="B9" s="34">
        <f>#REF!</f>
        <v/>
      </c>
      <c r="C9" s="34">
        <f>'สัปดาห์ที่ 1'!AE6</f>
        <v/>
      </c>
      <c r="D9" s="35">
        <f>'สัปดาห์ที่ 1'!AH6</f>
        <v/>
      </c>
      <c r="E9" s="155">
        <f>'สัปดาห์ที่ 2'!AE6</f>
        <v/>
      </c>
      <c r="F9" s="35">
        <f>'สัปดาห์ที่ 2'!AH6</f>
        <v/>
      </c>
      <c r="G9" s="155">
        <f>'สัปดาห์ที่ 3'!AE6</f>
        <v/>
      </c>
      <c r="H9" s="35">
        <f>'สัปดาห์ที่ 3'!AH6</f>
        <v/>
      </c>
      <c r="I9" s="155">
        <f>'สัปดาห์ที่ 4'!AE6</f>
        <v/>
      </c>
      <c r="J9" s="35">
        <f>'สัปดาห์ที่ 4'!AH6</f>
        <v/>
      </c>
      <c r="K9" s="35">
        <f>'สัปดาห์ที่ 5'!AE6</f>
        <v/>
      </c>
      <c r="L9" s="35">
        <f>'สัปดาห์ที่ 5'!AH6</f>
        <v/>
      </c>
      <c r="M9" s="35" t="n">
        <v>0</v>
      </c>
      <c r="N9" s="35" t="n">
        <v>0</v>
      </c>
      <c r="O9" s="35">
        <f>C9+E9+G9+I9+K9</f>
        <v/>
      </c>
      <c r="P9" s="35">
        <f>D9+F9+H9+J9+L9</f>
        <v/>
      </c>
    </row>
    <row r="10" ht="21.75" customHeight="1" s="330">
      <c r="A10" s="33" t="n">
        <v>5</v>
      </c>
      <c r="B10" s="34">
        <f>#REF!</f>
        <v/>
      </c>
      <c r="C10" s="34">
        <f>'สัปดาห์ที่ 1'!AE7</f>
        <v/>
      </c>
      <c r="D10" s="35">
        <f>'สัปดาห์ที่ 1'!AH7</f>
        <v/>
      </c>
      <c r="E10" s="155">
        <f>'สัปดาห์ที่ 2'!AE7</f>
        <v/>
      </c>
      <c r="F10" s="35">
        <f>'สัปดาห์ที่ 2'!AH7</f>
        <v/>
      </c>
      <c r="G10" s="155">
        <f>'สัปดาห์ที่ 3'!AE7</f>
        <v/>
      </c>
      <c r="H10" s="35">
        <f>'สัปดาห์ที่ 3'!AH7</f>
        <v/>
      </c>
      <c r="I10" s="155">
        <f>'สัปดาห์ที่ 4'!AE7</f>
        <v/>
      </c>
      <c r="J10" s="35">
        <f>'สัปดาห์ที่ 4'!AH7</f>
        <v/>
      </c>
      <c r="K10" s="35">
        <f>'สัปดาห์ที่ 5'!AE7</f>
        <v/>
      </c>
      <c r="L10" s="35">
        <f>'สัปดาห์ที่ 5'!AH7</f>
        <v/>
      </c>
      <c r="M10" s="35" t="n">
        <v>0</v>
      </c>
      <c r="N10" s="35" t="n">
        <v>0</v>
      </c>
      <c r="O10" s="35">
        <f>C10+E10+G10+I10+K10</f>
        <v/>
      </c>
      <c r="P10" s="35">
        <f>D10+F10+H10+J10+L10</f>
        <v/>
      </c>
    </row>
    <row r="11" ht="21.75" customHeight="1" s="330">
      <c r="A11" s="33" t="n">
        <v>6</v>
      </c>
      <c r="B11" s="34">
        <f>#REF!</f>
        <v/>
      </c>
      <c r="C11" s="34">
        <f>'สัปดาห์ที่ 1'!AE8</f>
        <v/>
      </c>
      <c r="D11" s="35">
        <f>'สัปดาห์ที่ 1'!AH8</f>
        <v/>
      </c>
      <c r="E11" s="155">
        <f>'สัปดาห์ที่ 2'!AE8</f>
        <v/>
      </c>
      <c r="F11" s="35">
        <f>'สัปดาห์ที่ 2'!AH8</f>
        <v/>
      </c>
      <c r="G11" s="155">
        <f>'สัปดาห์ที่ 3'!AE8</f>
        <v/>
      </c>
      <c r="H11" s="35">
        <f>'สัปดาห์ที่ 3'!AH8</f>
        <v/>
      </c>
      <c r="I11" s="155">
        <f>'สัปดาห์ที่ 4'!AE8</f>
        <v/>
      </c>
      <c r="J11" s="35">
        <f>'สัปดาห์ที่ 4'!AH8</f>
        <v/>
      </c>
      <c r="K11" s="35">
        <f>'สัปดาห์ที่ 5'!AE8</f>
        <v/>
      </c>
      <c r="L11" s="35">
        <f>'สัปดาห์ที่ 5'!AH8</f>
        <v/>
      </c>
      <c r="M11" s="35" t="n">
        <v>0</v>
      </c>
      <c r="N11" s="35" t="n">
        <v>0</v>
      </c>
      <c r="O11" s="35">
        <f>C11+E11+G11+I11+K11</f>
        <v/>
      </c>
      <c r="P11" s="35">
        <f>D11+F11+H11+J11+L11</f>
        <v/>
      </c>
    </row>
    <row r="12" ht="21.75" customHeight="1" s="330">
      <c r="A12" s="33" t="n">
        <v>7</v>
      </c>
      <c r="B12" s="34">
        <f>#REF!</f>
        <v/>
      </c>
      <c r="C12" s="34">
        <f>'สัปดาห์ที่ 1'!AE9</f>
        <v/>
      </c>
      <c r="D12" s="35">
        <f>'สัปดาห์ที่ 1'!AH9</f>
        <v/>
      </c>
      <c r="E12" s="155">
        <f>'สัปดาห์ที่ 2'!AE9</f>
        <v/>
      </c>
      <c r="F12" s="35">
        <f>'สัปดาห์ที่ 2'!AH9</f>
        <v/>
      </c>
      <c r="G12" s="155">
        <f>'สัปดาห์ที่ 3'!AE9</f>
        <v/>
      </c>
      <c r="H12" s="35">
        <f>'สัปดาห์ที่ 3'!AH9</f>
        <v/>
      </c>
      <c r="I12" s="155">
        <f>'สัปดาห์ที่ 4'!AE9</f>
        <v/>
      </c>
      <c r="J12" s="35">
        <f>'สัปดาห์ที่ 4'!AH9</f>
        <v/>
      </c>
      <c r="K12" s="35">
        <f>'สัปดาห์ที่ 5'!AE9</f>
        <v/>
      </c>
      <c r="L12" s="35">
        <f>'สัปดาห์ที่ 5'!AH9</f>
        <v/>
      </c>
      <c r="M12" s="35" t="n">
        <v>0</v>
      </c>
      <c r="N12" s="35" t="n">
        <v>0</v>
      </c>
      <c r="O12" s="35">
        <f>C12+E12+G12+I12+K12</f>
        <v/>
      </c>
      <c r="P12" s="35">
        <f>D12+F12+H12+J12+L12</f>
        <v/>
      </c>
    </row>
    <row r="13" ht="21.75" customHeight="1" s="330">
      <c r="A13" s="33" t="n">
        <v>8</v>
      </c>
      <c r="B13" s="34">
        <f>#REF!</f>
        <v/>
      </c>
      <c r="C13" s="34">
        <f>'สัปดาห์ที่ 1'!AE10</f>
        <v/>
      </c>
      <c r="D13" s="35">
        <f>'สัปดาห์ที่ 1'!AH10</f>
        <v/>
      </c>
      <c r="E13" s="155">
        <f>'สัปดาห์ที่ 2'!AE10</f>
        <v/>
      </c>
      <c r="F13" s="35">
        <f>'สัปดาห์ที่ 2'!AH10</f>
        <v/>
      </c>
      <c r="G13" s="155">
        <f>'สัปดาห์ที่ 3'!AE10</f>
        <v/>
      </c>
      <c r="H13" s="35">
        <f>'สัปดาห์ที่ 3'!AH10</f>
        <v/>
      </c>
      <c r="I13" s="155">
        <f>'สัปดาห์ที่ 4'!AE10</f>
        <v/>
      </c>
      <c r="J13" s="35">
        <f>'สัปดาห์ที่ 4'!AH10</f>
        <v/>
      </c>
      <c r="K13" s="35">
        <f>'สัปดาห์ที่ 5'!AE10</f>
        <v/>
      </c>
      <c r="L13" s="35">
        <f>'สัปดาห์ที่ 5'!AH10</f>
        <v/>
      </c>
      <c r="M13" s="35" t="n">
        <v>0</v>
      </c>
      <c r="N13" s="35" t="n">
        <v>0</v>
      </c>
      <c r="O13" s="35">
        <f>C13+E13+G13+I13+K13</f>
        <v/>
      </c>
      <c r="P13" s="35">
        <f>D13+F13+H13+J13+L13</f>
        <v/>
      </c>
    </row>
    <row r="14" ht="21.75" customHeight="1" s="330">
      <c r="A14" s="33" t="n">
        <v>9</v>
      </c>
      <c r="B14" s="34">
        <f>#REF!</f>
        <v/>
      </c>
      <c r="C14" s="34">
        <f>'สัปดาห์ที่ 1'!AE11</f>
        <v/>
      </c>
      <c r="D14" s="35">
        <f>'สัปดาห์ที่ 1'!AH11</f>
        <v/>
      </c>
      <c r="E14" s="155">
        <f>'สัปดาห์ที่ 2'!AE11</f>
        <v/>
      </c>
      <c r="F14" s="35">
        <f>'สัปดาห์ที่ 2'!AH11</f>
        <v/>
      </c>
      <c r="G14" s="155">
        <f>'สัปดาห์ที่ 3'!AE11</f>
        <v/>
      </c>
      <c r="H14" s="35">
        <f>'สัปดาห์ที่ 3'!AH11</f>
        <v/>
      </c>
      <c r="I14" s="155">
        <f>'สัปดาห์ที่ 4'!AE11</f>
        <v/>
      </c>
      <c r="J14" s="35">
        <f>'สัปดาห์ที่ 4'!AH11</f>
        <v/>
      </c>
      <c r="K14" s="35">
        <f>'สัปดาห์ที่ 5'!AE11</f>
        <v/>
      </c>
      <c r="L14" s="35">
        <f>'สัปดาห์ที่ 5'!AH11</f>
        <v/>
      </c>
      <c r="M14" s="35" t="n">
        <v>0</v>
      </c>
      <c r="N14" s="35" t="n">
        <v>0</v>
      </c>
      <c r="O14" s="35">
        <f>C14+E14+G14+I14+K14</f>
        <v/>
      </c>
      <c r="P14" s="35">
        <f>D14+F14+H14+J14+L14</f>
        <v/>
      </c>
    </row>
    <row r="15" ht="21.75" customHeight="1" s="330">
      <c r="A15" s="33" t="n">
        <v>10</v>
      </c>
      <c r="B15" s="34">
        <f>#REF!</f>
        <v/>
      </c>
      <c r="C15" s="34">
        <f>'สัปดาห์ที่ 1'!AE12</f>
        <v/>
      </c>
      <c r="D15" s="35">
        <f>'สัปดาห์ที่ 1'!AH12</f>
        <v/>
      </c>
      <c r="E15" s="155">
        <f>'สัปดาห์ที่ 2'!AE12</f>
        <v/>
      </c>
      <c r="F15" s="35">
        <f>'สัปดาห์ที่ 2'!AH12</f>
        <v/>
      </c>
      <c r="G15" s="155">
        <f>'สัปดาห์ที่ 3'!AE12</f>
        <v/>
      </c>
      <c r="H15" s="35">
        <f>'สัปดาห์ที่ 3'!AH12</f>
        <v/>
      </c>
      <c r="I15" s="155">
        <f>'สัปดาห์ที่ 4'!AE12</f>
        <v/>
      </c>
      <c r="J15" s="35">
        <f>'สัปดาห์ที่ 4'!AH12</f>
        <v/>
      </c>
      <c r="K15" s="35">
        <f>'สัปดาห์ที่ 5'!AE12</f>
        <v/>
      </c>
      <c r="L15" s="35">
        <f>'สัปดาห์ที่ 5'!AH12</f>
        <v/>
      </c>
      <c r="M15" s="35" t="n">
        <v>0</v>
      </c>
      <c r="N15" s="35" t="n">
        <v>0</v>
      </c>
      <c r="O15" s="35">
        <f>C15+E15+G15+I15+K15</f>
        <v/>
      </c>
      <c r="P15" s="35">
        <f>D15+F15+H15+J15+L15</f>
        <v/>
      </c>
    </row>
    <row r="16" ht="21.75" customHeight="1" s="330">
      <c r="A16" s="33" t="n">
        <v>11</v>
      </c>
      <c r="B16" s="34">
        <f>#REF!</f>
        <v/>
      </c>
      <c r="C16" s="34">
        <f>'สัปดาห์ที่ 1'!AE13</f>
        <v/>
      </c>
      <c r="D16" s="35">
        <f>'สัปดาห์ที่ 1'!AH13</f>
        <v/>
      </c>
      <c r="E16" s="155">
        <f>'สัปดาห์ที่ 2'!AE13</f>
        <v/>
      </c>
      <c r="F16" s="35">
        <f>'สัปดาห์ที่ 2'!AH13</f>
        <v/>
      </c>
      <c r="G16" s="155">
        <f>'สัปดาห์ที่ 3'!AE13</f>
        <v/>
      </c>
      <c r="H16" s="35">
        <f>'สัปดาห์ที่ 3'!AH13</f>
        <v/>
      </c>
      <c r="I16" s="155">
        <f>'สัปดาห์ที่ 4'!AE13</f>
        <v/>
      </c>
      <c r="J16" s="35">
        <f>'สัปดาห์ที่ 4'!AH13</f>
        <v/>
      </c>
      <c r="K16" s="35">
        <f>'สัปดาห์ที่ 5'!AE13</f>
        <v/>
      </c>
      <c r="L16" s="35">
        <f>'สัปดาห์ที่ 5'!AH13</f>
        <v/>
      </c>
      <c r="M16" s="35" t="n">
        <v>0</v>
      </c>
      <c r="N16" s="35" t="n">
        <v>0</v>
      </c>
      <c r="O16" s="35">
        <f>C16+E16+G16+I16+K16</f>
        <v/>
      </c>
      <c r="P16" s="35">
        <f>D16+F16+H16+J16+L16</f>
        <v/>
      </c>
    </row>
    <row r="17" ht="21.75" customHeight="1" s="330">
      <c r="A17" s="33" t="n">
        <v>12</v>
      </c>
      <c r="B17" s="34">
        <f>#REF!</f>
        <v/>
      </c>
      <c r="C17" s="34">
        <f>'สัปดาห์ที่ 1'!AE14</f>
        <v/>
      </c>
      <c r="D17" s="35">
        <f>'สัปดาห์ที่ 1'!AH14</f>
        <v/>
      </c>
      <c r="E17" s="155">
        <f>'สัปดาห์ที่ 2'!AE14</f>
        <v/>
      </c>
      <c r="F17" s="35">
        <f>'สัปดาห์ที่ 2'!AH14</f>
        <v/>
      </c>
      <c r="G17" s="155">
        <f>'สัปดาห์ที่ 3'!AE14</f>
        <v/>
      </c>
      <c r="H17" s="35">
        <f>'สัปดาห์ที่ 3'!AH14</f>
        <v/>
      </c>
      <c r="I17" s="155">
        <f>'สัปดาห์ที่ 4'!AE14</f>
        <v/>
      </c>
      <c r="J17" s="35">
        <f>'สัปดาห์ที่ 4'!AH14</f>
        <v/>
      </c>
      <c r="K17" s="35">
        <f>'สัปดาห์ที่ 5'!AE14</f>
        <v/>
      </c>
      <c r="L17" s="35">
        <f>'สัปดาห์ที่ 5'!AH14</f>
        <v/>
      </c>
      <c r="M17" s="35" t="n">
        <v>0</v>
      </c>
      <c r="N17" s="35" t="n">
        <v>0</v>
      </c>
      <c r="O17" s="35">
        <f>C17+E17+G17+I17+K17</f>
        <v/>
      </c>
      <c r="P17" s="35">
        <f>D17+F17+H17+J17+L17</f>
        <v/>
      </c>
    </row>
    <row r="18" ht="21.75" customHeight="1" s="330">
      <c r="A18" s="33" t="n">
        <v>13</v>
      </c>
      <c r="B18" s="34">
        <f>#REF!</f>
        <v/>
      </c>
      <c r="C18" s="34">
        <f>'สัปดาห์ที่ 1'!AE15</f>
        <v/>
      </c>
      <c r="D18" s="35">
        <f>'สัปดาห์ที่ 1'!AH15</f>
        <v/>
      </c>
      <c r="E18" s="155">
        <f>'สัปดาห์ที่ 2'!AE15</f>
        <v/>
      </c>
      <c r="F18" s="35">
        <f>'สัปดาห์ที่ 2'!AH15</f>
        <v/>
      </c>
      <c r="G18" s="155">
        <f>'สัปดาห์ที่ 3'!AE15</f>
        <v/>
      </c>
      <c r="H18" s="35">
        <f>'สัปดาห์ที่ 3'!AH15</f>
        <v/>
      </c>
      <c r="I18" s="155">
        <f>'สัปดาห์ที่ 4'!AE15</f>
        <v/>
      </c>
      <c r="J18" s="35">
        <f>'สัปดาห์ที่ 4'!AH15</f>
        <v/>
      </c>
      <c r="K18" s="35">
        <f>'สัปดาห์ที่ 5'!AE15</f>
        <v/>
      </c>
      <c r="L18" s="35">
        <f>'สัปดาห์ที่ 5'!AH15</f>
        <v/>
      </c>
      <c r="M18" s="35" t="n">
        <v>0</v>
      </c>
      <c r="N18" s="35" t="n">
        <v>0</v>
      </c>
      <c r="O18" s="35">
        <f>C18+E18+G18+I18+K18</f>
        <v/>
      </c>
      <c r="P18" s="35">
        <f>D18+F18+H18+J18+L18</f>
        <v/>
      </c>
    </row>
    <row r="19" ht="21.75" customHeight="1" s="330">
      <c r="A19" s="33" t="n">
        <v>14</v>
      </c>
      <c r="B19" s="34">
        <f>#REF!</f>
        <v/>
      </c>
      <c r="C19" s="34">
        <f>'สัปดาห์ที่ 1'!AE16</f>
        <v/>
      </c>
      <c r="D19" s="35">
        <f>'สัปดาห์ที่ 1'!AH16</f>
        <v/>
      </c>
      <c r="E19" s="155">
        <f>'สัปดาห์ที่ 2'!AE16</f>
        <v/>
      </c>
      <c r="F19" s="35">
        <f>'สัปดาห์ที่ 2'!AH16</f>
        <v/>
      </c>
      <c r="G19" s="155">
        <f>'สัปดาห์ที่ 3'!AE16</f>
        <v/>
      </c>
      <c r="H19" s="35">
        <f>'สัปดาห์ที่ 3'!AH16</f>
        <v/>
      </c>
      <c r="I19" s="155">
        <f>'สัปดาห์ที่ 4'!AE16</f>
        <v/>
      </c>
      <c r="J19" s="35">
        <f>'สัปดาห์ที่ 4'!AH16</f>
        <v/>
      </c>
      <c r="K19" s="35">
        <f>'สัปดาห์ที่ 5'!AE16</f>
        <v/>
      </c>
      <c r="L19" s="35">
        <f>'สัปดาห์ที่ 5'!AH16</f>
        <v/>
      </c>
      <c r="M19" s="35" t="n">
        <v>0</v>
      </c>
      <c r="N19" s="35" t="n">
        <v>0</v>
      </c>
      <c r="O19" s="35">
        <f>C19+E19+G19+I19+K19</f>
        <v/>
      </c>
      <c r="P19" s="35">
        <f>D19+F19+H19+J19+L19</f>
        <v/>
      </c>
    </row>
    <row r="20" ht="21.75" customHeight="1" s="330">
      <c r="A20" s="33" t="n">
        <v>15</v>
      </c>
      <c r="B20" s="34">
        <f>#REF!</f>
        <v/>
      </c>
      <c r="C20" s="34">
        <f>'สัปดาห์ที่ 1'!AE17</f>
        <v/>
      </c>
      <c r="D20" s="35">
        <f>'สัปดาห์ที่ 1'!AH17</f>
        <v/>
      </c>
      <c r="E20" s="155">
        <f>'สัปดาห์ที่ 2'!AE17</f>
        <v/>
      </c>
      <c r="F20" s="35">
        <f>'สัปดาห์ที่ 2'!AH17</f>
        <v/>
      </c>
      <c r="G20" s="155">
        <f>'สัปดาห์ที่ 3'!AE17</f>
        <v/>
      </c>
      <c r="H20" s="35">
        <f>'สัปดาห์ที่ 3'!AH17</f>
        <v/>
      </c>
      <c r="I20" s="155">
        <f>'สัปดาห์ที่ 4'!AE17</f>
        <v/>
      </c>
      <c r="J20" s="35">
        <f>'สัปดาห์ที่ 4'!AH17</f>
        <v/>
      </c>
      <c r="K20" s="35">
        <f>'สัปดาห์ที่ 5'!AE17</f>
        <v/>
      </c>
      <c r="L20" s="35">
        <f>'สัปดาห์ที่ 5'!AH17</f>
        <v/>
      </c>
      <c r="M20" s="35" t="n">
        <v>0</v>
      </c>
      <c r="N20" s="35" t="n">
        <v>0</v>
      </c>
      <c r="O20" s="35">
        <f>C20+E20+G20+I20+K20</f>
        <v/>
      </c>
      <c r="P20" s="35">
        <f>D20+F20+H20+J20+L20</f>
        <v/>
      </c>
    </row>
    <row r="21" ht="21.75" customHeight="1" s="330">
      <c r="A21" s="33" t="n">
        <v>16</v>
      </c>
      <c r="B21" s="34">
        <f>#REF!</f>
        <v/>
      </c>
      <c r="C21" s="34">
        <f>'สัปดาห์ที่ 1'!AE18</f>
        <v/>
      </c>
      <c r="D21" s="35">
        <f>'สัปดาห์ที่ 1'!AH18</f>
        <v/>
      </c>
      <c r="E21" s="155">
        <f>'สัปดาห์ที่ 2'!AE18</f>
        <v/>
      </c>
      <c r="F21" s="35">
        <f>'สัปดาห์ที่ 2'!AH18</f>
        <v/>
      </c>
      <c r="G21" s="155">
        <f>'สัปดาห์ที่ 3'!AE18</f>
        <v/>
      </c>
      <c r="H21" s="35">
        <f>'สัปดาห์ที่ 3'!AH18</f>
        <v/>
      </c>
      <c r="I21" s="155">
        <f>'สัปดาห์ที่ 4'!AE18</f>
        <v/>
      </c>
      <c r="J21" s="35">
        <f>'สัปดาห์ที่ 4'!AH18</f>
        <v/>
      </c>
      <c r="K21" s="35">
        <f>'สัปดาห์ที่ 5'!AE18</f>
        <v/>
      </c>
      <c r="L21" s="35">
        <f>'สัปดาห์ที่ 5'!AH18</f>
        <v/>
      </c>
      <c r="M21" s="35" t="n">
        <v>0</v>
      </c>
      <c r="N21" s="35" t="n">
        <v>0</v>
      </c>
      <c r="O21" s="35">
        <f>C21+E21+G21+I21+K21</f>
        <v/>
      </c>
      <c r="P21" s="35">
        <f>D21+F21+H21+J21+L21</f>
        <v/>
      </c>
    </row>
    <row r="22" ht="21.75" customHeight="1" s="330">
      <c r="A22" s="33" t="n">
        <v>17</v>
      </c>
      <c r="B22" s="34">
        <f>#REF!</f>
        <v/>
      </c>
      <c r="C22" s="34">
        <f>'สัปดาห์ที่ 1'!AE19</f>
        <v/>
      </c>
      <c r="D22" s="35">
        <f>'สัปดาห์ที่ 1'!AH19</f>
        <v/>
      </c>
      <c r="E22" s="155">
        <f>'สัปดาห์ที่ 2'!AE19</f>
        <v/>
      </c>
      <c r="F22" s="35">
        <f>'สัปดาห์ที่ 2'!AH19</f>
        <v/>
      </c>
      <c r="G22" s="155">
        <f>'สัปดาห์ที่ 3'!AE19</f>
        <v/>
      </c>
      <c r="H22" s="35">
        <f>'สัปดาห์ที่ 3'!AH19</f>
        <v/>
      </c>
      <c r="I22" s="155">
        <f>'สัปดาห์ที่ 4'!AE19</f>
        <v/>
      </c>
      <c r="J22" s="35">
        <f>'สัปดาห์ที่ 4'!AH19</f>
        <v/>
      </c>
      <c r="K22" s="35">
        <f>'สัปดาห์ที่ 5'!AE19</f>
        <v/>
      </c>
      <c r="L22" s="35">
        <f>'สัปดาห์ที่ 5'!AH19</f>
        <v/>
      </c>
      <c r="M22" s="35" t="n">
        <v>0</v>
      </c>
      <c r="N22" s="35" t="n">
        <v>0</v>
      </c>
      <c r="O22" s="35">
        <f>C22+E22+G22+I22+K22</f>
        <v/>
      </c>
      <c r="P22" s="35">
        <f>D22+F22+H22+J22+L22</f>
        <v/>
      </c>
    </row>
    <row r="23" ht="21.75" customHeight="1" s="330">
      <c r="A23" s="33" t="n">
        <v>18</v>
      </c>
      <c r="B23" s="34">
        <f>#REF!</f>
        <v/>
      </c>
      <c r="C23" s="34">
        <f>'สัปดาห์ที่ 1'!AE20</f>
        <v/>
      </c>
      <c r="D23" s="35">
        <f>'สัปดาห์ที่ 1'!AH20</f>
        <v/>
      </c>
      <c r="E23" s="155">
        <f>'สัปดาห์ที่ 2'!AE20</f>
        <v/>
      </c>
      <c r="F23" s="35">
        <f>'สัปดาห์ที่ 2'!AH20</f>
        <v/>
      </c>
      <c r="G23" s="155">
        <f>'สัปดาห์ที่ 3'!AE20</f>
        <v/>
      </c>
      <c r="H23" s="35">
        <f>'สัปดาห์ที่ 3'!AH20</f>
        <v/>
      </c>
      <c r="I23" s="155">
        <f>'สัปดาห์ที่ 4'!AE20</f>
        <v/>
      </c>
      <c r="J23" s="35">
        <f>'สัปดาห์ที่ 4'!AH20</f>
        <v/>
      </c>
      <c r="K23" s="35">
        <f>'สัปดาห์ที่ 5'!AE20</f>
        <v/>
      </c>
      <c r="L23" s="35">
        <f>'สัปดาห์ที่ 5'!AH20</f>
        <v/>
      </c>
      <c r="M23" s="35" t="n">
        <v>0</v>
      </c>
      <c r="N23" s="35" t="n">
        <v>0</v>
      </c>
      <c r="O23" s="35">
        <f>C23+E23+G23+I23+K23</f>
        <v/>
      </c>
      <c r="P23" s="35">
        <f>D23+F23+H23+J23+L23</f>
        <v/>
      </c>
    </row>
    <row r="24" ht="21.75" customHeight="1" s="330">
      <c r="A24" s="33" t="n">
        <v>19</v>
      </c>
      <c r="B24" s="34">
        <f>#REF!</f>
        <v/>
      </c>
      <c r="C24" s="34">
        <f>'สัปดาห์ที่ 1'!AE21</f>
        <v/>
      </c>
      <c r="D24" s="35">
        <f>'สัปดาห์ที่ 1'!AH21</f>
        <v/>
      </c>
      <c r="E24" s="155">
        <f>'สัปดาห์ที่ 2'!AE21</f>
        <v/>
      </c>
      <c r="F24" s="35">
        <f>'สัปดาห์ที่ 2'!AH21</f>
        <v/>
      </c>
      <c r="G24" s="155">
        <f>'สัปดาห์ที่ 3'!AE21</f>
        <v/>
      </c>
      <c r="H24" s="35">
        <f>'สัปดาห์ที่ 3'!AH21</f>
        <v/>
      </c>
      <c r="I24" s="155">
        <f>'สัปดาห์ที่ 4'!AE21</f>
        <v/>
      </c>
      <c r="J24" s="35">
        <f>'สัปดาห์ที่ 4'!AH21</f>
        <v/>
      </c>
      <c r="K24" s="35">
        <f>'สัปดาห์ที่ 5'!AE21</f>
        <v/>
      </c>
      <c r="L24" s="35">
        <f>'สัปดาห์ที่ 5'!AH21</f>
        <v/>
      </c>
      <c r="M24" s="35" t="n">
        <v>0</v>
      </c>
      <c r="N24" s="35" t="n">
        <v>0</v>
      </c>
      <c r="O24" s="35">
        <f>C24+E24+G24+I24+K24</f>
        <v/>
      </c>
      <c r="P24" s="35">
        <f>D24+F24+H24+J24+L24</f>
        <v/>
      </c>
    </row>
    <row r="25" ht="21.75" customHeight="1" s="330">
      <c r="A25" s="401" t="inlineStr">
        <is>
          <t xml:space="preserve">รวมเงินครูประจำ </t>
        </is>
      </c>
      <c r="B25" s="467" t="n"/>
      <c r="C25" s="467" t="n"/>
      <c r="D25" s="467" t="n"/>
      <c r="E25" s="467" t="n"/>
      <c r="F25" s="467" t="n"/>
      <c r="G25" s="467" t="n"/>
      <c r="H25" s="467" t="n"/>
      <c r="I25" s="467" t="n"/>
      <c r="J25" s="467" t="n"/>
      <c r="K25" s="402" t="n"/>
      <c r="L25" s="402" t="n"/>
      <c r="M25" s="402" t="n"/>
      <c r="N25" s="402" t="n"/>
      <c r="O25" s="36" t="n"/>
      <c r="P25" s="37">
        <f>SUM(P6:P24)</f>
        <v/>
      </c>
    </row>
    <row r="26" ht="15.75" customHeight="1" s="330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</row>
    <row r="27" ht="15" customHeight="1" s="330">
      <c r="A27" s="30" t="n"/>
      <c r="C27" s="30" t="n"/>
      <c r="D27" s="373" t="inlineStr">
        <is>
          <t>ครูพิเศษ</t>
        </is>
      </c>
      <c r="I27" s="31" t="n"/>
      <c r="J27" s="30" t="n"/>
      <c r="K27" s="30" t="n"/>
      <c r="L27" s="30" t="n"/>
      <c r="M27" s="30" t="n"/>
      <c r="N27" s="30" t="n"/>
      <c r="O27" s="30" t="n"/>
      <c r="P27" s="30" t="n"/>
    </row>
    <row r="28" ht="15.75" customHeight="1" s="330">
      <c r="A28" s="30" t="n"/>
      <c r="C28" s="30" t="n"/>
      <c r="I28" s="31" t="n"/>
      <c r="J28" s="30" t="n"/>
      <c r="K28" s="30" t="n"/>
      <c r="L28" s="30" t="n"/>
      <c r="M28" s="30" t="n"/>
      <c r="N28" s="30" t="n"/>
      <c r="O28" s="30" t="n"/>
      <c r="P28" s="30" t="n"/>
    </row>
    <row r="29" ht="15" customHeight="1" s="330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</row>
    <row r="30" ht="21.75" customHeight="1" s="330">
      <c r="A30" s="491" t="inlineStr">
        <is>
          <t>ลำดับ</t>
        </is>
      </c>
      <c r="B30" s="492" t="inlineStr">
        <is>
          <t>ชื่อ-สกุล</t>
        </is>
      </c>
      <c r="C30" s="491" t="n">
        <v>1</v>
      </c>
      <c r="D30" s="362" t="n"/>
      <c r="E30" s="491" t="n">
        <v>2</v>
      </c>
      <c r="F30" s="362" t="n"/>
      <c r="G30" s="491" t="n">
        <v>3</v>
      </c>
      <c r="H30" s="362" t="n"/>
      <c r="I30" s="491" t="n">
        <v>4</v>
      </c>
      <c r="J30" s="362" t="n"/>
      <c r="K30" s="491" t="n">
        <v>5</v>
      </c>
      <c r="L30" s="362" t="n"/>
      <c r="M30" s="493" t="n">
        <v>6</v>
      </c>
      <c r="N30" s="362" t="n"/>
      <c r="O30" s="492" t="inlineStr">
        <is>
          <t>รวม / ชม.</t>
        </is>
      </c>
      <c r="P30" s="492" t="inlineStr">
        <is>
          <t>รวม</t>
        </is>
      </c>
    </row>
    <row r="31" ht="22.5" customHeight="1" s="330">
      <c r="A31" s="474" t="n"/>
      <c r="B31" s="474" t="n"/>
      <c r="C31" s="38" t="inlineStr">
        <is>
          <t>ชม/ส</t>
        </is>
      </c>
      <c r="D31" s="38" t="inlineStr">
        <is>
          <t>เงิน</t>
        </is>
      </c>
      <c r="E31" s="38" t="inlineStr">
        <is>
          <t>ชม/ส</t>
        </is>
      </c>
      <c r="F31" s="38" t="inlineStr">
        <is>
          <t>เงิน</t>
        </is>
      </c>
      <c r="G31" s="38" t="inlineStr">
        <is>
          <t>ชม/ส</t>
        </is>
      </c>
      <c r="H31" s="38" t="inlineStr">
        <is>
          <t>เงิน</t>
        </is>
      </c>
      <c r="I31" s="38" t="inlineStr">
        <is>
          <t>ชม/ส</t>
        </is>
      </c>
      <c r="J31" s="38" t="inlineStr">
        <is>
          <t>เงิน</t>
        </is>
      </c>
      <c r="K31" s="32" t="inlineStr">
        <is>
          <t>ชม/ส</t>
        </is>
      </c>
      <c r="L31" s="32" t="inlineStr">
        <is>
          <t>เงิน</t>
        </is>
      </c>
      <c r="M31" s="32" t="inlineStr">
        <is>
          <t>ชม/ส</t>
        </is>
      </c>
      <c r="N31" s="32" t="inlineStr">
        <is>
          <t>เงิน</t>
        </is>
      </c>
      <c r="O31" s="474" t="n"/>
      <c r="P31" s="474" t="n"/>
    </row>
    <row r="32" ht="21.75" customHeight="1" s="330">
      <c r="A32" s="33" t="n">
        <v>1</v>
      </c>
      <c r="B32" s="34">
        <f>#REF!</f>
        <v/>
      </c>
      <c r="C32" s="155">
        <f>#REF!</f>
        <v/>
      </c>
      <c r="D32" s="155">
        <f>#REF!</f>
        <v/>
      </c>
      <c r="E32" s="155">
        <f>#REF!</f>
        <v/>
      </c>
      <c r="F32" s="155">
        <f>#REF!</f>
        <v/>
      </c>
      <c r="G32" s="155">
        <f>#REF!</f>
        <v/>
      </c>
      <c r="H32" s="35">
        <f>#REF!</f>
        <v/>
      </c>
      <c r="I32" s="155" t="n">
        <v>0</v>
      </c>
      <c r="J32" s="35" t="n">
        <v>0</v>
      </c>
      <c r="K32" s="35" t="n">
        <v>0</v>
      </c>
      <c r="L32" s="35" t="n">
        <v>0</v>
      </c>
      <c r="M32" s="35" t="n"/>
      <c r="N32" s="35" t="n"/>
      <c r="O32" s="35">
        <f>C32+E32+G32+I32+K32</f>
        <v/>
      </c>
      <c r="P32" s="35">
        <f>D32+F32+H32+J32+L32</f>
        <v/>
      </c>
    </row>
    <row r="33">
      <c r="A33" s="33" t="n">
        <v>2</v>
      </c>
      <c r="B33" s="34">
        <f>#REF!</f>
        <v/>
      </c>
      <c r="C33" s="155">
        <f>#REF!</f>
        <v/>
      </c>
      <c r="D33" s="155">
        <f>#REF!</f>
        <v/>
      </c>
      <c r="E33" s="155">
        <f>#REF!</f>
        <v/>
      </c>
      <c r="F33" s="155">
        <f>#REF!</f>
        <v/>
      </c>
      <c r="G33" s="155">
        <f>#REF!</f>
        <v/>
      </c>
      <c r="H33" s="35">
        <f>#REF!</f>
        <v/>
      </c>
      <c r="I33" s="155" t="n">
        <v>0</v>
      </c>
      <c r="J33" s="35" t="n">
        <v>0</v>
      </c>
      <c r="K33" s="35" t="n">
        <v>0</v>
      </c>
      <c r="L33" s="35" t="n">
        <v>0</v>
      </c>
      <c r="M33" s="35" t="n"/>
      <c r="N33" s="35" t="n"/>
      <c r="O33" s="35">
        <f>C33+E33+G33+I33+K33</f>
        <v/>
      </c>
      <c r="P33" s="35">
        <f>D33+F33+H33+J33+L33</f>
        <v/>
      </c>
    </row>
    <row r="34">
      <c r="A34" s="33" t="n">
        <v>3</v>
      </c>
      <c r="B34" s="34">
        <f>#REF!</f>
        <v/>
      </c>
      <c r="C34" s="155">
        <f>#REF!</f>
        <v/>
      </c>
      <c r="D34" s="155">
        <f>#REF!</f>
        <v/>
      </c>
      <c r="E34" s="155">
        <f>#REF!</f>
        <v/>
      </c>
      <c r="F34" s="155">
        <f>#REF!</f>
        <v/>
      </c>
      <c r="G34" s="155">
        <f>#REF!</f>
        <v/>
      </c>
      <c r="H34" s="35">
        <f>#REF!</f>
        <v/>
      </c>
      <c r="I34" s="155" t="n">
        <v>0</v>
      </c>
      <c r="J34" s="35" t="n">
        <v>0</v>
      </c>
      <c r="K34" s="35" t="n">
        <v>0</v>
      </c>
      <c r="L34" s="35" t="n">
        <v>0</v>
      </c>
      <c r="M34" s="35" t="n"/>
      <c r="N34" s="35" t="n"/>
      <c r="O34" s="35">
        <f>C34+E34+G34+I34+K34</f>
        <v/>
      </c>
      <c r="P34" s="35">
        <f>D34+F34+H34+J34+L34</f>
        <v/>
      </c>
    </row>
    <row r="35">
      <c r="A35" s="33" t="n">
        <v>4</v>
      </c>
      <c r="B35" s="34">
        <f>#REF!</f>
        <v/>
      </c>
      <c r="C35" s="155">
        <f>#REF!</f>
        <v/>
      </c>
      <c r="D35" s="155">
        <f>#REF!</f>
        <v/>
      </c>
      <c r="E35" s="155">
        <f>#REF!</f>
        <v/>
      </c>
      <c r="F35" s="155">
        <f>#REF!</f>
        <v/>
      </c>
      <c r="G35" s="155">
        <f>#REF!</f>
        <v/>
      </c>
      <c r="H35" s="35">
        <f>#REF!</f>
        <v/>
      </c>
      <c r="I35" s="155" t="n">
        <v>0</v>
      </c>
      <c r="J35" s="35" t="n">
        <v>0</v>
      </c>
      <c r="K35" s="35" t="n">
        <v>0</v>
      </c>
      <c r="L35" s="35" t="n">
        <v>0</v>
      </c>
      <c r="M35" s="35" t="n"/>
      <c r="N35" s="35" t="n"/>
      <c r="O35" s="35">
        <f>C35+E35+G35+I35+K35</f>
        <v/>
      </c>
      <c r="P35" s="35">
        <f>D35+F35+H35+J35+L35</f>
        <v/>
      </c>
    </row>
    <row r="36">
      <c r="A36" s="33" t="n">
        <v>5</v>
      </c>
      <c r="B36" s="34">
        <f>#REF!</f>
        <v/>
      </c>
      <c r="C36" s="155">
        <f>#REF!</f>
        <v/>
      </c>
      <c r="D36" s="155">
        <f>#REF!</f>
        <v/>
      </c>
      <c r="E36" s="155">
        <f>#REF!</f>
        <v/>
      </c>
      <c r="F36" s="155">
        <f>#REF!</f>
        <v/>
      </c>
      <c r="G36" s="155">
        <f>#REF!</f>
        <v/>
      </c>
      <c r="H36" s="35">
        <f>#REF!</f>
        <v/>
      </c>
      <c r="I36" s="155" t="n">
        <v>0</v>
      </c>
      <c r="J36" s="35" t="n">
        <v>0</v>
      </c>
      <c r="K36" s="35" t="n">
        <v>0</v>
      </c>
      <c r="L36" s="35" t="n">
        <v>0</v>
      </c>
      <c r="M36" s="35" t="n"/>
      <c r="N36" s="35" t="n"/>
      <c r="O36" s="35">
        <f>C36+E36+G36+I36+K36</f>
        <v/>
      </c>
      <c r="P36" s="35">
        <f>D36+F36+H36+J36+L36</f>
        <v/>
      </c>
    </row>
    <row r="37">
      <c r="A37" s="33" t="n">
        <v>6</v>
      </c>
      <c r="B37" s="34">
        <f>#REF!</f>
        <v/>
      </c>
      <c r="C37" s="155">
        <f>#REF!</f>
        <v/>
      </c>
      <c r="D37" s="155">
        <f>#REF!</f>
        <v/>
      </c>
      <c r="E37" s="155">
        <f>#REF!</f>
        <v/>
      </c>
      <c r="F37" s="155">
        <f>#REF!</f>
        <v/>
      </c>
      <c r="G37" s="155">
        <f>#REF!</f>
        <v/>
      </c>
      <c r="H37" s="35">
        <f>#REF!</f>
        <v/>
      </c>
      <c r="I37" s="155" t="n">
        <v>0</v>
      </c>
      <c r="J37" s="35" t="n">
        <v>0</v>
      </c>
      <c r="K37" s="35" t="n">
        <v>0</v>
      </c>
      <c r="L37" s="35" t="n">
        <v>0</v>
      </c>
      <c r="M37" s="35" t="n"/>
      <c r="N37" s="35" t="n"/>
      <c r="O37" s="35">
        <f>C37+E37+G37+I37+K37</f>
        <v/>
      </c>
      <c r="P37" s="35">
        <f>D37+F37+H37+J37+L37</f>
        <v/>
      </c>
    </row>
    <row r="38">
      <c r="A38" s="33" t="n">
        <v>7</v>
      </c>
      <c r="B38" s="34">
        <f>#REF!</f>
        <v/>
      </c>
      <c r="C38" s="155">
        <f>#REF!</f>
        <v/>
      </c>
      <c r="D38" s="155">
        <f>#REF!</f>
        <v/>
      </c>
      <c r="E38" s="155">
        <f>#REF!</f>
        <v/>
      </c>
      <c r="F38" s="155">
        <f>#REF!</f>
        <v/>
      </c>
      <c r="G38" s="155">
        <f>#REF!</f>
        <v/>
      </c>
      <c r="H38" s="35">
        <f>#REF!</f>
        <v/>
      </c>
      <c r="I38" s="155" t="n">
        <v>0</v>
      </c>
      <c r="J38" s="35" t="n">
        <v>0</v>
      </c>
      <c r="K38" s="35" t="n">
        <v>0</v>
      </c>
      <c r="L38" s="35" t="n">
        <v>0</v>
      </c>
      <c r="M38" s="35" t="n"/>
      <c r="N38" s="35" t="n"/>
      <c r="O38" s="35">
        <f>C38+E38+G38+I38+K38</f>
        <v/>
      </c>
      <c r="P38" s="35">
        <f>D38+F38+H38+J38+L38</f>
        <v/>
      </c>
    </row>
    <row r="39">
      <c r="A39" s="33" t="n">
        <v>8</v>
      </c>
      <c r="B39" s="34">
        <f>#REF!</f>
        <v/>
      </c>
      <c r="C39" s="155">
        <f>#REF!</f>
        <v/>
      </c>
      <c r="D39" s="155">
        <f>#REF!</f>
        <v/>
      </c>
      <c r="E39" s="155">
        <f>#REF!</f>
        <v/>
      </c>
      <c r="F39" s="155">
        <f>#REF!</f>
        <v/>
      </c>
      <c r="G39" s="155">
        <f>#REF!</f>
        <v/>
      </c>
      <c r="H39" s="35">
        <f>#REF!</f>
        <v/>
      </c>
      <c r="I39" s="155" t="n">
        <v>0</v>
      </c>
      <c r="J39" s="35" t="n">
        <v>0</v>
      </c>
      <c r="K39" s="35" t="n">
        <v>0</v>
      </c>
      <c r="L39" s="35" t="n">
        <v>0</v>
      </c>
      <c r="M39" s="35" t="n"/>
      <c r="N39" s="35" t="n"/>
      <c r="O39" s="35">
        <f>C39+E39+G39+I39+K39</f>
        <v/>
      </c>
      <c r="P39" s="35">
        <f>D39+F39+H39+J39+L39</f>
        <v/>
      </c>
    </row>
    <row r="40">
      <c r="A40" s="33" t="n">
        <v>9</v>
      </c>
      <c r="B40" s="34">
        <f>#REF!</f>
        <v/>
      </c>
      <c r="C40" s="155">
        <f>#REF!</f>
        <v/>
      </c>
      <c r="D40" s="155">
        <f>#REF!</f>
        <v/>
      </c>
      <c r="E40" s="155">
        <f>#REF!</f>
        <v/>
      </c>
      <c r="F40" s="155">
        <f>#REF!</f>
        <v/>
      </c>
      <c r="G40" s="155">
        <f>#REF!</f>
        <v/>
      </c>
      <c r="H40" s="35">
        <f>#REF!</f>
        <v/>
      </c>
      <c r="I40" s="155" t="n">
        <v>0</v>
      </c>
      <c r="J40" s="35" t="n">
        <v>0</v>
      </c>
      <c r="K40" s="35" t="n">
        <v>0</v>
      </c>
      <c r="L40" s="35" t="n">
        <v>0</v>
      </c>
      <c r="M40" s="35" t="n"/>
      <c r="N40" s="35" t="n"/>
      <c r="O40" s="35">
        <f>C40+E40+G40+I40+K40</f>
        <v/>
      </c>
      <c r="P40" s="35">
        <f>D40+F40+H40+J40+L40</f>
        <v/>
      </c>
    </row>
    <row r="41">
      <c r="A41" s="401" t="inlineStr">
        <is>
          <t xml:space="preserve">รวมเงินครูพิเศษ </t>
        </is>
      </c>
      <c r="B41" s="467" t="n"/>
      <c r="C41" s="467" t="n"/>
      <c r="D41" s="467" t="n"/>
      <c r="E41" s="467" t="n"/>
      <c r="F41" s="467" t="n"/>
      <c r="G41" s="467" t="n"/>
      <c r="H41" s="467" t="n"/>
      <c r="I41" s="467" t="n"/>
      <c r="J41" s="467" t="n"/>
      <c r="K41" s="402" t="n"/>
      <c r="L41" s="402" t="n"/>
      <c r="M41" s="402" t="n"/>
      <c r="N41" s="402" t="n"/>
      <c r="O41" s="36" t="n"/>
      <c r="P41" s="37">
        <f>SUM(P32:P40)</f>
        <v/>
      </c>
    </row>
    <row r="42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</row>
    <row r="43" ht="28.8" customHeight="1" s="330">
      <c r="A43" s="380" t="inlineStr">
        <is>
          <t xml:space="preserve">   ยอดเงินรายรับ ( ครูประจำ + ครูพิเศษ )</t>
        </is>
      </c>
      <c r="G43" s="222" t="n"/>
      <c r="H43" s="403">
        <f>P25+P41</f>
        <v/>
      </c>
      <c r="K43" s="403" t="n"/>
      <c r="L43" s="403" t="n"/>
      <c r="M43" s="403" t="n"/>
      <c r="N43" s="403" t="n"/>
      <c r="O43" s="39" t="n"/>
      <c r="P43" s="30" t="n"/>
    </row>
    <row r="44" ht="28.8" customHeight="1" s="330">
      <c r="A44" s="380" t="inlineStr">
        <is>
          <t xml:space="preserve">   ยอดเงินรายรับ ÷ ยอดคน</t>
        </is>
      </c>
      <c r="D44" s="222">
        <f>H43</f>
        <v/>
      </c>
      <c r="E44" s="222" t="inlineStr">
        <is>
          <t xml:space="preserve">  ÷</t>
        </is>
      </c>
      <c r="F44" s="222" t="n">
        <v>26</v>
      </c>
      <c r="G44" s="222" t="n"/>
      <c r="H44" s="216" t="inlineStr">
        <is>
          <t>=</t>
        </is>
      </c>
      <c r="I44" s="403" t="n"/>
      <c r="J44" s="214">
        <f>D44/F44</f>
        <v/>
      </c>
      <c r="K44" s="403" t="n"/>
      <c r="L44" s="403" t="n"/>
      <c r="M44" s="403" t="n"/>
      <c r="N44" s="403" t="n"/>
      <c r="O44" s="39" t="n"/>
      <c r="P44" s="30" t="n"/>
    </row>
    <row r="45" ht="24.9" customHeight="1" s="330">
      <c r="A45" s="380" t="inlineStr">
        <is>
          <t xml:space="preserve">   หักเข้ากองกลาง (3 ส.x100) x 26 คน</t>
        </is>
      </c>
      <c r="D45" s="222" t="n">
        <v>300</v>
      </c>
      <c r="E45" s="222" t="inlineStr">
        <is>
          <t xml:space="preserve">  x</t>
        </is>
      </c>
      <c r="F45" s="222" t="n">
        <v>26</v>
      </c>
      <c r="G45" s="42" t="n"/>
      <c r="H45" s="212" t="inlineStr">
        <is>
          <t>=</t>
        </is>
      </c>
      <c r="I45" s="222" t="n"/>
      <c r="J45" s="214">
        <f>D45*F45</f>
        <v/>
      </c>
      <c r="K45" s="403" t="n"/>
      <c r="L45" s="403" t="n"/>
      <c r="M45" s="403" t="n"/>
      <c r="N45" s="403" t="n"/>
      <c r="O45" s="39" t="n"/>
      <c r="P45" s="30" t="n"/>
    </row>
    <row r="46" ht="24.9" customHeight="1" s="330">
      <c r="A46" s="380" t="n"/>
      <c r="D46" s="222" t="n"/>
      <c r="E46" s="222" t="n"/>
      <c r="F46" s="222" t="n"/>
      <c r="G46" s="42" t="n"/>
      <c r="H46" s="212" t="n"/>
      <c r="I46" s="222" t="n"/>
      <c r="J46" s="403" t="n"/>
      <c r="K46" s="403" t="n"/>
      <c r="L46" s="403" t="n"/>
      <c r="M46" s="403" t="n"/>
      <c r="N46" s="403" t="n"/>
      <c r="O46" s="39" t="n"/>
      <c r="P46" s="30" t="n"/>
    </row>
    <row r="47" ht="24.9" customHeight="1" s="330">
      <c r="A47" s="30" t="n"/>
      <c r="B47" s="222" t="n"/>
      <c r="C47" s="222" t="n"/>
      <c r="D47" s="222" t="n"/>
      <c r="E47" s="222" t="n"/>
      <c r="F47" s="222" t="n"/>
      <c r="G47" s="222" t="n"/>
      <c r="H47" s="222" t="n"/>
      <c r="I47" s="222" t="n"/>
      <c r="J47" s="222" t="n"/>
      <c r="K47" s="222" t="n"/>
      <c r="L47" s="222" t="n"/>
      <c r="M47" s="222" t="n"/>
      <c r="N47" s="222" t="n"/>
      <c r="O47" s="39" t="n"/>
      <c r="P47" s="30" t="n"/>
    </row>
    <row r="48" ht="21.75" customHeight="1" s="330">
      <c r="A48" s="387" t="inlineStr">
        <is>
          <t xml:space="preserve">   เงินที่ได้รับ คนละ</t>
        </is>
      </c>
      <c r="C48" s="44" t="n"/>
      <c r="D48" s="224">
        <f>J44</f>
        <v/>
      </c>
      <c r="E48" s="224" t="inlineStr">
        <is>
          <t>-</t>
        </is>
      </c>
      <c r="F48" s="224">
        <f>D45</f>
        <v/>
      </c>
      <c r="G48" s="364" t="n"/>
      <c r="H48" s="212" t="n"/>
      <c r="I48" s="217" t="n"/>
      <c r="J48" s="218" t="inlineStr">
        <is>
          <t>=</t>
        </is>
      </c>
      <c r="K48" s="364">
        <f>J44-D45-D46</f>
        <v/>
      </c>
      <c r="M48" s="364" t="n"/>
      <c r="N48" s="364" t="n"/>
      <c r="O48" s="40" t="n"/>
      <c r="P48" s="30" t="n"/>
    </row>
    <row r="49" ht="21.75" customHeight="1" s="330" thickBot="1">
      <c r="A49" s="388" t="inlineStr">
        <is>
          <t xml:space="preserve">    ปัดให้ลงตัว</t>
        </is>
      </c>
      <c r="D49" s="227">
        <f>K48</f>
        <v/>
      </c>
      <c r="E49" s="216" t="inlineStr">
        <is>
          <t>+</t>
        </is>
      </c>
      <c r="F49" s="216" t="n">
        <v>22</v>
      </c>
      <c r="G49" s="216" t="n"/>
      <c r="H49" s="216" t="n"/>
      <c r="I49" s="216" t="n"/>
      <c r="J49" s="228" t="inlineStr">
        <is>
          <t>=</t>
        </is>
      </c>
      <c r="K49" s="366">
        <f>D49+F49</f>
        <v/>
      </c>
      <c r="M49" s="367" t="n"/>
      <c r="N49" s="367" t="n"/>
      <c r="O49" s="226" t="n"/>
      <c r="P49" s="225" t="n"/>
    </row>
    <row r="50" ht="21.75" customHeight="1" s="330" thickTop="1">
      <c r="A50" s="47" t="n"/>
      <c r="B50" s="48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229" t="n"/>
      <c r="L50" s="229" t="n"/>
      <c r="M50" s="46" t="n"/>
      <c r="N50" s="46" t="n"/>
      <c r="O50" s="30" t="n"/>
      <c r="P50" s="30" t="n"/>
    </row>
    <row r="51" ht="21.75" customHeight="1" s="330">
      <c r="A51" s="386" t="inlineStr">
        <is>
          <t xml:space="preserve">    เงินกองกลาง</t>
        </is>
      </c>
      <c r="C51" s="45" t="n"/>
      <c r="D51" s="46" t="n"/>
      <c r="E51" s="46" t="n"/>
      <c r="F51" s="46" t="n"/>
      <c r="G51" s="46" t="n"/>
      <c r="H51" s="46" t="n"/>
      <c r="I51" s="46" t="n"/>
      <c r="J51" s="218" t="inlineStr">
        <is>
          <t>=</t>
        </is>
      </c>
      <c r="K51" s="365">
        <f>J45</f>
        <v/>
      </c>
      <c r="M51" s="365" t="n"/>
      <c r="N51" s="365" t="n"/>
      <c r="O51" s="30" t="n"/>
      <c r="P51" s="30" t="n"/>
    </row>
    <row r="52" ht="21.75" customHeight="1" s="330" thickBot="1">
      <c r="A52" s="388" t="inlineStr">
        <is>
          <t xml:space="preserve">    เงินเข้ากองกลางคงเหลือ</t>
        </is>
      </c>
      <c r="C52" s="223" t="n"/>
      <c r="D52" s="230">
        <f>J45</f>
        <v/>
      </c>
      <c r="E52" s="216" t="inlineStr">
        <is>
          <t>-</t>
        </is>
      </c>
      <c r="F52" s="230">
        <f>F49*F44</f>
        <v/>
      </c>
      <c r="G52" s="223" t="n"/>
      <c r="H52" s="223" t="n"/>
      <c r="I52" s="223" t="n"/>
      <c r="J52" s="218" t="inlineStr">
        <is>
          <t>=</t>
        </is>
      </c>
      <c r="K52" s="368">
        <f>D52-F52</f>
        <v/>
      </c>
      <c r="L52" s="494" t="n"/>
      <c r="M52" s="236" t="n"/>
      <c r="N52" s="236" t="n"/>
      <c r="O52" s="223" t="n"/>
      <c r="P52" s="223" t="n"/>
    </row>
    <row r="53" ht="24" customHeight="1" s="330" thickTop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</row>
    <row r="54"/>
    <row r="55" ht="27.75" customHeight="1" s="330">
      <c r="A55" s="495" t="inlineStr">
        <is>
          <t>ลำดับ</t>
        </is>
      </c>
      <c r="B55" s="496" t="inlineStr">
        <is>
          <t>ชื่อ-สกุล</t>
        </is>
      </c>
      <c r="C55" s="497" t="inlineStr">
        <is>
          <t>การจัดสรรค์เงินรายได้แผนก</t>
        </is>
      </c>
      <c r="D55" s="467" t="n"/>
      <c r="E55" s="467" t="n"/>
      <c r="F55" s="467" t="n"/>
      <c r="G55" s="467" t="n"/>
      <c r="H55" s="362" t="n"/>
      <c r="I55" s="498" t="inlineStr">
        <is>
          <t>ลงชื่อ</t>
        </is>
      </c>
      <c r="J55" s="335" t="n"/>
      <c r="K55" s="165" t="n"/>
      <c r="L55" s="165" t="n"/>
      <c r="M55" s="165" t="n"/>
      <c r="N55" s="165" t="n"/>
    </row>
    <row r="56" ht="27.75" customHeight="1" s="330">
      <c r="A56" s="474" t="n"/>
      <c r="B56" s="474" t="n"/>
      <c r="C56" s="499" t="inlineStr">
        <is>
          <t>รายรับ / บุคคล</t>
        </is>
      </c>
      <c r="D56" s="362" t="n"/>
      <c r="E56" s="500" t="inlineStr">
        <is>
          <t>คืนกองกลางแผนก ( - )</t>
        </is>
      </c>
      <c r="F56" s="362" t="n"/>
      <c r="G56" s="501" t="inlineStr">
        <is>
          <t>แผนกจ่ายเพิ่ม ( + )</t>
        </is>
      </c>
      <c r="H56" s="362" t="n"/>
      <c r="I56" s="475" t="n"/>
      <c r="J56" s="476" t="n"/>
      <c r="K56" s="165" t="n"/>
      <c r="L56" s="165" t="n"/>
      <c r="M56" s="165" t="n"/>
      <c r="N56" s="165" t="n"/>
    </row>
    <row r="57" ht="25.35" customHeight="1" s="330">
      <c r="A57" s="49" t="n">
        <v>1</v>
      </c>
      <c r="B57" s="50">
        <f>#REF!</f>
        <v/>
      </c>
      <c r="C57" s="502">
        <f>P6</f>
        <v/>
      </c>
      <c r="D57" s="362" t="n"/>
      <c r="E57" s="503">
        <f>H48-C57</f>
        <v/>
      </c>
      <c r="F57" s="467" t="n"/>
      <c r="G57" s="467" t="n"/>
      <c r="H57" s="362" t="n"/>
      <c r="I57" s="504" t="n"/>
      <c r="J57" s="362" t="n"/>
      <c r="K57" s="166" t="n"/>
      <c r="L57" s="166" t="n"/>
      <c r="M57" s="166" t="n"/>
      <c r="N57" s="166" t="n"/>
    </row>
    <row r="58" ht="25.35" customHeight="1" s="330">
      <c r="A58" s="49" t="n">
        <v>2</v>
      </c>
      <c r="B58" s="50">
        <f>#REF!</f>
        <v/>
      </c>
      <c r="C58" s="502">
        <f>P7</f>
        <v/>
      </c>
      <c r="D58" s="362" t="n"/>
      <c r="E58" s="505">
        <f>H48-C58</f>
        <v/>
      </c>
      <c r="F58" s="467" t="n"/>
      <c r="G58" s="467" t="n"/>
      <c r="H58" s="362" t="n"/>
      <c r="I58" s="504" t="n"/>
      <c r="J58" s="362" t="n"/>
      <c r="K58" s="166" t="n"/>
      <c r="L58" s="166" t="n"/>
      <c r="M58" s="166" t="n"/>
      <c r="N58" s="166" t="n"/>
    </row>
    <row r="59" ht="25.35" customHeight="1" s="330">
      <c r="A59" s="49" t="n">
        <v>3</v>
      </c>
      <c r="B59" s="50">
        <f>#REF!</f>
        <v/>
      </c>
      <c r="C59" s="502">
        <f>P8</f>
        <v/>
      </c>
      <c r="D59" s="362" t="n"/>
      <c r="E59" s="505">
        <f>H48-C59</f>
        <v/>
      </c>
      <c r="F59" s="467" t="n"/>
      <c r="G59" s="467" t="n"/>
      <c r="H59" s="362" t="n"/>
      <c r="I59" s="504" t="n"/>
      <c r="J59" s="362" t="n"/>
      <c r="K59" s="166" t="n"/>
      <c r="L59" s="166" t="n"/>
      <c r="M59" s="166" t="n"/>
      <c r="N59" s="166" t="n"/>
    </row>
    <row r="60" ht="25.35" customHeight="1" s="330">
      <c r="A60" s="49" t="n">
        <v>4</v>
      </c>
      <c r="B60" s="50">
        <f>#REF!</f>
        <v/>
      </c>
      <c r="C60" s="502">
        <f>P9</f>
        <v/>
      </c>
      <c r="D60" s="362" t="n"/>
      <c r="E60" s="505">
        <f>H48-C60</f>
        <v/>
      </c>
      <c r="F60" s="467" t="n"/>
      <c r="G60" s="467" t="n"/>
      <c r="H60" s="362" t="n"/>
      <c r="I60" s="504" t="n"/>
      <c r="J60" s="362" t="n"/>
      <c r="K60" s="166" t="n"/>
      <c r="L60" s="166" t="n"/>
      <c r="M60" s="166" t="n"/>
      <c r="N60" s="166" t="n"/>
    </row>
    <row r="61" ht="25.35" customHeight="1" s="330">
      <c r="A61" s="49" t="n">
        <v>5</v>
      </c>
      <c r="B61" s="50">
        <f>#REF!</f>
        <v/>
      </c>
      <c r="C61" s="502">
        <f>P10</f>
        <v/>
      </c>
      <c r="D61" s="362" t="n"/>
      <c r="E61" s="505">
        <f>H48-C61</f>
        <v/>
      </c>
      <c r="F61" s="467" t="n"/>
      <c r="G61" s="467" t="n"/>
      <c r="H61" s="362" t="n"/>
      <c r="I61" s="504" t="n"/>
      <c r="J61" s="362" t="n"/>
      <c r="K61" s="166" t="n"/>
      <c r="L61" s="166" t="n"/>
      <c r="M61" s="166" t="n"/>
      <c r="N61" s="166" t="n"/>
    </row>
    <row r="62" ht="25.35" customHeight="1" s="330">
      <c r="A62" s="49" t="n">
        <v>6</v>
      </c>
      <c r="B62" s="50">
        <f>#REF!</f>
        <v/>
      </c>
      <c r="C62" s="502">
        <f>P11</f>
        <v/>
      </c>
      <c r="D62" s="362" t="n"/>
      <c r="E62" s="505">
        <f>H48-C62</f>
        <v/>
      </c>
      <c r="F62" s="467" t="n"/>
      <c r="G62" s="467" t="n"/>
      <c r="H62" s="362" t="n"/>
      <c r="I62" s="504" t="n"/>
      <c r="J62" s="362" t="n"/>
      <c r="K62" s="166" t="n"/>
      <c r="L62" s="166" t="n"/>
      <c r="M62" s="166" t="n"/>
      <c r="N62" s="166" t="n"/>
    </row>
    <row r="63" ht="25.35" customHeight="1" s="330">
      <c r="A63" s="49" t="n">
        <v>7</v>
      </c>
      <c r="B63" s="50">
        <f>#REF!</f>
        <v/>
      </c>
      <c r="C63" s="502">
        <f>P12</f>
        <v/>
      </c>
      <c r="D63" s="362" t="n"/>
      <c r="E63" s="503">
        <f>H48-C63</f>
        <v/>
      </c>
      <c r="F63" s="467" t="n"/>
      <c r="G63" s="467" t="n"/>
      <c r="H63" s="362" t="n"/>
      <c r="I63" s="504" t="n"/>
      <c r="J63" s="362" t="n"/>
      <c r="K63" s="166" t="n"/>
      <c r="L63" s="166" t="n"/>
      <c r="M63" s="166" t="n"/>
      <c r="N63" s="166" t="n"/>
    </row>
    <row r="64" ht="25.35" customHeight="1" s="330">
      <c r="A64" s="49" t="n">
        <v>8</v>
      </c>
      <c r="B64" s="50">
        <f>#REF!</f>
        <v/>
      </c>
      <c r="C64" s="502">
        <f>P13</f>
        <v/>
      </c>
      <c r="D64" s="362" t="n"/>
      <c r="E64" s="505">
        <f>H48-C64</f>
        <v/>
      </c>
      <c r="F64" s="467" t="n"/>
      <c r="G64" s="467" t="n"/>
      <c r="H64" s="362" t="n"/>
      <c r="I64" s="504" t="n"/>
      <c r="J64" s="362" t="n"/>
      <c r="K64" s="166" t="n"/>
      <c r="L64" s="166" t="n"/>
      <c r="M64" s="166" t="n"/>
      <c r="N64" s="166" t="n"/>
    </row>
    <row r="65" ht="25.35" customHeight="1" s="330">
      <c r="A65" s="49" t="n">
        <v>9</v>
      </c>
      <c r="B65" s="50">
        <f>#REF!</f>
        <v/>
      </c>
      <c r="C65" s="502">
        <f>P14</f>
        <v/>
      </c>
      <c r="D65" s="362" t="n"/>
      <c r="E65" s="505">
        <f>H48-C65</f>
        <v/>
      </c>
      <c r="F65" s="467" t="n"/>
      <c r="G65" s="467" t="n"/>
      <c r="H65" s="362" t="n"/>
      <c r="I65" s="504" t="n"/>
      <c r="J65" s="362" t="n"/>
      <c r="K65" s="166" t="n"/>
      <c r="L65" s="166" t="n"/>
      <c r="M65" s="166" t="n"/>
      <c r="N65" s="166" t="n"/>
    </row>
    <row r="66" ht="25.35" customHeight="1" s="330">
      <c r="A66" s="49" t="n">
        <v>10</v>
      </c>
      <c r="B66" s="50">
        <f>#REF!</f>
        <v/>
      </c>
      <c r="C66" s="502">
        <f>P15</f>
        <v/>
      </c>
      <c r="D66" s="362" t="n"/>
      <c r="E66" s="505">
        <f>H48-C66</f>
        <v/>
      </c>
      <c r="F66" s="467" t="n"/>
      <c r="G66" s="467" t="n"/>
      <c r="H66" s="362" t="n"/>
      <c r="I66" s="504" t="n"/>
      <c r="J66" s="362" t="n"/>
      <c r="K66" s="166" t="n"/>
      <c r="L66" s="166" t="n"/>
      <c r="M66" s="166" t="n"/>
      <c r="N66" s="166" t="n"/>
    </row>
    <row r="67" ht="25.35" customHeight="1" s="330">
      <c r="A67" s="49" t="n">
        <v>11</v>
      </c>
      <c r="B67" s="50">
        <f>#REF!</f>
        <v/>
      </c>
      <c r="C67" s="502">
        <f>P16</f>
        <v/>
      </c>
      <c r="D67" s="362" t="n"/>
      <c r="E67" s="505">
        <f>H48-C67</f>
        <v/>
      </c>
      <c r="F67" s="467" t="n"/>
      <c r="G67" s="467" t="n"/>
      <c r="H67" s="362" t="n"/>
      <c r="I67" s="504" t="n"/>
      <c r="J67" s="362" t="n"/>
      <c r="K67" s="166" t="n"/>
      <c r="L67" s="166" t="n"/>
      <c r="M67" s="166" t="n"/>
      <c r="N67" s="166" t="n"/>
    </row>
    <row r="68" ht="25.35" customHeight="1" s="330">
      <c r="A68" s="49" t="n">
        <v>12</v>
      </c>
      <c r="B68" s="50">
        <f>#REF!</f>
        <v/>
      </c>
      <c r="C68" s="502">
        <f>P17</f>
        <v/>
      </c>
      <c r="D68" s="362" t="n"/>
      <c r="E68" s="505">
        <f>H48-C68</f>
        <v/>
      </c>
      <c r="F68" s="467" t="n"/>
      <c r="G68" s="467" t="n"/>
      <c r="H68" s="362" t="n"/>
      <c r="I68" s="504" t="n"/>
      <c r="J68" s="362" t="n"/>
      <c r="K68" s="166" t="n"/>
      <c r="L68" s="166" t="n"/>
      <c r="M68" s="166" t="n"/>
      <c r="N68" s="166" t="n"/>
    </row>
    <row r="69" ht="25.35" customHeight="1" s="330">
      <c r="A69" s="49" t="n">
        <v>13</v>
      </c>
      <c r="B69" s="50">
        <f>#REF!</f>
        <v/>
      </c>
      <c r="C69" s="502">
        <f>P18</f>
        <v/>
      </c>
      <c r="D69" s="362" t="n"/>
      <c r="E69" s="506">
        <f>H48-C69</f>
        <v/>
      </c>
      <c r="F69" s="467" t="n"/>
      <c r="G69" s="467" t="n"/>
      <c r="H69" s="362" t="n"/>
      <c r="I69" s="504" t="n"/>
      <c r="J69" s="362" t="n"/>
      <c r="K69" s="166" t="n"/>
      <c r="L69" s="166" t="n"/>
      <c r="M69" s="166" t="n"/>
      <c r="N69" s="166" t="n"/>
    </row>
    <row r="70" ht="25.35" customHeight="1" s="330">
      <c r="A70" s="49" t="n">
        <v>14</v>
      </c>
      <c r="B70" s="50">
        <f>#REF!</f>
        <v/>
      </c>
      <c r="C70" s="502">
        <f>P19</f>
        <v/>
      </c>
      <c r="D70" s="362" t="n"/>
      <c r="E70" s="503">
        <f>H48-C70</f>
        <v/>
      </c>
      <c r="F70" s="467" t="n"/>
      <c r="G70" s="467" t="n"/>
      <c r="H70" s="362" t="n"/>
      <c r="I70" s="504" t="n"/>
      <c r="J70" s="362" t="n"/>
      <c r="K70" s="166" t="n"/>
      <c r="L70" s="166" t="n"/>
      <c r="M70" s="166" t="n"/>
      <c r="N70" s="166" t="n"/>
    </row>
    <row r="71" ht="25.35" customHeight="1" s="330">
      <c r="A71" s="49" t="n">
        <v>15</v>
      </c>
      <c r="B71" s="50">
        <f>#REF!</f>
        <v/>
      </c>
      <c r="C71" s="502">
        <f>P20</f>
        <v/>
      </c>
      <c r="D71" s="362" t="n"/>
      <c r="E71" s="503">
        <f>H48-C71</f>
        <v/>
      </c>
      <c r="F71" s="467" t="n"/>
      <c r="G71" s="467" t="n"/>
      <c r="H71" s="362" t="n"/>
      <c r="I71" s="504" t="n"/>
      <c r="J71" s="362" t="n"/>
      <c r="K71" s="166" t="n"/>
      <c r="L71" s="166" t="n"/>
      <c r="M71" s="166" t="n"/>
      <c r="N71" s="166" t="n"/>
    </row>
    <row r="72" ht="25.35" customHeight="1" s="330">
      <c r="A72" s="49" t="n">
        <v>16</v>
      </c>
      <c r="B72" s="50">
        <f>#REF!</f>
        <v/>
      </c>
      <c r="C72" s="502">
        <f>P21</f>
        <v/>
      </c>
      <c r="D72" s="362" t="n"/>
      <c r="E72" s="505">
        <f>H48-C72</f>
        <v/>
      </c>
      <c r="F72" s="467" t="n"/>
      <c r="G72" s="467" t="n"/>
      <c r="H72" s="362" t="n"/>
      <c r="I72" s="504" t="n"/>
      <c r="J72" s="362" t="n"/>
      <c r="K72" s="166" t="n"/>
      <c r="L72" s="166" t="n"/>
      <c r="M72" s="166" t="n"/>
      <c r="N72" s="166" t="n"/>
    </row>
    <row r="73" ht="25.35" customHeight="1" s="330">
      <c r="A73" s="49" t="n">
        <v>17</v>
      </c>
      <c r="B73" s="50">
        <f>#REF!</f>
        <v/>
      </c>
      <c r="C73" s="502">
        <f>P22</f>
        <v/>
      </c>
      <c r="D73" s="362" t="n"/>
      <c r="E73" s="503">
        <f>H48-C73</f>
        <v/>
      </c>
      <c r="F73" s="467" t="n"/>
      <c r="G73" s="467" t="n"/>
      <c r="H73" s="362" t="n"/>
      <c r="I73" s="504" t="n"/>
      <c r="J73" s="362" t="n"/>
      <c r="K73" s="166" t="n"/>
      <c r="L73" s="166" t="n"/>
      <c r="M73" s="166" t="n"/>
      <c r="N73" s="166" t="n"/>
    </row>
    <row r="74" ht="25.35" customHeight="1" s="330">
      <c r="A74" s="49" t="n">
        <v>18</v>
      </c>
      <c r="B74" s="50">
        <f>#REF!</f>
        <v/>
      </c>
      <c r="C74" s="502">
        <f>P23</f>
        <v/>
      </c>
      <c r="D74" s="362" t="n"/>
      <c r="E74" s="505">
        <f>H48-C74</f>
        <v/>
      </c>
      <c r="F74" s="467" t="n"/>
      <c r="G74" s="467" t="n"/>
      <c r="H74" s="362" t="n"/>
      <c r="I74" s="504" t="n"/>
      <c r="J74" s="362" t="n"/>
      <c r="K74" s="166" t="n"/>
      <c r="L74" s="166" t="n"/>
      <c r="M74" s="166" t="n"/>
      <c r="N74" s="166" t="n"/>
    </row>
    <row r="75" ht="25.35" customHeight="1" s="330">
      <c r="A75" s="49" t="n">
        <v>19</v>
      </c>
      <c r="B75" s="50">
        <f>#REF!</f>
        <v/>
      </c>
      <c r="C75" s="502">
        <f>P24</f>
        <v/>
      </c>
      <c r="D75" s="362" t="n"/>
      <c r="E75" s="505">
        <f>H48-C75</f>
        <v/>
      </c>
      <c r="F75" s="467" t="n"/>
      <c r="G75" s="467" t="n"/>
      <c r="H75" s="362" t="n"/>
      <c r="I75" s="504" t="n"/>
      <c r="J75" s="362" t="n"/>
      <c r="K75" s="166" t="n"/>
      <c r="L75" s="166" t="n"/>
      <c r="M75" s="166" t="n"/>
      <c r="N75" s="166" t="n"/>
    </row>
    <row r="76" ht="25.35" customHeight="1" s="330">
      <c r="A76" s="49" t="n">
        <v>20</v>
      </c>
      <c r="B76" s="50">
        <f>#REF!</f>
        <v/>
      </c>
      <c r="C76" s="502">
        <f>P32</f>
        <v/>
      </c>
      <c r="D76" s="362" t="n"/>
      <c r="E76" s="505">
        <f>H48-C76</f>
        <v/>
      </c>
      <c r="F76" s="467" t="n"/>
      <c r="G76" s="467" t="n"/>
      <c r="H76" s="362" t="n"/>
      <c r="I76" s="504" t="n"/>
      <c r="J76" s="362" t="n"/>
      <c r="K76" s="166" t="n"/>
      <c r="L76" s="166" t="n"/>
      <c r="M76" s="166" t="n"/>
      <c r="N76" s="166" t="n"/>
    </row>
    <row r="77" ht="25.35" customHeight="1" s="330">
      <c r="A77" s="49" t="n">
        <v>21</v>
      </c>
      <c r="B77" s="50">
        <f>#REF!</f>
        <v/>
      </c>
      <c r="C77" s="502">
        <f>P33</f>
        <v/>
      </c>
      <c r="D77" s="362" t="n"/>
      <c r="E77" s="503">
        <f>H48-C77</f>
        <v/>
      </c>
      <c r="F77" s="467" t="n"/>
      <c r="G77" s="467" t="n"/>
      <c r="H77" s="362" t="n"/>
      <c r="I77" s="504" t="n"/>
      <c r="J77" s="362" t="n"/>
      <c r="K77" s="166" t="n"/>
      <c r="L77" s="166" t="n"/>
      <c r="M77" s="166" t="n"/>
      <c r="N77" s="166" t="n"/>
    </row>
    <row r="78" ht="25.35" customHeight="1" s="330">
      <c r="A78" s="49" t="n">
        <v>22</v>
      </c>
      <c r="B78" s="50">
        <f>#REF!</f>
        <v/>
      </c>
      <c r="C78" s="502">
        <f>P34</f>
        <v/>
      </c>
      <c r="D78" s="362" t="n"/>
      <c r="E78" s="505">
        <f>H48-C78</f>
        <v/>
      </c>
      <c r="F78" s="467" t="n"/>
      <c r="G78" s="467" t="n"/>
      <c r="H78" s="362" t="n"/>
      <c r="I78" s="504" t="n"/>
      <c r="J78" s="362" t="n"/>
      <c r="K78" s="166" t="n"/>
      <c r="L78" s="166" t="n"/>
      <c r="M78" s="166" t="n"/>
      <c r="N78" s="166" t="n"/>
    </row>
    <row r="79" ht="26.4" customHeight="1" s="330">
      <c r="A79" s="49" t="n">
        <v>23</v>
      </c>
      <c r="B79" s="50">
        <f>#REF!</f>
        <v/>
      </c>
      <c r="C79" s="502">
        <f>P35</f>
        <v/>
      </c>
      <c r="D79" s="362" t="n"/>
      <c r="E79" s="505">
        <f>H48-C79</f>
        <v/>
      </c>
      <c r="F79" s="467" t="n"/>
      <c r="G79" s="467" t="n"/>
      <c r="H79" s="362" t="n"/>
      <c r="I79" s="504" t="n"/>
      <c r="J79" s="362" t="n"/>
      <c r="K79" s="166" t="n"/>
      <c r="L79" s="166" t="n"/>
      <c r="M79" s="166" t="n"/>
      <c r="N79" s="166" t="n"/>
    </row>
    <row r="80" ht="26.4" customHeight="1" s="330">
      <c r="A80" s="49" t="n">
        <v>24</v>
      </c>
      <c r="B80" s="50">
        <f>#REF!</f>
        <v/>
      </c>
      <c r="C80" s="351">
        <f>P36</f>
        <v/>
      </c>
      <c r="D80" s="362" t="n"/>
      <c r="E80" s="503">
        <f>H48-C80</f>
        <v/>
      </c>
      <c r="F80" s="467" t="n"/>
      <c r="G80" s="467" t="n"/>
      <c r="H80" s="362" t="n"/>
      <c r="I80" s="504" t="n"/>
      <c r="J80" s="362" t="n"/>
    </row>
    <row r="81" ht="26.4" customHeight="1" s="330">
      <c r="A81" s="220" t="n">
        <v>25</v>
      </c>
      <c r="B81" s="50">
        <f>#REF!</f>
        <v/>
      </c>
      <c r="C81" s="351">
        <f>P37</f>
        <v/>
      </c>
      <c r="D81" s="362" t="n"/>
      <c r="E81" s="503">
        <f>H48-C81</f>
        <v/>
      </c>
      <c r="F81" s="467" t="n"/>
      <c r="G81" s="467" t="n"/>
      <c r="H81" s="362" t="n"/>
      <c r="I81" s="507" t="n"/>
      <c r="J81" s="362" t="n"/>
    </row>
    <row r="82" ht="26.4" customHeight="1" s="330">
      <c r="A82" s="221" t="n">
        <v>26</v>
      </c>
      <c r="B82" s="50">
        <f>#REF!</f>
        <v/>
      </c>
      <c r="C82" s="351">
        <f>P38</f>
        <v/>
      </c>
      <c r="D82" s="362" t="n"/>
      <c r="E82" s="503">
        <f>H48-C82</f>
        <v/>
      </c>
      <c r="F82" s="467" t="n"/>
      <c r="G82" s="467" t="n"/>
      <c r="H82" s="362" t="n"/>
      <c r="I82" s="507" t="n"/>
      <c r="J82" s="362" t="n"/>
    </row>
    <row r="83"/>
    <row r="84"/>
    <row r="85" ht="25.8" customHeight="1" s="330">
      <c r="E85" s="349" t="inlineStr">
        <is>
          <t>ลงชื่อ..................................................................................................................................</t>
        </is>
      </c>
      <c r="K85" s="349" t="n"/>
      <c r="L85" s="349" t="n"/>
      <c r="M85" s="349" t="n"/>
      <c r="N85" s="349" t="n"/>
    </row>
    <row r="86" ht="23.25" customHeight="1" s="330">
      <c r="F86" s="363" t="inlineStr">
        <is>
          <t xml:space="preserve"> ( นายชำนาญ แก้วจงประสิทธิ์ )</t>
        </is>
      </c>
      <c r="K86" s="363" t="n"/>
      <c r="L86" s="363" t="n"/>
      <c r="M86" s="363" t="n"/>
      <c r="N86" s="363" t="n"/>
    </row>
    <row r="87" ht="25.2" customHeight="1" s="330">
      <c r="F87" s="348" t="inlineStr">
        <is>
          <t>ตำแหน่ง    หัวหน้าแผนกวิชา ช่างยนต์</t>
        </is>
      </c>
      <c r="K87" s="349" t="n"/>
      <c r="L87" s="349" t="n"/>
      <c r="M87" s="349" t="n"/>
      <c r="N87" s="349" t="n"/>
    </row>
  </sheetData>
  <mergeCells count="125">
    <mergeCell ref="K49:L49"/>
    <mergeCell ref="C55:H55"/>
    <mergeCell ref="C62:D62"/>
    <mergeCell ref="E61:H61"/>
    <mergeCell ref="A46:C46"/>
    <mergeCell ref="I81:J81"/>
    <mergeCell ref="A51:B51"/>
    <mergeCell ref="K4:L4"/>
    <mergeCell ref="C64:D64"/>
    <mergeCell ref="C79:D79"/>
    <mergeCell ref="C73:D73"/>
    <mergeCell ref="I76:J76"/>
    <mergeCell ref="C63:D63"/>
    <mergeCell ref="E62:H62"/>
    <mergeCell ref="I71:J71"/>
    <mergeCell ref="I66:J66"/>
    <mergeCell ref="E71:H71"/>
    <mergeCell ref="C56:D56"/>
    <mergeCell ref="I58:J58"/>
    <mergeCell ref="K52:L52"/>
    <mergeCell ref="E64:H64"/>
    <mergeCell ref="E79:H79"/>
    <mergeCell ref="E73:H73"/>
    <mergeCell ref="C76:D76"/>
    <mergeCell ref="E82:H82"/>
    <mergeCell ref="E63:H63"/>
    <mergeCell ref="C67:D67"/>
    <mergeCell ref="E65:H65"/>
    <mergeCell ref="E74:H74"/>
    <mergeCell ref="I69:J69"/>
    <mergeCell ref="C69:D69"/>
    <mergeCell ref="I30:J30"/>
    <mergeCell ref="A48:B48"/>
    <mergeCell ref="K30:L30"/>
    <mergeCell ref="C30:D30"/>
    <mergeCell ref="F87:J87"/>
    <mergeCell ref="I77:J77"/>
    <mergeCell ref="I80:J80"/>
    <mergeCell ref="O4:O5"/>
    <mergeCell ref="I61:J61"/>
    <mergeCell ref="O30:O31"/>
    <mergeCell ref="E75:H75"/>
    <mergeCell ref="I70:J70"/>
    <mergeCell ref="C4:D4"/>
    <mergeCell ref="E4:F4"/>
    <mergeCell ref="I57:J57"/>
    <mergeCell ref="K51:L51"/>
    <mergeCell ref="I72:J72"/>
    <mergeCell ref="E67:H67"/>
    <mergeCell ref="A44:C44"/>
    <mergeCell ref="C60:D60"/>
    <mergeCell ref="C71:D71"/>
    <mergeCell ref="B55:B56"/>
    <mergeCell ref="A25:J25"/>
    <mergeCell ref="B30:B31"/>
    <mergeCell ref="I82:J82"/>
    <mergeCell ref="A52:B52"/>
    <mergeCell ref="C82:D82"/>
    <mergeCell ref="P30:P31"/>
    <mergeCell ref="C57:D57"/>
    <mergeCell ref="C66:D66"/>
    <mergeCell ref="I59:J59"/>
    <mergeCell ref="I60:J60"/>
    <mergeCell ref="I74:J74"/>
    <mergeCell ref="C77:D77"/>
    <mergeCell ref="C68:D68"/>
    <mergeCell ref="A49:B49"/>
    <mergeCell ref="C58:D58"/>
    <mergeCell ref="E76:H76"/>
    <mergeCell ref="E66:H66"/>
    <mergeCell ref="I55:J56"/>
    <mergeCell ref="C65:D65"/>
    <mergeCell ref="C75:D75"/>
    <mergeCell ref="E68:H68"/>
    <mergeCell ref="C80:D80"/>
    <mergeCell ref="C59:D59"/>
    <mergeCell ref="E85:J85"/>
    <mergeCell ref="A4:A5"/>
    <mergeCell ref="I62:J62"/>
    <mergeCell ref="C61:D61"/>
    <mergeCell ref="C70:D70"/>
    <mergeCell ref="A41:J41"/>
    <mergeCell ref="I64:J64"/>
    <mergeCell ref="I79:J79"/>
    <mergeCell ref="D27:H28"/>
    <mergeCell ref="I73:J73"/>
    <mergeCell ref="E78:H78"/>
    <mergeCell ref="B4:B5"/>
    <mergeCell ref="I63:J63"/>
    <mergeCell ref="P4:P5"/>
    <mergeCell ref="E80:H80"/>
    <mergeCell ref="E56:F56"/>
    <mergeCell ref="G56:H56"/>
    <mergeCell ref="I65:J65"/>
    <mergeCell ref="E70:H70"/>
    <mergeCell ref="E57:H57"/>
    <mergeCell ref="E72:H72"/>
    <mergeCell ref="C74:D74"/>
    <mergeCell ref="E81:H81"/>
    <mergeCell ref="E58:H58"/>
    <mergeCell ref="F86:J86"/>
    <mergeCell ref="A55:A56"/>
    <mergeCell ref="I75:J75"/>
    <mergeCell ref="A43:F43"/>
    <mergeCell ref="M30:N30"/>
    <mergeCell ref="I68:J68"/>
    <mergeCell ref="E30:F30"/>
    <mergeCell ref="G30:H30"/>
    <mergeCell ref="D1:H2"/>
    <mergeCell ref="I67:J67"/>
    <mergeCell ref="K48:L48"/>
    <mergeCell ref="H43:J43"/>
    <mergeCell ref="G4:H4"/>
    <mergeCell ref="E60:H60"/>
    <mergeCell ref="I4:J4"/>
    <mergeCell ref="E69:H69"/>
    <mergeCell ref="A45:C45"/>
    <mergeCell ref="C72:D72"/>
    <mergeCell ref="I78:J78"/>
    <mergeCell ref="C81:D81"/>
    <mergeCell ref="E59:H59"/>
    <mergeCell ref="E77:H77"/>
    <mergeCell ref="C78:D78"/>
    <mergeCell ref="M4:N4"/>
    <mergeCell ref="A30:A31"/>
  </mergeCells>
  <printOptions horizontalCentered="1"/>
  <pageMargins left="0" right="0" top="0" bottom="0" header="0" footer="0"/>
  <pageSetup orientation="portrait" scale="54" horizontalDpi="4294967293"/>
  <rowBreaks count="1" manualBreakCount="1">
    <brk id="53" min="0" max="13" man="1"/>
  </rowBreaks>
</worksheet>
</file>

<file path=xl/worksheets/sheet6.xml><?xml version="1.0" encoding="utf-8"?>
<worksheet xmlns="http://schemas.openxmlformats.org/spreadsheetml/2006/main">
  <sheetPr codeName="Sheet80">
    <outlinePr summaryBelow="1" summaryRight="1"/>
    <pageSetUpPr/>
  </sheetPr>
  <dimension ref="A1:P104"/>
  <sheetViews>
    <sheetView view="pageBreakPreview" zoomScaleNormal="90" zoomScaleSheetLayoutView="100" workbookViewId="0">
      <selection activeCell="H13" sqref="H13"/>
    </sheetView>
  </sheetViews>
  <sheetFormatPr baseColWidth="8" defaultColWidth="9.109375" defaultRowHeight="19.8"/>
  <cols>
    <col width="6.33203125" customWidth="1" style="81" min="1" max="1"/>
    <col width="21.6640625" customWidth="1" style="81" min="2" max="2"/>
    <col width="9.5546875" customWidth="1" style="81" min="3" max="3"/>
    <col width="5.44140625" customWidth="1" style="81" min="4" max="4"/>
    <col width="5.5546875" customWidth="1" style="81" min="5" max="5"/>
    <col width="10.44140625" customWidth="1" style="81" min="6" max="6"/>
    <col width="18.88671875" customWidth="1" style="81" min="7" max="7"/>
    <col width="16.6640625" customWidth="1" style="81" min="8" max="8"/>
    <col width="14.44140625" customWidth="1" style="81" min="9" max="9"/>
    <col width="17.44140625" customWidth="1" style="81" min="10" max="10"/>
    <col width="15.44140625" customWidth="1" style="81" min="11" max="11"/>
    <col width="9.44140625" customWidth="1" style="81" min="12" max="12"/>
    <col width="10.33203125" customWidth="1" style="81" min="13" max="13"/>
    <col width="9.109375" customWidth="1" style="81" min="14" max="16384"/>
  </cols>
  <sheetData>
    <row r="1" ht="29.85" customFormat="1" customHeight="1" s="462">
      <c r="A1" s="412" t="inlineStr">
        <is>
          <t>หลักฐานการเบิกจ่ายเงินค่าสอนพิเศษและค่าสอนเกินภาระงานสอนในสถานศึกษา</t>
        </is>
      </c>
    </row>
    <row r="2" ht="25.2" customFormat="1" customHeight="1" s="462">
      <c r="C2" s="82" t="inlineStr">
        <is>
          <t>ส่วนราชการ    วิทยาลัยเทคนิคนครสวรรค์</t>
        </is>
      </c>
      <c r="H2" s="83" t="inlineStr">
        <is>
          <t>ประจำเดือน</t>
        </is>
      </c>
      <c r="I2" s="412" t="inlineStr">
        <is>
          <t>27 พฤศจิกายน 2566 - 29 ธันวาคม 2566</t>
        </is>
      </c>
      <c r="K2" s="76" t="n"/>
    </row>
    <row r="3" ht="20.1" customFormat="1" customHeight="1" s="462">
      <c r="H3" s="84" t="n"/>
      <c r="K3" s="85" t="n"/>
    </row>
    <row r="4" ht="20.1" customFormat="1" customHeight="1" s="462">
      <c r="A4" s="86" t="n"/>
      <c r="B4" s="87" t="n"/>
      <c r="C4" s="88" t="n"/>
      <c r="D4" s="88" t="n"/>
      <c r="E4" s="89" t="n"/>
      <c r="F4" s="90" t="n"/>
      <c r="G4" s="508" t="inlineStr">
        <is>
          <t>ระดับการสอน</t>
        </is>
      </c>
      <c r="H4" s="362" t="n"/>
      <c r="I4" s="90" t="inlineStr">
        <is>
          <t>จำนวนหน่วย</t>
        </is>
      </c>
      <c r="J4" s="509" t="inlineStr">
        <is>
          <t>จำนวนเงิน</t>
        </is>
      </c>
      <c r="K4" s="509" t="inlineStr">
        <is>
          <t>ลายมือชื่อผู้รับเงิน</t>
        </is>
      </c>
      <c r="L4" s="446" t="inlineStr">
        <is>
          <t>วัน/เดือน/ปี</t>
        </is>
      </c>
      <c r="M4" s="509" t="inlineStr">
        <is>
          <t>หมายเหตุ</t>
        </is>
      </c>
    </row>
    <row r="5" ht="20.1" customFormat="1" customHeight="1" s="462">
      <c r="A5" s="416" t="inlineStr">
        <is>
          <t>ลำดับที่</t>
        </is>
      </c>
      <c r="B5" s="510" t="inlineStr">
        <is>
          <t>ชื่อ - นามสกุล</t>
        </is>
      </c>
      <c r="E5" s="331" t="n"/>
      <c r="F5" s="433" t="inlineStr">
        <is>
          <t>ตำแหน่ง</t>
        </is>
      </c>
      <c r="G5" s="90" t="inlineStr">
        <is>
          <t>มัธยมศึกษาตอนต้น</t>
        </is>
      </c>
      <c r="H5" s="429" t="inlineStr">
        <is>
          <t>สูงกว่า</t>
        </is>
      </c>
      <c r="I5" s="433" t="inlineStr">
        <is>
          <t>ชั่วโมงที่ทำการสอน</t>
        </is>
      </c>
      <c r="J5" s="56" t="n"/>
      <c r="K5" s="56" t="n"/>
      <c r="L5" s="56" t="n"/>
      <c r="M5" s="56" t="n"/>
    </row>
    <row r="6" ht="20.1" customFormat="1" customHeight="1" s="462">
      <c r="A6" s="416" t="n"/>
      <c r="B6" s="418" t="n"/>
      <c r="C6" s="419" t="n"/>
      <c r="D6" s="419" t="n"/>
      <c r="E6" s="420" t="n"/>
      <c r="F6" s="97" t="inlineStr">
        <is>
          <t>ผู้ทำการสอน</t>
        </is>
      </c>
      <c r="G6" s="433" t="inlineStr">
        <is>
          <t>หรือมัธยมศึกษาตอนปลาย</t>
        </is>
      </c>
      <c r="H6" s="429" t="inlineStr">
        <is>
          <t>มัธยมศึกษาตอนปลาย</t>
        </is>
      </c>
      <c r="I6" s="433" t="inlineStr">
        <is>
          <t>พิเศษและสอนเกิน</t>
        </is>
      </c>
      <c r="J6" s="56" t="n"/>
      <c r="K6" s="56" t="n"/>
      <c r="L6" s="417" t="inlineStr">
        <is>
          <t>ที่รับเงิน</t>
        </is>
      </c>
      <c r="M6" s="56" t="n"/>
    </row>
    <row r="7" ht="20.1" customFormat="1" customHeight="1" s="77">
      <c r="A7" s="98" t="n"/>
      <c r="B7" s="424" t="n"/>
      <c r="C7" s="425" t="n"/>
      <c r="D7" s="425" t="n"/>
      <c r="E7" s="426" t="n"/>
      <c r="F7" s="98" t="n"/>
      <c r="G7" s="434" t="inlineStr">
        <is>
          <t>หรือเทียบเท่า</t>
        </is>
      </c>
      <c r="H7" s="423" t="inlineStr">
        <is>
          <t>หรือเทียบเท่า</t>
        </is>
      </c>
      <c r="I7" s="434" t="inlineStr">
        <is>
          <t>ภาระงานสอน</t>
        </is>
      </c>
      <c r="J7" s="474" t="n"/>
      <c r="K7" s="474" t="n"/>
      <c r="L7" s="474" t="n"/>
      <c r="M7" s="474" t="n"/>
      <c r="O7" s="78">
        <f>#REF!</f>
        <v/>
      </c>
      <c r="P7" s="79" t="n"/>
    </row>
    <row r="8" ht="20.1" customFormat="1" customHeight="1" s="77">
      <c r="A8" s="104" t="n">
        <v>1</v>
      </c>
      <c r="B8" s="511">
        <f>ตารางแจงเงินรายบุคคล!B6</f>
        <v/>
      </c>
      <c r="C8" s="467" t="n"/>
      <c r="D8" s="467" t="n"/>
      <c r="E8" s="362" t="n"/>
      <c r="F8" s="104" t="inlineStr">
        <is>
          <t>ครู</t>
        </is>
      </c>
      <c r="G8" s="232" t="inlineStr">
        <is>
          <t>ü</t>
        </is>
      </c>
      <c r="H8" s="232" t="n"/>
      <c r="I8" s="106">
        <f>ตารางแจงเงินรายบุคคล!O6</f>
        <v/>
      </c>
      <c r="J8" s="107">
        <f>ตารางแจงเงินรายบุคคล!P6</f>
        <v/>
      </c>
      <c r="K8" s="108" t="n"/>
      <c r="L8" s="109" t="n"/>
      <c r="M8" s="110" t="n"/>
      <c r="O8" s="78">
        <f>#REF!</f>
        <v/>
      </c>
      <c r="P8" s="79" t="n"/>
    </row>
    <row r="9" ht="20.1" customFormat="1" customHeight="1" s="77">
      <c r="A9" s="111" t="n">
        <v>2</v>
      </c>
      <c r="B9" s="511">
        <f>ตารางแจงเงินรายบุคคล!B7</f>
        <v/>
      </c>
      <c r="C9" s="467" t="n"/>
      <c r="D9" s="467" t="n"/>
      <c r="E9" s="362" t="n"/>
      <c r="F9" s="113" t="inlineStr">
        <is>
          <t>พนง.ราชการ</t>
        </is>
      </c>
      <c r="G9" s="237" t="inlineStr">
        <is>
          <t>ü</t>
        </is>
      </c>
      <c r="H9" s="231" t="n"/>
      <c r="I9" s="104">
        <f>ตารางแจงเงินรายบุคคล!O7</f>
        <v/>
      </c>
      <c r="J9" s="238">
        <f>ตารางแจงเงินรายบุคคล!P7</f>
        <v/>
      </c>
      <c r="K9" s="108" t="n"/>
      <c r="L9" s="109" t="n"/>
      <c r="M9" s="113" t="n"/>
      <c r="O9" s="78">
        <f>#REF!</f>
        <v/>
      </c>
      <c r="P9" s="79" t="n"/>
    </row>
    <row r="10" ht="20.1" customFormat="1" customHeight="1" s="77">
      <c r="A10" s="111" t="n">
        <v>3</v>
      </c>
      <c r="B10" s="511" t="n"/>
      <c r="C10" s="467" t="n"/>
      <c r="D10" s="467" t="n"/>
      <c r="E10" s="362" t="n"/>
      <c r="F10" s="104" t="n"/>
      <c r="G10" s="139" t="n"/>
      <c r="I10" s="111" t="n"/>
      <c r="J10" s="112" t="n"/>
      <c r="K10" s="108" t="n"/>
      <c r="L10" s="109" t="n"/>
      <c r="M10" s="113" t="n"/>
      <c r="O10" s="78">
        <f>#REF!</f>
        <v/>
      </c>
      <c r="P10" s="79" t="n"/>
    </row>
    <row r="11" ht="20.1" customFormat="1" customHeight="1" s="77">
      <c r="A11" s="111" t="n">
        <v>4</v>
      </c>
      <c r="B11" s="511" t="n"/>
      <c r="C11" s="467" t="n"/>
      <c r="D11" s="467" t="n"/>
      <c r="E11" s="362" t="n"/>
      <c r="F11" s="104" t="n"/>
      <c r="G11" s="139" t="n"/>
      <c r="H11" s="231" t="n"/>
      <c r="I11" s="111" t="n"/>
      <c r="J11" s="112" t="n"/>
      <c r="K11" s="451" t="n"/>
      <c r="L11" s="109" t="n"/>
      <c r="M11" s="113" t="n"/>
      <c r="O11" s="78">
        <f>#REF!</f>
        <v/>
      </c>
      <c r="P11" s="79" t="n"/>
    </row>
    <row r="12" ht="20.1" customFormat="1" customHeight="1" s="77">
      <c r="A12" s="111" t="n">
        <v>5</v>
      </c>
      <c r="B12" s="511" t="n"/>
      <c r="C12" s="467" t="n"/>
      <c r="D12" s="467" t="n"/>
      <c r="E12" s="362" t="n"/>
      <c r="F12" s="104" t="n"/>
      <c r="G12" s="139" t="n"/>
      <c r="H12" s="231" t="n"/>
      <c r="I12" s="111" t="n"/>
      <c r="J12" s="112" t="n"/>
      <c r="K12" s="451" t="n"/>
      <c r="L12" s="109" t="n"/>
      <c r="M12" s="113" t="n"/>
      <c r="O12" s="78">
        <f>#REF!</f>
        <v/>
      </c>
      <c r="P12" s="79" t="n"/>
    </row>
    <row r="13" ht="20.1" customFormat="1" customHeight="1" s="77">
      <c r="A13" s="111" t="n">
        <v>6</v>
      </c>
      <c r="B13" s="511" t="n"/>
      <c r="C13" s="467" t="n"/>
      <c r="D13" s="467" t="n"/>
      <c r="E13" s="362" t="n"/>
      <c r="F13" s="104" t="n"/>
      <c r="G13" s="139" t="n"/>
      <c r="H13" s="231" t="n"/>
      <c r="I13" s="111" t="n"/>
      <c r="J13" s="112" t="n"/>
      <c r="K13" s="451" t="n"/>
      <c r="L13" s="113" t="n"/>
      <c r="M13" s="113" t="n"/>
      <c r="O13" s="78">
        <f>#REF!</f>
        <v/>
      </c>
      <c r="P13" s="79" t="n"/>
    </row>
    <row r="14" ht="20.1" customFormat="1" customHeight="1" s="77">
      <c r="A14" s="111" t="n">
        <v>7</v>
      </c>
      <c r="B14" s="511" t="n"/>
      <c r="C14" s="467" t="n"/>
      <c r="D14" s="467" t="n"/>
      <c r="E14" s="362" t="n"/>
      <c r="F14" s="104" t="n"/>
      <c r="G14" s="139" t="n"/>
      <c r="I14" s="111" t="n"/>
      <c r="J14" s="115" t="n"/>
      <c r="K14" s="451" t="n"/>
      <c r="L14" s="113" t="n"/>
      <c r="M14" s="113" t="n"/>
      <c r="O14" s="78">
        <f>#REF!</f>
        <v/>
      </c>
      <c r="P14" s="79" t="n"/>
    </row>
    <row r="15" ht="20.1" customFormat="1" customHeight="1" s="77">
      <c r="A15" s="116" t="n">
        <v>8</v>
      </c>
      <c r="B15" s="98" t="n"/>
      <c r="C15" s="471" t="n"/>
      <c r="D15" s="471" t="n"/>
      <c r="E15" s="476" t="n"/>
      <c r="F15" s="104" t="n"/>
      <c r="H15" s="105" t="n"/>
      <c r="I15" s="117" t="n"/>
      <c r="J15" s="118" t="n"/>
      <c r="K15" s="119" t="n"/>
      <c r="L15" s="120" t="n"/>
      <c r="M15" s="120" t="n"/>
      <c r="O15" s="78">
        <f>#REF!</f>
        <v/>
      </c>
    </row>
    <row r="16" ht="20.1" customFormat="1" customHeight="1" s="77" thickBot="1">
      <c r="A16" s="121" t="n"/>
      <c r="B16" s="122" t="n"/>
      <c r="C16" s="122" t="n"/>
      <c r="D16" s="122" t="n"/>
      <c r="E16" s="441" t="inlineStr">
        <is>
          <t>รวมจำนวนเงิน</t>
        </is>
      </c>
      <c r="F16" s="512" t="n"/>
      <c r="G16" s="442">
        <f>B19</f>
        <v/>
      </c>
      <c r="H16" s="512" t="n"/>
      <c r="I16" s="513" t="n"/>
      <c r="J16" s="123">
        <f>SUM(J8:J15)</f>
        <v/>
      </c>
      <c r="K16" s="121" t="n"/>
      <c r="L16" s="122" t="n"/>
      <c r="M16" s="124" t="n"/>
      <c r="O16" s="78">
        <f>#REF!</f>
        <v/>
      </c>
    </row>
    <row r="17" ht="20.1" customFormat="1" customHeight="1" s="77" thickTop="1">
      <c r="A17" s="97" t="n"/>
      <c r="E17" s="331" t="n"/>
      <c r="F17" s="416" t="inlineStr">
        <is>
          <t>ผู้ทำ</t>
        </is>
      </c>
      <c r="I17" s="331" t="n"/>
      <c r="J17" s="416" t="inlineStr">
        <is>
          <t>ผู้จ่ายเงิน</t>
        </is>
      </c>
      <c r="M17" s="331" t="n"/>
      <c r="O17" s="78">
        <f>#REF!</f>
        <v/>
      </c>
    </row>
    <row r="18" ht="20.1" customFormat="1" customHeight="1" s="77">
      <c r="A18" s="427" t="inlineStr">
        <is>
          <t>รวมจำนวนเงินค่าสอนพิเศษทั้งสิ้น</t>
        </is>
      </c>
      <c r="C18" s="146">
        <f>J16</f>
        <v/>
      </c>
      <c r="D18" s="428" t="inlineStr">
        <is>
          <t>บาท</t>
        </is>
      </c>
      <c r="E18" s="463" t="n"/>
      <c r="F18" s="433" t="inlineStr">
        <is>
          <t>ลงชื่อ.........................................</t>
        </is>
      </c>
      <c r="I18" s="331" t="n"/>
      <c r="J18" s="433" t="inlineStr">
        <is>
          <t>ลงชื่อ.........................................</t>
        </is>
      </c>
      <c r="M18" s="331" t="n"/>
      <c r="O18" s="78">
        <f>#REF!</f>
        <v/>
      </c>
    </row>
    <row r="19" ht="20.1" customFormat="1" customHeight="1" s="77">
      <c r="A19" s="445" t="inlineStr">
        <is>
          <t>(</t>
        </is>
      </c>
      <c r="B19" s="428">
        <f>BAHTTEXT(C18)</f>
        <v/>
      </c>
      <c r="E19" s="130" t="inlineStr">
        <is>
          <t>)</t>
        </is>
      </c>
      <c r="F19" s="433" t="inlineStr">
        <is>
          <t>(นายอาทิตย์  แก้วแดง)</t>
        </is>
      </c>
      <c r="I19" s="331" t="n"/>
      <c r="J19" s="433" t="inlineStr">
        <is>
          <t>(นางวีณา กฐินทอง )</t>
        </is>
      </c>
      <c r="M19" s="331" t="n"/>
      <c r="O19" s="78">
        <f>#REF!</f>
        <v/>
      </c>
    </row>
    <row r="20" ht="20.1" customFormat="1" customHeight="1" s="77">
      <c r="A20" s="514" t="n"/>
      <c r="E20" s="331" t="n"/>
      <c r="F20" s="433" t="inlineStr">
        <is>
          <t>ตำแหน่งครู  หัวหน้าแผนกวิชายานยนต์ไฟฟ้า</t>
        </is>
      </c>
      <c r="I20" s="331" t="n"/>
      <c r="J20" s="433" t="inlineStr">
        <is>
          <t>ตำแหน่ง  หัวหน้างานการเงิน</t>
        </is>
      </c>
      <c r="M20" s="331" t="n"/>
      <c r="O20" s="78">
        <f>#REF!</f>
        <v/>
      </c>
    </row>
    <row r="21" ht="20.1" customFormat="1" customHeight="1" s="77">
      <c r="A21" s="98" t="n"/>
      <c r="B21" s="471" t="n"/>
      <c r="C21" s="471" t="n"/>
      <c r="D21" s="471" t="n"/>
      <c r="E21" s="476" t="n"/>
      <c r="F21" s="434" t="inlineStr">
        <is>
          <t>วันที่.......เดือน..........................พ.ศ..............</t>
        </is>
      </c>
      <c r="G21" s="471" t="n"/>
      <c r="H21" s="471" t="n"/>
      <c r="I21" s="476" t="n"/>
      <c r="J21" s="434" t="inlineStr">
        <is>
          <t>วันที่........เดือน...............พ.ศ...........</t>
        </is>
      </c>
      <c r="K21" s="471" t="n"/>
      <c r="L21" s="471" t="n"/>
      <c r="M21" s="476" t="n"/>
    </row>
    <row r="22" ht="20.1" customFormat="1" customHeight="1" s="462">
      <c r="A22" s="90" t="inlineStr">
        <is>
          <t>ผู้รับรอง</t>
        </is>
      </c>
      <c r="B22" s="334" t="n"/>
      <c r="C22" s="334" t="n"/>
      <c r="D22" s="334" t="n"/>
      <c r="E22" s="335" t="n"/>
      <c r="F22" s="90" t="inlineStr">
        <is>
          <t>ผู้เห็นชอบ</t>
        </is>
      </c>
      <c r="G22" s="334" t="n"/>
      <c r="H22" s="334" t="n"/>
      <c r="I22" s="335" t="n"/>
      <c r="J22" s="90" t="inlineStr">
        <is>
          <t>ผู้อนุมัติ</t>
        </is>
      </c>
      <c r="K22" s="334" t="n"/>
      <c r="L22" s="334" t="n"/>
      <c r="M22" s="335" t="n"/>
      <c r="O22" s="80">
        <f>O7+O8+O9+O10+O11+O12+O13+O14+O15+O16+O17+O18+O19+O20</f>
        <v/>
      </c>
    </row>
    <row r="23" ht="20.1" customFormat="1" customHeight="1" s="462">
      <c r="A23" s="433" t="inlineStr">
        <is>
          <t>ลงชื่อ...........................................................................</t>
        </is>
      </c>
      <c r="E23" s="331" t="n"/>
      <c r="F23" s="433" t="inlineStr">
        <is>
          <t>ลงชื่อ...............................................................</t>
        </is>
      </c>
      <c r="I23" s="331" t="n"/>
      <c r="J23" s="433" t="inlineStr">
        <is>
          <t>ลงชื่อ...................................................................</t>
        </is>
      </c>
      <c r="M23" s="331" t="n"/>
    </row>
    <row r="24" ht="20.1" customFormat="1" customHeight="1" s="462">
      <c r="A24" s="427" t="n"/>
      <c r="B24" s="428" t="inlineStr">
        <is>
          <t>(นายปรีชา โพธิ์เกิด)</t>
        </is>
      </c>
      <c r="D24" s="428" t="n"/>
      <c r="E24" s="463" t="n"/>
      <c r="F24" s="84" t="n"/>
      <c r="G24" s="428" t="inlineStr">
        <is>
          <t>(นางกุสุมา ขันกสิกรรม)</t>
        </is>
      </c>
      <c r="I24" s="463" t="n"/>
      <c r="J24" s="428" t="n"/>
      <c r="K24" s="428" t="inlineStr">
        <is>
          <t>(นายปริวิชญ์ ไชยประเสริฐ)</t>
        </is>
      </c>
      <c r="M24" s="429" t="n"/>
    </row>
    <row r="25" ht="20.1" customFormat="1" customHeight="1" s="462">
      <c r="A25" s="433" t="inlineStr">
        <is>
          <t>ตำแหน่ง รองผู้อำนวยการฝ่ายวิชาการ</t>
        </is>
      </c>
      <c r="E25" s="331" t="n"/>
      <c r="F25" s="433" t="inlineStr">
        <is>
          <t>ตำแหน่ง รองผู้อำนวยการฝ่ายบริหารทรัพยากร</t>
        </is>
      </c>
      <c r="I25" s="331" t="n"/>
      <c r="J25" s="433" t="inlineStr">
        <is>
          <t>ตำแหน่ง ผู้อำนวยการวิทยาลัยเทคนิคนครสวรรค์</t>
        </is>
      </c>
      <c r="M25" s="331" t="n"/>
    </row>
    <row r="26" ht="23.85" customFormat="1" customHeight="1" s="462">
      <c r="A26" s="434" t="inlineStr">
        <is>
          <t>วันที่..................เดือน..........................พ.ศ................</t>
        </is>
      </c>
      <c r="B26" s="471" t="n"/>
      <c r="C26" s="471" t="n"/>
      <c r="D26" s="471" t="n"/>
      <c r="E26" s="476" t="n"/>
      <c r="F26" s="434" t="inlineStr">
        <is>
          <t>วันที่.............เดือน.......................พ.ศ.............</t>
        </is>
      </c>
      <c r="G26" s="471" t="n"/>
      <c r="H26" s="471" t="n"/>
      <c r="I26" s="476" t="n"/>
      <c r="J26" s="434" t="inlineStr">
        <is>
          <t>วันที่...........เดือน...................พ.ศ..........</t>
        </is>
      </c>
      <c r="K26" s="471" t="n"/>
      <c r="L26" s="471" t="n"/>
      <c r="M26" s="476" t="n"/>
    </row>
    <row r="27" ht="29.25" customFormat="1" customHeight="1" s="462">
      <c r="A27" s="412" t="inlineStr">
        <is>
          <t>หลักฐานการเบิกจ่ายเงินค่าสอนพิเศษและค่าสอนเกินภาระงานสอนในสถานศึกษา</t>
        </is>
      </c>
    </row>
    <row r="28" ht="25.2" customFormat="1" customHeight="1" s="462">
      <c r="C28" s="82" t="inlineStr">
        <is>
          <t>ส่วนราชการ    วิทยาลัยเทคนิคนครสวรรค์</t>
        </is>
      </c>
      <c r="H28" s="83" t="inlineStr">
        <is>
          <t>ประจำเดือน</t>
        </is>
      </c>
      <c r="I28" s="412">
        <f>I2</f>
        <v/>
      </c>
      <c r="K28" s="76" t="n"/>
    </row>
    <row r="29" ht="20.1" customFormat="1" customHeight="1" s="462" thickBot="1">
      <c r="H29" s="84" t="n"/>
      <c r="K29" s="85" t="n"/>
    </row>
    <row r="30" ht="20.1" customFormat="1" customHeight="1" s="462" thickTop="1">
      <c r="A30" s="132" t="n"/>
      <c r="B30" s="133" t="n"/>
      <c r="C30" s="134" t="n"/>
      <c r="D30" s="134" t="n"/>
      <c r="E30" s="135" t="n"/>
      <c r="F30" s="136" t="n"/>
      <c r="G30" s="515" t="inlineStr">
        <is>
          <t>ระดับการสอน</t>
        </is>
      </c>
      <c r="H30" s="516" t="n"/>
      <c r="I30" s="136" t="inlineStr">
        <is>
          <t>จำนวนหน่วย</t>
        </is>
      </c>
      <c r="J30" s="517" t="inlineStr">
        <is>
          <t>จำนวนเงิน</t>
        </is>
      </c>
      <c r="K30" s="137" t="n"/>
      <c r="L30" s="138" t="n"/>
      <c r="M30" s="517" t="inlineStr">
        <is>
          <t>หมายเหตุ</t>
        </is>
      </c>
    </row>
    <row r="31" ht="20.1" customFormat="1" customHeight="1" s="462">
      <c r="A31" s="416" t="inlineStr">
        <is>
          <t>ลำดับที่</t>
        </is>
      </c>
      <c r="B31" s="510" t="inlineStr">
        <is>
          <t>ชื่อ - นามสกุล</t>
        </is>
      </c>
      <c r="E31" s="331" t="n"/>
      <c r="F31" s="433" t="inlineStr">
        <is>
          <t>ตำแหน่ง</t>
        </is>
      </c>
      <c r="G31" s="90" t="inlineStr">
        <is>
          <t>มัธยมศึกษาตอนต้น</t>
        </is>
      </c>
      <c r="H31" s="429" t="inlineStr">
        <is>
          <t>สูงกว่า</t>
        </is>
      </c>
      <c r="I31" s="433" t="inlineStr">
        <is>
          <t>ชั่วโมงที่ทำการสอน</t>
        </is>
      </c>
      <c r="J31" s="56" t="n"/>
      <c r="K31" s="428" t="inlineStr">
        <is>
          <t>ลายมือชื่อ</t>
        </is>
      </c>
      <c r="L31" s="433" t="inlineStr">
        <is>
          <t>วัน/เดือน/ปี</t>
        </is>
      </c>
      <c r="M31" s="56" t="n"/>
    </row>
    <row r="32" ht="20.1" customFormat="1" customHeight="1" s="462">
      <c r="A32" s="416" t="n"/>
      <c r="B32" s="418" t="n"/>
      <c r="C32" s="419" t="n"/>
      <c r="D32" s="419" t="n"/>
      <c r="E32" s="420" t="n"/>
      <c r="F32" s="97" t="inlineStr">
        <is>
          <t>ผู้ทำการสอน</t>
        </is>
      </c>
      <c r="G32" s="433" t="inlineStr">
        <is>
          <t>หรือมัธยมศึกษาตอนปลาย</t>
        </is>
      </c>
      <c r="H32" s="429" t="inlineStr">
        <is>
          <t>มัธยมศึกษาตอนปลาย</t>
        </is>
      </c>
      <c r="I32" s="433" t="inlineStr">
        <is>
          <t>พิเศษและสอนเกิน</t>
        </is>
      </c>
      <c r="J32" s="56" t="n"/>
      <c r="K32" s="428" t="inlineStr">
        <is>
          <t>ผู้รับเงิน</t>
        </is>
      </c>
      <c r="L32" s="433" t="inlineStr">
        <is>
          <t>ที่รับเงิน</t>
        </is>
      </c>
      <c r="M32" s="56" t="n"/>
    </row>
    <row r="33" ht="20.1" customFormat="1" customHeight="1" s="462">
      <c r="A33" s="98" t="n"/>
      <c r="B33" s="424" t="n"/>
      <c r="C33" s="425" t="n"/>
      <c r="D33" s="425" t="n"/>
      <c r="E33" s="426" t="n"/>
      <c r="F33" s="98" t="n"/>
      <c r="G33" s="434" t="inlineStr">
        <is>
          <t>หรือเทียบเท่า</t>
        </is>
      </c>
      <c r="H33" s="423" t="inlineStr">
        <is>
          <t>หรือเทียบเท่า</t>
        </is>
      </c>
      <c r="I33" s="434" t="inlineStr">
        <is>
          <t>ภาระงานสอน</t>
        </is>
      </c>
      <c r="J33" s="474" t="n"/>
      <c r="K33" s="425" t="n"/>
      <c r="L33" s="98" t="n"/>
      <c r="M33" s="474" t="n"/>
    </row>
    <row r="34" ht="20.1" customFormat="1" customHeight="1" s="462">
      <c r="A34" s="104" t="n"/>
      <c r="B34" s="508" t="inlineStr">
        <is>
          <t>ย/ม</t>
        </is>
      </c>
      <c r="C34" s="467" t="n"/>
      <c r="D34" s="467" t="n"/>
      <c r="E34" s="362" t="n"/>
      <c r="F34" s="111" t="n"/>
      <c r="G34" s="113" t="n"/>
      <c r="H34" s="231" t="n"/>
      <c r="I34" s="111" t="n"/>
      <c r="J34" s="115">
        <f>J16</f>
        <v/>
      </c>
      <c r="K34" s="108" t="n"/>
      <c r="L34" s="109" t="n"/>
      <c r="M34" s="110" t="n"/>
    </row>
    <row r="35" ht="20.1" customFormat="1" customHeight="1" s="462">
      <c r="A35" s="111" t="n">
        <v>9</v>
      </c>
      <c r="B35" s="511">
        <f>ตารางแจงเงินรายบุคคล!B14</f>
        <v/>
      </c>
      <c r="C35" s="467" t="n"/>
      <c r="D35" s="467" t="n"/>
      <c r="E35" s="362" t="n"/>
      <c r="F35" s="111" t="inlineStr">
        <is>
          <t>ครู</t>
        </is>
      </c>
      <c r="G35" s="139" t="inlineStr">
        <is>
          <t>ü</t>
        </is>
      </c>
      <c r="H35" s="105" t="n"/>
      <c r="I35" s="111">
        <f>ตารางแจงเงินรายบุคคล!O14</f>
        <v/>
      </c>
      <c r="J35" s="115">
        <f>ตารางแจงเงินรายบุคคล!P14</f>
        <v/>
      </c>
      <c r="K35" s="108" t="n"/>
      <c r="L35" s="109" t="n"/>
      <c r="M35" s="113" t="n"/>
    </row>
    <row r="36" ht="20.1" customFormat="1" customHeight="1" s="462">
      <c r="A36" s="111" t="n">
        <v>10</v>
      </c>
      <c r="B36" s="511">
        <f>ตารางแจงเงินรายบุคคล!B15</f>
        <v/>
      </c>
      <c r="C36" s="467" t="n"/>
      <c r="D36" s="467" t="n"/>
      <c r="E36" s="362" t="n"/>
      <c r="F36" s="111" t="inlineStr">
        <is>
          <t>ครู</t>
        </is>
      </c>
      <c r="G36" s="139" t="inlineStr">
        <is>
          <t>ü</t>
        </is>
      </c>
      <c r="H36" s="231" t="n"/>
      <c r="I36" s="111">
        <f>ตารางแจงเงินรายบุคคล!O15</f>
        <v/>
      </c>
      <c r="J36" s="115">
        <f>ตารางแจงเงินรายบุคคล!P15</f>
        <v/>
      </c>
      <c r="K36" s="108" t="n"/>
      <c r="L36" s="109" t="n"/>
      <c r="M36" s="113" t="n"/>
    </row>
    <row r="37" ht="20.1" customFormat="1" customHeight="1" s="462">
      <c r="A37" s="111" t="n">
        <v>11</v>
      </c>
      <c r="B37" s="97">
        <f>ตารางแจงเงินรายบุคคล!B16</f>
        <v/>
      </c>
      <c r="E37" s="331" t="n"/>
      <c r="F37" s="111" t="inlineStr">
        <is>
          <t>ครู</t>
        </is>
      </c>
      <c r="G37" s="105" t="inlineStr">
        <is>
          <t>ü</t>
        </is>
      </c>
      <c r="H37" s="105" t="n"/>
      <c r="I37" s="111">
        <f>ตารางแจงเงินรายบุคคล!O16</f>
        <v/>
      </c>
      <c r="J37" s="115">
        <f>ตารางแจงเงินรายบุคคล!P16</f>
        <v/>
      </c>
      <c r="K37" s="451" t="n"/>
      <c r="L37" s="109" t="n"/>
      <c r="M37" s="113" t="n"/>
    </row>
    <row r="38" ht="20.1" customFormat="1" customHeight="1" s="462">
      <c r="A38" s="111" t="n">
        <v>12</v>
      </c>
      <c r="B38" s="511">
        <f>ตารางแจงเงินรายบุคคล!B17</f>
        <v/>
      </c>
      <c r="C38" s="467" t="n"/>
      <c r="D38" s="467" t="n"/>
      <c r="E38" s="362" t="n"/>
      <c r="F38" s="111" t="inlineStr">
        <is>
          <t>ครู</t>
        </is>
      </c>
      <c r="G38" s="105" t="inlineStr">
        <is>
          <t>ü</t>
        </is>
      </c>
      <c r="H38" s="105" t="n"/>
      <c r="I38" s="111">
        <f>ตารางแจงเงินรายบุคคล!O17</f>
        <v/>
      </c>
      <c r="J38" s="115">
        <f>ตารางแจงเงินรายบุคคล!P17</f>
        <v/>
      </c>
      <c r="K38" s="451" t="n"/>
      <c r="L38" s="109" t="n"/>
      <c r="M38" s="113" t="n"/>
    </row>
    <row r="39" ht="20.1" customHeight="1" s="330">
      <c r="A39" s="111" t="n">
        <v>13</v>
      </c>
      <c r="B39" s="98">
        <f>ตารางแจงเงินรายบุคคล!B18</f>
        <v/>
      </c>
      <c r="C39" s="471" t="n"/>
      <c r="D39" s="471" t="n"/>
      <c r="E39" s="476" t="n"/>
      <c r="F39" s="111" t="inlineStr">
        <is>
          <t>ครู</t>
        </is>
      </c>
      <c r="G39" s="105" t="inlineStr">
        <is>
          <t>ü</t>
        </is>
      </c>
      <c r="H39" s="105" t="n"/>
      <c r="I39" s="111">
        <f>ตารางแจงเงินรายบุคคล!O18</f>
        <v/>
      </c>
      <c r="J39" s="115">
        <f>ตารางแจงเงินรายบุคคล!P18</f>
        <v/>
      </c>
      <c r="K39" s="451" t="n"/>
      <c r="L39" s="113" t="n"/>
      <c r="M39" s="113" t="n"/>
    </row>
    <row r="40" ht="20.1" customHeight="1" s="330">
      <c r="A40" s="111" t="n">
        <v>14</v>
      </c>
      <c r="B40" s="98">
        <f>ตารางแจงเงินรายบุคคล!B19</f>
        <v/>
      </c>
      <c r="C40" s="471" t="n"/>
      <c r="D40" s="471" t="n"/>
      <c r="E40" s="476" t="n"/>
      <c r="F40" s="111" t="inlineStr">
        <is>
          <t>ครู</t>
        </is>
      </c>
      <c r="G40" s="105" t="n"/>
      <c r="H40" s="105" t="inlineStr">
        <is>
          <t>ü</t>
        </is>
      </c>
      <c r="I40" s="111">
        <f>ตารางแจงเงินรายบุคคล!O19</f>
        <v/>
      </c>
      <c r="J40" s="115">
        <f>ตารางแจงเงินรายบุคคล!P19</f>
        <v/>
      </c>
      <c r="K40" s="451" t="n"/>
      <c r="L40" s="113" t="n"/>
      <c r="M40" s="113" t="n"/>
    </row>
    <row r="41" ht="20.1" customHeight="1" s="330">
      <c r="A41" s="116" t="n">
        <v>15</v>
      </c>
      <c r="B41" s="98">
        <f>ตารางแจงเงินรายบุคคล!B20</f>
        <v/>
      </c>
      <c r="C41" s="471" t="n"/>
      <c r="D41" s="471" t="n"/>
      <c r="E41" s="476" t="n"/>
      <c r="F41" s="111" t="inlineStr">
        <is>
          <t>ครู</t>
        </is>
      </c>
      <c r="G41" s="105" t="n"/>
      <c r="H41" s="105" t="inlineStr">
        <is>
          <t>ü</t>
        </is>
      </c>
      <c r="I41" s="111">
        <f>ตารางแจงเงินรายบุคคล!O20</f>
        <v/>
      </c>
      <c r="J41" s="184">
        <f>ตารางแจงเงินรายบุคคล!P20</f>
        <v/>
      </c>
      <c r="K41" s="119" t="n"/>
      <c r="L41" s="120" t="n"/>
      <c r="M41" s="120" t="n"/>
    </row>
    <row r="42" ht="20.1" customHeight="1" s="330" thickBot="1">
      <c r="A42" s="121" t="n"/>
      <c r="B42" s="122" t="n"/>
      <c r="C42" s="122" t="inlineStr">
        <is>
          <t>ย/ป</t>
        </is>
      </c>
      <c r="D42" s="122" t="n"/>
      <c r="E42" s="441" t="inlineStr">
        <is>
          <t>รวมจำนวนเงิน</t>
        </is>
      </c>
      <c r="F42" s="512" t="n"/>
      <c r="G42" s="442">
        <f>B45</f>
        <v/>
      </c>
      <c r="H42" s="512" t="n"/>
      <c r="I42" s="513" t="n"/>
      <c r="J42" s="140">
        <f>SUM(J34:J41)</f>
        <v/>
      </c>
      <c r="K42" s="121" t="n"/>
      <c r="L42" s="122" t="n"/>
      <c r="M42" s="124" t="n"/>
    </row>
    <row r="43" ht="20.1" customHeight="1" s="330" thickTop="1">
      <c r="A43" s="430" t="n"/>
      <c r="B43" s="462" t="n"/>
      <c r="C43" s="462" t="n"/>
      <c r="D43" s="462" t="n"/>
      <c r="E43" s="463" t="n"/>
      <c r="F43" s="415" t="inlineStr">
        <is>
          <t>ผู้ทำ</t>
        </is>
      </c>
      <c r="G43" s="518" t="n"/>
      <c r="H43" s="518" t="n"/>
      <c r="I43" s="519" t="n"/>
      <c r="J43" s="415" t="inlineStr">
        <is>
          <t>ผู้จ่ายเงิน</t>
        </is>
      </c>
      <c r="K43" s="518" t="n"/>
      <c r="L43" s="518" t="n"/>
      <c r="M43" s="519" t="n"/>
    </row>
    <row r="44" ht="20.1" customHeight="1" s="330">
      <c r="A44" s="427" t="inlineStr">
        <is>
          <t>รวมจำนวนเงินค่าสอนพิเศษทั้งสิ้น</t>
        </is>
      </c>
      <c r="C44" s="146">
        <f>J42</f>
        <v/>
      </c>
      <c r="D44" s="428" t="inlineStr">
        <is>
          <t>บาท</t>
        </is>
      </c>
      <c r="E44" s="463" t="n"/>
      <c r="F44" s="433" t="inlineStr">
        <is>
          <t>ลงชื่อ.........................................</t>
        </is>
      </c>
      <c r="I44" s="331" t="n"/>
      <c r="J44" s="433" t="inlineStr">
        <is>
          <t>ลงชื่อ.........................................</t>
        </is>
      </c>
      <c r="M44" s="331" t="n"/>
    </row>
    <row r="45" ht="20.1" customHeight="1" s="330">
      <c r="A45" s="445" t="inlineStr">
        <is>
          <t>(</t>
        </is>
      </c>
      <c r="B45" s="428">
        <f>BAHTTEXT(C44)</f>
        <v/>
      </c>
      <c r="E45" s="130" t="inlineStr">
        <is>
          <t>)</t>
        </is>
      </c>
      <c r="F45" s="433" t="inlineStr">
        <is>
          <t>(นายชำนาญ แก้วจงประสิทธิ์)</t>
        </is>
      </c>
      <c r="I45" s="331" t="n"/>
      <c r="J45" s="433" t="inlineStr">
        <is>
          <t>(นางวีณา กฐินทอง )</t>
        </is>
      </c>
      <c r="M45" s="331" t="n"/>
    </row>
    <row r="46" ht="20.1" customHeight="1" s="330">
      <c r="A46" s="445" t="n"/>
      <c r="B46" s="462" t="n"/>
      <c r="C46" s="462" t="n"/>
      <c r="D46" s="462" t="n"/>
      <c r="E46" s="130" t="n"/>
      <c r="F46" s="433" t="inlineStr">
        <is>
          <t>ตำแหน่งครู  หัวหน้าแผนกวิชาช่างยนต์</t>
        </is>
      </c>
      <c r="I46" s="331" t="n"/>
      <c r="J46" s="433" t="inlineStr">
        <is>
          <t>ตำแหน่ง  หัวหน้างานการเงิน</t>
        </is>
      </c>
      <c r="M46" s="331" t="n"/>
    </row>
    <row r="47" ht="20.1" customHeight="1" s="330">
      <c r="A47" s="424" t="n"/>
      <c r="B47" s="425" t="n"/>
      <c r="C47" s="425" t="n"/>
      <c r="D47" s="425" t="n"/>
      <c r="E47" s="426" t="n"/>
      <c r="F47" s="434" t="inlineStr">
        <is>
          <t>วันที่.......เดือน..........................พ.ศ..............</t>
        </is>
      </c>
      <c r="G47" s="471" t="n"/>
      <c r="H47" s="471" t="n"/>
      <c r="I47" s="476" t="n"/>
      <c r="J47" s="434" t="inlineStr">
        <is>
          <t>วันที่........เดือน...............พ.ศ...........</t>
        </is>
      </c>
      <c r="K47" s="471" t="n"/>
      <c r="L47" s="471" t="n"/>
      <c r="M47" s="476" t="n"/>
    </row>
    <row r="48" ht="20.1" customHeight="1" s="330">
      <c r="A48" s="90" t="inlineStr">
        <is>
          <t>ผู้รับรอง</t>
        </is>
      </c>
      <c r="B48" s="334" t="n"/>
      <c r="C48" s="334" t="n"/>
      <c r="D48" s="334" t="n"/>
      <c r="E48" s="335" t="n"/>
      <c r="F48" s="90" t="inlineStr">
        <is>
          <t>ผู้เห็นชอบ</t>
        </is>
      </c>
      <c r="G48" s="334" t="n"/>
      <c r="H48" s="334" t="n"/>
      <c r="I48" s="335" t="n"/>
      <c r="J48" s="90" t="inlineStr">
        <is>
          <t>ผู้อนุมัติ</t>
        </is>
      </c>
      <c r="K48" s="334" t="n"/>
      <c r="L48" s="334" t="n"/>
      <c r="M48" s="335" t="n"/>
    </row>
    <row r="49" ht="20.1" customHeight="1" s="330">
      <c r="A49" s="433" t="inlineStr">
        <is>
          <t>ลงชื่อ...........................................................................</t>
        </is>
      </c>
      <c r="E49" s="331" t="n"/>
      <c r="F49" s="433" t="inlineStr">
        <is>
          <t>ลงชื่อ...............................................................</t>
        </is>
      </c>
      <c r="I49" s="331" t="n"/>
      <c r="J49" s="433" t="inlineStr">
        <is>
          <t>ลงชื่อ...................................................................</t>
        </is>
      </c>
      <c r="M49" s="331" t="n"/>
    </row>
    <row r="50" ht="20.1" customHeight="1" s="330">
      <c r="A50" s="427" t="n"/>
      <c r="B50" s="428" t="inlineStr">
        <is>
          <t>(นายปรีชา โพธิ์เกิด)</t>
        </is>
      </c>
      <c r="D50" s="428" t="n"/>
      <c r="E50" s="463" t="n"/>
      <c r="F50" s="84" t="n"/>
      <c r="G50" s="428" t="inlineStr">
        <is>
          <t>(นางกุสุมา ขันกสิกรรม)</t>
        </is>
      </c>
      <c r="I50" s="463" t="n"/>
      <c r="J50" s="428" t="n"/>
      <c r="K50" s="428" t="inlineStr">
        <is>
          <t>(นายปริวิชญ์ ไชยประเสริฐ)</t>
        </is>
      </c>
      <c r="M50" s="429" t="n"/>
    </row>
    <row r="51" ht="20.1" customHeight="1" s="330">
      <c r="A51" s="433" t="inlineStr">
        <is>
          <t>ตำแหน่ง รองผู้อำนวยการฝ่ายวิชาการ</t>
        </is>
      </c>
      <c r="E51" s="331" t="n"/>
      <c r="F51" s="433" t="inlineStr">
        <is>
          <t>ตำแหน่ง รองผู้อำนวยการฝ่ายบริหารทรัพยากร</t>
        </is>
      </c>
      <c r="I51" s="331" t="n"/>
      <c r="J51" s="433" t="inlineStr">
        <is>
          <t>ตำแหน่ง ผู้อำนวยการวิทยาลัยเทคนิคนครสวรรค์</t>
        </is>
      </c>
      <c r="M51" s="331" t="n"/>
    </row>
    <row r="52" ht="22.5" customHeight="1" s="330">
      <c r="A52" s="434" t="inlineStr">
        <is>
          <t>วันที่..................เดือน..........................พ.ศ................</t>
        </is>
      </c>
      <c r="B52" s="471" t="n"/>
      <c r="C52" s="471" t="n"/>
      <c r="D52" s="471" t="n"/>
      <c r="E52" s="476" t="n"/>
      <c r="F52" s="434" t="inlineStr">
        <is>
          <t>วันที่.............เดือน.......................พ.ศ.............</t>
        </is>
      </c>
      <c r="G52" s="471" t="n"/>
      <c r="H52" s="471" t="n"/>
      <c r="I52" s="476" t="n"/>
      <c r="J52" s="434" t="inlineStr">
        <is>
          <t>วันที่...........เดือน...................พ.ศ..........</t>
        </is>
      </c>
      <c r="K52" s="471" t="n"/>
      <c r="L52" s="471" t="n"/>
      <c r="M52" s="476" t="n"/>
    </row>
    <row r="53" ht="28.5" customHeight="1" s="330">
      <c r="A53" s="412" t="inlineStr">
        <is>
          <t>หลักฐานการเบิกจ่ายเงินค่าสอนพิเศษและค่าสอนเกินภาระงานสอนในสถานศึกษา</t>
        </is>
      </c>
    </row>
    <row r="54" ht="20.1" customHeight="1" s="330">
      <c r="A54" s="462" t="n"/>
      <c r="B54" s="462" t="n"/>
      <c r="C54" s="82" t="inlineStr">
        <is>
          <t>ส่วนราชการ    วิทยาลัยเทคนิคนครสวรรค์</t>
        </is>
      </c>
      <c r="D54" s="462" t="n"/>
      <c r="E54" s="462" t="n"/>
      <c r="F54" s="462" t="n"/>
      <c r="G54" s="462" t="n"/>
      <c r="H54" s="83" t="inlineStr">
        <is>
          <t>ประจำเดือน</t>
        </is>
      </c>
      <c r="I54" s="412">
        <f>I28</f>
        <v/>
      </c>
      <c r="K54" s="76" t="n"/>
      <c r="L54" s="462" t="n"/>
      <c r="M54" s="462" t="n"/>
    </row>
    <row r="55" ht="20.1" customHeight="1" s="330" thickBot="1">
      <c r="A55" s="462" t="n"/>
      <c r="B55" s="462" t="n"/>
      <c r="C55" s="462" t="n"/>
      <c r="D55" s="462" t="n"/>
      <c r="E55" s="462" t="n"/>
      <c r="F55" s="462" t="n"/>
      <c r="G55" s="462" t="n"/>
      <c r="H55" s="84" t="n"/>
      <c r="I55" s="462" t="n"/>
      <c r="J55" s="462" t="n"/>
      <c r="K55" s="85" t="n"/>
      <c r="L55" s="462" t="n"/>
      <c r="M55" s="462" t="n"/>
    </row>
    <row r="56" ht="20.1" customHeight="1" s="330" thickTop="1">
      <c r="A56" s="132" t="n"/>
      <c r="B56" s="133" t="n"/>
      <c r="C56" s="134" t="n"/>
      <c r="D56" s="134" t="n"/>
      <c r="E56" s="135" t="n"/>
      <c r="F56" s="136" t="n"/>
      <c r="G56" s="515" t="inlineStr">
        <is>
          <t>ระดับการสอน</t>
        </is>
      </c>
      <c r="H56" s="516" t="n"/>
      <c r="I56" s="136" t="inlineStr">
        <is>
          <t>จำนวนหน่วย</t>
        </is>
      </c>
      <c r="J56" s="517" t="inlineStr">
        <is>
          <t>จำนวนเงิน</t>
        </is>
      </c>
      <c r="K56" s="137" t="n"/>
      <c r="L56" s="138" t="n"/>
      <c r="M56" s="517" t="inlineStr">
        <is>
          <t>หมายเหตุ</t>
        </is>
      </c>
    </row>
    <row r="57" ht="20.1" customHeight="1" s="330">
      <c r="A57" s="416" t="inlineStr">
        <is>
          <t>ลำดับที่</t>
        </is>
      </c>
      <c r="B57" s="510" t="inlineStr">
        <is>
          <t>ชื่อ - นามสกุล</t>
        </is>
      </c>
      <c r="E57" s="331" t="n"/>
      <c r="F57" s="433" t="inlineStr">
        <is>
          <t>ตำแหน่ง</t>
        </is>
      </c>
      <c r="G57" s="90" t="inlineStr">
        <is>
          <t>มัธยมศึกษาตอนต้น</t>
        </is>
      </c>
      <c r="H57" s="429" t="inlineStr">
        <is>
          <t>สูงกว่า</t>
        </is>
      </c>
      <c r="I57" s="433" t="inlineStr">
        <is>
          <t>ชั่วโมงที่ทำการสอน</t>
        </is>
      </c>
      <c r="J57" s="56" t="n"/>
      <c r="K57" s="428" t="inlineStr">
        <is>
          <t>ลายมือชื่อ</t>
        </is>
      </c>
      <c r="L57" s="433" t="inlineStr">
        <is>
          <t>วัน/เดือน/ปี</t>
        </is>
      </c>
      <c r="M57" s="56" t="n"/>
    </row>
    <row r="58" ht="20.1" customHeight="1" s="330">
      <c r="A58" s="416" t="n"/>
      <c r="B58" s="418" t="n"/>
      <c r="C58" s="419" t="n"/>
      <c r="D58" s="419" t="n"/>
      <c r="E58" s="420" t="n"/>
      <c r="F58" s="97" t="inlineStr">
        <is>
          <t>ผู้ทำการสอน</t>
        </is>
      </c>
      <c r="G58" s="433" t="inlineStr">
        <is>
          <t>หรือมัธยมศึกษาตอนปลาย</t>
        </is>
      </c>
      <c r="H58" s="429" t="inlineStr">
        <is>
          <t>มัธยมศึกษาตอนปลาย</t>
        </is>
      </c>
      <c r="I58" s="433" t="inlineStr">
        <is>
          <t>พิเศษและสอนเกิน</t>
        </is>
      </c>
      <c r="J58" s="56" t="n"/>
      <c r="K58" s="428" t="inlineStr">
        <is>
          <t>ผู้รับเงิน</t>
        </is>
      </c>
      <c r="L58" s="433" t="inlineStr">
        <is>
          <t>ที่รับเงิน</t>
        </is>
      </c>
      <c r="M58" s="56" t="n"/>
    </row>
    <row r="59" ht="20.1" customHeight="1" s="330">
      <c r="A59" s="98" t="n"/>
      <c r="B59" s="424" t="n"/>
      <c r="C59" s="425" t="n"/>
      <c r="D59" s="425" t="n"/>
      <c r="E59" s="426" t="n"/>
      <c r="F59" s="98" t="n"/>
      <c r="G59" s="434" t="inlineStr">
        <is>
          <t>หรือเทียบเท่า</t>
        </is>
      </c>
      <c r="H59" s="423" t="inlineStr">
        <is>
          <t>หรือเทียบเท่า</t>
        </is>
      </c>
      <c r="I59" s="434" t="inlineStr">
        <is>
          <t>ภาระงานสอน</t>
        </is>
      </c>
      <c r="J59" s="474" t="n"/>
      <c r="K59" s="425" t="n"/>
      <c r="L59" s="98" t="n"/>
      <c r="M59" s="474" t="n"/>
    </row>
    <row r="60" ht="20.1" customHeight="1" s="330">
      <c r="A60" s="104" t="n"/>
      <c r="B60" s="508" t="inlineStr">
        <is>
          <t>ย/ม</t>
        </is>
      </c>
      <c r="C60" s="467" t="n"/>
      <c r="D60" s="467" t="n"/>
      <c r="E60" s="362" t="n"/>
      <c r="F60" s="111" t="n"/>
      <c r="G60" s="113" t="n"/>
      <c r="H60" s="462" t="n"/>
      <c r="I60" s="111" t="n"/>
      <c r="J60" s="115">
        <f>J42</f>
        <v/>
      </c>
      <c r="K60" s="108" t="n"/>
      <c r="L60" s="109" t="n"/>
      <c r="M60" s="110" t="n"/>
    </row>
    <row r="61" ht="20.1" customHeight="1" s="330">
      <c r="A61" s="111" t="n">
        <v>16</v>
      </c>
      <c r="B61" s="511">
        <f>ตารางแจงเงินรายบุคคล!B21</f>
        <v/>
      </c>
      <c r="C61" s="467" t="n"/>
      <c r="D61" s="467" t="n"/>
      <c r="E61" s="362" t="n"/>
      <c r="F61" s="111" t="inlineStr">
        <is>
          <t>ครู</t>
        </is>
      </c>
      <c r="G61" s="105" t="inlineStr">
        <is>
          <t>ü</t>
        </is>
      </c>
      <c r="H61" s="105" t="n"/>
      <c r="I61" s="111">
        <f>ตารางแจงเงินรายบุคคล!O21</f>
        <v/>
      </c>
      <c r="J61" s="115">
        <f>ตารางแจงเงินรายบุคคล!P21</f>
        <v/>
      </c>
      <c r="K61" s="108" t="n"/>
      <c r="L61" s="109" t="n"/>
      <c r="M61" s="113" t="n"/>
    </row>
    <row r="62" ht="20.1" customHeight="1" s="330">
      <c r="A62" s="111" t="n">
        <v>17</v>
      </c>
      <c r="B62" s="511">
        <f>ตารางแจงเงินรายบุคคล!B22</f>
        <v/>
      </c>
      <c r="C62" s="467" t="n"/>
      <c r="D62" s="467" t="n"/>
      <c r="E62" s="362" t="n"/>
      <c r="F62" s="111" t="inlineStr">
        <is>
          <t>ครู</t>
        </is>
      </c>
      <c r="G62" s="105" t="inlineStr">
        <is>
          <t>ü</t>
        </is>
      </c>
      <c r="H62" s="105" t="n"/>
      <c r="I62" s="111">
        <f>ตารางแจงเงินรายบุคคล!O22</f>
        <v/>
      </c>
      <c r="J62" s="115">
        <f>ตารางแจงเงินรายบุคคล!P22</f>
        <v/>
      </c>
      <c r="K62" s="108" t="n"/>
      <c r="L62" s="109" t="n"/>
      <c r="M62" s="113" t="n"/>
    </row>
    <row r="63" ht="20.1" customHeight="1" s="330">
      <c r="A63" s="111" t="n">
        <v>18</v>
      </c>
      <c r="B63" s="511">
        <f>ตารางแจงเงินรายบุคคล!B23</f>
        <v/>
      </c>
      <c r="C63" s="467" t="n"/>
      <c r="D63" s="467" t="n"/>
      <c r="E63" s="362" t="n"/>
      <c r="F63" s="111" t="inlineStr">
        <is>
          <t>ครู</t>
        </is>
      </c>
      <c r="G63" s="105" t="inlineStr">
        <is>
          <t>ü</t>
        </is>
      </c>
      <c r="H63" s="105" t="n"/>
      <c r="I63" s="111">
        <f>ตารางแจงเงินรายบุคคล!O23</f>
        <v/>
      </c>
      <c r="J63" s="115">
        <f>ตารางแจงเงินรายบุคคล!P23</f>
        <v/>
      </c>
      <c r="K63" s="451" t="n"/>
      <c r="L63" s="109" t="n"/>
      <c r="M63" s="113" t="n"/>
    </row>
    <row r="64" ht="20.1" customHeight="1" s="330">
      <c r="A64" s="111" t="n">
        <v>19</v>
      </c>
      <c r="B64" s="511">
        <f>ตารางแจงเงินรายบุคคล!B24</f>
        <v/>
      </c>
      <c r="C64" s="467" t="n"/>
      <c r="D64" s="467" t="n"/>
      <c r="E64" s="362" t="n"/>
      <c r="F64" s="113" t="inlineStr">
        <is>
          <t>พนง.ราชการ</t>
        </is>
      </c>
      <c r="G64" s="105" t="inlineStr">
        <is>
          <t>ü</t>
        </is>
      </c>
      <c r="H64" s="105" t="n"/>
      <c r="I64" s="111">
        <f>ตารางแจงเงินรายบุคคล!O24</f>
        <v/>
      </c>
      <c r="J64" s="115">
        <f>ตารางแจงเงินรายบุคคล!P24</f>
        <v/>
      </c>
      <c r="K64" s="451" t="n"/>
      <c r="L64" s="109" t="n"/>
      <c r="M64" s="113" t="n"/>
    </row>
    <row r="65" ht="20.1" customHeight="1" s="330">
      <c r="A65" s="111" t="n"/>
      <c r="B65" s="511" t="n"/>
      <c r="C65" s="467" t="n"/>
      <c r="D65" s="467" t="n"/>
      <c r="E65" s="362" t="n"/>
      <c r="F65" s="111" t="n"/>
      <c r="G65" s="105" t="n"/>
      <c r="H65" s="105" t="n"/>
      <c r="I65" s="111" t="n"/>
      <c r="J65" s="115" t="n"/>
      <c r="K65" s="451" t="n"/>
      <c r="L65" s="113" t="n"/>
      <c r="M65" s="113" t="n"/>
    </row>
    <row r="66" ht="20.1" customHeight="1" s="330">
      <c r="A66" s="111" t="n"/>
      <c r="B66" s="511" t="n"/>
      <c r="C66" s="467" t="n"/>
      <c r="D66" s="467" t="n"/>
      <c r="E66" s="362" t="n"/>
      <c r="F66" s="111" t="n"/>
      <c r="G66" s="105" t="n"/>
      <c r="H66" s="139" t="n"/>
      <c r="I66" s="111" t="n"/>
      <c r="J66" s="115" t="n"/>
      <c r="K66" s="451" t="n"/>
      <c r="L66" s="113" t="n"/>
      <c r="M66" s="113" t="n"/>
    </row>
    <row r="67" ht="20.1" customHeight="1" s="330">
      <c r="A67" s="116" t="n"/>
      <c r="B67" s="511" t="n"/>
      <c r="C67" s="467" t="n"/>
      <c r="D67" s="467" t="n"/>
      <c r="E67" s="362" t="n"/>
      <c r="F67" s="113" t="n"/>
      <c r="G67" s="105" t="n"/>
      <c r="H67" s="139" t="n"/>
      <c r="I67" s="111" t="n"/>
      <c r="J67" s="184" t="n"/>
      <c r="K67" s="119" t="n"/>
      <c r="L67" s="120" t="n"/>
      <c r="M67" s="120" t="n"/>
    </row>
    <row r="68" ht="20.1" customHeight="1" s="330" thickBot="1">
      <c r="A68" s="121" t="n"/>
      <c r="B68" s="122" t="n"/>
      <c r="C68" s="122" t="n"/>
      <c r="D68" s="122" t="n"/>
      <c r="E68" s="441" t="inlineStr">
        <is>
          <t>รวมจำนวนเงิน</t>
        </is>
      </c>
      <c r="F68" s="512" t="n"/>
      <c r="G68" s="442">
        <f>B71</f>
        <v/>
      </c>
      <c r="H68" s="512" t="n"/>
      <c r="I68" s="513" t="n"/>
      <c r="J68" s="140">
        <f>SUM(J60:J67)</f>
        <v/>
      </c>
      <c r="K68" s="121" t="n"/>
      <c r="L68" s="122" t="n"/>
      <c r="M68" s="124" t="n"/>
    </row>
    <row r="69" ht="20.1" customHeight="1" s="330" thickTop="1">
      <c r="A69" s="430" t="n"/>
      <c r="B69" s="462" t="n"/>
      <c r="C69" s="462" t="n"/>
      <c r="D69" s="462" t="n"/>
      <c r="E69" s="463" t="n"/>
      <c r="F69" s="415" t="inlineStr">
        <is>
          <t>ผู้ทำ</t>
        </is>
      </c>
      <c r="G69" s="518" t="n"/>
      <c r="H69" s="518" t="n"/>
      <c r="I69" s="519" t="n"/>
      <c r="J69" s="415" t="inlineStr">
        <is>
          <t>ผู้จ่ายเงิน</t>
        </is>
      </c>
      <c r="K69" s="518" t="n"/>
      <c r="L69" s="518" t="n"/>
      <c r="M69" s="519" t="n"/>
    </row>
    <row r="70" ht="20.1" customHeight="1" s="330">
      <c r="A70" s="427" t="inlineStr">
        <is>
          <t>รวมจำนวนเงินค่าสอนพิเศษทั้งสิ้น</t>
        </is>
      </c>
      <c r="C70" s="146">
        <f>J68</f>
        <v/>
      </c>
      <c r="D70" s="428" t="inlineStr">
        <is>
          <t>บาท</t>
        </is>
      </c>
      <c r="E70" s="463" t="n"/>
      <c r="F70" s="433" t="inlineStr">
        <is>
          <t>ลงชื่อ.........................................</t>
        </is>
      </c>
      <c r="I70" s="331" t="n"/>
      <c r="J70" s="433" t="inlineStr">
        <is>
          <t>ลงชื่อ.........................................</t>
        </is>
      </c>
      <c r="M70" s="331" t="n"/>
    </row>
    <row r="71" ht="20.1" customHeight="1" s="330">
      <c r="A71" s="445" t="inlineStr">
        <is>
          <t>(</t>
        </is>
      </c>
      <c r="B71" s="428">
        <f>BAHTTEXT(C70)</f>
        <v/>
      </c>
      <c r="E71" s="130" t="inlineStr">
        <is>
          <t>)</t>
        </is>
      </c>
      <c r="F71" s="433" t="inlineStr">
        <is>
          <t>(นายชำนาญ แก้วจงประสิทธิ์)</t>
        </is>
      </c>
      <c r="I71" s="331" t="n"/>
      <c r="J71" s="433" t="inlineStr">
        <is>
          <t>(นางวีณา กฐินทอง )</t>
        </is>
      </c>
      <c r="M71" s="331" t="n"/>
    </row>
    <row r="72" ht="20.1" customHeight="1" s="330">
      <c r="A72" s="445" t="n"/>
      <c r="B72" s="462" t="n"/>
      <c r="C72" s="462" t="n"/>
      <c r="D72" s="462" t="n"/>
      <c r="E72" s="130" t="n"/>
      <c r="F72" s="433" t="inlineStr">
        <is>
          <t>ตำแหน่งครู  หัวหน้าแผนกวิชาช่างยนต์</t>
        </is>
      </c>
      <c r="I72" s="331" t="n"/>
      <c r="J72" s="433" t="inlineStr">
        <is>
          <t>ตำแหน่ง  หัวหน้างานการเงิน</t>
        </is>
      </c>
      <c r="M72" s="331" t="n"/>
    </row>
    <row r="73" ht="20.1" customHeight="1" s="330">
      <c r="A73" s="424" t="n"/>
      <c r="B73" s="425" t="n"/>
      <c r="C73" s="425" t="n"/>
      <c r="D73" s="425" t="n"/>
      <c r="E73" s="426" t="n"/>
      <c r="F73" s="434" t="inlineStr">
        <is>
          <t>วันที่.......เดือน..........................พ.ศ..............</t>
        </is>
      </c>
      <c r="G73" s="471" t="n"/>
      <c r="H73" s="471" t="n"/>
      <c r="I73" s="476" t="n"/>
      <c r="J73" s="434" t="inlineStr">
        <is>
          <t>วันที่........เดือน...............พ.ศ...........</t>
        </is>
      </c>
      <c r="K73" s="471" t="n"/>
      <c r="L73" s="471" t="n"/>
      <c r="M73" s="476" t="n"/>
    </row>
    <row r="74" ht="20.1" customHeight="1" s="330">
      <c r="A74" s="90" t="inlineStr">
        <is>
          <t>ผู้รับรอง</t>
        </is>
      </c>
      <c r="B74" s="334" t="n"/>
      <c r="C74" s="334" t="n"/>
      <c r="D74" s="334" t="n"/>
      <c r="E74" s="335" t="n"/>
      <c r="F74" s="90" t="inlineStr">
        <is>
          <t>ผู้เห็นชอบ</t>
        </is>
      </c>
      <c r="G74" s="334" t="n"/>
      <c r="H74" s="334" t="n"/>
      <c r="I74" s="335" t="n"/>
      <c r="J74" s="90" t="inlineStr">
        <is>
          <t>ผู้อนุมัติ</t>
        </is>
      </c>
      <c r="K74" s="334" t="n"/>
      <c r="L74" s="334" t="n"/>
      <c r="M74" s="335" t="n"/>
    </row>
    <row r="75" ht="20.1" customHeight="1" s="330">
      <c r="A75" s="433" t="inlineStr">
        <is>
          <t>ลงชื่อ...........................................................................</t>
        </is>
      </c>
      <c r="E75" s="331" t="n"/>
      <c r="F75" s="433" t="inlineStr">
        <is>
          <t>ลงชื่อ...............................................................</t>
        </is>
      </c>
      <c r="I75" s="331" t="n"/>
      <c r="J75" s="433" t="inlineStr">
        <is>
          <t>ลงชื่อ...................................................................</t>
        </is>
      </c>
      <c r="M75" s="331" t="n"/>
    </row>
    <row r="76" ht="20.1" customHeight="1" s="330">
      <c r="A76" s="427" t="n"/>
      <c r="B76" s="428" t="inlineStr">
        <is>
          <t>(นายปรีชา โพธิ์เกิด)</t>
        </is>
      </c>
      <c r="D76" s="428" t="n"/>
      <c r="E76" s="463" t="n"/>
      <c r="F76" s="84" t="n"/>
      <c r="G76" s="428" t="inlineStr">
        <is>
          <t>(นางกุสุมา ขันกสิกรรม)</t>
        </is>
      </c>
      <c r="I76" s="463" t="n"/>
      <c r="J76" s="428" t="n"/>
      <c r="K76" s="428" t="inlineStr">
        <is>
          <t>(นายปริวิชญ์ ไชยประเสริฐ)</t>
        </is>
      </c>
      <c r="M76" s="429" t="n"/>
    </row>
    <row r="77" ht="20.1" customHeight="1" s="330">
      <c r="A77" s="433" t="inlineStr">
        <is>
          <t>ตำแหน่ง รองผู้อำนวยการฝ่ายวิชาการ</t>
        </is>
      </c>
      <c r="E77" s="331" t="n"/>
      <c r="F77" s="433" t="inlineStr">
        <is>
          <t>ตำแหน่ง รองผู้อำนวยการฝ่ายบริหารทรัพยากร</t>
        </is>
      </c>
      <c r="I77" s="331" t="n"/>
      <c r="J77" s="433" t="inlineStr">
        <is>
          <t>ตำแหน่ง ผู้อำนวยการวิทยาลัยเทคนิคนครสวรรค์</t>
        </is>
      </c>
      <c r="M77" s="331" t="n"/>
    </row>
    <row r="78" ht="22.5" customHeight="1" s="330">
      <c r="A78" s="434" t="inlineStr">
        <is>
          <t>วันที่..................เดือน..........................พ.ศ................</t>
        </is>
      </c>
      <c r="B78" s="471" t="n"/>
      <c r="C78" s="471" t="n"/>
      <c r="D78" s="471" t="n"/>
      <c r="E78" s="476" t="n"/>
      <c r="F78" s="434" t="inlineStr">
        <is>
          <t>วันที่.............เดือน.......................พ.ศ.............</t>
        </is>
      </c>
      <c r="G78" s="471" t="n"/>
      <c r="H78" s="471" t="n"/>
      <c r="I78" s="476" t="n"/>
      <c r="J78" s="434" t="inlineStr">
        <is>
          <t>วันที่...........เดือน...................พ.ศ..........</t>
        </is>
      </c>
      <c r="K78" s="471" t="n"/>
      <c r="L78" s="471" t="n"/>
      <c r="M78" s="476" t="n"/>
    </row>
    <row r="79" ht="28.5" customHeight="1" s="330">
      <c r="A79" s="412" t="inlineStr">
        <is>
          <t>หลักฐานการเบิกจ่ายเงินค่าสอนพิเศษและค่าสอนเกินภาระงานสอนในสถานศึกษา</t>
        </is>
      </c>
    </row>
    <row r="80" ht="20.1" customHeight="1" s="330">
      <c r="A80" s="462" t="n"/>
      <c r="B80" s="462" t="n"/>
      <c r="C80" s="82" t="inlineStr">
        <is>
          <t>ส่วนราชการ    วิทยาลัยเทคนิคนครสวรรค์</t>
        </is>
      </c>
      <c r="D80" s="462" t="n"/>
      <c r="E80" s="462" t="n"/>
      <c r="F80" s="462" t="n"/>
      <c r="G80" s="462" t="n"/>
      <c r="H80" s="83" t="inlineStr">
        <is>
          <t>ประจำเดือน</t>
        </is>
      </c>
      <c r="I80" s="412" t="inlineStr">
        <is>
          <t>กรกฎาคม</t>
        </is>
      </c>
      <c r="K80" s="76" t="inlineStr">
        <is>
          <t>พ.ศ.2563</t>
        </is>
      </c>
      <c r="L80" s="462" t="n"/>
      <c r="M80" s="462" t="n"/>
    </row>
    <row r="81" ht="20.1" customHeight="1" s="330" thickBot="1">
      <c r="A81" s="462" t="n"/>
      <c r="B81" s="462" t="n"/>
      <c r="C81" s="462" t="n"/>
      <c r="D81" s="462" t="n"/>
      <c r="E81" s="462" t="n"/>
      <c r="F81" s="462" t="n"/>
      <c r="G81" s="462" t="n"/>
      <c r="H81" s="84" t="n"/>
      <c r="I81" s="462" t="n"/>
      <c r="J81" s="462" t="n"/>
      <c r="K81" s="85" t="n"/>
      <c r="L81" s="462" t="n"/>
      <c r="M81" s="462" t="n"/>
    </row>
    <row r="82" ht="20.1" customHeight="1" s="330" thickTop="1">
      <c r="A82" s="132" t="n"/>
      <c r="B82" s="133" t="n"/>
      <c r="C82" s="134" t="n"/>
      <c r="D82" s="134" t="n"/>
      <c r="E82" s="135" t="n"/>
      <c r="F82" s="136" t="n"/>
      <c r="G82" s="515" t="inlineStr">
        <is>
          <t>ระดับการสอน</t>
        </is>
      </c>
      <c r="H82" s="516" t="n"/>
      <c r="I82" s="136" t="inlineStr">
        <is>
          <t>จำนวนหน่วย</t>
        </is>
      </c>
      <c r="J82" s="517" t="inlineStr">
        <is>
          <t>จำนวนเงิน</t>
        </is>
      </c>
      <c r="K82" s="137" t="n"/>
      <c r="L82" s="138" t="n"/>
      <c r="M82" s="517" t="inlineStr">
        <is>
          <t>หมายเหตุ</t>
        </is>
      </c>
    </row>
    <row r="83" ht="20.1" customHeight="1" s="330">
      <c r="A83" s="416" t="inlineStr">
        <is>
          <t>ลำดับที่</t>
        </is>
      </c>
      <c r="B83" s="510" t="inlineStr">
        <is>
          <t>ชื่อ - นามสกุล</t>
        </is>
      </c>
      <c r="E83" s="331" t="n"/>
      <c r="F83" s="433" t="inlineStr">
        <is>
          <t>ตำแหน่ง</t>
        </is>
      </c>
      <c r="G83" s="90" t="inlineStr">
        <is>
          <t>มัธยมศึกษาตอนต้น</t>
        </is>
      </c>
      <c r="H83" s="429" t="inlineStr">
        <is>
          <t>สูงกว่า</t>
        </is>
      </c>
      <c r="I83" s="433" t="inlineStr">
        <is>
          <t>ชั่วโมงที่ทำการสอน</t>
        </is>
      </c>
      <c r="J83" s="56" t="n"/>
      <c r="K83" s="428" t="inlineStr">
        <is>
          <t>ลายมือชื่อ</t>
        </is>
      </c>
      <c r="L83" s="433" t="inlineStr">
        <is>
          <t>วัน/เดือน/ปี</t>
        </is>
      </c>
      <c r="M83" s="56" t="n"/>
    </row>
    <row r="84" ht="20.1" customHeight="1" s="330">
      <c r="A84" s="416" t="n"/>
      <c r="B84" s="418" t="n"/>
      <c r="C84" s="419" t="n"/>
      <c r="D84" s="419" t="n"/>
      <c r="E84" s="420" t="n"/>
      <c r="F84" s="97" t="inlineStr">
        <is>
          <t>ผู้ทำการสอน</t>
        </is>
      </c>
      <c r="G84" s="433" t="inlineStr">
        <is>
          <t>หรือมัธยมศึกษาตอนปลาย</t>
        </is>
      </c>
      <c r="H84" s="429" t="inlineStr">
        <is>
          <t>มัธยมศึกษาตอนปลาย</t>
        </is>
      </c>
      <c r="I84" s="433" t="inlineStr">
        <is>
          <t>พิเศษและสอนเกิน</t>
        </is>
      </c>
      <c r="J84" s="56" t="n"/>
      <c r="K84" s="428" t="inlineStr">
        <is>
          <t>ผู้รับเงิน</t>
        </is>
      </c>
      <c r="L84" s="433" t="inlineStr">
        <is>
          <t>ที่รับเงิน</t>
        </is>
      </c>
      <c r="M84" s="56" t="n"/>
    </row>
    <row r="85" ht="20.1" customHeight="1" s="330">
      <c r="A85" s="98" t="n"/>
      <c r="B85" s="424" t="n"/>
      <c r="C85" s="425" t="n"/>
      <c r="D85" s="425" t="n"/>
      <c r="E85" s="426" t="n"/>
      <c r="F85" s="98" t="n"/>
      <c r="G85" s="434" t="inlineStr">
        <is>
          <t>หรือเทียบเท่า</t>
        </is>
      </c>
      <c r="H85" s="423" t="inlineStr">
        <is>
          <t>หรือเทียบเท่า</t>
        </is>
      </c>
      <c r="I85" s="434" t="inlineStr">
        <is>
          <t>ภาระงานสอน</t>
        </is>
      </c>
      <c r="J85" s="474" t="n"/>
      <c r="K85" s="425" t="n"/>
      <c r="L85" s="98" t="n"/>
      <c r="M85" s="474" t="n"/>
    </row>
    <row r="86" ht="20.1" customHeight="1" s="330">
      <c r="A86" s="104" t="n"/>
      <c r="B86" s="106" t="inlineStr">
        <is>
          <t>ย/ม</t>
        </is>
      </c>
      <c r="C86" s="520" t="n"/>
      <c r="D86" s="520" t="n"/>
      <c r="E86" s="521" t="n"/>
      <c r="F86" s="104" t="n"/>
      <c r="G86" s="113" t="n"/>
      <c r="H86" s="452" t="n"/>
      <c r="I86" s="111" t="n"/>
      <c r="J86" s="142" t="n"/>
      <c r="K86" s="108" t="n"/>
      <c r="L86" s="109" t="n"/>
      <c r="M86" s="110" t="n"/>
    </row>
    <row r="87" ht="20.1" customHeight="1" s="330">
      <c r="A87" s="111" t="n">
        <v>9</v>
      </c>
      <c r="B87" s="113" t="inlineStr">
        <is>
          <t>นายคงศักดิ์  มากซุง</t>
        </is>
      </c>
      <c r="C87" s="522" t="n"/>
      <c r="D87" s="522" t="n"/>
      <c r="E87" s="523" t="n"/>
      <c r="F87" s="111" t="inlineStr">
        <is>
          <t>ครู</t>
        </is>
      </c>
      <c r="G87" s="462" t="n"/>
      <c r="H87" s="105" t="inlineStr">
        <is>
          <t>ü</t>
        </is>
      </c>
      <c r="I87" s="111" t="n"/>
      <c r="J87" s="115" t="n"/>
      <c r="K87" s="108" t="n"/>
      <c r="L87" s="109" t="n"/>
      <c r="M87" s="113" t="n"/>
    </row>
    <row r="88" ht="20.1" customHeight="1" s="330">
      <c r="A88" s="111" t="n">
        <v>10</v>
      </c>
      <c r="B88" s="524" t="inlineStr">
        <is>
          <t>นายชำนาญ  แก้วจงประสิทธิ์</t>
        </is>
      </c>
      <c r="C88" s="522" t="n"/>
      <c r="D88" s="522" t="n"/>
      <c r="E88" s="523" t="n"/>
      <c r="F88" s="111" t="inlineStr">
        <is>
          <t>ครู</t>
        </is>
      </c>
      <c r="G88" s="105" t="n"/>
      <c r="H88" s="105" t="inlineStr">
        <is>
          <t>ü</t>
        </is>
      </c>
      <c r="I88" s="111" t="n"/>
      <c r="J88" s="115" t="n"/>
      <c r="K88" s="108" t="n"/>
      <c r="L88" s="109" t="n"/>
      <c r="M88" s="113" t="n"/>
    </row>
    <row r="89" ht="20.1" customHeight="1" s="330">
      <c r="A89" s="111" t="n">
        <v>11</v>
      </c>
      <c r="B89" s="524" t="inlineStr">
        <is>
          <t>นายสานนท์  ไชยศาสตร์</t>
        </is>
      </c>
      <c r="C89" s="522" t="n"/>
      <c r="D89" s="522" t="n"/>
      <c r="E89" s="523" t="n"/>
      <c r="F89" s="111" t="inlineStr">
        <is>
          <t>ครู</t>
        </is>
      </c>
      <c r="G89" s="105" t="inlineStr">
        <is>
          <t>ü</t>
        </is>
      </c>
      <c r="H89" s="105" t="inlineStr">
        <is>
          <t>ü</t>
        </is>
      </c>
      <c r="I89" s="111" t="n"/>
      <c r="J89" s="115" t="n"/>
      <c r="K89" s="451" t="n"/>
      <c r="L89" s="109" t="n"/>
      <c r="M89" s="113" t="n"/>
    </row>
    <row r="90" ht="20.1" customHeight="1" s="330">
      <c r="A90" s="111" t="n">
        <v>12</v>
      </c>
      <c r="B90" s="113" t="inlineStr">
        <is>
          <t>นายวิรัติ  นุมัติ</t>
        </is>
      </c>
      <c r="C90" s="522" t="n"/>
      <c r="D90" s="522" t="n"/>
      <c r="E90" s="523" t="n"/>
      <c r="F90" s="111" t="inlineStr">
        <is>
          <t>ครู</t>
        </is>
      </c>
      <c r="G90" s="105" t="inlineStr">
        <is>
          <t>ü</t>
        </is>
      </c>
      <c r="H90" s="462" t="n"/>
      <c r="I90" s="111" t="n"/>
      <c r="J90" s="143" t="n"/>
      <c r="K90" s="451" t="n"/>
      <c r="L90" s="109" t="n"/>
      <c r="M90" s="113" t="n"/>
    </row>
    <row r="91" ht="20.1" customHeight="1" s="330">
      <c r="A91" s="111" t="n">
        <v>13</v>
      </c>
      <c r="B91" s="113" t="inlineStr">
        <is>
          <t>นางสาววินิทร  อนันตกูล</t>
        </is>
      </c>
      <c r="C91" s="522" t="n"/>
      <c r="D91" s="522" t="n"/>
      <c r="E91" s="523" t="n"/>
      <c r="F91" s="111" t="inlineStr">
        <is>
          <t>ครู</t>
        </is>
      </c>
      <c r="H91" s="105" t="inlineStr">
        <is>
          <t>ü</t>
        </is>
      </c>
      <c r="I91" s="111" t="n"/>
      <c r="J91" s="143" t="n"/>
      <c r="K91" s="451" t="n"/>
      <c r="L91" s="113" t="n"/>
      <c r="M91" s="113" t="n"/>
    </row>
    <row r="92" ht="20.1" customHeight="1" s="330">
      <c r="A92" s="111" t="n">
        <v>14</v>
      </c>
      <c r="B92" s="113" t="inlineStr">
        <is>
          <t>นายสถาปนิก  คุ้มสะอาด</t>
        </is>
      </c>
      <c r="C92" s="522" t="n"/>
      <c r="D92" s="522" t="n"/>
      <c r="E92" s="523" t="n"/>
      <c r="F92" s="113" t="inlineStr">
        <is>
          <t>พนง.ราชการ</t>
        </is>
      </c>
      <c r="G92" s="105" t="inlineStr">
        <is>
          <t>ü</t>
        </is>
      </c>
      <c r="H92" s="139" t="n"/>
      <c r="I92" s="111" t="n"/>
      <c r="J92" s="143" t="n"/>
      <c r="K92" s="451" t="n"/>
      <c r="L92" s="113" t="n"/>
      <c r="M92" s="113" t="n"/>
    </row>
    <row r="93" ht="20.1" customHeight="1" s="330">
      <c r="A93" s="116" t="n"/>
      <c r="B93" s="116" t="n"/>
      <c r="C93" s="525" t="n"/>
      <c r="D93" s="525" t="n"/>
      <c r="E93" s="526" t="n"/>
      <c r="F93" s="120" t="n"/>
      <c r="G93" s="139" t="n"/>
      <c r="H93" s="139" t="n"/>
      <c r="I93" s="120" t="n"/>
      <c r="J93" s="120" t="n"/>
      <c r="K93" s="119" t="n"/>
      <c r="L93" s="120" t="n"/>
      <c r="M93" s="120" t="n"/>
    </row>
    <row r="94" ht="20.1" customHeight="1" s="330" thickBot="1">
      <c r="A94" s="121" t="n"/>
      <c r="B94" s="122" t="n"/>
      <c r="C94" s="122" t="n"/>
      <c r="D94" s="122" t="n"/>
      <c r="E94" s="122" t="n"/>
      <c r="F94" s="441" t="inlineStr">
        <is>
          <t>รวมจำนวนเงิน</t>
        </is>
      </c>
      <c r="G94" s="441" t="n"/>
      <c r="H94" s="441" t="n"/>
      <c r="I94" s="442" t="n"/>
      <c r="J94" s="140" t="n"/>
      <c r="K94" s="121" t="n"/>
      <c r="L94" s="122" t="n"/>
      <c r="M94" s="124" t="n"/>
    </row>
    <row r="95" ht="20.1" customHeight="1" s="330" thickTop="1">
      <c r="A95" s="430" t="n"/>
      <c r="B95" s="462" t="n"/>
      <c r="C95" s="462" t="n"/>
      <c r="D95" s="462" t="n"/>
      <c r="E95" s="463" t="n"/>
      <c r="F95" s="527" t="inlineStr">
        <is>
          <t>ผู้จัดทำ</t>
        </is>
      </c>
      <c r="G95" s="518" t="n"/>
      <c r="H95" s="518" t="n"/>
      <c r="I95" s="519" t="n"/>
      <c r="J95" s="527" t="inlineStr">
        <is>
          <t>ผู้จ่ายเงิน</t>
        </is>
      </c>
      <c r="K95" s="518" t="n"/>
      <c r="L95" s="518" t="n"/>
      <c r="M95" s="519" t="n"/>
    </row>
    <row r="96" ht="20.1" customHeight="1" s="330">
      <c r="A96" s="430" t="inlineStr">
        <is>
          <t>รวมจำนวนเงินค่าสอนพิเศษทั้งสิ้น</t>
        </is>
      </c>
      <c r="B96" s="462" t="n"/>
      <c r="C96" s="126" t="n"/>
      <c r="D96" s="428" t="inlineStr">
        <is>
          <t>บาท</t>
        </is>
      </c>
      <c r="E96" s="463" t="n"/>
      <c r="F96" s="433" t="inlineStr">
        <is>
          <t>ลงชื่อ.........................................</t>
        </is>
      </c>
      <c r="I96" s="331" t="n"/>
      <c r="J96" s="433" t="inlineStr">
        <is>
          <t>ลงชื่อ.........................................</t>
        </is>
      </c>
      <c r="M96" s="331" t="n"/>
    </row>
    <row r="97" ht="20.1" customHeight="1" s="330">
      <c r="A97" s="445" t="inlineStr">
        <is>
          <t>(</t>
        </is>
      </c>
      <c r="B97" s="428" t="n"/>
      <c r="E97" s="130" t="inlineStr">
        <is>
          <t>)</t>
        </is>
      </c>
      <c r="F97" s="433" t="inlineStr">
        <is>
          <t>(นายไพรัช  อินทุรัตน์)</t>
        </is>
      </c>
      <c r="I97" s="331" t="n"/>
      <c r="J97" s="433" t="inlineStr">
        <is>
          <t>(นางวีณา กฐินทอง )</t>
        </is>
      </c>
      <c r="M97" s="331" t="n"/>
    </row>
    <row r="98" ht="20.1" customHeight="1" s="330">
      <c r="A98" s="445" t="n"/>
      <c r="B98" s="462" t="n"/>
      <c r="C98" s="462" t="n"/>
      <c r="D98" s="462" t="n"/>
      <c r="E98" s="130" t="n"/>
      <c r="F98" s="433" t="inlineStr">
        <is>
          <t>ตำแหน่งครู  หัวหน้าแผนกวิชาเครื่องกล</t>
        </is>
      </c>
      <c r="I98" s="331" t="n"/>
      <c r="J98" s="433" t="inlineStr">
        <is>
          <t>ตำแหน่ง  หัวหน้างานการเงิน</t>
        </is>
      </c>
      <c r="M98" s="331" t="n"/>
    </row>
    <row r="99" ht="20.1" customHeight="1" s="330">
      <c r="A99" s="424" t="n"/>
      <c r="B99" s="425" t="n"/>
      <c r="C99" s="425" t="n"/>
      <c r="D99" s="425" t="n"/>
      <c r="E99" s="426" t="n"/>
      <c r="F99" s="434" t="inlineStr">
        <is>
          <t>วันที่.......เดือน..........................พ.ศ..............</t>
        </is>
      </c>
      <c r="G99" s="471" t="n"/>
      <c r="H99" s="471" t="n"/>
      <c r="I99" s="476" t="n"/>
      <c r="J99" s="434" t="inlineStr">
        <is>
          <t>วันที่........เดือน...............พ.ศ...........</t>
        </is>
      </c>
      <c r="K99" s="471" t="n"/>
      <c r="L99" s="471" t="n"/>
      <c r="M99" s="476" t="n"/>
    </row>
    <row r="100" ht="20.1" customHeight="1" s="330">
      <c r="A100" s="528" t="inlineStr">
        <is>
          <t>ผู้รับรอง</t>
        </is>
      </c>
      <c r="B100" s="334" t="n"/>
      <c r="C100" s="334" t="n"/>
      <c r="D100" s="334" t="n"/>
      <c r="E100" s="335" t="n"/>
      <c r="F100" s="528" t="inlineStr">
        <is>
          <t>ผู้เห็นชอบ</t>
        </is>
      </c>
      <c r="G100" s="334" t="n"/>
      <c r="H100" s="334" t="n"/>
      <c r="I100" s="335" t="n"/>
      <c r="J100" s="528" t="inlineStr">
        <is>
          <t>ผู้อนุมัติ</t>
        </is>
      </c>
      <c r="K100" s="334" t="n"/>
      <c r="L100" s="334" t="n"/>
      <c r="M100" s="335" t="n"/>
    </row>
    <row r="101" ht="20.1" customHeight="1" s="330">
      <c r="A101" s="433" t="inlineStr">
        <is>
          <t>ลงชื่อ...........................................................................</t>
        </is>
      </c>
      <c r="E101" s="331" t="n"/>
      <c r="F101" s="433" t="inlineStr">
        <is>
          <t>ลงชื่อ...............................................................</t>
        </is>
      </c>
      <c r="I101" s="331" t="n"/>
      <c r="J101" s="433" t="inlineStr">
        <is>
          <t>ลงชื่อ...................................................................</t>
        </is>
      </c>
      <c r="M101" s="331" t="n"/>
    </row>
    <row r="102" ht="20.1" customHeight="1" s="330">
      <c r="A102" s="427" t="inlineStr">
        <is>
          <t>(</t>
        </is>
      </c>
      <c r="B102" s="428" t="inlineStr">
        <is>
          <t>นายแทน  โมราราย</t>
        </is>
      </c>
      <c r="D102" s="428" t="inlineStr">
        <is>
          <t>)</t>
        </is>
      </c>
      <c r="E102" s="463" t="n"/>
      <c r="F102" s="84" t="inlineStr">
        <is>
          <t>(</t>
        </is>
      </c>
      <c r="G102" s="428" t="inlineStr">
        <is>
          <t>(นางกุสุมา ขันกสิกรรม)</t>
        </is>
      </c>
      <c r="I102" s="463" t="inlineStr">
        <is>
          <t>)</t>
        </is>
      </c>
      <c r="J102" s="428" t="inlineStr">
        <is>
          <t>(</t>
        </is>
      </c>
      <c r="K102" s="428" t="inlineStr">
        <is>
          <t>นายสาคร ศิริวัฒนาโรจน์</t>
        </is>
      </c>
      <c r="M102" s="429" t="inlineStr">
        <is>
          <t>)</t>
        </is>
      </c>
    </row>
    <row r="103" ht="20.1" customHeight="1" s="330">
      <c r="A103" s="433" t="inlineStr">
        <is>
          <t>ตำแหน่ง รองผู้อำนวยการฝ่ายวิชาการ</t>
        </is>
      </c>
      <c r="E103" s="331" t="n"/>
      <c r="F103" s="433" t="inlineStr">
        <is>
          <t>ตำแหน่ง รองผู้อำนวยการฝ่ายบริหารทรัพยากร</t>
        </is>
      </c>
      <c r="I103" s="331" t="n"/>
      <c r="J103" s="433" t="inlineStr">
        <is>
          <t>ตำแหน่ง ผู้อำนวยการวิทยาลัยเทคนิคนครสวรรค์</t>
        </is>
      </c>
      <c r="M103" s="331" t="n"/>
    </row>
    <row r="104" ht="20.1" customHeight="1" s="330">
      <c r="A104" s="434" t="inlineStr">
        <is>
          <t>วันที่..................เดือน..........................พ.ศ................</t>
        </is>
      </c>
      <c r="B104" s="471" t="n"/>
      <c r="C104" s="471" t="n"/>
      <c r="D104" s="471" t="n"/>
      <c r="E104" s="476" t="n"/>
      <c r="F104" s="434" t="inlineStr">
        <is>
          <t>วันที่.............เดือน.......................พ.ศ.............</t>
        </is>
      </c>
      <c r="G104" s="471" t="n"/>
      <c r="H104" s="471" t="n"/>
      <c r="I104" s="476" t="n"/>
      <c r="J104" s="434" t="inlineStr">
        <is>
          <t>วันที่...........เดือน...................พ.ศ..........</t>
        </is>
      </c>
      <c r="K104" s="471" t="n"/>
      <c r="L104" s="471" t="n"/>
      <c r="M104" s="476" t="n"/>
    </row>
  </sheetData>
  <mergeCells count="175">
    <mergeCell ref="A48:E48"/>
    <mergeCell ref="B65:E65"/>
    <mergeCell ref="J96:M96"/>
    <mergeCell ref="K24:L24"/>
    <mergeCell ref="J43:M43"/>
    <mergeCell ref="A103:E103"/>
    <mergeCell ref="A70:B70"/>
    <mergeCell ref="B102:C102"/>
    <mergeCell ref="J18:M18"/>
    <mergeCell ref="B36:E36"/>
    <mergeCell ref="J17:M17"/>
    <mergeCell ref="B91:E91"/>
    <mergeCell ref="K76:L76"/>
    <mergeCell ref="K50:L50"/>
    <mergeCell ref="L4:L5"/>
    <mergeCell ref="J44:M44"/>
    <mergeCell ref="F25:I25"/>
    <mergeCell ref="F103:I103"/>
    <mergeCell ref="J19:M19"/>
    <mergeCell ref="B93:E93"/>
    <mergeCell ref="A21:E21"/>
    <mergeCell ref="B31:E31"/>
    <mergeCell ref="G16:I16"/>
    <mergeCell ref="J4:J7"/>
    <mergeCell ref="A26:E26"/>
    <mergeCell ref="B12:E12"/>
    <mergeCell ref="J69:M69"/>
    <mergeCell ref="B86:E86"/>
    <mergeCell ref="B39:E39"/>
    <mergeCell ref="A23:E23"/>
    <mergeCell ref="F95:I95"/>
    <mergeCell ref="B14:E14"/>
    <mergeCell ref="J45:M45"/>
    <mergeCell ref="B24:C24"/>
    <mergeCell ref="A100:E100"/>
    <mergeCell ref="F70:I70"/>
    <mergeCell ref="J56:J59"/>
    <mergeCell ref="G42:I42"/>
    <mergeCell ref="A27:M27"/>
    <mergeCell ref="A52:E52"/>
    <mergeCell ref="B13:E13"/>
    <mergeCell ref="F97:I97"/>
    <mergeCell ref="B38:E38"/>
    <mergeCell ref="J95:M95"/>
    <mergeCell ref="B87:E87"/>
    <mergeCell ref="F72:I72"/>
    <mergeCell ref="F23:I23"/>
    <mergeCell ref="G102:H102"/>
    <mergeCell ref="A77:E77"/>
    <mergeCell ref="B40:E40"/>
    <mergeCell ref="F96:I96"/>
    <mergeCell ref="F71:I71"/>
    <mergeCell ref="F43:I43"/>
    <mergeCell ref="J47:M47"/>
    <mergeCell ref="I80:J80"/>
    <mergeCell ref="B64:E64"/>
    <mergeCell ref="F52:I52"/>
    <mergeCell ref="A49:E49"/>
    <mergeCell ref="F98:I98"/>
    <mergeCell ref="J71:M71"/>
    <mergeCell ref="B63:E63"/>
    <mergeCell ref="J23:M23"/>
    <mergeCell ref="B41:E41"/>
    <mergeCell ref="B19:D19"/>
    <mergeCell ref="A78:E78"/>
    <mergeCell ref="B35:E35"/>
    <mergeCell ref="I54:J54"/>
    <mergeCell ref="F44:I44"/>
    <mergeCell ref="J73:M73"/>
    <mergeCell ref="B90:E90"/>
    <mergeCell ref="A75:E75"/>
    <mergeCell ref="F19:I19"/>
    <mergeCell ref="F99:I99"/>
    <mergeCell ref="B66:E66"/>
    <mergeCell ref="G24:H24"/>
    <mergeCell ref="A79:M79"/>
    <mergeCell ref="A104:E104"/>
    <mergeCell ref="B45:D45"/>
    <mergeCell ref="J77:M77"/>
    <mergeCell ref="L6:L7"/>
    <mergeCell ref="B11:E11"/>
    <mergeCell ref="J99:M99"/>
    <mergeCell ref="F20:I20"/>
    <mergeCell ref="F45:I45"/>
    <mergeCell ref="J49:M49"/>
    <mergeCell ref="B67:E67"/>
    <mergeCell ref="B61:E61"/>
    <mergeCell ref="E16:F16"/>
    <mergeCell ref="F17:I17"/>
    <mergeCell ref="J101:M101"/>
    <mergeCell ref="G76:H76"/>
    <mergeCell ref="F75:I75"/>
    <mergeCell ref="J20:M20"/>
    <mergeCell ref="F47:I47"/>
    <mergeCell ref="J100:M100"/>
    <mergeCell ref="B37:E37"/>
    <mergeCell ref="F46:I46"/>
    <mergeCell ref="J75:M75"/>
    <mergeCell ref="J22:M22"/>
    <mergeCell ref="E68:F68"/>
    <mergeCell ref="I2:J2"/>
    <mergeCell ref="F48:I48"/>
    <mergeCell ref="B15:E15"/>
    <mergeCell ref="A53:M53"/>
    <mergeCell ref="J21:M21"/>
    <mergeCell ref="J46:M46"/>
    <mergeCell ref="B89:E89"/>
    <mergeCell ref="G68:I68"/>
    <mergeCell ref="J51:M51"/>
    <mergeCell ref="J97:M97"/>
    <mergeCell ref="J48:M48"/>
    <mergeCell ref="F73:I73"/>
    <mergeCell ref="A25:E25"/>
    <mergeCell ref="A1:M1"/>
    <mergeCell ref="M30:M33"/>
    <mergeCell ref="F74:I74"/>
    <mergeCell ref="A22:E22"/>
    <mergeCell ref="B60:E60"/>
    <mergeCell ref="F18:I18"/>
    <mergeCell ref="F101:I101"/>
    <mergeCell ref="J74:M74"/>
    <mergeCell ref="B57:E57"/>
    <mergeCell ref="K4:K7"/>
    <mergeCell ref="A20:E20"/>
    <mergeCell ref="J26:M26"/>
    <mergeCell ref="M4:M7"/>
    <mergeCell ref="B76:C76"/>
    <mergeCell ref="M56:M59"/>
    <mergeCell ref="F100:I100"/>
    <mergeCell ref="G50:H50"/>
    <mergeCell ref="B34:E34"/>
    <mergeCell ref="J103:M103"/>
    <mergeCell ref="J25:M25"/>
    <mergeCell ref="G56:H56"/>
    <mergeCell ref="F22:I22"/>
    <mergeCell ref="B9:E9"/>
    <mergeCell ref="B83:E83"/>
    <mergeCell ref="B92:E92"/>
    <mergeCell ref="F77:I77"/>
    <mergeCell ref="A51:E51"/>
    <mergeCell ref="M82:M85"/>
    <mergeCell ref="E42:F42"/>
    <mergeCell ref="B5:E5"/>
    <mergeCell ref="F49:I49"/>
    <mergeCell ref="G82:H82"/>
    <mergeCell ref="J52:M52"/>
    <mergeCell ref="F69:I69"/>
    <mergeCell ref="B62:E62"/>
    <mergeCell ref="F78:I78"/>
    <mergeCell ref="J72:M72"/>
    <mergeCell ref="A18:B18"/>
    <mergeCell ref="I28:J28"/>
    <mergeCell ref="A74:E74"/>
    <mergeCell ref="J30:J33"/>
    <mergeCell ref="K102:L102"/>
    <mergeCell ref="A101:E101"/>
    <mergeCell ref="G30:H30"/>
    <mergeCell ref="J78:M78"/>
    <mergeCell ref="B97:D97"/>
    <mergeCell ref="F21:I21"/>
    <mergeCell ref="F104:I104"/>
    <mergeCell ref="F51:I51"/>
    <mergeCell ref="J98:M98"/>
    <mergeCell ref="A17:E17"/>
    <mergeCell ref="G4:H4"/>
    <mergeCell ref="F26:I26"/>
    <mergeCell ref="B8:E8"/>
    <mergeCell ref="J70:M70"/>
    <mergeCell ref="B88:E88"/>
    <mergeCell ref="B71:D71"/>
    <mergeCell ref="J104:M104"/>
    <mergeCell ref="J82:J85"/>
    <mergeCell ref="A44:B44"/>
    <mergeCell ref="B50:C50"/>
    <mergeCell ref="B10:E10"/>
  </mergeCells>
  <printOptions horizontalCentered="1" verticalCentered="1"/>
  <pageMargins left="0.7874015748031497" right="0.2755905511811024" top="0" bottom="0" header="0" footer="0"/>
  <pageSetup orientation="landscape" paperSize="9" scale="89" horizontalDpi="4294967293" verticalDpi="360"/>
  <rowBreaks count="3" manualBreakCount="3">
    <brk id="26" min="0" max="12" man="1"/>
    <brk id="52" min="0" max="12" man="1"/>
    <brk id="78" min="0" max="12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243"/>
  <sheetViews>
    <sheetView workbookViewId="0">
      <selection activeCell="A1" sqref="A1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27</v>
      </c>
      <c r="E3" s="254" t="inlineStr">
        <is>
          <t xml:space="preserve">   เดือน  </t>
        </is>
      </c>
      <c r="F3" s="254" t="inlineStr">
        <is>
          <t>พฤศจิกายน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1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n"/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5</v>
      </c>
      <c r="G7" s="303" t="inlineStr">
        <is>
          <t>จันทร์</t>
        </is>
      </c>
      <c r="H7" s="332" t="inlineStr">
        <is>
          <t>30101-2607</t>
        </is>
      </c>
      <c r="I7" s="325" t="inlineStr">
        <is>
          <t>ปวส.2/5 สยฟ. (ม.6)</t>
        </is>
      </c>
      <c r="J7" s="332" t="inlineStr">
        <is>
          <t>08.10-12.10</t>
        </is>
      </c>
      <c r="K7" s="335" t="n"/>
      <c r="L7" s="265" t="n"/>
      <c r="M7" s="332" t="n"/>
      <c r="N7" s="332" t="n"/>
      <c r="O7" s="244">
        <f>M7*N7</f>
        <v/>
      </c>
      <c r="P7" s="332" t="n"/>
      <c r="Q7" s="265" t="n">
        <v>4</v>
      </c>
      <c r="R7" s="332" t="n">
        <v>270</v>
      </c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27 พ.ย.66</t>
        </is>
      </c>
      <c r="H8" s="325" t="inlineStr">
        <is>
          <t>30143-2005</t>
        </is>
      </c>
      <c r="I8" s="325" t="inlineStr">
        <is>
          <t>ปวส.1/2 สยฟ. (ทวิ)</t>
        </is>
      </c>
      <c r="J8" s="325" t="inlineStr">
        <is>
          <t>14.10-19.10</t>
        </is>
      </c>
      <c r="K8" s="331" t="n"/>
      <c r="L8" s="252" t="n"/>
      <c r="M8" s="252" t="n"/>
      <c r="N8" s="252" t="n"/>
      <c r="O8" s="244">
        <f>M8*N8</f>
        <v/>
      </c>
      <c r="P8" s="252" t="n">
        <v>5</v>
      </c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325" t="n"/>
      <c r="I9" s="325" t="n"/>
      <c r="J9" s="325" t="n"/>
      <c r="K9" s="331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325" t="n"/>
      <c r="I12" s="325" t="n"/>
      <c r="J12" s="332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28 พ.ย.66</t>
        </is>
      </c>
      <c r="H13" s="325" t="n"/>
      <c r="I13" s="325" t="n"/>
      <c r="J13" s="252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/>
      <c r="Q17" s="265" t="n">
        <v>4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29 พ.ย.66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/>
      <c r="Q22" s="275" t="n">
        <v>4</v>
      </c>
      <c r="R22" s="275" t="n">
        <v>270</v>
      </c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30 พ.ย.66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325" t="inlineStr">
        <is>
          <t>30143-2005</t>
        </is>
      </c>
      <c r="I27" s="325" t="inlineStr">
        <is>
          <t>ปวส.1/1 สยฟ. (ทวิ)</t>
        </is>
      </c>
      <c r="J27" s="332" t="inlineStr">
        <is>
          <t>08.10-12.10</t>
        </is>
      </c>
      <c r="K27" s="335" t="n"/>
      <c r="L27" s="265" t="n"/>
      <c r="M27" s="252" t="n"/>
      <c r="N27" s="252" t="n"/>
      <c r="O27" s="244">
        <f>M27*N27</f>
        <v/>
      </c>
      <c r="P27" s="332" t="n">
        <v>4</v>
      </c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1 ธ.ค.66</t>
        </is>
      </c>
      <c r="H28" s="325" t="inlineStr">
        <is>
          <t>30143-2005</t>
        </is>
      </c>
      <c r="I28" s="325" t="inlineStr">
        <is>
          <t>ปวส.1/1 สยฟ. (ทวิ)</t>
        </is>
      </c>
      <c r="J28" s="252" t="inlineStr">
        <is>
          <t>13.10-14.10</t>
        </is>
      </c>
      <c r="K28" s="331" t="n"/>
      <c r="L28" s="252" t="n"/>
      <c r="M28" s="252" t="n"/>
      <c r="N28" s="252" t="n"/>
      <c r="O28" s="244">
        <f>M28*N28</f>
        <v/>
      </c>
      <c r="P28" s="252" t="n">
        <v>1</v>
      </c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4  เดือน ธันวาคม  พ.ศ.2566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 t="inlineStr">
        <is>
          <t>นางสาวปาจารีย์  กฐินทอง</t>
        </is>
      </c>
      <c r="C53" s="334" t="n"/>
      <c r="D53" s="335" t="n"/>
      <c r="E53" s="275" t="inlineStr">
        <is>
          <t>พนักงาน</t>
        </is>
      </c>
      <c r="F53" s="6" t="n">
        <v>5</v>
      </c>
      <c r="G53" s="303" t="inlineStr">
        <is>
          <t>จันทร์</t>
        </is>
      </c>
      <c r="H53" s="332" t="n"/>
      <c r="I53" s="325" t="n"/>
      <c r="J53" s="332" t="n"/>
      <c r="K53" s="335" t="n"/>
      <c r="L53" s="265" t="n"/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325" t="n"/>
      <c r="I54" s="325" t="n"/>
      <c r="J54" s="252" t="n"/>
      <c r="K54" s="331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252" t="n"/>
      <c r="I55" s="325" t="n"/>
      <c r="J55" s="325" t="n"/>
      <c r="K55" s="331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332" t="n"/>
      <c r="I58" s="325" t="n"/>
      <c r="J58" s="332" t="n"/>
      <c r="K58" s="335" t="n"/>
      <c r="L58" s="265" t="n"/>
      <c r="M58" s="332" t="n"/>
      <c r="N58" s="332" t="n"/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325" t="n"/>
      <c r="I59" s="325" t="n"/>
      <c r="J59" s="252" t="n"/>
      <c r="K59" s="331" t="n"/>
      <c r="L59" s="252" t="n"/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n"/>
      <c r="I63" s="325" t="n"/>
      <c r="J63" s="332" t="n"/>
      <c r="K63" s="335" t="n"/>
      <c r="L63" s="332" t="n"/>
      <c r="M63" s="332" t="n"/>
      <c r="N63" s="332" t="n"/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n"/>
      <c r="I68" s="325" t="n"/>
      <c r="J68" s="332" t="n"/>
      <c r="K68" s="335" t="n"/>
      <c r="L68" s="252" t="n"/>
      <c r="M68" s="252" t="n"/>
      <c r="N68" s="252" t="n"/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n"/>
      <c r="I69" s="325" t="n"/>
      <c r="J69" s="252" t="n"/>
      <c r="K69" s="331" t="n"/>
      <c r="L69" s="252" t="n"/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n"/>
      <c r="I70" s="325" t="n"/>
      <c r="J70" s="252" t="n"/>
      <c r="K70" s="331" t="n"/>
      <c r="L70" s="325" t="n"/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332" t="n"/>
      <c r="I73" s="325" t="n"/>
      <c r="J73" s="332" t="n"/>
      <c r="K73" s="335" t="n"/>
      <c r="L73" s="252" t="n"/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325" t="n"/>
      <c r="I74" s="325" t="n"/>
      <c r="J74" s="252" t="n"/>
      <c r="K74" s="331" t="n"/>
      <c r="L74" s="252" t="n"/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0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 t="n">
        <v>5</v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 t="n">
        <v>5</v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 t="n">
        <v>5</v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 t="n">
        <v>5</v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 t="n">
        <v>5</v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 t="n">
        <v>5</v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 t="n">
        <v>5</v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 t="n">
        <v>5</v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 t="n">
        <v>5</v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 t="n">
        <v>5</v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 t="n">
        <v>5</v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 t="n">
        <v>5</v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 t="n">
        <v>5</v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 t="n">
        <v>5</v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 t="n">
        <v>5</v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 t="n">
        <v>5</v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 t="n">
        <v>5</v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 t="n">
        <v>5</v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 t="n">
        <v>5</v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 t="n">
        <v>5</v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 t="n">
        <v>5</v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 t="n">
        <v>5</v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 t="n">
        <v>5</v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 t="n">
        <v>5</v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n">
        <v>5</v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4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J13:K1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J28:K28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J237:K237"/>
    <mergeCell ref="G540:K540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J59:K59"/>
    <mergeCell ref="J672:K672"/>
    <mergeCell ref="G1000:K1000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2:K12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J8:K8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8:K58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J1086:K1086"/>
    <mergeCell ref="A877:C877"/>
    <mergeCell ref="A455:G455"/>
    <mergeCell ref="J27:K27"/>
    <mergeCell ref="P189:Q189"/>
    <mergeCell ref="A184:I184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J9:K9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55:K55"/>
    <mergeCell ref="A232:S232"/>
    <mergeCell ref="AB7:AD7"/>
    <mergeCell ref="J476:K476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74:K74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J54:K54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7:K7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J53:K53"/>
    <mergeCell ref="B729:F729"/>
    <mergeCell ref="J806:K806"/>
    <mergeCell ref="H958:L958"/>
    <mergeCell ref="J387:K387"/>
    <mergeCell ref="J871:S871"/>
    <mergeCell ref="J343:K343"/>
    <mergeCell ref="G863:K863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J73:K73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</dc:creator>
  <dcterms:created xsi:type="dcterms:W3CDTF">2008-10-14T09:19:58Z</dcterms:created>
  <dcterms:modified xsi:type="dcterms:W3CDTF">2026-09-12T15:21:44Z</dcterms:modified>
  <cp:lastModifiedBy>POLLAKIT NOYKERD</cp:lastModifiedBy>
  <cp:lastPrinted>2024-01-22T03:03:11Z</cp:lastPrinted>
</cp:coreProperties>
</file>